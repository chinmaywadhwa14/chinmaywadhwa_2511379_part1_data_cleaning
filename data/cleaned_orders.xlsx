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  <sheet name="raw_data" sheetId="2" state="hidden" r:id="rId4"/>
  </sheets>
  <definedNames>
    <definedName function="false" hidden="true" localSheetId="0" name="_xlnm._FilterDatabase" vbProcedure="false">cleaned_orders!$A$1:$AN$913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<sst xmlns="http://schemas.openxmlformats.org/spreadsheetml/2006/main" count="13703" uniqueCount="4143">
  <si>
    <t xml:space="preserve">order_id</t>
  </si>
  <si>
    <t xml:space="preserve">order_date</t>
  </si>
  <si>
    <t xml:space="preserve">ship_date</t>
  </si>
  <si>
    <t xml:space="preserve">order_date_status</t>
  </si>
  <si>
    <t xml:space="preserve">ship_date_status</t>
  </si>
  <si>
    <t xml:space="preserve">shipping_delay_days</t>
  </si>
  <si>
    <t xml:space="preserve">ship_before_order_flag</t>
  </si>
  <si>
    <t xml:space="preserve">customer_id</t>
  </si>
  <si>
    <t xml:space="preserve">customer_name</t>
  </si>
  <si>
    <t xml:space="preserve">segment</t>
  </si>
  <si>
    <t xml:space="preserve">region</t>
  </si>
  <si>
    <t xml:space="preserve">region_filled_flag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</si>
  <si>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</si>
  <si>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</si>
  <si>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</si>
  <si>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</si>
  <si>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</si>
  <si>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</si>
  <si>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ship_mode_filled_flag</t>
  </si>
  <si>
    <t xml:space="preserve">quantity</t>
  </si>
  <si>
    <t xml:space="preserve">unit_price</t>
  </si>
  <si>
    <t xml:space="preserve">discount_raw</t>
  </si>
  <si>
    <t xml:space="preserve">cleaned_discount</t>
  </si>
  <si>
    <t xml:space="preserve">discount_issue_flag</t>
  </si>
  <si>
    <t xml:space="preserve">sales_raw</t>
  </si>
  <si>
    <t xml:space="preserve">cost</t>
  </si>
  <si>
    <t xml:space="preserve">profit_raw</t>
  </si>
  <si>
    <t xml:space="preserve">payment_status</t>
  </si>
  <si>
    <t xml:space="preserve">order_status</t>
  </si>
  <si>
    <t xml:space="preserve">calculated_sales</t>
  </si>
  <si>
    <t xml:space="preserve">calculated_profit</t>
  </si>
  <si>
    <t xml:space="preserve">profit_margin</t>
  </si>
  <si>
    <t xml:space="preserve">sales_mismatch_flag</t>
  </si>
  <si>
    <t xml:space="preserve">profit_mismatch_flag</t>
  </si>
  <si>
    <t xml:space="preserve">order_month</t>
  </si>
  <si>
    <t xml:space="preserve">order_year</t>
  </si>
  <si>
    <t xml:space="preserve">duplicate_status</t>
  </si>
  <si>
    <t xml:space="preserve">refund_flag</t>
  </si>
  <si>
    <t xml:space="preserve">excluded_from_sales_summary</t>
  </si>
  <si>
    <t xml:space="preserve">data_quality_flag</t>
  </si>
  <si>
    <t xml:space="preserve">discount</t>
  </si>
  <si>
    <t xml:space="preserve">sales</t>
  </si>
  <si>
    <t xml:space="preserve">profit</t>
  </si>
  <si>
    <t xml:space="preserve">ORD-2024-10001</t>
  </si>
  <si>
    <t xml:space="preserve">21 Jul 2024</t>
  </si>
  <si>
    <t xml:space="preserve">07/27/2024</t>
  </si>
  <si>
    <t xml:space="preserve">CUST-4655</t>
  </si>
  <si>
    <t xml:space="preserve">Karan Malhotra</t>
  </si>
  <si>
    <t xml:space="preserve">Consumer</t>
  </si>
  <si>
    <t xml:space="preserve">  North 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</si>
  <si>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</si>
  <si>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</si>
  <si>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</si>
  <si>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</si>
  <si>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</si>
  <si>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</si>
  <si>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</si>
  <si>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</si>
  <si>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ORD-2024-10002</t>
  </si>
  <si>
    <t xml:space="preserve">08/31/2024</t>
  </si>
  <si>
    <t xml:space="preserve">05 Sep 2024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</si>
  <si>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</si>
  <si>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</si>
  <si>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</si>
  <si>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</si>
  <si>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</si>
  <si>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</si>
  <si>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</si>
  <si>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</si>
  <si>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</si>
  <si>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</si>
  <si>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</si>
  <si>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06/08/2024</t>
  </si>
  <si>
    <t xml:space="preserve">15 Jun 2024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</si>
  <si>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</si>
  <si>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</si>
  <si>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</si>
  <si>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</si>
  <si>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</si>
  <si>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ORD-2024-10004</t>
  </si>
  <si>
    <t xml:space="preserve">28-11-2024</t>
  </si>
  <si>
    <t xml:space="preserve">11/29/2024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</si>
  <si>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</si>
  <si>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</si>
  <si>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</si>
  <si>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</si>
  <si>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</si>
  <si>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</si>
  <si>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</si>
  <si>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</si>
  <si>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</si>
  <si>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29 Aug 2025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</si>
  <si>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</si>
  <si>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</si>
  <si>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</si>
  <si>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</si>
  <si>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</si>
  <si>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</si>
  <si>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</si>
  <si>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</si>
  <si>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</si>
  <si>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</si>
  <si>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2024-05-24</t>
  </si>
  <si>
    <t xml:space="preserve">28-05-2024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</si>
  <si>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</si>
  <si>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</si>
  <si>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</si>
  <si>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</si>
  <si>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</si>
  <si>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</si>
  <si>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</si>
  <si>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</si>
  <si>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04/10/2025</t>
  </si>
  <si>
    <t xml:space="preserve">04/16/2025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</si>
  <si>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</si>
  <si>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</si>
  <si>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</si>
  <si>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</si>
  <si>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</si>
  <si>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</si>
  <si>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26-02-2025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</si>
  <si>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</si>
  <si>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</si>
  <si>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</si>
  <si>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</si>
  <si>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</si>
  <si>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11/05/2024</t>
  </si>
  <si>
    <t xml:space="preserve">11/10/2024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</si>
  <si>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</si>
  <si>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</si>
  <si>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</si>
  <si>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</si>
  <si>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</si>
  <si>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</si>
  <si>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07-09-2025</t>
  </si>
  <si>
    <t xml:space="preserve">09/12/2025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</si>
  <si>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</si>
  <si>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</si>
  <si>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</si>
  <si>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</si>
  <si>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 May 2025</t>
  </si>
  <si>
    <t xml:space="preserve">05/20/2025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</si>
  <si>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</si>
  <si>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</si>
  <si>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</si>
  <si>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</si>
  <si>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</si>
  <si>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</si>
  <si>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</si>
  <si>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2024-07-22</t>
  </si>
  <si>
    <t xml:space="preserve">23-07-2024</t>
  </si>
  <si>
    <t xml:space="preserve">CUST-6528</t>
  </si>
  <si>
    <t xml:space="preserve">Smart Accessories 603</t>
  </si>
  <si>
    <t xml:space="preserve">ORD-2024-10013</t>
  </si>
  <si>
    <t xml:space="preserve">20 Dec 2024</t>
  </si>
  <si>
    <t xml:space="preserve">12/21/2024</t>
  </si>
  <si>
    <t xml:space="preserve">CUST-2648</t>
  </si>
  <si>
    <t xml:space="preserve">Corporate 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</si>
  <si>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</si>
  <si>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</si>
  <si>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</si>
  <si>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</si>
  <si>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</si>
  <si>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16-10-2025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</si>
  <si>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</si>
  <si>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</si>
  <si>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</si>
  <si>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</si>
  <si>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27 Dec 2024</t>
  </si>
  <si>
    <t xml:space="preserve">12/28/2024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</si>
  <si>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</si>
  <si>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</si>
  <si>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</si>
  <si>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</si>
  <si>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07/09/2024</t>
  </si>
  <si>
    <t xml:space="preserve">09 Jul 2024</t>
  </si>
  <si>
    <t xml:space="preserve">CUST-7656</t>
  </si>
  <si>
    <t xml:space="preserve">North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</si>
  <si>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</si>
  <si>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</si>
  <si>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</si>
  <si>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</si>
  <si>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</si>
  <si>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05/08/2024</t>
  </si>
  <si>
    <t xml:space="preserve">15-05-2024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</si>
  <si>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</si>
  <si>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</si>
  <si>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</si>
  <si>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</si>
  <si>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01/07/2024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</si>
  <si>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</si>
  <si>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</si>
  <si>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</si>
  <si>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</si>
  <si>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</si>
  <si>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07/15/2025</t>
  </si>
  <si>
    <t xml:space="preserve">17-07-2025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</si>
  <si>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</si>
  <si>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</si>
  <si>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</si>
  <si>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</si>
  <si>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</si>
  <si>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31 Jul 2024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</si>
  <si>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</si>
  <si>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</si>
  <si>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</si>
  <si>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</si>
  <si>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21-01-2025</t>
  </si>
  <si>
    <t xml:space="preserve">23 Jan 2025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</si>
  <si>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</si>
  <si>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</si>
  <si>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</si>
  <si>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</si>
  <si>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</si>
  <si>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24-01-2025</t>
  </si>
  <si>
    <t xml:space="preserve">01/30/2025</t>
  </si>
  <si>
    <t xml:space="preserve">CUST-3036</t>
  </si>
  <si>
    <t xml:space="preserve">Eco Furnishings 897</t>
  </si>
  <si>
    <t xml:space="preserve">ORD-2025-10023</t>
  </si>
  <si>
    <t xml:space="preserve">19 Jan 2025</t>
  </si>
  <si>
    <t xml:space="preserve">2025-01-21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</si>
  <si>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</si>
  <si>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</si>
  <si>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</si>
  <si>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</si>
  <si>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</si>
  <si>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31-08-2025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</si>
  <si>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</si>
  <si>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</si>
  <si>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</si>
  <si>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</si>
  <si>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</si>
  <si>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03/01/2024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</si>
  <si>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</si>
  <si>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</si>
  <si>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</si>
  <si>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</si>
  <si>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11-10-2024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</si>
  <si>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</si>
  <si>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</si>
  <si>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</si>
  <si>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</si>
  <si>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</si>
  <si>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</si>
  <si>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23-11-2024</t>
  </si>
  <si>
    <t xml:space="preserve">23 Nov 2024</t>
  </si>
  <si>
    <t xml:space="preserve">CUST-4401</t>
  </si>
  <si>
    <t xml:space="preserve">Phones</t>
  </si>
  <si>
    <t xml:space="preserve">Pro Phones 243</t>
  </si>
  <si>
    <t xml:space="preserve">Paid </t>
  </si>
  <si>
    <t xml:space="preserve">ORD-2025-10028</t>
  </si>
  <si>
    <t xml:space="preserve">29 Sep 2025</t>
  </si>
  <si>
    <t xml:space="preserve">05-10-2025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</si>
  <si>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</si>
  <si>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</si>
  <si>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</si>
  <si>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</si>
  <si>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</si>
  <si>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18-10-2024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</si>
  <si>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</si>
  <si>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</si>
  <si>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</si>
  <si>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</si>
  <si>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</si>
  <si>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13 Aug 2025</t>
  </si>
  <si>
    <t xml:space="preserve">13-08-2025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</si>
  <si>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</si>
  <si>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</si>
  <si>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</si>
  <si>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</si>
  <si>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</si>
  <si>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09 Feb 2024</t>
  </si>
  <si>
    <t xml:space="preserve">02/12/2024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</si>
  <si>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</si>
  <si>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</si>
  <si>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</si>
  <si>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</si>
  <si>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</si>
  <si>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15-06-2025</t>
  </si>
  <si>
    <t xml:space="preserve">19-06-2025</t>
  </si>
  <si>
    <t xml:space="preserve">CUST-7867</t>
  </si>
  <si>
    <t xml:space="preserve">Pro Paper 959</t>
  </si>
  <si>
    <t xml:space="preserve">ORD-2024-10033</t>
  </si>
  <si>
    <t xml:space="preserve">22-11-2024</t>
  </si>
  <si>
    <t xml:space="preserve">2024-11-26</t>
  </si>
  <si>
    <t xml:space="preserve">CUST-6509</t>
  </si>
  <si>
    <t xml:space="preserve">Basic Phones 242</t>
  </si>
  <si>
    <t xml:space="preserve">ORD-2024-10034</t>
  </si>
  <si>
    <t xml:space="preserve">07/22/2024</t>
  </si>
  <si>
    <t xml:space="preserve">27-07-2024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</si>
  <si>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</si>
  <si>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</si>
  <si>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</si>
  <si>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</si>
  <si>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</si>
  <si>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</si>
  <si>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</si>
  <si>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ORD-2024-10036</t>
  </si>
  <si>
    <t xml:space="preserve">29-05-2024</t>
  </si>
  <si>
    <t xml:space="preserve">29 May 2024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</si>
  <si>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</si>
  <si>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</si>
  <si>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</si>
  <si>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</si>
  <si>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28 Oct 2024</t>
  </si>
  <si>
    <t xml:space="preserve">CUST-8296</t>
  </si>
  <si>
    <t xml:space="preserve">Eco Bookcases 220</t>
  </si>
  <si>
    <t xml:space="preserve">ORD-2025-10038</t>
  </si>
  <si>
    <t xml:space="preserve">29-07-2025</t>
  </si>
  <si>
    <t xml:space="preserve">CUST-4646</t>
  </si>
  <si>
    <t xml:space="preserve">Pro Copiers 830</t>
  </si>
  <si>
    <t xml:space="preserve">STANDARD CLASS</t>
  </si>
  <si>
    <t xml:space="preserve">ORD-2024-10039</t>
  </si>
  <si>
    <t xml:space="preserve">2024-06-17</t>
  </si>
  <si>
    <t xml:space="preserve">22-06-2024</t>
  </si>
  <si>
    <t xml:space="preserve">CUST-8235</t>
  </si>
  <si>
    <t xml:space="preserve">Prime Phones 507</t>
  </si>
  <si>
    <t xml:space="preserve">ORD-2024-10040</t>
  </si>
  <si>
    <t xml:space="preserve">12/11/2024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</si>
  <si>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</si>
  <si>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</si>
  <si>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</si>
  <si>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</si>
  <si>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10-10-2024</t>
  </si>
  <si>
    <t xml:space="preserve">16 Oct 2024</t>
  </si>
  <si>
    <t xml:space="preserve">CUST-7178</t>
  </si>
  <si>
    <t xml:space="preserve">Eco Copiers 865</t>
  </si>
  <si>
    <t xml:space="preserve">ORD-2024-10042</t>
  </si>
  <si>
    <t xml:space="preserve">03/12/2024</t>
  </si>
  <si>
    <t xml:space="preserve">17-03-2024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</si>
  <si>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</si>
  <si>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</si>
  <si>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</si>
  <si>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</si>
  <si>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15 Oct 2025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</si>
  <si>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</si>
  <si>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</si>
  <si>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</si>
  <si>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</si>
  <si>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</si>
  <si>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07/08/2024</t>
  </si>
  <si>
    <t xml:space="preserve">07/14/2024</t>
  </si>
  <si>
    <t xml:space="preserve">CUST-7119</t>
  </si>
  <si>
    <t xml:space="preserve">Smart Furnishings 956</t>
  </si>
  <si>
    <t xml:space="preserve">ORD-2024-10045</t>
  </si>
  <si>
    <t xml:space="preserve">06/22/2024</t>
  </si>
  <si>
    <t xml:space="preserve">25-06-2024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</si>
  <si>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</si>
  <si>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</si>
  <si>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</si>
  <si>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</si>
  <si>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</si>
  <si>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18 Jan 2024</t>
  </si>
  <si>
    <t xml:space="preserve">24-01-2024</t>
  </si>
  <si>
    <t xml:space="preserve">CUST-8896</t>
  </si>
  <si>
    <t xml:space="preserve">Prime Art 221</t>
  </si>
  <si>
    <t xml:space="preserve">ORD-2024-10047</t>
  </si>
  <si>
    <t xml:space="preserve">19-07-2024</t>
  </si>
  <si>
    <t xml:space="preserve">CUST-8517</t>
  </si>
  <si>
    <t xml:space="preserve">Elite Bookcases 671</t>
  </si>
  <si>
    <t xml:space="preserve">ORD-2024-10048</t>
  </si>
  <si>
    <t xml:space="preserve">12-08-2024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</si>
  <si>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</si>
  <si>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</si>
  <si>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</si>
  <si>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</si>
  <si>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</si>
  <si>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</si>
  <si>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30 Jan 2025</t>
  </si>
  <si>
    <t xml:space="preserve">05 Feb 2025</t>
  </si>
  <si>
    <t xml:space="preserve">CUST-8183</t>
  </si>
  <si>
    <t xml:space="preserve">Basic Chairs 837</t>
  </si>
  <si>
    <t xml:space="preserve">Second Class </t>
  </si>
  <si>
    <t xml:space="preserve">ORD-2024-10050</t>
  </si>
  <si>
    <t xml:space="preserve">2024-04-06</t>
  </si>
  <si>
    <t xml:space="preserve">13 Apr 2024</t>
  </si>
  <si>
    <t xml:space="preserve">CUST-2380</t>
  </si>
  <si>
    <t xml:space="preserve">Classic Copiers 295</t>
  </si>
  <si>
    <t xml:space="preserve">ORD-2025-10051</t>
  </si>
  <si>
    <t xml:space="preserve">05/11/2025</t>
  </si>
  <si>
    <t xml:space="preserve">19 May 2025</t>
  </si>
  <si>
    <t xml:space="preserve">CUST-8787</t>
  </si>
  <si>
    <t xml:space="preserve">Pro Copiers 963</t>
  </si>
  <si>
    <t xml:space="preserve">ORD-2024-10052</t>
  </si>
  <si>
    <t xml:space="preserve">24 Apr 2024</t>
  </si>
  <si>
    <t xml:space="preserve">29 Apr 2024</t>
  </si>
  <si>
    <t xml:space="preserve">CUST-3557</t>
  </si>
  <si>
    <t xml:space="preserve">Ananya Rao </t>
  </si>
  <si>
    <t xml:space="preserve">Pro Art 907</t>
  </si>
  <si>
    <t xml:space="preserve">ORD-2024-10053</t>
  </si>
  <si>
    <t xml:space="preserve">26-10-2024</t>
  </si>
  <si>
    <t xml:space="preserve">2024-10-28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</si>
  <si>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</si>
  <si>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</si>
  <si>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</si>
  <si>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</si>
  <si>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31 Mar 2025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</si>
  <si>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</si>
  <si>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</si>
  <si>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</si>
  <si>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</si>
  <si>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30 May 2025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</si>
  <si>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</si>
  <si>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</si>
  <si>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</si>
  <si>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</si>
  <si>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01-07-2025</t>
  </si>
  <si>
    <t xml:space="preserve">03-07-2025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</si>
  <si>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</si>
  <si>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</si>
  <si>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</si>
  <si>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</si>
  <si>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</si>
  <si>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06-01-2025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</si>
  <si>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</si>
  <si>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</si>
  <si>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</si>
  <si>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</si>
  <si>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15 Feb 2024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</si>
  <si>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</si>
  <si>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</si>
  <si>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</si>
  <si>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</si>
  <si>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</si>
  <si>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</si>
  <si>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</si>
  <si>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</si>
  <si>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20-07-2024</t>
  </si>
  <si>
    <t xml:space="preserve">25 Jul 2024</t>
  </si>
  <si>
    <t xml:space="preserve">CUST-2418</t>
  </si>
  <si>
    <t xml:space="preserve">Smart Labels 655</t>
  </si>
  <si>
    <t xml:space="preserve">ORD-2024-10061</t>
  </si>
  <si>
    <t xml:space="preserve">07/13/2024</t>
  </si>
  <si>
    <t xml:space="preserve">2024-07-19</t>
  </si>
  <si>
    <t xml:space="preserve">CUST-2892</t>
  </si>
  <si>
    <t xml:space="preserve">Eco Labels 210</t>
  </si>
  <si>
    <t xml:space="preserve">ORD-2024-10062</t>
  </si>
  <si>
    <t xml:space="preserve">16 Apr 2024</t>
  </si>
  <si>
    <t xml:space="preserve">04/16/2024</t>
  </si>
  <si>
    <t xml:space="preserve">CUST-7008</t>
  </si>
  <si>
    <t xml:space="preserve">Classic Bookcases 296</t>
  </si>
  <si>
    <t xml:space="preserve">ORD-2024-10063</t>
  </si>
  <si>
    <t xml:space="preserve">30 Oct 2024</t>
  </si>
  <si>
    <t xml:space="preserve">02-11-2024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</si>
  <si>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</si>
  <si>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</si>
  <si>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</si>
  <si>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</si>
  <si>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01-02-2024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</si>
  <si>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</si>
  <si>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</si>
  <si>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</si>
  <si>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</si>
  <si>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12/29/2024</t>
  </si>
  <si>
    <t xml:space="preserve">CUST-2749</t>
  </si>
  <si>
    <t xml:space="preserve">Classic Paper 458</t>
  </si>
  <si>
    <t xml:space="preserve">ORD-2024-10066</t>
  </si>
  <si>
    <t xml:space="preserve">22 Apr 2024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</si>
  <si>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</si>
  <si>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</si>
  <si>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</si>
  <si>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</si>
  <si>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08/28/2025</t>
  </si>
  <si>
    <t xml:space="preserve">01 Sep 2025</t>
  </si>
  <si>
    <t xml:space="preserve">CUST-1504</t>
  </si>
  <si>
    <t xml:space="preserve">Elite Accessories 187</t>
  </si>
  <si>
    <t xml:space="preserve">ORD-2025-10068</t>
  </si>
  <si>
    <t xml:space="preserve">03 Feb 2025</t>
  </si>
  <si>
    <t xml:space="preserve">07-02-2025</t>
  </si>
  <si>
    <t xml:space="preserve">CUST-8282</t>
  </si>
  <si>
    <t xml:space="preserve">Eco Paper 922</t>
  </si>
  <si>
    <t xml:space="preserve">ORD-2024-10069</t>
  </si>
  <si>
    <t xml:space="preserve">13 Nov 2024</t>
  </si>
  <si>
    <t xml:space="preserve">CUST-6054</t>
  </si>
  <si>
    <t xml:space="preserve">Pro Storage 975</t>
  </si>
  <si>
    <t xml:space="preserve">ORD-2024-10070</t>
  </si>
  <si>
    <t xml:space="preserve">09 Apr 2024</t>
  </si>
  <si>
    <t xml:space="preserve">04/14/2024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</si>
  <si>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</si>
  <si>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</si>
  <si>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</si>
  <si>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</si>
  <si>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27 Aug 2025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</si>
  <si>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</si>
  <si>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</si>
  <si>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</si>
  <si>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</si>
  <si>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</si>
  <si>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  Small Business </t>
  </si>
  <si>
    <t xml:space="preserve">Elite Machines 836</t>
  </si>
  <si>
    <t xml:space="preserve">ORD-2024-10073</t>
  </si>
  <si>
    <t xml:space="preserve">2024-02-11</t>
  </si>
  <si>
    <t xml:space="preserve">07 Feb 2024</t>
  </si>
  <si>
    <t xml:space="preserve">CUST-5018</t>
  </si>
  <si>
    <t xml:space="preserve">Prime Tables 902</t>
  </si>
  <si>
    <t xml:space="preserve">ORD-2025-10074</t>
  </si>
  <si>
    <t xml:space="preserve">29-03-2025</t>
  </si>
  <si>
    <t xml:space="preserve">04/03/2025</t>
  </si>
  <si>
    <t xml:space="preserve">CUST-2342</t>
  </si>
  <si>
    <t xml:space="preserve">Smart Bookcases 167</t>
  </si>
  <si>
    <t xml:space="preserve">ORD-2025-10075</t>
  </si>
  <si>
    <t xml:space="preserve">02/27/2025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</si>
  <si>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</si>
  <si>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</si>
  <si>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</si>
  <si>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</si>
  <si>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22-08-2025</t>
  </si>
  <si>
    <t xml:space="preserve">08/27/2025</t>
  </si>
  <si>
    <t xml:space="preserve">CUST-5808</t>
  </si>
  <si>
    <t xml:space="preserve">Eco Labels 653</t>
  </si>
  <si>
    <t xml:space="preserve">ORD-2024-10077</t>
  </si>
  <si>
    <t xml:space="preserve">03 Nov 2024</t>
  </si>
  <si>
    <t xml:space="preserve">11-11-2024</t>
  </si>
  <si>
    <t xml:space="preserve">CUST-2642</t>
  </si>
  <si>
    <t xml:space="preserve">Max Labels 617</t>
  </si>
  <si>
    <t xml:space="preserve">ORD-2025-10078</t>
  </si>
  <si>
    <t xml:space="preserve">07/08/2025</t>
  </si>
  <si>
    <t xml:space="preserve">12-07-2025</t>
  </si>
  <si>
    <t xml:space="preserve">CUST-4385</t>
  </si>
  <si>
    <t xml:space="preserve">Pro Furnishings 529</t>
  </si>
  <si>
    <t xml:space="preserve">ORD-2025-10079</t>
  </si>
  <si>
    <t xml:space="preserve">07/16/2025</t>
  </si>
  <si>
    <t xml:space="preserve">21-07-2025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</si>
  <si>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</si>
  <si>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</si>
  <si>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</si>
  <si>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</si>
  <si>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</si>
  <si>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</si>
  <si>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  Furniture 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</si>
  <si>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</si>
  <si>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</si>
  <si>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</si>
  <si>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</si>
  <si>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</si>
  <si>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</si>
  <si>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</si>
  <si>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</si>
  <si>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</si>
  <si>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</si>
  <si>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17-03-2025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</si>
  <si>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</si>
  <si>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</si>
  <si>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</si>
  <si>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</si>
  <si>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04-08-2024</t>
  </si>
  <si>
    <t xml:space="preserve">CUST-6516</t>
  </si>
  <si>
    <t xml:space="preserve">Smart Copiers 702</t>
  </si>
  <si>
    <t xml:space="preserve">ORD-2024-10084</t>
  </si>
  <si>
    <t xml:space="preserve">29-10-2024</t>
  </si>
  <si>
    <t xml:space="preserve">CUST-4989</t>
  </si>
  <si>
    <t xml:space="preserve">Elite Tables 362</t>
  </si>
  <si>
    <t xml:space="preserve">ORD-2024-10085</t>
  </si>
  <si>
    <t xml:space="preserve">01 Oct 2024</t>
  </si>
  <si>
    <t xml:space="preserve">2024-10-03</t>
  </si>
  <si>
    <t xml:space="preserve">CUST-3758</t>
  </si>
  <si>
    <t xml:space="preserve">Technology </t>
  </si>
  <si>
    <t xml:space="preserve">Elite Phones 781</t>
  </si>
  <si>
    <t xml:space="preserve">ORD-2024-10086</t>
  </si>
  <si>
    <t xml:space="preserve">2024-07-30</t>
  </si>
  <si>
    <t xml:space="preserve">08/05/2024</t>
  </si>
  <si>
    <t xml:space="preserve">CUST-6702</t>
  </si>
  <si>
    <t xml:space="preserve">Eco Binders 456</t>
  </si>
  <si>
    <t xml:space="preserve">ORD-2024-10087</t>
  </si>
  <si>
    <t xml:space="preserve">01 Jul 2024</t>
  </si>
  <si>
    <t xml:space="preserve">CUST-9148</t>
  </si>
  <si>
    <t xml:space="preserve">Basic Copiers 525</t>
  </si>
  <si>
    <t xml:space="preserve">ORD-2024-10088</t>
  </si>
  <si>
    <t xml:space="preserve">02-08-2024</t>
  </si>
  <si>
    <t xml:space="preserve">CUST-5829</t>
  </si>
  <si>
    <t xml:space="preserve">Eco Binders 258</t>
  </si>
  <si>
    <t xml:space="preserve">ORD-2024-10089</t>
  </si>
  <si>
    <t xml:space="preserve">03/24/2024</t>
  </si>
  <si>
    <t xml:space="preserve">27 Mar 2024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</si>
  <si>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</si>
  <si>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</si>
  <si>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</si>
  <si>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</si>
  <si>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</si>
  <si>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</si>
  <si>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08/24/2025</t>
  </si>
  <si>
    <t xml:space="preserve">CUST-5909</t>
  </si>
  <si>
    <t xml:space="preserve">Smart Copiers 556</t>
  </si>
  <si>
    <t xml:space="preserve">ORD-2025-10092</t>
  </si>
  <si>
    <t xml:space="preserve">02-03-2025</t>
  </si>
  <si>
    <t xml:space="preserve">03/08/2025</t>
  </si>
  <si>
    <t xml:space="preserve">CUST-6409</t>
  </si>
  <si>
    <t xml:space="preserve">Prime Copiers 575</t>
  </si>
  <si>
    <t xml:space="preserve">ORD-2025-10093</t>
  </si>
  <si>
    <t xml:space="preserve">01/26/2025</t>
  </si>
  <si>
    <t xml:space="preserve">CUST-3014</t>
  </si>
  <si>
    <t xml:space="preserve">Elite Paper 669</t>
  </si>
  <si>
    <t xml:space="preserve">ORD-2024-10094</t>
  </si>
  <si>
    <t xml:space="preserve">13-01-2024</t>
  </si>
  <si>
    <t xml:space="preserve">CUST-6106</t>
  </si>
  <si>
    <t xml:space="preserve">Eco Binders 780</t>
  </si>
  <si>
    <t xml:space="preserve">ORD-2024-10095</t>
  </si>
  <si>
    <t xml:space="preserve">09/06/2024</t>
  </si>
  <si>
    <t xml:space="preserve">09 Sep 2024</t>
  </si>
  <si>
    <t xml:space="preserve">CUST-1926</t>
  </si>
  <si>
    <t xml:space="preserve">Elite Phones 723</t>
  </si>
  <si>
    <t xml:space="preserve">ORD-2025-10096</t>
  </si>
  <si>
    <t xml:space="preserve">05-09-2025</t>
  </si>
  <si>
    <t xml:space="preserve">09/10/2025</t>
  </si>
  <si>
    <t xml:space="preserve">CUST-2687</t>
  </si>
  <si>
    <t xml:space="preserve">Classic Bookcases 988</t>
  </si>
  <si>
    <t xml:space="preserve">ORD-2024-10097</t>
  </si>
  <si>
    <t xml:space="preserve">05 Jun 2024</t>
  </si>
  <si>
    <t xml:space="preserve">07-06-2024</t>
  </si>
  <si>
    <t xml:space="preserve">CUST-7283</t>
  </si>
  <si>
    <t xml:space="preserve">Smart Copiers 547</t>
  </si>
  <si>
    <t xml:space="preserve">ORD-2025-10098</t>
  </si>
  <si>
    <t xml:space="preserve">08 Aug 2025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</si>
  <si>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</si>
  <si>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</si>
  <si>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</si>
  <si>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</si>
  <si>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</si>
  <si>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02/01/2024</t>
  </si>
  <si>
    <t xml:space="preserve">CUST-5434</t>
  </si>
  <si>
    <t xml:space="preserve">Elite Copiers 785</t>
  </si>
  <si>
    <t xml:space="preserve">ORD-2025-10100</t>
  </si>
  <si>
    <t xml:space="preserve">11-01-2025</t>
  </si>
  <si>
    <t xml:space="preserve">CUST-3865</t>
  </si>
  <si>
    <t xml:space="preserve">Smart Accessories 542</t>
  </si>
  <si>
    <t xml:space="preserve">ORD-2025-10101</t>
  </si>
  <si>
    <t xml:space="preserve">12 Sep 2025</t>
  </si>
  <si>
    <t xml:space="preserve">18 Sep 2025</t>
  </si>
  <si>
    <t xml:space="preserve">CUST-6015</t>
  </si>
  <si>
    <t xml:space="preserve">Eco Storage 936</t>
  </si>
  <si>
    <t xml:space="preserve">ORD-2024-10102</t>
  </si>
  <si>
    <t xml:space="preserve">26-06-2024</t>
  </si>
  <si>
    <t xml:space="preserve">CUST-7909</t>
  </si>
  <si>
    <t xml:space="preserve">  Home Office </t>
  </si>
  <si>
    <t xml:space="preserve">Classic Furnishings 682</t>
  </si>
  <si>
    <t xml:space="preserve">ORD-2025-10103</t>
  </si>
  <si>
    <t xml:space="preserve">12 Jul 2025</t>
  </si>
  <si>
    <t xml:space="preserve">2025-07-16</t>
  </si>
  <si>
    <t xml:space="preserve">CUST-9603</t>
  </si>
  <si>
    <t xml:space="preserve">Classic Chairs 604</t>
  </si>
  <si>
    <t xml:space="preserve">ORD-2025-10104</t>
  </si>
  <si>
    <t xml:space="preserve">05/02/2025</t>
  </si>
  <si>
    <t xml:space="preserve">05/10/2025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</si>
  <si>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</si>
  <si>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</si>
  <si>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</si>
  <si>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</si>
  <si>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02/08/2025</t>
  </si>
  <si>
    <t xml:space="preserve">CUST-1576</t>
  </si>
  <si>
    <t xml:space="preserve">Prime Labels 807</t>
  </si>
  <si>
    <t xml:space="preserve">ORD-2024-10106</t>
  </si>
  <si>
    <t xml:space="preserve">06/24/2024</t>
  </si>
  <si>
    <t xml:space="preserve">29-06-2024</t>
  </si>
  <si>
    <t xml:space="preserve">CUST-6540</t>
  </si>
  <si>
    <t xml:space="preserve">Eco Tables 575</t>
  </si>
  <si>
    <t xml:space="preserve">ORD-2024-10107</t>
  </si>
  <si>
    <t xml:space="preserve">20-02-2024</t>
  </si>
  <si>
    <t xml:space="preserve">28 Feb 2024</t>
  </si>
  <si>
    <t xml:space="preserve">CUST-4008</t>
  </si>
  <si>
    <t xml:space="preserve">Eco Paper 918</t>
  </si>
  <si>
    <t xml:space="preserve">ORD-2024-10108</t>
  </si>
  <si>
    <t xml:space="preserve">29 Oct 2024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</si>
  <si>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</si>
  <si>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</si>
  <si>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</si>
  <si>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</si>
  <si>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15 Aug 2024</t>
  </si>
  <si>
    <t xml:space="preserve">08/23/2024</t>
  </si>
  <si>
    <t xml:space="preserve">CUST-4337</t>
  </si>
  <si>
    <t xml:space="preserve">Prime Bookcases 631</t>
  </si>
  <si>
    <t xml:space="preserve">ORD-2025-10110</t>
  </si>
  <si>
    <t xml:space="preserve">23-08-2025</t>
  </si>
  <si>
    <t xml:space="preserve">CUST-3740</t>
  </si>
  <si>
    <t xml:space="preserve">Classic Binders 660</t>
  </si>
  <si>
    <t xml:space="preserve">ORD-2024-10111</t>
  </si>
  <si>
    <t xml:space="preserve">10/18/2024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</si>
  <si>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</si>
  <si>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</si>
  <si>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</si>
  <si>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</si>
  <si>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06/27/2025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</si>
  <si>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</si>
  <si>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</si>
  <si>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</si>
  <si>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</si>
  <si>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10 Jan 2024</t>
  </si>
  <si>
    <t xml:space="preserve">14-01-2024</t>
  </si>
  <si>
    <t xml:space="preserve">CUST-5213</t>
  </si>
  <si>
    <t xml:space="preserve">  Consumer </t>
  </si>
  <si>
    <t xml:space="preserve">Max Accessories 451</t>
  </si>
  <si>
    <t xml:space="preserve">ORD-2024-10114</t>
  </si>
  <si>
    <t xml:space="preserve">12-02-2024</t>
  </si>
  <si>
    <t xml:space="preserve">Classic Tables 752</t>
  </si>
  <si>
    <t xml:space="preserve">ORD-2024-10115</t>
  </si>
  <si>
    <t xml:space="preserve">2024-09-25</t>
  </si>
  <si>
    <t xml:space="preserve">30 Sep 2024</t>
  </si>
  <si>
    <t xml:space="preserve">CUST-2927</t>
  </si>
  <si>
    <t xml:space="preserve">Eco Accessories 452</t>
  </si>
  <si>
    <t xml:space="preserve">ORD-2024-10116</t>
  </si>
  <si>
    <t xml:space="preserve">2024-12-27</t>
  </si>
  <si>
    <t xml:space="preserve">01-01-2025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</si>
  <si>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</si>
  <si>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</si>
  <si>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</si>
  <si>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</si>
  <si>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19 Feb 2025</t>
  </si>
  <si>
    <t xml:space="preserve">CUST-3632</t>
  </si>
  <si>
    <t xml:space="preserve">Basic Binders 859</t>
  </si>
  <si>
    <t xml:space="preserve">ORD-2024-10118</t>
  </si>
  <si>
    <t xml:space="preserve">2024-02-15</t>
  </si>
  <si>
    <t xml:space="preserve">17 Feb 2024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</si>
  <si>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</si>
  <si>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</si>
  <si>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</si>
  <si>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</si>
  <si>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06/10/2024</t>
  </si>
  <si>
    <t xml:space="preserve">2024-06-18</t>
  </si>
  <si>
    <t xml:space="preserve">CUST-9135</t>
  </si>
  <si>
    <t xml:space="preserve">Vikram  Iyer</t>
  </si>
  <si>
    <t xml:space="preserve">Pro Copiers 208</t>
  </si>
  <si>
    <t xml:space="preserve">ORD-2024-10120</t>
  </si>
  <si>
    <t xml:space="preserve">12 Jun 2024</t>
  </si>
  <si>
    <t xml:space="preserve">19 Jun 2024</t>
  </si>
  <si>
    <t xml:space="preserve">CUST-7861</t>
  </si>
  <si>
    <t xml:space="preserve">Small Business 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</si>
  <si>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</si>
  <si>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</si>
  <si>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</si>
  <si>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</si>
  <si>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</si>
  <si>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</si>
  <si>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08/22/2025</t>
  </si>
  <si>
    <t xml:space="preserve">08/26/2025</t>
  </si>
  <si>
    <t xml:space="preserve">CUST-2044</t>
  </si>
  <si>
    <t xml:space="preserve">Small  Business</t>
  </si>
  <si>
    <t xml:space="preserve">Max Machines 948</t>
  </si>
  <si>
    <t xml:space="preserve">ORD-2024-10123</t>
  </si>
  <si>
    <t xml:space="preserve">11/30/2024</t>
  </si>
  <si>
    <t xml:space="preserve">04-12-2024</t>
  </si>
  <si>
    <t xml:space="preserve">CUST-1721</t>
  </si>
  <si>
    <t xml:space="preserve">Max Chairs 786</t>
  </si>
  <si>
    <t xml:space="preserve">ORD-2024-10124</t>
  </si>
  <si>
    <t xml:space="preserve">05/24/2024</t>
  </si>
  <si>
    <t xml:space="preserve">25 May 2024</t>
  </si>
  <si>
    <t xml:space="preserve">CUST-1007</t>
  </si>
  <si>
    <t xml:space="preserve">NORTH</t>
  </si>
  <si>
    <t xml:space="preserve">Max Copiers 970</t>
  </si>
  <si>
    <t xml:space="preserve">ORD-2024-10125</t>
  </si>
  <si>
    <t xml:space="preserve">07/24/2024</t>
  </si>
  <si>
    <t xml:space="preserve">CUST-4450</t>
  </si>
  <si>
    <t xml:space="preserve">Pro Copiers 769</t>
  </si>
  <si>
    <t xml:space="preserve">Completed </t>
  </si>
  <si>
    <t xml:space="preserve">ORD-2025-10126</t>
  </si>
  <si>
    <t xml:space="preserve">2025-07-17</t>
  </si>
  <si>
    <t xml:space="preserve">18-07-2025</t>
  </si>
  <si>
    <t xml:space="preserve">CUST-7924</t>
  </si>
  <si>
    <t xml:space="preserve">Basic Tables 753</t>
  </si>
  <si>
    <t xml:space="preserve">ORD-2025-10127</t>
  </si>
  <si>
    <t xml:space="preserve">24-09-2025</t>
  </si>
  <si>
    <t xml:space="preserve">26 Sep 2025</t>
  </si>
  <si>
    <t xml:space="preserve">CUST-1715</t>
  </si>
  <si>
    <t xml:space="preserve">Prime Copiers 651</t>
  </si>
  <si>
    <t xml:space="preserve">ORD-2025-10128</t>
  </si>
  <si>
    <t xml:space="preserve">26-01-2025</t>
  </si>
  <si>
    <t xml:space="preserve">CUST-6802</t>
  </si>
  <si>
    <t xml:space="preserve">Basic Storage 321</t>
  </si>
  <si>
    <t xml:space="preserve">ORD-2024-10129</t>
  </si>
  <si>
    <t xml:space="preserve">13 Dec 2024</t>
  </si>
  <si>
    <t xml:space="preserve">16 Dec 2024</t>
  </si>
  <si>
    <t xml:space="preserve">CUST-9328</t>
  </si>
  <si>
    <t xml:space="preserve">Prime Furnishings 710</t>
  </si>
  <si>
    <t xml:space="preserve">ORD-2024-10130</t>
  </si>
  <si>
    <t xml:space="preserve">25-07-2024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</si>
  <si>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</si>
  <si>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</si>
  <si>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</si>
  <si>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</si>
  <si>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02 Feb 2024</t>
  </si>
  <si>
    <t xml:space="preserve">CUST-5435</t>
  </si>
  <si>
    <t xml:space="preserve">Smart Labels 878</t>
  </si>
  <si>
    <t xml:space="preserve">ORD-2025-10132</t>
  </si>
  <si>
    <t xml:space="preserve">09/29/2025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</si>
  <si>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</si>
  <si>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</si>
  <si>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</si>
  <si>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</si>
  <si>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04 Nov 2024</t>
  </si>
  <si>
    <t xml:space="preserve">CUST-3602</t>
  </si>
  <si>
    <t xml:space="preserve">Classic Machines 886</t>
  </si>
  <si>
    <t xml:space="preserve">ORD-2024-10134</t>
  </si>
  <si>
    <t xml:space="preserve">2024-12-13</t>
  </si>
  <si>
    <t xml:space="preserve">12/18/2024</t>
  </si>
  <si>
    <t xml:space="preserve">CUST-9441</t>
  </si>
  <si>
    <t xml:space="preserve">Prime Phones 419</t>
  </si>
  <si>
    <t xml:space="preserve">ORD-2025-10135</t>
  </si>
  <si>
    <t xml:space="preserve">07/14/2025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</si>
  <si>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</si>
  <si>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</si>
  <si>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</si>
  <si>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</si>
  <si>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2025-08-24</t>
  </si>
  <si>
    <t xml:space="preserve">CUST-1148</t>
  </si>
  <si>
    <t xml:space="preserve">Furniture </t>
  </si>
  <si>
    <t xml:space="preserve">Prime Bookcases 954</t>
  </si>
  <si>
    <t xml:space="preserve">ORD-2025-10137</t>
  </si>
  <si>
    <t xml:space="preserve">09-02-2025</t>
  </si>
  <si>
    <t xml:space="preserve">15-02-2025</t>
  </si>
  <si>
    <t xml:space="preserve">CUST-3350</t>
  </si>
  <si>
    <t xml:space="preserve">Max Binders 362</t>
  </si>
  <si>
    <t xml:space="preserve">Standard  Class</t>
  </si>
  <si>
    <t xml:space="preserve">ORD-2025-10138</t>
  </si>
  <si>
    <t xml:space="preserve">01/09/2025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</si>
  <si>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</si>
  <si>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</si>
  <si>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</si>
  <si>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</si>
  <si>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</si>
  <si>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26-01-2024</t>
  </si>
  <si>
    <t xml:space="preserve">CUST-7173</t>
  </si>
  <si>
    <t xml:space="preserve">Basic Machines 185</t>
  </si>
  <si>
    <t xml:space="preserve">ORD-2025-10140</t>
  </si>
  <si>
    <t xml:space="preserve">03/02/2025</t>
  </si>
  <si>
    <t xml:space="preserve">07-03-2025</t>
  </si>
  <si>
    <t xml:space="preserve">CUST-4225</t>
  </si>
  <si>
    <t xml:space="preserve">Basic Labels 509</t>
  </si>
  <si>
    <t xml:space="preserve">ORD-2024-10141</t>
  </si>
  <si>
    <t xml:space="preserve">31-05-2024</t>
  </si>
  <si>
    <t xml:space="preserve">01 Jun 2024</t>
  </si>
  <si>
    <t xml:space="preserve">CUST-2149</t>
  </si>
  <si>
    <t xml:space="preserve">Elite Bookcases 696</t>
  </si>
  <si>
    <t xml:space="preserve">ORD-2024-10142</t>
  </si>
  <si>
    <t xml:space="preserve">03/23/2024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</si>
  <si>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</si>
  <si>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</si>
  <si>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</si>
  <si>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</si>
  <si>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30 Mar 2024</t>
  </si>
  <si>
    <t xml:space="preserve">26 Mar 2024</t>
  </si>
  <si>
    <t xml:space="preserve">CUST-8944</t>
  </si>
  <si>
    <t xml:space="preserve">Classic Phones 142</t>
  </si>
  <si>
    <t xml:space="preserve">ORD-2024-10144</t>
  </si>
  <si>
    <t xml:space="preserve">2024-03-26</t>
  </si>
  <si>
    <t xml:space="preserve">CUST-3144</t>
  </si>
  <si>
    <t xml:space="preserve">Pro Paper 575</t>
  </si>
  <si>
    <t xml:space="preserve">ORD-2024-10145</t>
  </si>
  <si>
    <t xml:space="preserve">2024-06-15</t>
  </si>
  <si>
    <t xml:space="preserve">CUST-6747</t>
  </si>
  <si>
    <t xml:space="preserve">Elite Accessories 905</t>
  </si>
  <si>
    <t xml:space="preserve">ORD-2025-10146</t>
  </si>
  <si>
    <t xml:space="preserve">11-04-2025</t>
  </si>
  <si>
    <t xml:space="preserve">04/13/2025</t>
  </si>
  <si>
    <t xml:space="preserve">CUST-6161</t>
  </si>
  <si>
    <t xml:space="preserve">Smart Paper 899</t>
  </si>
  <si>
    <t xml:space="preserve">ORD-2025-10147</t>
  </si>
  <si>
    <t xml:space="preserve">30 Jul 2025</t>
  </si>
  <si>
    <t xml:space="preserve">08/01/2025</t>
  </si>
  <si>
    <t xml:space="preserve">CUST-1460</t>
  </si>
  <si>
    <t xml:space="preserve">Classic Storage 423</t>
  </si>
  <si>
    <t xml:space="preserve">ORD-2024-10148</t>
  </si>
  <si>
    <t xml:space="preserve">23-12-2024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</si>
  <si>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</si>
  <si>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</si>
  <si>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</si>
  <si>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</si>
  <si>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09 Feb 2025</t>
  </si>
  <si>
    <t xml:space="preserve">13-02-2025</t>
  </si>
  <si>
    <t xml:space="preserve">CUST-2822</t>
  </si>
  <si>
    <t xml:space="preserve">Smart Phones 336</t>
  </si>
  <si>
    <t xml:space="preserve">ORD-2024-10150</t>
  </si>
  <si>
    <t xml:space="preserve">30-01-2024</t>
  </si>
  <si>
    <t xml:space="preserve">CUST-5876</t>
  </si>
  <si>
    <t xml:space="preserve">west</t>
  </si>
  <si>
    <t xml:space="preserve">Eco Copiers 381</t>
  </si>
  <si>
    <t xml:space="preserve">ORD-2024-10151</t>
  </si>
  <si>
    <t xml:space="preserve">04-03-2024</t>
  </si>
  <si>
    <t xml:space="preserve">2024-03-12</t>
  </si>
  <si>
    <t xml:space="preserve">CUST-4661</t>
  </si>
  <si>
    <t xml:space="preserve">Max Bookcases 595</t>
  </si>
  <si>
    <t xml:space="preserve">ORD-2024-10152</t>
  </si>
  <si>
    <t xml:space="preserve">27 Jun 2024</t>
  </si>
  <si>
    <t xml:space="preserve">06/27/2024</t>
  </si>
  <si>
    <t xml:space="preserve">CUST-6011</t>
  </si>
  <si>
    <t xml:space="preserve">Max Copiers 992</t>
  </si>
  <si>
    <t xml:space="preserve">ORD-2024-10153</t>
  </si>
  <si>
    <t xml:space="preserve">14 Jun 2024</t>
  </si>
  <si>
    <t xml:space="preserve">06/17/2024</t>
  </si>
  <si>
    <t xml:space="preserve">CUST-6160</t>
  </si>
  <si>
    <t xml:space="preserve">Pro Tables 407</t>
  </si>
  <si>
    <t xml:space="preserve">ORD-2025-10154</t>
  </si>
  <si>
    <t xml:space="preserve">23 Sep 2025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</si>
  <si>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</si>
  <si>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</si>
  <si>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</si>
  <si>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</si>
  <si>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12 Feb 2024</t>
  </si>
  <si>
    <t xml:space="preserve">02/11/2024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</si>
  <si>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</si>
  <si>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</si>
  <si>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</si>
  <si>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</si>
  <si>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</si>
  <si>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27-03-2025</t>
  </si>
  <si>
    <t xml:space="preserve">27 Mar 2025</t>
  </si>
  <si>
    <t xml:space="preserve">CUST-4058</t>
  </si>
  <si>
    <t xml:space="preserve">Eco Machines 657</t>
  </si>
  <si>
    <t xml:space="preserve">ORD-2024-10158</t>
  </si>
  <si>
    <t xml:space="preserve">10/22/2024</t>
  </si>
  <si>
    <t xml:space="preserve">24-10-2024</t>
  </si>
  <si>
    <t xml:space="preserve">CUST-1142</t>
  </si>
  <si>
    <t xml:space="preserve">Pro Bookcases 430</t>
  </si>
  <si>
    <t xml:space="preserve">ORD-2024-10159</t>
  </si>
  <si>
    <t xml:space="preserve">2024-09-09</t>
  </si>
  <si>
    <t xml:space="preserve">09/11/2024</t>
  </si>
  <si>
    <t xml:space="preserve">CUST-2324</t>
  </si>
  <si>
    <t xml:space="preserve">Max Bookcases 881</t>
  </si>
  <si>
    <t xml:space="preserve">ORD-2025-10160</t>
  </si>
  <si>
    <t xml:space="preserve">2025-01-30</t>
  </si>
  <si>
    <t xml:space="preserve">04-02-2025</t>
  </si>
  <si>
    <t xml:space="preserve">CUST-7717</t>
  </si>
  <si>
    <t xml:space="preserve">Elite Chairs 998</t>
  </si>
  <si>
    <t xml:space="preserve">ORD-2025-10161</t>
  </si>
  <si>
    <t xml:space="preserve">08-10-2025</t>
  </si>
  <si>
    <t xml:space="preserve">10/06/2025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</si>
  <si>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</si>
  <si>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</si>
  <si>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</si>
  <si>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</si>
  <si>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30-07-2025</t>
  </si>
  <si>
    <t xml:space="preserve">CUST-2367</t>
  </si>
  <si>
    <t xml:space="preserve">consumer</t>
  </si>
  <si>
    <t xml:space="preserve">Smart Binders 267</t>
  </si>
  <si>
    <t xml:space="preserve">ORD-2024-10163</t>
  </si>
  <si>
    <t xml:space="preserve">2024-03-09</t>
  </si>
  <si>
    <t xml:space="preserve">14 Mar 2024</t>
  </si>
  <si>
    <t xml:space="preserve">CUST-4830</t>
  </si>
  <si>
    <t xml:space="preserve">Pro Furnishings 108</t>
  </si>
  <si>
    <t xml:space="preserve">ORD-2025-10164</t>
  </si>
  <si>
    <t xml:space="preserve">09/21/2025</t>
  </si>
  <si>
    <t xml:space="preserve">CUST-2548</t>
  </si>
  <si>
    <t xml:space="preserve">Elite Tables 389</t>
  </si>
  <si>
    <t xml:space="preserve">ORD-2025-10165</t>
  </si>
  <si>
    <t xml:space="preserve">09 Sep 2025</t>
  </si>
  <si>
    <t xml:space="preserve">09/14/2025</t>
  </si>
  <si>
    <t xml:space="preserve">CUST-3833</t>
  </si>
  <si>
    <t xml:space="preserve">Pro Bookcases 595</t>
  </si>
  <si>
    <t xml:space="preserve">ORD-2024-10166</t>
  </si>
  <si>
    <t xml:space="preserve">11/22/2024</t>
  </si>
  <si>
    <t xml:space="preserve">29-11-2024</t>
  </si>
  <si>
    <t xml:space="preserve">CUST-4598</t>
  </si>
  <si>
    <t xml:space="preserve">Max Chairs 148</t>
  </si>
  <si>
    <t xml:space="preserve">ORD-2025-10167</t>
  </si>
  <si>
    <t xml:space="preserve">20-02-2025</t>
  </si>
  <si>
    <t xml:space="preserve">CUST-7215</t>
  </si>
  <si>
    <t xml:space="preserve">OFFICE SUPPLIES</t>
  </si>
  <si>
    <t xml:space="preserve">Basic Labels 671</t>
  </si>
  <si>
    <t xml:space="preserve">ORD-2025-10168</t>
  </si>
  <si>
    <t xml:space="preserve">2025-08-18</t>
  </si>
  <si>
    <t xml:space="preserve">08/18/2025</t>
  </si>
  <si>
    <t xml:space="preserve">CUST-7770</t>
  </si>
  <si>
    <t xml:space="preserve">Elite Storage 628</t>
  </si>
  <si>
    <t xml:space="preserve">ORD-2025-10169</t>
  </si>
  <si>
    <t xml:space="preserve">01/20/2025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</si>
  <si>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</si>
  <si>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</si>
  <si>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</si>
  <si>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</si>
  <si>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09/13/2025</t>
  </si>
  <si>
    <t xml:space="preserve">CUST-2261</t>
  </si>
  <si>
    <t xml:space="preserve">Pro Art 734</t>
  </si>
  <si>
    <t xml:space="preserve">ORD-2025-10171</t>
  </si>
  <si>
    <t xml:space="preserve">09/15/2025</t>
  </si>
  <si>
    <t xml:space="preserve">CUST-3734</t>
  </si>
  <si>
    <t xml:space="preserve">Eco Copiers 102</t>
  </si>
  <si>
    <t xml:space="preserve">ORD-2025-10172</t>
  </si>
  <si>
    <t xml:space="preserve">02/25/2025</t>
  </si>
  <si>
    <t xml:space="preserve">CUST-3436</t>
  </si>
  <si>
    <t xml:space="preserve">Basic Labels 876</t>
  </si>
  <si>
    <t xml:space="preserve">ORD-2025-10173</t>
  </si>
  <si>
    <t xml:space="preserve">02-08-2025</t>
  </si>
  <si>
    <t xml:space="preserve">10-08-2025</t>
  </si>
  <si>
    <t xml:space="preserve">CUST-4845</t>
  </si>
  <si>
    <t xml:space="preserve">Prime Furnishings 381</t>
  </si>
  <si>
    <t xml:space="preserve">ORD-2024-10174</t>
  </si>
  <si>
    <t xml:space="preserve">02-05-2024</t>
  </si>
  <si>
    <t xml:space="preserve">08 May 2024</t>
  </si>
  <si>
    <t xml:space="preserve">CUST-6153</t>
  </si>
  <si>
    <t xml:space="preserve">PRIYA MENON</t>
  </si>
  <si>
    <t xml:space="preserve">Prime Copiers 440</t>
  </si>
  <si>
    <t xml:space="preserve">ORD-2025-10175</t>
  </si>
  <si>
    <t xml:space="preserve">28 Sep 2025</t>
  </si>
  <si>
    <t xml:space="preserve">04-10-2025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</si>
  <si>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</si>
  <si>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</si>
  <si>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</si>
  <si>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</si>
  <si>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</si>
  <si>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</si>
  <si>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</si>
  <si>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18-03-2025</t>
  </si>
  <si>
    <t xml:space="preserve">03/26/2025</t>
  </si>
  <si>
    <t xml:space="preserve">CUST-3027</t>
  </si>
  <si>
    <t xml:space="preserve">Pro Bookcases 612</t>
  </si>
  <si>
    <t xml:space="preserve">ORD-2024-10178</t>
  </si>
  <si>
    <t xml:space="preserve">01-06-2024</t>
  </si>
  <si>
    <t xml:space="preserve">06/03/2024</t>
  </si>
  <si>
    <t xml:space="preserve">CUST-4399</t>
  </si>
  <si>
    <t xml:space="preserve">Classic Art 573</t>
  </si>
  <si>
    <t xml:space="preserve">ORD-2024-10179</t>
  </si>
  <si>
    <t xml:space="preserve">30-09-2024</t>
  </si>
  <si>
    <t xml:space="preserve">2024-09-30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</si>
  <si>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</si>
  <si>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</si>
  <si>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</si>
  <si>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</si>
  <si>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03/19/2024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</si>
  <si>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</si>
  <si>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</si>
  <si>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</si>
  <si>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</si>
  <si>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26-08-2024</t>
  </si>
  <si>
    <t xml:space="preserve">CUST-3787</t>
  </si>
  <si>
    <t xml:space="preserve">Prime Binders 735</t>
  </si>
  <si>
    <t xml:space="preserve">ORD-2025-10182</t>
  </si>
  <si>
    <t xml:space="preserve">09/09/2025</t>
  </si>
  <si>
    <t xml:space="preserve">10-09-2025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</si>
  <si>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</si>
  <si>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</si>
  <si>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</si>
  <si>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</si>
  <si>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</si>
  <si>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</si>
  <si>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</si>
  <si>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27-06-2025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</si>
  <si>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</si>
  <si>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</si>
  <si>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</si>
  <si>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</si>
  <si>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</si>
  <si>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</si>
  <si>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</si>
  <si>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2024-11-13</t>
  </si>
  <si>
    <t xml:space="preserve">CUST-4968</t>
  </si>
  <si>
    <t xml:space="preserve">Smart Labels 475</t>
  </si>
  <si>
    <t xml:space="preserve">ORD-2024-10187</t>
  </si>
  <si>
    <t xml:space="preserve">20 Jul 2024</t>
  </si>
  <si>
    <t xml:space="preserve">Basic Tables 417</t>
  </si>
  <si>
    <t xml:space="preserve">ORD-2025-10188</t>
  </si>
  <si>
    <t xml:space="preserve">2025-05-01</t>
  </si>
  <si>
    <t xml:space="preserve">02 May 2025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</si>
  <si>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</si>
  <si>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</si>
  <si>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</si>
  <si>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</si>
  <si>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28 May 2025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</si>
  <si>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</si>
  <si>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</si>
  <si>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</si>
  <si>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</si>
  <si>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07 May 2025</t>
  </si>
  <si>
    <t xml:space="preserve">CUST-3375</t>
  </si>
  <si>
    <t xml:space="preserve">Basic Bookcases 754</t>
  </si>
  <si>
    <t xml:space="preserve">completed</t>
  </si>
  <si>
    <t xml:space="preserve">ORD-2025-10191</t>
  </si>
  <si>
    <t xml:space="preserve">20-04-2025</t>
  </si>
  <si>
    <t xml:space="preserve">04/21/2025</t>
  </si>
  <si>
    <t xml:space="preserve">CUST-5138</t>
  </si>
  <si>
    <t xml:space="preserve">Eco Storage 158</t>
  </si>
  <si>
    <t xml:space="preserve">  Completed </t>
  </si>
  <si>
    <t xml:space="preserve">ORD-2024-10192</t>
  </si>
  <si>
    <t xml:space="preserve">19-10-2024</t>
  </si>
  <si>
    <t xml:space="preserve">CUST-7410</t>
  </si>
  <si>
    <t xml:space="preserve">Prime Bookcases 602</t>
  </si>
  <si>
    <t xml:space="preserve">ORD-2024-10193</t>
  </si>
  <si>
    <t xml:space="preserve">2024-12-09</t>
  </si>
  <si>
    <t xml:space="preserve">12/16/2024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</si>
  <si>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</si>
  <si>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</si>
  <si>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</si>
  <si>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</si>
  <si>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28-06-2024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</si>
  <si>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</si>
  <si>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</si>
  <si>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</si>
  <si>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</si>
  <si>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01/31/2025</t>
  </si>
  <si>
    <t xml:space="preserve">CUST-3637</t>
  </si>
  <si>
    <t xml:space="preserve">WEST</t>
  </si>
  <si>
    <t xml:space="preserve">Prime Furnishings 433</t>
  </si>
  <si>
    <t xml:space="preserve">ORD-2025-10196</t>
  </si>
  <si>
    <t xml:space="preserve">22 Jul 2025</t>
  </si>
  <si>
    <t xml:space="preserve">07/24/2025</t>
  </si>
  <si>
    <t xml:space="preserve">CUST-4328</t>
  </si>
  <si>
    <t xml:space="preserve">Smart Furnishings 685</t>
  </si>
  <si>
    <t xml:space="preserve">ORD-2024-10197</t>
  </si>
  <si>
    <t xml:space="preserve">22-01-2024</t>
  </si>
  <si>
    <t xml:space="preserve">25 Jan 2024</t>
  </si>
  <si>
    <t xml:space="preserve">CUST-8028</t>
  </si>
  <si>
    <t xml:space="preserve">Elite Storage 915</t>
  </si>
  <si>
    <t xml:space="preserve">ORD-2025-10198</t>
  </si>
  <si>
    <t xml:space="preserve">07-04-2025</t>
  </si>
  <si>
    <t xml:space="preserve">Basic Storage 961</t>
  </si>
  <si>
    <t xml:space="preserve">ORD-2024-10199</t>
  </si>
  <si>
    <t xml:space="preserve">05-06-2024</t>
  </si>
  <si>
    <t xml:space="preserve">06/06/2024</t>
  </si>
  <si>
    <t xml:space="preserve">CUST-7820</t>
  </si>
  <si>
    <t xml:space="preserve">Classic Art 968</t>
  </si>
  <si>
    <t xml:space="preserve">ORD-2024-10200</t>
  </si>
  <si>
    <t xml:space="preserve">12-03-2024</t>
  </si>
  <si>
    <t xml:space="preserve">CUST-4536</t>
  </si>
  <si>
    <t xml:space="preserve">Prime Machines 806</t>
  </si>
  <si>
    <t xml:space="preserve">ORD-2025-10201</t>
  </si>
  <si>
    <t xml:space="preserve">05 Jul 2025</t>
  </si>
  <si>
    <t xml:space="preserve">CUST-7047</t>
  </si>
  <si>
    <t xml:space="preserve">Classic Copiers 479</t>
  </si>
  <si>
    <t xml:space="preserve">ORD-2025-10202</t>
  </si>
  <si>
    <t xml:space="preserve">26-07-2025</t>
  </si>
  <si>
    <t xml:space="preserve">08/03/2025</t>
  </si>
  <si>
    <t xml:space="preserve">CUST-8005</t>
  </si>
  <si>
    <t xml:space="preserve">Basic Labels 511</t>
  </si>
  <si>
    <t xml:space="preserve">ORD-2025-10203</t>
  </si>
  <si>
    <t xml:space="preserve">2025-03-28</t>
  </si>
  <si>
    <t xml:space="preserve">28 Mar 2025</t>
  </si>
  <si>
    <t xml:space="preserve">CUST-9378</t>
  </si>
  <si>
    <t xml:space="preserve">Prime Accessories 733</t>
  </si>
  <si>
    <t xml:space="preserve">ORD-2024-10204</t>
  </si>
  <si>
    <t xml:space="preserve">28 Mar 2024</t>
  </si>
  <si>
    <t xml:space="preserve">2024-03-30</t>
  </si>
  <si>
    <t xml:space="preserve">CUST-3384</t>
  </si>
  <si>
    <t xml:space="preserve">Max Accessories 186</t>
  </si>
  <si>
    <t xml:space="preserve">ORD-2025-10205</t>
  </si>
  <si>
    <t xml:space="preserve">20-07-2025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</si>
  <si>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</si>
  <si>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</si>
  <si>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</si>
  <si>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</si>
  <si>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21-04-2025</t>
  </si>
  <si>
    <t xml:space="preserve">04/26/2025</t>
  </si>
  <si>
    <t xml:space="preserve">CUST-3338</t>
  </si>
  <si>
    <t xml:space="preserve">Smart Labels 354</t>
  </si>
  <si>
    <t xml:space="preserve">ORD-2025-10207</t>
  </si>
  <si>
    <t xml:space="preserve">05/18/2025</t>
  </si>
  <si>
    <t xml:space="preserve">CUST-2343</t>
  </si>
  <si>
    <t xml:space="preserve">Pro Furnishings 981</t>
  </si>
  <si>
    <t xml:space="preserve">ORD-2024-10208</t>
  </si>
  <si>
    <t xml:space="preserve">10 Jul 2024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</si>
  <si>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</si>
  <si>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</si>
  <si>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</si>
  <si>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</si>
  <si>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06/29/2025</t>
  </si>
  <si>
    <t xml:space="preserve">05-07-2025</t>
  </si>
  <si>
    <t xml:space="preserve">CUST-3662</t>
  </si>
  <si>
    <t xml:space="preserve">Max Chairs 151</t>
  </si>
  <si>
    <t xml:space="preserve">ORD-2025-10210</t>
  </si>
  <si>
    <t xml:space="preserve">08/13/2025</t>
  </si>
  <si>
    <t xml:space="preserve">08/14/2025</t>
  </si>
  <si>
    <t xml:space="preserve">CUST-4947</t>
  </si>
  <si>
    <t xml:space="preserve">Prime Paper 903</t>
  </si>
  <si>
    <t xml:space="preserve">ORD-2024-10211</t>
  </si>
  <si>
    <t xml:space="preserve">03/15/2024</t>
  </si>
  <si>
    <t xml:space="preserve">18-03-2024</t>
  </si>
  <si>
    <t xml:space="preserve">CUST-3076</t>
  </si>
  <si>
    <t xml:space="preserve">Classic Machines 944</t>
  </si>
  <si>
    <t xml:space="preserve">ORD-2024-10212</t>
  </si>
  <si>
    <t xml:space="preserve">05/16/2024</t>
  </si>
  <si>
    <t xml:space="preserve">05/17/2024</t>
  </si>
  <si>
    <t xml:space="preserve">CUST-2222</t>
  </si>
  <si>
    <t xml:space="preserve">EAST</t>
  </si>
  <si>
    <t xml:space="preserve">Basic Copiers 222</t>
  </si>
  <si>
    <t xml:space="preserve">ORD-2024-10213</t>
  </si>
  <si>
    <t xml:space="preserve">09/21/2024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</si>
  <si>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</si>
  <si>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</si>
  <si>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</si>
  <si>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</si>
  <si>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15 May 2024</t>
  </si>
  <si>
    <t xml:space="preserve">21-05-2024</t>
  </si>
  <si>
    <t xml:space="preserve">CUST-9136</t>
  </si>
  <si>
    <t xml:space="preserve">Classic Accessories 840</t>
  </si>
  <si>
    <t xml:space="preserve">  Second Class </t>
  </si>
  <si>
    <t xml:space="preserve">ORD-2024-10215</t>
  </si>
  <si>
    <t xml:space="preserve">17 Mar 2024</t>
  </si>
  <si>
    <t xml:space="preserve">23-03-2024</t>
  </si>
  <si>
    <t xml:space="preserve">CUST-1301</t>
  </si>
  <si>
    <t xml:space="preserve">Classic Accessories 757</t>
  </si>
  <si>
    <t xml:space="preserve">  First Class </t>
  </si>
  <si>
    <t xml:space="preserve">ORD-2024-10216</t>
  </si>
  <si>
    <t xml:space="preserve">01-03-2024</t>
  </si>
  <si>
    <t xml:space="preserve">CUST-8603</t>
  </si>
  <si>
    <t xml:space="preserve">Prime Paper 286</t>
  </si>
  <si>
    <t xml:space="preserve">ORD-2025-10217</t>
  </si>
  <si>
    <t xml:space="preserve">15 Apr 2025</t>
  </si>
  <si>
    <t xml:space="preserve">CUST-4330</t>
  </si>
  <si>
    <t xml:space="preserve">Basic Tables 400</t>
  </si>
  <si>
    <t xml:space="preserve">ORD-2025-10218</t>
  </si>
  <si>
    <t xml:space="preserve">01-04-2025</t>
  </si>
  <si>
    <t xml:space="preserve">04/08/2025</t>
  </si>
  <si>
    <t xml:space="preserve">CUST-4533</t>
  </si>
  <si>
    <t xml:space="preserve">Basic Bookcases 405</t>
  </si>
  <si>
    <t xml:space="preserve">ORD-2025-10219</t>
  </si>
  <si>
    <t xml:space="preserve">26 Feb 2025</t>
  </si>
  <si>
    <t xml:space="preserve">27-02-2025</t>
  </si>
  <si>
    <t xml:space="preserve">CUST-8270</t>
  </si>
  <si>
    <t xml:space="preserve">Classic Bookcases 139</t>
  </si>
  <si>
    <t xml:space="preserve">ORD-2024-10220</t>
  </si>
  <si>
    <t xml:space="preserve">06/19/2024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</si>
  <si>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</si>
  <si>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</si>
  <si>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</si>
  <si>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</si>
  <si>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09/03/2024</t>
  </si>
  <si>
    <t xml:space="preserve">CUST-1031</t>
  </si>
  <si>
    <t xml:space="preserve">Elite Storage 925</t>
  </si>
  <si>
    <t xml:space="preserve">ORD-2025-10222</t>
  </si>
  <si>
    <t xml:space="preserve">12-01-2025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</si>
  <si>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</si>
  <si>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</si>
  <si>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</si>
  <si>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</si>
  <si>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04/29/2025</t>
  </si>
  <si>
    <t xml:space="preserve">CUST-4583</t>
  </si>
  <si>
    <t xml:space="preserve">Prime Storage 818</t>
  </si>
  <si>
    <t xml:space="preserve">ORD-2025-10224</t>
  </si>
  <si>
    <t xml:space="preserve">19-02-2025</t>
  </si>
  <si>
    <t xml:space="preserve">02/26/2025</t>
  </si>
  <si>
    <t xml:space="preserve">CUST-5319</t>
  </si>
  <si>
    <t xml:space="preserve">Elite Furnishings 449</t>
  </si>
  <si>
    <t xml:space="preserve">ORD-2025-10225</t>
  </si>
  <si>
    <t xml:space="preserve">10/02/2025</t>
  </si>
  <si>
    <t xml:space="preserve">08 Oct 2025</t>
  </si>
  <si>
    <t xml:space="preserve">CUST-9871</t>
  </si>
  <si>
    <t xml:space="preserve">Classic Furnishings 109</t>
  </si>
  <si>
    <t xml:space="preserve">ORD-2024-10226</t>
  </si>
  <si>
    <t xml:space="preserve">02 Sep 2024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</si>
  <si>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</si>
  <si>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</si>
  <si>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</si>
  <si>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</si>
  <si>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10-04-2025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</si>
  <si>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</si>
  <si>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</si>
  <si>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</si>
  <si>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</si>
  <si>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12 Jul 2024</t>
  </si>
  <si>
    <t xml:space="preserve">CUST-2819</t>
  </si>
  <si>
    <t xml:space="preserve">SMALL BUSINESS</t>
  </si>
  <si>
    <t xml:space="preserve">Prime Binders 507</t>
  </si>
  <si>
    <t xml:space="preserve">ORD-2024-10229</t>
  </si>
  <si>
    <t xml:space="preserve">24-04-2024</t>
  </si>
  <si>
    <t xml:space="preserve">28 Apr 2024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</si>
  <si>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</si>
  <si>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</si>
  <si>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</si>
  <si>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</si>
  <si>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07/04/2025</t>
  </si>
  <si>
    <t xml:space="preserve">CUST-1943</t>
  </si>
  <si>
    <t xml:space="preserve">Smart Bookcases 662</t>
  </si>
  <si>
    <t xml:space="preserve">ORD-2024-10231</t>
  </si>
  <si>
    <t xml:space="preserve">03-06-2024</t>
  </si>
  <si>
    <t xml:space="preserve">CUST-3434</t>
  </si>
  <si>
    <t xml:space="preserve">Eco Paper 937</t>
  </si>
  <si>
    <t xml:space="preserve">ORD-2024-10232</t>
  </si>
  <si>
    <t xml:space="preserve">2024-05-02</t>
  </si>
  <si>
    <t xml:space="preserve">05/02/2024</t>
  </si>
  <si>
    <t xml:space="preserve">CUST-9139</t>
  </si>
  <si>
    <t xml:space="preserve">Office  Supplies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</si>
  <si>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</si>
  <si>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</si>
  <si>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</si>
  <si>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</si>
  <si>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</si>
  <si>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</si>
  <si>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</si>
  <si>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14-10-2024</t>
  </si>
  <si>
    <t xml:space="preserve">10/14/2024</t>
  </si>
  <si>
    <t xml:space="preserve">CUST-3710</t>
  </si>
  <si>
    <t xml:space="preserve">Smart Bookcases 328</t>
  </si>
  <si>
    <t xml:space="preserve">ORD-2024-10235</t>
  </si>
  <si>
    <t xml:space="preserve">09/02/2024</t>
  </si>
  <si>
    <t xml:space="preserve">03 Sep 2024</t>
  </si>
  <si>
    <t xml:space="preserve">CUST-9754</t>
  </si>
  <si>
    <t xml:space="preserve">Eco Furnishings 981</t>
  </si>
  <si>
    <t xml:space="preserve">ORD-2024-10236</t>
  </si>
  <si>
    <t xml:space="preserve">11/02/2024</t>
  </si>
  <si>
    <t xml:space="preserve">11/03/2024</t>
  </si>
  <si>
    <t xml:space="preserve">CUST-6256</t>
  </si>
  <si>
    <t xml:space="preserve">Basic Storage 195</t>
  </si>
  <si>
    <t xml:space="preserve">ORD-2024-10237</t>
  </si>
  <si>
    <t xml:space="preserve">21 Oct 2024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</si>
  <si>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</si>
  <si>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</si>
  <si>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</si>
  <si>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</si>
  <si>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</si>
  <si>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</si>
  <si>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</si>
  <si>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01/12/2024</t>
  </si>
  <si>
    <t xml:space="preserve">01/17/2024</t>
  </si>
  <si>
    <t xml:space="preserve">CUST-2375</t>
  </si>
  <si>
    <t xml:space="preserve">Prime Storage 625</t>
  </si>
  <si>
    <t xml:space="preserve">ORD-2024-10240</t>
  </si>
  <si>
    <t xml:space="preserve">21-09-2024</t>
  </si>
  <si>
    <t xml:space="preserve">CUST-2233</t>
  </si>
  <si>
    <t xml:space="preserve">Smart Machines 801</t>
  </si>
  <si>
    <t xml:space="preserve">ORD-2024-10241</t>
  </si>
  <si>
    <t xml:space="preserve">17 Dec 2024</t>
  </si>
  <si>
    <t xml:space="preserve">CUST-9778</t>
  </si>
  <si>
    <t xml:space="preserve">Max Binders 170</t>
  </si>
  <si>
    <t xml:space="preserve">ORD-2025-10242</t>
  </si>
  <si>
    <t xml:space="preserve">07/06/2025</t>
  </si>
  <si>
    <t xml:space="preserve">06-07-2025</t>
  </si>
  <si>
    <t xml:space="preserve">CUST-6949</t>
  </si>
  <si>
    <t xml:space="preserve">Basic Storage 737</t>
  </si>
  <si>
    <t xml:space="preserve">ORD-2025-10243</t>
  </si>
  <si>
    <t xml:space="preserve">07 Feb 2025</t>
  </si>
  <si>
    <t xml:space="preserve">2025-02-07</t>
  </si>
  <si>
    <t xml:space="preserve">CUST-3430</t>
  </si>
  <si>
    <t xml:space="preserve">Classic Art 126</t>
  </si>
  <si>
    <t xml:space="preserve">ORD-2025-10244</t>
  </si>
  <si>
    <t xml:space="preserve">02 Aug 2025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</si>
  <si>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</si>
  <si>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</si>
  <si>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</si>
  <si>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</si>
  <si>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</si>
  <si>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</si>
  <si>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</si>
  <si>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</si>
  <si>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FURNITURE</t>
  </si>
  <si>
    <t xml:space="preserve">Pro Chairs 316</t>
  </si>
  <si>
    <t xml:space="preserve">ORD-2024-10247</t>
  </si>
  <si>
    <t xml:space="preserve">04 May 2024</t>
  </si>
  <si>
    <t xml:space="preserve">09 May 2024</t>
  </si>
  <si>
    <t xml:space="preserve">CUST-1827</t>
  </si>
  <si>
    <t xml:space="preserve">Classic Machines 819</t>
  </si>
  <si>
    <t xml:space="preserve">ORD-2024-10248</t>
  </si>
  <si>
    <t xml:space="preserve">07/25/2024</t>
  </si>
  <si>
    <t xml:space="preserve">01 Aug 2024</t>
  </si>
  <si>
    <t xml:space="preserve">CUST-6663</t>
  </si>
  <si>
    <t xml:space="preserve">Smart Accessories 572</t>
  </si>
  <si>
    <t xml:space="preserve">ORD-2024-10249</t>
  </si>
  <si>
    <t xml:space="preserve">06/02/2024</t>
  </si>
  <si>
    <t xml:space="preserve">CUST-6278</t>
  </si>
  <si>
    <t xml:space="preserve">Basic Labels 432</t>
  </si>
  <si>
    <t xml:space="preserve">ORD-2025-10250</t>
  </si>
  <si>
    <t xml:space="preserve">08/02/2025</t>
  </si>
  <si>
    <t xml:space="preserve">CUST-2305</t>
  </si>
  <si>
    <t xml:space="preserve">Classic Furnishings 378</t>
  </si>
  <si>
    <t xml:space="preserve">ORD-2024-10251</t>
  </si>
  <si>
    <t xml:space="preserve">02/21/2024</t>
  </si>
  <si>
    <t xml:space="preserve">02/27/2024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</si>
  <si>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</si>
  <si>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</si>
  <si>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</si>
  <si>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</si>
  <si>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</si>
  <si>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</si>
  <si>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</si>
  <si>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25-06-2025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</si>
  <si>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</si>
  <si>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</si>
  <si>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</si>
  <si>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</si>
  <si>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09/13/2024</t>
  </si>
  <si>
    <t xml:space="preserve">CUST-5394</t>
  </si>
  <si>
    <t xml:space="preserve">Classic Phones 442</t>
  </si>
  <si>
    <t xml:space="preserve">ORD-2025-10255</t>
  </si>
  <si>
    <t xml:space="preserve">01/01/2025</t>
  </si>
  <si>
    <t xml:space="preserve">03-01-2025</t>
  </si>
  <si>
    <t xml:space="preserve">CUST-6853</t>
  </si>
  <si>
    <t xml:space="preserve">Elite Accessories 978</t>
  </si>
  <si>
    <t xml:space="preserve">ORD-2025-10256</t>
  </si>
  <si>
    <t xml:space="preserve">2025-02-04</t>
  </si>
  <si>
    <t xml:space="preserve">02/10/2025</t>
  </si>
  <si>
    <t xml:space="preserve">CUST-1549</t>
  </si>
  <si>
    <t xml:space="preserve">Eco Phones 132</t>
  </si>
  <si>
    <t xml:space="preserve">ORD-2024-10257</t>
  </si>
  <si>
    <t xml:space="preserve">2024-11-05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</si>
  <si>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</si>
  <si>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</si>
  <si>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</si>
  <si>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</si>
  <si>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</si>
  <si>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</si>
  <si>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</si>
  <si>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</si>
  <si>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</si>
  <si>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</si>
  <si>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</si>
  <si>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</si>
  <si>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06/21/2024</t>
  </si>
  <si>
    <t xml:space="preserve">29 Jun 2024</t>
  </si>
  <si>
    <t xml:space="preserve">CUST-5174</t>
  </si>
  <si>
    <t xml:space="preserve">Prime Machines 793</t>
  </si>
  <si>
    <t xml:space="preserve">ORD-2025-10261</t>
  </si>
  <si>
    <t xml:space="preserve">2025-09-23</t>
  </si>
  <si>
    <t xml:space="preserve">09/27/2025</t>
  </si>
  <si>
    <t xml:space="preserve">CUST-3543</t>
  </si>
  <si>
    <t xml:space="preserve">Elite Binders 827</t>
  </si>
  <si>
    <t xml:space="preserve">ORD-2025-10262</t>
  </si>
  <si>
    <t xml:space="preserve">06/18/2025</t>
  </si>
  <si>
    <t xml:space="preserve">06/24/2025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</si>
  <si>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</si>
  <si>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</si>
  <si>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</si>
  <si>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</si>
  <si>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01 Jun 2025</t>
  </si>
  <si>
    <t xml:space="preserve">Eco Phones 245</t>
  </si>
  <si>
    <t xml:space="preserve">ORD-2025-10264</t>
  </si>
  <si>
    <t xml:space="preserve">06 Aug 2025</t>
  </si>
  <si>
    <t xml:space="preserve">CUST-8265</t>
  </si>
  <si>
    <t xml:space="preserve">Smart Binders 905</t>
  </si>
  <si>
    <t xml:space="preserve">ORD-2024-10265</t>
  </si>
  <si>
    <t xml:space="preserve">16-05-2024</t>
  </si>
  <si>
    <t xml:space="preserve">05/21/2024</t>
  </si>
  <si>
    <t xml:space="preserve">CUST-4750</t>
  </si>
  <si>
    <t xml:space="preserve">Pro Copiers 599</t>
  </si>
  <si>
    <t xml:space="preserve">ORD-2024-10266</t>
  </si>
  <si>
    <t xml:space="preserve">14 Nov 2024</t>
  </si>
  <si>
    <t xml:space="preserve">CUST-3974</t>
  </si>
  <si>
    <t xml:space="preserve">Basic Bookcases 570</t>
  </si>
  <si>
    <t xml:space="preserve">  Cancelled </t>
  </si>
  <si>
    <t xml:space="preserve">ORD-2025-10267</t>
  </si>
  <si>
    <t xml:space="preserve">2025-05-03</t>
  </si>
  <si>
    <t xml:space="preserve">2025-05-10</t>
  </si>
  <si>
    <t xml:space="preserve">CUST-7114</t>
  </si>
  <si>
    <t xml:space="preserve">Classic Storage 926</t>
  </si>
  <si>
    <t xml:space="preserve">ORD-2025-10268</t>
  </si>
  <si>
    <t xml:space="preserve">04-06-2025</t>
  </si>
  <si>
    <t xml:space="preserve">CUST-4431</t>
  </si>
  <si>
    <t xml:space="preserve">Basic Furnishings 372</t>
  </si>
  <si>
    <t xml:space="preserve">ORD-2025-10269</t>
  </si>
  <si>
    <t xml:space="preserve">08/17/2025</t>
  </si>
  <si>
    <t xml:space="preserve">CUST-1488</t>
  </si>
  <si>
    <t xml:space="preserve">Prime Accessories 367</t>
  </si>
  <si>
    <t xml:space="preserve">ORD-2025-10270</t>
  </si>
  <si>
    <t xml:space="preserve">02/12/2025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</si>
  <si>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</si>
  <si>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</si>
  <si>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</si>
  <si>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</si>
  <si>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</si>
  <si>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</si>
  <si>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21 Dec 2024</t>
  </si>
  <si>
    <t xml:space="preserve">25 Dec 2024</t>
  </si>
  <si>
    <t xml:space="preserve">CUST-8009</t>
  </si>
  <si>
    <t xml:space="preserve">Max Binders 927</t>
  </si>
  <si>
    <t xml:space="preserve">ORD-2024-10273</t>
  </si>
  <si>
    <t xml:space="preserve">08/18/2024</t>
  </si>
  <si>
    <t xml:space="preserve">24 Aug 2024</t>
  </si>
  <si>
    <t xml:space="preserve">CUST-7389</t>
  </si>
  <si>
    <t xml:space="preserve">Eco Chairs 314</t>
  </si>
  <si>
    <t xml:space="preserve">ORD-2025-10274</t>
  </si>
  <si>
    <t xml:space="preserve">02/13/2025</t>
  </si>
  <si>
    <t xml:space="preserve">13 Feb 2025</t>
  </si>
  <si>
    <t xml:space="preserve">CUST-8249</t>
  </si>
  <si>
    <t xml:space="preserve">Basic Paper 657</t>
  </si>
  <si>
    <t xml:space="preserve">ORD-2024-10275</t>
  </si>
  <si>
    <t xml:space="preserve">07-04-2024</t>
  </si>
  <si>
    <t xml:space="preserve">14-04-2024</t>
  </si>
  <si>
    <t xml:space="preserve">CUST-4202</t>
  </si>
  <si>
    <t xml:space="preserve">Pro Copiers 406</t>
  </si>
  <si>
    <t xml:space="preserve">ORD-2024-10276</t>
  </si>
  <si>
    <t xml:space="preserve">02/22/2024</t>
  </si>
  <si>
    <t xml:space="preserve">CUST-2875</t>
  </si>
  <si>
    <t xml:space="preserve">Eco Furnishings 678</t>
  </si>
  <si>
    <t xml:space="preserve">ORD-2024-10277</t>
  </si>
  <si>
    <t xml:space="preserve">23-01-2024</t>
  </si>
  <si>
    <t xml:space="preserve">CUST-7039</t>
  </si>
  <si>
    <t xml:space="preserve">Basic Chairs 141</t>
  </si>
  <si>
    <t xml:space="preserve">ORD-2025-10278</t>
  </si>
  <si>
    <t xml:space="preserve">04 Jun 2025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</si>
  <si>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</si>
  <si>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</si>
  <si>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</si>
  <si>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</si>
  <si>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Priya Menon </t>
  </si>
  <si>
    <t xml:space="preserve">Pro Accessories 207</t>
  </si>
  <si>
    <t xml:space="preserve">ORD-2024-10280</t>
  </si>
  <si>
    <t xml:space="preserve">04/09/2024</t>
  </si>
  <si>
    <t xml:space="preserve">10 Apr 2024</t>
  </si>
  <si>
    <t xml:space="preserve">CUST-4571</t>
  </si>
  <si>
    <t xml:space="preserve">Max Storage 564</t>
  </si>
  <si>
    <t xml:space="preserve">ORD-2024-10281</t>
  </si>
  <si>
    <t xml:space="preserve">12/23/2024</t>
  </si>
  <si>
    <t xml:space="preserve">26-12-2024</t>
  </si>
  <si>
    <t xml:space="preserve">CUST-4098</t>
  </si>
  <si>
    <t xml:space="preserve">Prime Copiers 961</t>
  </si>
  <si>
    <t xml:space="preserve">ORD-2025-10282</t>
  </si>
  <si>
    <t xml:space="preserve">25-07-2025</t>
  </si>
  <si>
    <t xml:space="preserve">07/27/2025</t>
  </si>
  <si>
    <t xml:space="preserve">CUST-2052</t>
  </si>
  <si>
    <t xml:space="preserve">Basic Binders 637</t>
  </si>
  <si>
    <t xml:space="preserve">ORD-2024-10283</t>
  </si>
  <si>
    <t xml:space="preserve">2024-10-01</t>
  </si>
  <si>
    <t xml:space="preserve">10/02/2024</t>
  </si>
  <si>
    <t xml:space="preserve">CUST-9445</t>
  </si>
  <si>
    <t xml:space="preserve">Classic Tables 811</t>
  </si>
  <si>
    <t xml:space="preserve">ORD-2025-10284</t>
  </si>
  <si>
    <t xml:space="preserve">03/13/2025</t>
  </si>
  <si>
    <t xml:space="preserve">20-03-2025</t>
  </si>
  <si>
    <t xml:space="preserve">CUST-6568</t>
  </si>
  <si>
    <t xml:space="preserve">Classic Furnishings 819</t>
  </si>
  <si>
    <t xml:space="preserve">ORD-2024-10285</t>
  </si>
  <si>
    <t xml:space="preserve">12/08/2024</t>
  </si>
  <si>
    <t xml:space="preserve">12/14/2024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</si>
  <si>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</si>
  <si>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</si>
  <si>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</si>
  <si>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</si>
  <si>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</si>
  <si>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</si>
  <si>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</si>
  <si>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</si>
  <si>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28-02-2024</t>
  </si>
  <si>
    <t xml:space="preserve">03/02/2024</t>
  </si>
  <si>
    <t xml:space="preserve">CUST-5823</t>
  </si>
  <si>
    <t xml:space="preserve">Pro Furnishings 848</t>
  </si>
  <si>
    <t xml:space="preserve">ORD-2024-10288</t>
  </si>
  <si>
    <t xml:space="preserve">09/05/2024</t>
  </si>
  <si>
    <t xml:space="preserve">07-09-2024</t>
  </si>
  <si>
    <t xml:space="preserve">CUST-7095</t>
  </si>
  <si>
    <t xml:space="preserve">Prime Copiers 924</t>
  </si>
  <si>
    <t xml:space="preserve">ORD-2024-10289</t>
  </si>
  <si>
    <t xml:space="preserve">2024-06-24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</si>
  <si>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</si>
  <si>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</si>
  <si>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</si>
  <si>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</si>
  <si>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</si>
  <si>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</si>
  <si>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22 Aug 2025</t>
  </si>
  <si>
    <t xml:space="preserve">2025-08-26</t>
  </si>
  <si>
    <t xml:space="preserve">CUST-8557</t>
  </si>
  <si>
    <t xml:space="preserve">Classic Tables 178</t>
  </si>
  <si>
    <t xml:space="preserve">ORD-2024-10292</t>
  </si>
  <si>
    <t xml:space="preserve">04/05/2024</t>
  </si>
  <si>
    <t xml:space="preserve">2024-04-10</t>
  </si>
  <si>
    <t xml:space="preserve">CUST-2860</t>
  </si>
  <si>
    <t xml:space="preserve">Eco Binders 153</t>
  </si>
  <si>
    <t xml:space="preserve">ORD-2025-10293</t>
  </si>
  <si>
    <t xml:space="preserve">28 Feb 2025</t>
  </si>
  <si>
    <t xml:space="preserve">03-03-2025</t>
  </si>
  <si>
    <t xml:space="preserve">CUST-7837</t>
  </si>
  <si>
    <t xml:space="preserve">Classic Art 183</t>
  </si>
  <si>
    <t xml:space="preserve">ORD-2024-10294</t>
  </si>
  <si>
    <t xml:space="preserve">03/07/2024</t>
  </si>
  <si>
    <t xml:space="preserve">11-03-2024</t>
  </si>
  <si>
    <t xml:space="preserve">CUST-7010</t>
  </si>
  <si>
    <t xml:space="preserve">Pro Phones 455</t>
  </si>
  <si>
    <t xml:space="preserve">ORD-2025-10295</t>
  </si>
  <si>
    <t xml:space="preserve">16 Jul 2025</t>
  </si>
  <si>
    <t xml:space="preserve">07/22/2025</t>
  </si>
  <si>
    <t xml:space="preserve">CUST-4755</t>
  </si>
  <si>
    <t xml:space="preserve">Basic Phones 326</t>
  </si>
  <si>
    <t xml:space="preserve">ORD-2025-10296</t>
  </si>
  <si>
    <t xml:space="preserve">25 Jun 2025</t>
  </si>
  <si>
    <t xml:space="preserve">28 Jun 2025</t>
  </si>
  <si>
    <t xml:space="preserve">CUST-6778</t>
  </si>
  <si>
    <t xml:space="preserve">Max Binders 587</t>
  </si>
  <si>
    <t xml:space="preserve">ORD-2025-10297</t>
  </si>
  <si>
    <t xml:space="preserve">24 May 2025</t>
  </si>
  <si>
    <t xml:space="preserve">05/26/2025</t>
  </si>
  <si>
    <t xml:space="preserve">CUST-7629</t>
  </si>
  <si>
    <t xml:space="preserve">Basic Furnishings 617</t>
  </si>
  <si>
    <t xml:space="preserve">ORD-2024-10298</t>
  </si>
  <si>
    <t xml:space="preserve">2024-10-29</t>
  </si>
  <si>
    <t xml:space="preserve">06-11-2024</t>
  </si>
  <si>
    <t xml:space="preserve">CUST-6724</t>
  </si>
  <si>
    <t xml:space="preserve">Prime Copiers 669</t>
  </si>
  <si>
    <t xml:space="preserve">ORD-2025-10299</t>
  </si>
  <si>
    <t xml:space="preserve">23-01-2025</t>
  </si>
  <si>
    <t xml:space="preserve">2025-01-26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</si>
  <si>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</si>
  <si>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</si>
  <si>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</si>
  <si>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</si>
  <si>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</si>
  <si>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</si>
  <si>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</si>
  <si>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15-04-2024</t>
  </si>
  <si>
    <t xml:space="preserve">04/23/2024</t>
  </si>
  <si>
    <t xml:space="preserve">CUST-2668</t>
  </si>
  <si>
    <t xml:space="preserve">Classic Accessories 126</t>
  </si>
  <si>
    <t xml:space="preserve">ORD-2025-10302</t>
  </si>
  <si>
    <t xml:space="preserve">01-06-2025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</si>
  <si>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</si>
  <si>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</si>
  <si>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</si>
  <si>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</si>
  <si>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</si>
  <si>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</si>
  <si>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</si>
  <si>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23 Jun 2024</t>
  </si>
  <si>
    <t xml:space="preserve">CUST-9035</t>
  </si>
  <si>
    <t xml:space="preserve">Elite Chairs 107</t>
  </si>
  <si>
    <t xml:space="preserve">ORD-2024-10305</t>
  </si>
  <si>
    <t xml:space="preserve">03/06/2024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</si>
  <si>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</si>
  <si>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</si>
  <si>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</si>
  <si>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</si>
  <si>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01 May 2024</t>
  </si>
  <si>
    <t xml:space="preserve">CUST-7246</t>
  </si>
  <si>
    <t xml:space="preserve">Eco Chairs 105</t>
  </si>
  <si>
    <t xml:space="preserve">ORD-2025-10307</t>
  </si>
  <si>
    <t xml:space="preserve">20 Feb 2025</t>
  </si>
  <si>
    <t xml:space="preserve">CUST-2589</t>
  </si>
  <si>
    <t xml:space="preserve">Pro Phones 530</t>
  </si>
  <si>
    <t xml:space="preserve">ORD-2025-10308</t>
  </si>
  <si>
    <t xml:space="preserve">2025-07-12</t>
  </si>
  <si>
    <t xml:space="preserve">19 Jul 2025</t>
  </si>
  <si>
    <t xml:space="preserve">CUST-4153</t>
  </si>
  <si>
    <t xml:space="preserve">Basic Tables 911</t>
  </si>
  <si>
    <t xml:space="preserve">PENDING</t>
  </si>
  <si>
    <t xml:space="preserve">ORD-2025-10309</t>
  </si>
  <si>
    <t xml:space="preserve">2025-06-13</t>
  </si>
  <si>
    <t xml:space="preserve">2025-06-19</t>
  </si>
  <si>
    <t xml:space="preserve">CUST-6727</t>
  </si>
  <si>
    <t xml:space="preserve">Classic Tables 224</t>
  </si>
  <si>
    <t xml:space="preserve">ORD-2024-10310</t>
  </si>
  <si>
    <t xml:space="preserve">07/20/2024</t>
  </si>
  <si>
    <t xml:space="preserve">CUST-8860</t>
  </si>
  <si>
    <t xml:space="preserve">Prime Tables 214</t>
  </si>
  <si>
    <t xml:space="preserve">ORD-2024-10311</t>
  </si>
  <si>
    <t xml:space="preserve">04-07-2024</t>
  </si>
  <si>
    <t xml:space="preserve">08-07-2024</t>
  </si>
  <si>
    <t xml:space="preserve">CUST-3784</t>
  </si>
  <si>
    <t xml:space="preserve">Max Machines 988</t>
  </si>
  <si>
    <t xml:space="preserve">ORD-2024-10312</t>
  </si>
  <si>
    <t xml:space="preserve">27-04-2024</t>
  </si>
  <si>
    <t xml:space="preserve">CUST-3545</t>
  </si>
  <si>
    <t xml:space="preserve">Max Binders 425</t>
  </si>
  <si>
    <t xml:space="preserve">ORD-2024-10313</t>
  </si>
  <si>
    <t xml:space="preserve">07/31/2024</t>
  </si>
  <si>
    <t xml:space="preserve">CUST-4851</t>
  </si>
  <si>
    <t xml:space="preserve">Elite Phones 679</t>
  </si>
  <si>
    <t xml:space="preserve">ORD-2025-10314</t>
  </si>
  <si>
    <t xml:space="preserve">2025-05-30</t>
  </si>
  <si>
    <t xml:space="preserve">31-05-2025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</si>
  <si>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</si>
  <si>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</si>
  <si>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</si>
  <si>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</si>
  <si>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</si>
  <si>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</si>
  <si>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2024-07-02</t>
  </si>
  <si>
    <t xml:space="preserve">2024-07-08</t>
  </si>
  <si>
    <t xml:space="preserve">CUST-7565</t>
  </si>
  <si>
    <t xml:space="preserve">Smart Paper 817</t>
  </si>
  <si>
    <t xml:space="preserve">ORD-2024-10317</t>
  </si>
  <si>
    <t xml:space="preserve">16-02-2024</t>
  </si>
  <si>
    <t xml:space="preserve">02/18/2024</t>
  </si>
  <si>
    <t xml:space="preserve">CUST-9913</t>
  </si>
  <si>
    <t xml:space="preserve">Classic Labels 466</t>
  </si>
  <si>
    <t xml:space="preserve">ORD-2025-10318</t>
  </si>
  <si>
    <t xml:space="preserve">29-08-2025</t>
  </si>
  <si>
    <t xml:space="preserve">04 Sep 2025</t>
  </si>
  <si>
    <t xml:space="preserve">CUST-7992</t>
  </si>
  <si>
    <t xml:space="preserve">Pro Tables 778</t>
  </si>
  <si>
    <t xml:space="preserve">ORD-2024-10319</t>
  </si>
  <si>
    <t xml:space="preserve">25 Apr 2024</t>
  </si>
  <si>
    <t xml:space="preserve">30-04-2024</t>
  </si>
  <si>
    <t xml:space="preserve">CUST-8877</t>
  </si>
  <si>
    <t xml:space="preserve">Basic Phones 789</t>
  </si>
  <si>
    <t xml:space="preserve">ORD-2024-10320</t>
  </si>
  <si>
    <t xml:space="preserve">21 Aug 2024</t>
  </si>
  <si>
    <t xml:space="preserve">08/25/2024</t>
  </si>
  <si>
    <t xml:space="preserve">CUST-4589</t>
  </si>
  <si>
    <t xml:space="preserve">Prime Binders 554</t>
  </si>
  <si>
    <t xml:space="preserve">ORD-2024-10321</t>
  </si>
  <si>
    <t xml:space="preserve">12/04/2024</t>
  </si>
  <si>
    <t xml:space="preserve">12/06/2024</t>
  </si>
  <si>
    <t xml:space="preserve">CUST-4667</t>
  </si>
  <si>
    <t xml:space="preserve">Classic Art 299</t>
  </si>
  <si>
    <t xml:space="preserve">ORD-2024-10322</t>
  </si>
  <si>
    <t xml:space="preserve">06/23/2024</t>
  </si>
  <si>
    <t xml:space="preserve">30 Jun 2024</t>
  </si>
  <si>
    <t xml:space="preserve">CUST-7821</t>
  </si>
  <si>
    <t xml:space="preserve">Eco Accessories 220</t>
  </si>
  <si>
    <t xml:space="preserve">ORD-2024-10323</t>
  </si>
  <si>
    <t xml:space="preserve">12-11-2024</t>
  </si>
  <si>
    <t xml:space="preserve">CUST-8579</t>
  </si>
  <si>
    <t xml:space="preserve">Max Phones 422</t>
  </si>
  <si>
    <t xml:space="preserve">ORD-2024-10324</t>
  </si>
  <si>
    <t xml:space="preserve">25-02-2024</t>
  </si>
  <si>
    <t xml:space="preserve">29 Feb 2024</t>
  </si>
  <si>
    <t xml:space="preserve">CUST-6909</t>
  </si>
  <si>
    <t xml:space="preserve">ORD-2025-10325</t>
  </si>
  <si>
    <t xml:space="preserve">31 Jul 2025</t>
  </si>
  <si>
    <t xml:space="preserve">CUST-7212</t>
  </si>
  <si>
    <t xml:space="preserve">Basic Labels 102</t>
  </si>
  <si>
    <t xml:space="preserve">ORD-2025-10326</t>
  </si>
  <si>
    <t xml:space="preserve">09/16/2025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</si>
  <si>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</si>
  <si>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</si>
  <si>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</si>
  <si>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</si>
  <si>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2025-07-22</t>
  </si>
  <si>
    <t xml:space="preserve">CUST-1966</t>
  </si>
  <si>
    <t xml:space="preserve">Smart Furnishings 533</t>
  </si>
  <si>
    <t xml:space="preserve">ORD-2024-10328</t>
  </si>
  <si>
    <t xml:space="preserve">2024-07-24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</si>
  <si>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</si>
  <si>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</si>
  <si>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</si>
  <si>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</si>
  <si>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</si>
  <si>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</si>
  <si>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</si>
  <si>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12 May 2025</t>
  </si>
  <si>
    <t xml:space="preserve">2025-05-18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</si>
  <si>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</si>
  <si>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</si>
  <si>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</si>
  <si>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</si>
  <si>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</si>
  <si>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</si>
  <si>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2024-12-06</t>
  </si>
  <si>
    <t xml:space="preserve">CUST-9346</t>
  </si>
  <si>
    <t xml:space="preserve">Smart Binders 939</t>
  </si>
  <si>
    <t xml:space="preserve">ORD-2025-10333</t>
  </si>
  <si>
    <t xml:space="preserve">27 May 2025</t>
  </si>
  <si>
    <t xml:space="preserve">2025-05-28</t>
  </si>
  <si>
    <t xml:space="preserve">CUST-5332</t>
  </si>
  <si>
    <t xml:space="preserve">machines</t>
  </si>
  <si>
    <t xml:space="preserve">Basic Machines 601</t>
  </si>
  <si>
    <t xml:space="preserve">ORD-2025-10334</t>
  </si>
  <si>
    <t xml:space="preserve">22 Jun 2025</t>
  </si>
  <si>
    <t xml:space="preserve">2025-06-27</t>
  </si>
  <si>
    <t xml:space="preserve">CUST-8081</t>
  </si>
  <si>
    <t xml:space="preserve">Pro Phones 968</t>
  </si>
  <si>
    <t xml:space="preserve">ORD-2024-10335</t>
  </si>
  <si>
    <t xml:space="preserve">12 Sep 2024</t>
  </si>
  <si>
    <t xml:space="preserve">17-09-2024</t>
  </si>
  <si>
    <t xml:space="preserve">CUST-3062</t>
  </si>
  <si>
    <t xml:space="preserve">Pro Storage 563</t>
  </si>
  <si>
    <t xml:space="preserve">ORD-2025-10336</t>
  </si>
  <si>
    <t xml:space="preserve">06/16/2025</t>
  </si>
  <si>
    <t xml:space="preserve">18 Jun 2025</t>
  </si>
  <si>
    <t xml:space="preserve">CUST-3621</t>
  </si>
  <si>
    <t xml:space="preserve">Prime Paper 559</t>
  </si>
  <si>
    <t xml:space="preserve">ORD-2024-10337</t>
  </si>
  <si>
    <t xml:space="preserve">03/21/2024</t>
  </si>
  <si>
    <t xml:space="preserve">Pro Copiers 999</t>
  </si>
  <si>
    <t xml:space="preserve">ORD-2024-10338</t>
  </si>
  <si>
    <t xml:space="preserve">12 Aug 2024</t>
  </si>
  <si>
    <t xml:space="preserve">18 Aug 2024</t>
  </si>
  <si>
    <t xml:space="preserve">CUST-4599</t>
  </si>
  <si>
    <t xml:space="preserve">Classic Labels 206</t>
  </si>
  <si>
    <t xml:space="preserve">ORD-2024-10339</t>
  </si>
  <si>
    <t xml:space="preserve">08-12-2024</t>
  </si>
  <si>
    <t xml:space="preserve">CUST-3066</t>
  </si>
  <si>
    <t xml:space="preserve">Eco Accessories 315</t>
  </si>
  <si>
    <t xml:space="preserve">ORD-2025-10340</t>
  </si>
  <si>
    <t xml:space="preserve">22-02-2025</t>
  </si>
  <si>
    <t xml:space="preserve">CUST-2752</t>
  </si>
  <si>
    <t xml:space="preserve">Elite Bookcases 988</t>
  </si>
  <si>
    <t xml:space="preserve">ORD-2024-10341</t>
  </si>
  <si>
    <t xml:space="preserve">21 Jan 2024</t>
  </si>
  <si>
    <t xml:space="preserve">01/29/2024</t>
  </si>
  <si>
    <t xml:space="preserve">CUST-6291</t>
  </si>
  <si>
    <t xml:space="preserve">Smart Binders 414</t>
  </si>
  <si>
    <t xml:space="preserve">ORD-2025-10342</t>
  </si>
  <si>
    <t xml:space="preserve">08 Sep 2025</t>
  </si>
  <si>
    <t xml:space="preserve">2025-09-09</t>
  </si>
  <si>
    <t xml:space="preserve">CUST-9969</t>
  </si>
  <si>
    <t xml:space="preserve">Eco Chairs 552</t>
  </si>
  <si>
    <t xml:space="preserve">ORD-2025-10343</t>
  </si>
  <si>
    <t xml:space="preserve">24-07-2025</t>
  </si>
  <si>
    <t xml:space="preserve">01-08-2025</t>
  </si>
  <si>
    <t xml:space="preserve">CUST-3335</t>
  </si>
  <si>
    <t xml:space="preserve">Smart Binders 574</t>
  </si>
  <si>
    <t xml:space="preserve">ORD-2025-10344</t>
  </si>
  <si>
    <t xml:space="preserve">10/03/2025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</si>
  <si>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</si>
  <si>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</si>
  <si>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</si>
  <si>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</si>
  <si>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</si>
  <si>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</si>
  <si>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</si>
  <si>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</si>
  <si>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</si>
  <si>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</si>
  <si>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</si>
  <si>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28-07-2025</t>
  </si>
  <si>
    <t xml:space="preserve">CUST-3400</t>
  </si>
  <si>
    <t xml:space="preserve">Eco Chairs 369</t>
  </si>
  <si>
    <t xml:space="preserve">ORD-2024-10348</t>
  </si>
  <si>
    <t xml:space="preserve">01-12-2024</t>
  </si>
  <si>
    <t xml:space="preserve">CUST-1172</t>
  </si>
  <si>
    <t xml:space="preserve">Max Chairs 487</t>
  </si>
  <si>
    <t xml:space="preserve">ORD-2024-10349</t>
  </si>
  <si>
    <t xml:space="preserve">06/07/2024</t>
  </si>
  <si>
    <t xml:space="preserve">CUST-9517</t>
  </si>
  <si>
    <t xml:space="preserve">Classic Phones 989</t>
  </si>
  <si>
    <t xml:space="preserve">ORD-2025-10350</t>
  </si>
  <si>
    <t xml:space="preserve">27-09-2025</t>
  </si>
  <si>
    <t xml:space="preserve">CUST-6697</t>
  </si>
  <si>
    <t xml:space="preserve">Max Furnishings 628</t>
  </si>
  <si>
    <t xml:space="preserve">ORD-2024-10351</t>
  </si>
  <si>
    <t xml:space="preserve">07-01-2024</t>
  </si>
  <si>
    <t xml:space="preserve">14 Jan 2024</t>
  </si>
  <si>
    <t xml:space="preserve">CUST-7644</t>
  </si>
  <si>
    <t xml:space="preserve">Elite Furnishings 279</t>
  </si>
  <si>
    <t xml:space="preserve">ORD-2025-10352</t>
  </si>
  <si>
    <t xml:space="preserve">23-05-2025</t>
  </si>
  <si>
    <t xml:space="preserve">CUST-9963</t>
  </si>
  <si>
    <t xml:space="preserve">Pro Storage 847</t>
  </si>
  <si>
    <t xml:space="preserve">ORD-2025-10353</t>
  </si>
  <si>
    <t xml:space="preserve">15 Aug 2025</t>
  </si>
  <si>
    <t xml:space="preserve">CUST-6382</t>
  </si>
  <si>
    <t xml:space="preserve">Elite Copiers 706</t>
  </si>
  <si>
    <t xml:space="preserve">ORD-2025-10354</t>
  </si>
  <si>
    <t xml:space="preserve">21-02-2025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</si>
  <si>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</si>
  <si>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</si>
  <si>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</si>
  <si>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</si>
  <si>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</si>
  <si>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corporate</t>
  </si>
  <si>
    <t xml:space="preserve">Classic Furnishings 498</t>
  </si>
  <si>
    <t xml:space="preserve">ORD-2024-10356</t>
  </si>
  <si>
    <t xml:space="preserve">12-05-2024</t>
  </si>
  <si>
    <t xml:space="preserve">2024-05-09</t>
  </si>
  <si>
    <t xml:space="preserve">CUST-6414</t>
  </si>
  <si>
    <t xml:space="preserve">Max Tables 829</t>
  </si>
  <si>
    <t xml:space="preserve">ORD-2025-10357</t>
  </si>
  <si>
    <t xml:space="preserve">27 Jun 2025</t>
  </si>
  <si>
    <t xml:space="preserve">29 Jun 2025</t>
  </si>
  <si>
    <t xml:space="preserve">CUST-9268</t>
  </si>
  <si>
    <t xml:space="preserve">Eco Chairs 346</t>
  </si>
  <si>
    <t xml:space="preserve">ORD-2025-10358</t>
  </si>
  <si>
    <t xml:space="preserve">01/29/2025</t>
  </si>
  <si>
    <t xml:space="preserve">CUST-1363</t>
  </si>
  <si>
    <t xml:space="preserve">Max Machines 770</t>
  </si>
  <si>
    <t xml:space="preserve">ORD-2025-10359</t>
  </si>
  <si>
    <t xml:space="preserve">08/09/2025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</si>
  <si>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</si>
  <si>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</si>
  <si>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</si>
  <si>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</si>
  <si>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22-08-2024</t>
  </si>
  <si>
    <t xml:space="preserve">CUST-9571</t>
  </si>
  <si>
    <t xml:space="preserve">Classic Phones 586</t>
  </si>
  <si>
    <t xml:space="preserve">ORD-2024-10361</t>
  </si>
  <si>
    <t xml:space="preserve">17 Jun 2024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</si>
  <si>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</si>
  <si>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</si>
  <si>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</si>
  <si>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</si>
  <si>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</si>
  <si>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</si>
  <si>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</si>
  <si>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</si>
  <si>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23 Aug 2024</t>
  </si>
  <si>
    <t xml:space="preserve">25-08-2024</t>
  </si>
  <si>
    <t xml:space="preserve">CUST-6755</t>
  </si>
  <si>
    <t xml:space="preserve">Elite Machines 216</t>
  </si>
  <si>
    <t xml:space="preserve">ORD-2025-10364</t>
  </si>
  <si>
    <t xml:space="preserve">07/07/2025</t>
  </si>
  <si>
    <t xml:space="preserve">07/12/2025</t>
  </si>
  <si>
    <t xml:space="preserve">CUST-1832</t>
  </si>
  <si>
    <t xml:space="preserve">Smart Tables 943</t>
  </si>
  <si>
    <t xml:space="preserve">ORD-2025-10365</t>
  </si>
  <si>
    <t xml:space="preserve">03/21/2025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</si>
  <si>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</si>
  <si>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</si>
  <si>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</si>
  <si>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</si>
  <si>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15-06-2024</t>
  </si>
  <si>
    <t xml:space="preserve">21-06-2024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</si>
  <si>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</si>
  <si>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</si>
  <si>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</si>
  <si>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</si>
  <si>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</si>
  <si>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</si>
  <si>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</si>
  <si>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</si>
  <si>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03/16/2024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</si>
  <si>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</si>
  <si>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</si>
  <si>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</si>
  <si>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</si>
  <si>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</si>
  <si>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</si>
  <si>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</si>
  <si>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</si>
  <si>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</si>
  <si>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08/15/2024</t>
  </si>
  <si>
    <t xml:space="preserve">CUST-8521</t>
  </si>
  <si>
    <t xml:space="preserve">Classic Copiers 505</t>
  </si>
  <si>
    <t xml:space="preserve">ORD-2024-10372</t>
  </si>
  <si>
    <t xml:space="preserve">2024-01-24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</si>
  <si>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</si>
  <si>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</si>
  <si>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</si>
  <si>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</si>
  <si>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</si>
  <si>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</si>
  <si>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2025-04-13</t>
  </si>
  <si>
    <t xml:space="preserve">CUST-8566</t>
  </si>
  <si>
    <t xml:space="preserve">Prime Storage 951</t>
  </si>
  <si>
    <t xml:space="preserve">ORD-2025-10375</t>
  </si>
  <si>
    <t xml:space="preserve">2025-02-27</t>
  </si>
  <si>
    <t xml:space="preserve">28-02-2025</t>
  </si>
  <si>
    <t xml:space="preserve">CUST-2358</t>
  </si>
  <si>
    <t xml:space="preserve">Smart Labels 668</t>
  </si>
  <si>
    <t xml:space="preserve">ORD-2024-10376</t>
  </si>
  <si>
    <t xml:space="preserve">31-12-2024</t>
  </si>
  <si>
    <t xml:space="preserve">04 Jan 2025</t>
  </si>
  <si>
    <t xml:space="preserve">CUST-2810</t>
  </si>
  <si>
    <t xml:space="preserve">Pro Chairs 364</t>
  </si>
  <si>
    <t xml:space="preserve">ORD-2024-10377</t>
  </si>
  <si>
    <t xml:space="preserve">29-12-2024</t>
  </si>
  <si>
    <t xml:space="preserve">CUST-5166</t>
  </si>
  <si>
    <t xml:space="preserve">Basic Chairs 248</t>
  </si>
  <si>
    <t xml:space="preserve">ORD-2025-10378</t>
  </si>
  <si>
    <t xml:space="preserve">30-05-2025</t>
  </si>
  <si>
    <t xml:space="preserve">CUST-4875</t>
  </si>
  <si>
    <t xml:space="preserve">storage</t>
  </si>
  <si>
    <t xml:space="preserve">Basic Storage 360</t>
  </si>
  <si>
    <t xml:space="preserve">ORD-2025-10379</t>
  </si>
  <si>
    <t xml:space="preserve">22-05-2025</t>
  </si>
  <si>
    <t xml:space="preserve">CUST-3154</t>
  </si>
  <si>
    <t xml:space="preserve">Basic Accessories 988</t>
  </si>
  <si>
    <t xml:space="preserve">ORD-2024-10380</t>
  </si>
  <si>
    <t xml:space="preserve">09/19/2024</t>
  </si>
  <si>
    <t xml:space="preserve">23 Sep 2024</t>
  </si>
  <si>
    <t xml:space="preserve">CUST-6405</t>
  </si>
  <si>
    <t xml:space="preserve">Max Paper 334</t>
  </si>
  <si>
    <t xml:space="preserve">ORD-2024-10381</t>
  </si>
  <si>
    <t xml:space="preserve">07 Apr 2024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</si>
  <si>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</si>
  <si>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</si>
  <si>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</si>
  <si>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</si>
  <si>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23-09-2025</t>
  </si>
  <si>
    <t xml:space="preserve">CUST-9943</t>
  </si>
  <si>
    <t xml:space="preserve">HOME OFFICE</t>
  </si>
  <si>
    <t xml:space="preserve">Prime Binders 523</t>
  </si>
  <si>
    <t xml:space="preserve">ORD-2025-10383</t>
  </si>
  <si>
    <t xml:space="preserve">04 Mar 2025</t>
  </si>
  <si>
    <t xml:space="preserve">TECHNOLOGY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</si>
  <si>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</si>
  <si>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</si>
  <si>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</si>
  <si>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</si>
  <si>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</si>
  <si>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15-03-2024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</si>
  <si>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</si>
  <si>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</si>
  <si>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</si>
  <si>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</si>
  <si>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30 Jun 2025</t>
  </si>
  <si>
    <t xml:space="preserve">CUST-2834</t>
  </si>
  <si>
    <t xml:space="preserve">Classic Labels 670</t>
  </si>
  <si>
    <t xml:space="preserve">ORD-2025-10387</t>
  </si>
  <si>
    <t xml:space="preserve">14-02-2025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</si>
  <si>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</si>
  <si>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</si>
  <si>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</si>
  <si>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</si>
  <si>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</si>
  <si>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</si>
  <si>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</si>
  <si>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18 May 2024</t>
  </si>
  <si>
    <t xml:space="preserve">CUST-1457</t>
  </si>
  <si>
    <t xml:space="preserve">Elite Chairs 639</t>
  </si>
  <si>
    <t xml:space="preserve">ORD-2024-10390</t>
  </si>
  <si>
    <t xml:space="preserve">05 Apr 2024</t>
  </si>
  <si>
    <t xml:space="preserve">CUST-3930</t>
  </si>
  <si>
    <t xml:space="preserve">Elite Machines 563</t>
  </si>
  <si>
    <t xml:space="preserve">ORD-2024-10391</t>
  </si>
  <si>
    <t xml:space="preserve">06 Nov 2024</t>
  </si>
  <si>
    <t xml:space="preserve">CUST-7853</t>
  </si>
  <si>
    <t xml:space="preserve">Pro Furnishings 281</t>
  </si>
  <si>
    <t xml:space="preserve">ORD-2025-10392</t>
  </si>
  <si>
    <t xml:space="preserve">14 Feb 2025</t>
  </si>
  <si>
    <t xml:space="preserve">CUST-2267</t>
  </si>
  <si>
    <t xml:space="preserve">Eco Storage 285</t>
  </si>
  <si>
    <t xml:space="preserve">ORD-2024-10393</t>
  </si>
  <si>
    <t xml:space="preserve">02/19/2024</t>
  </si>
  <si>
    <t xml:space="preserve">22 Feb 2024</t>
  </si>
  <si>
    <t xml:space="preserve">CUST-6866</t>
  </si>
  <si>
    <t xml:space="preserve">Classic Furnishings 746</t>
  </si>
  <si>
    <t xml:space="preserve">ORD-2024-10394</t>
  </si>
  <si>
    <t xml:space="preserve">2024-08-23</t>
  </si>
  <si>
    <t xml:space="preserve">08/29/2024</t>
  </si>
  <si>
    <t xml:space="preserve">CUST-3160</t>
  </si>
  <si>
    <t xml:space="preserve">Eco Labels 815</t>
  </si>
  <si>
    <t xml:space="preserve">ORD-2024-10395</t>
  </si>
  <si>
    <t xml:space="preserve">03-04-2024</t>
  </si>
  <si>
    <t xml:space="preserve">04 Apr 2024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</si>
  <si>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</si>
  <si>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</si>
  <si>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</si>
  <si>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</si>
  <si>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</si>
  <si>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</si>
  <si>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</si>
  <si>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22 Apr 2025</t>
  </si>
  <si>
    <t xml:space="preserve">CUST-2280</t>
  </si>
  <si>
    <t xml:space="preserve">Prime Machines 267</t>
  </si>
  <si>
    <t xml:space="preserve">ORD-2025-10398</t>
  </si>
  <si>
    <t xml:space="preserve">09 Jun 2025</t>
  </si>
  <si>
    <t xml:space="preserve">10 Jun 2025</t>
  </si>
  <si>
    <t xml:space="preserve">CUST-3177</t>
  </si>
  <si>
    <t xml:space="preserve">Eco Tables 378</t>
  </si>
  <si>
    <t xml:space="preserve">ORD-2024-10399</t>
  </si>
  <si>
    <t xml:space="preserve">19 Jul 2024</t>
  </si>
  <si>
    <t xml:space="preserve">2024-07-26</t>
  </si>
  <si>
    <t xml:space="preserve">CUST-4718</t>
  </si>
  <si>
    <t xml:space="preserve">  Corporate </t>
  </si>
  <si>
    <t xml:space="preserve">Elite Machines 523</t>
  </si>
  <si>
    <t xml:space="preserve">ORD-2025-10400</t>
  </si>
  <si>
    <t xml:space="preserve">04/24/2025</t>
  </si>
  <si>
    <t xml:space="preserve">2025-04-29</t>
  </si>
  <si>
    <t xml:space="preserve">CUST-5647</t>
  </si>
  <si>
    <t xml:space="preserve">Elite Paper 308</t>
  </si>
  <si>
    <t xml:space="preserve">ORD-2025-10401</t>
  </si>
  <si>
    <t xml:space="preserve">06-06-2025</t>
  </si>
  <si>
    <t xml:space="preserve">2025-06-11</t>
  </si>
  <si>
    <t xml:space="preserve">CUST-7150</t>
  </si>
  <si>
    <t xml:space="preserve">Prime Paper 851</t>
  </si>
  <si>
    <t xml:space="preserve">ORD-2025-10402</t>
  </si>
  <si>
    <t xml:space="preserve">09 Mar 2025</t>
  </si>
  <si>
    <t xml:space="preserve">16-03-2025</t>
  </si>
  <si>
    <t xml:space="preserve">CUST-6694</t>
  </si>
  <si>
    <t xml:space="preserve">Classic Tables 151</t>
  </si>
  <si>
    <t xml:space="preserve">ORD-2024-10403</t>
  </si>
  <si>
    <t xml:space="preserve">22 Mar 2024</t>
  </si>
  <si>
    <t xml:space="preserve">03/22/2024</t>
  </si>
  <si>
    <t xml:space="preserve">CUST-7680</t>
  </si>
  <si>
    <t xml:space="preserve">Smart Tables 829</t>
  </si>
  <si>
    <t xml:space="preserve">ORD-2024-10404</t>
  </si>
  <si>
    <t xml:space="preserve">09/30/2024</t>
  </si>
  <si>
    <t xml:space="preserve">04-10-2024</t>
  </si>
  <si>
    <t xml:space="preserve">CUST-2700</t>
  </si>
  <si>
    <t xml:space="preserve">PAPER</t>
  </si>
  <si>
    <t xml:space="preserve">Classic Paper 237</t>
  </si>
  <si>
    <t xml:space="preserve">ORD-2024-10405</t>
  </si>
  <si>
    <t xml:space="preserve">27 Jan 2024</t>
  </si>
  <si>
    <t xml:space="preserve">02/03/2024</t>
  </si>
  <si>
    <t xml:space="preserve">CUST-2904</t>
  </si>
  <si>
    <t xml:space="preserve">Prime Chairs 891</t>
  </si>
  <si>
    <t xml:space="preserve">ORD-2024-10406</t>
  </si>
  <si>
    <t xml:space="preserve">09/23/2024</t>
  </si>
  <si>
    <t xml:space="preserve">24 Sep 2024</t>
  </si>
  <si>
    <t xml:space="preserve">CUST-9961</t>
  </si>
  <si>
    <t xml:space="preserve">Max Bookcases 812</t>
  </si>
  <si>
    <t xml:space="preserve">ORD-2025-10407</t>
  </si>
  <si>
    <t xml:space="preserve">25 Feb 2025</t>
  </si>
  <si>
    <t xml:space="preserve">CUST-9909</t>
  </si>
  <si>
    <t xml:space="preserve">Basic Furnishings 164</t>
  </si>
  <si>
    <t xml:space="preserve">ORD-2024-10408</t>
  </si>
  <si>
    <t xml:space="preserve">12 May 2024</t>
  </si>
  <si>
    <t xml:space="preserve">13 May 2024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</si>
  <si>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</si>
  <si>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</si>
  <si>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</si>
  <si>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</si>
  <si>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</si>
  <si>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</si>
  <si>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</si>
  <si>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</si>
  <si>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</si>
  <si>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</si>
  <si>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 Apr 2024</t>
  </si>
  <si>
    <t xml:space="preserve">CUST-9495</t>
  </si>
  <si>
    <t xml:space="preserve">Smart Tables 100</t>
  </si>
  <si>
    <t xml:space="preserve">ORD-2025-10412</t>
  </si>
  <si>
    <t xml:space="preserve">2025-08-23</t>
  </si>
  <si>
    <t xml:space="preserve">2025-08-28</t>
  </si>
  <si>
    <t xml:space="preserve">CUST-2855</t>
  </si>
  <si>
    <t xml:space="preserve">Basic Tables 615</t>
  </si>
  <si>
    <t xml:space="preserve">ORD-2024-10413</t>
  </si>
  <si>
    <t xml:space="preserve">2024-01-22</t>
  </si>
  <si>
    <t xml:space="preserve">CUST-4329</t>
  </si>
  <si>
    <t xml:space="preserve">Basic Chairs 790</t>
  </si>
  <si>
    <t xml:space="preserve">ORD-2025-10414</t>
  </si>
  <si>
    <t xml:space="preserve">17-08-2025</t>
  </si>
  <si>
    <t xml:space="preserve">CUST-5094</t>
  </si>
  <si>
    <t xml:space="preserve">Smart Accessories 226</t>
  </si>
  <si>
    <t xml:space="preserve">ORD-2024-10415</t>
  </si>
  <si>
    <t xml:space="preserve">2024-08-29</t>
  </si>
  <si>
    <t xml:space="preserve">08/30/2024</t>
  </si>
  <si>
    <t xml:space="preserve">CUST-4194</t>
  </si>
  <si>
    <t xml:space="preserve">Max Storage 692</t>
  </si>
  <si>
    <t xml:space="preserve">ORD-2024-10416</t>
  </si>
  <si>
    <t xml:space="preserve">01/25/2024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</si>
  <si>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</si>
  <si>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</si>
  <si>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</si>
  <si>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</si>
  <si>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16-01-2025</t>
  </si>
  <si>
    <t xml:space="preserve">CUST-7608</t>
  </si>
  <si>
    <t xml:space="preserve">Smart Furnishings 152</t>
  </si>
  <si>
    <t xml:space="preserve">ORD-2025-10418</t>
  </si>
  <si>
    <t xml:space="preserve">02/05/2025</t>
  </si>
  <si>
    <t xml:space="preserve">CUST-5269</t>
  </si>
  <si>
    <t xml:space="preserve">Max Art 736</t>
  </si>
  <si>
    <t xml:space="preserve">ORD-2024-10419</t>
  </si>
  <si>
    <t xml:space="preserve">11/09/2024</t>
  </si>
  <si>
    <t xml:space="preserve">11/17/2024</t>
  </si>
  <si>
    <t xml:space="preserve">CUST-7925</t>
  </si>
  <si>
    <t xml:space="preserve">Elite Copiers 971</t>
  </si>
  <si>
    <t xml:space="preserve">ORD-2025-10420</t>
  </si>
  <si>
    <t xml:space="preserve">26-09-2025</t>
  </si>
  <si>
    <t xml:space="preserve">09/30/2025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</si>
  <si>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</si>
  <si>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</si>
  <si>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</si>
  <si>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</si>
  <si>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</si>
  <si>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</si>
  <si>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</si>
  <si>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06/14/2025</t>
  </si>
  <si>
    <t xml:space="preserve">19 Jun 2025</t>
  </si>
  <si>
    <t xml:space="preserve">CUST-2779</t>
  </si>
  <si>
    <t xml:space="preserve">Elite Binders 943</t>
  </si>
  <si>
    <t xml:space="preserve">ORD-2025-10423</t>
  </si>
  <si>
    <t xml:space="preserve">09/03/2025</t>
  </si>
  <si>
    <t xml:space="preserve">06 Sep 2025</t>
  </si>
  <si>
    <t xml:space="preserve">CUST-6077</t>
  </si>
  <si>
    <t xml:space="preserve">Elite Copiers 474</t>
  </si>
  <si>
    <t xml:space="preserve">ORD-2024-10424</t>
  </si>
  <si>
    <t xml:space="preserve">2024-02-20</t>
  </si>
  <si>
    <t xml:space="preserve">27-02-2024</t>
  </si>
  <si>
    <t xml:space="preserve">CUST-6169</t>
  </si>
  <si>
    <t xml:space="preserve">Prime Accessories 236</t>
  </si>
  <si>
    <t xml:space="preserve">FIRST CLASS</t>
  </si>
  <si>
    <t xml:space="preserve">ORD-2024-10425</t>
  </si>
  <si>
    <t xml:space="preserve">06/26/2024</t>
  </si>
  <si>
    <t xml:space="preserve">2024-06-29</t>
  </si>
  <si>
    <t xml:space="preserve">CUST-8904</t>
  </si>
  <si>
    <t xml:space="preserve">Prime Phones 881</t>
  </si>
  <si>
    <t xml:space="preserve">ORD-2024-10426</t>
  </si>
  <si>
    <t xml:space="preserve">26-09-2024</t>
  </si>
  <si>
    <t xml:space="preserve">09/27/2024</t>
  </si>
  <si>
    <t xml:space="preserve">CUST-9586</t>
  </si>
  <si>
    <t xml:space="preserve">Pro Labels 903</t>
  </si>
  <si>
    <t xml:space="preserve">ORD-2024-10427</t>
  </si>
  <si>
    <t xml:space="preserve">30-06-2024</t>
  </si>
  <si>
    <t xml:space="preserve">01-07-2024</t>
  </si>
  <si>
    <t xml:space="preserve">CUST-5431</t>
  </si>
  <si>
    <t xml:space="preserve">Max Copiers 402</t>
  </si>
  <si>
    <t xml:space="preserve">ORD-2025-10428</t>
  </si>
  <si>
    <t xml:space="preserve">2025-04-22</t>
  </si>
  <si>
    <t xml:space="preserve">24-04-2025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</si>
  <si>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</si>
  <si>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</si>
  <si>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</si>
  <si>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</si>
  <si>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22 Mar 2025</t>
  </si>
  <si>
    <t xml:space="preserve">CUST-7626</t>
  </si>
  <si>
    <t xml:space="preserve">Elite Phones 488</t>
  </si>
  <si>
    <t xml:space="preserve">ORD-2025-10430</t>
  </si>
  <si>
    <t xml:space="preserve">01 Mar 2025</t>
  </si>
  <si>
    <t xml:space="preserve">08-03-2025</t>
  </si>
  <si>
    <t xml:space="preserve">CUST-8562</t>
  </si>
  <si>
    <t xml:space="preserve">Prime Copiers 109</t>
  </si>
  <si>
    <t xml:space="preserve">ORD-2024-10431</t>
  </si>
  <si>
    <t xml:space="preserve">30 Aug 2024</t>
  </si>
  <si>
    <t xml:space="preserve">02-09-2024</t>
  </si>
  <si>
    <t xml:space="preserve">CUST-2732</t>
  </si>
  <si>
    <t xml:space="preserve">Office Supplies </t>
  </si>
  <si>
    <t xml:space="preserve">Max Paper 576</t>
  </si>
  <si>
    <t xml:space="preserve">ORD-2024-10432</t>
  </si>
  <si>
    <t xml:space="preserve">10 Feb 2024</t>
  </si>
  <si>
    <t xml:space="preserve">02/13/2024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</si>
  <si>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</si>
  <si>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</si>
  <si>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</si>
  <si>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</si>
  <si>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</si>
  <si>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</si>
  <si>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04/19/2024</t>
  </si>
  <si>
    <t xml:space="preserve">20-04-2024</t>
  </si>
  <si>
    <t xml:space="preserve">CUST-7066</t>
  </si>
  <si>
    <t xml:space="preserve">Elite Art 946</t>
  </si>
  <si>
    <t xml:space="preserve">ORD-2025-10435</t>
  </si>
  <si>
    <t xml:space="preserve">04/11/2025</t>
  </si>
  <si>
    <t xml:space="preserve">2025-04-15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</si>
  <si>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</si>
  <si>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</si>
  <si>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</si>
  <si>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</si>
  <si>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</si>
  <si>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</si>
  <si>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</si>
  <si>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16 Jun 2024</t>
  </si>
  <si>
    <t xml:space="preserve">21 Jun 2024</t>
  </si>
  <si>
    <t xml:space="preserve">CUST-4492</t>
  </si>
  <si>
    <t xml:space="preserve">Max Furnishings 803</t>
  </si>
  <si>
    <t xml:space="preserve">ORD-2024-10438</t>
  </si>
  <si>
    <t xml:space="preserve">15-02-2024</t>
  </si>
  <si>
    <t xml:space="preserve">2024-02-18</t>
  </si>
  <si>
    <t xml:space="preserve">CUST-5029</t>
  </si>
  <si>
    <t xml:space="preserve">  Accessories </t>
  </si>
  <si>
    <t xml:space="preserve">Max Accessories 423</t>
  </si>
  <si>
    <t xml:space="preserve">ORD-2025-10439</t>
  </si>
  <si>
    <t xml:space="preserve">05/05/2025</t>
  </si>
  <si>
    <t xml:space="preserve">CUST-7252</t>
  </si>
  <si>
    <t xml:space="preserve">Elite Phones 276</t>
  </si>
  <si>
    <t xml:space="preserve">ORD-2025-10440</t>
  </si>
  <si>
    <t xml:space="preserve">30-06-2025</t>
  </si>
  <si>
    <t xml:space="preserve">03 Jul 2025</t>
  </si>
  <si>
    <t xml:space="preserve">CUST-7346</t>
  </si>
  <si>
    <t xml:space="preserve">Smart Storage 287</t>
  </si>
  <si>
    <t xml:space="preserve">ORD-2024-10441</t>
  </si>
  <si>
    <t xml:space="preserve">04/02/2024</t>
  </si>
  <si>
    <t xml:space="preserve">04/08/2024</t>
  </si>
  <si>
    <t xml:space="preserve">Basic Machines 610</t>
  </si>
  <si>
    <t xml:space="preserve">ORD-2024-10442</t>
  </si>
  <si>
    <t xml:space="preserve">03-10-2024</t>
  </si>
  <si>
    <t xml:space="preserve">CUST-3975</t>
  </si>
  <si>
    <t xml:space="preserve">Elite Bookcases 393</t>
  </si>
  <si>
    <t xml:space="preserve">ORD-2025-10443</t>
  </si>
  <si>
    <t xml:space="preserve">12 Jan 2025</t>
  </si>
  <si>
    <t xml:space="preserve">2025-01-19</t>
  </si>
  <si>
    <t xml:space="preserve">CUST-6588</t>
  </si>
  <si>
    <t xml:space="preserve">Prime Tables 242</t>
  </si>
  <si>
    <t xml:space="preserve">ORD-2024-10444</t>
  </si>
  <si>
    <t xml:space="preserve">04-04-2024</t>
  </si>
  <si>
    <t xml:space="preserve">CUST-2207</t>
  </si>
  <si>
    <t xml:space="preserve">Basic Furnishings 563</t>
  </si>
  <si>
    <t xml:space="preserve">ORD-2025-10445</t>
  </si>
  <si>
    <t xml:space="preserve">12 Aug 2025</t>
  </si>
  <si>
    <t xml:space="preserve">CUST-4475</t>
  </si>
  <si>
    <t xml:space="preserve">Prime Accessories 482</t>
  </si>
  <si>
    <t xml:space="preserve">ORD-2024-10446</t>
  </si>
  <si>
    <t xml:space="preserve">05/09/2024</t>
  </si>
  <si>
    <t xml:space="preserve">05-05-2024</t>
  </si>
  <si>
    <t xml:space="preserve">CUST-1351</t>
  </si>
  <si>
    <t xml:space="preserve">Eco Bookcases 215</t>
  </si>
  <si>
    <t xml:space="preserve">ORD-2025-10447</t>
  </si>
  <si>
    <t xml:space="preserve">18-09-2025</t>
  </si>
  <si>
    <t xml:space="preserve">19-09-2025</t>
  </si>
  <si>
    <t xml:space="preserve">CUST-9295</t>
  </si>
  <si>
    <t xml:space="preserve">Eco Storage 793</t>
  </si>
  <si>
    <t xml:space="preserve">ORD-2025-10448</t>
  </si>
  <si>
    <t xml:space="preserve">10 Aug 2025</t>
  </si>
  <si>
    <t xml:space="preserve">CUST-3614</t>
  </si>
  <si>
    <t xml:space="preserve">Basic Bookcases 182</t>
  </si>
  <si>
    <t xml:space="preserve">ORD-2024-10449</t>
  </si>
  <si>
    <t xml:space="preserve">01/15/2024</t>
  </si>
  <si>
    <t xml:space="preserve">CUST-1932</t>
  </si>
  <si>
    <t xml:space="preserve">Prime Chairs 631</t>
  </si>
  <si>
    <t xml:space="preserve">ORD-2024-10450</t>
  </si>
  <si>
    <t xml:space="preserve">06-06-2024</t>
  </si>
  <si>
    <t xml:space="preserve">13 Jun 2024</t>
  </si>
  <si>
    <t xml:space="preserve">Basic Machines 808</t>
  </si>
  <si>
    <t xml:space="preserve">ORD-2025-10451</t>
  </si>
  <si>
    <t xml:space="preserve">06/12/2025</t>
  </si>
  <si>
    <t xml:space="preserve">CUST-8672</t>
  </si>
  <si>
    <t xml:space="preserve">Pro Chairs 302</t>
  </si>
  <si>
    <t xml:space="preserve">ORD-2024-10452</t>
  </si>
  <si>
    <t xml:space="preserve">24-03-2024</t>
  </si>
  <si>
    <t xml:space="preserve">26-03-2024</t>
  </si>
  <si>
    <t xml:space="preserve">CUST-3907</t>
  </si>
  <si>
    <t xml:space="preserve">Classic Paper 272</t>
  </si>
  <si>
    <t xml:space="preserve">ORD-2024-10453</t>
  </si>
  <si>
    <t xml:space="preserve">10-05-2024</t>
  </si>
  <si>
    <t xml:space="preserve">CUST-8796</t>
  </si>
  <si>
    <t xml:space="preserve">Smart Accessories 149</t>
  </si>
  <si>
    <t xml:space="preserve">ORD-2025-10454</t>
  </si>
  <si>
    <t xml:space="preserve">05/03/2025</t>
  </si>
  <si>
    <t xml:space="preserve">2025-05-11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</si>
  <si>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</si>
  <si>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</si>
  <si>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</si>
  <si>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</si>
  <si>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28-03-2025</t>
  </si>
  <si>
    <t xml:space="preserve">CUST-8643</t>
  </si>
  <si>
    <t xml:space="preserve">Max Furnishings 821</t>
  </si>
  <si>
    <t xml:space="preserve">ORD-2024-10456</t>
  </si>
  <si>
    <t xml:space="preserve">18 Jul 2024</t>
  </si>
  <si>
    <t xml:space="preserve">22-07-2024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</si>
  <si>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</si>
  <si>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</si>
  <si>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</si>
  <si>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</si>
  <si>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</si>
  <si>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</si>
  <si>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05/04/2024</t>
  </si>
  <si>
    <t xml:space="preserve">2024-05-04</t>
  </si>
  <si>
    <t xml:space="preserve">CUST-4957</t>
  </si>
  <si>
    <t xml:space="preserve">Elite Tables 418</t>
  </si>
  <si>
    <t xml:space="preserve">ORD-2024-10459</t>
  </si>
  <si>
    <t xml:space="preserve">2024-02-10</t>
  </si>
  <si>
    <t xml:space="preserve">CUST-1263</t>
  </si>
  <si>
    <t xml:space="preserve">Pro Phones 907</t>
  </si>
  <si>
    <t xml:space="preserve">ORD-2024-10460</t>
  </si>
  <si>
    <t xml:space="preserve">03/28/2024</t>
  </si>
  <si>
    <t xml:space="preserve">CUST-4745</t>
  </si>
  <si>
    <t xml:space="preserve">Basic Paper 233</t>
  </si>
  <si>
    <t xml:space="preserve">ORD-2025-10461</t>
  </si>
  <si>
    <t xml:space="preserve">30 Sep 2025</t>
  </si>
  <si>
    <t xml:space="preserve">06 Oct 2025</t>
  </si>
  <si>
    <t xml:space="preserve">CUST-5551</t>
  </si>
  <si>
    <t xml:space="preserve">Eco Copiers 603</t>
  </si>
  <si>
    <t xml:space="preserve">ORD-2025-10462</t>
  </si>
  <si>
    <t xml:space="preserve">05/25/2025</t>
  </si>
  <si>
    <t xml:space="preserve">CUST-3659</t>
  </si>
  <si>
    <t xml:space="preserve">Max Paper 700</t>
  </si>
  <si>
    <t xml:space="preserve">ORD-2024-10463</t>
  </si>
  <si>
    <t xml:space="preserve">25-09-2024</t>
  </si>
  <si>
    <t xml:space="preserve">CUST-6594</t>
  </si>
  <si>
    <t xml:space="preserve">Pro Binders 404</t>
  </si>
  <si>
    <t xml:space="preserve">ORD-2025-10464</t>
  </si>
  <si>
    <t xml:space="preserve">2025-02-08</t>
  </si>
  <si>
    <t xml:space="preserve">CUST-2626</t>
  </si>
  <si>
    <t xml:space="preserve">Eco Phones 208</t>
  </si>
  <si>
    <t xml:space="preserve">ORD-2025-10465</t>
  </si>
  <si>
    <t xml:space="preserve">11-03-2025</t>
  </si>
  <si>
    <t xml:space="preserve">03/15/2025</t>
  </si>
  <si>
    <t xml:space="preserve">CUST-7362</t>
  </si>
  <si>
    <t xml:space="preserve">Elite Paper 106</t>
  </si>
  <si>
    <t xml:space="preserve">ORD-2024-10466</t>
  </si>
  <si>
    <t xml:space="preserve">29-01-2024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</si>
  <si>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</si>
  <si>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</si>
  <si>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</si>
  <si>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</si>
  <si>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04-01-2024</t>
  </si>
  <si>
    <t xml:space="preserve">01/08/2024</t>
  </si>
  <si>
    <t xml:space="preserve">CUST-2725</t>
  </si>
  <si>
    <t xml:space="preserve">Max Accessories 486</t>
  </si>
  <si>
    <t xml:space="preserve">ORD-2024-10468</t>
  </si>
  <si>
    <t xml:space="preserve">20-08-2024</t>
  </si>
  <si>
    <t xml:space="preserve">CUST-9470</t>
  </si>
  <si>
    <t xml:space="preserve">Max Copiers 867</t>
  </si>
  <si>
    <t xml:space="preserve">ORD-2025-10469</t>
  </si>
  <si>
    <t xml:space="preserve">09 Jan 2025</t>
  </si>
  <si>
    <t xml:space="preserve">07 Jan 2025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</si>
  <si>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</si>
  <si>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</si>
  <si>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</si>
  <si>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</si>
  <si>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</si>
  <si>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</si>
  <si>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</si>
  <si>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28-07-2024</t>
  </si>
  <si>
    <t xml:space="preserve">CUST-4970</t>
  </si>
  <si>
    <t xml:space="preserve">Pro Tables 833</t>
  </si>
  <si>
    <t xml:space="preserve">ORD-2024-10472</t>
  </si>
  <si>
    <t xml:space="preserve">11-02-2024</t>
  </si>
  <si>
    <t xml:space="preserve">02/15/2024</t>
  </si>
  <si>
    <t xml:space="preserve">CUST-6147</t>
  </si>
  <si>
    <t xml:space="preserve">Prime Binders 497</t>
  </si>
  <si>
    <t xml:space="preserve">ORD-2024-10473</t>
  </si>
  <si>
    <t xml:space="preserve">02-03-2024</t>
  </si>
  <si>
    <t xml:space="preserve">CUST-7208</t>
  </si>
  <si>
    <t xml:space="preserve">Pro Storage 756</t>
  </si>
  <si>
    <t xml:space="preserve">ORD-2024-10474</t>
  </si>
  <si>
    <t xml:space="preserve">13-11-2024</t>
  </si>
  <si>
    <t xml:space="preserve">CUST-2794</t>
  </si>
  <si>
    <t xml:space="preserve">Max Copiers 829</t>
  </si>
  <si>
    <t xml:space="preserve">ORD-2024-10475</t>
  </si>
  <si>
    <t xml:space="preserve">2024-06-10</t>
  </si>
  <si>
    <t xml:space="preserve">CUST-6249</t>
  </si>
  <si>
    <t xml:space="preserve">Prime Furnishings 827</t>
  </si>
  <si>
    <t xml:space="preserve">ORD-2025-10476</t>
  </si>
  <si>
    <t xml:space="preserve">03/01/2025</t>
  </si>
  <si>
    <t xml:space="preserve">08 Mar 2025</t>
  </si>
  <si>
    <t xml:space="preserve">CUST-5712</t>
  </si>
  <si>
    <t xml:space="preserve">Eco Chairs 365</t>
  </si>
  <si>
    <t xml:space="preserve">ORD-2024-10477</t>
  </si>
  <si>
    <t xml:space="preserve">05/07/2024</t>
  </si>
  <si>
    <t xml:space="preserve">05/14/2024</t>
  </si>
  <si>
    <t xml:space="preserve">CUST-3004</t>
  </si>
  <si>
    <t xml:space="preserve">Classic Storage 545</t>
  </si>
  <si>
    <t xml:space="preserve">ORD-2025-10478</t>
  </si>
  <si>
    <t xml:space="preserve">08/23/2025</t>
  </si>
  <si>
    <t xml:space="preserve">28-08-2025</t>
  </si>
  <si>
    <t xml:space="preserve">CUST-6920</t>
  </si>
  <si>
    <t xml:space="preserve">Pro Chairs 186</t>
  </si>
  <si>
    <t xml:space="preserve">ORD-2024-10479</t>
  </si>
  <si>
    <t xml:space="preserve">06/09/2024</t>
  </si>
  <si>
    <t xml:space="preserve">2024-06-13</t>
  </si>
  <si>
    <t xml:space="preserve">CUST-4838</t>
  </si>
  <si>
    <t xml:space="preserve">Classic Machines 561</t>
  </si>
  <si>
    <t xml:space="preserve">ORD-2024-10480</t>
  </si>
  <si>
    <t xml:space="preserve">23 Feb 2024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</si>
  <si>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</si>
  <si>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</si>
  <si>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</si>
  <si>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</si>
  <si>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</si>
  <si>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</si>
  <si>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</si>
  <si>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06/13/2025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</si>
  <si>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</si>
  <si>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</si>
  <si>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</si>
  <si>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</si>
  <si>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</si>
  <si>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</si>
  <si>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25-12-2024</t>
  </si>
  <si>
    <t xml:space="preserve">CUST-9432</t>
  </si>
  <si>
    <t xml:space="preserve">Pro Copiers 984</t>
  </si>
  <si>
    <t xml:space="preserve">ORD-2024-10485</t>
  </si>
  <si>
    <t xml:space="preserve">2024-12-28</t>
  </si>
  <si>
    <t xml:space="preserve">12/31/2024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</si>
  <si>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</si>
  <si>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</si>
  <si>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</si>
  <si>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</si>
  <si>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</si>
  <si>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</si>
  <si>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22-06-2025</t>
  </si>
  <si>
    <t xml:space="preserve">06/26/2025</t>
  </si>
  <si>
    <t xml:space="preserve">CUST-8132</t>
  </si>
  <si>
    <t xml:space="preserve">Pro Tables 257</t>
  </si>
  <si>
    <t xml:space="preserve">ORD-2025-10488</t>
  </si>
  <si>
    <t xml:space="preserve">06/17/2025</t>
  </si>
  <si>
    <t xml:space="preserve">CUST-7685</t>
  </si>
  <si>
    <t xml:space="preserve">Prime Furnishings 299</t>
  </si>
  <si>
    <t xml:space="preserve">ORD-2024-10489</t>
  </si>
  <si>
    <t xml:space="preserve">14 Oct 2024</t>
  </si>
  <si>
    <t xml:space="preserve">2024-10-20</t>
  </si>
  <si>
    <t xml:space="preserve">CUST-2183</t>
  </si>
  <si>
    <t xml:space="preserve">North </t>
  </si>
  <si>
    <t xml:space="preserve">Eco Tables 487</t>
  </si>
  <si>
    <t xml:space="preserve">ORD-2024-10490</t>
  </si>
  <si>
    <t xml:space="preserve">2024-02-12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</si>
  <si>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</si>
  <si>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</si>
  <si>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</si>
  <si>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</si>
  <si>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</si>
  <si>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</si>
  <si>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</si>
  <si>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30-04-2025</t>
  </si>
  <si>
    <t xml:space="preserve">CUST-4101</t>
  </si>
  <si>
    <t xml:space="preserve">Prime Accessories 118</t>
  </si>
  <si>
    <t xml:space="preserve">ORD-2025-10493</t>
  </si>
  <si>
    <t xml:space="preserve">28-06-2025</t>
  </si>
  <si>
    <t xml:space="preserve">07/02/2025</t>
  </si>
  <si>
    <t xml:space="preserve">CUST-4679</t>
  </si>
  <si>
    <t xml:space="preserve">Elite Storage 331</t>
  </si>
  <si>
    <t xml:space="preserve">ORD-2025-10494</t>
  </si>
  <si>
    <t xml:space="preserve">2025-02-13</t>
  </si>
  <si>
    <t xml:space="preserve">CUST-3765</t>
  </si>
  <si>
    <t xml:space="preserve">Prime Paper 996</t>
  </si>
  <si>
    <t xml:space="preserve">COMPLETED</t>
  </si>
  <si>
    <t xml:space="preserve">ORD-2024-10495</t>
  </si>
  <si>
    <t xml:space="preserve">2024-11-14</t>
  </si>
  <si>
    <t xml:space="preserve">2024-11-22</t>
  </si>
  <si>
    <t xml:space="preserve">CUST-9056</t>
  </si>
  <si>
    <t xml:space="preserve">Smart Phones 125</t>
  </si>
  <si>
    <t xml:space="preserve">ORD-2024-10496</t>
  </si>
  <si>
    <t xml:space="preserve">05/15/2024</t>
  </si>
  <si>
    <t xml:space="preserve">CUST-9801</t>
  </si>
  <si>
    <t xml:space="preserve">Eco Phones 220</t>
  </si>
  <si>
    <t xml:space="preserve">ORD-2025-10497</t>
  </si>
  <si>
    <t xml:space="preserve">2025-07-04</t>
  </si>
  <si>
    <t xml:space="preserve">2025-07-06</t>
  </si>
  <si>
    <t xml:space="preserve">CUST-2038</t>
  </si>
  <si>
    <t xml:space="preserve">Eco Chairs 795</t>
  </si>
  <si>
    <t xml:space="preserve">ORD-2024-10498</t>
  </si>
  <si>
    <t xml:space="preserve">29 Aug 2024</t>
  </si>
  <si>
    <t xml:space="preserve">CUST-1567</t>
  </si>
  <si>
    <t xml:space="preserve">Smart Accessories 896</t>
  </si>
  <si>
    <t xml:space="preserve">ORD-2025-10499</t>
  </si>
  <si>
    <t xml:space="preserve">2025-09-07</t>
  </si>
  <si>
    <t xml:space="preserve">10 Sep 2025</t>
  </si>
  <si>
    <t xml:space="preserve">CUST-1190</t>
  </si>
  <si>
    <t xml:space="preserve">Basic Chairs 255</t>
  </si>
  <si>
    <t xml:space="preserve">cancelled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</si>
  <si>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</si>
  <si>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</si>
  <si>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</si>
  <si>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</si>
  <si>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</si>
  <si>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05/22/2024</t>
  </si>
  <si>
    <t xml:space="preserve">CUST-7661</t>
  </si>
  <si>
    <t xml:space="preserve">Prime Phones 533</t>
  </si>
  <si>
    <t xml:space="preserve">ORD-2024-10502</t>
  </si>
  <si>
    <t xml:space="preserve">11 Aug 2024</t>
  </si>
  <si>
    <t xml:space="preserve">08/17/2024</t>
  </si>
  <si>
    <t xml:space="preserve">Elite Art 325</t>
  </si>
  <si>
    <t xml:space="preserve">ORD-2024-10503</t>
  </si>
  <si>
    <t xml:space="preserve">04/01/2024</t>
  </si>
  <si>
    <t xml:space="preserve">2024-04-09</t>
  </si>
  <si>
    <t xml:space="preserve">CUST-1534</t>
  </si>
  <si>
    <t xml:space="preserve">  East 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</si>
  <si>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</si>
  <si>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</si>
  <si>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</si>
  <si>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</si>
  <si>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</si>
  <si>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</si>
  <si>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</si>
  <si>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2025-02-12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</si>
  <si>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</si>
  <si>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</si>
  <si>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</si>
  <si>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</si>
  <si>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2024-11-09</t>
  </si>
  <si>
    <t xml:space="preserve">CUST-5458</t>
  </si>
  <si>
    <t xml:space="preserve">Classic Art 339</t>
  </si>
  <si>
    <t xml:space="preserve">ORD-2024-10507</t>
  </si>
  <si>
    <t xml:space="preserve">15-12-2024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</si>
  <si>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</si>
  <si>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</si>
  <si>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</si>
  <si>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</si>
  <si>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</si>
  <si>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</si>
  <si>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</si>
  <si>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31 Mar 2024</t>
  </si>
  <si>
    <t xml:space="preserve">CUST-3333</t>
  </si>
  <si>
    <t xml:space="preserve">Smart Machines 853</t>
  </si>
  <si>
    <t xml:space="preserve">ORD-2025-10510</t>
  </si>
  <si>
    <t xml:space="preserve">2025-05-12</t>
  </si>
  <si>
    <t xml:space="preserve">05/14/2025</t>
  </si>
  <si>
    <t xml:space="preserve">CUST-7901</t>
  </si>
  <si>
    <t xml:space="preserve">Classic Machines 599</t>
  </si>
  <si>
    <t xml:space="preserve">ORD-2024-10511</t>
  </si>
  <si>
    <t xml:space="preserve">21-10-2024</t>
  </si>
  <si>
    <t xml:space="preserve">CUST-9759</t>
  </si>
  <si>
    <t xml:space="preserve">Aarav  Sharma</t>
  </si>
  <si>
    <t xml:space="preserve">Pro Storage 373</t>
  </si>
  <si>
    <t xml:space="preserve">ORD-2024-10512</t>
  </si>
  <si>
    <t xml:space="preserve">10/23/2024</t>
  </si>
  <si>
    <t xml:space="preserve">26 Oct 2024</t>
  </si>
  <si>
    <t xml:space="preserve">CUST-7232</t>
  </si>
  <si>
    <t xml:space="preserve">Smart Bookcases 920</t>
  </si>
  <si>
    <t xml:space="preserve">ORD-2025-10513</t>
  </si>
  <si>
    <t xml:space="preserve">2025-03-03</t>
  </si>
  <si>
    <t xml:space="preserve">Pro Labels 849</t>
  </si>
  <si>
    <t xml:space="preserve">ORD-2025-10514</t>
  </si>
  <si>
    <t xml:space="preserve">CUST-8993</t>
  </si>
  <si>
    <t xml:space="preserve">Accessories </t>
  </si>
  <si>
    <t xml:space="preserve">Prime Accessories 849</t>
  </si>
  <si>
    <t xml:space="preserve">ORD-2024-10515</t>
  </si>
  <si>
    <t xml:space="preserve">18 Nov 2024</t>
  </si>
  <si>
    <t xml:space="preserve">CUST-7729</t>
  </si>
  <si>
    <t xml:space="preserve">Smart Accessories 388</t>
  </si>
  <si>
    <t xml:space="preserve">ORD-2025-10516</t>
  </si>
  <si>
    <t xml:space="preserve">2025-04-11</t>
  </si>
  <si>
    <t xml:space="preserve">CUST-9986</t>
  </si>
  <si>
    <t xml:space="preserve">Classic Paper 752</t>
  </si>
  <si>
    <t xml:space="preserve">ORD-2024-10517</t>
  </si>
  <si>
    <t xml:space="preserve">09/28/2024</t>
  </si>
  <si>
    <t xml:space="preserve">04 Oct 2024</t>
  </si>
  <si>
    <t xml:space="preserve">CUST-2731</t>
  </si>
  <si>
    <t xml:space="preserve">Classic Copiers 143</t>
  </si>
  <si>
    <t xml:space="preserve">ORD-2025-10518</t>
  </si>
  <si>
    <t xml:space="preserve">2025-05-25</t>
  </si>
  <si>
    <t xml:space="preserve">CUST-4235</t>
  </si>
  <si>
    <t xml:space="preserve">Basic Furnishings 386</t>
  </si>
  <si>
    <t xml:space="preserve">ORD-2025-10519</t>
  </si>
  <si>
    <t xml:space="preserve">26 Apr 2025</t>
  </si>
  <si>
    <t xml:space="preserve">CUST-3377</t>
  </si>
  <si>
    <t xml:space="preserve">Classic Tables 592</t>
  </si>
  <si>
    <t xml:space="preserve">ORD-2025-10520</t>
  </si>
  <si>
    <t xml:space="preserve">2025-07-07</t>
  </si>
  <si>
    <t xml:space="preserve">CUST-3258</t>
  </si>
  <si>
    <t xml:space="preserve">Pro Tables 412</t>
  </si>
  <si>
    <t xml:space="preserve">ORD-2024-10521</t>
  </si>
  <si>
    <t xml:space="preserve">23 Jul 2024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</si>
  <si>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</si>
  <si>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</si>
  <si>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</si>
  <si>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</si>
  <si>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2025-04-01</t>
  </si>
  <si>
    <t xml:space="preserve">CUST-8012</t>
  </si>
  <si>
    <t xml:space="preserve">Classic Labels 776</t>
  </si>
  <si>
    <t xml:space="preserve">ORD-2025-10523</t>
  </si>
  <si>
    <t xml:space="preserve">02/28/2025</t>
  </si>
  <si>
    <t xml:space="preserve">CUST-2917</t>
  </si>
  <si>
    <t xml:space="preserve">Max Phones 612</t>
  </si>
  <si>
    <t xml:space="preserve">ORD-2024-10524</t>
  </si>
  <si>
    <t xml:space="preserve">02-04-2024</t>
  </si>
  <si>
    <t xml:space="preserve">2024-04-03</t>
  </si>
  <si>
    <t xml:space="preserve">CUST-4653</t>
  </si>
  <si>
    <t xml:space="preserve">Basic Paper 315</t>
  </si>
  <si>
    <t xml:space="preserve">ORD-2024-10525</t>
  </si>
  <si>
    <t xml:space="preserve">30 Nov 2024</t>
  </si>
  <si>
    <t xml:space="preserve">01 Dec 2024</t>
  </si>
  <si>
    <t xml:space="preserve">CUST-3311</t>
  </si>
  <si>
    <t xml:space="preserve">Basic Chairs 333</t>
  </si>
  <si>
    <t xml:space="preserve">ORD-2024-10526</t>
  </si>
  <si>
    <t xml:space="preserve">10/17/2024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</si>
  <si>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</si>
  <si>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</si>
  <si>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</si>
  <si>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</si>
  <si>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2025-07-18</t>
  </si>
  <si>
    <t xml:space="preserve">21 Jul 2025</t>
  </si>
  <si>
    <t xml:space="preserve">CUST-7198</t>
  </si>
  <si>
    <t xml:space="preserve">Elite Tables 815</t>
  </si>
  <si>
    <t xml:space="preserve">ORD-2025-10528</t>
  </si>
  <si>
    <t xml:space="preserve">01-10-2025</t>
  </si>
  <si>
    <t xml:space="preserve">2025-10-05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</si>
  <si>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</si>
  <si>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</si>
  <si>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</si>
  <si>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</si>
  <si>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09-10-2024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</si>
  <si>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</si>
  <si>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</si>
  <si>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</si>
  <si>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</si>
  <si>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</si>
  <si>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</si>
  <si>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05/30/2025</t>
  </si>
  <si>
    <t xml:space="preserve">2025-06-01</t>
  </si>
  <si>
    <t xml:space="preserve">CUST-8177</t>
  </si>
  <si>
    <t xml:space="preserve">Eco Binders 352</t>
  </si>
  <si>
    <t xml:space="preserve">ORD-2024-10532</t>
  </si>
  <si>
    <t xml:space="preserve">08-08-2024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</si>
  <si>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</si>
  <si>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</si>
  <si>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</si>
  <si>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</si>
  <si>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</si>
  <si>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</si>
  <si>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25 Aug 2024</t>
  </si>
  <si>
    <t xml:space="preserve">CUST-4487</t>
  </si>
  <si>
    <t xml:space="preserve">Smart Tables 659</t>
  </si>
  <si>
    <t xml:space="preserve">ORD-2025-10535</t>
  </si>
  <si>
    <t xml:space="preserve">04/27/2025</t>
  </si>
  <si>
    <t xml:space="preserve">2025-05-05</t>
  </si>
  <si>
    <t xml:space="preserve">CUST-8204</t>
  </si>
  <si>
    <t xml:space="preserve">Classic Accessories 325</t>
  </si>
  <si>
    <t xml:space="preserve">ORD-2024-10536</t>
  </si>
  <si>
    <t xml:space="preserve">19-05-2024</t>
  </si>
  <si>
    <t xml:space="preserve">21 May 2024</t>
  </si>
  <si>
    <t xml:space="preserve">CUST-1729</t>
  </si>
  <si>
    <t xml:space="preserve">Eco Copiers 243</t>
  </si>
  <si>
    <t xml:space="preserve">ORD-2025-10537</t>
  </si>
  <si>
    <t xml:space="preserve">2025-04-10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</si>
  <si>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</si>
  <si>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</si>
  <si>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</si>
  <si>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</si>
  <si>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2024-01-30</t>
  </si>
  <si>
    <t xml:space="preserve">CUST-1370</t>
  </si>
  <si>
    <t xml:space="preserve">Classic Art 772</t>
  </si>
  <si>
    <t xml:space="preserve">ORD-2024-10539</t>
  </si>
  <si>
    <t xml:space="preserve">01-10-2024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</si>
  <si>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</si>
  <si>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</si>
  <si>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</si>
  <si>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</si>
  <si>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mira das</t>
  </si>
  <si>
    <t xml:space="preserve">Classic Chairs 666</t>
  </si>
  <si>
    <t xml:space="preserve">ORD-2024-10541</t>
  </si>
  <si>
    <t xml:space="preserve">26-02-2024</t>
  </si>
  <si>
    <t xml:space="preserve">CUST-7563</t>
  </si>
  <si>
    <t xml:space="preserve">Basic Furnishings 350</t>
  </si>
  <si>
    <t xml:space="preserve">ORD-2025-10542</t>
  </si>
  <si>
    <t xml:space="preserve">08-07-2025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</si>
  <si>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</si>
  <si>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</si>
  <si>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</si>
  <si>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</si>
  <si>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09/17/2024</t>
  </si>
  <si>
    <t xml:space="preserve">2024-09-23</t>
  </si>
  <si>
    <t xml:space="preserve">CUST-9376</t>
  </si>
  <si>
    <t xml:space="preserve">Eco Bookcases 759</t>
  </si>
  <si>
    <t xml:space="preserve">CANCELLED</t>
  </si>
  <si>
    <t xml:space="preserve">ORD-2024-10544</t>
  </si>
  <si>
    <t xml:space="preserve">2024-07-14</t>
  </si>
  <si>
    <t xml:space="preserve">CUST-9094</t>
  </si>
  <si>
    <t xml:space="preserve">Max Copiers 440</t>
  </si>
  <si>
    <t xml:space="preserve">ORD-2025-10545</t>
  </si>
  <si>
    <t xml:space="preserve">2025-01-29</t>
  </si>
  <si>
    <t xml:space="preserve">CUST-2366</t>
  </si>
  <si>
    <t xml:space="preserve">Smart Art 201</t>
  </si>
  <si>
    <t xml:space="preserve">ORD-2024-10546</t>
  </si>
  <si>
    <t xml:space="preserve">05/27/2024</t>
  </si>
  <si>
    <t xml:space="preserve">30 May 2024</t>
  </si>
  <si>
    <t xml:space="preserve">CUST-7168</t>
  </si>
  <si>
    <t xml:space="preserve">Classic Storage 755</t>
  </si>
  <si>
    <t xml:space="preserve">ORD-2025-10547</t>
  </si>
  <si>
    <t xml:space="preserve">2025-08-14</t>
  </si>
  <si>
    <t xml:space="preserve">CUST-8157</t>
  </si>
  <si>
    <t xml:space="preserve">office supplies</t>
  </si>
  <si>
    <t xml:space="preserve">Prime Paper 143</t>
  </si>
  <si>
    <t xml:space="preserve">ORD-2024-10548</t>
  </si>
  <si>
    <t xml:space="preserve">16 May 2024</t>
  </si>
  <si>
    <t xml:space="preserve">23 May 2024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</si>
  <si>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</si>
  <si>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</si>
  <si>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</si>
  <si>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</si>
  <si>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</si>
  <si>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</si>
  <si>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10/11/2025</t>
  </si>
  <si>
    <t xml:space="preserve">13 Oct 2025</t>
  </si>
  <si>
    <t xml:space="preserve">CUST-6028</t>
  </si>
  <si>
    <t xml:space="preserve">Pro Art 287</t>
  </si>
  <si>
    <t xml:space="preserve">ORD-2024-10551</t>
  </si>
  <si>
    <t xml:space="preserve">08/10/2024</t>
  </si>
  <si>
    <t xml:space="preserve">CUST-8687</t>
  </si>
  <si>
    <t xml:space="preserve">Max Accessories 591</t>
  </si>
  <si>
    <t xml:space="preserve">ORD-2024-10552</t>
  </si>
  <si>
    <t xml:space="preserve">2024-02-27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</si>
  <si>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</si>
  <si>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</si>
  <si>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</si>
  <si>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</si>
  <si>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</si>
  <si>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</si>
  <si>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04/25/2025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</si>
  <si>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</si>
  <si>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</si>
  <si>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</si>
  <si>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</si>
  <si>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</si>
  <si>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17 Oct 2024</t>
  </si>
  <si>
    <t xml:space="preserve">CUST-2126</t>
  </si>
  <si>
    <t xml:space="preserve">Prime Furnishings 892</t>
  </si>
  <si>
    <t xml:space="preserve">ORD-2025-10556</t>
  </si>
  <si>
    <t xml:space="preserve">10 Feb 2025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</si>
  <si>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</si>
  <si>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</si>
  <si>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</si>
  <si>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</si>
  <si>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</si>
  <si>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</si>
  <si>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2024-05-08</t>
  </si>
  <si>
    <t xml:space="preserve">14-05-2024</t>
  </si>
  <si>
    <t xml:space="preserve">CUST-8848</t>
  </si>
  <si>
    <t xml:space="preserve">Prime Phones 503</t>
  </si>
  <si>
    <t xml:space="preserve">ORD-2025-10559</t>
  </si>
  <si>
    <t xml:space="preserve">2025-09-04</t>
  </si>
  <si>
    <t xml:space="preserve">09/04/2025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</si>
  <si>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</si>
  <si>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</si>
  <si>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</si>
  <si>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</si>
  <si>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</si>
  <si>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</si>
  <si>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</si>
  <si>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</si>
  <si>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</si>
  <si>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</si>
  <si>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</si>
  <si>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18 Jul 2025</t>
  </si>
  <si>
    <t xml:space="preserve">CUST-6654</t>
  </si>
  <si>
    <t xml:space="preserve">Eco Copiers 954</t>
  </si>
  <si>
    <t xml:space="preserve">ORD-2024-10563</t>
  </si>
  <si>
    <t xml:space="preserve">10 May 2024</t>
  </si>
  <si>
    <t xml:space="preserve">CUST-8622</t>
  </si>
  <si>
    <t xml:space="preserve">Elite Binders 143</t>
  </si>
  <si>
    <t xml:space="preserve">ORD-2024-10564</t>
  </si>
  <si>
    <t xml:space="preserve">05/06/2024</t>
  </si>
  <si>
    <t xml:space="preserve">CUST-8776</t>
  </si>
  <si>
    <t xml:space="preserve">Classic Tables 560</t>
  </si>
  <si>
    <t xml:space="preserve">ORD-2024-10565</t>
  </si>
  <si>
    <t xml:space="preserve">14-11-2024</t>
  </si>
  <si>
    <t xml:space="preserve">CUST-9100</t>
  </si>
  <si>
    <t xml:space="preserve">Basic Tables 759</t>
  </si>
  <si>
    <t xml:space="preserve">ORD-2025-10566</t>
  </si>
  <si>
    <t xml:space="preserve">07 Aug 2025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</si>
  <si>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</si>
  <si>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</si>
  <si>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</si>
  <si>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</si>
  <si>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</si>
  <si>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</si>
  <si>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</si>
  <si>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06 Feb 2024</t>
  </si>
  <si>
    <t xml:space="preserve">10-02-2024</t>
  </si>
  <si>
    <t xml:space="preserve">CUST-3128</t>
  </si>
  <si>
    <t xml:space="preserve">ORD-2024-10569</t>
  </si>
  <si>
    <t xml:space="preserve">24 Jan 2024</t>
  </si>
  <si>
    <t xml:space="preserve">CUST-4604</t>
  </si>
  <si>
    <t xml:space="preserve">Classic Machines 522</t>
  </si>
  <si>
    <t xml:space="preserve">ORD-2025-10570</t>
  </si>
  <si>
    <t xml:space="preserve">09/08/2025</t>
  </si>
  <si>
    <t xml:space="preserve">2025-09-10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</si>
  <si>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</si>
  <si>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</si>
  <si>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</si>
  <si>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</si>
  <si>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</si>
  <si>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</si>
  <si>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2025-02-14</t>
  </si>
  <si>
    <t xml:space="preserve">CUST-3425</t>
  </si>
  <si>
    <t xml:space="preserve">Prime Phones 895</t>
  </si>
  <si>
    <t xml:space="preserve">ORD-2024-10573</t>
  </si>
  <si>
    <t xml:space="preserve">01/02/2024</t>
  </si>
  <si>
    <t xml:space="preserve">09-01-2024</t>
  </si>
  <si>
    <t xml:space="preserve">CUST-8633</t>
  </si>
  <si>
    <t xml:space="preserve">  Diya Patel </t>
  </si>
  <si>
    <t xml:space="preserve">Eco Phones 368</t>
  </si>
  <si>
    <t xml:space="preserve">ORD-2025-10574</t>
  </si>
  <si>
    <t xml:space="preserve">09/22/2025</t>
  </si>
  <si>
    <t xml:space="preserve">09/26/2025</t>
  </si>
  <si>
    <t xml:space="preserve">CUST-8243</t>
  </si>
  <si>
    <t xml:space="preserve">Pro Phones 644</t>
  </si>
  <si>
    <t xml:space="preserve">ORD-2024-10575</t>
  </si>
  <si>
    <t xml:space="preserve">20 Feb 2024</t>
  </si>
  <si>
    <t xml:space="preserve">Smart Machines 566</t>
  </si>
  <si>
    <t xml:space="preserve">ORD-2025-10576</t>
  </si>
  <si>
    <t xml:space="preserve">11 Mar 2025</t>
  </si>
  <si>
    <t xml:space="preserve">14 Mar 2025</t>
  </si>
  <si>
    <t xml:space="preserve">CUST-5496</t>
  </si>
  <si>
    <t xml:space="preserve">Elite Furnishings 173</t>
  </si>
  <si>
    <t xml:space="preserve">ORD-2024-10577</t>
  </si>
  <si>
    <t xml:space="preserve">17-02-2024</t>
  </si>
  <si>
    <t xml:space="preserve">02/23/2024</t>
  </si>
  <si>
    <t xml:space="preserve">CUST-2228</t>
  </si>
  <si>
    <t xml:space="preserve">Smart Binders 417</t>
  </si>
  <si>
    <t xml:space="preserve">ORD-2025-10578</t>
  </si>
  <si>
    <t xml:space="preserve">2025-09-03</t>
  </si>
  <si>
    <t xml:space="preserve">CUST-4151</t>
  </si>
  <si>
    <t xml:space="preserve">Smart Furnishings 714</t>
  </si>
  <si>
    <t xml:space="preserve">ORD-2024-10579</t>
  </si>
  <si>
    <t xml:space="preserve">2024-02-21</t>
  </si>
  <si>
    <t xml:space="preserve">23-02-2024</t>
  </si>
  <si>
    <t xml:space="preserve">Elite Copiers 682</t>
  </si>
  <si>
    <t xml:space="preserve">ORD-2024-10580</t>
  </si>
  <si>
    <t xml:space="preserve">19-06-2024</t>
  </si>
  <si>
    <t xml:space="preserve">24 Jun 2024</t>
  </si>
  <si>
    <t xml:space="preserve">CUST-9617</t>
  </si>
  <si>
    <t xml:space="preserve">Pro Storage 482</t>
  </si>
  <si>
    <t xml:space="preserve">ORD-2025-10581</t>
  </si>
  <si>
    <t xml:space="preserve">06-03-2025</t>
  </si>
  <si>
    <t xml:space="preserve">CUST-7958</t>
  </si>
  <si>
    <t xml:space="preserve">Pro Chairs 888</t>
  </si>
  <si>
    <t xml:space="preserve">ORD-2025-10582</t>
  </si>
  <si>
    <t xml:space="preserve">08/10/2025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</si>
  <si>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</si>
  <si>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</si>
  <si>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</si>
  <si>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</si>
  <si>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10/20/2024</t>
  </si>
  <si>
    <t xml:space="preserve">CUST-2088</t>
  </si>
  <si>
    <t xml:space="preserve">Basic Art 174</t>
  </si>
  <si>
    <t xml:space="preserve">ORD-2024-10584</t>
  </si>
  <si>
    <t xml:space="preserve">02/28/2024</t>
  </si>
  <si>
    <t xml:space="preserve">CUST-1686</t>
  </si>
  <si>
    <t xml:space="preserve">Classic Storage 451</t>
  </si>
  <si>
    <t xml:space="preserve">ORD-2024-10585</t>
  </si>
  <si>
    <t xml:space="preserve">08/04/2024</t>
  </si>
  <si>
    <t xml:space="preserve">10-08-2024</t>
  </si>
  <si>
    <t xml:space="preserve">CUST-4894</t>
  </si>
  <si>
    <t xml:space="preserve">Pro Art 172</t>
  </si>
  <si>
    <t xml:space="preserve">ORD-2025-10586</t>
  </si>
  <si>
    <t xml:space="preserve">2025-06-25</t>
  </si>
  <si>
    <t xml:space="preserve">CUST-5201</t>
  </si>
  <si>
    <t xml:space="preserve">Prime Phones 744</t>
  </si>
  <si>
    <t xml:space="preserve">ORD-2025-10587</t>
  </si>
  <si>
    <t xml:space="preserve">12-04-2025</t>
  </si>
  <si>
    <t xml:space="preserve">12 Apr 2025</t>
  </si>
  <si>
    <t xml:space="preserve">CUST-8626</t>
  </si>
  <si>
    <t xml:space="preserve">Prime Binders 249</t>
  </si>
  <si>
    <t xml:space="preserve">ORD-2025-10588</t>
  </si>
  <si>
    <t xml:space="preserve">23-07-2025</t>
  </si>
  <si>
    <t xml:space="preserve">2025-07-31</t>
  </si>
  <si>
    <t xml:space="preserve">CUST-1013</t>
  </si>
  <si>
    <t xml:space="preserve">Eco Accessories 948</t>
  </si>
  <si>
    <t xml:space="preserve">ORD-2025-10589</t>
  </si>
  <si>
    <t xml:space="preserve">2025-03-11</t>
  </si>
  <si>
    <t xml:space="preserve">15 Mar 2025</t>
  </si>
  <si>
    <t xml:space="preserve">CUST-3601</t>
  </si>
  <si>
    <t xml:space="preserve">Classic Accessories 458</t>
  </si>
  <si>
    <t xml:space="preserve">ORD-2024-10590</t>
  </si>
  <si>
    <t xml:space="preserve">06 Dec 2024</t>
  </si>
  <si>
    <t xml:space="preserve">12/12/2024</t>
  </si>
  <si>
    <t xml:space="preserve">CUST-7846</t>
  </si>
  <si>
    <t xml:space="preserve">Max Phones 318</t>
  </si>
  <si>
    <t xml:space="preserve">ORD-2024-10591</t>
  </si>
  <si>
    <t xml:space="preserve">2024-05-29</t>
  </si>
  <si>
    <t xml:space="preserve">CUST-3433</t>
  </si>
  <si>
    <t xml:space="preserve">Elite Chairs 372</t>
  </si>
  <si>
    <t xml:space="preserve">  Pending </t>
  </si>
  <si>
    <t xml:space="preserve">ORD-2024-10592</t>
  </si>
  <si>
    <t xml:space="preserve">2024-02-22</t>
  </si>
  <si>
    <t xml:space="preserve">24-02-2024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</si>
  <si>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</si>
  <si>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</si>
  <si>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</si>
  <si>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</si>
  <si>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</si>
  <si>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</si>
  <si>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2025-09-29</t>
  </si>
  <si>
    <t xml:space="preserve">Eco Tables 550</t>
  </si>
  <si>
    <t xml:space="preserve">ORD-2024-10595</t>
  </si>
  <si>
    <t xml:space="preserve">2024-09-19</t>
  </si>
  <si>
    <t xml:space="preserve">CUST-6850</t>
  </si>
  <si>
    <t xml:space="preserve">Basic Chairs 932</t>
  </si>
  <si>
    <t xml:space="preserve">ORD-2025-10596</t>
  </si>
  <si>
    <t xml:space="preserve">02/11/2025</t>
  </si>
  <si>
    <t xml:space="preserve">16-02-2025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</si>
  <si>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</si>
  <si>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</si>
  <si>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</si>
  <si>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</si>
  <si>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</si>
  <si>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</si>
  <si>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08 Jul 2025</t>
  </si>
  <si>
    <t xml:space="preserve">CUST-6957</t>
  </si>
  <si>
    <t xml:space="preserve">Prime Copiers 969</t>
  </si>
  <si>
    <t xml:space="preserve">ORD-2024-10599</t>
  </si>
  <si>
    <t xml:space="preserve">08/24/2024</t>
  </si>
  <si>
    <t xml:space="preserve">CUST-8498</t>
  </si>
  <si>
    <t xml:space="preserve">Eco Copiers 268</t>
  </si>
  <si>
    <t xml:space="preserve">ORD-2024-10600</t>
  </si>
  <si>
    <t xml:space="preserve">19-08-2024</t>
  </si>
  <si>
    <t xml:space="preserve">CUST-2612</t>
  </si>
  <si>
    <t xml:space="preserve">Pro Phones 588</t>
  </si>
  <si>
    <t xml:space="preserve">ORD-2025-10601</t>
  </si>
  <si>
    <t xml:space="preserve">05-03-2025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</si>
  <si>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</si>
  <si>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</si>
  <si>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</si>
  <si>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</si>
  <si>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26 Jan 2024</t>
  </si>
  <si>
    <t xml:space="preserve">01/31/2024</t>
  </si>
  <si>
    <t xml:space="preserve">CUST-8289</t>
  </si>
  <si>
    <t xml:space="preserve">Basic Paper 452</t>
  </si>
  <si>
    <t xml:space="preserve">ORD-2024-10603</t>
  </si>
  <si>
    <t xml:space="preserve">23-10-2024</t>
  </si>
  <si>
    <t xml:space="preserve">2024-10-30</t>
  </si>
  <si>
    <t xml:space="preserve">CUST-5668</t>
  </si>
  <si>
    <t xml:space="preserve">Max Copiers 477</t>
  </si>
  <si>
    <t xml:space="preserve">ORD-2025-10604</t>
  </si>
  <si>
    <t xml:space="preserve">01/03/2025</t>
  </si>
  <si>
    <t xml:space="preserve">Prime Accessories 300</t>
  </si>
  <si>
    <t xml:space="preserve">ORD-2025-10605</t>
  </si>
  <si>
    <t xml:space="preserve">05-02-2025</t>
  </si>
  <si>
    <t xml:space="preserve">02/06/2025</t>
  </si>
  <si>
    <t xml:space="preserve">CUST-4526</t>
  </si>
  <si>
    <t xml:space="preserve">Max Binders 547</t>
  </si>
  <si>
    <t xml:space="preserve">ORD-2025-10606</t>
  </si>
  <si>
    <t xml:space="preserve">13 Jul 2025</t>
  </si>
  <si>
    <t xml:space="preserve">CUST-4447</t>
  </si>
  <si>
    <t xml:space="preserve">Pro Furnishings 267</t>
  </si>
  <si>
    <t xml:space="preserve">ORD-2025-10607</t>
  </si>
  <si>
    <t xml:space="preserve">22 Feb 2025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</si>
  <si>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</si>
  <si>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</si>
  <si>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</si>
  <si>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</si>
  <si>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</si>
  <si>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</si>
  <si>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</si>
  <si>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</si>
  <si>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</si>
  <si>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</si>
  <si>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</si>
  <si>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 May 2024</t>
  </si>
  <si>
    <t xml:space="preserve">05/20/2024</t>
  </si>
  <si>
    <t xml:space="preserve">Pro Chairs 712</t>
  </si>
  <si>
    <t xml:space="preserve">ORD-2025-10612</t>
  </si>
  <si>
    <t xml:space="preserve">15 Jul 2025</t>
  </si>
  <si>
    <t xml:space="preserve">CUST-6108</t>
  </si>
  <si>
    <t xml:space="preserve">Max Binders 785</t>
  </si>
  <si>
    <t xml:space="preserve">ORD-2025-10613</t>
  </si>
  <si>
    <t xml:space="preserve">06 Apr 2025</t>
  </si>
  <si>
    <t xml:space="preserve">13-04-2025</t>
  </si>
  <si>
    <t xml:space="preserve">CUST-5663</t>
  </si>
  <si>
    <t xml:space="preserve">Elite Phones 239</t>
  </si>
  <si>
    <t xml:space="preserve">ORD-2024-10614</t>
  </si>
  <si>
    <t xml:space="preserve">10/10/2024</t>
  </si>
  <si>
    <t xml:space="preserve">CUST-9311</t>
  </si>
  <si>
    <t xml:space="preserve">Basic Machines 413</t>
  </si>
  <si>
    <t xml:space="preserve">ORD-2024-10615</t>
  </si>
  <si>
    <t xml:space="preserve">19-02-2024</t>
  </si>
  <si>
    <t xml:space="preserve">CUST-8154</t>
  </si>
  <si>
    <t xml:space="preserve">Elite Chairs 140</t>
  </si>
  <si>
    <t xml:space="preserve">ORD-2024-10616</t>
  </si>
  <si>
    <t xml:space="preserve">2024-10-04</t>
  </si>
  <si>
    <t xml:space="preserve">10/07/2024</t>
  </si>
  <si>
    <t xml:space="preserve">CUST-4462</t>
  </si>
  <si>
    <t xml:space="preserve">Basic Art 771</t>
  </si>
  <si>
    <t xml:space="preserve">ORD-2024-10617</t>
  </si>
  <si>
    <t xml:space="preserve">16 Aug 2024</t>
  </si>
  <si>
    <t xml:space="preserve">CUST-4660</t>
  </si>
  <si>
    <t xml:space="preserve">Prime Paper 664</t>
  </si>
  <si>
    <t xml:space="preserve">ORD-2024-10618</t>
  </si>
  <si>
    <t xml:space="preserve">09/29/2024</t>
  </si>
  <si>
    <t xml:space="preserve">CUST-9002</t>
  </si>
  <si>
    <t xml:space="preserve">Pro Phones 226</t>
  </si>
  <si>
    <t xml:space="preserve">ORD-2024-10619</t>
  </si>
  <si>
    <t xml:space="preserve">2024-07-23</t>
  </si>
  <si>
    <t xml:space="preserve">CUST-1057</t>
  </si>
  <si>
    <t xml:space="preserve">Basic Tables 684</t>
  </si>
  <si>
    <t xml:space="preserve">ORD-2024-10620</t>
  </si>
  <si>
    <t xml:space="preserve">27 Nov 2024</t>
  </si>
  <si>
    <t xml:space="preserve">CUST-9596</t>
  </si>
  <si>
    <t xml:space="preserve">Prime Binders 938</t>
  </si>
  <si>
    <t xml:space="preserve">ORD-2024-10621</t>
  </si>
  <si>
    <t xml:space="preserve">18-08-2024</t>
  </si>
  <si>
    <t xml:space="preserve">08/21/2024</t>
  </si>
  <si>
    <t xml:space="preserve">CUST-6947</t>
  </si>
  <si>
    <t xml:space="preserve">Classic Machines 337</t>
  </si>
  <si>
    <t xml:space="preserve">ORD-2024-10622</t>
  </si>
  <si>
    <t xml:space="preserve">06-12-2024</t>
  </si>
  <si>
    <t xml:space="preserve">CUST-7236</t>
  </si>
  <si>
    <t xml:space="preserve">Max Chairs 748</t>
  </si>
  <si>
    <t xml:space="preserve">ORD-2025-10623</t>
  </si>
  <si>
    <t xml:space="preserve">29-01-2025</t>
  </si>
  <si>
    <t xml:space="preserve">06 Feb 2025</t>
  </si>
  <si>
    <t xml:space="preserve">CUST-1127</t>
  </si>
  <si>
    <t xml:space="preserve">Basic Storage 934</t>
  </si>
  <si>
    <t xml:space="preserve">ORD-2024-10624</t>
  </si>
  <si>
    <t xml:space="preserve">08 Aug 2024</t>
  </si>
  <si>
    <t xml:space="preserve">14 Aug 2024</t>
  </si>
  <si>
    <t xml:space="preserve">CUST-6262</t>
  </si>
  <si>
    <t xml:space="preserve">Pro Storage 509</t>
  </si>
  <si>
    <t xml:space="preserve">ORD-2024-10625</t>
  </si>
  <si>
    <t xml:space="preserve">01/30/2024</t>
  </si>
  <si>
    <t xml:space="preserve">2024-02-01</t>
  </si>
  <si>
    <t xml:space="preserve">CUST-5070</t>
  </si>
  <si>
    <t xml:space="preserve">Prime Chairs 765</t>
  </si>
  <si>
    <t xml:space="preserve">ORD-2024-10626</t>
  </si>
  <si>
    <t xml:space="preserve">12/15/2024</t>
  </si>
  <si>
    <t xml:space="preserve">CUST-7946</t>
  </si>
  <si>
    <t xml:space="preserve">Elite Chairs 358</t>
  </si>
  <si>
    <t xml:space="preserve">ORD-2025-10627</t>
  </si>
  <si>
    <t xml:space="preserve">06/07/2025</t>
  </si>
  <si>
    <t xml:space="preserve">CUST-1793</t>
  </si>
  <si>
    <t xml:space="preserve">  Technology 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</si>
  <si>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</si>
  <si>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</si>
  <si>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</si>
  <si>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</si>
  <si>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</si>
  <si>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12 Oct 2025</t>
  </si>
  <si>
    <t xml:space="preserve">CUST-6725</t>
  </si>
  <si>
    <t xml:space="preserve">Eco Accessories 933</t>
  </si>
  <si>
    <t xml:space="preserve">ORD-2025-10630</t>
  </si>
  <si>
    <t xml:space="preserve">14 Sep 2025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</si>
  <si>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</si>
  <si>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</si>
  <si>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</si>
  <si>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</si>
  <si>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</si>
  <si>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</si>
  <si>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</si>
  <si>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</si>
  <si>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</si>
  <si>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15-04-2025</t>
  </si>
  <si>
    <t xml:space="preserve">16-04-2025</t>
  </si>
  <si>
    <t xml:space="preserve">CUST-4593</t>
  </si>
  <si>
    <t xml:space="preserve">Smart Furnishings 721</t>
  </si>
  <si>
    <t xml:space="preserve">ORD-2025-10634</t>
  </si>
  <si>
    <t xml:space="preserve">04/18/2025</t>
  </si>
  <si>
    <t xml:space="preserve">20 Apr 2025</t>
  </si>
  <si>
    <t xml:space="preserve">CUST-5043</t>
  </si>
  <si>
    <t xml:space="preserve">Basic Accessories 729</t>
  </si>
  <si>
    <t xml:space="preserve">ORD-2025-10635</t>
  </si>
  <si>
    <t xml:space="preserve">01/11/2025</t>
  </si>
  <si>
    <t xml:space="preserve">CUST-4722</t>
  </si>
  <si>
    <t xml:space="preserve">Classic Chairs 220</t>
  </si>
  <si>
    <t xml:space="preserve">ORD-2024-10636</t>
  </si>
  <si>
    <t xml:space="preserve">2024-05-25</t>
  </si>
  <si>
    <t xml:space="preserve">CUST-7931</t>
  </si>
  <si>
    <t xml:space="preserve">Max Chairs 305</t>
  </si>
  <si>
    <t xml:space="preserve">ORD-2024-10637</t>
  </si>
  <si>
    <t xml:space="preserve">02 Oct 2024</t>
  </si>
  <si>
    <t xml:space="preserve">09 Oct 2024</t>
  </si>
  <si>
    <t xml:space="preserve">CUST-7221</t>
  </si>
  <si>
    <t xml:space="preserve">Smart Paper 872</t>
  </si>
  <si>
    <t xml:space="preserve">ORD-2024-10638</t>
  </si>
  <si>
    <t xml:space="preserve">26-05-2024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</si>
  <si>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</si>
  <si>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</si>
  <si>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</si>
  <si>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</si>
  <si>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31-01-2024</t>
  </si>
  <si>
    <t xml:space="preserve">CUST-2111</t>
  </si>
  <si>
    <t xml:space="preserve">Pro Storage 744</t>
  </si>
  <si>
    <t xml:space="preserve">ORD-2024-10640</t>
  </si>
  <si>
    <t xml:space="preserve">12/27/2024</t>
  </si>
  <si>
    <t xml:space="preserve">CUST-6829</t>
  </si>
  <si>
    <t xml:space="preserve">Elite Chairs 744</t>
  </si>
  <si>
    <t xml:space="preserve">ORD-2025-10641</t>
  </si>
  <si>
    <t xml:space="preserve">14-01-2025</t>
  </si>
  <si>
    <t xml:space="preserve">17 Jan 2025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</si>
  <si>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</si>
  <si>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</si>
  <si>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</si>
  <si>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</si>
  <si>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</si>
  <si>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</si>
  <si>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</si>
  <si>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</si>
  <si>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binders</t>
  </si>
  <si>
    <t xml:space="preserve">Prime Binders 287</t>
  </si>
  <si>
    <t xml:space="preserve">ORD-2024-10644</t>
  </si>
  <si>
    <t xml:space="preserve">05-02-2024</t>
  </si>
  <si>
    <t xml:space="preserve">2024-02-13</t>
  </si>
  <si>
    <t xml:space="preserve">Elite Labels 654</t>
  </si>
  <si>
    <t xml:space="preserve">ORD-2025-10645</t>
  </si>
  <si>
    <t xml:space="preserve">04/17/2025</t>
  </si>
  <si>
    <t xml:space="preserve">CUST-5549</t>
  </si>
  <si>
    <t xml:space="preserve">Pro Chairs 812</t>
  </si>
  <si>
    <t xml:space="preserve">ORD-2024-10646</t>
  </si>
  <si>
    <t xml:space="preserve">2024-01-04</t>
  </si>
  <si>
    <t xml:space="preserve">CUST-2314</t>
  </si>
  <si>
    <t xml:space="preserve">Basic Chairs 480</t>
  </si>
  <si>
    <t xml:space="preserve">ORD-2024-10647</t>
  </si>
  <si>
    <t xml:space="preserve">09/18/2024</t>
  </si>
  <si>
    <t xml:space="preserve">24-09-2024</t>
  </si>
  <si>
    <t xml:space="preserve">CUST-6360</t>
  </si>
  <si>
    <t xml:space="preserve">Elite Machines 955</t>
  </si>
  <si>
    <t xml:space="preserve">ORD-2025-10648</t>
  </si>
  <si>
    <t xml:space="preserve">09-01-2025</t>
  </si>
  <si>
    <t xml:space="preserve">CUST-9942</t>
  </si>
  <si>
    <t xml:space="preserve">Rohan  Mehta</t>
  </si>
  <si>
    <t xml:space="preserve">Prime Art 461</t>
  </si>
  <si>
    <t xml:space="preserve">ORD-2024-10649</t>
  </si>
  <si>
    <t xml:space="preserve">21-04-2024</t>
  </si>
  <si>
    <t xml:space="preserve">CUST-1808</t>
  </si>
  <si>
    <t xml:space="preserve">Prime Art 301</t>
  </si>
  <si>
    <t xml:space="preserve">ORD-2025-10650</t>
  </si>
  <si>
    <t xml:space="preserve">11 Aug 2025</t>
  </si>
  <si>
    <t xml:space="preserve">19-08-2025</t>
  </si>
  <si>
    <t xml:space="preserve">CUST-7277</t>
  </si>
  <si>
    <t xml:space="preserve">Classic Accessories 354</t>
  </si>
  <si>
    <t xml:space="preserve">ORD-2024-10651</t>
  </si>
  <si>
    <t xml:space="preserve">04/13/2024</t>
  </si>
  <si>
    <t xml:space="preserve">21 Apr 2024</t>
  </si>
  <si>
    <t xml:space="preserve">Basic Accessories 210</t>
  </si>
  <si>
    <t xml:space="preserve">ORD-2025-10652</t>
  </si>
  <si>
    <t xml:space="preserve">09-08-2025</t>
  </si>
  <si>
    <t xml:space="preserve">CUST-2660</t>
  </si>
  <si>
    <t xml:space="preserve">Smart Paper 364</t>
  </si>
  <si>
    <t xml:space="preserve">ORD-2025-10653</t>
  </si>
  <si>
    <t xml:space="preserve">03/17/2025</t>
  </si>
  <si>
    <t xml:space="preserve">2025-03-21</t>
  </si>
  <si>
    <t xml:space="preserve">Smart Binders 999</t>
  </si>
  <si>
    <t xml:space="preserve">ORD-2025-10654</t>
  </si>
  <si>
    <t xml:space="preserve">04-04-2025</t>
  </si>
  <si>
    <t xml:space="preserve">04/07/2025</t>
  </si>
  <si>
    <t xml:space="preserve">CUST-3970</t>
  </si>
  <si>
    <t xml:space="preserve">Max Copiers 356</t>
  </si>
  <si>
    <t xml:space="preserve">ORD-2025-10655</t>
  </si>
  <si>
    <t xml:space="preserve">10/12/2025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</si>
  <si>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</si>
  <si>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</si>
  <si>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</si>
  <si>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</si>
  <si>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</si>
  <si>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07-05-2024</t>
  </si>
  <si>
    <t xml:space="preserve">CUST-4446</t>
  </si>
  <si>
    <t xml:space="preserve">Pro Machines 589</t>
  </si>
  <si>
    <t xml:space="preserve">ORD-2025-10658</t>
  </si>
  <si>
    <t xml:space="preserve">08/07/2025</t>
  </si>
  <si>
    <t xml:space="preserve">2025-08-10</t>
  </si>
  <si>
    <t xml:space="preserve">CUST-7787</t>
  </si>
  <si>
    <t xml:space="preserve">Eco Storage 316</t>
  </si>
  <si>
    <t xml:space="preserve">ORD-2025-10659</t>
  </si>
  <si>
    <t xml:space="preserve">2025-06-09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</si>
  <si>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</si>
  <si>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</si>
  <si>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</si>
  <si>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</si>
  <si>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</si>
  <si>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</si>
  <si>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15-07-2025</t>
  </si>
  <si>
    <t xml:space="preserve">CUST-5638</t>
  </si>
  <si>
    <t xml:space="preserve">Basic Phones 865</t>
  </si>
  <si>
    <t xml:space="preserve">ORD-2024-10662</t>
  </si>
  <si>
    <t xml:space="preserve">17-05-2024</t>
  </si>
  <si>
    <t xml:space="preserve">2024-05-22</t>
  </si>
  <si>
    <t xml:space="preserve">CUST-4537</t>
  </si>
  <si>
    <t xml:space="preserve">Max Machines 595</t>
  </si>
  <si>
    <t xml:space="preserve">ORD-2024-10663</t>
  </si>
  <si>
    <t xml:space="preserve">2024-01-14</t>
  </si>
  <si>
    <t xml:space="preserve">18-01-2024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</si>
  <si>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</si>
  <si>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</si>
  <si>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</si>
  <si>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</si>
  <si>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</si>
  <si>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</si>
  <si>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07 Dec 2024</t>
  </si>
  <si>
    <t xml:space="preserve">10 Dec 2024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</si>
  <si>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</si>
  <si>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</si>
  <si>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</si>
  <si>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</si>
  <si>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01/13/2025</t>
  </si>
  <si>
    <t xml:space="preserve">CUST-1197</t>
  </si>
  <si>
    <t xml:space="preserve">  Rahul Verma 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</si>
  <si>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</si>
  <si>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</si>
  <si>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</si>
  <si>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</si>
  <si>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</si>
  <si>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20-05-2025</t>
  </si>
  <si>
    <t xml:space="preserve">27-05-2025</t>
  </si>
  <si>
    <t xml:space="preserve">CUST-3912</t>
  </si>
  <si>
    <t xml:space="preserve">Pro Machines 706</t>
  </si>
  <si>
    <t xml:space="preserve">ORD-2024-10669</t>
  </si>
  <si>
    <t xml:space="preserve">11/21/2024</t>
  </si>
  <si>
    <t xml:space="preserve">CUST-4190</t>
  </si>
  <si>
    <t xml:space="preserve">Pro Paper 187</t>
  </si>
  <si>
    <t xml:space="preserve">ORD-2024-10670</t>
  </si>
  <si>
    <t xml:space="preserve">2024-03-24</t>
  </si>
  <si>
    <t xml:space="preserve">01 Apr 2024</t>
  </si>
  <si>
    <t xml:space="preserve">CUST-7568</t>
  </si>
  <si>
    <t xml:space="preserve">Classic Tables 606</t>
  </si>
  <si>
    <t xml:space="preserve">ORD-2025-10671</t>
  </si>
  <si>
    <t xml:space="preserve">02/02/2025</t>
  </si>
  <si>
    <t xml:space="preserve">Smart Tables 835</t>
  </si>
  <si>
    <t xml:space="preserve">ORD-2024-10672</t>
  </si>
  <si>
    <t xml:space="preserve">2024-03-22</t>
  </si>
  <si>
    <t xml:space="preserve">27-03-2024</t>
  </si>
  <si>
    <t xml:space="preserve">CUST-3293</t>
  </si>
  <si>
    <t xml:space="preserve">COPIERS</t>
  </si>
  <si>
    <t xml:space="preserve">Classic Copiers 583</t>
  </si>
  <si>
    <t xml:space="preserve">ORD-2024-10673</t>
  </si>
  <si>
    <t xml:space="preserve">2024-09-04</t>
  </si>
  <si>
    <t xml:space="preserve">2024-09-05</t>
  </si>
  <si>
    <t xml:space="preserve">CUST-8180</t>
  </si>
  <si>
    <t xml:space="preserve">Classic Chairs 460</t>
  </si>
  <si>
    <t xml:space="preserve">ORD-2025-10674</t>
  </si>
  <si>
    <t xml:space="preserve">16 Feb 2025</t>
  </si>
  <si>
    <t xml:space="preserve">CUST-2807</t>
  </si>
  <si>
    <t xml:space="preserve">Classic Bookcases 488</t>
  </si>
  <si>
    <t xml:space="preserve">ORD-2024-10675</t>
  </si>
  <si>
    <t xml:space="preserve">2024-05-18</t>
  </si>
  <si>
    <t xml:space="preserve">2024-05-21</t>
  </si>
  <si>
    <t xml:space="preserve">CUST-4081</t>
  </si>
  <si>
    <t xml:space="preserve">Basic Accessories 944</t>
  </si>
  <si>
    <t xml:space="preserve">ORD-2025-10676</t>
  </si>
  <si>
    <t xml:space="preserve">07-06-2025</t>
  </si>
  <si>
    <t xml:space="preserve">06/10/2025</t>
  </si>
  <si>
    <t xml:space="preserve">Eco Furnishings 217</t>
  </si>
  <si>
    <t xml:space="preserve">ORD-2025-10677</t>
  </si>
  <si>
    <t xml:space="preserve">09/11/2025</t>
  </si>
  <si>
    <t xml:space="preserve">09/18/2025</t>
  </si>
  <si>
    <t xml:space="preserve">CUST-9212</t>
  </si>
  <si>
    <t xml:space="preserve">Smart Phones 967</t>
  </si>
  <si>
    <t xml:space="preserve">ORD-2024-10678</t>
  </si>
  <si>
    <t xml:space="preserve">2024-06-22</t>
  </si>
  <si>
    <t xml:space="preserve">27-06-2024</t>
  </si>
  <si>
    <t xml:space="preserve">Smart Chairs 610</t>
  </si>
  <si>
    <t xml:space="preserve">ORD-2024-10679</t>
  </si>
  <si>
    <t xml:space="preserve">24-11-2024</t>
  </si>
  <si>
    <t xml:space="preserve">12/01/2024</t>
  </si>
  <si>
    <t xml:space="preserve">CUST-1674</t>
  </si>
  <si>
    <t xml:space="preserve">Prime Tables 123</t>
  </si>
  <si>
    <t xml:space="preserve">ORD-2025-10680</t>
  </si>
  <si>
    <t xml:space="preserve">16-08-2025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</si>
  <si>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</si>
  <si>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</si>
  <si>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</si>
  <si>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</si>
  <si>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</si>
  <si>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</si>
  <si>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07/04/2024</t>
  </si>
  <si>
    <t xml:space="preserve">2024-07-10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</si>
  <si>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</si>
  <si>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</si>
  <si>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</si>
  <si>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</si>
  <si>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ananya rao</t>
  </si>
  <si>
    <t xml:space="preserve">Eco Storage 861</t>
  </si>
  <si>
    <t xml:space="preserve">ORD-2025-10684</t>
  </si>
  <si>
    <t xml:space="preserve">2025-07-20</t>
  </si>
  <si>
    <t xml:space="preserve">CUST-5704</t>
  </si>
  <si>
    <t xml:space="preserve">Eco Furnishings 875</t>
  </si>
  <si>
    <t xml:space="preserve">ORD-2025-10685</t>
  </si>
  <si>
    <t xml:space="preserve">2025-07-21</t>
  </si>
  <si>
    <t xml:space="preserve">CUST-6738</t>
  </si>
  <si>
    <t xml:space="preserve">Prime Bookcases 784</t>
  </si>
  <si>
    <t xml:space="preserve">ORD-2025-10686</t>
  </si>
  <si>
    <t xml:space="preserve">01 Oct 2025</t>
  </si>
  <si>
    <t xml:space="preserve">Classic Art 380</t>
  </si>
  <si>
    <t xml:space="preserve">ORD-2024-10687</t>
  </si>
  <si>
    <t xml:space="preserve">25-03-2024</t>
  </si>
  <si>
    <t xml:space="preserve">CUST-3127</t>
  </si>
  <si>
    <t xml:space="preserve">Pro Copiers 502</t>
  </si>
  <si>
    <t xml:space="preserve">ORD-2025-10688</t>
  </si>
  <si>
    <t xml:space="preserve">13-10-2025</t>
  </si>
  <si>
    <t xml:space="preserve">CUST-9347</t>
  </si>
  <si>
    <t xml:space="preserve">Prime Tables 604</t>
  </si>
  <si>
    <t xml:space="preserve">ORD-2025-10689</t>
  </si>
  <si>
    <t xml:space="preserve">27 Feb 2025</t>
  </si>
  <si>
    <t xml:space="preserve">CUST-8575</t>
  </si>
  <si>
    <t xml:space="preserve">Basic Art 798</t>
  </si>
  <si>
    <t xml:space="preserve">ORD-2024-10690</t>
  </si>
  <si>
    <t xml:space="preserve">05-10-2024</t>
  </si>
  <si>
    <t xml:space="preserve">06 Oct 2024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</si>
  <si>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</si>
  <si>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</si>
  <si>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</si>
  <si>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</si>
  <si>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</si>
  <si>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</si>
  <si>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</si>
  <si>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16-12-2024</t>
  </si>
  <si>
    <t xml:space="preserve">CUST-7309</t>
  </si>
  <si>
    <t xml:space="preserve">Smart Copiers 456</t>
  </si>
  <si>
    <t xml:space="preserve">ORD-2025-10693</t>
  </si>
  <si>
    <t xml:space="preserve">10-10-2025</t>
  </si>
  <si>
    <t xml:space="preserve">CUST-9531</t>
  </si>
  <si>
    <t xml:space="preserve">Prime Furnishings 883</t>
  </si>
  <si>
    <t xml:space="preserve">ORD-2025-10694</t>
  </si>
  <si>
    <t xml:space="preserve">03-04-2025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</si>
  <si>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</si>
  <si>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</si>
  <si>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</si>
  <si>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</si>
  <si>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</si>
  <si>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2024-07-01</t>
  </si>
  <si>
    <t xml:space="preserve">CUST-6257</t>
  </si>
  <si>
    <t xml:space="preserve">Machines </t>
  </si>
  <si>
    <t xml:space="preserve">Prime Machines 102</t>
  </si>
  <si>
    <t xml:space="preserve">ORD-2025-10697</t>
  </si>
  <si>
    <t xml:space="preserve">22 Sep 2025</t>
  </si>
  <si>
    <t xml:space="preserve">25 Sep 2025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</si>
  <si>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</si>
  <si>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</si>
  <si>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</si>
  <si>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</si>
  <si>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</si>
  <si>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</si>
  <si>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14-09-2024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</si>
  <si>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</si>
  <si>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</si>
  <si>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</si>
  <si>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</si>
  <si>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11 Jun 2024</t>
  </si>
  <si>
    <t xml:space="preserve">CUST-9802</t>
  </si>
  <si>
    <t xml:space="preserve">Max Bookcases 565</t>
  </si>
  <si>
    <t xml:space="preserve">ORD-2024-10701</t>
  </si>
  <si>
    <t xml:space="preserve">18-09-2024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</si>
  <si>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</si>
  <si>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</si>
  <si>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</si>
  <si>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</si>
  <si>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</si>
  <si>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</si>
  <si>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2025-02-02</t>
  </si>
  <si>
    <t xml:space="preserve">CUST-5231</t>
  </si>
  <si>
    <t xml:space="preserve">Pro Tables 980</t>
  </si>
  <si>
    <t xml:space="preserve">ORD-2024-10704</t>
  </si>
  <si>
    <t xml:space="preserve">19 Oct 2024</t>
  </si>
  <si>
    <t xml:space="preserve">CUST-8734</t>
  </si>
  <si>
    <t xml:space="preserve">Classic Tables 997</t>
  </si>
  <si>
    <t xml:space="preserve">ORD-2024-10705</t>
  </si>
  <si>
    <t xml:space="preserve">03/20/2024</t>
  </si>
  <si>
    <t xml:space="preserve">CUST-4916</t>
  </si>
  <si>
    <t xml:space="preserve">Max Bookcases 738</t>
  </si>
  <si>
    <t xml:space="preserve">ORD-2024-10706</t>
  </si>
  <si>
    <t xml:space="preserve">08 Sep 2024</t>
  </si>
  <si>
    <t xml:space="preserve">09/14/2024</t>
  </si>
  <si>
    <t xml:space="preserve">CUST-3289</t>
  </si>
  <si>
    <t xml:space="preserve">Max Binders 411</t>
  </si>
  <si>
    <t xml:space="preserve">ORD-2024-10707</t>
  </si>
  <si>
    <t xml:space="preserve">24-06-2024</t>
  </si>
  <si>
    <t xml:space="preserve">CUST-4928</t>
  </si>
  <si>
    <t xml:space="preserve">Max Paper 343</t>
  </si>
  <si>
    <t xml:space="preserve">ORD-2025-10708</t>
  </si>
  <si>
    <t xml:space="preserve">24-06-2025</t>
  </si>
  <si>
    <t xml:space="preserve">CUST-4902</t>
  </si>
  <si>
    <t xml:space="preserve">Pro Accessories 485</t>
  </si>
  <si>
    <t xml:space="preserve">ORD-2025-10709</t>
  </si>
  <si>
    <t xml:space="preserve">03/20/2025</t>
  </si>
  <si>
    <t xml:space="preserve">2025-03-26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</si>
  <si>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</si>
  <si>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</si>
  <si>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</si>
  <si>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</si>
  <si>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</si>
  <si>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</si>
  <si>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07/12/2024</t>
  </si>
  <si>
    <t xml:space="preserve">07/19/2024</t>
  </si>
  <si>
    <t xml:space="preserve">CUST-7199</t>
  </si>
  <si>
    <t xml:space="preserve">Smart Art 279</t>
  </si>
  <si>
    <t xml:space="preserve">ORD-2025-10712</t>
  </si>
  <si>
    <t xml:space="preserve">02-02-2025</t>
  </si>
  <si>
    <t xml:space="preserve">CUST-6176</t>
  </si>
  <si>
    <t xml:space="preserve">Basic Machines 172</t>
  </si>
  <si>
    <t xml:space="preserve">ORD-2024-10713</t>
  </si>
  <si>
    <t xml:space="preserve">18 Feb 2024</t>
  </si>
  <si>
    <t xml:space="preserve">CUST-5127</t>
  </si>
  <si>
    <t xml:space="preserve">Smart Chairs 259</t>
  </si>
  <si>
    <t xml:space="preserve">ORD-2025-10714</t>
  </si>
  <si>
    <t xml:space="preserve">06/06/2025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</si>
  <si>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</si>
  <si>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</si>
  <si>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</si>
  <si>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</si>
  <si>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</si>
  <si>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</si>
  <si>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</si>
  <si>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</si>
  <si>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26 Aug 2025</t>
  </si>
  <si>
    <t xml:space="preserve">CUST-7540</t>
  </si>
  <si>
    <t xml:space="preserve">Basic Phones 496</t>
  </si>
  <si>
    <t xml:space="preserve">ORD-2025-10718</t>
  </si>
  <si>
    <t xml:space="preserve">12-10-2025</t>
  </si>
  <si>
    <t xml:space="preserve">CUST-8351</t>
  </si>
  <si>
    <t xml:space="preserve">Prime Machines 612</t>
  </si>
  <si>
    <t xml:space="preserve">ORD-2024-10719</t>
  </si>
  <si>
    <t xml:space="preserve">06 Sep 2024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</si>
  <si>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</si>
  <si>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</si>
  <si>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</si>
  <si>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</si>
  <si>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</si>
  <si>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07/16/2024</t>
  </si>
  <si>
    <t xml:space="preserve">CUST-1991</t>
  </si>
  <si>
    <t xml:space="preserve">Smart Copiers 196</t>
  </si>
  <si>
    <t xml:space="preserve">ORD-2025-10722</t>
  </si>
  <si>
    <t xml:space="preserve">23-06-2025</t>
  </si>
  <si>
    <t xml:space="preserve">CUST-7606</t>
  </si>
  <si>
    <t xml:space="preserve">Pro Copiers 532</t>
  </si>
  <si>
    <t xml:space="preserve">ORD-2024-10723</t>
  </si>
  <si>
    <t xml:space="preserve">10 Oct 2024</t>
  </si>
  <si>
    <t xml:space="preserve">CUST-8844</t>
  </si>
  <si>
    <t xml:space="preserve">Eco Chairs 442</t>
  </si>
  <si>
    <t xml:space="preserve">ORD-2025-10724</t>
  </si>
  <si>
    <t xml:space="preserve">2025-10-13</t>
  </si>
  <si>
    <t xml:space="preserve">CUST-4335</t>
  </si>
  <si>
    <t xml:space="preserve">Eco Accessories 364</t>
  </si>
  <si>
    <t xml:space="preserve">ORD-2024-10725</t>
  </si>
  <si>
    <t xml:space="preserve">02/10/2024</t>
  </si>
  <si>
    <t xml:space="preserve">CUST-5891</t>
  </si>
  <si>
    <t xml:space="preserve">Elite Furnishings 921</t>
  </si>
  <si>
    <t xml:space="preserve">ORD-2025-10726</t>
  </si>
  <si>
    <t xml:space="preserve">10/05/2025</t>
  </si>
  <si>
    <t xml:space="preserve">CUST-6371</t>
  </si>
  <si>
    <t xml:space="preserve">Max Tables 309</t>
  </si>
  <si>
    <t xml:space="preserve">ORD-2024-10727</t>
  </si>
  <si>
    <t xml:space="preserve">2024-01-17</t>
  </si>
  <si>
    <t xml:space="preserve">01/23/2024</t>
  </si>
  <si>
    <t xml:space="preserve">CUST-6655</t>
  </si>
  <si>
    <t xml:space="preserve">Pro Phones 857</t>
  </si>
  <si>
    <t xml:space="preserve">ORD-2024-10728</t>
  </si>
  <si>
    <t xml:space="preserve">13 Oct 2024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</si>
  <si>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</si>
  <si>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</si>
  <si>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</si>
  <si>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</si>
  <si>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</si>
  <si>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</si>
  <si>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17-05-2025</t>
  </si>
  <si>
    <t xml:space="preserve">25 May 2025</t>
  </si>
  <si>
    <t xml:space="preserve">CUST-8713</t>
  </si>
  <si>
    <t xml:space="preserve">Pro Machines 563</t>
  </si>
  <si>
    <t xml:space="preserve">ORD-2025-10731</t>
  </si>
  <si>
    <t xml:space="preserve">06/19/2025</t>
  </si>
  <si>
    <t xml:space="preserve">CUST-6765</t>
  </si>
  <si>
    <t xml:space="preserve">Elite Art 696</t>
  </si>
  <si>
    <t xml:space="preserve">ORD-2024-10732</t>
  </si>
  <si>
    <t xml:space="preserve">2024-03-17</t>
  </si>
  <si>
    <t xml:space="preserve">19 Mar 2024</t>
  </si>
  <si>
    <t xml:space="preserve">CUST-6849</t>
  </si>
  <si>
    <t xml:space="preserve">Eco Binders 178</t>
  </si>
  <si>
    <t xml:space="preserve">ORD-2024-10733</t>
  </si>
  <si>
    <t xml:space="preserve">2024-11-28</t>
  </si>
  <si>
    <t xml:space="preserve">CUST-4973</t>
  </si>
  <si>
    <t xml:space="preserve">Max Phones 678</t>
  </si>
  <si>
    <t xml:space="preserve">ORD-2024-10734</t>
  </si>
  <si>
    <t xml:space="preserve">28 Jun 2024</t>
  </si>
  <si>
    <t xml:space="preserve">CUST-2394</t>
  </si>
  <si>
    <t xml:space="preserve">Classic Furnishings 582</t>
  </si>
  <si>
    <t xml:space="preserve">ORD-2024-10735</t>
  </si>
  <si>
    <t xml:space="preserve">24-08-2024</t>
  </si>
  <si>
    <t xml:space="preserve">CUST-5406</t>
  </si>
  <si>
    <t xml:space="preserve">Classic Accessories 981</t>
  </si>
  <si>
    <t xml:space="preserve">ORD-2024-10736</t>
  </si>
  <si>
    <t xml:space="preserve">2024-08-11</t>
  </si>
  <si>
    <t xml:space="preserve">CUST-1963</t>
  </si>
  <si>
    <t xml:space="preserve">Classic Tables 534</t>
  </si>
  <si>
    <t xml:space="preserve">ORD-2024-10737</t>
  </si>
  <si>
    <t xml:space="preserve">09-12-2024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</si>
  <si>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</si>
  <si>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</si>
  <si>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</si>
  <si>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</si>
  <si>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Home Office </t>
  </si>
  <si>
    <t xml:space="preserve">Max Chairs 845</t>
  </si>
  <si>
    <t xml:space="preserve">ORD-2025-10739</t>
  </si>
  <si>
    <t xml:space="preserve">02/22/2025</t>
  </si>
  <si>
    <t xml:space="preserve">CUST-5334</t>
  </si>
  <si>
    <t xml:space="preserve">Prime Paper 307</t>
  </si>
  <si>
    <t xml:space="preserve">ORD-2024-10740</t>
  </si>
  <si>
    <t xml:space="preserve">03 Dec 2024</t>
  </si>
  <si>
    <t xml:space="preserve">12/10/2024</t>
  </si>
  <si>
    <t xml:space="preserve">CUST-5846</t>
  </si>
  <si>
    <t xml:space="preserve">Basic Phones 859</t>
  </si>
  <si>
    <t xml:space="preserve">ORD-2024-10741</t>
  </si>
  <si>
    <t xml:space="preserve">02 Apr 2024</t>
  </si>
  <si>
    <t xml:space="preserve">Eco Chairs 883</t>
  </si>
  <si>
    <t xml:space="preserve">ORD-2025-10742</t>
  </si>
  <si>
    <t xml:space="preserve">04/23/2025</t>
  </si>
  <si>
    <t xml:space="preserve">2025-04-25</t>
  </si>
  <si>
    <t xml:space="preserve">CUST-3285</t>
  </si>
  <si>
    <t xml:space="preserve">Max Chairs 706</t>
  </si>
  <si>
    <t xml:space="preserve">ORD-2024-10743</t>
  </si>
  <si>
    <t xml:space="preserve">10/15/2024</t>
  </si>
  <si>
    <t xml:space="preserve">22 Oct 2024</t>
  </si>
  <si>
    <t xml:space="preserve">CUST-6368</t>
  </si>
  <si>
    <t xml:space="preserve">east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</si>
  <si>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</si>
  <si>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</si>
  <si>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</si>
  <si>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</si>
  <si>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</si>
  <si>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2025-08-17</t>
  </si>
  <si>
    <t xml:space="preserve">CUST-2021</t>
  </si>
  <si>
    <t xml:space="preserve">Prime Binders 181</t>
  </si>
  <si>
    <t xml:space="preserve">ORD-2024-10746</t>
  </si>
  <si>
    <t xml:space="preserve">24 Oct 2024</t>
  </si>
  <si>
    <t xml:space="preserve">28-10-2024</t>
  </si>
  <si>
    <t xml:space="preserve">CUST-1493</t>
  </si>
  <si>
    <t xml:space="preserve">Max Copiers 866</t>
  </si>
  <si>
    <t xml:space="preserve">ORD-2025-10747</t>
  </si>
  <si>
    <t xml:space="preserve">10-01-2025</t>
  </si>
  <si>
    <t xml:space="preserve">Pro Paper 662</t>
  </si>
  <si>
    <t xml:space="preserve">ORD-2024-10748</t>
  </si>
  <si>
    <t xml:space="preserve">2024-05-01</t>
  </si>
  <si>
    <t xml:space="preserve">07 May 2024</t>
  </si>
  <si>
    <t xml:space="preserve">CUST-8416</t>
  </si>
  <si>
    <t xml:space="preserve">Classic Paper 388</t>
  </si>
  <si>
    <t xml:space="preserve">ORD-2024-10749</t>
  </si>
  <si>
    <t xml:space="preserve">30-05-2024</t>
  </si>
  <si>
    <t xml:space="preserve">05/30/2024</t>
  </si>
  <si>
    <t xml:space="preserve">CUST-3103</t>
  </si>
  <si>
    <t xml:space="preserve">Pro Phones 765</t>
  </si>
  <si>
    <t xml:space="preserve">ORD-2024-10750</t>
  </si>
  <si>
    <t xml:space="preserve">21 Mar 2024</t>
  </si>
  <si>
    <t xml:space="preserve">2024-03-25</t>
  </si>
  <si>
    <t xml:space="preserve">CUST-4457</t>
  </si>
  <si>
    <t xml:space="preserve">Classic Machines 543</t>
  </si>
  <si>
    <t xml:space="preserve">ORD-2025-10751</t>
  </si>
  <si>
    <t xml:space="preserve">06/02/2025</t>
  </si>
  <si>
    <t xml:space="preserve">CUST-7036</t>
  </si>
  <si>
    <t xml:space="preserve">Max Accessories 291</t>
  </si>
  <si>
    <t xml:space="preserve">ORD-2025-10752</t>
  </si>
  <si>
    <t xml:space="preserve">19-07-2025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</si>
  <si>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</si>
  <si>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</si>
  <si>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</si>
  <si>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</si>
  <si>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West 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</si>
  <si>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</si>
  <si>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</si>
  <si>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</si>
  <si>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</si>
  <si>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</si>
  <si>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06/04/2025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</si>
  <si>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</si>
  <si>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</si>
  <si>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</si>
  <si>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</si>
  <si>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</si>
  <si>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</si>
  <si>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10/27/2024</t>
  </si>
  <si>
    <t xml:space="preserve">11/01/2024</t>
  </si>
  <si>
    <t xml:space="preserve">CUST-1557</t>
  </si>
  <si>
    <t xml:space="preserve">Smart Accessories 362</t>
  </si>
  <si>
    <t xml:space="preserve">ORD-2025-10758</t>
  </si>
  <si>
    <t xml:space="preserve">01 Aug 2025</t>
  </si>
  <si>
    <t xml:space="preserve">2025-08-03</t>
  </si>
  <si>
    <t xml:space="preserve">CUST-3058</t>
  </si>
  <si>
    <t xml:space="preserve">Classic Bookcases 310</t>
  </si>
  <si>
    <t xml:space="preserve">ORD-2024-10759</t>
  </si>
  <si>
    <t xml:space="preserve">02 May 2024</t>
  </si>
  <si>
    <t xml:space="preserve">CUST-6076</t>
  </si>
  <si>
    <t xml:space="preserve">Prime Chairs 721</t>
  </si>
  <si>
    <t xml:space="preserve">ORD-2024-10760</t>
  </si>
  <si>
    <t xml:space="preserve">26-07-2024</t>
  </si>
  <si>
    <t xml:space="preserve">CUST-2098</t>
  </si>
  <si>
    <t xml:space="preserve">  South </t>
  </si>
  <si>
    <t xml:space="preserve">Prime Tables 797</t>
  </si>
  <si>
    <t xml:space="preserve">ORD-2024-10761</t>
  </si>
  <si>
    <t xml:space="preserve">28-08-2024</t>
  </si>
  <si>
    <t xml:space="preserve">CUST-7193</t>
  </si>
  <si>
    <t xml:space="preserve">Max Art 926</t>
  </si>
  <si>
    <t xml:space="preserve">ORD-2025-10762</t>
  </si>
  <si>
    <t xml:space="preserve">08/31/2025</t>
  </si>
  <si>
    <t xml:space="preserve">CUST-8948</t>
  </si>
  <si>
    <t xml:space="preserve">Max Machines 364</t>
  </si>
  <si>
    <t xml:space="preserve">ORD-2024-10763</t>
  </si>
  <si>
    <t xml:space="preserve">01/01/2024</t>
  </si>
  <si>
    <t xml:space="preserve">05 Jan 2024</t>
  </si>
  <si>
    <t xml:space="preserve">CUST-6921</t>
  </si>
  <si>
    <t xml:space="preserve">Classic Machines 122</t>
  </si>
  <si>
    <t xml:space="preserve">ORD-2025-10764</t>
  </si>
  <si>
    <t xml:space="preserve">23 Aug 2025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</si>
  <si>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</si>
  <si>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</si>
  <si>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</si>
  <si>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</si>
  <si>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</si>
  <si>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</si>
  <si>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29-06-2025</t>
  </si>
  <si>
    <t xml:space="preserve">2025-07-03</t>
  </si>
  <si>
    <t xml:space="preserve">CUST-8747</t>
  </si>
  <si>
    <t xml:space="preserve">Max Labels 136</t>
  </si>
  <si>
    <t xml:space="preserve">ORD-2024-10767</t>
  </si>
  <si>
    <t xml:space="preserve">17 Sep 2024</t>
  </si>
  <si>
    <t xml:space="preserve">CUST-3156</t>
  </si>
  <si>
    <t xml:space="preserve">Prime Art 380</t>
  </si>
  <si>
    <t xml:space="preserve">ORD-2024-10768</t>
  </si>
  <si>
    <t xml:space="preserve">03 May 2024</t>
  </si>
  <si>
    <t xml:space="preserve">CUST-2043</t>
  </si>
  <si>
    <t xml:space="preserve">Classic Binders 234</t>
  </si>
  <si>
    <t xml:space="preserve">ORD-2025-10769</t>
  </si>
  <si>
    <t xml:space="preserve">2025-04-04</t>
  </si>
  <si>
    <t xml:space="preserve">CUST-8808</t>
  </si>
  <si>
    <t xml:space="preserve">Classic Paper 280</t>
  </si>
  <si>
    <t xml:space="preserve">ORD-2024-10770</t>
  </si>
  <si>
    <t xml:space="preserve">05/11/2024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</si>
  <si>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</si>
  <si>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</si>
  <si>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</si>
  <si>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</si>
  <si>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</si>
  <si>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</si>
  <si>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2024-07-12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</si>
  <si>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</si>
  <si>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</si>
  <si>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</si>
  <si>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</si>
  <si>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</si>
  <si>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2025-02-21</t>
  </si>
  <si>
    <t xml:space="preserve">21 Feb 2025</t>
  </si>
  <si>
    <t xml:space="preserve">CUST-4766</t>
  </si>
  <si>
    <t xml:space="preserve">Basic Phones 753</t>
  </si>
  <si>
    <t xml:space="preserve">ORD-2025-10775</t>
  </si>
  <si>
    <t xml:space="preserve">07-08-2025</t>
  </si>
  <si>
    <t xml:space="preserve">CUST-1182</t>
  </si>
  <si>
    <t xml:space="preserve">Smart Machines 789</t>
  </si>
  <si>
    <t xml:space="preserve">ORD-2024-10776</t>
  </si>
  <si>
    <t xml:space="preserve">14 Apr 2024</t>
  </si>
  <si>
    <t xml:space="preserve">22-04-2024</t>
  </si>
  <si>
    <t xml:space="preserve">CUST-4461</t>
  </si>
  <si>
    <t xml:space="preserve">Elite Accessories 312</t>
  </si>
  <si>
    <t xml:space="preserve">ORD-2025-10777</t>
  </si>
  <si>
    <t xml:space="preserve">08-06-2025</t>
  </si>
  <si>
    <t xml:space="preserve">CUST-9690</t>
  </si>
  <si>
    <t xml:space="preserve">Eco Copiers 528</t>
  </si>
  <si>
    <t xml:space="preserve">ORD-2024-10778</t>
  </si>
  <si>
    <t xml:space="preserve">04-02-2024</t>
  </si>
  <si>
    <t xml:space="preserve">CUST-6879</t>
  </si>
  <si>
    <t xml:space="preserve">Elite Accessories 226</t>
  </si>
  <si>
    <t xml:space="preserve">ORD-2024-10779</t>
  </si>
  <si>
    <t xml:space="preserve">24-07-2024</t>
  </si>
  <si>
    <t xml:space="preserve">CUST-4714</t>
  </si>
  <si>
    <t xml:space="preserve">Pro Copiers 298</t>
  </si>
  <si>
    <t xml:space="preserve">ORD-2024-10780</t>
  </si>
  <si>
    <t xml:space="preserve">20-01-2024</t>
  </si>
  <si>
    <t xml:space="preserve">CUST-7547</t>
  </si>
  <si>
    <t xml:space="preserve">Prime Chairs 331</t>
  </si>
  <si>
    <t xml:space="preserve">ORD-2024-10781</t>
  </si>
  <si>
    <t xml:space="preserve">04 Aug 2024</t>
  </si>
  <si>
    <t xml:space="preserve">CUST-3288</t>
  </si>
  <si>
    <t xml:space="preserve">Classic Chairs 798</t>
  </si>
  <si>
    <t xml:space="preserve">ORD-2024-10782</t>
  </si>
  <si>
    <t xml:space="preserve">2024-02-02</t>
  </si>
  <si>
    <t xml:space="preserve">CUST-8597</t>
  </si>
  <si>
    <t xml:space="preserve">Classic Labels 204</t>
  </si>
  <si>
    <t xml:space="preserve">ORD-2025-10783</t>
  </si>
  <si>
    <t xml:space="preserve">03/22/2025</t>
  </si>
  <si>
    <t xml:space="preserve">CUST-9085</t>
  </si>
  <si>
    <t xml:space="preserve">Basic Copiers 254</t>
  </si>
  <si>
    <t xml:space="preserve">ORD-2024-10784</t>
  </si>
  <si>
    <t xml:space="preserve">07 Jun 2024</t>
  </si>
  <si>
    <t xml:space="preserve">2024-06-07</t>
  </si>
  <si>
    <t xml:space="preserve">CUST-7746</t>
  </si>
  <si>
    <t xml:space="preserve">Basic Art 709</t>
  </si>
  <si>
    <t xml:space="preserve">ORD-2025-10785</t>
  </si>
  <si>
    <t xml:space="preserve">10/04/2025</t>
  </si>
  <si>
    <t xml:space="preserve">CUST-3119</t>
  </si>
  <si>
    <t xml:space="preserve">north</t>
  </si>
  <si>
    <t xml:space="preserve">Max Copiers 551</t>
  </si>
  <si>
    <t xml:space="preserve">ORD-2024-10786</t>
  </si>
  <si>
    <t xml:space="preserve">23-05-2024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</si>
  <si>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</si>
  <si>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</si>
  <si>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</si>
  <si>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</si>
  <si>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</si>
  <si>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</si>
  <si>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2024-09-18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</si>
  <si>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</si>
  <si>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</si>
  <si>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</si>
  <si>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</si>
  <si>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</si>
  <si>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</si>
  <si>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07 Mar 2025</t>
  </si>
  <si>
    <t xml:space="preserve">CUST-1453</t>
  </si>
  <si>
    <t xml:space="preserve">Smart Copiers 408</t>
  </si>
  <si>
    <t xml:space="preserve">ORD-2024-10791</t>
  </si>
  <si>
    <t xml:space="preserve">31 May 2024</t>
  </si>
  <si>
    <t xml:space="preserve">2024-06-02</t>
  </si>
  <si>
    <t xml:space="preserve">CUST-1951</t>
  </si>
  <si>
    <t xml:space="preserve">Classic Art 781</t>
  </si>
  <si>
    <t xml:space="preserve">ORD-2024-10792</t>
  </si>
  <si>
    <t xml:space="preserve">2024-10-06</t>
  </si>
  <si>
    <t xml:space="preserve">CUST-6300</t>
  </si>
  <si>
    <t xml:space="preserve">Eco Bookcases 144</t>
  </si>
  <si>
    <t xml:space="preserve">ORD-2025-10793</t>
  </si>
  <si>
    <t xml:space="preserve">08 Jun 2025</t>
  </si>
  <si>
    <t xml:space="preserve">CUST-1417</t>
  </si>
  <si>
    <t xml:space="preserve">Elite Furnishings 852</t>
  </si>
  <si>
    <t xml:space="preserve">ORD-2024-10794</t>
  </si>
  <si>
    <t xml:space="preserve">03 Jun 2024</t>
  </si>
  <si>
    <t xml:space="preserve">CUST-5421</t>
  </si>
  <si>
    <t xml:space="preserve">Basic Copiers 238</t>
  </si>
  <si>
    <t xml:space="preserve">ORD-2025-10795</t>
  </si>
  <si>
    <t xml:space="preserve">2025-06-22</t>
  </si>
  <si>
    <t xml:space="preserve">CUST-2829</t>
  </si>
  <si>
    <t xml:space="preserve">Elite Paper 847</t>
  </si>
  <si>
    <t xml:space="preserve">ORD-2024-10796</t>
  </si>
  <si>
    <t xml:space="preserve">30-07-2024</t>
  </si>
  <si>
    <t xml:space="preserve">CUST-6529</t>
  </si>
  <si>
    <t xml:space="preserve">Pro Copiers 653</t>
  </si>
  <si>
    <t xml:space="preserve">ORD-2024-10797</t>
  </si>
  <si>
    <t xml:space="preserve">30-03-2024</t>
  </si>
  <si>
    <t xml:space="preserve">CUST-3126</t>
  </si>
  <si>
    <t xml:space="preserve">Elite Machines 459</t>
  </si>
  <si>
    <t xml:space="preserve">ORD-2024-10798</t>
  </si>
  <si>
    <t xml:space="preserve">18 Apr 2024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</si>
  <si>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</si>
  <si>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</si>
  <si>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</si>
  <si>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</si>
  <si>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09-07-2025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</si>
  <si>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</si>
  <si>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</si>
  <si>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</si>
  <si>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</si>
  <si>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</si>
  <si>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</si>
  <si>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01 Mar 2024</t>
  </si>
  <si>
    <t xml:space="preserve">2024-03-07</t>
  </si>
  <si>
    <t xml:space="preserve">CUST-5015</t>
  </si>
  <si>
    <t xml:space="preserve">Elite Storage 825</t>
  </si>
  <si>
    <t xml:space="preserve">ORD-2025-10802</t>
  </si>
  <si>
    <t xml:space="preserve">2025-10-08</t>
  </si>
  <si>
    <t xml:space="preserve">CUST-3344</t>
  </si>
  <si>
    <t xml:space="preserve">Pro Accessories 500</t>
  </si>
  <si>
    <t xml:space="preserve">ORD-2025-10803</t>
  </si>
  <si>
    <t xml:space="preserve">2025-02-16</t>
  </si>
  <si>
    <t xml:space="preserve">CUST-5866</t>
  </si>
  <si>
    <t xml:space="preserve">Pro Furnishings 909</t>
  </si>
  <si>
    <t xml:space="preserve">failed</t>
  </si>
  <si>
    <t xml:space="preserve">ORD-2024-10804</t>
  </si>
  <si>
    <t xml:space="preserve">09 Dec 2024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</si>
  <si>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</si>
  <si>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</si>
  <si>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</si>
  <si>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</si>
  <si>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</si>
  <si>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</si>
  <si>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</si>
  <si>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</si>
  <si>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09-11-2024</t>
  </si>
  <si>
    <t xml:space="preserve">15 Nov 2024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</si>
  <si>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</si>
  <si>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</si>
  <si>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</si>
  <si>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</si>
  <si>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</si>
  <si>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standard class</t>
  </si>
  <si>
    <t xml:space="preserve">ORD-2025-10809</t>
  </si>
  <si>
    <t xml:space="preserve">2025-08-31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</si>
  <si>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</si>
  <si>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</si>
  <si>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</si>
  <si>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</si>
  <si>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</si>
  <si>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</si>
  <si>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04/03/2024</t>
  </si>
  <si>
    <t xml:space="preserve">08-04-2024</t>
  </si>
  <si>
    <t xml:space="preserve">Pro Copiers 867</t>
  </si>
  <si>
    <t xml:space="preserve">ORD-2024-10812</t>
  </si>
  <si>
    <t xml:space="preserve">12 Dec 2024</t>
  </si>
  <si>
    <t xml:space="preserve">19 Dec 2024</t>
  </si>
  <si>
    <t xml:space="preserve">CUST-3303</t>
  </si>
  <si>
    <t xml:space="preserve">Eco Accessories 122</t>
  </si>
  <si>
    <t xml:space="preserve">ORD-2024-10813</t>
  </si>
  <si>
    <t xml:space="preserve">20-06-2024</t>
  </si>
  <si>
    <t xml:space="preserve">CUST-5754</t>
  </si>
  <si>
    <t xml:space="preserve">Basic Tables 127</t>
  </si>
  <si>
    <t xml:space="preserve">ORD-2025-10814</t>
  </si>
  <si>
    <t xml:space="preserve">04/06/2025</t>
  </si>
  <si>
    <t xml:space="preserve">10 Apr 2025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</si>
  <si>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</si>
  <si>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</si>
  <si>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</si>
  <si>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</si>
  <si>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</si>
  <si>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2024-04-08</t>
  </si>
  <si>
    <t xml:space="preserve">CUST-2951</t>
  </si>
  <si>
    <t xml:space="preserve">Max Machines 569</t>
  </si>
  <si>
    <t xml:space="preserve">ORD-2024-10817</t>
  </si>
  <si>
    <t xml:space="preserve">11/27/2024</t>
  </si>
  <si>
    <t xml:space="preserve">2024-11-30</t>
  </si>
  <si>
    <t xml:space="preserve">CUST-3072</t>
  </si>
  <si>
    <t xml:space="preserve">Basic Furnishings 306</t>
  </si>
  <si>
    <t xml:space="preserve">ORD-2025-10818</t>
  </si>
  <si>
    <t xml:space="preserve">05 Apr 2025</t>
  </si>
  <si>
    <t xml:space="preserve">04/05/2025</t>
  </si>
  <si>
    <t xml:space="preserve">CUST-2221</t>
  </si>
  <si>
    <t xml:space="preserve">Classic Binders 873</t>
  </si>
  <si>
    <t xml:space="preserve">ORD-2024-10819</t>
  </si>
  <si>
    <t xml:space="preserve">29 Sep 2024</t>
  </si>
  <si>
    <t xml:space="preserve">CUST-3943</t>
  </si>
  <si>
    <t xml:space="preserve">Pro Labels 611</t>
  </si>
  <si>
    <t xml:space="preserve">ORD-2024-10820</t>
  </si>
  <si>
    <t xml:space="preserve">31-07-2024</t>
  </si>
  <si>
    <t xml:space="preserve">CUST-7510</t>
  </si>
  <si>
    <t xml:space="preserve">MACHINES</t>
  </si>
  <si>
    <t xml:space="preserve">Prime Machines 524</t>
  </si>
  <si>
    <t xml:space="preserve">ORD-2025-10821</t>
  </si>
  <si>
    <t xml:space="preserve">06-02-2025</t>
  </si>
  <si>
    <t xml:space="preserve">10-02-2025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</si>
  <si>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</si>
  <si>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</si>
  <si>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</si>
  <si>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</si>
  <si>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06-07-2024</t>
  </si>
  <si>
    <t xml:space="preserve">CUST-4466</t>
  </si>
  <si>
    <t xml:space="preserve">Classic Accessories 471</t>
  </si>
  <si>
    <t xml:space="preserve">ORD-2024-10823</t>
  </si>
  <si>
    <t xml:space="preserve">10/12/2024</t>
  </si>
  <si>
    <t xml:space="preserve">08 Oct 2024</t>
  </si>
  <si>
    <t xml:space="preserve">CUST-3188</t>
  </si>
  <si>
    <t xml:space="preserve">Smart Furnishings 175</t>
  </si>
  <si>
    <t xml:space="preserve">ORD-2025-10824</t>
  </si>
  <si>
    <t xml:space="preserve">2025-01-06</t>
  </si>
  <si>
    <t xml:space="preserve">CUST-6638</t>
  </si>
  <si>
    <t xml:space="preserve">Basic Paper 899</t>
  </si>
  <si>
    <t xml:space="preserve">ORD-2025-10825</t>
  </si>
  <si>
    <t xml:space="preserve">21-03-2025</t>
  </si>
  <si>
    <t xml:space="preserve">CUST-3540</t>
  </si>
  <si>
    <t xml:space="preserve">Pro Paper 267</t>
  </si>
  <si>
    <t xml:space="preserve">ORD-2025-10826</t>
  </si>
  <si>
    <t xml:space="preserve">16 Apr 2025</t>
  </si>
  <si>
    <t xml:space="preserve">17-04-2025</t>
  </si>
  <si>
    <t xml:space="preserve">CUST-3351</t>
  </si>
  <si>
    <t xml:space="preserve">Basic Machines 832</t>
  </si>
  <si>
    <t xml:space="preserve">ORD-2025-10827</t>
  </si>
  <si>
    <t xml:space="preserve">14 Aug 2025</t>
  </si>
  <si>
    <t xml:space="preserve">CUST-4375</t>
  </si>
  <si>
    <t xml:space="preserve">Elite Accessories 790</t>
  </si>
  <si>
    <t xml:space="preserve">ORD-2024-10828</t>
  </si>
  <si>
    <t xml:space="preserve">24 Nov 2024</t>
  </si>
  <si>
    <t xml:space="preserve">CUST-5125</t>
  </si>
  <si>
    <t xml:space="preserve">Basic Paper 707</t>
  </si>
  <si>
    <t xml:space="preserve">ORD-2025-10829</t>
  </si>
  <si>
    <t xml:space="preserve">10/10/2025</t>
  </si>
  <si>
    <t xml:space="preserve">11-10-2025</t>
  </si>
  <si>
    <t xml:space="preserve">CUST-6010</t>
  </si>
  <si>
    <t xml:space="preserve">Karan Malhotra </t>
  </si>
  <si>
    <t xml:space="preserve">Elite Chairs 979</t>
  </si>
  <si>
    <t xml:space="preserve">ORD-2024-10830</t>
  </si>
  <si>
    <t xml:space="preserve">02/26/2024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</si>
  <si>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</si>
  <si>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</si>
  <si>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</si>
  <si>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</si>
  <si>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</si>
  <si>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</si>
  <si>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</si>
  <si>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</si>
  <si>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</si>
  <si>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26 May 2025</t>
  </si>
  <si>
    <t xml:space="preserve">28-05-2025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</si>
  <si>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</si>
  <si>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</si>
  <si>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</si>
  <si>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</si>
  <si>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06/04/2024</t>
  </si>
  <si>
    <t xml:space="preserve">CUST-2689</t>
  </si>
  <si>
    <t xml:space="preserve">Basic Bookcases 499</t>
  </si>
  <si>
    <t xml:space="preserve">ORD-2024-10835</t>
  </si>
  <si>
    <t xml:space="preserve">2024-10-22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</si>
  <si>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</si>
  <si>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</si>
  <si>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</si>
  <si>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</si>
  <si>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</si>
  <si>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</si>
  <si>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2024-12-18</t>
  </si>
  <si>
    <t xml:space="preserve">CUST-9776</t>
  </si>
  <si>
    <t xml:space="preserve">Smart Labels 814</t>
  </si>
  <si>
    <t xml:space="preserve">ORD-2025-10838</t>
  </si>
  <si>
    <t xml:space="preserve">09/28/2025</t>
  </si>
  <si>
    <t xml:space="preserve">CUST-2551</t>
  </si>
  <si>
    <t xml:space="preserve">Prime Paper 812</t>
  </si>
  <si>
    <t xml:space="preserve">ORD-2025-10839</t>
  </si>
  <si>
    <t xml:space="preserve">07 Apr 2025</t>
  </si>
  <si>
    <t xml:space="preserve">CUST-4708</t>
  </si>
  <si>
    <t xml:space="preserve">Pro Paper 355</t>
  </si>
  <si>
    <t xml:space="preserve">ORD-2024-10840</t>
  </si>
  <si>
    <t xml:space="preserve">09/20/2024</t>
  </si>
  <si>
    <t xml:space="preserve">22-09-2024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</si>
  <si>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</si>
  <si>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</si>
  <si>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</si>
  <si>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</si>
  <si>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</si>
  <si>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</si>
  <si>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2025-02-06</t>
  </si>
  <si>
    <t xml:space="preserve">12 Feb 2025</t>
  </si>
  <si>
    <t xml:space="preserve">CUST-7558</t>
  </si>
  <si>
    <t xml:space="preserve">Max Art 339</t>
  </si>
  <si>
    <t xml:space="preserve">ORD-2024-10843</t>
  </si>
  <si>
    <t xml:space="preserve">31-03-2024</t>
  </si>
  <si>
    <t xml:space="preserve">03/30/2024</t>
  </si>
  <si>
    <t xml:space="preserve">CUST-1798</t>
  </si>
  <si>
    <t xml:space="preserve">kabir singh</t>
  </si>
  <si>
    <t xml:space="preserve">Smart Machines 581</t>
  </si>
  <si>
    <t xml:space="preserve">ORD-2025-10844</t>
  </si>
  <si>
    <t xml:space="preserve">25 Jul 2025</t>
  </si>
  <si>
    <t xml:space="preserve">CUST-7333</t>
  </si>
  <si>
    <t xml:space="preserve">Prime Phones 482</t>
  </si>
  <si>
    <t xml:space="preserve">ORD-2025-10845</t>
  </si>
  <si>
    <t xml:space="preserve">20-01-2025</t>
  </si>
  <si>
    <t xml:space="preserve">25-01-2025</t>
  </si>
  <si>
    <t xml:space="preserve">CUST-2086</t>
  </si>
  <si>
    <t xml:space="preserve">Pro Art 588</t>
  </si>
  <si>
    <t xml:space="preserve">ORD-2024-10846</t>
  </si>
  <si>
    <t xml:space="preserve">27 Feb 2024</t>
  </si>
  <si>
    <t xml:space="preserve">Eco Tables 792</t>
  </si>
  <si>
    <t xml:space="preserve">ORD-2024-10847</t>
  </si>
  <si>
    <t xml:space="preserve">2024-04-14</t>
  </si>
  <si>
    <t xml:space="preserve">2024-04-22</t>
  </si>
  <si>
    <t xml:space="preserve">CUST-6522</t>
  </si>
  <si>
    <t xml:space="preserve">Prime Bookcases 177</t>
  </si>
  <si>
    <t xml:space="preserve">ORD-2025-10848</t>
  </si>
  <si>
    <t xml:space="preserve">2025-05-20</t>
  </si>
  <si>
    <t xml:space="preserve">05/22/2025</t>
  </si>
  <si>
    <t xml:space="preserve">CUST-8329</t>
  </si>
  <si>
    <t xml:space="preserve">Pro Tables 828</t>
  </si>
  <si>
    <t xml:space="preserve">ORD-2025-10849</t>
  </si>
  <si>
    <t xml:space="preserve">29 May 2025</t>
  </si>
  <si>
    <t xml:space="preserve">CUST-4426</t>
  </si>
  <si>
    <t xml:space="preserve">Elite Furnishings 480</t>
  </si>
  <si>
    <t xml:space="preserve">ORD-2024-10850</t>
  </si>
  <si>
    <t xml:space="preserve">2024-03-06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</si>
  <si>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</si>
  <si>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</si>
  <si>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</si>
  <si>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</si>
  <si>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</si>
  <si>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</si>
  <si>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</si>
  <si>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</si>
  <si>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</si>
  <si>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01-04-2024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</si>
  <si>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</si>
  <si>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</si>
  <si>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</si>
  <si>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</si>
  <si>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</si>
  <si>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</si>
  <si>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</si>
  <si>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03/25/2025</t>
  </si>
  <si>
    <t xml:space="preserve">04/02/2025</t>
  </si>
  <si>
    <t xml:space="preserve">CUST-2514</t>
  </si>
  <si>
    <t xml:space="preserve">Max Bookcases 381</t>
  </si>
  <si>
    <t xml:space="preserve">ORD-2024-10856</t>
  </si>
  <si>
    <t xml:space="preserve">02 Aug 2024</t>
  </si>
  <si>
    <t xml:space="preserve">LABELS</t>
  </si>
  <si>
    <t xml:space="preserve">Classic Labels 215</t>
  </si>
  <si>
    <t xml:space="preserve">ORD-2024-10857</t>
  </si>
  <si>
    <t xml:space="preserve">2024-06-12</t>
  </si>
  <si>
    <t xml:space="preserve">Classic Storage 918</t>
  </si>
  <si>
    <t xml:space="preserve">ORD-2024-10858</t>
  </si>
  <si>
    <t xml:space="preserve">04 Jun 2024</t>
  </si>
  <si>
    <t xml:space="preserve">04-06-2024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</si>
  <si>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</si>
  <si>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</si>
  <si>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</si>
  <si>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</si>
  <si>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</si>
  <si>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2024-11-01</t>
  </si>
  <si>
    <t xml:space="preserve">CUST-2395</t>
  </si>
  <si>
    <t xml:space="preserve">Elite Phones 394</t>
  </si>
  <si>
    <t xml:space="preserve">ORD-2024-10861</t>
  </si>
  <si>
    <t xml:space="preserve">04 Feb 2024</t>
  </si>
  <si>
    <t xml:space="preserve">CUST-8941</t>
  </si>
  <si>
    <t xml:space="preserve">Classic Storage 194</t>
  </si>
  <si>
    <t xml:space="preserve">ORD-2025-10862</t>
  </si>
  <si>
    <t xml:space="preserve">2025-03-08</t>
  </si>
  <si>
    <t xml:space="preserve">2025-03-09</t>
  </si>
  <si>
    <t xml:space="preserve">CUST-9448</t>
  </si>
  <si>
    <t xml:space="preserve">Smart Furnishings 892</t>
  </si>
  <si>
    <t xml:space="preserve">ORD-2025-10863</t>
  </si>
  <si>
    <t xml:space="preserve">31-03-2025</t>
  </si>
  <si>
    <t xml:space="preserve">CUST-8354</t>
  </si>
  <si>
    <t xml:space="preserve">Pro Binders 488</t>
  </si>
  <si>
    <t xml:space="preserve">ORD-2025-10864</t>
  </si>
  <si>
    <t xml:space="preserve">09/06/2025</t>
  </si>
  <si>
    <t xml:space="preserve">CUST-2200</t>
  </si>
  <si>
    <t xml:space="preserve">Prime Furnishings 679</t>
  </si>
  <si>
    <t xml:space="preserve">ORD-2025-10865</t>
  </si>
  <si>
    <t xml:space="preserve">02 Sep 2025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</si>
  <si>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</si>
  <si>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</si>
  <si>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</si>
  <si>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</si>
  <si>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</si>
  <si>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</si>
  <si>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2025-03-06</t>
  </si>
  <si>
    <t xml:space="preserve">CUST-7596</t>
  </si>
  <si>
    <t xml:space="preserve">Smart Bookcases 552</t>
  </si>
  <si>
    <t xml:space="preserve">ORD-2024-10868</t>
  </si>
  <si>
    <t xml:space="preserve">21 Nov 2024</t>
  </si>
  <si>
    <t xml:space="preserve">22 Nov 2024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</si>
  <si>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</si>
  <si>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</si>
  <si>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</si>
  <si>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</si>
  <si>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</si>
  <si>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</si>
  <si>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03/06/2025</t>
  </si>
  <si>
    <t xml:space="preserve">CUST-2388</t>
  </si>
  <si>
    <t xml:space="preserve">ORD-2025-10871</t>
  </si>
  <si>
    <t xml:space="preserve">06 Jun 2025</t>
  </si>
  <si>
    <t xml:space="preserve">07 Jun 2025</t>
  </si>
  <si>
    <t xml:space="preserve">CUST-7054</t>
  </si>
  <si>
    <t xml:space="preserve">Max Tables 281</t>
  </si>
  <si>
    <t xml:space="preserve">ORD-2024-10872</t>
  </si>
  <si>
    <t xml:space="preserve">02/20/2024</t>
  </si>
  <si>
    <t xml:space="preserve">Pro Accessories 325</t>
  </si>
  <si>
    <t xml:space="preserve">ORD-2024-10873</t>
  </si>
  <si>
    <t xml:space="preserve">02 Nov 2024</t>
  </si>
  <si>
    <t xml:space="preserve">Prime Furnishings 178</t>
  </si>
  <si>
    <t xml:space="preserve">ORD-2025-10874</t>
  </si>
  <si>
    <t xml:space="preserve">01 Feb 2025</t>
  </si>
  <si>
    <t xml:space="preserve">08-02-2025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</si>
  <si>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</si>
  <si>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</si>
  <si>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</si>
  <si>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</si>
  <si>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</si>
  <si>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</si>
  <si>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10 Aug 2024</t>
  </si>
  <si>
    <t xml:space="preserve">08/11/2024</t>
  </si>
  <si>
    <t xml:space="preserve">CUST-6928</t>
  </si>
  <si>
    <t xml:space="preserve">Elite Copiers 752</t>
  </si>
  <si>
    <t xml:space="preserve">ORD-2024-10877</t>
  </si>
  <si>
    <t xml:space="preserve">11/18/2024</t>
  </si>
  <si>
    <t xml:space="preserve">20-11-2024</t>
  </si>
  <si>
    <t xml:space="preserve">CUST-9044</t>
  </si>
  <si>
    <t xml:space="preserve">ORD-2025-10878</t>
  </si>
  <si>
    <t xml:space="preserve">26-08-2025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</si>
  <si>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</si>
  <si>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</si>
  <si>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</si>
  <si>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</si>
  <si>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</si>
  <si>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</si>
  <si>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2025-08-27</t>
  </si>
  <si>
    <t xml:space="preserve">CUST-4486</t>
  </si>
  <si>
    <t xml:space="preserve">Smart Art 990</t>
  </si>
  <si>
    <t xml:space="preserve">ORD-2024-10881</t>
  </si>
  <si>
    <t xml:space="preserve">08-03-2024</t>
  </si>
  <si>
    <t xml:space="preserve">CUST-5287</t>
  </si>
  <si>
    <t xml:space="preserve">Basic Chairs 327</t>
  </si>
  <si>
    <t xml:space="preserve">ORD-2024-10882</t>
  </si>
  <si>
    <t xml:space="preserve">05-12-2024</t>
  </si>
  <si>
    <t xml:space="preserve">CUST-3445</t>
  </si>
  <si>
    <t xml:space="preserve">Eco Copiers 987</t>
  </si>
  <si>
    <t xml:space="preserve">ORD-2025-10883</t>
  </si>
  <si>
    <t xml:space="preserve">02 Feb 2025</t>
  </si>
  <si>
    <t xml:space="preserve">CUST-4983</t>
  </si>
  <si>
    <t xml:space="preserve">Basic Accessories 607</t>
  </si>
  <si>
    <t xml:space="preserve">ORD-2025-10884</t>
  </si>
  <si>
    <t xml:space="preserve">28 Apr 2025</t>
  </si>
  <si>
    <t xml:space="preserve">05/01/2025</t>
  </si>
  <si>
    <t xml:space="preserve">CUST-2597</t>
  </si>
  <si>
    <t xml:space="preserve">Classic Storage 211</t>
  </si>
  <si>
    <t xml:space="preserve">ORD-2025-10885</t>
  </si>
  <si>
    <t xml:space="preserve">18-01-2025</t>
  </si>
  <si>
    <t xml:space="preserve">2025-01-25</t>
  </si>
  <si>
    <t xml:space="preserve">CUST-7505</t>
  </si>
  <si>
    <t xml:space="preserve">Eco Storage 783</t>
  </si>
  <si>
    <t xml:space="preserve">ORD-2024-10886</t>
  </si>
  <si>
    <t xml:space="preserve">2024-01-05</t>
  </si>
  <si>
    <t xml:space="preserve">CUST-3446</t>
  </si>
  <si>
    <t xml:space="preserve">Pro Tables 866</t>
  </si>
  <si>
    <t xml:space="preserve">ORD-2025-10887</t>
  </si>
  <si>
    <t xml:space="preserve">26-04-2025</t>
  </si>
  <si>
    <t xml:space="preserve">03-05-2025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</si>
  <si>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</si>
  <si>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</si>
  <si>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</si>
  <si>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</si>
  <si>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</si>
  <si>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</si>
  <si>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06-08-2025</t>
  </si>
  <si>
    <t xml:space="preserve">CUST-1081</t>
  </si>
  <si>
    <t xml:space="preserve">Pro Art 620</t>
  </si>
  <si>
    <t xml:space="preserve">ORD-2025-10890</t>
  </si>
  <si>
    <t xml:space="preserve">10 Mar 2025</t>
  </si>
  <si>
    <t xml:space="preserve">03/11/2025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</si>
  <si>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</si>
  <si>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</si>
  <si>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</si>
  <si>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</si>
  <si>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</si>
  <si>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</si>
  <si>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</si>
  <si>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</si>
  <si>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04/12/2025</t>
  </si>
  <si>
    <t xml:space="preserve">CUST-5087</t>
  </si>
  <si>
    <t xml:space="preserve">Elite Copiers 221</t>
  </si>
  <si>
    <t xml:space="preserve">ORD-2024-10894</t>
  </si>
  <si>
    <t xml:space="preserve">06 Jun 2024</t>
  </si>
  <si>
    <t xml:space="preserve">08 Jun 2024</t>
  </si>
  <si>
    <t xml:space="preserve">CUST-9297</t>
  </si>
  <si>
    <t xml:space="preserve">Max Tables 291</t>
  </si>
  <si>
    <t xml:space="preserve">ORD-2024-10895</t>
  </si>
  <si>
    <t xml:space="preserve">02/29/2024</t>
  </si>
  <si>
    <t xml:space="preserve">CUST-7996</t>
  </si>
  <si>
    <t xml:space="preserve">Classic Tables 638</t>
  </si>
  <si>
    <t xml:space="preserve">ORD-2024-10896</t>
  </si>
  <si>
    <t xml:space="preserve">05 Nov 2024</t>
  </si>
  <si>
    <t xml:space="preserve">CUST-4117</t>
  </si>
  <si>
    <t xml:space="preserve">Basic Chairs 212</t>
  </si>
  <si>
    <t xml:space="preserve">ORD-2024-10897</t>
  </si>
  <si>
    <t xml:space="preserve">12/24/2024</t>
  </si>
  <si>
    <t xml:space="preserve">CUST-4848</t>
  </si>
  <si>
    <t xml:space="preserve">Max Copiers 121</t>
  </si>
  <si>
    <t xml:space="preserve">ORD-2025-10898</t>
  </si>
  <si>
    <t xml:space="preserve">03 May 2025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</si>
  <si>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</si>
  <si>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</si>
  <si>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</si>
  <si>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</si>
  <si>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</si>
  <si>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06/03/2025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</si>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</sst>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0&quot; days&quot;"/>
    <numFmt numFmtId="167" formatCode="0"/>
    <numFmt numFmtId="168" formatCode="#,##0.00"/>
    <numFmt numFmtId="169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3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0"/>
    <col collapsed="false" customWidth="true" hidden="false" outlineLevel="0" max="19" min="18" style="1" width="14"/>
    <col collapsed="false" customWidth="true" hidden="false" outlineLevel="0" max="20" min="20" style="1" width="9"/>
    <col collapsed="false" customWidth="true" hidden="false" outlineLevel="0" max="22" min="21" style="1" width="11"/>
    <col collapsed="false" customWidth="true" hidden="false" outlineLevel="0" max="23" min="23" style="1" width="12"/>
    <col collapsed="false" customWidth="true" hidden="false" outlineLevel="0" max="24" min="24" style="1" width="18"/>
    <col collapsed="false" customWidth="true" hidden="false" outlineLevel="0" max="27" min="25" style="1" width="11"/>
    <col collapsed="false" customWidth="true" hidden="false" outlineLevel="0" max="28" min="28" style="1" width="12"/>
    <col collapsed="false" customWidth="true" hidden="false" outlineLevel="0" max="30" min="29" style="1" width="13"/>
    <col collapsed="false" customWidth="true" hidden="false" outlineLevel="0" max="31" min="31" style="1" width="11"/>
    <col collapsed="false" customWidth="true" hidden="false" outlineLevel="0" max="32" min="32" style="1" width="12"/>
    <col collapsed="false" customWidth="true" hidden="false" outlineLevel="0" max="33" min="33" style="1" width="13"/>
    <col collapsed="false" customWidth="true" hidden="false" outlineLevel="0" max="35" min="34" style="1" width="9"/>
    <col collapsed="false" customWidth="true" hidden="false" outlineLevel="0" max="36" min="36" style="1" width="22"/>
    <col collapsed="false" customWidth="true" hidden="false" outlineLevel="0" max="37" min="37" style="1" width="10"/>
    <col collapsed="false" customWidth="true" hidden="false" outlineLevel="0" max="38" min="38" style="1" width="18"/>
    <col collapsed="false" customWidth="true" hidden="false" outlineLevel="0" max="39" min="39" style="1" width="13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15" hidden="false" customHeight="false" outlineLevel="0" collapsed="false">
      <c r="A2" s="3" t="str">
        <f aca="false">raw_data!A2</f>
        <v>ORD-2024-10001</v>
      </c>
      <c r="B2" s="4" t="n">
        <f aca="false">IFERROR(IF(MID(raw_data!B2,3,1)="/",DATE(VALUE(RIGHT(raw_data!B2,4)),VALUE(LEFT(raw_data!B2,2)),VALUE(MID(raw_data!B2,4,2))),IF(MID(raw_data!B2,3,1)="-",DATE(VALUE(RIGHT(raw_data!B2,4)),VALUE(MID(raw_data!B2,4,2)),VALUE(LEFT(raw_data!B2,2))),IF(MID(raw_data!B2,5,1)="-",DATE(VALUE(LEFT(raw_data!B2,4)),VALUE(MID(raw_data!B2,6,2)),VALUE(RIGHT(raw_data!B2,2))),DATE(VALUE(RIGHT(raw_data!B2,4)),MATCH(MID(raw_data!B2,4,3),{"Jan","Feb","Mar","Apr","May","Jun","Jul","Aug","Sep","Oct","Nov","Dec"},0),VALUE(LEFT(raw_data!B2,2)))))),"")</f>
        <v>45494</v>
      </c>
      <c r="C2" s="4" t="n">
        <f aca="false">IFERROR(IF(MID(raw_data!C2,3,1)="/",DATE(VALUE(RIGHT(raw_data!C2,4)),VALUE(LEFT(raw_data!C2,2)),VALUE(MID(raw_data!C2,4,2))),IF(MID(raw_data!C2,3,1)="-",DATE(VALUE(RIGHT(raw_data!C2,4)),VALUE(MID(raw_data!C2,4,2)),VALUE(LEFT(raw_data!C2,2))),IF(MID(raw_data!C2,5,1)="-",DATE(VALUE(LEFT(raw_data!C2,4)),VALUE(MID(raw_data!C2,6,2)),VALUE(RIGHT(raw_data!C2,2))),DATE(VALUE(RIGHT(raw_data!C2,4)),MATCH(MID(raw_data!C2,4,3),{"Jan","Feb","Mar","Apr","May","Jun","Jul","Aug","Sep","Oct","Nov","Dec"},0),VALUE(LEFT(raw_data!C2,2)))))),"")</f>
        <v>45500</v>
      </c>
      <c r="D2" s="3" t="str">
        <f aca="false">IF(TRIM(raw_data!B2)="","Missing",IF(B2="","Invalid/Unrecognized","Valid"))</f>
        <v>Valid</v>
      </c>
      <c r="E2" s="3" t="str">
        <f aca="false">IF(TRIM(raw_data!C2)="","Missing",IF(C2="","Invalid/Unrecognized","Valid"))</f>
        <v>Valid</v>
      </c>
      <c r="F2" s="5" t="n">
        <f aca="false">IF(OR(B2="",C2=""),"",C2-B2)</f>
        <v>6</v>
      </c>
      <c r="G2" s="3" t="str">
        <f aca="false">IF(F2="","N/A",IF(F2&lt;0,"Invalid - Ship Before Order","OK"))</f>
        <v>OK</v>
      </c>
      <c r="H2" s="3" t="str">
        <f aca="false">raw_data!D2</f>
        <v>CUST-4655</v>
      </c>
      <c r="I2" s="3" t="str">
        <f aca="false">PROPER(TRIM(raw_data!E2))</f>
        <v>Karan Malhotra</v>
      </c>
      <c r="J2" s="3" t="str">
        <f aca="false">PROPER(TRIM(raw_data!F2))</f>
        <v>Consumer</v>
      </c>
      <c r="K2" s="3" t="str">
        <f aca="false">IF(TRIM(raw_data!G2)="","Unknown",PROPER(TRIM(raw_data!G2)))</f>
        <v>North</v>
      </c>
      <c r="L2" s="3" t="str">
        <f aca="false">IF(TRIM(raw_data!G2)="","Filled - Unknown","OK")</f>
        <v>OK</v>
      </c>
      <c r="M2" s="3" t="str">
        <f aca="false">PROPER(TRIM(raw_data!H2))</f>
        <v>Rajasthan</v>
      </c>
      <c r="N2" s="3" t="str">
        <f aca="false">PROPER(TRIM(raw_data!I2))</f>
        <v>Jaipur</v>
      </c>
      <c r="O2" s="3" t="str">
        <f aca="false">PROPER(TRIM(raw_data!J2))</f>
        <v>Office Supplies</v>
      </c>
      <c r="P2" s="3" t="str">
        <f aca="false">PROPER(TRIM(raw_data!K2))</f>
        <v>Paper</v>
      </c>
      <c r="Q2" s="3" t="str">
        <f aca="false">TRIM(raw_data!L2)</f>
        <v>Pro Paper 122</v>
      </c>
      <c r="R2" s="3" t="str">
        <f aca="false">IF(TRIM(raw_data!M2)="","Unknown",PROPER(TRIM(raw_data!M2)))</f>
        <v>Second Class</v>
      </c>
      <c r="S2" s="3" t="str">
        <f aca="false">IF(TRIM(raw_data!M2)="","Filled - Unknown","OK")</f>
        <v>OK</v>
      </c>
      <c r="T2" s="6" t="n">
        <f aca="false">raw_data!N2</f>
        <v>8</v>
      </c>
      <c r="U2" s="7" t="n">
        <f aca="false">raw_data!O2</f>
        <v>2976.45</v>
      </c>
      <c r="V2" s="8" t="n">
        <f aca="false">raw_data!P2</f>
        <v>0.2</v>
      </c>
      <c r="W2" s="8" t="n">
        <f aca="false">IF(raw_data!P2="",0,IF(ISTEXT(raw_data!P2),IF(RIGHT(raw_data!P2,1)="%",VALUE(LEFT(raw_data!P2,LEN(raw_data!P2)-1))/100,VALUE(raw_data!P2)),raw_data!P2))</f>
        <v>0.2</v>
      </c>
      <c r="X2" s="3" t="str">
        <f aca="false">IF(raw_data!P2="","Missing - Defaulted to 0",IF(W2&lt;0,"Negative - Invalid",IF(W2&gt;0.3,"Above Allowed Range - Invalid","Valid")))</f>
        <v>Valid</v>
      </c>
      <c r="Y2" s="7" t="n">
        <f aca="false">raw_data!Q2</f>
        <v>19049.28</v>
      </c>
      <c r="Z2" s="7" t="n">
        <f aca="false">raw_data!R2</f>
        <v>15841.89</v>
      </c>
      <c r="AA2" s="7" t="n">
        <f aca="false">raw_data!S2</f>
        <v>3207.39</v>
      </c>
      <c r="AB2" s="3" t="str">
        <f aca="false">PROPER(TRIM(raw_data!T2))</f>
        <v>Paid</v>
      </c>
      <c r="AC2" s="3" t="str">
        <f aca="false">PROPER(TRIM(raw_data!U2))</f>
        <v>Completed</v>
      </c>
      <c r="AD2" s="7" t="n">
        <f aca="false">T2*U2*(1-W2)</f>
        <v>19049.28</v>
      </c>
      <c r="AE2" s="7" t="n">
        <f aca="false">AD2-Z2</f>
        <v>3207.39</v>
      </c>
      <c r="AF2" s="8" t="n">
        <f aca="false">IF(AD2=0,0,AE2/AD2)</f>
        <v>0.168373292848864</v>
      </c>
      <c r="AG2" s="3" t="str">
        <f aca="false">IF(ABS(Y2-AD2)&gt;1,"Mismatch","OK")</f>
        <v>OK</v>
      </c>
      <c r="AH2" s="3" t="str">
        <f aca="false">IF(ABS(AA2-AE2)&gt;1,"Mismatch","OK")</f>
        <v>OK</v>
      </c>
      <c r="AI2" s="6" t="n">
        <f aca="false">IF(B2="","",MONTH(B2))</f>
        <v>7</v>
      </c>
      <c r="AJ2" s="6" t="n">
        <f aca="false">IF(B2="","",YEAR(B2))</f>
        <v>2024</v>
      </c>
      <c r="AK2" s="3" t="str">
        <f aca="false">IF(COUNTIF(raw_data!$A$2:$A$913,A2)&gt;1,"Conflicting Duplicate - Flagged for Review","Unique")</f>
        <v>Unique</v>
      </c>
      <c r="AL2" s="3" t="str">
        <f aca="false">IF(AB2="Refunded","Yes","No")</f>
        <v>No</v>
      </c>
      <c r="AM2" s="3" t="str">
        <f aca="false">IF(OR(AC2&lt;&gt;"Completed",AB2="Failed"),"Excluded","Included")</f>
        <v>Included</v>
      </c>
      <c r="AN2" s="3" t="str">
        <f aca="false">IF(OR(D2="Invalid/Unrecognized",E2="Invalid/Unrecognized",G2="Invalid - Ship Before Order",X2="Negative - Invalid",X2="Above Allowed Range - Invalid",AG2="Mismatch",AH2="Mismatch",AK2="Conflicting Duplicate - Flagged for Review"),"Invalid",IF(OR(L2="Filled - Unknown",S2="Filled - Unknown",X2="Missing - Defaulted to 0",AL2="Yes",AC2="Cancelled",AC2="Returned"),"Warning","Clean"))</f>
        <v>Clean</v>
      </c>
    </row>
    <row r="3" customFormat="false" ht="15" hidden="false" customHeight="false" outlineLevel="0" collapsed="false">
      <c r="A3" s="3" t="str">
        <f aca="false">raw_data!A3</f>
        <v>ORD-2024-10002</v>
      </c>
      <c r="B3" s="4" t="n">
        <f aca="false">IFERROR(IF(MID(raw_data!B3,3,1)="/",DATE(VALUE(RIGHT(raw_data!B3,4)),VALUE(LEFT(raw_data!B3,2)),VALUE(MID(raw_data!B3,4,2))),IF(MID(raw_data!B3,3,1)="-",DATE(VALUE(RIGHT(raw_data!B3,4)),VALUE(MID(raw_data!B3,4,2)),VALUE(LEFT(raw_data!B3,2))),IF(MID(raw_data!B3,5,1)="-",DATE(VALUE(LEFT(raw_data!B3,4)),VALUE(MID(raw_data!B3,6,2)),VALUE(RIGHT(raw_data!B3,2))),DATE(VALUE(RIGHT(raw_data!B3,4)),MATCH(MID(raw_data!B3,4,3),{"Jan","Feb","Mar","Apr","May","Jun","Jul","Aug","Sep","Oct","Nov","Dec"},0),VALUE(LEFT(raw_data!B3,2)))))),"")</f>
        <v>45535</v>
      </c>
      <c r="C3" s="4" t="n">
        <f aca="false">IFERROR(IF(MID(raw_data!C3,3,1)="/",DATE(VALUE(RIGHT(raw_data!C3,4)),VALUE(LEFT(raw_data!C3,2)),VALUE(MID(raw_data!C3,4,2))),IF(MID(raw_data!C3,3,1)="-",DATE(VALUE(RIGHT(raw_data!C3,4)),VALUE(MID(raw_data!C3,4,2)),VALUE(LEFT(raw_data!C3,2))),IF(MID(raw_data!C3,5,1)="-",DATE(VALUE(LEFT(raw_data!C3,4)),VALUE(MID(raw_data!C3,6,2)),VALUE(RIGHT(raw_data!C3,2))),DATE(VALUE(RIGHT(raw_data!C3,4)),MATCH(MID(raw_data!C3,4,3),{"Jan","Feb","Mar","Apr","May","Jun","Jul","Aug","Sep","Oct","Nov","Dec"},0),VALUE(LEFT(raw_data!C3,2)))))),"")</f>
        <v>45540</v>
      </c>
      <c r="D3" s="3" t="str">
        <f aca="false">IF(TRIM(raw_data!B3)="","Missing",IF(B3="","Invalid/Unrecognized","Valid"))</f>
        <v>Valid</v>
      </c>
      <c r="E3" s="3" t="str">
        <f aca="false">IF(TRIM(raw_data!C3)="","Missing",IF(C3="","Invalid/Unrecognized","Valid"))</f>
        <v>Valid</v>
      </c>
      <c r="F3" s="5" t="n">
        <f aca="false">IF(OR(B3="",C3=""),"",C3-B3)</f>
        <v>5</v>
      </c>
      <c r="G3" s="3" t="str">
        <f aca="false">IF(F3="","N/A",IF(F3&lt;0,"Invalid - Ship Before Order","OK"))</f>
        <v>OK</v>
      </c>
      <c r="H3" s="3" t="str">
        <f aca="false">raw_data!D3</f>
        <v>CUST-2054</v>
      </c>
      <c r="I3" s="3" t="str">
        <f aca="false">PROPER(TRIM(raw_data!E3))</f>
        <v>Mira Das</v>
      </c>
      <c r="J3" s="3" t="str">
        <f aca="false">PROPER(TRIM(raw_data!F3))</f>
        <v>Small Business</v>
      </c>
      <c r="K3" s="3" t="str">
        <f aca="false">IF(TRIM(raw_data!G3)="","Unknown",PROPER(TRIM(raw_data!G3)))</f>
        <v>East</v>
      </c>
      <c r="L3" s="3" t="str">
        <f aca="false">IF(TRIM(raw_data!G3)="","Filled - Unknown","OK")</f>
        <v>OK</v>
      </c>
      <c r="M3" s="3" t="str">
        <f aca="false">PROPER(TRIM(raw_data!H3))</f>
        <v>Odisha</v>
      </c>
      <c r="N3" s="3" t="str">
        <f aca="false">PROPER(TRIM(raw_data!I3))</f>
        <v>Bhubaneswar</v>
      </c>
      <c r="O3" s="3" t="str">
        <f aca="false">PROPER(TRIM(raw_data!J3))</f>
        <v>Furniture</v>
      </c>
      <c r="P3" s="3" t="str">
        <f aca="false">PROPER(TRIM(raw_data!K3))</f>
        <v>Tables</v>
      </c>
      <c r="Q3" s="3" t="str">
        <f aca="false">TRIM(raw_data!L3)</f>
        <v>Pro Tables 258</v>
      </c>
      <c r="R3" s="3" t="str">
        <f aca="false">IF(TRIM(raw_data!M3)="","Unknown",PROPER(TRIM(raw_data!M3)))</f>
        <v>Same Day</v>
      </c>
      <c r="S3" s="3" t="str">
        <f aca="false">IF(TRIM(raw_data!M3)="","Filled - Unknown","OK")</f>
        <v>OK</v>
      </c>
      <c r="T3" s="6" t="n">
        <f aca="false">raw_data!N3</f>
        <v>3</v>
      </c>
      <c r="U3" s="7" t="n">
        <f aca="false">raw_data!O3</f>
        <v>2437.5</v>
      </c>
      <c r="V3" s="8" t="n">
        <f aca="false">raw_data!P3</f>
        <v>0</v>
      </c>
      <c r="W3" s="8" t="n">
        <f aca="false">IF(raw_data!P3="",0,IF(ISTEXT(raw_data!P3),IF(RIGHT(raw_data!P3,1)="%",VALUE(LEFT(raw_data!P3,LEN(raw_data!P3)-1))/100,VALUE(raw_data!P3)),raw_data!P3))</f>
        <v>0</v>
      </c>
      <c r="X3" s="3" t="str">
        <f aca="false">IF(raw_data!P3="","Missing - Defaulted to 0",IF(W3&lt;0,"Negative - Invalid",IF(W3&gt;0.3,"Above Allowed Range - Invalid","Valid")))</f>
        <v>Valid</v>
      </c>
      <c r="Y3" s="7" t="n">
        <f aca="false">raw_data!Q3</f>
        <v>7312.5</v>
      </c>
      <c r="Z3" s="7" t="n">
        <f aca="false">raw_data!R3</f>
        <v>4904.73</v>
      </c>
      <c r="AA3" s="7" t="n">
        <f aca="false">raw_data!S3</f>
        <v>2407.77</v>
      </c>
      <c r="AB3" s="3" t="str">
        <f aca="false">PROPER(TRIM(raw_data!T3))</f>
        <v>Paid</v>
      </c>
      <c r="AC3" s="3" t="str">
        <f aca="false">PROPER(TRIM(raw_data!U3))</f>
        <v>Completed</v>
      </c>
      <c r="AD3" s="7" t="n">
        <f aca="false">T3*U3*(1-W3)</f>
        <v>7312.5</v>
      </c>
      <c r="AE3" s="7" t="n">
        <f aca="false">AD3-Z3</f>
        <v>2407.77</v>
      </c>
      <c r="AF3" s="8" t="n">
        <f aca="false">IF(AD3=0,0,AE3/AD3)</f>
        <v>0.329267692307692</v>
      </c>
      <c r="AG3" s="3" t="str">
        <f aca="false">IF(ABS(Y3-AD3)&gt;1,"Mismatch","OK")</f>
        <v>OK</v>
      </c>
      <c r="AH3" s="3" t="str">
        <f aca="false">IF(ABS(AA3-AE3)&gt;1,"Mismatch","OK")</f>
        <v>OK</v>
      </c>
      <c r="AI3" s="6" t="n">
        <f aca="false">IF(B3="","",MONTH(B3))</f>
        <v>8</v>
      </c>
      <c r="AJ3" s="6" t="n">
        <f aca="false">IF(B3="","",YEAR(B3))</f>
        <v>2024</v>
      </c>
      <c r="AK3" s="3" t="str">
        <f aca="false">IF(COUNTIF(raw_data!$A$2:$A$913,A3)&gt;1,"Conflicting Duplicate - Flagged for Review","Unique")</f>
        <v>Unique</v>
      </c>
      <c r="AL3" s="3" t="str">
        <f aca="false">IF(AB3="Refunded","Yes","No")</f>
        <v>No</v>
      </c>
      <c r="AM3" s="3" t="str">
        <f aca="false">IF(OR(AC3&lt;&gt;"Completed",AB3="Failed"),"Excluded","Included")</f>
        <v>Included</v>
      </c>
      <c r="AN3" s="3" t="str">
        <f aca="false">IF(OR(D3="Invalid/Unrecognized",E3="Invalid/Unrecognized",G3="Invalid - Ship Before Order",X3="Negative - Invalid",X3="Above Allowed Range - Invalid",AG3="Mismatch",AH3="Mismatch",AK3="Conflicting Duplicate - Flagged for Review"),"Invalid",IF(OR(L3="Filled - Unknown",S3="Filled - Unknown",X3="Missing - Defaulted to 0",AL3="Yes",AC3="Cancelled",AC3="Returned"),"Warning","Clean"))</f>
        <v>Clean</v>
      </c>
    </row>
    <row r="4" customFormat="false" ht="15" hidden="false" customHeight="false" outlineLevel="0" collapsed="false">
      <c r="A4" s="3" t="str">
        <f aca="false">raw_data!A4</f>
        <v>ORD-2024-10003</v>
      </c>
      <c r="B4" s="4" t="n">
        <f aca="false">IFERROR(IF(MID(raw_data!B4,3,1)="/",DATE(VALUE(RIGHT(raw_data!B4,4)),VALUE(LEFT(raw_data!B4,2)),VALUE(MID(raw_data!B4,4,2))),IF(MID(raw_data!B4,3,1)="-",DATE(VALUE(RIGHT(raw_data!B4,4)),VALUE(MID(raw_data!B4,4,2)),VALUE(LEFT(raw_data!B4,2))),IF(MID(raw_data!B4,5,1)="-",DATE(VALUE(LEFT(raw_data!B4,4)),VALUE(MID(raw_data!B4,6,2)),VALUE(RIGHT(raw_data!B4,2))),DATE(VALUE(RIGHT(raw_data!B4,4)),MATCH(MID(raw_data!B4,4,3),{"Jan","Feb","Mar","Apr","May","Jun","Jul","Aug","Sep","Oct","Nov","Dec"},0),VALUE(LEFT(raw_data!B4,2)))))),"")</f>
        <v>45451</v>
      </c>
      <c r="C4" s="4" t="n">
        <f aca="false">IFERROR(IF(MID(raw_data!C4,3,1)="/",DATE(VALUE(RIGHT(raw_data!C4,4)),VALUE(LEFT(raw_data!C4,2)),VALUE(MID(raw_data!C4,4,2))),IF(MID(raw_data!C4,3,1)="-",DATE(VALUE(RIGHT(raw_data!C4,4)),VALUE(MID(raw_data!C4,4,2)),VALUE(LEFT(raw_data!C4,2))),IF(MID(raw_data!C4,5,1)="-",DATE(VALUE(LEFT(raw_data!C4,4)),VALUE(MID(raw_data!C4,6,2)),VALUE(RIGHT(raw_data!C4,2))),DATE(VALUE(RIGHT(raw_data!C4,4)),MATCH(MID(raw_data!C4,4,3),{"Jan","Feb","Mar","Apr","May","Jun","Jul","Aug","Sep","Oct","Nov","Dec"},0),VALUE(LEFT(raw_data!C4,2)))))),"")</f>
        <v>45458</v>
      </c>
      <c r="D4" s="3" t="str">
        <f aca="false">IF(TRIM(raw_data!B4)="","Missing",IF(B4="","Invalid/Unrecognized","Valid"))</f>
        <v>Valid</v>
      </c>
      <c r="E4" s="3" t="str">
        <f aca="false">IF(TRIM(raw_data!C4)="","Missing",IF(C4="","Invalid/Unrecognized","Valid"))</f>
        <v>Valid</v>
      </c>
      <c r="F4" s="5" t="n">
        <f aca="false">IF(OR(B4="",C4=""),"",C4-B4)</f>
        <v>7</v>
      </c>
      <c r="G4" s="3" t="str">
        <f aca="false">IF(F4="","N/A",IF(F4&lt;0,"Invalid - Ship Before Order","OK"))</f>
        <v>OK</v>
      </c>
      <c r="H4" s="3" t="str">
        <f aca="false">raw_data!D4</f>
        <v>CUST-6843</v>
      </c>
      <c r="I4" s="3" t="str">
        <f aca="false">PROPER(TRIM(raw_data!E4))</f>
        <v>Isha Nair</v>
      </c>
      <c r="J4" s="3" t="str">
        <f aca="false">PROPER(TRIM(raw_data!F4))</f>
        <v>Consumer</v>
      </c>
      <c r="K4" s="3" t="str">
        <f aca="false">IF(TRIM(raw_data!G4)="","Unknown",PROPER(TRIM(raw_data!G4)))</f>
        <v>East</v>
      </c>
      <c r="L4" s="3" t="str">
        <f aca="false">IF(TRIM(raw_data!G4)="","Filled - Unknown","OK")</f>
        <v>OK</v>
      </c>
      <c r="M4" s="3" t="str">
        <f aca="false">PROPER(TRIM(raw_data!H4))</f>
        <v>Odisha</v>
      </c>
      <c r="N4" s="3" t="str">
        <f aca="false">PROPER(TRIM(raw_data!I4))</f>
        <v>Bhubaneswar</v>
      </c>
      <c r="O4" s="3" t="str">
        <f aca="false">PROPER(TRIM(raw_data!J4))</f>
        <v>Office Supplies</v>
      </c>
      <c r="P4" s="3" t="str">
        <f aca="false">PROPER(TRIM(raw_data!K4))</f>
        <v>Art</v>
      </c>
      <c r="Q4" s="3" t="str">
        <f aca="false">TRIM(raw_data!L4)</f>
        <v>Elite Art 525</v>
      </c>
      <c r="R4" s="3" t="str">
        <f aca="false">IF(TRIM(raw_data!M4)="","Unknown",PROPER(TRIM(raw_data!M4)))</f>
        <v>First Class</v>
      </c>
      <c r="S4" s="3" t="str">
        <f aca="false">IF(TRIM(raw_data!M4)="","Filled - Unknown","OK")</f>
        <v>OK</v>
      </c>
      <c r="T4" s="6" t="n">
        <f aca="false">raw_data!N4</f>
        <v>4</v>
      </c>
      <c r="U4" s="7" t="n">
        <f aca="false">raw_data!O4</f>
        <v>1065.43</v>
      </c>
      <c r="V4" s="8" t="n">
        <f aca="false">raw_data!P4</f>
        <v>0.55</v>
      </c>
      <c r="W4" s="8" t="n">
        <f aca="false">IF(raw_data!P4="",0,IF(ISTEXT(raw_data!P4),IF(RIGHT(raw_data!P4,1)="%",VALUE(LEFT(raw_data!P4,LEN(raw_data!P4)-1))/100,VALUE(raw_data!P4)),raw_data!P4))</f>
        <v>0.55</v>
      </c>
      <c r="X4" s="3" t="str">
        <f aca="false">IF(raw_data!P4="","Missing - Defaulted to 0",IF(W4&lt;0,"Negative - Invalid",IF(W4&gt;0.3,"Above Allowed Range - Invalid","Valid")))</f>
        <v>Above Allowed Range - Invalid</v>
      </c>
      <c r="Y4" s="7" t="n">
        <f aca="false">raw_data!Q4</f>
        <v>4261.72</v>
      </c>
      <c r="Z4" s="7" t="n">
        <f aca="false">raw_data!R4</f>
        <v>2465.69</v>
      </c>
      <c r="AA4" s="7" t="n">
        <f aca="false">raw_data!S4</f>
        <v>1796.03</v>
      </c>
      <c r="AB4" s="3" t="str">
        <f aca="false">PROPER(TRIM(raw_data!T4))</f>
        <v>Paid</v>
      </c>
      <c r="AC4" s="3" t="str">
        <f aca="false">PROPER(TRIM(raw_data!U4))</f>
        <v>Completed</v>
      </c>
      <c r="AD4" s="7" t="n">
        <f aca="false">T4*U4*(1-W4)</f>
        <v>1917.774</v>
      </c>
      <c r="AE4" s="7" t="n">
        <f aca="false">AD4-Z4</f>
        <v>-547.916</v>
      </c>
      <c r="AF4" s="8" t="n">
        <f aca="false">IF(AD4=0,0,AE4/AD4)</f>
        <v>-0.285704154921279</v>
      </c>
      <c r="AG4" s="3" t="str">
        <f aca="false">IF(ABS(Y4-AD4)&gt;1,"Mismatch","OK")</f>
        <v>Mismatch</v>
      </c>
      <c r="AH4" s="3" t="str">
        <f aca="false">IF(ABS(AA4-AE4)&gt;1,"Mismatch","OK")</f>
        <v>Mismatch</v>
      </c>
      <c r="AI4" s="6" t="n">
        <f aca="false">IF(B4="","",MONTH(B4))</f>
        <v>6</v>
      </c>
      <c r="AJ4" s="6" t="n">
        <f aca="false">IF(B4="","",YEAR(B4))</f>
        <v>2024</v>
      </c>
      <c r="AK4" s="3" t="str">
        <f aca="false">IF(COUNTIF(raw_data!$A$2:$A$913,A4)&gt;1,"Conflicting Duplicate - Flagged for Review","Unique")</f>
        <v>Unique</v>
      </c>
      <c r="AL4" s="3" t="str">
        <f aca="false">IF(AB4="Refunded","Yes","No")</f>
        <v>No</v>
      </c>
      <c r="AM4" s="3" t="str">
        <f aca="false">IF(OR(AC4&lt;&gt;"Completed",AB4="Failed"),"Excluded","Included")</f>
        <v>Included</v>
      </c>
      <c r="AN4" s="3" t="str">
        <f aca="false">IF(OR(D4="Invalid/Unrecognized",E4="Invalid/Unrecognized",G4="Invalid - Ship Before Order",X4="Negative - Invalid",X4="Above Allowed Range - Invalid",AG4="Mismatch",AH4="Mismatch",AK4="Conflicting Duplicate - Flagged for Review"),"Invalid",IF(OR(L4="Filled - Unknown",S4="Filled - Unknown",X4="Missing - Defaulted to 0",AL4="Yes",AC4="Cancelled",AC4="Returned"),"Warning","Clean"))</f>
        <v>Invalid</v>
      </c>
    </row>
    <row r="5" customFormat="false" ht="15" hidden="false" customHeight="false" outlineLevel="0" collapsed="false">
      <c r="A5" s="3" t="str">
        <f aca="false">raw_data!A5</f>
        <v>ORD-2024-10004</v>
      </c>
      <c r="B5" s="4" t="n">
        <f aca="false">IFERROR(IF(MID(raw_data!B5,3,1)="/",DATE(VALUE(RIGHT(raw_data!B5,4)),VALUE(LEFT(raw_data!B5,2)),VALUE(MID(raw_data!B5,4,2))),IF(MID(raw_data!B5,3,1)="-",DATE(VALUE(RIGHT(raw_data!B5,4)),VALUE(MID(raw_data!B5,4,2)),VALUE(LEFT(raw_data!B5,2))),IF(MID(raw_data!B5,5,1)="-",DATE(VALUE(LEFT(raw_data!B5,4)),VALUE(MID(raw_data!B5,6,2)),VALUE(RIGHT(raw_data!B5,2))),DATE(VALUE(RIGHT(raw_data!B5,4)),MATCH(MID(raw_data!B5,4,3),{"Jan","Feb","Mar","Apr","May","Jun","Jul","Aug","Sep","Oct","Nov","Dec"},0),VALUE(LEFT(raw_data!B5,2)))))),"")</f>
        <v>45624</v>
      </c>
      <c r="C5" s="4" t="n">
        <f aca="false">IFERROR(IF(MID(raw_data!C5,3,1)="/",DATE(VALUE(RIGHT(raw_data!C5,4)),VALUE(LEFT(raw_data!C5,2)),VALUE(MID(raw_data!C5,4,2))),IF(MID(raw_data!C5,3,1)="-",DATE(VALUE(RIGHT(raw_data!C5,4)),VALUE(MID(raw_data!C5,4,2)),VALUE(LEFT(raw_data!C5,2))),IF(MID(raw_data!C5,5,1)="-",DATE(VALUE(LEFT(raw_data!C5,4)),VALUE(MID(raw_data!C5,6,2)),VALUE(RIGHT(raw_data!C5,2))),DATE(VALUE(RIGHT(raw_data!C5,4)),MATCH(MID(raw_data!C5,4,3),{"Jan","Feb","Mar","Apr","May","Jun","Jul","Aug","Sep","Oct","Nov","Dec"},0),VALUE(LEFT(raw_data!C5,2)))))),"")</f>
        <v>45625</v>
      </c>
      <c r="D5" s="3" t="str">
        <f aca="false">IF(TRIM(raw_data!B5)="","Missing",IF(B5="","Invalid/Unrecognized","Valid"))</f>
        <v>Valid</v>
      </c>
      <c r="E5" s="3" t="str">
        <f aca="false">IF(TRIM(raw_data!C5)="","Missing",IF(C5="","Invalid/Unrecognized","Valid"))</f>
        <v>Valid</v>
      </c>
      <c r="F5" s="5" t="n">
        <f aca="false">IF(OR(B5="",C5=""),"",C5-B5)</f>
        <v>1</v>
      </c>
      <c r="G5" s="3" t="str">
        <f aca="false">IF(F5="","N/A",IF(F5&lt;0,"Invalid - Ship Before Order","OK"))</f>
        <v>OK</v>
      </c>
      <c r="H5" s="3" t="str">
        <f aca="false">raw_data!D5</f>
        <v>CUST-3722</v>
      </c>
      <c r="I5" s="3" t="str">
        <f aca="false">PROPER(TRIM(raw_data!E5))</f>
        <v>Arjun Bose</v>
      </c>
      <c r="J5" s="3" t="str">
        <f aca="false">PROPER(TRIM(raw_data!F5))</f>
        <v>Small Business</v>
      </c>
      <c r="K5" s="3" t="str">
        <f aca="false">IF(TRIM(raw_data!G5)="","Unknown",PROPER(TRIM(raw_data!G5)))</f>
        <v>South</v>
      </c>
      <c r="L5" s="3" t="str">
        <f aca="false">IF(TRIM(raw_data!G5)="","Filled - Unknown","OK")</f>
        <v>OK</v>
      </c>
      <c r="M5" s="3" t="str">
        <f aca="false">PROPER(TRIM(raw_data!H5))</f>
        <v>Telangana</v>
      </c>
      <c r="N5" s="3" t="str">
        <f aca="false">PROPER(TRIM(raw_data!I5))</f>
        <v>Hyderabad</v>
      </c>
      <c r="O5" s="3" t="str">
        <f aca="false">PROPER(TRIM(raw_data!J5))</f>
        <v>Furniture</v>
      </c>
      <c r="P5" s="3" t="str">
        <f aca="false">PROPER(TRIM(raw_data!K5))</f>
        <v>Furnishings</v>
      </c>
      <c r="Q5" s="3" t="str">
        <f aca="false">TRIM(raw_data!L5)</f>
        <v>Smart Furnishings 294</v>
      </c>
      <c r="R5" s="3" t="str">
        <f aca="false">IF(TRIM(raw_data!M5)="","Unknown",PROPER(TRIM(raw_data!M5)))</f>
        <v>Standard Class</v>
      </c>
      <c r="S5" s="3" t="str">
        <f aca="false">IF(TRIM(raw_data!M5)="","Filled - Unknown","OK")</f>
        <v>OK</v>
      </c>
      <c r="T5" s="6" t="n">
        <f aca="false">raw_data!N5</f>
        <v>6</v>
      </c>
      <c r="U5" s="7" t="n">
        <f aca="false">raw_data!O5</f>
        <v>1848.43</v>
      </c>
      <c r="V5" s="8" t="n">
        <f aca="false">raw_data!P5</f>
        <v>0.25</v>
      </c>
      <c r="W5" s="8" t="n">
        <f aca="false">IF(raw_data!P5="",0,IF(ISTEXT(raw_data!P5),IF(RIGHT(raw_data!P5,1)="%",VALUE(LEFT(raw_data!P5,LEN(raw_data!P5)-1))/100,VALUE(raw_data!P5)),raw_data!P5))</f>
        <v>0.25</v>
      </c>
      <c r="X5" s="3" t="str">
        <f aca="false">IF(raw_data!P5="","Missing - Defaulted to 0",IF(W5&lt;0,"Negative - Invalid",IF(W5&gt;0.3,"Above Allowed Range - Invalid","Valid")))</f>
        <v>Valid</v>
      </c>
      <c r="Y5" s="7" t="n">
        <f aca="false">raw_data!Q5</f>
        <v>8317.93</v>
      </c>
      <c r="Z5" s="7" t="n">
        <f aca="false">raw_data!R5</f>
        <v>6796.77</v>
      </c>
      <c r="AA5" s="7" t="n">
        <f aca="false">raw_data!S5</f>
        <v>1521.16</v>
      </c>
      <c r="AB5" s="3" t="str">
        <f aca="false">PROPER(TRIM(raw_data!T5))</f>
        <v>Paid</v>
      </c>
      <c r="AC5" s="3" t="str">
        <f aca="false">PROPER(TRIM(raw_data!U5))</f>
        <v>Completed</v>
      </c>
      <c r="AD5" s="7" t="n">
        <f aca="false">T5*U5*(1-W5)</f>
        <v>8317.935</v>
      </c>
      <c r="AE5" s="7" t="n">
        <f aca="false">AD5-Z5</f>
        <v>1521.165</v>
      </c>
      <c r="AF5" s="8" t="n">
        <f aca="false">IF(AD5=0,0,AE5/AD5)</f>
        <v>0.182877721453702</v>
      </c>
      <c r="AG5" s="3" t="str">
        <f aca="false">IF(ABS(Y5-AD5)&gt;1,"Mismatch","OK")</f>
        <v>OK</v>
      </c>
      <c r="AH5" s="3" t="str">
        <f aca="false">IF(ABS(AA5-AE5)&gt;1,"Mismatch","OK")</f>
        <v>OK</v>
      </c>
      <c r="AI5" s="6" t="n">
        <f aca="false">IF(B5="","",MONTH(B5))</f>
        <v>11</v>
      </c>
      <c r="AJ5" s="6" t="n">
        <f aca="false">IF(B5="","",YEAR(B5))</f>
        <v>2024</v>
      </c>
      <c r="AK5" s="3" t="str">
        <f aca="false">IF(COUNTIF(raw_data!$A$2:$A$913,A5)&gt;1,"Conflicting Duplicate - Flagged for Review","Unique")</f>
        <v>Unique</v>
      </c>
      <c r="AL5" s="3" t="str">
        <f aca="false">IF(AB5="Refunded","Yes","No")</f>
        <v>No</v>
      </c>
      <c r="AM5" s="3" t="str">
        <f aca="false">IF(OR(AC5&lt;&gt;"Completed",AB5="Failed"),"Excluded","Included")</f>
        <v>Included</v>
      </c>
      <c r="AN5" s="3" t="str">
        <f aca="false">IF(OR(D5="Invalid/Unrecognized",E5="Invalid/Unrecognized",G5="Invalid - Ship Before Order",X5="Negative - Invalid",X5="Above Allowed Range - Invalid",AG5="Mismatch",AH5="Mismatch",AK5="Conflicting Duplicate - Flagged for Review"),"Invalid",IF(OR(L5="Filled - Unknown",S5="Filled - Unknown",X5="Missing - Defaulted to 0",AL5="Yes",AC5="Cancelled",AC5="Returned"),"Warning","Clean"))</f>
        <v>Clean</v>
      </c>
    </row>
    <row r="6" customFormat="false" ht="15" hidden="false" customHeight="false" outlineLevel="0" collapsed="false">
      <c r="A6" s="3" t="str">
        <f aca="false">raw_data!A6</f>
        <v>ORD-2025-10005</v>
      </c>
      <c r="B6" s="4" t="n">
        <f aca="false">IFERROR(IF(MID(raw_data!B6,3,1)="/",DATE(VALUE(RIGHT(raw_data!B6,4)),VALUE(LEFT(raw_data!B6,2)),VALUE(MID(raw_data!B6,4,2))),IF(MID(raw_data!B6,3,1)="-",DATE(VALUE(RIGHT(raw_data!B6,4)),VALUE(MID(raw_data!B6,4,2)),VALUE(LEFT(raw_data!B6,2))),IF(MID(raw_data!B6,5,1)="-",DATE(VALUE(LEFT(raw_data!B6,4)),VALUE(MID(raw_data!B6,6,2)),VALUE(RIGHT(raw_data!B6,2))),DATE(VALUE(RIGHT(raw_data!B6,4)),MATCH(MID(raw_data!B6,4,3),{"Jan","Feb","Mar","Apr","May","Jun","Jul","Aug","Sep","Oct","Nov","Dec"},0),VALUE(LEFT(raw_data!B6,2)))))),"")</f>
        <v>45898</v>
      </c>
      <c r="C6" s="4" t="n">
        <f aca="false">IFERROR(IF(MID(raw_data!C6,3,1)="/",DATE(VALUE(RIGHT(raw_data!C6,4)),VALUE(LEFT(raw_data!C6,2)),VALUE(MID(raw_data!C6,4,2))),IF(MID(raw_data!C6,3,1)="-",DATE(VALUE(RIGHT(raw_data!C6,4)),VALUE(MID(raw_data!C6,4,2)),VALUE(LEFT(raw_data!C6,2))),IF(MID(raw_data!C6,5,1)="-",DATE(VALUE(LEFT(raw_data!C6,4)),VALUE(MID(raw_data!C6,6,2)),VALUE(RIGHT(raw_data!C6,2))),DATE(VALUE(RIGHT(raw_data!C6,4)),MATCH(MID(raw_data!C6,4,3),{"Jan","Feb","Mar","Apr","May","Jun","Jul","Aug","Sep","Oct","Nov","Dec"},0),VALUE(LEFT(raw_data!C6,2)))))),"")</f>
        <v>45901</v>
      </c>
      <c r="D6" s="3" t="str">
        <f aca="false">IF(TRIM(raw_data!B6)="","Missing",IF(B6="","Invalid/Unrecognized","Valid"))</f>
        <v>Valid</v>
      </c>
      <c r="E6" s="3" t="str">
        <f aca="false">IF(TRIM(raw_data!C6)="","Missing",IF(C6="","Invalid/Unrecognized","Valid"))</f>
        <v>Valid</v>
      </c>
      <c r="F6" s="5" t="n">
        <f aca="false">IF(OR(B6="",C6=""),"",C6-B6)</f>
        <v>3</v>
      </c>
      <c r="G6" s="3" t="str">
        <f aca="false">IF(F6="","N/A",IF(F6&lt;0,"Invalid - Ship Before Order","OK"))</f>
        <v>OK</v>
      </c>
      <c r="H6" s="3" t="str">
        <f aca="false">raw_data!D6</f>
        <v>CUST-8130</v>
      </c>
      <c r="I6" s="3" t="str">
        <f aca="false">PROPER(TRIM(raw_data!E6))</f>
        <v>Ananya Rao</v>
      </c>
      <c r="J6" s="3" t="str">
        <f aca="false">PROPER(TRIM(raw_data!F6))</f>
        <v>Small Business</v>
      </c>
      <c r="K6" s="3" t="str">
        <f aca="false">IF(TRIM(raw_data!G6)="","Unknown",PROPER(TRIM(raw_data!G6)))</f>
        <v>West</v>
      </c>
      <c r="L6" s="3" t="str">
        <f aca="false">IF(TRIM(raw_data!G6)="","Filled - Unknown","OK")</f>
        <v>OK</v>
      </c>
      <c r="M6" s="3" t="str">
        <f aca="false">PROPER(TRIM(raw_data!H6))</f>
        <v>Maharashtra</v>
      </c>
      <c r="N6" s="3" t="str">
        <f aca="false">PROPER(TRIM(raw_data!I6))</f>
        <v>Mumbai</v>
      </c>
      <c r="O6" s="3" t="str">
        <f aca="false">PROPER(TRIM(raw_data!J6))</f>
        <v>Furniture</v>
      </c>
      <c r="P6" s="3" t="str">
        <f aca="false">PROPER(TRIM(raw_data!K6))</f>
        <v>Chairs</v>
      </c>
      <c r="Q6" s="3" t="str">
        <f aca="false">TRIM(raw_data!L6)</f>
        <v>Elite Chairs 543</v>
      </c>
      <c r="R6" s="3" t="str">
        <f aca="false">IF(TRIM(raw_data!M6)="","Unknown",PROPER(TRIM(raw_data!M6)))</f>
        <v>First Class</v>
      </c>
      <c r="S6" s="3" t="str">
        <f aca="false">IF(TRIM(raw_data!M6)="","Filled - Unknown","OK")</f>
        <v>OK</v>
      </c>
      <c r="T6" s="6" t="n">
        <f aca="false">raw_data!N6</f>
        <v>7</v>
      </c>
      <c r="U6" s="7" t="n">
        <f aca="false">raw_data!O6</f>
        <v>2973.76</v>
      </c>
      <c r="V6" s="8" t="n">
        <f aca="false">raw_data!P6</f>
        <v>0</v>
      </c>
      <c r="W6" s="8" t="n">
        <f aca="false">IF(raw_data!P6="",0,IF(ISTEXT(raw_data!P6),IF(RIGHT(raw_data!P6,1)="%",VALUE(LEFT(raw_data!P6,LEN(raw_data!P6)-1))/100,VALUE(raw_data!P6)),raw_data!P6))</f>
        <v>0</v>
      </c>
      <c r="X6" s="3" t="str">
        <f aca="false">IF(raw_data!P6="","Missing - Defaulted to 0",IF(W6&lt;0,"Negative - Invalid",IF(W6&gt;0.3,"Above Allowed Range - Invalid","Valid")))</f>
        <v>Valid</v>
      </c>
      <c r="Y6" s="7" t="n">
        <f aca="false">raw_data!Q6</f>
        <v>20816.32</v>
      </c>
      <c r="Z6" s="7" t="n">
        <f aca="false">raw_data!R6</f>
        <v>17705.37</v>
      </c>
      <c r="AA6" s="7" t="n">
        <f aca="false">raw_data!S6</f>
        <v>3110.95</v>
      </c>
      <c r="AB6" s="3" t="str">
        <f aca="false">PROPER(TRIM(raw_data!T6))</f>
        <v>Paid</v>
      </c>
      <c r="AC6" s="3" t="str">
        <f aca="false">PROPER(TRIM(raw_data!U6))</f>
        <v>Cancelled</v>
      </c>
      <c r="AD6" s="7" t="n">
        <f aca="false">T6*U6*(1-W6)</f>
        <v>20816.32</v>
      </c>
      <c r="AE6" s="7" t="n">
        <f aca="false">AD6-Z6</f>
        <v>3110.95</v>
      </c>
      <c r="AF6" s="8" t="n">
        <f aca="false">IF(AD6=0,0,AE6/AD6)</f>
        <v>0.149447644924751</v>
      </c>
      <c r="AG6" s="3" t="str">
        <f aca="false">IF(ABS(Y6-AD6)&gt;1,"Mismatch","OK")</f>
        <v>OK</v>
      </c>
      <c r="AH6" s="3" t="str">
        <f aca="false">IF(ABS(AA6-AE6)&gt;1,"Mismatch","OK")</f>
        <v>OK</v>
      </c>
      <c r="AI6" s="6" t="n">
        <f aca="false">IF(B6="","",MONTH(B6))</f>
        <v>8</v>
      </c>
      <c r="AJ6" s="6" t="n">
        <f aca="false">IF(B6="","",YEAR(B6))</f>
        <v>2025</v>
      </c>
      <c r="AK6" s="3" t="str">
        <f aca="false">IF(COUNTIF(raw_data!$A$2:$A$913,A6)&gt;1,"Conflicting Duplicate - Flagged for Review","Unique")</f>
        <v>Unique</v>
      </c>
      <c r="AL6" s="3" t="str">
        <f aca="false">IF(AB6="Refunded","Yes","No")</f>
        <v>No</v>
      </c>
      <c r="AM6" s="3" t="str">
        <f aca="false">IF(OR(AC6&lt;&gt;"Completed",AB6="Failed"),"Excluded","Included")</f>
        <v>Excluded</v>
      </c>
      <c r="AN6" s="3" t="str">
        <f aca="false">IF(OR(D6="Invalid/Unrecognized",E6="Invalid/Unrecognized",G6="Invalid - Ship Before Order",X6="Negative - Invalid",X6="Above Allowed Range - Invalid",AG6="Mismatch",AH6="Mismatch",AK6="Conflicting Duplicate - Flagged for Review"),"Invalid",IF(OR(L6="Filled - Unknown",S6="Filled - Unknown",X6="Missing - Defaulted to 0",AL6="Yes",AC6="Cancelled",AC6="Returned"),"Warning","Clean"))</f>
        <v>Warning</v>
      </c>
    </row>
    <row r="7" customFormat="false" ht="15" hidden="false" customHeight="false" outlineLevel="0" collapsed="false">
      <c r="A7" s="3" t="str">
        <f aca="false">raw_data!A7</f>
        <v>ORD-2024-10006</v>
      </c>
      <c r="B7" s="4" t="n">
        <f aca="false">IFERROR(IF(MID(raw_data!B7,3,1)="/",DATE(VALUE(RIGHT(raw_data!B7,4)),VALUE(LEFT(raw_data!B7,2)),VALUE(MID(raw_data!B7,4,2))),IF(MID(raw_data!B7,3,1)="-",DATE(VALUE(RIGHT(raw_data!B7,4)),VALUE(MID(raw_data!B7,4,2)),VALUE(LEFT(raw_data!B7,2))),IF(MID(raw_data!B7,5,1)="-",DATE(VALUE(LEFT(raw_data!B7,4)),VALUE(MID(raw_data!B7,6,2)),VALUE(RIGHT(raw_data!B7,2))),DATE(VALUE(RIGHT(raw_data!B7,4)),MATCH(MID(raw_data!B7,4,3),{"Jan","Feb","Mar","Apr","May","Jun","Jul","Aug","Sep","Oct","Nov","Dec"},0),VALUE(LEFT(raw_data!B7,2)))))),"")</f>
        <v>45436</v>
      </c>
      <c r="C7" s="4" t="n">
        <f aca="false">IFERROR(IF(MID(raw_data!C7,3,1)="/",DATE(VALUE(RIGHT(raw_data!C7,4)),VALUE(LEFT(raw_data!C7,2)),VALUE(MID(raw_data!C7,4,2))),IF(MID(raw_data!C7,3,1)="-",DATE(VALUE(RIGHT(raw_data!C7,4)),VALUE(MID(raw_data!C7,4,2)),VALUE(LEFT(raw_data!C7,2))),IF(MID(raw_data!C7,5,1)="-",DATE(VALUE(LEFT(raw_data!C7,4)),VALUE(MID(raw_data!C7,6,2)),VALUE(RIGHT(raw_data!C7,2))),DATE(VALUE(RIGHT(raw_data!C7,4)),MATCH(MID(raw_data!C7,4,3),{"Jan","Feb","Mar","Apr","May","Jun","Jul","Aug","Sep","Oct","Nov","Dec"},0),VALUE(LEFT(raw_data!C7,2)))))),"")</f>
        <v>45440</v>
      </c>
      <c r="D7" s="3" t="str">
        <f aca="false">IF(TRIM(raw_data!B7)="","Missing",IF(B7="","Invalid/Unrecognized","Valid"))</f>
        <v>Valid</v>
      </c>
      <c r="E7" s="3" t="str">
        <f aca="false">IF(TRIM(raw_data!C7)="","Missing",IF(C7="","Invalid/Unrecognized","Valid"))</f>
        <v>Valid</v>
      </c>
      <c r="F7" s="5" t="n">
        <f aca="false">IF(OR(B7="",C7=""),"",C7-B7)</f>
        <v>4</v>
      </c>
      <c r="G7" s="3" t="str">
        <f aca="false">IF(F7="","N/A",IF(F7&lt;0,"Invalid - Ship Before Order","OK"))</f>
        <v>OK</v>
      </c>
      <c r="H7" s="3" t="str">
        <f aca="false">raw_data!D7</f>
        <v>CUST-6056</v>
      </c>
      <c r="I7" s="3" t="str">
        <f aca="false">PROPER(TRIM(raw_data!E7))</f>
        <v>Vikram Iyer</v>
      </c>
      <c r="J7" s="3" t="str">
        <f aca="false">PROPER(TRIM(raw_data!F7))</f>
        <v>Small Business</v>
      </c>
      <c r="K7" s="3" t="str">
        <f aca="false">IF(TRIM(raw_data!G7)="","Unknown",PROPER(TRIM(raw_data!G7)))</f>
        <v>West</v>
      </c>
      <c r="L7" s="3" t="str">
        <f aca="false">IF(TRIM(raw_data!G7)="","Filled - Unknown","OK")</f>
        <v>OK</v>
      </c>
      <c r="M7" s="3" t="str">
        <f aca="false">PROPER(TRIM(raw_data!H7))</f>
        <v>Madhya Pradesh</v>
      </c>
      <c r="N7" s="3" t="str">
        <f aca="false">PROPER(TRIM(raw_data!I7))</f>
        <v>Indore</v>
      </c>
      <c r="O7" s="3" t="str">
        <f aca="false">PROPER(TRIM(raw_data!J7))</f>
        <v>Technology</v>
      </c>
      <c r="P7" s="3" t="str">
        <f aca="false">PROPER(TRIM(raw_data!K7))</f>
        <v>Accessories</v>
      </c>
      <c r="Q7" s="3" t="str">
        <f aca="false">TRIM(raw_data!L7)</f>
        <v>Pro Accessories 821</v>
      </c>
      <c r="R7" s="3" t="str">
        <f aca="false">IF(TRIM(raw_data!M7)="","Unknown",PROPER(TRIM(raw_data!M7)))</f>
        <v>Same Day</v>
      </c>
      <c r="S7" s="3" t="str">
        <f aca="false">IF(TRIM(raw_data!M7)="","Filled - Unknown","OK")</f>
        <v>OK</v>
      </c>
      <c r="T7" s="6" t="n">
        <f aca="false">raw_data!N7</f>
        <v>3</v>
      </c>
      <c r="U7" s="7" t="n">
        <f aca="false">raw_data!O7</f>
        <v>1053.11</v>
      </c>
      <c r="V7" s="8" t="n">
        <f aca="false">raw_data!P7</f>
        <v>0.2</v>
      </c>
      <c r="W7" s="8" t="n">
        <f aca="false">IF(raw_data!P7="",0,IF(ISTEXT(raw_data!P7),IF(RIGHT(raw_data!P7,1)="%",VALUE(LEFT(raw_data!P7,LEN(raw_data!P7)-1))/100,VALUE(raw_data!P7)),raw_data!P7))</f>
        <v>0.2</v>
      </c>
      <c r="X7" s="3" t="str">
        <f aca="false">IF(raw_data!P7="","Missing - Defaulted to 0",IF(W7&lt;0,"Negative - Invalid",IF(W7&gt;0.3,"Above Allowed Range - Invalid","Valid")))</f>
        <v>Valid</v>
      </c>
      <c r="Y7" s="7" t="n">
        <f aca="false">raw_data!Q7</f>
        <v>2527.46</v>
      </c>
      <c r="Z7" s="7" t="n">
        <f aca="false">raw_data!R7</f>
        <v>1533.58</v>
      </c>
      <c r="AA7" s="7" t="n">
        <f aca="false">raw_data!S7</f>
        <v>993.88</v>
      </c>
      <c r="AB7" s="3" t="str">
        <f aca="false">PROPER(TRIM(raw_data!T7))</f>
        <v>Paid</v>
      </c>
      <c r="AC7" s="3" t="str">
        <f aca="false">PROPER(TRIM(raw_data!U7))</f>
        <v>Completed</v>
      </c>
      <c r="AD7" s="7" t="n">
        <f aca="false">T7*U7*(1-W7)</f>
        <v>2527.464</v>
      </c>
      <c r="AE7" s="7" t="n">
        <f aca="false">AD7-Z7</f>
        <v>993.884</v>
      </c>
      <c r="AF7" s="8" t="n">
        <f aca="false">IF(AD7=0,0,AE7/AD7)</f>
        <v>0.393233691953674</v>
      </c>
      <c r="AG7" s="3" t="str">
        <f aca="false">IF(ABS(Y7-AD7)&gt;1,"Mismatch","OK")</f>
        <v>OK</v>
      </c>
      <c r="AH7" s="3" t="str">
        <f aca="false">IF(ABS(AA7-AE7)&gt;1,"Mismatch","OK")</f>
        <v>OK</v>
      </c>
      <c r="AI7" s="6" t="n">
        <f aca="false">IF(B7="","",MONTH(B7))</f>
        <v>5</v>
      </c>
      <c r="AJ7" s="6" t="n">
        <f aca="false">IF(B7="","",YEAR(B7))</f>
        <v>2024</v>
      </c>
      <c r="AK7" s="3" t="str">
        <f aca="false">IF(COUNTIF(raw_data!$A$2:$A$913,A7)&gt;1,"Conflicting Duplicate - Flagged for Review","Unique")</f>
        <v>Unique</v>
      </c>
      <c r="AL7" s="3" t="str">
        <f aca="false">IF(AB7="Refunded","Yes","No")</f>
        <v>No</v>
      </c>
      <c r="AM7" s="3" t="str">
        <f aca="false">IF(OR(AC7&lt;&gt;"Completed",AB7="Failed"),"Excluded","Included")</f>
        <v>Included</v>
      </c>
      <c r="AN7" s="3" t="str">
        <f aca="false">IF(OR(D7="Invalid/Unrecognized",E7="Invalid/Unrecognized",G7="Invalid - Ship Before Order",X7="Negative - Invalid",X7="Above Allowed Range - Invalid",AG7="Mismatch",AH7="Mismatch",AK7="Conflicting Duplicate - Flagged for Review"),"Invalid",IF(OR(L7="Filled - Unknown",S7="Filled - Unknown",X7="Missing - Defaulted to 0",AL7="Yes",AC7="Cancelled",AC7="Returned"),"Warning","Clean"))</f>
        <v>Clean</v>
      </c>
    </row>
    <row r="8" customFormat="false" ht="15" hidden="false" customHeight="false" outlineLevel="0" collapsed="false">
      <c r="A8" s="3" t="str">
        <f aca="false">raw_data!A8</f>
        <v>ORD-2025-10007</v>
      </c>
      <c r="B8" s="4" t="n">
        <f aca="false">IFERROR(IF(MID(raw_data!B8,3,1)="/",DATE(VALUE(RIGHT(raw_data!B8,4)),VALUE(LEFT(raw_data!B8,2)),VALUE(MID(raw_data!B8,4,2))),IF(MID(raw_data!B8,3,1)="-",DATE(VALUE(RIGHT(raw_data!B8,4)),VALUE(MID(raw_data!B8,4,2)),VALUE(LEFT(raw_data!B8,2))),IF(MID(raw_data!B8,5,1)="-",DATE(VALUE(LEFT(raw_data!B8,4)),VALUE(MID(raw_data!B8,6,2)),VALUE(RIGHT(raw_data!B8,2))),DATE(VALUE(RIGHT(raw_data!B8,4)),MATCH(MID(raw_data!B8,4,3),{"Jan","Feb","Mar","Apr","May","Jun","Jul","Aug","Sep","Oct","Nov","Dec"},0),VALUE(LEFT(raw_data!B8,2)))))),"")</f>
        <v>45757</v>
      </c>
      <c r="C8" s="4" t="n">
        <f aca="false">IFERROR(IF(MID(raw_data!C8,3,1)="/",DATE(VALUE(RIGHT(raw_data!C8,4)),VALUE(LEFT(raw_data!C8,2)),VALUE(MID(raw_data!C8,4,2))),IF(MID(raw_data!C8,3,1)="-",DATE(VALUE(RIGHT(raw_data!C8,4)),VALUE(MID(raw_data!C8,4,2)),VALUE(LEFT(raw_data!C8,2))),IF(MID(raw_data!C8,5,1)="-",DATE(VALUE(LEFT(raw_data!C8,4)),VALUE(MID(raw_data!C8,6,2)),VALUE(RIGHT(raw_data!C8,2))),DATE(VALUE(RIGHT(raw_data!C8,4)),MATCH(MID(raw_data!C8,4,3),{"Jan","Feb","Mar","Apr","May","Jun","Jul","Aug","Sep","Oct","Nov","Dec"},0),VALUE(LEFT(raw_data!C8,2)))))),"")</f>
        <v>45763</v>
      </c>
      <c r="D8" s="3" t="str">
        <f aca="false">IF(TRIM(raw_data!B8)="","Missing",IF(B8="","Invalid/Unrecognized","Valid"))</f>
        <v>Valid</v>
      </c>
      <c r="E8" s="3" t="str">
        <f aca="false">IF(TRIM(raw_data!C8)="","Missing",IF(C8="","Invalid/Unrecognized","Valid"))</f>
        <v>Valid</v>
      </c>
      <c r="F8" s="5" t="n">
        <f aca="false">IF(OR(B8="",C8=""),"",C8-B8)</f>
        <v>6</v>
      </c>
      <c r="G8" s="3" t="str">
        <f aca="false">IF(F8="","N/A",IF(F8&lt;0,"Invalid - Ship Before Order","OK"))</f>
        <v>OK</v>
      </c>
      <c r="H8" s="3" t="str">
        <f aca="false">raw_data!D8</f>
        <v>CUST-3656</v>
      </c>
      <c r="I8" s="3" t="str">
        <f aca="false">PROPER(TRIM(raw_data!E8))</f>
        <v>Neha Gupta</v>
      </c>
      <c r="J8" s="3" t="str">
        <f aca="false">PROPER(TRIM(raw_data!F8))</f>
        <v>Consumer</v>
      </c>
      <c r="K8" s="3" t="str">
        <f aca="false">IF(TRIM(raw_data!G8)="","Unknown",PROPER(TRIM(raw_data!G8)))</f>
        <v>East</v>
      </c>
      <c r="L8" s="3" t="str">
        <f aca="false">IF(TRIM(raw_data!G8)="","Filled - Unknown","OK")</f>
        <v>OK</v>
      </c>
      <c r="M8" s="3" t="str">
        <f aca="false">PROPER(TRIM(raw_data!H8))</f>
        <v>Odisha</v>
      </c>
      <c r="N8" s="3" t="str">
        <f aca="false">PROPER(TRIM(raw_data!I8))</f>
        <v>Bhubaneswar</v>
      </c>
      <c r="O8" s="3" t="str">
        <f aca="false">PROPER(TRIM(raw_data!J8))</f>
        <v>Technology</v>
      </c>
      <c r="P8" s="3" t="str">
        <f aca="false">PROPER(TRIM(raw_data!K8))</f>
        <v>Copiers</v>
      </c>
      <c r="Q8" s="3" t="str">
        <f aca="false">TRIM(raw_data!L8)</f>
        <v>Eco Copiers 790</v>
      </c>
      <c r="R8" s="3" t="str">
        <f aca="false">IF(TRIM(raw_data!M8)="","Unknown",PROPER(TRIM(raw_data!M8)))</f>
        <v>Standard Class</v>
      </c>
      <c r="S8" s="3" t="str">
        <f aca="false">IF(TRIM(raw_data!M8)="","Filled - Unknown","OK")</f>
        <v>OK</v>
      </c>
      <c r="T8" s="6" t="n">
        <f aca="false">raw_data!N8</f>
        <v>4</v>
      </c>
      <c r="U8" s="7" t="n">
        <f aca="false">raw_data!O8</f>
        <v>1719.87</v>
      </c>
      <c r="V8" s="8" t="n">
        <f aca="false">raw_data!P8</f>
        <v>0.15</v>
      </c>
      <c r="W8" s="8" t="n">
        <f aca="false">IF(raw_data!P8="",0,IF(ISTEXT(raw_data!P8),IF(RIGHT(raw_data!P8,1)="%",VALUE(LEFT(raw_data!P8,LEN(raw_data!P8)-1))/100,VALUE(raw_data!P8)),raw_data!P8))</f>
        <v>0.15</v>
      </c>
      <c r="X8" s="3" t="str">
        <f aca="false">IF(raw_data!P8="","Missing - Defaulted to 0",IF(W8&lt;0,"Negative - Invalid",IF(W8&gt;0.3,"Above Allowed Range - Invalid","Valid")))</f>
        <v>Valid</v>
      </c>
      <c r="Y8" s="7" t="n">
        <f aca="false">raw_data!Q8</f>
        <v>5847.56</v>
      </c>
      <c r="Z8" s="7" t="n">
        <f aca="false">raw_data!R8</f>
        <v>4727.25</v>
      </c>
      <c r="AA8" s="7" t="n">
        <f aca="false">raw_data!S8</f>
        <v>1120.31</v>
      </c>
      <c r="AB8" s="3" t="str">
        <f aca="false">PROPER(TRIM(raw_data!T8))</f>
        <v>Paid</v>
      </c>
      <c r="AC8" s="3" t="str">
        <f aca="false">PROPER(TRIM(raw_data!U8))</f>
        <v>Completed</v>
      </c>
      <c r="AD8" s="7" t="n">
        <f aca="false">T8*U8*(1-W8)</f>
        <v>5847.558</v>
      </c>
      <c r="AE8" s="7" t="n">
        <f aca="false">AD8-Z8</f>
        <v>1120.308</v>
      </c>
      <c r="AF8" s="8" t="n">
        <f aca="false">IF(AD8=0,0,AE8/AD8)</f>
        <v>0.191585615739083</v>
      </c>
      <c r="AG8" s="3" t="str">
        <f aca="false">IF(ABS(Y8-AD8)&gt;1,"Mismatch","OK")</f>
        <v>OK</v>
      </c>
      <c r="AH8" s="3" t="str">
        <f aca="false">IF(ABS(AA8-AE8)&gt;1,"Mismatch","OK")</f>
        <v>OK</v>
      </c>
      <c r="AI8" s="6" t="n">
        <f aca="false">IF(B8="","",MONTH(B8))</f>
        <v>4</v>
      </c>
      <c r="AJ8" s="6" t="n">
        <f aca="false">IF(B8="","",YEAR(B8))</f>
        <v>2025</v>
      </c>
      <c r="AK8" s="3" t="str">
        <f aca="false">IF(COUNTIF(raw_data!$A$2:$A$913,A8)&gt;1,"Conflicting Duplicate - Flagged for Review","Unique")</f>
        <v>Unique</v>
      </c>
      <c r="AL8" s="3" t="str">
        <f aca="false">IF(AB8="Refunded","Yes","No")</f>
        <v>No</v>
      </c>
      <c r="AM8" s="3" t="str">
        <f aca="false">IF(OR(AC8&lt;&gt;"Completed",AB8="Failed"),"Excluded","Included")</f>
        <v>Included</v>
      </c>
      <c r="AN8" s="3" t="str">
        <f aca="false">IF(OR(D8="Invalid/Unrecognized",E8="Invalid/Unrecognized",G8="Invalid - Ship Before Order",X8="Negative - Invalid",X8="Above Allowed Range - Invalid",AG8="Mismatch",AH8="Mismatch",AK8="Conflicting Duplicate - Flagged for Review"),"Invalid",IF(OR(L8="Filled - Unknown",S8="Filled - Unknown",X8="Missing - Defaulted to 0",AL8="Yes",AC8="Cancelled",AC8="Returned"),"Warning","Clean"))</f>
        <v>Clean</v>
      </c>
    </row>
    <row r="9" customFormat="false" ht="15" hidden="false" customHeight="false" outlineLevel="0" collapsed="false">
      <c r="A9" s="3" t="str">
        <f aca="false">raw_data!A9</f>
        <v>ORD-2025-10008</v>
      </c>
      <c r="B9" s="4" t="n">
        <f aca="false">IFERROR(IF(MID(raw_data!B9,3,1)="/",DATE(VALUE(RIGHT(raw_data!B9,4)),VALUE(LEFT(raw_data!B9,2)),VALUE(MID(raw_data!B9,4,2))),IF(MID(raw_data!B9,3,1)="-",DATE(VALUE(RIGHT(raw_data!B9,4)),VALUE(MID(raw_data!B9,4,2)),VALUE(LEFT(raw_data!B9,2))),IF(MID(raw_data!B9,5,1)="-",DATE(VALUE(LEFT(raw_data!B9,4)),VALUE(MID(raw_data!B9,6,2)),VALUE(RIGHT(raw_data!B9,2))),DATE(VALUE(RIGHT(raw_data!B9,4)),MATCH(MID(raw_data!B9,4,3),{"Jan","Feb","Mar","Apr","May","Jun","Jul","Aug","Sep","Oct","Nov","Dec"},0),VALUE(LEFT(raw_data!B9,2)))))),"")</f>
        <v>45711</v>
      </c>
      <c r="C9" s="4" t="n">
        <f aca="false">IFERROR(IF(MID(raw_data!C9,3,1)="/",DATE(VALUE(RIGHT(raw_data!C9,4)),VALUE(LEFT(raw_data!C9,2)),VALUE(MID(raw_data!C9,4,2))),IF(MID(raw_data!C9,3,1)="-",DATE(VALUE(RIGHT(raw_data!C9,4)),VALUE(MID(raw_data!C9,4,2)),VALUE(LEFT(raw_data!C9,2))),IF(MID(raw_data!C9,5,1)="-",DATE(VALUE(LEFT(raw_data!C9,4)),VALUE(MID(raw_data!C9,6,2)),VALUE(RIGHT(raw_data!C9,2))),DATE(VALUE(RIGHT(raw_data!C9,4)),MATCH(MID(raw_data!C9,4,3),{"Jan","Feb","Mar","Apr","May","Jun","Jul","Aug","Sep","Oct","Nov","Dec"},0),VALUE(LEFT(raw_data!C9,2)))))),"")</f>
        <v>45714</v>
      </c>
      <c r="D9" s="3" t="str">
        <f aca="false">IF(TRIM(raw_data!B9)="","Missing",IF(B9="","Invalid/Unrecognized","Valid"))</f>
        <v>Valid</v>
      </c>
      <c r="E9" s="3" t="str">
        <f aca="false">IF(TRIM(raw_data!C9)="","Missing",IF(C9="","Invalid/Unrecognized","Valid"))</f>
        <v>Valid</v>
      </c>
      <c r="F9" s="5" t="n">
        <f aca="false">IF(OR(B9="",C9=""),"",C9-B9)</f>
        <v>3</v>
      </c>
      <c r="G9" s="3" t="str">
        <f aca="false">IF(F9="","N/A",IF(F9&lt;0,"Invalid - Ship Before Order","OK"))</f>
        <v>OK</v>
      </c>
      <c r="H9" s="3" t="str">
        <f aca="false">raw_data!D9</f>
        <v>CUST-4683</v>
      </c>
      <c r="I9" s="3" t="str">
        <f aca="false">PROPER(TRIM(raw_data!E9))</f>
        <v>Isha Nair</v>
      </c>
      <c r="J9" s="3" t="str">
        <f aca="false">PROPER(TRIM(raw_data!F9))</f>
        <v>Small Business</v>
      </c>
      <c r="K9" s="3" t="str">
        <f aca="false">IF(TRIM(raw_data!G9)="","Unknown",PROPER(TRIM(raw_data!G9)))</f>
        <v>South</v>
      </c>
      <c r="L9" s="3" t="str">
        <f aca="false">IF(TRIM(raw_data!G9)="","Filled - Unknown","OK")</f>
        <v>OK</v>
      </c>
      <c r="M9" s="3" t="str">
        <f aca="false">PROPER(TRIM(raw_data!H9))</f>
        <v>Andhra Pradesh</v>
      </c>
      <c r="N9" s="3" t="str">
        <f aca="false">PROPER(TRIM(raw_data!I9))</f>
        <v>Vijayawada</v>
      </c>
      <c r="O9" s="3" t="str">
        <f aca="false">PROPER(TRIM(raw_data!J9))</f>
        <v>Office Supplies</v>
      </c>
      <c r="P9" s="3" t="str">
        <f aca="false">PROPER(TRIM(raw_data!K9))</f>
        <v>Art</v>
      </c>
      <c r="Q9" s="3" t="str">
        <f aca="false">TRIM(raw_data!L9)</f>
        <v>Eco Art 848</v>
      </c>
      <c r="R9" s="3" t="str">
        <f aca="false">IF(TRIM(raw_data!M9)="","Unknown",PROPER(TRIM(raw_data!M9)))</f>
        <v>First Class</v>
      </c>
      <c r="S9" s="3" t="str">
        <f aca="false">IF(TRIM(raw_data!M9)="","Filled - Unknown","OK")</f>
        <v>OK</v>
      </c>
      <c r="T9" s="6" t="n">
        <f aca="false">raw_data!N9</f>
        <v>1</v>
      </c>
      <c r="U9" s="7" t="n">
        <f aca="false">raw_data!O9</f>
        <v>2980.71</v>
      </c>
      <c r="V9" s="8" t="n">
        <f aca="false">raw_data!P9</f>
        <v>0</v>
      </c>
      <c r="W9" s="8" t="n">
        <f aca="false">IF(raw_data!P9="",0,IF(ISTEXT(raw_data!P9),IF(RIGHT(raw_data!P9,1)="%",VALUE(LEFT(raw_data!P9,LEN(raw_data!P9)-1))/100,VALUE(raw_data!P9)),raw_data!P9))</f>
        <v>0</v>
      </c>
      <c r="X9" s="3" t="str">
        <f aca="false">IF(raw_data!P9="","Missing - Defaulted to 0",IF(W9&lt;0,"Negative - Invalid",IF(W9&gt;0.3,"Above Allowed Range - Invalid","Valid")))</f>
        <v>Valid</v>
      </c>
      <c r="Y9" s="7" t="n">
        <f aca="false">raw_data!Q9</f>
        <v>2980.71</v>
      </c>
      <c r="Z9" s="7" t="n">
        <f aca="false">raw_data!R9</f>
        <v>2357.22</v>
      </c>
      <c r="AA9" s="7" t="n">
        <f aca="false">raw_data!S9</f>
        <v>623.49</v>
      </c>
      <c r="AB9" s="3" t="str">
        <f aca="false">PROPER(TRIM(raw_data!T9))</f>
        <v>Paid</v>
      </c>
      <c r="AC9" s="3" t="str">
        <f aca="false">PROPER(TRIM(raw_data!U9))</f>
        <v>Completed</v>
      </c>
      <c r="AD9" s="7" t="n">
        <f aca="false">T9*U9*(1-W9)</f>
        <v>2980.71</v>
      </c>
      <c r="AE9" s="7" t="n">
        <f aca="false">AD9-Z9</f>
        <v>623.49</v>
      </c>
      <c r="AF9" s="8" t="n">
        <f aca="false">IF(AD9=0,0,AE9/AD9)</f>
        <v>0.20917499521926</v>
      </c>
      <c r="AG9" s="3" t="str">
        <f aca="false">IF(ABS(Y9-AD9)&gt;1,"Mismatch","OK")</f>
        <v>OK</v>
      </c>
      <c r="AH9" s="3" t="str">
        <f aca="false">IF(ABS(AA9-AE9)&gt;1,"Mismatch","OK")</f>
        <v>OK</v>
      </c>
      <c r="AI9" s="6" t="n">
        <f aca="false">IF(B9="","",MONTH(B9))</f>
        <v>2</v>
      </c>
      <c r="AJ9" s="6" t="n">
        <f aca="false">IF(B9="","",YEAR(B9))</f>
        <v>2025</v>
      </c>
      <c r="AK9" s="3" t="str">
        <f aca="false">IF(COUNTIF(raw_data!$A$2:$A$913,A9)&gt;1,"Conflicting Duplicate - Flagged for Review","Unique")</f>
        <v>Unique</v>
      </c>
      <c r="AL9" s="3" t="str">
        <f aca="false">IF(AB9="Refunded","Yes","No")</f>
        <v>No</v>
      </c>
      <c r="AM9" s="3" t="str">
        <f aca="false">IF(OR(AC9&lt;&gt;"Completed",AB9="Failed"),"Excluded","Included")</f>
        <v>Included</v>
      </c>
      <c r="AN9" s="3" t="str">
        <f aca="false">IF(OR(D9="Invalid/Unrecognized",E9="Invalid/Unrecognized",G9="Invalid - Ship Before Order",X9="Negative - Invalid",X9="Above Allowed Range - Invalid",AG9="Mismatch",AH9="Mismatch",AK9="Conflicting Duplicate - Flagged for Review"),"Invalid",IF(OR(L9="Filled - Unknown",S9="Filled - Unknown",X9="Missing - Defaulted to 0",AL9="Yes",AC9="Cancelled",AC9="Returned"),"Warning","Clean"))</f>
        <v>Clean</v>
      </c>
    </row>
    <row r="10" customFormat="false" ht="15" hidden="false" customHeight="false" outlineLevel="0" collapsed="false">
      <c r="A10" s="3" t="str">
        <f aca="false">raw_data!A10</f>
        <v>ORD-2024-10009</v>
      </c>
      <c r="B10" s="4" t="n">
        <f aca="false">IFERROR(IF(MID(raw_data!B10,3,1)="/",DATE(VALUE(RIGHT(raw_data!B10,4)),VALUE(LEFT(raw_data!B10,2)),VALUE(MID(raw_data!B10,4,2))),IF(MID(raw_data!B10,3,1)="-",DATE(VALUE(RIGHT(raw_data!B10,4)),VALUE(MID(raw_data!B10,4,2)),VALUE(LEFT(raw_data!B10,2))),IF(MID(raw_data!B10,5,1)="-",DATE(VALUE(LEFT(raw_data!B10,4)),VALUE(MID(raw_data!B10,6,2)),VALUE(RIGHT(raw_data!B10,2))),DATE(VALUE(RIGHT(raw_data!B10,4)),MATCH(MID(raw_data!B10,4,3),{"Jan","Feb","Mar","Apr","May","Jun","Jul","Aug","Sep","Oct","Nov","Dec"},0),VALUE(LEFT(raw_data!B10,2)))))),"")</f>
        <v>45601</v>
      </c>
      <c r="C10" s="4" t="n">
        <f aca="false">IFERROR(IF(MID(raw_data!C10,3,1)="/",DATE(VALUE(RIGHT(raw_data!C10,4)),VALUE(LEFT(raw_data!C10,2)),VALUE(MID(raw_data!C10,4,2))),IF(MID(raw_data!C10,3,1)="-",DATE(VALUE(RIGHT(raw_data!C10,4)),VALUE(MID(raw_data!C10,4,2)),VALUE(LEFT(raw_data!C10,2))),IF(MID(raw_data!C10,5,1)="-",DATE(VALUE(LEFT(raw_data!C10,4)),VALUE(MID(raw_data!C10,6,2)),VALUE(RIGHT(raw_data!C10,2))),DATE(VALUE(RIGHT(raw_data!C10,4)),MATCH(MID(raw_data!C10,4,3),{"Jan","Feb","Mar","Apr","May","Jun","Jul","Aug","Sep","Oct","Nov","Dec"},0),VALUE(LEFT(raw_data!C10,2)))))),"")</f>
        <v>45606</v>
      </c>
      <c r="D10" s="3" t="str">
        <f aca="false">IF(TRIM(raw_data!B10)="","Missing",IF(B10="","Invalid/Unrecognized","Valid"))</f>
        <v>Valid</v>
      </c>
      <c r="E10" s="3" t="str">
        <f aca="false">IF(TRIM(raw_data!C10)="","Missing",IF(C10="","Invalid/Unrecognized","Valid"))</f>
        <v>Valid</v>
      </c>
      <c r="F10" s="5" t="n">
        <f aca="false">IF(OR(B10="",C10=""),"",C10-B10)</f>
        <v>5</v>
      </c>
      <c r="G10" s="3" t="str">
        <f aca="false">IF(F10="","N/A",IF(F10&lt;0,"Invalid - Ship Before Order","OK"))</f>
        <v>OK</v>
      </c>
      <c r="H10" s="3" t="str">
        <f aca="false">raw_data!D10</f>
        <v>CUST-2598</v>
      </c>
      <c r="I10" s="3" t="str">
        <f aca="false">PROPER(TRIM(raw_data!E10))</f>
        <v>Aditi Sen</v>
      </c>
      <c r="J10" s="3" t="str">
        <f aca="false">PROPER(TRIM(raw_data!F10))</f>
        <v>Corporate</v>
      </c>
      <c r="K10" s="3" t="str">
        <f aca="false">IF(TRIM(raw_data!G10)="","Unknown",PROPER(TRIM(raw_data!G10)))</f>
        <v>South</v>
      </c>
      <c r="L10" s="3" t="str">
        <f aca="false">IF(TRIM(raw_data!G10)="","Filled - Unknown","OK")</f>
        <v>OK</v>
      </c>
      <c r="M10" s="3" t="str">
        <f aca="false">PROPER(TRIM(raw_data!H10))</f>
        <v>Telangana</v>
      </c>
      <c r="N10" s="3" t="str">
        <f aca="false">PROPER(TRIM(raw_data!I10))</f>
        <v>Hyderabad</v>
      </c>
      <c r="O10" s="3" t="str">
        <f aca="false">PROPER(TRIM(raw_data!J10))</f>
        <v>Office Supplies</v>
      </c>
      <c r="P10" s="3" t="str">
        <f aca="false">PROPER(TRIM(raw_data!K10))</f>
        <v>Labels</v>
      </c>
      <c r="Q10" s="3" t="str">
        <f aca="false">TRIM(raw_data!L10)</f>
        <v>Classic Labels 815</v>
      </c>
      <c r="R10" s="3" t="str">
        <f aca="false">IF(TRIM(raw_data!M10)="","Unknown",PROPER(TRIM(raw_data!M10)))</f>
        <v>First Class</v>
      </c>
      <c r="S10" s="3" t="str">
        <f aca="false">IF(TRIM(raw_data!M10)="","Filled - Unknown","OK")</f>
        <v>OK</v>
      </c>
      <c r="T10" s="6" t="n">
        <f aca="false">raw_data!N10</f>
        <v>8</v>
      </c>
      <c r="U10" s="7" t="n">
        <f aca="false">raw_data!O10</f>
        <v>3134.2</v>
      </c>
      <c r="V10" s="8" t="n">
        <f aca="false">raw_data!P10</f>
        <v>0</v>
      </c>
      <c r="W10" s="8" t="n">
        <f aca="false">IF(raw_data!P10="",0,IF(ISTEXT(raw_data!P10),IF(RIGHT(raw_data!P10,1)="%",VALUE(LEFT(raw_data!P10,LEN(raw_data!P10)-1))/100,VALUE(raw_data!P10)),raw_data!P10))</f>
        <v>0</v>
      </c>
      <c r="X10" s="3" t="str">
        <f aca="false">IF(raw_data!P10="","Missing - Defaulted to 0",IF(W10&lt;0,"Negative - Invalid",IF(W10&gt;0.3,"Above Allowed Range - Invalid","Valid")))</f>
        <v>Valid</v>
      </c>
      <c r="Y10" s="7" t="n">
        <f aca="false">raw_data!Q10</f>
        <v>25073.6</v>
      </c>
      <c r="Z10" s="7" t="n">
        <f aca="false">raw_data!R10</f>
        <v>17347.23</v>
      </c>
      <c r="AA10" s="7" t="n">
        <f aca="false">raw_data!S10</f>
        <v>7726.37</v>
      </c>
      <c r="AB10" s="3" t="str">
        <f aca="false">PROPER(TRIM(raw_data!T10))</f>
        <v>Paid</v>
      </c>
      <c r="AC10" s="3" t="str">
        <f aca="false">PROPER(TRIM(raw_data!U10))</f>
        <v>Completed</v>
      </c>
      <c r="AD10" s="7" t="n">
        <f aca="false">T10*U10*(1-W10)</f>
        <v>25073.6</v>
      </c>
      <c r="AE10" s="7" t="n">
        <f aca="false">AD10-Z10</f>
        <v>7726.37</v>
      </c>
      <c r="AF10" s="8" t="n">
        <f aca="false">IF(AD10=0,0,AE10/AD10)</f>
        <v>0.308147613426074</v>
      </c>
      <c r="AG10" s="3" t="str">
        <f aca="false">IF(ABS(Y10-AD10)&gt;1,"Mismatch","OK")</f>
        <v>OK</v>
      </c>
      <c r="AH10" s="3" t="str">
        <f aca="false">IF(ABS(AA10-AE10)&gt;1,"Mismatch","OK")</f>
        <v>OK</v>
      </c>
      <c r="AI10" s="6" t="n">
        <f aca="false">IF(B10="","",MONTH(B10))</f>
        <v>11</v>
      </c>
      <c r="AJ10" s="6" t="n">
        <f aca="false">IF(B10="","",YEAR(B10))</f>
        <v>2024</v>
      </c>
      <c r="AK10" s="3" t="str">
        <f aca="false">IF(COUNTIF(raw_data!$A$2:$A$913,A10)&gt;1,"Conflicting Duplicate - Flagged for Review","Unique")</f>
        <v>Unique</v>
      </c>
      <c r="AL10" s="3" t="str">
        <f aca="false">IF(AB10="Refunded","Yes","No")</f>
        <v>No</v>
      </c>
      <c r="AM10" s="3" t="str">
        <f aca="false">IF(OR(AC10&lt;&gt;"Completed",AB10="Failed"),"Excluded","Included")</f>
        <v>Included</v>
      </c>
      <c r="AN10" s="3" t="str">
        <f aca="false">IF(OR(D10="Invalid/Unrecognized",E10="Invalid/Unrecognized",G10="Invalid - Ship Before Order",X10="Negative - Invalid",X10="Above Allowed Range - Invalid",AG10="Mismatch",AH10="Mismatch",AK10="Conflicting Duplicate - Flagged for Review"),"Invalid",IF(OR(L10="Filled - Unknown",S10="Filled - Unknown",X10="Missing - Defaulted to 0",AL10="Yes",AC10="Cancelled",AC10="Returned"),"Warning","Clean"))</f>
        <v>Clean</v>
      </c>
    </row>
    <row r="11" customFormat="false" ht="15" hidden="false" customHeight="false" outlineLevel="0" collapsed="false">
      <c r="A11" s="3" t="str">
        <f aca="false">raw_data!A11</f>
        <v>ORD-2025-10010</v>
      </c>
      <c r="B11" s="4" t="n">
        <f aca="false">IFERROR(IF(MID(raw_data!B11,3,1)="/",DATE(VALUE(RIGHT(raw_data!B11,4)),VALUE(LEFT(raw_data!B11,2)),VALUE(MID(raw_data!B11,4,2))),IF(MID(raw_data!B11,3,1)="-",DATE(VALUE(RIGHT(raw_data!B11,4)),VALUE(MID(raw_data!B11,4,2)),VALUE(LEFT(raw_data!B11,2))),IF(MID(raw_data!B11,5,1)="-",DATE(VALUE(LEFT(raw_data!B11,4)),VALUE(MID(raw_data!B11,6,2)),VALUE(RIGHT(raw_data!B11,2))),DATE(VALUE(RIGHT(raw_data!B11,4)),MATCH(MID(raw_data!B11,4,3),{"Jan","Feb","Mar","Apr","May","Jun","Jul","Aug","Sep","Oct","Nov","Dec"},0),VALUE(LEFT(raw_data!B11,2)))))),"")</f>
        <v>45907</v>
      </c>
      <c r="C11" s="4" t="n">
        <f aca="false">IFERROR(IF(MID(raw_data!C11,3,1)="/",DATE(VALUE(RIGHT(raw_data!C11,4)),VALUE(LEFT(raw_data!C11,2)),VALUE(MID(raw_data!C11,4,2))),IF(MID(raw_data!C11,3,1)="-",DATE(VALUE(RIGHT(raw_data!C11,4)),VALUE(MID(raw_data!C11,4,2)),VALUE(LEFT(raw_data!C11,2))),IF(MID(raw_data!C11,5,1)="-",DATE(VALUE(LEFT(raw_data!C11,4)),VALUE(MID(raw_data!C11,6,2)),VALUE(RIGHT(raw_data!C11,2))),DATE(VALUE(RIGHT(raw_data!C11,4)),MATCH(MID(raw_data!C11,4,3),{"Jan","Feb","Mar","Apr","May","Jun","Jul","Aug","Sep","Oct","Nov","Dec"},0),VALUE(LEFT(raw_data!C11,2)))))),"")</f>
        <v>45912</v>
      </c>
      <c r="D11" s="3" t="str">
        <f aca="false">IF(TRIM(raw_data!B11)="","Missing",IF(B11="","Invalid/Unrecognized","Valid"))</f>
        <v>Valid</v>
      </c>
      <c r="E11" s="3" t="str">
        <f aca="false">IF(TRIM(raw_data!C11)="","Missing",IF(C11="","Invalid/Unrecognized","Valid"))</f>
        <v>Valid</v>
      </c>
      <c r="F11" s="5" t="n">
        <f aca="false">IF(OR(B11="",C11=""),"",C11-B11)</f>
        <v>5</v>
      </c>
      <c r="G11" s="3" t="str">
        <f aca="false">IF(F11="","N/A",IF(F11&lt;0,"Invalid - Ship Before Order","OK"))</f>
        <v>OK</v>
      </c>
      <c r="H11" s="3" t="str">
        <f aca="false">raw_data!D11</f>
        <v>CUST-2483</v>
      </c>
      <c r="I11" s="3" t="str">
        <f aca="false">PROPER(TRIM(raw_data!E11))</f>
        <v>Mira Das</v>
      </c>
      <c r="J11" s="3" t="str">
        <f aca="false">PROPER(TRIM(raw_data!F11))</f>
        <v>Home Office</v>
      </c>
      <c r="K11" s="3" t="str">
        <f aca="false">IF(TRIM(raw_data!G11)="","Unknown",PROPER(TRIM(raw_data!G11)))</f>
        <v>South</v>
      </c>
      <c r="L11" s="3" t="str">
        <f aca="false">IF(TRIM(raw_data!G11)="","Filled - Unknown","OK")</f>
        <v>OK</v>
      </c>
      <c r="M11" s="3" t="str">
        <f aca="false">PROPER(TRIM(raw_data!H11))</f>
        <v>Telangana</v>
      </c>
      <c r="N11" s="3" t="str">
        <f aca="false">PROPER(TRIM(raw_data!I11))</f>
        <v>Hyderabad</v>
      </c>
      <c r="O11" s="3" t="str">
        <f aca="false">PROPER(TRIM(raw_data!J11))</f>
        <v>Office Supplies</v>
      </c>
      <c r="P11" s="3" t="str">
        <f aca="false">PROPER(TRIM(raw_data!K11))</f>
        <v>Paper</v>
      </c>
      <c r="Q11" s="3" t="str">
        <f aca="false">TRIM(raw_data!L11)</f>
        <v>Pro Paper 622</v>
      </c>
      <c r="R11" s="3" t="str">
        <f aca="false">IF(TRIM(raw_data!M11)="","Unknown",PROPER(TRIM(raw_data!M11)))</f>
        <v>Second Class</v>
      </c>
      <c r="S11" s="3" t="str">
        <f aca="false">IF(TRIM(raw_data!M11)="","Filled - Unknown","OK")</f>
        <v>OK</v>
      </c>
      <c r="T11" s="6" t="n">
        <f aca="false">raw_data!N11</f>
        <v>9</v>
      </c>
      <c r="U11" s="7" t="n">
        <f aca="false">raw_data!O11</f>
        <v>852.04</v>
      </c>
      <c r="V11" s="8" t="n">
        <f aca="false">raw_data!P11</f>
        <v>0.2</v>
      </c>
      <c r="W11" s="8" t="n">
        <f aca="false">IF(raw_data!P11="",0,IF(ISTEXT(raw_data!P11),IF(RIGHT(raw_data!P11,1)="%",VALUE(LEFT(raw_data!P11,LEN(raw_data!P11)-1))/100,VALUE(raw_data!P11)),raw_data!P11))</f>
        <v>0.2</v>
      </c>
      <c r="X11" s="3" t="str">
        <f aca="false">IF(raw_data!P11="","Missing - Defaulted to 0",IF(W11&lt;0,"Negative - Invalid",IF(W11&gt;0.3,"Above Allowed Range - Invalid","Valid")))</f>
        <v>Valid</v>
      </c>
      <c r="Y11" s="7" t="n">
        <f aca="false">raw_data!Q11</f>
        <v>6134.69</v>
      </c>
      <c r="Z11" s="7" t="n">
        <f aca="false">raw_data!R11</f>
        <v>3800.19</v>
      </c>
      <c r="AA11" s="7" t="n">
        <f aca="false">raw_data!S11</f>
        <v>2334.5</v>
      </c>
      <c r="AB11" s="3" t="str">
        <f aca="false">PROPER(TRIM(raw_data!T11))</f>
        <v>Paid</v>
      </c>
      <c r="AC11" s="3" t="str">
        <f aca="false">PROPER(TRIM(raw_data!U11))</f>
        <v>Completed</v>
      </c>
      <c r="AD11" s="7" t="n">
        <f aca="false">T11*U11*(1-W11)</f>
        <v>6134.688</v>
      </c>
      <c r="AE11" s="7" t="n">
        <f aca="false">AD11-Z11</f>
        <v>2334.498</v>
      </c>
      <c r="AF11" s="8" t="n">
        <f aca="false">IF(AD11=0,0,AE11/AD11)</f>
        <v>0.380540624070857</v>
      </c>
      <c r="AG11" s="3" t="str">
        <f aca="false">IF(ABS(Y11-AD11)&gt;1,"Mismatch","OK")</f>
        <v>OK</v>
      </c>
      <c r="AH11" s="3" t="str">
        <f aca="false">IF(ABS(AA11-AE11)&gt;1,"Mismatch","OK")</f>
        <v>OK</v>
      </c>
      <c r="AI11" s="6" t="n">
        <f aca="false">IF(B11="","",MONTH(B11))</f>
        <v>9</v>
      </c>
      <c r="AJ11" s="6" t="n">
        <f aca="false">IF(B11="","",YEAR(B11))</f>
        <v>2025</v>
      </c>
      <c r="AK11" s="3" t="str">
        <f aca="false">IF(COUNTIF(raw_data!$A$2:$A$913,A11)&gt;1,"Conflicting Duplicate - Flagged for Review","Unique")</f>
        <v>Unique</v>
      </c>
      <c r="AL11" s="3" t="str">
        <f aca="false">IF(AB11="Refunded","Yes","No")</f>
        <v>No</v>
      </c>
      <c r="AM11" s="3" t="str">
        <f aca="false">IF(OR(AC11&lt;&gt;"Completed",AB11="Failed"),"Excluded","Included")</f>
        <v>Included</v>
      </c>
      <c r="AN11" s="3" t="str">
        <f aca="false">IF(OR(D11="Invalid/Unrecognized",E11="Invalid/Unrecognized",G11="Invalid - Ship Before Order",X11="Negative - Invalid",X11="Above Allowed Range - Invalid",AG11="Mismatch",AH11="Mismatch",AK11="Conflicting Duplicate - Flagged for Review"),"Invalid",IF(OR(L11="Filled - Unknown",S11="Filled - Unknown",X11="Missing - Defaulted to 0",AL11="Yes",AC11="Cancelled",AC11="Returned"),"Warning","Clean"))</f>
        <v>Clean</v>
      </c>
    </row>
    <row r="12" customFormat="false" ht="15" hidden="false" customHeight="false" outlineLevel="0" collapsed="false">
      <c r="A12" s="3" t="str">
        <f aca="false">raw_data!A12</f>
        <v>ORD-2025-10011</v>
      </c>
      <c r="B12" s="4" t="n">
        <f aca="false">IFERROR(IF(MID(raw_data!B12,3,1)="/",DATE(VALUE(RIGHT(raw_data!B12,4)),VALUE(LEFT(raw_data!B12,2)),VALUE(MID(raw_data!B12,4,2))),IF(MID(raw_data!B12,3,1)="-",DATE(VALUE(RIGHT(raw_data!B12,4)),VALUE(MID(raw_data!B12,4,2)),VALUE(LEFT(raw_data!B12,2))),IF(MID(raw_data!B12,5,1)="-",DATE(VALUE(LEFT(raw_data!B12,4)),VALUE(MID(raw_data!B12,6,2)),VALUE(RIGHT(raw_data!B12,2))),DATE(VALUE(RIGHT(raw_data!B12,4)),MATCH(MID(raw_data!B12,4,3),{"Jan","Feb","Mar","Apr","May","Jun","Jul","Aug","Sep","Oct","Nov","Dec"},0),VALUE(LEFT(raw_data!B12,2)))))),"")</f>
        <v>45797</v>
      </c>
      <c r="C12" s="4" t="n">
        <f aca="false">IFERROR(IF(MID(raw_data!C12,3,1)="/",DATE(VALUE(RIGHT(raw_data!C12,4)),VALUE(LEFT(raw_data!C12,2)),VALUE(MID(raw_data!C12,4,2))),IF(MID(raw_data!C12,3,1)="-",DATE(VALUE(RIGHT(raw_data!C12,4)),VALUE(MID(raw_data!C12,4,2)),VALUE(LEFT(raw_data!C12,2))),IF(MID(raw_data!C12,5,1)="-",DATE(VALUE(LEFT(raw_data!C12,4)),VALUE(MID(raw_data!C12,6,2)),VALUE(RIGHT(raw_data!C12,2))),DATE(VALUE(RIGHT(raw_data!C12,4)),MATCH(MID(raw_data!C12,4,3),{"Jan","Feb","Mar","Apr","May","Jun","Jul","Aug","Sep","Oct","Nov","Dec"},0),VALUE(LEFT(raw_data!C12,2)))))),"")</f>
        <v>45797</v>
      </c>
      <c r="D12" s="3" t="str">
        <f aca="false">IF(TRIM(raw_data!B12)="","Missing",IF(B12="","Invalid/Unrecognized","Valid"))</f>
        <v>Valid</v>
      </c>
      <c r="E12" s="3" t="str">
        <f aca="false">IF(TRIM(raw_data!C12)="","Missing",IF(C12="","Invalid/Unrecognized","Valid"))</f>
        <v>Valid</v>
      </c>
      <c r="F12" s="5" t="n">
        <f aca="false">IF(OR(B12="",C12=""),"",C12-B12)</f>
        <v>0</v>
      </c>
      <c r="G12" s="3" t="str">
        <f aca="false">IF(F12="","N/A",IF(F12&lt;0,"Invalid - Ship Before Order","OK"))</f>
        <v>OK</v>
      </c>
      <c r="H12" s="3" t="str">
        <f aca="false">raw_data!D12</f>
        <v>CUST-8092</v>
      </c>
      <c r="I12" s="3" t="str">
        <f aca="false">PROPER(TRIM(raw_data!E12))</f>
        <v>Ananya Rao</v>
      </c>
      <c r="J12" s="3" t="str">
        <f aca="false">PROPER(TRIM(raw_data!F12))</f>
        <v>Corporate</v>
      </c>
      <c r="K12" s="3" t="str">
        <f aca="false">IF(TRIM(raw_data!G12)="","Unknown",PROPER(TRIM(raw_data!G12)))</f>
        <v>East</v>
      </c>
      <c r="L12" s="3" t="str">
        <f aca="false">IF(TRIM(raw_data!G12)="","Filled - Unknown","OK")</f>
        <v>OK</v>
      </c>
      <c r="M12" s="3" t="str">
        <f aca="false">PROPER(TRIM(raw_data!H12))</f>
        <v>West Bengal</v>
      </c>
      <c r="N12" s="3" t="str">
        <f aca="false">PROPER(TRIM(raw_data!I12))</f>
        <v>Kolkata</v>
      </c>
      <c r="O12" s="3" t="str">
        <f aca="false">PROPER(TRIM(raw_data!J12))</f>
        <v>Office Supplies</v>
      </c>
      <c r="P12" s="3" t="str">
        <f aca="false">PROPER(TRIM(raw_data!K12))</f>
        <v>Labels</v>
      </c>
      <c r="Q12" s="3" t="str">
        <f aca="false">TRIM(raw_data!L12)</f>
        <v>Prime Labels 644</v>
      </c>
      <c r="R12" s="3" t="str">
        <f aca="false">IF(TRIM(raw_data!M12)="","Unknown",PROPER(TRIM(raw_data!M12)))</f>
        <v>Second Class</v>
      </c>
      <c r="S12" s="3" t="str">
        <f aca="false">IF(TRIM(raw_data!M12)="","Filled - Unknown","OK")</f>
        <v>OK</v>
      </c>
      <c r="T12" s="6" t="n">
        <f aca="false">raw_data!N12</f>
        <v>3</v>
      </c>
      <c r="U12" s="7" t="n">
        <f aca="false">raw_data!O12</f>
        <v>3534.83</v>
      </c>
      <c r="V12" s="8" t="n">
        <f aca="false">raw_data!P12</f>
        <v>0.05</v>
      </c>
      <c r="W12" s="8" t="n">
        <f aca="false">IF(raw_data!P12="",0,IF(ISTEXT(raw_data!P12),IF(RIGHT(raw_data!P12,1)="%",VALUE(LEFT(raw_data!P12,LEN(raw_data!P12)-1))/100,VALUE(raw_data!P12)),raw_data!P12))</f>
        <v>0.05</v>
      </c>
      <c r="X12" s="3" t="str">
        <f aca="false">IF(raw_data!P12="","Missing - Defaulted to 0",IF(W12&lt;0,"Negative - Invalid",IF(W12&gt;0.3,"Above Allowed Range - Invalid","Valid")))</f>
        <v>Valid</v>
      </c>
      <c r="Y12" s="7" t="n">
        <f aca="false">raw_data!Q12</f>
        <v>10074.27</v>
      </c>
      <c r="Z12" s="7" t="n">
        <f aca="false">raw_data!R12</f>
        <v>6048.27</v>
      </c>
      <c r="AA12" s="7" t="n">
        <f aca="false">raw_data!S12</f>
        <v>4026</v>
      </c>
      <c r="AB12" s="3" t="str">
        <f aca="false">PROPER(TRIM(raw_data!T12))</f>
        <v>Refunded</v>
      </c>
      <c r="AC12" s="3" t="str">
        <f aca="false">PROPER(TRIM(raw_data!U12))</f>
        <v>Returned</v>
      </c>
      <c r="AD12" s="7" t="n">
        <f aca="false">T12*U12*(1-W12)</f>
        <v>10074.2655</v>
      </c>
      <c r="AE12" s="7" t="n">
        <f aca="false">AD12-Z12</f>
        <v>4025.9955</v>
      </c>
      <c r="AF12" s="8" t="n">
        <f aca="false">IF(AD12=0,0,AE12/AD12)</f>
        <v>0.399631665454916</v>
      </c>
      <c r="AG12" s="3" t="str">
        <f aca="false">IF(ABS(Y12-AD12)&gt;1,"Mismatch","OK")</f>
        <v>OK</v>
      </c>
      <c r="AH12" s="3" t="str">
        <f aca="false">IF(ABS(AA12-AE12)&gt;1,"Mismatch","OK")</f>
        <v>OK</v>
      </c>
      <c r="AI12" s="6" t="n">
        <f aca="false">IF(B12="","",MONTH(B12))</f>
        <v>5</v>
      </c>
      <c r="AJ12" s="6" t="n">
        <f aca="false">IF(B12="","",YEAR(B12))</f>
        <v>2025</v>
      </c>
      <c r="AK12" s="3" t="str">
        <f aca="false">IF(COUNTIF(raw_data!$A$2:$A$913,A12)&gt;1,"Conflicting Duplicate - Flagged for Review","Unique")</f>
        <v>Unique</v>
      </c>
      <c r="AL12" s="3" t="str">
        <f aca="false">IF(AB12="Refunded","Yes","No")</f>
        <v>Yes</v>
      </c>
      <c r="AM12" s="3" t="str">
        <f aca="false">IF(OR(AC12&lt;&gt;"Completed",AB12="Failed"),"Excluded","Included")</f>
        <v>Excluded</v>
      </c>
      <c r="AN12" s="3" t="str">
        <f aca="false">IF(OR(D12="Invalid/Unrecognized",E12="Invalid/Unrecognized",G12="Invalid - Ship Before Order",X12="Negative - Invalid",X12="Above Allowed Range - Invalid",AG12="Mismatch",AH12="Mismatch",AK12="Conflicting Duplicate - Flagged for Review"),"Invalid",IF(OR(L12="Filled - Unknown",S12="Filled - Unknown",X12="Missing - Defaulted to 0",AL12="Yes",AC12="Cancelled",AC12="Returned"),"Warning","Clean"))</f>
        <v>Warning</v>
      </c>
    </row>
    <row r="13" customFormat="false" ht="15" hidden="false" customHeight="false" outlineLevel="0" collapsed="false">
      <c r="A13" s="3" t="str">
        <f aca="false">raw_data!A13</f>
        <v>ORD-2024-10012</v>
      </c>
      <c r="B13" s="4" t="n">
        <f aca="false">IFERROR(IF(MID(raw_data!B13,3,1)="/",DATE(VALUE(RIGHT(raw_data!B13,4)),VALUE(LEFT(raw_data!B13,2)),VALUE(MID(raw_data!B13,4,2))),IF(MID(raw_data!B13,3,1)="-",DATE(VALUE(RIGHT(raw_data!B13,4)),VALUE(MID(raw_data!B13,4,2)),VALUE(LEFT(raw_data!B13,2))),IF(MID(raw_data!B13,5,1)="-",DATE(VALUE(LEFT(raw_data!B13,4)),VALUE(MID(raw_data!B13,6,2)),VALUE(RIGHT(raw_data!B13,2))),DATE(VALUE(RIGHT(raw_data!B13,4)),MATCH(MID(raw_data!B13,4,3),{"Jan","Feb","Mar","Apr","May","Jun","Jul","Aug","Sep","Oct","Nov","Dec"},0),VALUE(LEFT(raw_data!B13,2)))))),"")</f>
        <v>45495</v>
      </c>
      <c r="C13" s="4" t="n">
        <f aca="false">IFERROR(IF(MID(raw_data!C13,3,1)="/",DATE(VALUE(RIGHT(raw_data!C13,4)),VALUE(LEFT(raw_data!C13,2)),VALUE(MID(raw_data!C13,4,2))),IF(MID(raw_data!C13,3,1)="-",DATE(VALUE(RIGHT(raw_data!C13,4)),VALUE(MID(raw_data!C13,4,2)),VALUE(LEFT(raw_data!C13,2))),IF(MID(raw_data!C13,5,1)="-",DATE(VALUE(LEFT(raw_data!C13,4)),VALUE(MID(raw_data!C13,6,2)),VALUE(RIGHT(raw_data!C13,2))),DATE(VALUE(RIGHT(raw_data!C13,4)),MATCH(MID(raw_data!C13,4,3),{"Jan","Feb","Mar","Apr","May","Jun","Jul","Aug","Sep","Oct","Nov","Dec"},0),VALUE(LEFT(raw_data!C13,2)))))),"")</f>
        <v>45496</v>
      </c>
      <c r="D13" s="3" t="str">
        <f aca="false">IF(TRIM(raw_data!B13)="","Missing",IF(B13="","Invalid/Unrecognized","Valid"))</f>
        <v>Valid</v>
      </c>
      <c r="E13" s="3" t="str">
        <f aca="false">IF(TRIM(raw_data!C13)="","Missing",IF(C13="","Invalid/Unrecognized","Valid"))</f>
        <v>Valid</v>
      </c>
      <c r="F13" s="5" t="n">
        <f aca="false">IF(OR(B13="",C13=""),"",C13-B13)</f>
        <v>1</v>
      </c>
      <c r="G13" s="3" t="str">
        <f aca="false">IF(F13="","N/A",IF(F13&lt;0,"Invalid - Ship Before Order","OK"))</f>
        <v>OK</v>
      </c>
      <c r="H13" s="3" t="str">
        <f aca="false">raw_data!D13</f>
        <v>CUST-6528</v>
      </c>
      <c r="I13" s="3" t="str">
        <f aca="false">PROPER(TRIM(raw_data!E13))</f>
        <v>Vikram Iyer</v>
      </c>
      <c r="J13" s="3" t="str">
        <f aca="false">PROPER(TRIM(raw_data!F13))</f>
        <v>Small Business</v>
      </c>
      <c r="K13" s="3" t="str">
        <f aca="false">IF(TRIM(raw_data!G13)="","Unknown",PROPER(TRIM(raw_data!G13)))</f>
        <v>East</v>
      </c>
      <c r="L13" s="3" t="str">
        <f aca="false">IF(TRIM(raw_data!G13)="","Filled - Unknown","OK")</f>
        <v>OK</v>
      </c>
      <c r="M13" s="3" t="str">
        <f aca="false">PROPER(TRIM(raw_data!H13))</f>
        <v>Odisha</v>
      </c>
      <c r="N13" s="3" t="str">
        <f aca="false">PROPER(TRIM(raw_data!I13))</f>
        <v>Bhubaneswar</v>
      </c>
      <c r="O13" s="3" t="str">
        <f aca="false">PROPER(TRIM(raw_data!J13))</f>
        <v>Technology</v>
      </c>
      <c r="P13" s="3" t="str">
        <f aca="false">PROPER(TRIM(raw_data!K13))</f>
        <v>Accessories</v>
      </c>
      <c r="Q13" s="3" t="str">
        <f aca="false">TRIM(raw_data!L13)</f>
        <v>Smart Accessories 603</v>
      </c>
      <c r="R13" s="3" t="str">
        <f aca="false">IF(TRIM(raw_data!M13)="","Unknown",PROPER(TRIM(raw_data!M13)))</f>
        <v>Same Day</v>
      </c>
      <c r="S13" s="3" t="str">
        <f aca="false">IF(TRIM(raw_data!M13)="","Filled - Unknown","OK")</f>
        <v>OK</v>
      </c>
      <c r="T13" s="6" t="n">
        <f aca="false">raw_data!N13</f>
        <v>6</v>
      </c>
      <c r="U13" s="7" t="n">
        <f aca="false">raw_data!O13</f>
        <v>2005.95</v>
      </c>
      <c r="V13" s="8" t="n">
        <f aca="false">raw_data!P13</f>
        <v>0.2</v>
      </c>
      <c r="W13" s="8" t="n">
        <f aca="false">IF(raw_data!P13="",0,IF(ISTEXT(raw_data!P13),IF(RIGHT(raw_data!P13,1)="%",VALUE(LEFT(raw_data!P13,LEN(raw_data!P13)-1))/100,VALUE(raw_data!P13)),raw_data!P13))</f>
        <v>0.2</v>
      </c>
      <c r="X13" s="3" t="str">
        <f aca="false">IF(raw_data!P13="","Missing - Defaulted to 0",IF(W13&lt;0,"Negative - Invalid",IF(W13&gt;0.3,"Above Allowed Range - Invalid","Valid")))</f>
        <v>Valid</v>
      </c>
      <c r="Y13" s="7" t="n">
        <f aca="false">raw_data!Q13</f>
        <v>9628.56</v>
      </c>
      <c r="Z13" s="7" t="n">
        <f aca="false">raw_data!R13</f>
        <v>8038.59</v>
      </c>
      <c r="AA13" s="7" t="n">
        <f aca="false">raw_data!S13</f>
        <v>1589.97</v>
      </c>
      <c r="AB13" s="3" t="str">
        <f aca="false">PROPER(TRIM(raw_data!T13))</f>
        <v>Paid</v>
      </c>
      <c r="AC13" s="3" t="str">
        <f aca="false">PROPER(TRIM(raw_data!U13))</f>
        <v>Completed</v>
      </c>
      <c r="AD13" s="7" t="n">
        <f aca="false">T13*U13*(1-W13)</f>
        <v>9628.56</v>
      </c>
      <c r="AE13" s="7" t="n">
        <f aca="false">AD13-Z13</f>
        <v>1589.97</v>
      </c>
      <c r="AF13" s="8" t="n">
        <f aca="false">IF(AD13=0,0,AE13/AD13)</f>
        <v>0.165130611430993</v>
      </c>
      <c r="AG13" s="3" t="str">
        <f aca="false">IF(ABS(Y13-AD13)&gt;1,"Mismatch","OK")</f>
        <v>OK</v>
      </c>
      <c r="AH13" s="3" t="str">
        <f aca="false">IF(ABS(AA13-AE13)&gt;1,"Mismatch","OK")</f>
        <v>OK</v>
      </c>
      <c r="AI13" s="6" t="n">
        <f aca="false">IF(B13="","",MONTH(B13))</f>
        <v>7</v>
      </c>
      <c r="AJ13" s="6" t="n">
        <f aca="false">IF(B13="","",YEAR(B13))</f>
        <v>2024</v>
      </c>
      <c r="AK13" s="3" t="str">
        <f aca="false">IF(COUNTIF(raw_data!$A$2:$A$913,A13)&gt;1,"Conflicting Duplicate - Flagged for Review","Unique")</f>
        <v>Unique</v>
      </c>
      <c r="AL13" s="3" t="str">
        <f aca="false">IF(AB13="Refunded","Yes","No")</f>
        <v>No</v>
      </c>
      <c r="AM13" s="3" t="str">
        <f aca="false">IF(OR(AC13&lt;&gt;"Completed",AB13="Failed"),"Excluded","Included")</f>
        <v>Included</v>
      </c>
      <c r="AN13" s="3" t="str">
        <f aca="false">IF(OR(D13="Invalid/Unrecognized",E13="Invalid/Unrecognized",G13="Invalid - Ship Before Order",X13="Negative - Invalid",X13="Above Allowed Range - Invalid",AG13="Mismatch",AH13="Mismatch",AK13="Conflicting Duplicate - Flagged for Review"),"Invalid",IF(OR(L13="Filled - Unknown",S13="Filled - Unknown",X13="Missing - Defaulted to 0",AL13="Yes",AC13="Cancelled",AC13="Returned"),"Warning","Clean"))</f>
        <v>Clean</v>
      </c>
    </row>
    <row r="14" customFormat="false" ht="15" hidden="false" customHeight="false" outlineLevel="0" collapsed="false">
      <c r="A14" s="3" t="str">
        <f aca="false">raw_data!A14</f>
        <v>ORD-2024-10013</v>
      </c>
      <c r="B14" s="4" t="n">
        <f aca="false">IFERROR(IF(MID(raw_data!B14,3,1)="/",DATE(VALUE(RIGHT(raw_data!B14,4)),VALUE(LEFT(raw_data!B14,2)),VALUE(MID(raw_data!B14,4,2))),IF(MID(raw_data!B14,3,1)="-",DATE(VALUE(RIGHT(raw_data!B14,4)),VALUE(MID(raw_data!B14,4,2)),VALUE(LEFT(raw_data!B14,2))),IF(MID(raw_data!B14,5,1)="-",DATE(VALUE(LEFT(raw_data!B14,4)),VALUE(MID(raw_data!B14,6,2)),VALUE(RIGHT(raw_data!B14,2))),DATE(VALUE(RIGHT(raw_data!B14,4)),MATCH(MID(raw_data!B14,4,3),{"Jan","Feb","Mar","Apr","May","Jun","Jul","Aug","Sep","Oct","Nov","Dec"},0),VALUE(LEFT(raw_data!B14,2)))))),"")</f>
        <v>45646</v>
      </c>
      <c r="C14" s="4" t="n">
        <f aca="false">IFERROR(IF(MID(raw_data!C14,3,1)="/",DATE(VALUE(RIGHT(raw_data!C14,4)),VALUE(LEFT(raw_data!C14,2)),VALUE(MID(raw_data!C14,4,2))),IF(MID(raw_data!C14,3,1)="-",DATE(VALUE(RIGHT(raw_data!C14,4)),VALUE(MID(raw_data!C14,4,2)),VALUE(LEFT(raw_data!C14,2))),IF(MID(raw_data!C14,5,1)="-",DATE(VALUE(LEFT(raw_data!C14,4)),VALUE(MID(raw_data!C14,6,2)),VALUE(RIGHT(raw_data!C14,2))),DATE(VALUE(RIGHT(raw_data!C14,4)),MATCH(MID(raw_data!C14,4,3),{"Jan","Feb","Mar","Apr","May","Jun","Jul","Aug","Sep","Oct","Nov","Dec"},0),VALUE(LEFT(raw_data!C14,2)))))),"")</f>
        <v>45647</v>
      </c>
      <c r="D14" s="3" t="str">
        <f aca="false">IF(TRIM(raw_data!B14)="","Missing",IF(B14="","Invalid/Unrecognized","Valid"))</f>
        <v>Valid</v>
      </c>
      <c r="E14" s="3" t="str">
        <f aca="false">IF(TRIM(raw_data!C14)="","Missing",IF(C14="","Invalid/Unrecognized","Valid"))</f>
        <v>Valid</v>
      </c>
      <c r="F14" s="5" t="n">
        <f aca="false">IF(OR(B14="",C14=""),"",C14-B14)</f>
        <v>1</v>
      </c>
      <c r="G14" s="3" t="str">
        <f aca="false">IF(F14="","N/A",IF(F14&lt;0,"Invalid - Ship Before Order","OK"))</f>
        <v>OK</v>
      </c>
      <c r="H14" s="3" t="str">
        <f aca="false">raw_data!D14</f>
        <v>CUST-2648</v>
      </c>
      <c r="I14" s="3" t="str">
        <f aca="false">PROPER(TRIM(raw_data!E14))</f>
        <v>Ananya Rao</v>
      </c>
      <c r="J14" s="3" t="str">
        <f aca="false">PROPER(TRIM(raw_data!F14))</f>
        <v>Corporate</v>
      </c>
      <c r="K14" s="3" t="str">
        <f aca="false">IF(TRIM(raw_data!G14)="","Unknown",PROPER(TRIM(raw_data!G14)))</f>
        <v>West</v>
      </c>
      <c r="L14" s="3" t="str">
        <f aca="false">IF(TRIM(raw_data!G14)="","Filled - Unknown","OK")</f>
        <v>OK</v>
      </c>
      <c r="M14" s="3" t="str">
        <f aca="false">PROPER(TRIM(raw_data!H14))</f>
        <v>Rajasthan</v>
      </c>
      <c r="N14" s="3" t="str">
        <f aca="false">PROPER(TRIM(raw_data!I14))</f>
        <v>Udaipur</v>
      </c>
      <c r="O14" s="3" t="str">
        <f aca="false">PROPER(TRIM(raw_data!J14))</f>
        <v>Office Supplies</v>
      </c>
      <c r="P14" s="3" t="str">
        <f aca="false">PROPER(TRIM(raw_data!K14))</f>
        <v>Paper</v>
      </c>
      <c r="Q14" s="3" t="str">
        <f aca="false">TRIM(raw_data!L14)</f>
        <v>Pro Paper 481</v>
      </c>
      <c r="R14" s="3" t="str">
        <f aca="false">IF(TRIM(raw_data!M14)="","Unknown",PROPER(TRIM(raw_data!M14)))</f>
        <v>First Class</v>
      </c>
      <c r="S14" s="3" t="str">
        <f aca="false">IF(TRIM(raw_data!M14)="","Filled - Unknown","OK")</f>
        <v>OK</v>
      </c>
      <c r="T14" s="6" t="n">
        <f aca="false">raw_data!N14</f>
        <v>1</v>
      </c>
      <c r="U14" s="7" t="n">
        <f aca="false">raw_data!O14</f>
        <v>702.14</v>
      </c>
      <c r="V14" s="8" t="n">
        <f aca="false">raw_data!P14</f>
        <v>0.15</v>
      </c>
      <c r="W14" s="8" t="n">
        <f aca="false">IF(raw_data!P14="",0,IF(ISTEXT(raw_data!P14),IF(RIGHT(raw_data!P14,1)="%",VALUE(LEFT(raw_data!P14,LEN(raw_data!P14)-1))/100,VALUE(raw_data!P14)),raw_data!P14))</f>
        <v>0.15</v>
      </c>
      <c r="X14" s="3" t="str">
        <f aca="false">IF(raw_data!P14="","Missing - Defaulted to 0",IF(W14&lt;0,"Negative - Invalid",IF(W14&gt;0.3,"Above Allowed Range - Invalid","Valid")))</f>
        <v>Valid</v>
      </c>
      <c r="Y14" s="7" t="n">
        <f aca="false">raw_data!Q14</f>
        <v>596.82</v>
      </c>
      <c r="Z14" s="7" t="n">
        <f aca="false">raw_data!R14</f>
        <v>380.25</v>
      </c>
      <c r="AA14" s="7" t="n">
        <f aca="false">raw_data!S14</f>
        <v>216.57</v>
      </c>
      <c r="AB14" s="3" t="str">
        <f aca="false">PROPER(TRIM(raw_data!T14))</f>
        <v>Pending</v>
      </c>
      <c r="AC14" s="3" t="str">
        <f aca="false">PROPER(TRIM(raw_data!U14))</f>
        <v>Returned</v>
      </c>
      <c r="AD14" s="7" t="n">
        <f aca="false">T14*U14*(1-W14)</f>
        <v>596.819</v>
      </c>
      <c r="AE14" s="7" t="n">
        <f aca="false">AD14-Z14</f>
        <v>216.569</v>
      </c>
      <c r="AF14" s="8" t="n">
        <f aca="false">IF(AD14=0,0,AE14/AD14)</f>
        <v>0.362872160571295</v>
      </c>
      <c r="AG14" s="3" t="str">
        <f aca="false">IF(ABS(Y14-AD14)&gt;1,"Mismatch","OK")</f>
        <v>OK</v>
      </c>
      <c r="AH14" s="3" t="str">
        <f aca="false">IF(ABS(AA14-AE14)&gt;1,"Mismatch","OK")</f>
        <v>OK</v>
      </c>
      <c r="AI14" s="6" t="n">
        <f aca="false">IF(B14="","",MONTH(B14))</f>
        <v>12</v>
      </c>
      <c r="AJ14" s="6" t="n">
        <f aca="false">IF(B14="","",YEAR(B14))</f>
        <v>2024</v>
      </c>
      <c r="AK14" s="3" t="str">
        <f aca="false">IF(COUNTIF(raw_data!$A$2:$A$913,A14)&gt;1,"Conflicting Duplicate - Flagged for Review","Unique")</f>
        <v>Unique</v>
      </c>
      <c r="AL14" s="3" t="str">
        <f aca="false">IF(AB14="Refunded","Yes","No")</f>
        <v>No</v>
      </c>
      <c r="AM14" s="3" t="str">
        <f aca="false">IF(OR(AC14&lt;&gt;"Completed",AB14="Failed"),"Excluded","Included")</f>
        <v>Excluded</v>
      </c>
      <c r="AN14" s="3" t="str">
        <f aca="false">IF(OR(D14="Invalid/Unrecognized",E14="Invalid/Unrecognized",G14="Invalid - Ship Before Order",X14="Negative - Invalid",X14="Above Allowed Range - Invalid",AG14="Mismatch",AH14="Mismatch",AK14="Conflicting Duplicate - Flagged for Review"),"Invalid",IF(OR(L14="Filled - Unknown",S14="Filled - Unknown",X14="Missing - Defaulted to 0",AL14="Yes",AC14="Cancelled",AC14="Returned"),"Warning","Clean"))</f>
        <v>Warning</v>
      </c>
    </row>
    <row r="15" customFormat="false" ht="15" hidden="false" customHeight="false" outlineLevel="0" collapsed="false">
      <c r="A15" s="3" t="str">
        <f aca="false">raw_data!A15</f>
        <v>ORD-2025-10014</v>
      </c>
      <c r="B15" s="4" t="n">
        <f aca="false">IFERROR(IF(MID(raw_data!B15,3,1)="/",DATE(VALUE(RIGHT(raw_data!B15,4)),VALUE(LEFT(raw_data!B15,2)),VALUE(MID(raw_data!B15,4,2))),IF(MID(raw_data!B15,3,1)="-",DATE(VALUE(RIGHT(raw_data!B15,4)),VALUE(MID(raw_data!B15,4,2)),VALUE(LEFT(raw_data!B15,2))),IF(MID(raw_data!B15,5,1)="-",DATE(VALUE(LEFT(raw_data!B15,4)),VALUE(MID(raw_data!B15,6,2)),VALUE(RIGHT(raw_data!B15,2))),DATE(VALUE(RIGHT(raw_data!B15,4)),MATCH(MID(raw_data!B15,4,3),{"Jan","Feb","Mar","Apr","May","Jun","Jul","Aug","Sep","Oct","Nov","Dec"},0),VALUE(LEFT(raw_data!B15,2)))))),"")</f>
        <v>45942</v>
      </c>
      <c r="C15" s="4" t="n">
        <f aca="false">IFERROR(IF(MID(raw_data!C15,3,1)="/",DATE(VALUE(RIGHT(raw_data!C15,4)),VALUE(LEFT(raw_data!C15,2)),VALUE(MID(raw_data!C15,4,2))),IF(MID(raw_data!C15,3,1)="-",DATE(VALUE(RIGHT(raw_data!C15,4)),VALUE(MID(raw_data!C15,4,2)),VALUE(LEFT(raw_data!C15,2))),IF(MID(raw_data!C15,5,1)="-",DATE(VALUE(LEFT(raw_data!C15,4)),VALUE(MID(raw_data!C15,6,2)),VALUE(RIGHT(raw_data!C15,2))),DATE(VALUE(RIGHT(raw_data!C15,4)),MATCH(MID(raw_data!C15,4,3),{"Jan","Feb","Mar","Apr","May","Jun","Jul","Aug","Sep","Oct","Nov","Dec"},0),VALUE(LEFT(raw_data!C15,2)))))),"")</f>
        <v>45946</v>
      </c>
      <c r="D15" s="3" t="str">
        <f aca="false">IF(TRIM(raw_data!B15)="","Missing",IF(B15="","Invalid/Unrecognized","Valid"))</f>
        <v>Valid</v>
      </c>
      <c r="E15" s="3" t="str">
        <f aca="false">IF(TRIM(raw_data!C15)="","Missing",IF(C15="","Invalid/Unrecognized","Valid"))</f>
        <v>Valid</v>
      </c>
      <c r="F15" s="5" t="n">
        <f aca="false">IF(OR(B15="",C15=""),"",C15-B15)</f>
        <v>4</v>
      </c>
      <c r="G15" s="3" t="str">
        <f aca="false">IF(F15="","N/A",IF(F15&lt;0,"Invalid - Ship Before Order","OK"))</f>
        <v>OK</v>
      </c>
      <c r="H15" s="3" t="str">
        <f aca="false">raw_data!D15</f>
        <v>CUST-7482</v>
      </c>
      <c r="I15" s="3" t="str">
        <f aca="false">PROPER(TRIM(raw_data!E15))</f>
        <v>Priya Menon</v>
      </c>
      <c r="J15" s="3" t="str">
        <f aca="false">PROPER(TRIM(raw_data!F15))</f>
        <v>Small Business</v>
      </c>
      <c r="K15" s="3" t="str">
        <f aca="false">IF(TRIM(raw_data!G15)="","Unknown",PROPER(TRIM(raw_data!G15)))</f>
        <v>West</v>
      </c>
      <c r="L15" s="3" t="str">
        <f aca="false">IF(TRIM(raw_data!G15)="","Filled - Unknown","OK")</f>
        <v>OK</v>
      </c>
      <c r="M15" s="3" t="str">
        <f aca="false">PROPER(TRIM(raw_data!H15))</f>
        <v>Maharashtra</v>
      </c>
      <c r="N15" s="3" t="str">
        <f aca="false">PROPER(TRIM(raw_data!I15))</f>
        <v>Mumbai</v>
      </c>
      <c r="O15" s="3" t="str">
        <f aca="false">PROPER(TRIM(raw_data!J15))</f>
        <v>Office Supplies</v>
      </c>
      <c r="P15" s="3" t="str">
        <f aca="false">PROPER(TRIM(raw_data!K15))</f>
        <v>Art</v>
      </c>
      <c r="Q15" s="3" t="str">
        <f aca="false">TRIM(raw_data!L15)</f>
        <v>Smart Art 795</v>
      </c>
      <c r="R15" s="3" t="str">
        <f aca="false">IF(TRIM(raw_data!M15)="","Unknown",PROPER(TRIM(raw_data!M15)))</f>
        <v>Second Class</v>
      </c>
      <c r="S15" s="3" t="str">
        <f aca="false">IF(TRIM(raw_data!M15)="","Filled - Unknown","OK")</f>
        <v>OK</v>
      </c>
      <c r="T15" s="6" t="n">
        <f aca="false">raw_data!N15</f>
        <v>7</v>
      </c>
      <c r="U15" s="7" t="n">
        <f aca="false">raw_data!O15</f>
        <v>3964.72</v>
      </c>
      <c r="V15" s="8" t="n">
        <f aca="false">raw_data!P15</f>
        <v>0.05</v>
      </c>
      <c r="W15" s="8" t="n">
        <f aca="false">IF(raw_data!P15="",0,IF(ISTEXT(raw_data!P15),IF(RIGHT(raw_data!P15,1)="%",VALUE(LEFT(raw_data!P15,LEN(raw_data!P15)-1))/100,VALUE(raw_data!P15)),raw_data!P15))</f>
        <v>0.05</v>
      </c>
      <c r="X15" s="3" t="str">
        <f aca="false">IF(raw_data!P15="","Missing - Defaulted to 0",IF(W15&lt;0,"Negative - Invalid",IF(W15&gt;0.3,"Above Allowed Range - Invalid","Valid")))</f>
        <v>Valid</v>
      </c>
      <c r="Y15" s="7" t="n">
        <f aca="false">raw_data!Q15</f>
        <v>26365.39</v>
      </c>
      <c r="Z15" s="7" t="n">
        <f aca="false">raw_data!R15</f>
        <v>22306.24</v>
      </c>
      <c r="AA15" s="7" t="n">
        <f aca="false">raw_data!S15</f>
        <v>4059.15</v>
      </c>
      <c r="AB15" s="3" t="str">
        <f aca="false">PROPER(TRIM(raw_data!T15))</f>
        <v>Paid</v>
      </c>
      <c r="AC15" s="3" t="str">
        <f aca="false">PROPER(TRIM(raw_data!U15))</f>
        <v>Completed</v>
      </c>
      <c r="AD15" s="7" t="n">
        <f aca="false">T15*U15*(1-W15)</f>
        <v>26365.388</v>
      </c>
      <c r="AE15" s="7" t="n">
        <f aca="false">AD15-Z15</f>
        <v>4059.14799999999</v>
      </c>
      <c r="AF15" s="8" t="n">
        <f aca="false">IF(AD15=0,0,AE15/AD15)</f>
        <v>0.153957453613047</v>
      </c>
      <c r="AG15" s="3" t="str">
        <f aca="false">IF(ABS(Y15-AD15)&gt;1,"Mismatch","OK")</f>
        <v>OK</v>
      </c>
      <c r="AH15" s="3" t="str">
        <f aca="false">IF(ABS(AA15-AE15)&gt;1,"Mismatch","OK")</f>
        <v>OK</v>
      </c>
      <c r="AI15" s="6" t="n">
        <f aca="false">IF(B15="","",MONTH(B15))</f>
        <v>10</v>
      </c>
      <c r="AJ15" s="6" t="n">
        <f aca="false">IF(B15="","",YEAR(B15))</f>
        <v>2025</v>
      </c>
      <c r="AK15" s="3" t="str">
        <f aca="false">IF(COUNTIF(raw_data!$A$2:$A$913,A15)&gt;1,"Conflicting Duplicate - Flagged for Review","Unique")</f>
        <v>Unique</v>
      </c>
      <c r="AL15" s="3" t="str">
        <f aca="false">IF(AB15="Refunded","Yes","No")</f>
        <v>No</v>
      </c>
      <c r="AM15" s="3" t="str">
        <f aca="false">IF(OR(AC15&lt;&gt;"Completed",AB15="Failed"),"Excluded","Included")</f>
        <v>Included</v>
      </c>
      <c r="AN15" s="3" t="str">
        <f aca="false">IF(OR(D15="Invalid/Unrecognized",E15="Invalid/Unrecognized",G15="Invalid - Ship Before Order",X15="Negative - Invalid",X15="Above Allowed Range - Invalid",AG15="Mismatch",AH15="Mismatch",AK15="Conflicting Duplicate - Flagged for Review"),"Invalid",IF(OR(L15="Filled - Unknown",S15="Filled - Unknown",X15="Missing - Defaulted to 0",AL15="Yes",AC15="Cancelled",AC15="Returned"),"Warning","Clean"))</f>
        <v>Clean</v>
      </c>
    </row>
    <row r="16" customFormat="false" ht="15" hidden="false" customHeight="false" outlineLevel="0" collapsed="false">
      <c r="A16" s="3" t="str">
        <f aca="false">raw_data!A16</f>
        <v>ORD-2024-10015</v>
      </c>
      <c r="B16" s="4" t="n">
        <f aca="false">IFERROR(IF(MID(raw_data!B16,3,1)="/",DATE(VALUE(RIGHT(raw_data!B16,4)),VALUE(LEFT(raw_data!B16,2)),VALUE(MID(raw_data!B16,4,2))),IF(MID(raw_data!B16,3,1)="-",DATE(VALUE(RIGHT(raw_data!B16,4)),VALUE(MID(raw_data!B16,4,2)),VALUE(LEFT(raw_data!B16,2))),IF(MID(raw_data!B16,5,1)="-",DATE(VALUE(LEFT(raw_data!B16,4)),VALUE(MID(raw_data!B16,6,2)),VALUE(RIGHT(raw_data!B16,2))),DATE(VALUE(RIGHT(raw_data!B16,4)),MATCH(MID(raw_data!B16,4,3),{"Jan","Feb","Mar","Apr","May","Jun","Jul","Aug","Sep","Oct","Nov","Dec"},0),VALUE(LEFT(raw_data!B16,2)))))),"")</f>
        <v>45653</v>
      </c>
      <c r="C16" s="4" t="n">
        <f aca="false">IFERROR(IF(MID(raw_data!C16,3,1)="/",DATE(VALUE(RIGHT(raw_data!C16,4)),VALUE(LEFT(raw_data!C16,2)),VALUE(MID(raw_data!C16,4,2))),IF(MID(raw_data!C16,3,1)="-",DATE(VALUE(RIGHT(raw_data!C16,4)),VALUE(MID(raw_data!C16,4,2)),VALUE(LEFT(raw_data!C16,2))),IF(MID(raw_data!C16,5,1)="-",DATE(VALUE(LEFT(raw_data!C16,4)),VALUE(MID(raw_data!C16,6,2)),VALUE(RIGHT(raw_data!C16,2))),DATE(VALUE(RIGHT(raw_data!C16,4)),MATCH(MID(raw_data!C16,4,3),{"Jan","Feb","Mar","Apr","May","Jun","Jul","Aug","Sep","Oct","Nov","Dec"},0),VALUE(LEFT(raw_data!C16,2)))))),"")</f>
        <v>45654</v>
      </c>
      <c r="D16" s="3" t="str">
        <f aca="false">IF(TRIM(raw_data!B16)="","Missing",IF(B16="","Invalid/Unrecognized","Valid"))</f>
        <v>Valid</v>
      </c>
      <c r="E16" s="3" t="str">
        <f aca="false">IF(TRIM(raw_data!C16)="","Missing",IF(C16="","Invalid/Unrecognized","Valid"))</f>
        <v>Valid</v>
      </c>
      <c r="F16" s="5" t="n">
        <f aca="false">IF(OR(B16="",C16=""),"",C16-B16)</f>
        <v>1</v>
      </c>
      <c r="G16" s="3" t="str">
        <f aca="false">IF(F16="","N/A",IF(F16&lt;0,"Invalid - Ship Before Order","OK"))</f>
        <v>OK</v>
      </c>
      <c r="H16" s="3" t="str">
        <f aca="false">raw_data!D16</f>
        <v>CUST-4912</v>
      </c>
      <c r="I16" s="3" t="str">
        <f aca="false">PROPER(TRIM(raw_data!E16))</f>
        <v>Rahul Verma</v>
      </c>
      <c r="J16" s="3" t="str">
        <f aca="false">PROPER(TRIM(raw_data!F16))</f>
        <v>Consumer</v>
      </c>
      <c r="K16" s="3" t="str">
        <f aca="false">IF(TRIM(raw_data!G16)="","Unknown",PROPER(TRIM(raw_data!G16)))</f>
        <v>West</v>
      </c>
      <c r="L16" s="3" t="str">
        <f aca="false">IF(TRIM(raw_data!G16)="","Filled - Unknown","OK")</f>
        <v>OK</v>
      </c>
      <c r="M16" s="3" t="str">
        <f aca="false">PROPER(TRIM(raw_data!H16))</f>
        <v>Rajasthan</v>
      </c>
      <c r="N16" s="3" t="str">
        <f aca="false">PROPER(TRIM(raw_data!I16))</f>
        <v>Udaipur</v>
      </c>
      <c r="O16" s="3" t="str">
        <f aca="false">PROPER(TRIM(raw_data!J16))</f>
        <v>Technology</v>
      </c>
      <c r="P16" s="3" t="str">
        <f aca="false">PROPER(TRIM(raw_data!K16))</f>
        <v>Copiers</v>
      </c>
      <c r="Q16" s="3" t="str">
        <f aca="false">TRIM(raw_data!L16)</f>
        <v>Max Copiers 983</v>
      </c>
      <c r="R16" s="3" t="str">
        <f aca="false">IF(TRIM(raw_data!M16)="","Unknown",PROPER(TRIM(raw_data!M16)))</f>
        <v>Standard Class</v>
      </c>
      <c r="S16" s="3" t="str">
        <f aca="false">IF(TRIM(raw_data!M16)="","Filled - Unknown","OK")</f>
        <v>OK</v>
      </c>
      <c r="T16" s="6" t="n">
        <f aca="false">raw_data!N16</f>
        <v>2</v>
      </c>
      <c r="U16" s="7" t="n">
        <f aca="false">raw_data!O16</f>
        <v>2737.83</v>
      </c>
      <c r="V16" s="8" t="n">
        <f aca="false">raw_data!P16</f>
        <v>0.25</v>
      </c>
      <c r="W16" s="8" t="n">
        <f aca="false">IF(raw_data!P16="",0,IF(ISTEXT(raw_data!P16),IF(RIGHT(raw_data!P16,1)="%",VALUE(LEFT(raw_data!P16,LEN(raw_data!P16)-1))/100,VALUE(raw_data!P16)),raw_data!P16))</f>
        <v>0.25</v>
      </c>
      <c r="X16" s="3" t="str">
        <f aca="false">IF(raw_data!P16="","Missing - Defaulted to 0",IF(W16&lt;0,"Negative - Invalid",IF(W16&gt;0.3,"Above Allowed Range - Invalid","Valid")))</f>
        <v>Valid</v>
      </c>
      <c r="Y16" s="7" t="n">
        <f aca="false">raw_data!Q16</f>
        <v>4106.74</v>
      </c>
      <c r="Z16" s="7" t="n">
        <f aca="false">raw_data!R16</f>
        <v>2666.3</v>
      </c>
      <c r="AA16" s="7" t="n">
        <f aca="false">raw_data!S16</f>
        <v>1440.44</v>
      </c>
      <c r="AB16" s="3" t="str">
        <f aca="false">PROPER(TRIM(raw_data!T16))</f>
        <v>Paid</v>
      </c>
      <c r="AC16" s="3" t="str">
        <f aca="false">PROPER(TRIM(raw_data!U16))</f>
        <v>Completed</v>
      </c>
      <c r="AD16" s="7" t="n">
        <f aca="false">T16*U16*(1-W16)</f>
        <v>4106.745</v>
      </c>
      <c r="AE16" s="7" t="n">
        <f aca="false">AD16-Z16</f>
        <v>1440.445</v>
      </c>
      <c r="AF16" s="8" t="n">
        <f aca="false">IF(AD16=0,0,AE16/AD16)</f>
        <v>0.350751020577124</v>
      </c>
      <c r="AG16" s="3" t="str">
        <f aca="false">IF(ABS(Y16-AD16)&gt;1,"Mismatch","OK")</f>
        <v>OK</v>
      </c>
      <c r="AH16" s="3" t="str">
        <f aca="false">IF(ABS(AA16-AE16)&gt;1,"Mismatch","OK")</f>
        <v>OK</v>
      </c>
      <c r="AI16" s="6" t="n">
        <f aca="false">IF(B16="","",MONTH(B16))</f>
        <v>12</v>
      </c>
      <c r="AJ16" s="6" t="n">
        <f aca="false">IF(B16="","",YEAR(B16))</f>
        <v>2024</v>
      </c>
      <c r="AK16" s="3" t="str">
        <f aca="false">IF(COUNTIF(raw_data!$A$2:$A$913,A16)&gt;1,"Conflicting Duplicate - Flagged for Review","Unique")</f>
        <v>Unique</v>
      </c>
      <c r="AL16" s="3" t="str">
        <f aca="false">IF(AB16="Refunded","Yes","No")</f>
        <v>No</v>
      </c>
      <c r="AM16" s="3" t="str">
        <f aca="false">IF(OR(AC16&lt;&gt;"Completed",AB16="Failed"),"Excluded","Included")</f>
        <v>Included</v>
      </c>
      <c r="AN16" s="3" t="str">
        <f aca="false">IF(OR(D16="Invalid/Unrecognized",E16="Invalid/Unrecognized",G16="Invalid - Ship Before Order",X16="Negative - Invalid",X16="Above Allowed Range - Invalid",AG16="Mismatch",AH16="Mismatch",AK16="Conflicting Duplicate - Flagged for Review"),"Invalid",IF(OR(L16="Filled - Unknown",S16="Filled - Unknown",X16="Missing - Defaulted to 0",AL16="Yes",AC16="Cancelled",AC16="Returned"),"Warning","Clean"))</f>
        <v>Clean</v>
      </c>
    </row>
    <row r="17" customFormat="false" ht="15" hidden="false" customHeight="false" outlineLevel="0" collapsed="false">
      <c r="A17" s="3" t="str">
        <f aca="false">raw_data!A17</f>
        <v>ORD-2024-10016</v>
      </c>
      <c r="B17" s="4" t="n">
        <f aca="false">IFERROR(IF(MID(raw_data!B17,3,1)="/",DATE(VALUE(RIGHT(raw_data!B17,4)),VALUE(LEFT(raw_data!B17,2)),VALUE(MID(raw_data!B17,4,2))),IF(MID(raw_data!B17,3,1)="-",DATE(VALUE(RIGHT(raw_data!B17,4)),VALUE(MID(raw_data!B17,4,2)),VALUE(LEFT(raw_data!B17,2))),IF(MID(raw_data!B17,5,1)="-",DATE(VALUE(LEFT(raw_data!B17,4)),VALUE(MID(raw_data!B17,6,2)),VALUE(RIGHT(raw_data!B17,2))),DATE(VALUE(RIGHT(raw_data!B17,4)),MATCH(MID(raw_data!B17,4,3),{"Jan","Feb","Mar","Apr","May","Jun","Jul","Aug","Sep","Oct","Nov","Dec"},0),VALUE(LEFT(raw_data!B17,2)))))),"")</f>
        <v>45482</v>
      </c>
      <c r="C17" s="4" t="n">
        <f aca="false">IFERROR(IF(MID(raw_data!C17,3,1)="/",DATE(VALUE(RIGHT(raw_data!C17,4)),VALUE(LEFT(raw_data!C17,2)),VALUE(MID(raw_data!C17,4,2))),IF(MID(raw_data!C17,3,1)="-",DATE(VALUE(RIGHT(raw_data!C17,4)),VALUE(MID(raw_data!C17,4,2)),VALUE(LEFT(raw_data!C17,2))),IF(MID(raw_data!C17,5,1)="-",DATE(VALUE(LEFT(raw_data!C17,4)),VALUE(MID(raw_data!C17,6,2)),VALUE(RIGHT(raw_data!C17,2))),DATE(VALUE(RIGHT(raw_data!C17,4)),MATCH(MID(raw_data!C17,4,3),{"Jan","Feb","Mar","Apr","May","Jun","Jul","Aug","Sep","Oct","Nov","Dec"},0),VALUE(LEFT(raw_data!C17,2)))))),"")</f>
        <v>45482</v>
      </c>
      <c r="D17" s="3" t="str">
        <f aca="false">IF(TRIM(raw_data!B17)="","Missing",IF(B17="","Invalid/Unrecognized","Valid"))</f>
        <v>Valid</v>
      </c>
      <c r="E17" s="3" t="str">
        <f aca="false">IF(TRIM(raw_data!C17)="","Missing",IF(C17="","Invalid/Unrecognized","Valid"))</f>
        <v>Valid</v>
      </c>
      <c r="F17" s="5" t="n">
        <f aca="false">IF(OR(B17="",C17=""),"",C17-B17)</f>
        <v>0</v>
      </c>
      <c r="G17" s="3" t="str">
        <f aca="false">IF(F17="","N/A",IF(F17&lt;0,"Invalid - Ship Before Order","OK"))</f>
        <v>OK</v>
      </c>
      <c r="H17" s="3" t="str">
        <f aca="false">raw_data!D17</f>
        <v>CUST-7656</v>
      </c>
      <c r="I17" s="3" t="str">
        <f aca="false">PROPER(TRIM(raw_data!E17))</f>
        <v>Karan Malhotra</v>
      </c>
      <c r="J17" s="3" t="str">
        <f aca="false">PROPER(TRIM(raw_data!F17))</f>
        <v>Small Business</v>
      </c>
      <c r="K17" s="3" t="str">
        <f aca="false">IF(TRIM(raw_data!G17)="","Unknown",PROPER(TRIM(raw_data!G17)))</f>
        <v>North</v>
      </c>
      <c r="L17" s="3" t="str">
        <f aca="false">IF(TRIM(raw_data!G17)="","Filled - Unknown","OK")</f>
        <v>OK</v>
      </c>
      <c r="M17" s="3" t="str">
        <f aca="false">PROPER(TRIM(raw_data!H17))</f>
        <v>Punjab</v>
      </c>
      <c r="N17" s="3" t="str">
        <f aca="false">PROPER(TRIM(raw_data!I17))</f>
        <v>Ludhiana</v>
      </c>
      <c r="O17" s="3" t="str">
        <f aca="false">PROPER(TRIM(raw_data!J17))</f>
        <v>Office Supplies</v>
      </c>
      <c r="P17" s="3" t="str">
        <f aca="false">PROPER(TRIM(raw_data!K17))</f>
        <v>Storage</v>
      </c>
      <c r="Q17" s="3" t="str">
        <f aca="false">TRIM(raw_data!L17)</f>
        <v>Classic Storage 198</v>
      </c>
      <c r="R17" s="3" t="str">
        <f aca="false">IF(TRIM(raw_data!M17)="","Unknown",PROPER(TRIM(raw_data!M17)))</f>
        <v>Second Class</v>
      </c>
      <c r="S17" s="3" t="str">
        <f aca="false">IF(TRIM(raw_data!M17)="","Filled - Unknown","OK")</f>
        <v>OK</v>
      </c>
      <c r="T17" s="6" t="n">
        <f aca="false">raw_data!N17</f>
        <v>6</v>
      </c>
      <c r="U17" s="7" t="n">
        <f aca="false">raw_data!O17</f>
        <v>3965.76</v>
      </c>
      <c r="V17" s="8" t="n">
        <f aca="false">raw_data!P17</f>
        <v>0</v>
      </c>
      <c r="W17" s="8" t="n">
        <f aca="false">IF(raw_data!P17="",0,IF(ISTEXT(raw_data!P17),IF(RIGHT(raw_data!P17,1)="%",VALUE(LEFT(raw_data!P17,LEN(raw_data!P17)-1))/100,VALUE(raw_data!P17)),raw_data!P17))</f>
        <v>0</v>
      </c>
      <c r="X17" s="3" t="str">
        <f aca="false">IF(raw_data!P17="","Missing - Defaulted to 0",IF(W17&lt;0,"Negative - Invalid",IF(W17&gt;0.3,"Above Allowed Range - Invalid","Valid")))</f>
        <v>Valid</v>
      </c>
      <c r="Y17" s="7" t="n">
        <f aca="false">raw_data!Q17</f>
        <v>23794.56</v>
      </c>
      <c r="Z17" s="7" t="n">
        <f aca="false">raw_data!R17</f>
        <v>15698.47</v>
      </c>
      <c r="AA17" s="7" t="n">
        <f aca="false">raw_data!S17</f>
        <v>8096.09</v>
      </c>
      <c r="AB17" s="3" t="str">
        <f aca="false">PROPER(TRIM(raw_data!T17))</f>
        <v>Paid</v>
      </c>
      <c r="AC17" s="3" t="str">
        <f aca="false">PROPER(TRIM(raw_data!U17))</f>
        <v>Completed</v>
      </c>
      <c r="AD17" s="7" t="n">
        <f aca="false">T17*U17*(1-W17)</f>
        <v>23794.56</v>
      </c>
      <c r="AE17" s="7" t="n">
        <f aca="false">AD17-Z17</f>
        <v>8096.09</v>
      </c>
      <c r="AF17" s="8" t="n">
        <f aca="false">IF(AD17=0,0,AE17/AD17)</f>
        <v>0.340249620081229</v>
      </c>
      <c r="AG17" s="3" t="str">
        <f aca="false">IF(ABS(Y17-AD17)&gt;1,"Mismatch","OK")</f>
        <v>OK</v>
      </c>
      <c r="AH17" s="3" t="str">
        <f aca="false">IF(ABS(AA17-AE17)&gt;1,"Mismatch","OK")</f>
        <v>OK</v>
      </c>
      <c r="AI17" s="6" t="n">
        <f aca="false">IF(B17="","",MONTH(B17))</f>
        <v>7</v>
      </c>
      <c r="AJ17" s="6" t="n">
        <f aca="false">IF(B17="","",YEAR(B17))</f>
        <v>2024</v>
      </c>
      <c r="AK17" s="3" t="str">
        <f aca="false">IF(COUNTIF(raw_data!$A$2:$A$913,A17)&gt;1,"Conflicting Duplicate - Flagged for Review","Unique")</f>
        <v>Unique</v>
      </c>
      <c r="AL17" s="3" t="str">
        <f aca="false">IF(AB17="Refunded","Yes","No")</f>
        <v>No</v>
      </c>
      <c r="AM17" s="3" t="str">
        <f aca="false">IF(OR(AC17&lt;&gt;"Completed",AB17="Failed"),"Excluded","Included")</f>
        <v>Included</v>
      </c>
      <c r="AN17" s="3" t="str">
        <f aca="false">IF(OR(D17="Invalid/Unrecognized",E17="Invalid/Unrecognized",G17="Invalid - Ship Before Order",X17="Negative - Invalid",X17="Above Allowed Range - Invalid",AG17="Mismatch",AH17="Mismatch",AK17="Conflicting Duplicate - Flagged for Review"),"Invalid",IF(OR(L17="Filled - Unknown",S17="Filled - Unknown",X17="Missing - Defaulted to 0",AL17="Yes",AC17="Cancelled",AC17="Returned"),"Warning","Clean"))</f>
        <v>Clean</v>
      </c>
    </row>
    <row r="18" customFormat="false" ht="15" hidden="false" customHeight="false" outlineLevel="0" collapsed="false">
      <c r="A18" s="3" t="str">
        <f aca="false">raw_data!A18</f>
        <v>ORD-2024-10017</v>
      </c>
      <c r="B18" s="4" t="n">
        <f aca="false">IFERROR(IF(MID(raw_data!B18,3,1)="/",DATE(VALUE(RIGHT(raw_data!B18,4)),VALUE(LEFT(raw_data!B18,2)),VALUE(MID(raw_data!B18,4,2))),IF(MID(raw_data!B18,3,1)="-",DATE(VALUE(RIGHT(raw_data!B18,4)),VALUE(MID(raw_data!B18,4,2)),VALUE(LEFT(raw_data!B18,2))),IF(MID(raw_data!B18,5,1)="-",DATE(VALUE(LEFT(raw_data!B18,4)),VALUE(MID(raw_data!B18,6,2)),VALUE(RIGHT(raw_data!B18,2))),DATE(VALUE(RIGHT(raw_data!B18,4)),MATCH(MID(raw_data!B18,4,3),{"Jan","Feb","Mar","Apr","May","Jun","Jul","Aug","Sep","Oct","Nov","Dec"},0),VALUE(LEFT(raw_data!B18,2)))))),"")</f>
        <v>45420</v>
      </c>
      <c r="C18" s="4" t="n">
        <f aca="false">IFERROR(IF(MID(raw_data!C18,3,1)="/",DATE(VALUE(RIGHT(raw_data!C18,4)),VALUE(LEFT(raw_data!C18,2)),VALUE(MID(raw_data!C18,4,2))),IF(MID(raw_data!C18,3,1)="-",DATE(VALUE(RIGHT(raw_data!C18,4)),VALUE(MID(raw_data!C18,4,2)),VALUE(LEFT(raw_data!C18,2))),IF(MID(raw_data!C18,5,1)="-",DATE(VALUE(LEFT(raw_data!C18,4)),VALUE(MID(raw_data!C18,6,2)),VALUE(RIGHT(raw_data!C18,2))),DATE(VALUE(RIGHT(raw_data!C18,4)),MATCH(MID(raw_data!C18,4,3),{"Jan","Feb","Mar","Apr","May","Jun","Jul","Aug","Sep","Oct","Nov","Dec"},0),VALUE(LEFT(raw_data!C18,2)))))),"")</f>
        <v>45427</v>
      </c>
      <c r="D18" s="3" t="str">
        <f aca="false">IF(TRIM(raw_data!B18)="","Missing",IF(B18="","Invalid/Unrecognized","Valid"))</f>
        <v>Valid</v>
      </c>
      <c r="E18" s="3" t="str">
        <f aca="false">IF(TRIM(raw_data!C18)="","Missing",IF(C18="","Invalid/Unrecognized","Valid"))</f>
        <v>Valid</v>
      </c>
      <c r="F18" s="5" t="n">
        <f aca="false">IF(OR(B18="",C18=""),"",C18-B18)</f>
        <v>7</v>
      </c>
      <c r="G18" s="3" t="str">
        <f aca="false">IF(F18="","N/A",IF(F18&lt;0,"Invalid - Ship Before Order","OK"))</f>
        <v>OK</v>
      </c>
      <c r="H18" s="3" t="str">
        <f aca="false">raw_data!D18</f>
        <v>CUST-6214</v>
      </c>
      <c r="I18" s="3" t="str">
        <f aca="false">PROPER(TRIM(raw_data!E18))</f>
        <v>Aarav Sharma</v>
      </c>
      <c r="J18" s="3" t="str">
        <f aca="false">PROPER(TRIM(raw_data!F18))</f>
        <v>Consumer</v>
      </c>
      <c r="K18" s="3" t="str">
        <f aca="false">IF(TRIM(raw_data!G18)="","Unknown",PROPER(TRIM(raw_data!G18)))</f>
        <v>South</v>
      </c>
      <c r="L18" s="3" t="str">
        <f aca="false">IF(TRIM(raw_data!G18)="","Filled - Unknown","OK")</f>
        <v>OK</v>
      </c>
      <c r="M18" s="3" t="str">
        <f aca="false">PROPER(TRIM(raw_data!H18))</f>
        <v>Telangana</v>
      </c>
      <c r="N18" s="3" t="str">
        <f aca="false">PROPER(TRIM(raw_data!I18))</f>
        <v>Hyderabad</v>
      </c>
      <c r="O18" s="3" t="str">
        <f aca="false">PROPER(TRIM(raw_data!J18))</f>
        <v>Office Supplies</v>
      </c>
      <c r="P18" s="3" t="str">
        <f aca="false">PROPER(TRIM(raw_data!K18))</f>
        <v>Art</v>
      </c>
      <c r="Q18" s="3" t="str">
        <f aca="false">TRIM(raw_data!L18)</f>
        <v>Basic Art 204</v>
      </c>
      <c r="R18" s="3" t="str">
        <f aca="false">IF(TRIM(raw_data!M18)="","Unknown",PROPER(TRIM(raw_data!M18)))</f>
        <v>First Class</v>
      </c>
      <c r="S18" s="3" t="str">
        <f aca="false">IF(TRIM(raw_data!M18)="","Filled - Unknown","OK")</f>
        <v>OK</v>
      </c>
      <c r="T18" s="6" t="n">
        <f aca="false">raw_data!N18</f>
        <v>4</v>
      </c>
      <c r="U18" s="7" t="n">
        <f aca="false">raw_data!O18</f>
        <v>3323.51</v>
      </c>
      <c r="V18" s="8" t="n">
        <f aca="false">raw_data!P18</f>
        <v>0.25</v>
      </c>
      <c r="W18" s="8" t="n">
        <f aca="false">IF(raw_data!P18="",0,IF(ISTEXT(raw_data!P18),IF(RIGHT(raw_data!P18,1)="%",VALUE(LEFT(raw_data!P18,LEN(raw_data!P18)-1))/100,VALUE(raw_data!P18)),raw_data!P18))</f>
        <v>0.25</v>
      </c>
      <c r="X18" s="3" t="str">
        <f aca="false">IF(raw_data!P18="","Missing - Defaulted to 0",IF(W18&lt;0,"Negative - Invalid",IF(W18&gt;0.3,"Above Allowed Range - Invalid","Valid")))</f>
        <v>Valid</v>
      </c>
      <c r="Y18" s="7" t="n">
        <f aca="false">raw_data!Q18</f>
        <v>9970.53</v>
      </c>
      <c r="Z18" s="7" t="n">
        <f aca="false">raw_data!R18</f>
        <v>5668.17</v>
      </c>
      <c r="AA18" s="7" t="n">
        <f aca="false">raw_data!S18</f>
        <v>4302.36</v>
      </c>
      <c r="AB18" s="3" t="str">
        <f aca="false">PROPER(TRIM(raw_data!T18))</f>
        <v>Paid</v>
      </c>
      <c r="AC18" s="3" t="str">
        <f aca="false">PROPER(TRIM(raw_data!U18))</f>
        <v>Completed</v>
      </c>
      <c r="AD18" s="7" t="n">
        <f aca="false">T18*U18*(1-W18)</f>
        <v>9970.53</v>
      </c>
      <c r="AE18" s="7" t="n">
        <f aca="false">AD18-Z18</f>
        <v>4302.36</v>
      </c>
      <c r="AF18" s="8" t="n">
        <f aca="false">IF(AD18=0,0,AE18/AD18)</f>
        <v>0.431507653053549</v>
      </c>
      <c r="AG18" s="3" t="str">
        <f aca="false">IF(ABS(Y18-AD18)&gt;1,"Mismatch","OK")</f>
        <v>OK</v>
      </c>
      <c r="AH18" s="3" t="str">
        <f aca="false">IF(ABS(AA18-AE18)&gt;1,"Mismatch","OK")</f>
        <v>OK</v>
      </c>
      <c r="AI18" s="6" t="n">
        <f aca="false">IF(B18="","",MONTH(B18))</f>
        <v>5</v>
      </c>
      <c r="AJ18" s="6" t="n">
        <f aca="false">IF(B18="","",YEAR(B18))</f>
        <v>2024</v>
      </c>
      <c r="AK18" s="3" t="str">
        <f aca="false">IF(COUNTIF(raw_data!$A$2:$A$913,A18)&gt;1,"Conflicting Duplicate - Flagged for Review","Unique")</f>
        <v>Unique</v>
      </c>
      <c r="AL18" s="3" t="str">
        <f aca="false">IF(AB18="Refunded","Yes","No")</f>
        <v>No</v>
      </c>
      <c r="AM18" s="3" t="str">
        <f aca="false">IF(OR(AC18&lt;&gt;"Completed",AB18="Failed"),"Excluded","Included")</f>
        <v>Included</v>
      </c>
      <c r="AN18" s="3" t="str">
        <f aca="false">IF(OR(D18="Invalid/Unrecognized",E18="Invalid/Unrecognized",G18="Invalid - Ship Before Order",X18="Negative - Invalid",X18="Above Allowed Range - Invalid",AG18="Mismatch",AH18="Mismatch",AK18="Conflicting Duplicate - Flagged for Review"),"Invalid",IF(OR(L18="Filled - Unknown",S18="Filled - Unknown",X18="Missing - Defaulted to 0",AL18="Yes",AC18="Cancelled",AC18="Returned"),"Warning","Clean"))</f>
        <v>Clean</v>
      </c>
    </row>
    <row r="19" customFormat="false" ht="15" hidden="false" customHeight="false" outlineLevel="0" collapsed="false">
      <c r="A19" s="3" t="str">
        <f aca="false">raw_data!A19</f>
        <v>ORD-2024-10018</v>
      </c>
      <c r="B19" s="4" t="n">
        <f aca="false">IFERROR(IF(MID(raw_data!B19,3,1)="/",DATE(VALUE(RIGHT(raw_data!B19,4)),VALUE(LEFT(raw_data!B19,2)),VALUE(MID(raw_data!B19,4,2))),IF(MID(raw_data!B19,3,1)="-",DATE(VALUE(RIGHT(raw_data!B19,4)),VALUE(MID(raw_data!B19,4,2)),VALUE(LEFT(raw_data!B19,2))),IF(MID(raw_data!B19,5,1)="-",DATE(VALUE(LEFT(raw_data!B19,4)),VALUE(MID(raw_data!B19,6,2)),VALUE(RIGHT(raw_data!B19,2))),DATE(VALUE(RIGHT(raw_data!B19,4)),MATCH(MID(raw_data!B19,4,3),{"Jan","Feb","Mar","Apr","May","Jun","Jul","Aug","Sep","Oct","Nov","Dec"},0),VALUE(LEFT(raw_data!B19,2)))))),"")</f>
        <v>45298</v>
      </c>
      <c r="C19" s="4" t="n">
        <f aca="false">IFERROR(IF(MID(raw_data!C19,3,1)="/",DATE(VALUE(RIGHT(raw_data!C19,4)),VALUE(LEFT(raw_data!C19,2)),VALUE(MID(raw_data!C19,4,2))),IF(MID(raw_data!C19,3,1)="-",DATE(VALUE(RIGHT(raw_data!C19,4)),VALUE(MID(raw_data!C19,4,2)),VALUE(LEFT(raw_data!C19,2))),IF(MID(raw_data!C19,5,1)="-",DATE(VALUE(LEFT(raw_data!C19,4)),VALUE(MID(raw_data!C19,6,2)),VALUE(RIGHT(raw_data!C19,2))),DATE(VALUE(RIGHT(raw_data!C19,4)),MATCH(MID(raw_data!C19,4,3),{"Jan","Feb","Mar","Apr","May","Jun","Jul","Aug","Sep","Oct","Nov","Dec"},0),VALUE(LEFT(raw_data!C19,2)))))),"")</f>
        <v>45299</v>
      </c>
      <c r="D19" s="3" t="str">
        <f aca="false">IF(TRIM(raw_data!B19)="","Missing",IF(B19="","Invalid/Unrecognized","Valid"))</f>
        <v>Valid</v>
      </c>
      <c r="E19" s="3" t="str">
        <f aca="false">IF(TRIM(raw_data!C19)="","Missing",IF(C19="","Invalid/Unrecognized","Valid"))</f>
        <v>Valid</v>
      </c>
      <c r="F19" s="5" t="n">
        <f aca="false">IF(OR(B19="",C19=""),"",C19-B19)</f>
        <v>1</v>
      </c>
      <c r="G19" s="3" t="str">
        <f aca="false">IF(F19="","N/A",IF(F19&lt;0,"Invalid - Ship Before Order","OK"))</f>
        <v>OK</v>
      </c>
      <c r="H19" s="3" t="str">
        <f aca="false">raw_data!D19</f>
        <v>CUST-1626</v>
      </c>
      <c r="I19" s="3" t="str">
        <f aca="false">PROPER(TRIM(raw_data!E19))</f>
        <v>Sneha Kapoor</v>
      </c>
      <c r="J19" s="3" t="str">
        <f aca="false">PROPER(TRIM(raw_data!F19))</f>
        <v>Small Business</v>
      </c>
      <c r="K19" s="3" t="str">
        <f aca="false">IF(TRIM(raw_data!G19)="","Unknown",PROPER(TRIM(raw_data!G19)))</f>
        <v>North</v>
      </c>
      <c r="L19" s="3" t="str">
        <f aca="false">IF(TRIM(raw_data!G19)="","Filled - Unknown","OK")</f>
        <v>OK</v>
      </c>
      <c r="M19" s="3" t="str">
        <f aca="false">PROPER(TRIM(raw_data!H19))</f>
        <v>Rajasthan</v>
      </c>
      <c r="N19" s="3" t="str">
        <f aca="false">PROPER(TRIM(raw_data!I19))</f>
        <v>Jaipur</v>
      </c>
      <c r="O19" s="3" t="str">
        <f aca="false">PROPER(TRIM(raw_data!J19))</f>
        <v>Furniture</v>
      </c>
      <c r="P19" s="3" t="str">
        <f aca="false">PROPER(TRIM(raw_data!K19))</f>
        <v>Furnishings</v>
      </c>
      <c r="Q19" s="3" t="str">
        <f aca="false">TRIM(raw_data!L19)</f>
        <v>Basic Furnishings 434</v>
      </c>
      <c r="R19" s="3" t="str">
        <f aca="false">IF(TRIM(raw_data!M19)="","Unknown",PROPER(TRIM(raw_data!M19)))</f>
        <v>Same Day</v>
      </c>
      <c r="S19" s="3" t="str">
        <f aca="false">IF(TRIM(raw_data!M19)="","Filled - Unknown","OK")</f>
        <v>OK</v>
      </c>
      <c r="T19" s="6" t="n">
        <f aca="false">raw_data!N19</f>
        <v>5</v>
      </c>
      <c r="U19" s="7" t="n">
        <f aca="false">raw_data!O19</f>
        <v>1526.78</v>
      </c>
      <c r="V19" s="8" t="n">
        <f aca="false">raw_data!P19</f>
        <v>0</v>
      </c>
      <c r="W19" s="8" t="n">
        <f aca="false">IF(raw_data!P19="",0,IF(ISTEXT(raw_data!P19),IF(RIGHT(raw_data!P19,1)="%",VALUE(LEFT(raw_data!P19,LEN(raw_data!P19)-1))/100,VALUE(raw_data!P19)),raw_data!P19))</f>
        <v>0</v>
      </c>
      <c r="X19" s="3" t="str">
        <f aca="false">IF(raw_data!P19="","Missing - Defaulted to 0",IF(W19&lt;0,"Negative - Invalid",IF(W19&gt;0.3,"Above Allowed Range - Invalid","Valid")))</f>
        <v>Valid</v>
      </c>
      <c r="Y19" s="7" t="n">
        <f aca="false">raw_data!Q19</f>
        <v>7633.9</v>
      </c>
      <c r="Z19" s="7" t="n">
        <f aca="false">raw_data!R19</f>
        <v>4706.91</v>
      </c>
      <c r="AA19" s="7" t="n">
        <f aca="false">raw_data!S19</f>
        <v>2926.99</v>
      </c>
      <c r="AB19" s="3" t="str">
        <f aca="false">PROPER(TRIM(raw_data!T19))</f>
        <v>Paid</v>
      </c>
      <c r="AC19" s="3" t="str">
        <f aca="false">PROPER(TRIM(raw_data!U19))</f>
        <v>Completed</v>
      </c>
      <c r="AD19" s="7" t="n">
        <f aca="false">T19*U19*(1-W19)</f>
        <v>7633.9</v>
      </c>
      <c r="AE19" s="7" t="n">
        <f aca="false">AD19-Z19</f>
        <v>2926.99</v>
      </c>
      <c r="AF19" s="8" t="n">
        <f aca="false">IF(AD19=0,0,AE19/AD19)</f>
        <v>0.383420008121668</v>
      </c>
      <c r="AG19" s="3" t="str">
        <f aca="false">IF(ABS(Y19-AD19)&gt;1,"Mismatch","OK")</f>
        <v>OK</v>
      </c>
      <c r="AH19" s="3" t="str">
        <f aca="false">IF(ABS(AA19-AE19)&gt;1,"Mismatch","OK")</f>
        <v>OK</v>
      </c>
      <c r="AI19" s="6" t="n">
        <f aca="false">IF(B19="","",MONTH(B19))</f>
        <v>1</v>
      </c>
      <c r="AJ19" s="6" t="n">
        <f aca="false">IF(B19="","",YEAR(B19))</f>
        <v>2024</v>
      </c>
      <c r="AK19" s="3" t="str">
        <f aca="false">IF(COUNTIF(raw_data!$A$2:$A$913,A19)&gt;1,"Conflicting Duplicate - Flagged for Review","Unique")</f>
        <v>Unique</v>
      </c>
      <c r="AL19" s="3" t="str">
        <f aca="false">IF(AB19="Refunded","Yes","No")</f>
        <v>No</v>
      </c>
      <c r="AM19" s="3" t="str">
        <f aca="false">IF(OR(AC19&lt;&gt;"Completed",AB19="Failed"),"Excluded","Included")</f>
        <v>Included</v>
      </c>
      <c r="AN19" s="3" t="str">
        <f aca="false">IF(OR(D19="Invalid/Unrecognized",E19="Invalid/Unrecognized",G19="Invalid - Ship Before Order",X19="Negative - Invalid",X19="Above Allowed Range - Invalid",AG19="Mismatch",AH19="Mismatch",AK19="Conflicting Duplicate - Flagged for Review"),"Invalid",IF(OR(L19="Filled - Unknown",S19="Filled - Unknown",X19="Missing - Defaulted to 0",AL19="Yes",AC19="Cancelled",AC19="Returned"),"Warning","Clean"))</f>
        <v>Clean</v>
      </c>
    </row>
    <row r="20" customFormat="false" ht="15" hidden="false" customHeight="false" outlineLevel="0" collapsed="false">
      <c r="A20" s="3" t="str">
        <f aca="false">raw_data!A20</f>
        <v>ORD-2025-10019</v>
      </c>
      <c r="B20" s="4" t="n">
        <f aca="false">IFERROR(IF(MID(raw_data!B20,3,1)="/",DATE(VALUE(RIGHT(raw_data!B20,4)),VALUE(LEFT(raw_data!B20,2)),VALUE(MID(raw_data!B20,4,2))),IF(MID(raw_data!B20,3,1)="-",DATE(VALUE(RIGHT(raw_data!B20,4)),VALUE(MID(raw_data!B20,4,2)),VALUE(LEFT(raw_data!B20,2))),IF(MID(raw_data!B20,5,1)="-",DATE(VALUE(LEFT(raw_data!B20,4)),VALUE(MID(raw_data!B20,6,2)),VALUE(RIGHT(raw_data!B20,2))),DATE(VALUE(RIGHT(raw_data!B20,4)),MATCH(MID(raw_data!B20,4,3),{"Jan","Feb","Mar","Apr","May","Jun","Jul","Aug","Sep","Oct","Nov","Dec"},0),VALUE(LEFT(raw_data!B20,2)))))),"")</f>
        <v>45853</v>
      </c>
      <c r="C20" s="4" t="n">
        <f aca="false">IFERROR(IF(MID(raw_data!C20,3,1)="/",DATE(VALUE(RIGHT(raw_data!C20,4)),VALUE(LEFT(raw_data!C20,2)),VALUE(MID(raw_data!C20,4,2))),IF(MID(raw_data!C20,3,1)="-",DATE(VALUE(RIGHT(raw_data!C20,4)),VALUE(MID(raw_data!C20,4,2)),VALUE(LEFT(raw_data!C20,2))),IF(MID(raw_data!C20,5,1)="-",DATE(VALUE(LEFT(raw_data!C20,4)),VALUE(MID(raw_data!C20,6,2)),VALUE(RIGHT(raw_data!C20,2))),DATE(VALUE(RIGHT(raw_data!C20,4)),MATCH(MID(raw_data!C20,4,3),{"Jan","Feb","Mar","Apr","May","Jun","Jul","Aug","Sep","Oct","Nov","Dec"},0),VALUE(LEFT(raw_data!C20,2)))))),"")</f>
        <v>45855</v>
      </c>
      <c r="D20" s="3" t="str">
        <f aca="false">IF(TRIM(raw_data!B20)="","Missing",IF(B20="","Invalid/Unrecognized","Valid"))</f>
        <v>Valid</v>
      </c>
      <c r="E20" s="3" t="str">
        <f aca="false">IF(TRIM(raw_data!C20)="","Missing",IF(C20="","Invalid/Unrecognized","Valid"))</f>
        <v>Valid</v>
      </c>
      <c r="F20" s="5" t="n">
        <f aca="false">IF(OR(B20="",C20=""),"",C20-B20)</f>
        <v>2</v>
      </c>
      <c r="G20" s="3" t="str">
        <f aca="false">IF(F20="","N/A",IF(F20&lt;0,"Invalid - Ship Before Order","OK"))</f>
        <v>OK</v>
      </c>
      <c r="H20" s="3" t="str">
        <f aca="false">raw_data!D20</f>
        <v>CUST-2110</v>
      </c>
      <c r="I20" s="3" t="str">
        <f aca="false">PROPER(TRIM(raw_data!E20))</f>
        <v>Aarav Sharma</v>
      </c>
      <c r="J20" s="3" t="str">
        <f aca="false">PROPER(TRIM(raw_data!F20))</f>
        <v>Home Office</v>
      </c>
      <c r="K20" s="3" t="str">
        <f aca="false">IF(TRIM(raw_data!G20)="","Unknown",PROPER(TRIM(raw_data!G20)))</f>
        <v>North</v>
      </c>
      <c r="L20" s="3" t="str">
        <f aca="false">IF(TRIM(raw_data!G20)="","Filled - Unknown","OK")</f>
        <v>OK</v>
      </c>
      <c r="M20" s="3" t="str">
        <f aca="false">PROPER(TRIM(raw_data!H20))</f>
        <v>Uttar Pradesh</v>
      </c>
      <c r="N20" s="3" t="str">
        <f aca="false">PROPER(TRIM(raw_data!I20))</f>
        <v>Noida</v>
      </c>
      <c r="O20" s="3" t="str">
        <f aca="false">PROPER(TRIM(raw_data!J20))</f>
        <v>Technology</v>
      </c>
      <c r="P20" s="3" t="str">
        <f aca="false">PROPER(TRIM(raw_data!K20))</f>
        <v>Copiers</v>
      </c>
      <c r="Q20" s="3" t="str">
        <f aca="false">TRIM(raw_data!L20)</f>
        <v>Eco Copiers 755</v>
      </c>
      <c r="R20" s="3" t="str">
        <f aca="false">IF(TRIM(raw_data!M20)="","Unknown",PROPER(TRIM(raw_data!M20)))</f>
        <v>First Class</v>
      </c>
      <c r="S20" s="3" t="str">
        <f aca="false">IF(TRIM(raw_data!M20)="","Filled - Unknown","OK")</f>
        <v>OK</v>
      </c>
      <c r="T20" s="6" t="n">
        <f aca="false">raw_data!N20</f>
        <v>2</v>
      </c>
      <c r="U20" s="7" t="n">
        <f aca="false">raw_data!O20</f>
        <v>1997.99</v>
      </c>
      <c r="V20" s="8" t="n">
        <f aca="false">raw_data!P20</f>
        <v>0</v>
      </c>
      <c r="W20" s="8" t="n">
        <f aca="false">IF(raw_data!P20="",0,IF(ISTEXT(raw_data!P20),IF(RIGHT(raw_data!P20,1)="%",VALUE(LEFT(raw_data!P20,LEN(raw_data!P20)-1))/100,VALUE(raw_data!P20)),raw_data!P20))</f>
        <v>0</v>
      </c>
      <c r="X20" s="3" t="str">
        <f aca="false">IF(raw_data!P20="","Missing - Defaulted to 0",IF(W20&lt;0,"Negative - Invalid",IF(W20&gt;0.3,"Above Allowed Range - Invalid","Valid")))</f>
        <v>Valid</v>
      </c>
      <c r="Y20" s="7" t="n">
        <f aca="false">raw_data!Q20</f>
        <v>3995.98</v>
      </c>
      <c r="Z20" s="7" t="n">
        <f aca="false">raw_data!R20</f>
        <v>2633.2</v>
      </c>
      <c r="AA20" s="7" t="n">
        <f aca="false">raw_data!S20</f>
        <v>1362.78</v>
      </c>
      <c r="AB20" s="3" t="str">
        <f aca="false">PROPER(TRIM(raw_data!T20))</f>
        <v>Refunded</v>
      </c>
      <c r="AC20" s="3" t="str">
        <f aca="false">PROPER(TRIM(raw_data!U20))</f>
        <v>Cancelled</v>
      </c>
      <c r="AD20" s="7" t="n">
        <f aca="false">T20*U20*(1-W20)</f>
        <v>3995.98</v>
      </c>
      <c r="AE20" s="7" t="n">
        <f aca="false">AD20-Z20</f>
        <v>1362.78</v>
      </c>
      <c r="AF20" s="8" t="n">
        <f aca="false">IF(AD20=0,0,AE20/AD20)</f>
        <v>0.341037742931646</v>
      </c>
      <c r="AG20" s="3" t="str">
        <f aca="false">IF(ABS(Y20-AD20)&gt;1,"Mismatch","OK")</f>
        <v>OK</v>
      </c>
      <c r="AH20" s="3" t="str">
        <f aca="false">IF(ABS(AA20-AE20)&gt;1,"Mismatch","OK")</f>
        <v>OK</v>
      </c>
      <c r="AI20" s="6" t="n">
        <f aca="false">IF(B20="","",MONTH(B20))</f>
        <v>7</v>
      </c>
      <c r="AJ20" s="6" t="n">
        <f aca="false">IF(B20="","",YEAR(B20))</f>
        <v>2025</v>
      </c>
      <c r="AK20" s="3" t="str">
        <f aca="false">IF(COUNTIF(raw_data!$A$2:$A$913,A20)&gt;1,"Conflicting Duplicate - Flagged for Review","Unique")</f>
        <v>Unique</v>
      </c>
      <c r="AL20" s="3" t="str">
        <f aca="false">IF(AB20="Refunded","Yes","No")</f>
        <v>Yes</v>
      </c>
      <c r="AM20" s="3" t="str">
        <f aca="false">IF(OR(AC20&lt;&gt;"Completed",AB20="Failed"),"Excluded","Included")</f>
        <v>Excluded</v>
      </c>
      <c r="AN20" s="3" t="str">
        <f aca="false">IF(OR(D20="Invalid/Unrecognized",E20="Invalid/Unrecognized",G20="Invalid - Ship Before Order",X20="Negative - Invalid",X20="Above Allowed Range - Invalid",AG20="Mismatch",AH20="Mismatch",AK20="Conflicting Duplicate - Flagged for Review"),"Invalid",IF(OR(L20="Filled - Unknown",S20="Filled - Unknown",X20="Missing - Defaulted to 0",AL20="Yes",AC20="Cancelled",AC20="Returned"),"Warning","Clean"))</f>
        <v>Warning</v>
      </c>
    </row>
    <row r="21" customFormat="false" ht="15" hidden="false" customHeight="false" outlineLevel="0" collapsed="false">
      <c r="A21" s="3" t="str">
        <f aca="false">raw_data!A21</f>
        <v>ORD-2024-10020</v>
      </c>
      <c r="B21" s="4" t="n">
        <f aca="false">IFERROR(IF(MID(raw_data!B21,3,1)="/",DATE(VALUE(RIGHT(raw_data!B21,4)),VALUE(LEFT(raw_data!B21,2)),VALUE(MID(raw_data!B21,4,2))),IF(MID(raw_data!B21,3,1)="-",DATE(VALUE(RIGHT(raw_data!B21,4)),VALUE(MID(raw_data!B21,4,2)),VALUE(LEFT(raw_data!B21,2))),IF(MID(raw_data!B21,5,1)="-",DATE(VALUE(LEFT(raw_data!B21,4)),VALUE(MID(raw_data!B21,6,2)),VALUE(RIGHT(raw_data!B21,2))),DATE(VALUE(RIGHT(raw_data!B21,4)),MATCH(MID(raw_data!B21,4,3),{"Jan","Feb","Mar","Apr","May","Jun","Jul","Aug","Sep","Oct","Nov","Dec"},0),VALUE(LEFT(raw_data!B21,2)))))),"")</f>
        <v>45500</v>
      </c>
      <c r="C21" s="4" t="n">
        <f aca="false">IFERROR(IF(MID(raw_data!C21,3,1)="/",DATE(VALUE(RIGHT(raw_data!C21,4)),VALUE(LEFT(raw_data!C21,2)),VALUE(MID(raw_data!C21,4,2))),IF(MID(raw_data!C21,3,1)="-",DATE(VALUE(RIGHT(raw_data!C21,4)),VALUE(MID(raw_data!C21,4,2)),VALUE(LEFT(raw_data!C21,2))),IF(MID(raw_data!C21,5,1)="-",DATE(VALUE(LEFT(raw_data!C21,4)),VALUE(MID(raw_data!C21,6,2)),VALUE(RIGHT(raw_data!C21,2))),DATE(VALUE(RIGHT(raw_data!C21,4)),MATCH(MID(raw_data!C21,4,3),{"Jan","Feb","Mar","Apr","May","Jun","Jul","Aug","Sep","Oct","Nov","Dec"},0),VALUE(LEFT(raw_data!C21,2)))))),"")</f>
        <v>45504</v>
      </c>
      <c r="D21" s="3" t="str">
        <f aca="false">IF(TRIM(raw_data!B21)="","Missing",IF(B21="","Invalid/Unrecognized","Valid"))</f>
        <v>Valid</v>
      </c>
      <c r="E21" s="3" t="str">
        <f aca="false">IF(TRIM(raw_data!C21)="","Missing",IF(C21="","Invalid/Unrecognized","Valid"))</f>
        <v>Valid</v>
      </c>
      <c r="F21" s="5" t="n">
        <f aca="false">IF(OR(B21="",C21=""),"",C21-B21)</f>
        <v>4</v>
      </c>
      <c r="G21" s="3" t="str">
        <f aca="false">IF(F21="","N/A",IF(F21&lt;0,"Invalid - Ship Before Order","OK"))</f>
        <v>OK</v>
      </c>
      <c r="H21" s="3" t="str">
        <f aca="false">raw_data!D21</f>
        <v>CUST-3186</v>
      </c>
      <c r="I21" s="3" t="str">
        <f aca="false">PROPER(TRIM(raw_data!E21))</f>
        <v>Rohan Mehta</v>
      </c>
      <c r="J21" s="3" t="str">
        <f aca="false">PROPER(TRIM(raw_data!F21))</f>
        <v>Home Office</v>
      </c>
      <c r="K21" s="3" t="str">
        <f aca="false">IF(TRIM(raw_data!G21)="","Unknown",PROPER(TRIM(raw_data!G21)))</f>
        <v>West</v>
      </c>
      <c r="L21" s="3" t="str">
        <f aca="false">IF(TRIM(raw_data!G21)="","Filled - Unknown","OK")</f>
        <v>OK</v>
      </c>
      <c r="M21" s="3" t="str">
        <f aca="false">PROPER(TRIM(raw_data!H21))</f>
        <v>Madhya Pradesh</v>
      </c>
      <c r="N21" s="3" t="str">
        <f aca="false">PROPER(TRIM(raw_data!I21))</f>
        <v>Indore</v>
      </c>
      <c r="O21" s="3" t="str">
        <f aca="false">PROPER(TRIM(raw_data!J21))</f>
        <v>Office Supplies</v>
      </c>
      <c r="P21" s="3" t="str">
        <f aca="false">PROPER(TRIM(raw_data!K21))</f>
        <v>Storage</v>
      </c>
      <c r="Q21" s="3" t="str">
        <f aca="false">TRIM(raw_data!L21)</f>
        <v>Prime Storage 121</v>
      </c>
      <c r="R21" s="3" t="str">
        <f aca="false">IF(TRIM(raw_data!M21)="","Unknown",PROPER(TRIM(raw_data!M21)))</f>
        <v>Second Class</v>
      </c>
      <c r="S21" s="3" t="str">
        <f aca="false">IF(TRIM(raw_data!M21)="","Filled - Unknown","OK")</f>
        <v>OK</v>
      </c>
      <c r="T21" s="6" t="n">
        <f aca="false">raw_data!N21</f>
        <v>3</v>
      </c>
      <c r="U21" s="7" t="n">
        <f aca="false">raw_data!O21</f>
        <v>3887.94</v>
      </c>
      <c r="V21" s="8" t="n">
        <f aca="false">raw_data!P21</f>
        <v>-0.19</v>
      </c>
      <c r="W21" s="8" t="n">
        <f aca="false">IF(raw_data!P21="",0,IF(ISTEXT(raw_data!P21),IF(RIGHT(raw_data!P21,1)="%",VALUE(LEFT(raw_data!P21,LEN(raw_data!P21)-1))/100,VALUE(raw_data!P21)),raw_data!P21))</f>
        <v>-0.19</v>
      </c>
      <c r="X21" s="3" t="str">
        <f aca="false">IF(raw_data!P21="","Missing - Defaulted to 0",IF(W21&lt;0,"Negative - Invalid",IF(W21&gt;0.3,"Above Allowed Range - Invalid","Valid")))</f>
        <v>Negative - Invalid</v>
      </c>
      <c r="Y21" s="7" t="n">
        <f aca="false">raw_data!Q21</f>
        <v>9331.06</v>
      </c>
      <c r="Z21" s="7" t="n">
        <f aca="false">raw_data!R21</f>
        <v>7529.31</v>
      </c>
      <c r="AA21" s="7" t="n">
        <f aca="false">raw_data!S21</f>
        <v>1801.75</v>
      </c>
      <c r="AB21" s="3" t="str">
        <f aca="false">PROPER(TRIM(raw_data!T21))</f>
        <v>Paid</v>
      </c>
      <c r="AC21" s="3" t="str">
        <f aca="false">PROPER(TRIM(raw_data!U21))</f>
        <v>Completed</v>
      </c>
      <c r="AD21" s="7" t="n">
        <f aca="false">T21*U21*(1-W21)</f>
        <v>13879.9458</v>
      </c>
      <c r="AE21" s="7" t="n">
        <f aca="false">AD21-Z21</f>
        <v>6350.6358</v>
      </c>
      <c r="AF21" s="8" t="n">
        <f aca="false">IF(AD21=0,0,AE21/AD21)</f>
        <v>0.457540388954545</v>
      </c>
      <c r="AG21" s="3" t="str">
        <f aca="false">IF(ABS(Y21-AD21)&gt;1,"Mismatch","OK")</f>
        <v>Mismatch</v>
      </c>
      <c r="AH21" s="3" t="str">
        <f aca="false">IF(ABS(AA21-AE21)&gt;1,"Mismatch","OK")</f>
        <v>Mismatch</v>
      </c>
      <c r="AI21" s="6" t="n">
        <f aca="false">IF(B21="","",MONTH(B21))</f>
        <v>7</v>
      </c>
      <c r="AJ21" s="6" t="n">
        <f aca="false">IF(B21="","",YEAR(B21))</f>
        <v>2024</v>
      </c>
      <c r="AK21" s="3" t="str">
        <f aca="false">IF(COUNTIF(raw_data!$A$2:$A$913,A21)&gt;1,"Conflicting Duplicate - Flagged for Review","Unique")</f>
        <v>Unique</v>
      </c>
      <c r="AL21" s="3" t="str">
        <f aca="false">IF(AB21="Refunded","Yes","No")</f>
        <v>No</v>
      </c>
      <c r="AM21" s="3" t="str">
        <f aca="false">IF(OR(AC21&lt;&gt;"Completed",AB21="Failed"),"Excluded","Included")</f>
        <v>Included</v>
      </c>
      <c r="AN21" s="3" t="str">
        <f aca="false">IF(OR(D21="Invalid/Unrecognized",E21="Invalid/Unrecognized",G21="Invalid - Ship Before Order",X21="Negative - Invalid",X21="Above Allowed Range - Invalid",AG21="Mismatch",AH21="Mismatch",AK21="Conflicting Duplicate - Flagged for Review"),"Invalid",IF(OR(L21="Filled - Unknown",S21="Filled - Unknown",X21="Missing - Defaulted to 0",AL21="Yes",AC21="Cancelled",AC21="Returned"),"Warning","Clean"))</f>
        <v>Invalid</v>
      </c>
    </row>
    <row r="22" customFormat="false" ht="15" hidden="false" customHeight="false" outlineLevel="0" collapsed="false">
      <c r="A22" s="3" t="str">
        <f aca="false">raw_data!A22</f>
        <v>ORD-2025-10021</v>
      </c>
      <c r="B22" s="4" t="n">
        <f aca="false">IFERROR(IF(MID(raw_data!B22,3,1)="/",DATE(VALUE(RIGHT(raw_data!B22,4)),VALUE(LEFT(raw_data!B22,2)),VALUE(MID(raw_data!B22,4,2))),IF(MID(raw_data!B22,3,1)="-",DATE(VALUE(RIGHT(raw_data!B22,4)),VALUE(MID(raw_data!B22,4,2)),VALUE(LEFT(raw_data!B22,2))),IF(MID(raw_data!B22,5,1)="-",DATE(VALUE(LEFT(raw_data!B22,4)),VALUE(MID(raw_data!B22,6,2)),VALUE(RIGHT(raw_data!B22,2))),DATE(VALUE(RIGHT(raw_data!B22,4)),MATCH(MID(raw_data!B22,4,3),{"Jan","Feb","Mar","Apr","May","Jun","Jul","Aug","Sep","Oct","Nov","Dec"},0),VALUE(LEFT(raw_data!B22,2)))))),"")</f>
        <v>45678</v>
      </c>
      <c r="C22" s="4" t="n">
        <f aca="false">IFERROR(IF(MID(raw_data!C22,3,1)="/",DATE(VALUE(RIGHT(raw_data!C22,4)),VALUE(LEFT(raw_data!C22,2)),VALUE(MID(raw_data!C22,4,2))),IF(MID(raw_data!C22,3,1)="-",DATE(VALUE(RIGHT(raw_data!C22,4)),VALUE(MID(raw_data!C22,4,2)),VALUE(LEFT(raw_data!C22,2))),IF(MID(raw_data!C22,5,1)="-",DATE(VALUE(LEFT(raw_data!C22,4)),VALUE(MID(raw_data!C22,6,2)),VALUE(RIGHT(raw_data!C22,2))),DATE(VALUE(RIGHT(raw_data!C22,4)),MATCH(MID(raw_data!C22,4,3),{"Jan","Feb","Mar","Apr","May","Jun","Jul","Aug","Sep","Oct","Nov","Dec"},0),VALUE(LEFT(raw_data!C22,2)))))),"")</f>
        <v>45680</v>
      </c>
      <c r="D22" s="3" t="str">
        <f aca="false">IF(TRIM(raw_data!B22)="","Missing",IF(B22="","Invalid/Unrecognized","Valid"))</f>
        <v>Valid</v>
      </c>
      <c r="E22" s="3" t="str">
        <f aca="false">IF(TRIM(raw_data!C22)="","Missing",IF(C22="","Invalid/Unrecognized","Valid"))</f>
        <v>Valid</v>
      </c>
      <c r="F22" s="5" t="n">
        <f aca="false">IF(OR(B22="",C22=""),"",C22-B22)</f>
        <v>2</v>
      </c>
      <c r="G22" s="3" t="str">
        <f aca="false">IF(F22="","N/A",IF(F22&lt;0,"Invalid - Ship Before Order","OK"))</f>
        <v>OK</v>
      </c>
      <c r="H22" s="3" t="str">
        <f aca="false">raw_data!D22</f>
        <v>CUST-3190</v>
      </c>
      <c r="I22" s="3" t="str">
        <f aca="false">PROPER(TRIM(raw_data!E22))</f>
        <v>Aditi Sen</v>
      </c>
      <c r="J22" s="3" t="str">
        <f aca="false">PROPER(TRIM(raw_data!F22))</f>
        <v>Home Office</v>
      </c>
      <c r="K22" s="3" t="str">
        <f aca="false">IF(TRIM(raw_data!G22)="","Unknown",PROPER(TRIM(raw_data!G22)))</f>
        <v>East</v>
      </c>
      <c r="L22" s="3" t="str">
        <f aca="false">IF(TRIM(raw_data!G22)="","Filled - Unknown","OK")</f>
        <v>OK</v>
      </c>
      <c r="M22" s="3" t="str">
        <f aca="false">PROPER(TRIM(raw_data!H22))</f>
        <v>Bihar</v>
      </c>
      <c r="N22" s="3" t="str">
        <f aca="false">PROPER(TRIM(raw_data!I22))</f>
        <v>Patna</v>
      </c>
      <c r="O22" s="3" t="str">
        <f aca="false">PROPER(TRIM(raw_data!J22))</f>
        <v>Technology</v>
      </c>
      <c r="P22" s="3" t="str">
        <f aca="false">PROPER(TRIM(raw_data!K22))</f>
        <v>Copiers</v>
      </c>
      <c r="Q22" s="3" t="str">
        <f aca="false">TRIM(raw_data!L22)</f>
        <v>Elite Copiers 233</v>
      </c>
      <c r="R22" s="3" t="str">
        <f aca="false">IF(TRIM(raw_data!M22)="","Unknown",PROPER(TRIM(raw_data!M22)))</f>
        <v>First Class</v>
      </c>
      <c r="S22" s="3" t="str">
        <f aca="false">IF(TRIM(raw_data!M22)="","Filled - Unknown","OK")</f>
        <v>OK</v>
      </c>
      <c r="T22" s="6" t="n">
        <f aca="false">raw_data!N22</f>
        <v>5</v>
      </c>
      <c r="U22" s="7" t="n">
        <f aca="false">raw_data!O22</f>
        <v>4373.06</v>
      </c>
      <c r="V22" s="8" t="n">
        <f aca="false">raw_data!P22</f>
        <v>0.25</v>
      </c>
      <c r="W22" s="8" t="n">
        <f aca="false">IF(raw_data!P22="",0,IF(ISTEXT(raw_data!P22),IF(RIGHT(raw_data!P22,1)="%",VALUE(LEFT(raw_data!P22,LEN(raw_data!P22)-1))/100,VALUE(raw_data!P22)),raw_data!P22))</f>
        <v>0.25</v>
      </c>
      <c r="X22" s="3" t="str">
        <f aca="false">IF(raw_data!P22="","Missing - Defaulted to 0",IF(W22&lt;0,"Negative - Invalid",IF(W22&gt;0.3,"Above Allowed Range - Invalid","Valid")))</f>
        <v>Valid</v>
      </c>
      <c r="Y22" s="7" t="n">
        <f aca="false">raw_data!Q22</f>
        <v>16398.98</v>
      </c>
      <c r="Z22" s="7" t="n">
        <f aca="false">raw_data!R22</f>
        <v>9556.52</v>
      </c>
      <c r="AA22" s="7" t="n">
        <f aca="false">raw_data!S22</f>
        <v>6842.46</v>
      </c>
      <c r="AB22" s="3" t="str">
        <f aca="false">PROPER(TRIM(raw_data!T22))</f>
        <v>Paid</v>
      </c>
      <c r="AC22" s="3" t="str">
        <f aca="false">PROPER(TRIM(raw_data!U22))</f>
        <v>Completed</v>
      </c>
      <c r="AD22" s="7" t="n">
        <f aca="false">T22*U22*(1-W22)</f>
        <v>16398.975</v>
      </c>
      <c r="AE22" s="7" t="n">
        <f aca="false">AD22-Z22</f>
        <v>6842.455</v>
      </c>
      <c r="AF22" s="8" t="n">
        <f aca="false">IF(AD22=0,0,AE22/AD22)</f>
        <v>0.417248943912653</v>
      </c>
      <c r="AG22" s="3" t="str">
        <f aca="false">IF(ABS(Y22-AD22)&gt;1,"Mismatch","OK")</f>
        <v>OK</v>
      </c>
      <c r="AH22" s="3" t="str">
        <f aca="false">IF(ABS(AA22-AE22)&gt;1,"Mismatch","OK")</f>
        <v>OK</v>
      </c>
      <c r="AI22" s="6" t="n">
        <f aca="false">IF(B22="","",MONTH(B22))</f>
        <v>1</v>
      </c>
      <c r="AJ22" s="6" t="n">
        <f aca="false">IF(B22="","",YEAR(B22))</f>
        <v>2025</v>
      </c>
      <c r="AK22" s="3" t="str">
        <f aca="false">IF(COUNTIF(raw_data!$A$2:$A$913,A22)&gt;1,"Conflicting Duplicate - Flagged for Review","Unique")</f>
        <v>Unique</v>
      </c>
      <c r="AL22" s="3" t="str">
        <f aca="false">IF(AB22="Refunded","Yes","No")</f>
        <v>No</v>
      </c>
      <c r="AM22" s="3" t="str">
        <f aca="false">IF(OR(AC22&lt;&gt;"Completed",AB22="Failed"),"Excluded","Included")</f>
        <v>Included</v>
      </c>
      <c r="AN22" s="3" t="str">
        <f aca="false">IF(OR(D22="Invalid/Unrecognized",E22="Invalid/Unrecognized",G22="Invalid - Ship Before Order",X22="Negative - Invalid",X22="Above Allowed Range - Invalid",AG22="Mismatch",AH22="Mismatch",AK22="Conflicting Duplicate - Flagged for Review"),"Invalid",IF(OR(L22="Filled - Unknown",S22="Filled - Unknown",X22="Missing - Defaulted to 0",AL22="Yes",AC22="Cancelled",AC22="Returned"),"Warning","Clean"))</f>
        <v>Clean</v>
      </c>
    </row>
    <row r="23" customFormat="false" ht="15" hidden="false" customHeight="false" outlineLevel="0" collapsed="false">
      <c r="A23" s="3" t="str">
        <f aca="false">raw_data!A23</f>
        <v>ORD-2025-10022</v>
      </c>
      <c r="B23" s="4" t="n">
        <f aca="false">IFERROR(IF(MID(raw_data!B23,3,1)="/",DATE(VALUE(RIGHT(raw_data!B23,4)),VALUE(LEFT(raw_data!B23,2)),VALUE(MID(raw_data!B23,4,2))),IF(MID(raw_data!B23,3,1)="-",DATE(VALUE(RIGHT(raw_data!B23,4)),VALUE(MID(raw_data!B23,4,2)),VALUE(LEFT(raw_data!B23,2))),IF(MID(raw_data!B23,5,1)="-",DATE(VALUE(LEFT(raw_data!B23,4)),VALUE(MID(raw_data!B23,6,2)),VALUE(RIGHT(raw_data!B23,2))),DATE(VALUE(RIGHT(raw_data!B23,4)),MATCH(MID(raw_data!B23,4,3),{"Jan","Feb","Mar","Apr","May","Jun","Jul","Aug","Sep","Oct","Nov","Dec"},0),VALUE(LEFT(raw_data!B23,2)))))),"")</f>
        <v>45681</v>
      </c>
      <c r="C23" s="4" t="n">
        <f aca="false">IFERROR(IF(MID(raw_data!C23,3,1)="/",DATE(VALUE(RIGHT(raw_data!C23,4)),VALUE(LEFT(raw_data!C23,2)),VALUE(MID(raw_data!C23,4,2))),IF(MID(raw_data!C23,3,1)="-",DATE(VALUE(RIGHT(raw_data!C23,4)),VALUE(MID(raw_data!C23,4,2)),VALUE(LEFT(raw_data!C23,2))),IF(MID(raw_data!C23,5,1)="-",DATE(VALUE(LEFT(raw_data!C23,4)),VALUE(MID(raw_data!C23,6,2)),VALUE(RIGHT(raw_data!C23,2))),DATE(VALUE(RIGHT(raw_data!C23,4)),MATCH(MID(raw_data!C23,4,3),{"Jan","Feb","Mar","Apr","May","Jun","Jul","Aug","Sep","Oct","Nov","Dec"},0),VALUE(LEFT(raw_data!C23,2)))))),"")</f>
        <v>45687</v>
      </c>
      <c r="D23" s="3" t="str">
        <f aca="false">IF(TRIM(raw_data!B23)="","Missing",IF(B23="","Invalid/Unrecognized","Valid"))</f>
        <v>Valid</v>
      </c>
      <c r="E23" s="3" t="str">
        <f aca="false">IF(TRIM(raw_data!C23)="","Missing",IF(C23="","Invalid/Unrecognized","Valid"))</f>
        <v>Valid</v>
      </c>
      <c r="F23" s="5" t="n">
        <f aca="false">IF(OR(B23="",C23=""),"",C23-B23)</f>
        <v>6</v>
      </c>
      <c r="G23" s="3" t="str">
        <f aca="false">IF(F23="","N/A",IF(F23&lt;0,"Invalid - Ship Before Order","OK"))</f>
        <v>OK</v>
      </c>
      <c r="H23" s="3" t="str">
        <f aca="false">raw_data!D23</f>
        <v>CUST-3036</v>
      </c>
      <c r="I23" s="3" t="str">
        <f aca="false">PROPER(TRIM(raw_data!E23))</f>
        <v>Sneha Kapoor</v>
      </c>
      <c r="J23" s="3" t="str">
        <f aca="false">PROPER(TRIM(raw_data!F23))</f>
        <v>Consumer</v>
      </c>
      <c r="K23" s="3" t="str">
        <f aca="false">IF(TRIM(raw_data!G23)="","Unknown",PROPER(TRIM(raw_data!G23)))</f>
        <v>West</v>
      </c>
      <c r="L23" s="3" t="str">
        <f aca="false">IF(TRIM(raw_data!G23)="","Filled - Unknown","OK")</f>
        <v>OK</v>
      </c>
      <c r="M23" s="3" t="str">
        <f aca="false">PROPER(TRIM(raw_data!H23))</f>
        <v>Madhya Pradesh</v>
      </c>
      <c r="N23" s="3" t="str">
        <f aca="false">PROPER(TRIM(raw_data!I23))</f>
        <v>Indore</v>
      </c>
      <c r="O23" s="3" t="str">
        <f aca="false">PROPER(TRIM(raw_data!J23))</f>
        <v>Furniture</v>
      </c>
      <c r="P23" s="3" t="str">
        <f aca="false">PROPER(TRIM(raw_data!K23))</f>
        <v>Furnishings</v>
      </c>
      <c r="Q23" s="3" t="str">
        <f aca="false">TRIM(raw_data!L23)</f>
        <v>Eco Furnishings 897</v>
      </c>
      <c r="R23" s="3" t="str">
        <f aca="false">IF(TRIM(raw_data!M23)="","Unknown",PROPER(TRIM(raw_data!M23)))</f>
        <v>Second Class</v>
      </c>
      <c r="S23" s="3" t="str">
        <f aca="false">IF(TRIM(raw_data!M23)="","Filled - Unknown","OK")</f>
        <v>OK</v>
      </c>
      <c r="T23" s="6" t="n">
        <f aca="false">raw_data!N23</f>
        <v>4</v>
      </c>
      <c r="U23" s="7" t="n">
        <f aca="false">raw_data!O23</f>
        <v>697.69</v>
      </c>
      <c r="V23" s="8" t="n">
        <f aca="false">raw_data!P23</f>
        <v>-0.23</v>
      </c>
      <c r="W23" s="8" t="n">
        <f aca="false">IF(raw_data!P23="",0,IF(ISTEXT(raw_data!P23),IF(RIGHT(raw_data!P23,1)="%",VALUE(LEFT(raw_data!P23,LEN(raw_data!P23)-1))/100,VALUE(raw_data!P23)),raw_data!P23))</f>
        <v>-0.23</v>
      </c>
      <c r="X23" s="3" t="str">
        <f aca="false">IF(raw_data!P23="","Missing - Defaulted to 0",IF(W23&lt;0,"Negative - Invalid",IF(W23&gt;0.3,"Above Allowed Range - Invalid","Valid")))</f>
        <v>Negative - Invalid</v>
      </c>
      <c r="Y23" s="7" t="n">
        <f aca="false">raw_data!Q23</f>
        <v>2790.76</v>
      </c>
      <c r="Z23" s="7" t="n">
        <f aca="false">raw_data!R23</f>
        <v>2037.71</v>
      </c>
      <c r="AA23" s="7" t="n">
        <f aca="false">raw_data!S23</f>
        <v>753.05</v>
      </c>
      <c r="AB23" s="3" t="str">
        <f aca="false">PROPER(TRIM(raw_data!T23))</f>
        <v>Paid</v>
      </c>
      <c r="AC23" s="3" t="str">
        <f aca="false">PROPER(TRIM(raw_data!U23))</f>
        <v>Completed</v>
      </c>
      <c r="AD23" s="7" t="n">
        <f aca="false">T23*U23*(1-W23)</f>
        <v>3432.6348</v>
      </c>
      <c r="AE23" s="7" t="n">
        <f aca="false">AD23-Z23</f>
        <v>1394.9248</v>
      </c>
      <c r="AF23" s="8" t="n">
        <f aca="false">IF(AD23=0,0,AE23/AD23)</f>
        <v>0.406371455536138</v>
      </c>
      <c r="AG23" s="3" t="str">
        <f aca="false">IF(ABS(Y23-AD23)&gt;1,"Mismatch","OK")</f>
        <v>Mismatch</v>
      </c>
      <c r="AH23" s="3" t="str">
        <f aca="false">IF(ABS(AA23-AE23)&gt;1,"Mismatch","OK")</f>
        <v>Mismatch</v>
      </c>
      <c r="AI23" s="6" t="n">
        <f aca="false">IF(B23="","",MONTH(B23))</f>
        <v>1</v>
      </c>
      <c r="AJ23" s="6" t="n">
        <f aca="false">IF(B23="","",YEAR(B23))</f>
        <v>2025</v>
      </c>
      <c r="AK23" s="3" t="str">
        <f aca="false">IF(COUNTIF(raw_data!$A$2:$A$913,A23)&gt;1,"Conflicting Duplicate - Flagged for Review","Unique")</f>
        <v>Unique</v>
      </c>
      <c r="AL23" s="3" t="str">
        <f aca="false">IF(AB23="Refunded","Yes","No")</f>
        <v>No</v>
      </c>
      <c r="AM23" s="3" t="str">
        <f aca="false">IF(OR(AC23&lt;&gt;"Completed",AB23="Failed"),"Excluded","Included")</f>
        <v>Included</v>
      </c>
      <c r="AN23" s="3" t="str">
        <f aca="false">IF(OR(D23="Invalid/Unrecognized",E23="Invalid/Unrecognized",G23="Invalid - Ship Before Order",X23="Negative - Invalid",X23="Above Allowed Range - Invalid",AG23="Mismatch",AH23="Mismatch",AK23="Conflicting Duplicate - Flagged for Review"),"Invalid",IF(OR(L23="Filled - Unknown",S23="Filled - Unknown",X23="Missing - Defaulted to 0",AL23="Yes",AC23="Cancelled",AC23="Returned"),"Warning","Clean"))</f>
        <v>Invalid</v>
      </c>
    </row>
    <row r="24" customFormat="false" ht="15" hidden="false" customHeight="false" outlineLevel="0" collapsed="false">
      <c r="A24" s="3" t="str">
        <f aca="false">raw_data!A24</f>
        <v>ORD-2025-10023</v>
      </c>
      <c r="B24" s="4" t="n">
        <f aca="false">IFERROR(IF(MID(raw_data!B24,3,1)="/",DATE(VALUE(RIGHT(raw_data!B24,4)),VALUE(LEFT(raw_data!B24,2)),VALUE(MID(raw_data!B24,4,2))),IF(MID(raw_data!B24,3,1)="-",DATE(VALUE(RIGHT(raw_data!B24,4)),VALUE(MID(raw_data!B24,4,2)),VALUE(LEFT(raw_data!B24,2))),IF(MID(raw_data!B24,5,1)="-",DATE(VALUE(LEFT(raw_data!B24,4)),VALUE(MID(raw_data!B24,6,2)),VALUE(RIGHT(raw_data!B24,2))),DATE(VALUE(RIGHT(raw_data!B24,4)),MATCH(MID(raw_data!B24,4,3),{"Jan","Feb","Mar","Apr","May","Jun","Jul","Aug","Sep","Oct","Nov","Dec"},0),VALUE(LEFT(raw_data!B24,2)))))),"")</f>
        <v>45676</v>
      </c>
      <c r="C24" s="4" t="n">
        <f aca="false">IFERROR(IF(MID(raw_data!C24,3,1)="/",DATE(VALUE(RIGHT(raw_data!C24,4)),VALUE(LEFT(raw_data!C24,2)),VALUE(MID(raw_data!C24,4,2))),IF(MID(raw_data!C24,3,1)="-",DATE(VALUE(RIGHT(raw_data!C24,4)),VALUE(MID(raw_data!C24,4,2)),VALUE(LEFT(raw_data!C24,2))),IF(MID(raw_data!C24,5,1)="-",DATE(VALUE(LEFT(raw_data!C24,4)),VALUE(MID(raw_data!C24,6,2)),VALUE(RIGHT(raw_data!C24,2))),DATE(VALUE(RIGHT(raw_data!C24,4)),MATCH(MID(raw_data!C24,4,3),{"Jan","Feb","Mar","Apr","May","Jun","Jul","Aug","Sep","Oct","Nov","Dec"},0),VALUE(LEFT(raw_data!C24,2)))))),"")</f>
        <v>45678</v>
      </c>
      <c r="D24" s="3" t="str">
        <f aca="false">IF(TRIM(raw_data!B24)="","Missing",IF(B24="","Invalid/Unrecognized","Valid"))</f>
        <v>Valid</v>
      </c>
      <c r="E24" s="3" t="str">
        <f aca="false">IF(TRIM(raw_data!C24)="","Missing",IF(C24="","Invalid/Unrecognized","Valid"))</f>
        <v>Valid</v>
      </c>
      <c r="F24" s="5" t="n">
        <f aca="false">IF(OR(B24="",C24=""),"",C24-B24)</f>
        <v>2</v>
      </c>
      <c r="G24" s="3" t="str">
        <f aca="false">IF(F24="","N/A",IF(F24&lt;0,"Invalid - Ship Before Order","OK"))</f>
        <v>OK</v>
      </c>
      <c r="H24" s="3" t="str">
        <f aca="false">raw_data!D24</f>
        <v>CUST-3588</v>
      </c>
      <c r="I24" s="3" t="str">
        <f aca="false">PROPER(TRIM(raw_data!E24))</f>
        <v>Mira Das</v>
      </c>
      <c r="J24" s="3" t="str">
        <f aca="false">PROPER(TRIM(raw_data!F24))</f>
        <v>Consumer</v>
      </c>
      <c r="K24" s="3" t="str">
        <f aca="false">IF(TRIM(raw_data!G24)="","Unknown",PROPER(TRIM(raw_data!G24)))</f>
        <v>South</v>
      </c>
      <c r="L24" s="3" t="str">
        <f aca="false">IF(TRIM(raw_data!G24)="","Filled - Unknown","OK")</f>
        <v>OK</v>
      </c>
      <c r="M24" s="3" t="str">
        <f aca="false">PROPER(TRIM(raw_data!H24))</f>
        <v>Telangana</v>
      </c>
      <c r="N24" s="3" t="str">
        <f aca="false">PROPER(TRIM(raw_data!I24))</f>
        <v>Hyderabad</v>
      </c>
      <c r="O24" s="3" t="str">
        <f aca="false">PROPER(TRIM(raw_data!J24))</f>
        <v>Office Supplies</v>
      </c>
      <c r="P24" s="3" t="str">
        <f aca="false">PROPER(TRIM(raw_data!K24))</f>
        <v>Binders</v>
      </c>
      <c r="Q24" s="3" t="str">
        <f aca="false">TRIM(raw_data!L24)</f>
        <v>Max Binders 355</v>
      </c>
      <c r="R24" s="3" t="str">
        <f aca="false">IF(TRIM(raw_data!M24)="","Unknown",PROPER(TRIM(raw_data!M24)))</f>
        <v>Standard Class</v>
      </c>
      <c r="S24" s="3" t="str">
        <f aca="false">IF(TRIM(raw_data!M24)="","Filled - Unknown","OK")</f>
        <v>OK</v>
      </c>
      <c r="T24" s="6" t="n">
        <f aca="false">raw_data!N24</f>
        <v>8</v>
      </c>
      <c r="U24" s="7" t="n">
        <f aca="false">raw_data!O24</f>
        <v>1219.34</v>
      </c>
      <c r="V24" s="8" t="n">
        <f aca="false">raw_data!P24</f>
        <v>0.15</v>
      </c>
      <c r="W24" s="8" t="n">
        <f aca="false">IF(raw_data!P24="",0,IF(ISTEXT(raw_data!P24),IF(RIGHT(raw_data!P24,1)="%",VALUE(LEFT(raw_data!P24,LEN(raw_data!P24)-1))/100,VALUE(raw_data!P24)),raw_data!P24))</f>
        <v>0.15</v>
      </c>
      <c r="X24" s="3" t="str">
        <f aca="false">IF(raw_data!P24="","Missing - Defaulted to 0",IF(W24&lt;0,"Negative - Invalid",IF(W24&gt;0.3,"Above Allowed Range - Invalid","Valid")))</f>
        <v>Valid</v>
      </c>
      <c r="Y24" s="7" t="n">
        <f aca="false">raw_data!Q24</f>
        <v>8291.51</v>
      </c>
      <c r="Z24" s="7" t="n">
        <f aca="false">raw_data!R24</f>
        <v>6685.03</v>
      </c>
      <c r="AA24" s="7" t="n">
        <f aca="false">raw_data!S24</f>
        <v>1606.48</v>
      </c>
      <c r="AB24" s="3" t="str">
        <f aca="false">PROPER(TRIM(raw_data!T24))</f>
        <v>Failed</v>
      </c>
      <c r="AC24" s="3" t="str">
        <f aca="false">PROPER(TRIM(raw_data!U24))</f>
        <v>Returned</v>
      </c>
      <c r="AD24" s="7" t="n">
        <f aca="false">T24*U24*(1-W24)</f>
        <v>8291.512</v>
      </c>
      <c r="AE24" s="7" t="n">
        <f aca="false">AD24-Z24</f>
        <v>1606.482</v>
      </c>
      <c r="AF24" s="8" t="n">
        <f aca="false">IF(AD24=0,0,AE24/AD24)</f>
        <v>0.19375018693816</v>
      </c>
      <c r="AG24" s="3" t="str">
        <f aca="false">IF(ABS(Y24-AD24)&gt;1,"Mismatch","OK")</f>
        <v>OK</v>
      </c>
      <c r="AH24" s="3" t="str">
        <f aca="false">IF(ABS(AA24-AE24)&gt;1,"Mismatch","OK")</f>
        <v>OK</v>
      </c>
      <c r="AI24" s="6" t="n">
        <f aca="false">IF(B24="","",MONTH(B24))</f>
        <v>1</v>
      </c>
      <c r="AJ24" s="6" t="n">
        <f aca="false">IF(B24="","",YEAR(B24))</f>
        <v>2025</v>
      </c>
      <c r="AK24" s="3" t="str">
        <f aca="false">IF(COUNTIF(raw_data!$A$2:$A$913,A24)&gt;1,"Conflicting Duplicate - Flagged for Review","Unique")</f>
        <v>Unique</v>
      </c>
      <c r="AL24" s="3" t="str">
        <f aca="false">IF(AB24="Refunded","Yes","No")</f>
        <v>No</v>
      </c>
      <c r="AM24" s="3" t="str">
        <f aca="false">IF(OR(AC24&lt;&gt;"Completed",AB24="Failed"),"Excluded","Included")</f>
        <v>Excluded</v>
      </c>
      <c r="AN24" s="3" t="str">
        <f aca="false">IF(OR(D24="Invalid/Unrecognized",E24="Invalid/Unrecognized",G24="Invalid - Ship Before Order",X24="Negative - Invalid",X24="Above Allowed Range - Invalid",AG24="Mismatch",AH24="Mismatch",AK24="Conflicting Duplicate - Flagged for Review"),"Invalid",IF(OR(L24="Filled - Unknown",S24="Filled - Unknown",X24="Missing - Defaulted to 0",AL24="Yes",AC24="Cancelled",AC24="Returned"),"Warning","Clean"))</f>
        <v>Warning</v>
      </c>
    </row>
    <row r="25" customFormat="false" ht="15" hidden="false" customHeight="false" outlineLevel="0" collapsed="false">
      <c r="A25" s="3" t="str">
        <f aca="false">raw_data!A25</f>
        <v>ORD-2025-10024</v>
      </c>
      <c r="B25" s="4" t="n">
        <f aca="false">IFERROR(IF(MID(raw_data!B25,3,1)="/",DATE(VALUE(RIGHT(raw_data!B25,4)),VALUE(LEFT(raw_data!B25,2)),VALUE(MID(raw_data!B25,4,2))),IF(MID(raw_data!B25,3,1)="-",DATE(VALUE(RIGHT(raw_data!B25,4)),VALUE(MID(raw_data!B25,4,2)),VALUE(LEFT(raw_data!B25,2))),IF(MID(raw_data!B25,5,1)="-",DATE(VALUE(LEFT(raw_data!B25,4)),VALUE(MID(raw_data!B25,6,2)),VALUE(RIGHT(raw_data!B25,2))),DATE(VALUE(RIGHT(raw_data!B25,4)),MATCH(MID(raw_data!B25,4,3),{"Jan","Feb","Mar","Apr","May","Jun","Jul","Aug","Sep","Oct","Nov","Dec"},0),VALUE(LEFT(raw_data!B25,2)))))),"")</f>
        <v>45898</v>
      </c>
      <c r="C25" s="4" t="n">
        <f aca="false">IFERROR(IF(MID(raw_data!C25,3,1)="/",DATE(VALUE(RIGHT(raw_data!C25,4)),VALUE(LEFT(raw_data!C25,2)),VALUE(MID(raw_data!C25,4,2))),IF(MID(raw_data!C25,3,1)="-",DATE(VALUE(RIGHT(raw_data!C25,4)),VALUE(MID(raw_data!C25,4,2)),VALUE(LEFT(raw_data!C25,2))),IF(MID(raw_data!C25,5,1)="-",DATE(VALUE(LEFT(raw_data!C25,4)),VALUE(MID(raw_data!C25,6,2)),VALUE(RIGHT(raw_data!C25,2))),DATE(VALUE(RIGHT(raw_data!C25,4)),MATCH(MID(raw_data!C25,4,3),{"Jan","Feb","Mar","Apr","May","Jun","Jul","Aug","Sep","Oct","Nov","Dec"},0),VALUE(LEFT(raw_data!C25,2)))))),"")</f>
        <v>45900</v>
      </c>
      <c r="D25" s="3" t="str">
        <f aca="false">IF(TRIM(raw_data!B25)="","Missing",IF(B25="","Invalid/Unrecognized","Valid"))</f>
        <v>Valid</v>
      </c>
      <c r="E25" s="3" t="str">
        <f aca="false">IF(TRIM(raw_data!C25)="","Missing",IF(C25="","Invalid/Unrecognized","Valid"))</f>
        <v>Valid</v>
      </c>
      <c r="F25" s="5" t="n">
        <f aca="false">IF(OR(B25="",C25=""),"",C25-B25)</f>
        <v>2</v>
      </c>
      <c r="G25" s="3" t="str">
        <f aca="false">IF(F25="","N/A",IF(F25&lt;0,"Invalid - Ship Before Order","OK"))</f>
        <v>OK</v>
      </c>
      <c r="H25" s="3" t="str">
        <f aca="false">raw_data!D25</f>
        <v>CUST-7098</v>
      </c>
      <c r="I25" s="3" t="str">
        <f aca="false">PROPER(TRIM(raw_data!E25))</f>
        <v>Rahul Verma</v>
      </c>
      <c r="J25" s="3" t="str">
        <f aca="false">PROPER(TRIM(raw_data!F25))</f>
        <v>Home Office</v>
      </c>
      <c r="K25" s="3" t="str">
        <f aca="false">IF(TRIM(raw_data!G25)="","Unknown",PROPER(TRIM(raw_data!G25)))</f>
        <v>East</v>
      </c>
      <c r="L25" s="3" t="str">
        <f aca="false">IF(TRIM(raw_data!G25)="","Filled - Unknown","OK")</f>
        <v>OK</v>
      </c>
      <c r="M25" s="3" t="str">
        <f aca="false">PROPER(TRIM(raw_data!H25))</f>
        <v>Bihar</v>
      </c>
      <c r="N25" s="3" t="str">
        <f aca="false">PROPER(TRIM(raw_data!I25))</f>
        <v>Patna</v>
      </c>
      <c r="O25" s="3" t="str">
        <f aca="false">PROPER(TRIM(raw_data!J25))</f>
        <v>Furniture</v>
      </c>
      <c r="P25" s="3" t="str">
        <f aca="false">PROPER(TRIM(raw_data!K25))</f>
        <v>Bookcases</v>
      </c>
      <c r="Q25" s="3" t="str">
        <f aca="false">TRIM(raw_data!L25)</f>
        <v>Pro Bookcases 394</v>
      </c>
      <c r="R25" s="3" t="str">
        <f aca="false">IF(TRIM(raw_data!M25)="","Unknown",PROPER(TRIM(raw_data!M25)))</f>
        <v>First Class</v>
      </c>
      <c r="S25" s="3" t="str">
        <f aca="false">IF(TRIM(raw_data!M25)="","Filled - Unknown","OK")</f>
        <v>OK</v>
      </c>
      <c r="T25" s="6" t="n">
        <f aca="false">raw_data!N25</f>
        <v>4</v>
      </c>
      <c r="U25" s="7" t="n">
        <f aca="false">raw_data!O25</f>
        <v>1958.01</v>
      </c>
      <c r="V25" s="8" t="n">
        <f aca="false">raw_data!P25</f>
        <v>0.2</v>
      </c>
      <c r="W25" s="8" t="n">
        <f aca="false">IF(raw_data!P25="",0,IF(ISTEXT(raw_data!P25),IF(RIGHT(raw_data!P25,1)="%",VALUE(LEFT(raw_data!P25,LEN(raw_data!P25)-1))/100,VALUE(raw_data!P25)),raw_data!P25))</f>
        <v>0.2</v>
      </c>
      <c r="X25" s="3" t="str">
        <f aca="false">IF(raw_data!P25="","Missing - Defaulted to 0",IF(W25&lt;0,"Negative - Invalid",IF(W25&gt;0.3,"Above Allowed Range - Invalid","Valid")))</f>
        <v>Valid</v>
      </c>
      <c r="Y25" s="7" t="n">
        <f aca="false">raw_data!Q25</f>
        <v>6265.63</v>
      </c>
      <c r="Z25" s="7" t="n">
        <f aca="false">raw_data!R25</f>
        <v>4321.86</v>
      </c>
      <c r="AA25" s="7" t="n">
        <f aca="false">raw_data!S25</f>
        <v>1943.77</v>
      </c>
      <c r="AB25" s="3" t="str">
        <f aca="false">PROPER(TRIM(raw_data!T25))</f>
        <v>Paid</v>
      </c>
      <c r="AC25" s="3" t="str">
        <f aca="false">PROPER(TRIM(raw_data!U25))</f>
        <v>Completed</v>
      </c>
      <c r="AD25" s="7" t="n">
        <f aca="false">T25*U25*(1-W25)</f>
        <v>6265.632</v>
      </c>
      <c r="AE25" s="7" t="n">
        <f aca="false">AD25-Z25</f>
        <v>1943.772</v>
      </c>
      <c r="AF25" s="8" t="n">
        <f aca="false">IF(AD25=0,0,AE25/AD25)</f>
        <v>0.310227603536244</v>
      </c>
      <c r="AG25" s="3" t="str">
        <f aca="false">IF(ABS(Y25-AD25)&gt;1,"Mismatch","OK")</f>
        <v>OK</v>
      </c>
      <c r="AH25" s="3" t="str">
        <f aca="false">IF(ABS(AA25-AE25)&gt;1,"Mismatch","OK")</f>
        <v>OK</v>
      </c>
      <c r="AI25" s="6" t="n">
        <f aca="false">IF(B25="","",MONTH(B25))</f>
        <v>8</v>
      </c>
      <c r="AJ25" s="6" t="n">
        <f aca="false">IF(B25="","",YEAR(B25))</f>
        <v>2025</v>
      </c>
      <c r="AK25" s="3" t="str">
        <f aca="false">IF(COUNTIF(raw_data!$A$2:$A$913,A25)&gt;1,"Conflicting Duplicate - Flagged for Review","Unique")</f>
        <v>Unique</v>
      </c>
      <c r="AL25" s="3" t="str">
        <f aca="false">IF(AB25="Refunded","Yes","No")</f>
        <v>No</v>
      </c>
      <c r="AM25" s="3" t="str">
        <f aca="false">IF(OR(AC25&lt;&gt;"Completed",AB25="Failed"),"Excluded","Included")</f>
        <v>Included</v>
      </c>
      <c r="AN25" s="3" t="str">
        <f aca="false">IF(OR(D25="Invalid/Unrecognized",E25="Invalid/Unrecognized",G25="Invalid - Ship Before Order",X25="Negative - Invalid",X25="Above Allowed Range - Invalid",AG25="Mismatch",AH25="Mismatch",AK25="Conflicting Duplicate - Flagged for Review"),"Invalid",IF(OR(L25="Filled - Unknown",S25="Filled - Unknown",X25="Missing - Defaulted to 0",AL25="Yes",AC25="Cancelled",AC25="Returned"),"Warning","Clean"))</f>
        <v>Clean</v>
      </c>
    </row>
    <row r="26" customFormat="false" ht="15" hidden="false" customHeight="false" outlineLevel="0" collapsed="false">
      <c r="A26" s="3" t="str">
        <f aca="false">raw_data!A26</f>
        <v>ORD-2024-10025</v>
      </c>
      <c r="B26" s="4" t="n">
        <f aca="false">IFERROR(IF(MID(raw_data!B26,3,1)="/",DATE(VALUE(RIGHT(raw_data!B26,4)),VALUE(LEFT(raw_data!B26,2)),VALUE(MID(raw_data!B26,4,2))),IF(MID(raw_data!B26,3,1)="-",DATE(VALUE(RIGHT(raw_data!B26,4)),VALUE(MID(raw_data!B26,4,2)),VALUE(LEFT(raw_data!B26,2))),IF(MID(raw_data!B26,5,1)="-",DATE(VALUE(LEFT(raw_data!B26,4)),VALUE(MID(raw_data!B26,6,2)),VALUE(RIGHT(raw_data!B26,2))),DATE(VALUE(RIGHT(raw_data!B26,4)),MATCH(MID(raw_data!B26,4,3),{"Jan","Feb","Mar","Apr","May","Jun","Jul","Aug","Sep","Oct","Nov","Dec"},0),VALUE(LEFT(raw_data!B26,2)))))),"")</f>
        <v>45355</v>
      </c>
      <c r="C26" s="4" t="n">
        <f aca="false">IFERROR(IF(MID(raw_data!C26,3,1)="/",DATE(VALUE(RIGHT(raw_data!C26,4)),VALUE(LEFT(raw_data!C26,2)),VALUE(MID(raw_data!C26,4,2))),IF(MID(raw_data!C26,3,1)="-",DATE(VALUE(RIGHT(raw_data!C26,4)),VALUE(MID(raw_data!C26,4,2)),VALUE(LEFT(raw_data!C26,2))),IF(MID(raw_data!C26,5,1)="-",DATE(VALUE(LEFT(raw_data!C26,4)),VALUE(MID(raw_data!C26,6,2)),VALUE(RIGHT(raw_data!C26,2))),DATE(VALUE(RIGHT(raw_data!C26,4)),MATCH(MID(raw_data!C26,4,3),{"Jan","Feb","Mar","Apr","May","Jun","Jul","Aug","Sep","Oct","Nov","Dec"},0),VALUE(LEFT(raw_data!C26,2)))))),"")</f>
        <v>45352</v>
      </c>
      <c r="D26" s="3" t="str">
        <f aca="false">IF(TRIM(raw_data!B26)="","Missing",IF(B26="","Invalid/Unrecognized","Valid"))</f>
        <v>Valid</v>
      </c>
      <c r="E26" s="3" t="str">
        <f aca="false">IF(TRIM(raw_data!C26)="","Missing",IF(C26="","Invalid/Unrecognized","Valid"))</f>
        <v>Valid</v>
      </c>
      <c r="F26" s="5" t="n">
        <f aca="false">IF(OR(B26="",C26=""),"",C26-B26)</f>
        <v>-3</v>
      </c>
      <c r="G26" s="3" t="str">
        <f aca="false">IF(F26="","N/A",IF(F26&lt;0,"Invalid - Ship Before Order","OK"))</f>
        <v>Invalid - Ship Before Order</v>
      </c>
      <c r="H26" s="3" t="str">
        <f aca="false">raw_data!D26</f>
        <v>CUST-1747</v>
      </c>
      <c r="I26" s="3" t="str">
        <f aca="false">PROPER(TRIM(raw_data!E26))</f>
        <v>Diya Patel</v>
      </c>
      <c r="J26" s="3" t="str">
        <f aca="false">PROPER(TRIM(raw_data!F26))</f>
        <v>Consumer</v>
      </c>
      <c r="K26" s="3" t="str">
        <f aca="false">IF(TRIM(raw_data!G26)="","Unknown",PROPER(TRIM(raw_data!G26)))</f>
        <v>North</v>
      </c>
      <c r="L26" s="3" t="str">
        <f aca="false">IF(TRIM(raw_data!G26)="","Filled - Unknown","OK")</f>
        <v>OK</v>
      </c>
      <c r="M26" s="3" t="str">
        <f aca="false">PROPER(TRIM(raw_data!H26))</f>
        <v>Punjab</v>
      </c>
      <c r="N26" s="3" t="str">
        <f aca="false">PROPER(TRIM(raw_data!I26))</f>
        <v>Ludhiana</v>
      </c>
      <c r="O26" s="3" t="str">
        <f aca="false">PROPER(TRIM(raw_data!J26))</f>
        <v>Office Supplies</v>
      </c>
      <c r="P26" s="3" t="str">
        <f aca="false">PROPER(TRIM(raw_data!K26))</f>
        <v>Art</v>
      </c>
      <c r="Q26" s="3" t="str">
        <f aca="false">TRIM(raw_data!L26)</f>
        <v>Max Art 215</v>
      </c>
      <c r="R26" s="3" t="str">
        <f aca="false">IF(TRIM(raw_data!M26)="","Unknown",PROPER(TRIM(raw_data!M26)))</f>
        <v>Standard Class</v>
      </c>
      <c r="S26" s="3" t="str">
        <f aca="false">IF(TRIM(raw_data!M26)="","Filled - Unknown","OK")</f>
        <v>OK</v>
      </c>
      <c r="T26" s="6" t="n">
        <f aca="false">raw_data!N26</f>
        <v>4</v>
      </c>
      <c r="U26" s="7" t="n">
        <f aca="false">raw_data!O26</f>
        <v>4492.94</v>
      </c>
      <c r="V26" s="8" t="n">
        <f aca="false">raw_data!P26</f>
        <v>0.25</v>
      </c>
      <c r="W26" s="8" t="n">
        <f aca="false">IF(raw_data!P26="",0,IF(ISTEXT(raw_data!P26),IF(RIGHT(raw_data!P26,1)="%",VALUE(LEFT(raw_data!P26,LEN(raw_data!P26)-1))/100,VALUE(raw_data!P26)),raw_data!P26))</f>
        <v>0.25</v>
      </c>
      <c r="X26" s="3" t="str">
        <f aca="false">IF(raw_data!P26="","Missing - Defaulted to 0",IF(W26&lt;0,"Negative - Invalid",IF(W26&gt;0.3,"Above Allowed Range - Invalid","Valid")))</f>
        <v>Valid</v>
      </c>
      <c r="Y26" s="7" t="n">
        <f aca="false">raw_data!Q26</f>
        <v>13478.82</v>
      </c>
      <c r="Z26" s="7" t="n">
        <f aca="false">raw_data!R26</f>
        <v>10937.35</v>
      </c>
      <c r="AA26" s="7" t="n">
        <f aca="false">raw_data!S26</f>
        <v>2541.47</v>
      </c>
      <c r="AB26" s="3" t="str">
        <f aca="false">PROPER(TRIM(raw_data!T26))</f>
        <v>Pending</v>
      </c>
      <c r="AC26" s="3" t="str">
        <f aca="false">PROPER(TRIM(raw_data!U26))</f>
        <v>Cancelled</v>
      </c>
      <c r="AD26" s="7" t="n">
        <f aca="false">T26*U26*(1-W26)</f>
        <v>13478.82</v>
      </c>
      <c r="AE26" s="7" t="n">
        <f aca="false">AD26-Z26</f>
        <v>2541.47</v>
      </c>
      <c r="AF26" s="8" t="n">
        <f aca="false">IF(AD26=0,0,AE26/AD26)</f>
        <v>0.188552855517026</v>
      </c>
      <c r="AG26" s="3" t="str">
        <f aca="false">IF(ABS(Y26-AD26)&gt;1,"Mismatch","OK")</f>
        <v>OK</v>
      </c>
      <c r="AH26" s="3" t="str">
        <f aca="false">IF(ABS(AA26-AE26)&gt;1,"Mismatch","OK")</f>
        <v>OK</v>
      </c>
      <c r="AI26" s="6" t="n">
        <f aca="false">IF(B26="","",MONTH(B26))</f>
        <v>3</v>
      </c>
      <c r="AJ26" s="6" t="n">
        <f aca="false">IF(B26="","",YEAR(B26))</f>
        <v>2024</v>
      </c>
      <c r="AK26" s="3" t="str">
        <f aca="false">IF(COUNTIF(raw_data!$A$2:$A$913,A26)&gt;1,"Conflicting Duplicate - Flagged for Review","Unique")</f>
        <v>Unique</v>
      </c>
      <c r="AL26" s="3" t="str">
        <f aca="false">IF(AB26="Refunded","Yes","No")</f>
        <v>No</v>
      </c>
      <c r="AM26" s="3" t="str">
        <f aca="false">IF(OR(AC26&lt;&gt;"Completed",AB26="Failed"),"Excluded","Included")</f>
        <v>Excluded</v>
      </c>
      <c r="AN26" s="3" t="str">
        <f aca="false">IF(OR(D26="Invalid/Unrecognized",E26="Invalid/Unrecognized",G26="Invalid - Ship Before Order",X26="Negative - Invalid",X26="Above Allowed Range - Invalid",AG26="Mismatch",AH26="Mismatch",AK26="Conflicting Duplicate - Flagged for Review"),"Invalid",IF(OR(L26="Filled - Unknown",S26="Filled - Unknown",X26="Missing - Defaulted to 0",AL26="Yes",AC26="Cancelled",AC26="Returned"),"Warning","Clean"))</f>
        <v>Invalid</v>
      </c>
    </row>
    <row r="27" customFormat="false" ht="15" hidden="false" customHeight="false" outlineLevel="0" collapsed="false">
      <c r="A27" s="3" t="str">
        <f aca="false">raw_data!A27</f>
        <v>ORD-2024-10026</v>
      </c>
      <c r="B27" s="4" t="n">
        <f aca="false">IFERROR(IF(MID(raw_data!B27,3,1)="/",DATE(VALUE(RIGHT(raw_data!B27,4)),VALUE(LEFT(raw_data!B27,2)),VALUE(MID(raw_data!B27,4,2))),IF(MID(raw_data!B27,3,1)="-",DATE(VALUE(RIGHT(raw_data!B27,4)),VALUE(MID(raw_data!B27,4,2)),VALUE(LEFT(raw_data!B27,2))),IF(MID(raw_data!B27,5,1)="-",DATE(VALUE(LEFT(raw_data!B27,4)),VALUE(MID(raw_data!B27,6,2)),VALUE(RIGHT(raw_data!B27,2))),DATE(VALUE(RIGHT(raw_data!B27,4)),MATCH(MID(raw_data!B27,4,3),{"Jan","Feb","Mar","Apr","May","Jun","Jul","Aug","Sep","Oct","Nov","Dec"},0),VALUE(LEFT(raw_data!B27,2)))))),"")</f>
        <v>45576</v>
      </c>
      <c r="C27" s="4" t="n">
        <f aca="false">IFERROR(IF(MID(raw_data!C27,3,1)="/",DATE(VALUE(RIGHT(raw_data!C27,4)),VALUE(LEFT(raw_data!C27,2)),VALUE(MID(raw_data!C27,4,2))),IF(MID(raw_data!C27,3,1)="-",DATE(VALUE(RIGHT(raw_data!C27,4)),VALUE(MID(raw_data!C27,4,2)),VALUE(LEFT(raw_data!C27,2))),IF(MID(raw_data!C27,5,1)="-",DATE(VALUE(LEFT(raw_data!C27,4)),VALUE(MID(raw_data!C27,6,2)),VALUE(RIGHT(raw_data!C27,2))),DATE(VALUE(RIGHT(raw_data!C27,4)),MATCH(MID(raw_data!C27,4,3),{"Jan","Feb","Mar","Apr","May","Jun","Jul","Aug","Sep","Oct","Nov","Dec"},0),VALUE(LEFT(raw_data!C27,2)))))),"")</f>
        <v>45584</v>
      </c>
      <c r="D27" s="3" t="str">
        <f aca="false">IF(TRIM(raw_data!B27)="","Missing",IF(B27="","Invalid/Unrecognized","Valid"))</f>
        <v>Valid</v>
      </c>
      <c r="E27" s="3" t="str">
        <f aca="false">IF(TRIM(raw_data!C27)="","Missing",IF(C27="","Invalid/Unrecognized","Valid"))</f>
        <v>Valid</v>
      </c>
      <c r="F27" s="5" t="n">
        <f aca="false">IF(OR(B27="",C27=""),"",C27-B27)</f>
        <v>8</v>
      </c>
      <c r="G27" s="3" t="str">
        <f aca="false">IF(F27="","N/A",IF(F27&lt;0,"Invalid - Ship Before Order","OK"))</f>
        <v>OK</v>
      </c>
      <c r="H27" s="3" t="str">
        <f aca="false">raw_data!D27</f>
        <v>CUST-1731</v>
      </c>
      <c r="I27" s="3" t="str">
        <f aca="false">PROPER(TRIM(raw_data!E27))</f>
        <v>Arjun Bose</v>
      </c>
      <c r="J27" s="3" t="str">
        <f aca="false">PROPER(TRIM(raw_data!F27))</f>
        <v>Corporate</v>
      </c>
      <c r="K27" s="3" t="str">
        <f aca="false">IF(TRIM(raw_data!G27)="","Unknown",PROPER(TRIM(raw_data!G27)))</f>
        <v>East</v>
      </c>
      <c r="L27" s="3" t="str">
        <f aca="false">IF(TRIM(raw_data!G27)="","Filled - Unknown","OK")</f>
        <v>OK</v>
      </c>
      <c r="M27" s="3" t="str">
        <f aca="false">PROPER(TRIM(raw_data!H27))</f>
        <v>Assam</v>
      </c>
      <c r="N27" s="3" t="str">
        <f aca="false">PROPER(TRIM(raw_data!I27))</f>
        <v>Guwahati</v>
      </c>
      <c r="O27" s="3" t="str">
        <f aca="false">PROPER(TRIM(raw_data!J27))</f>
        <v>Technology</v>
      </c>
      <c r="P27" s="3" t="str">
        <f aca="false">PROPER(TRIM(raw_data!K27))</f>
        <v>Accessories</v>
      </c>
      <c r="Q27" s="3" t="str">
        <f aca="false">TRIM(raw_data!L27)</f>
        <v>Classic Accessories 478</v>
      </c>
      <c r="R27" s="3" t="str">
        <f aca="false">IF(TRIM(raw_data!M27)="","Unknown",PROPER(TRIM(raw_data!M27)))</f>
        <v>First Class</v>
      </c>
      <c r="S27" s="3" t="str">
        <f aca="false">IF(TRIM(raw_data!M27)="","Filled - Unknown","OK")</f>
        <v>OK</v>
      </c>
      <c r="T27" s="6" t="n">
        <f aca="false">raw_data!N27</f>
        <v>2</v>
      </c>
      <c r="U27" s="7" t="n">
        <f aca="false">raw_data!O27</f>
        <v>4315.2</v>
      </c>
      <c r="V27" s="8" t="n">
        <f aca="false">raw_data!P27</f>
        <v>0.15</v>
      </c>
      <c r="W27" s="8" t="n">
        <f aca="false">IF(raw_data!P27="",0,IF(ISTEXT(raw_data!P27),IF(RIGHT(raw_data!P27,1)="%",VALUE(LEFT(raw_data!P27,LEN(raw_data!P27)-1))/100,VALUE(raw_data!P27)),raw_data!P27))</f>
        <v>0.15</v>
      </c>
      <c r="X27" s="3" t="str">
        <f aca="false">IF(raw_data!P27="","Missing - Defaulted to 0",IF(W27&lt;0,"Negative - Invalid",IF(W27&gt;0.3,"Above Allowed Range - Invalid","Valid")))</f>
        <v>Valid</v>
      </c>
      <c r="Y27" s="7" t="n">
        <f aca="false">raw_data!Q27</f>
        <v>7335.84</v>
      </c>
      <c r="Z27" s="7" t="n">
        <f aca="false">raw_data!R27</f>
        <v>4968.41</v>
      </c>
      <c r="AA27" s="7" t="n">
        <f aca="false">raw_data!S27</f>
        <v>2367.43</v>
      </c>
      <c r="AB27" s="3" t="str">
        <f aca="false">PROPER(TRIM(raw_data!T27))</f>
        <v>Paid</v>
      </c>
      <c r="AC27" s="3" t="str">
        <f aca="false">PROPER(TRIM(raw_data!U27))</f>
        <v>Completed</v>
      </c>
      <c r="AD27" s="7" t="n">
        <f aca="false">T27*U27*(1-W27)</f>
        <v>7335.84</v>
      </c>
      <c r="AE27" s="7" t="n">
        <f aca="false">AD27-Z27</f>
        <v>2367.43</v>
      </c>
      <c r="AF27" s="8" t="n">
        <f aca="false">IF(AD27=0,0,AE27/AD27)</f>
        <v>0.322721051713233</v>
      </c>
      <c r="AG27" s="3" t="str">
        <f aca="false">IF(ABS(Y27-AD27)&gt;1,"Mismatch","OK")</f>
        <v>OK</v>
      </c>
      <c r="AH27" s="3" t="str">
        <f aca="false">IF(ABS(AA27-AE27)&gt;1,"Mismatch","OK")</f>
        <v>OK</v>
      </c>
      <c r="AI27" s="6" t="n">
        <f aca="false">IF(B27="","",MONTH(B27))</f>
        <v>10</v>
      </c>
      <c r="AJ27" s="6" t="n">
        <f aca="false">IF(B27="","",YEAR(B27))</f>
        <v>2024</v>
      </c>
      <c r="AK27" s="3" t="str">
        <f aca="false">IF(COUNTIF(raw_data!$A$2:$A$913,A27)&gt;1,"Conflicting Duplicate - Flagged for Review","Unique")</f>
        <v>Unique</v>
      </c>
      <c r="AL27" s="3" t="str">
        <f aca="false">IF(AB27="Refunded","Yes","No")</f>
        <v>No</v>
      </c>
      <c r="AM27" s="3" t="str">
        <f aca="false">IF(OR(AC27&lt;&gt;"Completed",AB27="Failed"),"Excluded","Included")</f>
        <v>Included</v>
      </c>
      <c r="AN27" s="3" t="str">
        <f aca="false">IF(OR(D27="Invalid/Unrecognized",E27="Invalid/Unrecognized",G27="Invalid - Ship Before Order",X27="Negative - Invalid",X27="Above Allowed Range - Invalid",AG27="Mismatch",AH27="Mismatch",AK27="Conflicting Duplicate - Flagged for Review"),"Invalid",IF(OR(L27="Filled - Unknown",S27="Filled - Unknown",X27="Missing - Defaulted to 0",AL27="Yes",AC27="Cancelled",AC27="Returned"),"Warning","Clean"))</f>
        <v>Clean</v>
      </c>
    </row>
    <row r="28" customFormat="false" ht="15" hidden="false" customHeight="false" outlineLevel="0" collapsed="false">
      <c r="A28" s="3" t="str">
        <f aca="false">raw_data!A28</f>
        <v>ORD-2024-10027</v>
      </c>
      <c r="B28" s="4" t="n">
        <f aca="false">IFERROR(IF(MID(raw_data!B28,3,1)="/",DATE(VALUE(RIGHT(raw_data!B28,4)),VALUE(LEFT(raw_data!B28,2)),VALUE(MID(raw_data!B28,4,2))),IF(MID(raw_data!B28,3,1)="-",DATE(VALUE(RIGHT(raw_data!B28,4)),VALUE(MID(raw_data!B28,4,2)),VALUE(LEFT(raw_data!B28,2))),IF(MID(raw_data!B28,5,1)="-",DATE(VALUE(LEFT(raw_data!B28,4)),VALUE(MID(raw_data!B28,6,2)),VALUE(RIGHT(raw_data!B28,2))),DATE(VALUE(RIGHT(raw_data!B28,4)),MATCH(MID(raw_data!B28,4,3),{"Jan","Feb","Mar","Apr","May","Jun","Jul","Aug","Sep","Oct","Nov","Dec"},0),VALUE(LEFT(raw_data!B28,2)))))),"")</f>
        <v>45619</v>
      </c>
      <c r="C28" s="4" t="n">
        <f aca="false">IFERROR(IF(MID(raw_data!C28,3,1)="/",DATE(VALUE(RIGHT(raw_data!C28,4)),VALUE(LEFT(raw_data!C28,2)),VALUE(MID(raw_data!C28,4,2))),IF(MID(raw_data!C28,3,1)="-",DATE(VALUE(RIGHT(raw_data!C28,4)),VALUE(MID(raw_data!C28,4,2)),VALUE(LEFT(raw_data!C28,2))),IF(MID(raw_data!C28,5,1)="-",DATE(VALUE(LEFT(raw_data!C28,4)),VALUE(MID(raw_data!C28,6,2)),VALUE(RIGHT(raw_data!C28,2))),DATE(VALUE(RIGHT(raw_data!C28,4)),MATCH(MID(raw_data!C28,4,3),{"Jan","Feb","Mar","Apr","May","Jun","Jul","Aug","Sep","Oct","Nov","Dec"},0),VALUE(LEFT(raw_data!C28,2)))))),"")</f>
        <v>45619</v>
      </c>
      <c r="D28" s="3" t="str">
        <f aca="false">IF(TRIM(raw_data!B28)="","Missing",IF(B28="","Invalid/Unrecognized","Valid"))</f>
        <v>Valid</v>
      </c>
      <c r="E28" s="3" t="str">
        <f aca="false">IF(TRIM(raw_data!C28)="","Missing",IF(C28="","Invalid/Unrecognized","Valid"))</f>
        <v>Valid</v>
      </c>
      <c r="F28" s="5" t="n">
        <f aca="false">IF(OR(B28="",C28=""),"",C28-B28)</f>
        <v>0</v>
      </c>
      <c r="G28" s="3" t="str">
        <f aca="false">IF(F28="","N/A",IF(F28&lt;0,"Invalid - Ship Before Order","OK"))</f>
        <v>OK</v>
      </c>
      <c r="H28" s="3" t="str">
        <f aca="false">raw_data!D28</f>
        <v>CUST-4401</v>
      </c>
      <c r="I28" s="3" t="str">
        <f aca="false">PROPER(TRIM(raw_data!E28))</f>
        <v>Diya Patel</v>
      </c>
      <c r="J28" s="3" t="str">
        <f aca="false">PROPER(TRIM(raw_data!F28))</f>
        <v>Corporate</v>
      </c>
      <c r="K28" s="3" t="str">
        <f aca="false">IF(TRIM(raw_data!G28)="","Unknown",PROPER(TRIM(raw_data!G28)))</f>
        <v>North</v>
      </c>
      <c r="L28" s="3" t="str">
        <f aca="false">IF(TRIM(raw_data!G28)="","Filled - Unknown","OK")</f>
        <v>OK</v>
      </c>
      <c r="M28" s="3" t="str">
        <f aca="false">PROPER(TRIM(raw_data!H28))</f>
        <v>Uttar Pradesh</v>
      </c>
      <c r="N28" s="3" t="str">
        <f aca="false">PROPER(TRIM(raw_data!I28))</f>
        <v>Noida</v>
      </c>
      <c r="O28" s="3" t="str">
        <f aca="false">PROPER(TRIM(raw_data!J28))</f>
        <v>Technology</v>
      </c>
      <c r="P28" s="3" t="str">
        <f aca="false">PROPER(TRIM(raw_data!K28))</f>
        <v>Phones</v>
      </c>
      <c r="Q28" s="3" t="str">
        <f aca="false">TRIM(raw_data!L28)</f>
        <v>Pro Phones 243</v>
      </c>
      <c r="R28" s="3" t="str">
        <f aca="false">IF(TRIM(raw_data!M28)="","Unknown",PROPER(TRIM(raw_data!M28)))</f>
        <v>Standard Class</v>
      </c>
      <c r="S28" s="3" t="str">
        <f aca="false">IF(TRIM(raw_data!M28)="","Filled - Unknown","OK")</f>
        <v>OK</v>
      </c>
      <c r="T28" s="6" t="n">
        <f aca="false">raw_data!N28</f>
        <v>4</v>
      </c>
      <c r="U28" s="7" t="n">
        <f aca="false">raw_data!O28</f>
        <v>716.13</v>
      </c>
      <c r="V28" s="8" t="n">
        <f aca="false">raw_data!P28</f>
        <v>0.1</v>
      </c>
      <c r="W28" s="8" t="n">
        <f aca="false">IF(raw_data!P28="",0,IF(ISTEXT(raw_data!P28),IF(RIGHT(raw_data!P28,1)="%",VALUE(LEFT(raw_data!P28,LEN(raw_data!P28)-1))/100,VALUE(raw_data!P28)),raw_data!P28))</f>
        <v>0.1</v>
      </c>
      <c r="X28" s="3" t="str">
        <f aca="false">IF(raw_data!P28="","Missing - Defaulted to 0",IF(W28&lt;0,"Negative - Invalid",IF(W28&gt;0.3,"Above Allowed Range - Invalid","Valid")))</f>
        <v>Valid</v>
      </c>
      <c r="Y28" s="7" t="n">
        <f aca="false">raw_data!Q28</f>
        <v>2578.07</v>
      </c>
      <c r="Z28" s="7" t="n">
        <f aca="false">raw_data!R28</f>
        <v>1527.55</v>
      </c>
      <c r="AA28" s="7" t="n">
        <f aca="false">raw_data!S28</f>
        <v>1050.52</v>
      </c>
      <c r="AB28" s="3" t="str">
        <f aca="false">PROPER(TRIM(raw_data!T28))</f>
        <v>Paid</v>
      </c>
      <c r="AC28" s="3" t="str">
        <f aca="false">PROPER(TRIM(raw_data!U28))</f>
        <v>Returned</v>
      </c>
      <c r="AD28" s="7" t="n">
        <f aca="false">T28*U28*(1-W28)</f>
        <v>2578.068</v>
      </c>
      <c r="AE28" s="7" t="n">
        <f aca="false">AD28-Z28</f>
        <v>1050.518</v>
      </c>
      <c r="AF28" s="8" t="n">
        <f aca="false">IF(AD28=0,0,AE28/AD28)</f>
        <v>0.407482657555968</v>
      </c>
      <c r="AG28" s="3" t="str">
        <f aca="false">IF(ABS(Y28-AD28)&gt;1,"Mismatch","OK")</f>
        <v>OK</v>
      </c>
      <c r="AH28" s="3" t="str">
        <f aca="false">IF(ABS(AA28-AE28)&gt;1,"Mismatch","OK")</f>
        <v>OK</v>
      </c>
      <c r="AI28" s="6" t="n">
        <f aca="false">IF(B28="","",MONTH(B28))</f>
        <v>11</v>
      </c>
      <c r="AJ28" s="6" t="n">
        <f aca="false">IF(B28="","",YEAR(B28))</f>
        <v>2024</v>
      </c>
      <c r="AK28" s="3" t="str">
        <f aca="false">IF(COUNTIF(raw_data!$A$2:$A$913,A28)&gt;1,"Conflicting Duplicate - Flagged for Review","Unique")</f>
        <v>Unique</v>
      </c>
      <c r="AL28" s="3" t="str">
        <f aca="false">IF(AB28="Refunded","Yes","No")</f>
        <v>No</v>
      </c>
      <c r="AM28" s="3" t="str">
        <f aca="false">IF(OR(AC28&lt;&gt;"Completed",AB28="Failed"),"Excluded","Included")</f>
        <v>Excluded</v>
      </c>
      <c r="AN28" s="3" t="str">
        <f aca="false">IF(OR(D28="Invalid/Unrecognized",E28="Invalid/Unrecognized",G28="Invalid - Ship Before Order",X28="Negative - Invalid",X28="Above Allowed Range - Invalid",AG28="Mismatch",AH28="Mismatch",AK28="Conflicting Duplicate - Flagged for Review"),"Invalid",IF(OR(L28="Filled - Unknown",S28="Filled - Unknown",X28="Missing - Defaulted to 0",AL28="Yes",AC28="Cancelled",AC28="Returned"),"Warning","Clean"))</f>
        <v>Warning</v>
      </c>
    </row>
    <row r="29" customFormat="false" ht="15" hidden="false" customHeight="false" outlineLevel="0" collapsed="false">
      <c r="A29" s="3" t="str">
        <f aca="false">raw_data!A29</f>
        <v>ORD-2025-10028</v>
      </c>
      <c r="B29" s="4" t="n">
        <f aca="false">IFERROR(IF(MID(raw_data!B29,3,1)="/",DATE(VALUE(RIGHT(raw_data!B29,4)),VALUE(LEFT(raw_data!B29,2)),VALUE(MID(raw_data!B29,4,2))),IF(MID(raw_data!B29,3,1)="-",DATE(VALUE(RIGHT(raw_data!B29,4)),VALUE(MID(raw_data!B29,4,2)),VALUE(LEFT(raw_data!B29,2))),IF(MID(raw_data!B29,5,1)="-",DATE(VALUE(LEFT(raw_data!B29,4)),VALUE(MID(raw_data!B29,6,2)),VALUE(RIGHT(raw_data!B29,2))),DATE(VALUE(RIGHT(raw_data!B29,4)),MATCH(MID(raw_data!B29,4,3),{"Jan","Feb","Mar","Apr","May","Jun","Jul","Aug","Sep","Oct","Nov","Dec"},0),VALUE(LEFT(raw_data!B29,2)))))),"")</f>
        <v>45929</v>
      </c>
      <c r="C29" s="4" t="n">
        <f aca="false">IFERROR(IF(MID(raw_data!C29,3,1)="/",DATE(VALUE(RIGHT(raw_data!C29,4)),VALUE(LEFT(raw_data!C29,2)),VALUE(MID(raw_data!C29,4,2))),IF(MID(raw_data!C29,3,1)="-",DATE(VALUE(RIGHT(raw_data!C29,4)),VALUE(MID(raw_data!C29,4,2)),VALUE(LEFT(raw_data!C29,2))),IF(MID(raw_data!C29,5,1)="-",DATE(VALUE(LEFT(raw_data!C29,4)),VALUE(MID(raw_data!C29,6,2)),VALUE(RIGHT(raw_data!C29,2))),DATE(VALUE(RIGHT(raw_data!C29,4)),MATCH(MID(raw_data!C29,4,3),{"Jan","Feb","Mar","Apr","May","Jun","Jul","Aug","Sep","Oct","Nov","Dec"},0),VALUE(LEFT(raw_data!C29,2)))))),"")</f>
        <v>45935</v>
      </c>
      <c r="D29" s="3" t="str">
        <f aca="false">IF(TRIM(raw_data!B29)="","Missing",IF(B29="","Invalid/Unrecognized","Valid"))</f>
        <v>Valid</v>
      </c>
      <c r="E29" s="3" t="str">
        <f aca="false">IF(TRIM(raw_data!C29)="","Missing",IF(C29="","Invalid/Unrecognized","Valid"))</f>
        <v>Valid</v>
      </c>
      <c r="F29" s="5" t="n">
        <f aca="false">IF(OR(B29="",C29=""),"",C29-B29)</f>
        <v>6</v>
      </c>
      <c r="G29" s="3" t="str">
        <f aca="false">IF(F29="","N/A",IF(F29&lt;0,"Invalid - Ship Before Order","OK"))</f>
        <v>OK</v>
      </c>
      <c r="H29" s="3" t="str">
        <f aca="false">raw_data!D29</f>
        <v>CUST-9875</v>
      </c>
      <c r="I29" s="3" t="str">
        <f aca="false">PROPER(TRIM(raw_data!E29))</f>
        <v>Arjun Bose</v>
      </c>
      <c r="J29" s="3" t="str">
        <f aca="false">PROPER(TRIM(raw_data!F29))</f>
        <v>Small Business</v>
      </c>
      <c r="K29" s="3" t="str">
        <f aca="false">IF(TRIM(raw_data!G29)="","Unknown",PROPER(TRIM(raw_data!G29)))</f>
        <v>South</v>
      </c>
      <c r="L29" s="3" t="str">
        <f aca="false">IF(TRIM(raw_data!G29)="","Filled - Unknown","OK")</f>
        <v>OK</v>
      </c>
      <c r="M29" s="3" t="str">
        <f aca="false">PROPER(TRIM(raw_data!H29))</f>
        <v>Karnataka</v>
      </c>
      <c r="N29" s="3" t="str">
        <f aca="false">PROPER(TRIM(raw_data!I29))</f>
        <v>Bengaluru</v>
      </c>
      <c r="O29" s="3" t="str">
        <f aca="false">PROPER(TRIM(raw_data!J29))</f>
        <v>Office Supplies</v>
      </c>
      <c r="P29" s="3" t="str">
        <f aca="false">PROPER(TRIM(raw_data!K29))</f>
        <v>Paper</v>
      </c>
      <c r="Q29" s="3" t="str">
        <f aca="false">TRIM(raw_data!L29)</f>
        <v>Basic Paper 613</v>
      </c>
      <c r="R29" s="3" t="str">
        <f aca="false">IF(TRIM(raw_data!M29)="","Unknown",PROPER(TRIM(raw_data!M29)))</f>
        <v>Second Class</v>
      </c>
      <c r="S29" s="3" t="str">
        <f aca="false">IF(TRIM(raw_data!M29)="","Filled - Unknown","OK")</f>
        <v>OK</v>
      </c>
      <c r="T29" s="6" t="n">
        <f aca="false">raw_data!N29</f>
        <v>5</v>
      </c>
      <c r="U29" s="7" t="n">
        <f aca="false">raw_data!O29</f>
        <v>1806.51</v>
      </c>
      <c r="V29" s="8" t="n">
        <f aca="false">raw_data!P29</f>
        <v>0.25</v>
      </c>
      <c r="W29" s="8" t="n">
        <f aca="false">IF(raw_data!P29="",0,IF(ISTEXT(raw_data!P29),IF(RIGHT(raw_data!P29,1)="%",VALUE(LEFT(raw_data!P29,LEN(raw_data!P29)-1))/100,VALUE(raw_data!P29)),raw_data!P29))</f>
        <v>0.25</v>
      </c>
      <c r="X29" s="3" t="str">
        <f aca="false">IF(raw_data!P29="","Missing - Defaulted to 0",IF(W29&lt;0,"Negative - Invalid",IF(W29&gt;0.3,"Above Allowed Range - Invalid","Valid")))</f>
        <v>Valid</v>
      </c>
      <c r="Y29" s="7" t="n">
        <f aca="false">raw_data!Q29</f>
        <v>6774.41</v>
      </c>
      <c r="Z29" s="7" t="n">
        <f aca="false">raw_data!R29</f>
        <v>4710.36</v>
      </c>
      <c r="AA29" s="7" t="n">
        <f aca="false">raw_data!S29</f>
        <v>2064.05</v>
      </c>
      <c r="AB29" s="3" t="str">
        <f aca="false">PROPER(TRIM(raw_data!T29))</f>
        <v>Failed</v>
      </c>
      <c r="AC29" s="3" t="str">
        <f aca="false">PROPER(TRIM(raw_data!U29))</f>
        <v>Returned</v>
      </c>
      <c r="AD29" s="7" t="n">
        <f aca="false">T29*U29*(1-W29)</f>
        <v>6774.4125</v>
      </c>
      <c r="AE29" s="7" t="n">
        <f aca="false">AD29-Z29</f>
        <v>2064.0525</v>
      </c>
      <c r="AF29" s="8" t="n">
        <f aca="false">IF(AD29=0,0,AE29/AD29)</f>
        <v>0.304683616475968</v>
      </c>
      <c r="AG29" s="3" t="str">
        <f aca="false">IF(ABS(Y29-AD29)&gt;1,"Mismatch","OK")</f>
        <v>OK</v>
      </c>
      <c r="AH29" s="3" t="str">
        <f aca="false">IF(ABS(AA29-AE29)&gt;1,"Mismatch","OK")</f>
        <v>OK</v>
      </c>
      <c r="AI29" s="6" t="n">
        <f aca="false">IF(B29="","",MONTH(B29))</f>
        <v>9</v>
      </c>
      <c r="AJ29" s="6" t="n">
        <f aca="false">IF(B29="","",YEAR(B29))</f>
        <v>2025</v>
      </c>
      <c r="AK29" s="3" t="str">
        <f aca="false">IF(COUNTIF(raw_data!$A$2:$A$913,A29)&gt;1,"Conflicting Duplicate - Flagged for Review","Unique")</f>
        <v>Unique</v>
      </c>
      <c r="AL29" s="3" t="str">
        <f aca="false">IF(AB29="Refunded","Yes","No")</f>
        <v>No</v>
      </c>
      <c r="AM29" s="3" t="str">
        <f aca="false">IF(OR(AC29&lt;&gt;"Completed",AB29="Failed"),"Excluded","Included")</f>
        <v>Excluded</v>
      </c>
      <c r="AN29" s="3" t="str">
        <f aca="false">IF(OR(D29="Invalid/Unrecognized",E29="Invalid/Unrecognized",G29="Invalid - Ship Before Order",X29="Negative - Invalid",X29="Above Allowed Range - Invalid",AG29="Mismatch",AH29="Mismatch",AK29="Conflicting Duplicate - Flagged for Review"),"Invalid",IF(OR(L29="Filled - Unknown",S29="Filled - Unknown",X29="Missing - Defaulted to 0",AL29="Yes",AC29="Cancelled",AC29="Returned"),"Warning","Clean"))</f>
        <v>Warning</v>
      </c>
    </row>
    <row r="30" customFormat="false" ht="15" hidden="false" customHeight="false" outlineLevel="0" collapsed="false">
      <c r="A30" s="3" t="str">
        <f aca="false">raw_data!A30</f>
        <v>ORD-2024-10029</v>
      </c>
      <c r="B30" s="4" t="n">
        <f aca="false">IFERROR(IF(MID(raw_data!B30,3,1)="/",DATE(VALUE(RIGHT(raw_data!B30,4)),VALUE(LEFT(raw_data!B30,2)),VALUE(MID(raw_data!B30,4,2))),IF(MID(raw_data!B30,3,1)="-",DATE(VALUE(RIGHT(raw_data!B30,4)),VALUE(MID(raw_data!B30,4,2)),VALUE(LEFT(raw_data!B30,2))),IF(MID(raw_data!B30,5,1)="-",DATE(VALUE(LEFT(raw_data!B30,4)),VALUE(MID(raw_data!B30,6,2)),VALUE(RIGHT(raw_data!B30,2))),DATE(VALUE(RIGHT(raw_data!B30,4)),MATCH(MID(raw_data!B30,4,3),{"Jan","Feb","Mar","Apr","May","Jun","Jul","Aug","Sep","Oct","Nov","Dec"},0),VALUE(LEFT(raw_data!B30,2)))))),"")</f>
        <v>45576</v>
      </c>
      <c r="C30" s="4" t="n">
        <f aca="false">IFERROR(IF(MID(raw_data!C30,3,1)="/",DATE(VALUE(RIGHT(raw_data!C30,4)),VALUE(LEFT(raw_data!C30,2)),VALUE(MID(raw_data!C30,4,2))),IF(MID(raw_data!C30,3,1)="-",DATE(VALUE(RIGHT(raw_data!C30,4)),VALUE(MID(raw_data!C30,4,2)),VALUE(LEFT(raw_data!C30,2))),IF(MID(raw_data!C30,5,1)="-",DATE(VALUE(LEFT(raw_data!C30,4)),VALUE(MID(raw_data!C30,6,2)),VALUE(RIGHT(raw_data!C30,2))),DATE(VALUE(RIGHT(raw_data!C30,4)),MATCH(MID(raw_data!C30,4,3),{"Jan","Feb","Mar","Apr","May","Jun","Jul","Aug","Sep","Oct","Nov","Dec"},0),VALUE(LEFT(raw_data!C30,2)))))),"")</f>
        <v>45583</v>
      </c>
      <c r="D30" s="3" t="str">
        <f aca="false">IF(TRIM(raw_data!B30)="","Missing",IF(B30="","Invalid/Unrecognized","Valid"))</f>
        <v>Valid</v>
      </c>
      <c r="E30" s="3" t="str">
        <f aca="false">IF(TRIM(raw_data!C30)="","Missing",IF(C30="","Invalid/Unrecognized","Valid"))</f>
        <v>Valid</v>
      </c>
      <c r="F30" s="5" t="n">
        <f aca="false">IF(OR(B30="",C30=""),"",C30-B30)</f>
        <v>7</v>
      </c>
      <c r="G30" s="3" t="str">
        <f aca="false">IF(F30="","N/A",IF(F30&lt;0,"Invalid - Ship Before Order","OK"))</f>
        <v>OK</v>
      </c>
      <c r="H30" s="3" t="str">
        <f aca="false">raw_data!D30</f>
        <v>CUST-1569</v>
      </c>
      <c r="I30" s="3" t="str">
        <f aca="false">PROPER(TRIM(raw_data!E30))</f>
        <v>Ananya Rao</v>
      </c>
      <c r="J30" s="3" t="str">
        <f aca="false">PROPER(TRIM(raw_data!F30))</f>
        <v>Home Office</v>
      </c>
      <c r="K30" s="3" t="str">
        <f aca="false">IF(TRIM(raw_data!G30)="","Unknown",PROPER(TRIM(raw_data!G30)))</f>
        <v>West</v>
      </c>
      <c r="L30" s="3" t="str">
        <f aca="false">IF(TRIM(raw_data!G30)="","Filled - Unknown","OK")</f>
        <v>OK</v>
      </c>
      <c r="M30" s="3" t="str">
        <f aca="false">PROPER(TRIM(raw_data!H30))</f>
        <v>Gujarat</v>
      </c>
      <c r="N30" s="3" t="str">
        <f aca="false">PROPER(TRIM(raw_data!I30))</f>
        <v>Ahmedabad</v>
      </c>
      <c r="O30" s="3" t="str">
        <f aca="false">PROPER(TRIM(raw_data!J30))</f>
        <v>Technology</v>
      </c>
      <c r="P30" s="3" t="str">
        <f aca="false">PROPER(TRIM(raw_data!K30))</f>
        <v>Phones</v>
      </c>
      <c r="Q30" s="3" t="str">
        <f aca="false">TRIM(raw_data!L30)</f>
        <v>Prime Phones 698</v>
      </c>
      <c r="R30" s="3" t="str">
        <f aca="false">IF(TRIM(raw_data!M30)="","Unknown",PROPER(TRIM(raw_data!M30)))</f>
        <v>Second Class</v>
      </c>
      <c r="S30" s="3" t="str">
        <f aca="false">IF(TRIM(raw_data!M30)="","Filled - Unknown","OK")</f>
        <v>OK</v>
      </c>
      <c r="T30" s="6" t="n">
        <f aca="false">raw_data!N30</f>
        <v>2</v>
      </c>
      <c r="U30" s="7" t="n">
        <f aca="false">raw_data!O30</f>
        <v>1942.22</v>
      </c>
      <c r="V30" s="8" t="n">
        <f aca="false">raw_data!P30</f>
        <v>0.25</v>
      </c>
      <c r="W30" s="8" t="n">
        <f aca="false">IF(raw_data!P30="",0,IF(ISTEXT(raw_data!P30),IF(RIGHT(raw_data!P30,1)="%",VALUE(LEFT(raw_data!P30,LEN(raw_data!P30)-1))/100,VALUE(raw_data!P30)),raw_data!P30))</f>
        <v>0.25</v>
      </c>
      <c r="X30" s="3" t="str">
        <f aca="false">IF(raw_data!P30="","Missing - Defaulted to 0",IF(W30&lt;0,"Negative - Invalid",IF(W30&gt;0.3,"Above Allowed Range - Invalid","Valid")))</f>
        <v>Valid</v>
      </c>
      <c r="Y30" s="7" t="n">
        <f aca="false">raw_data!Q30</f>
        <v>2913.33</v>
      </c>
      <c r="Z30" s="7" t="n">
        <f aca="false">raw_data!R30</f>
        <v>2122.33</v>
      </c>
      <c r="AA30" s="7" t="n">
        <f aca="false">raw_data!S30</f>
        <v>791</v>
      </c>
      <c r="AB30" s="3" t="str">
        <f aca="false">PROPER(TRIM(raw_data!T30))</f>
        <v>Refunded</v>
      </c>
      <c r="AC30" s="3" t="str">
        <f aca="false">PROPER(TRIM(raw_data!U30))</f>
        <v>Cancelled</v>
      </c>
      <c r="AD30" s="7" t="n">
        <f aca="false">T30*U30*(1-W30)</f>
        <v>2913.33</v>
      </c>
      <c r="AE30" s="7" t="n">
        <f aca="false">AD30-Z30</f>
        <v>791</v>
      </c>
      <c r="AF30" s="8" t="n">
        <f aca="false">IF(AD30=0,0,AE30/AD30)</f>
        <v>0.271510608135707</v>
      </c>
      <c r="AG30" s="3" t="str">
        <f aca="false">IF(ABS(Y30-AD30)&gt;1,"Mismatch","OK")</f>
        <v>OK</v>
      </c>
      <c r="AH30" s="3" t="str">
        <f aca="false">IF(ABS(AA30-AE30)&gt;1,"Mismatch","OK")</f>
        <v>OK</v>
      </c>
      <c r="AI30" s="6" t="n">
        <f aca="false">IF(B30="","",MONTH(B30))</f>
        <v>10</v>
      </c>
      <c r="AJ30" s="6" t="n">
        <f aca="false">IF(B30="","",YEAR(B30))</f>
        <v>2024</v>
      </c>
      <c r="AK30" s="3" t="str">
        <f aca="false">IF(COUNTIF(raw_data!$A$2:$A$913,A30)&gt;1,"Conflicting Duplicate - Flagged for Review","Unique")</f>
        <v>Unique</v>
      </c>
      <c r="AL30" s="3" t="str">
        <f aca="false">IF(AB30="Refunded","Yes","No")</f>
        <v>Yes</v>
      </c>
      <c r="AM30" s="3" t="str">
        <f aca="false">IF(OR(AC30&lt;&gt;"Completed",AB30="Failed"),"Excluded","Included")</f>
        <v>Excluded</v>
      </c>
      <c r="AN30" s="3" t="str">
        <f aca="false">IF(OR(D30="Invalid/Unrecognized",E30="Invalid/Unrecognized",G30="Invalid - Ship Before Order",X30="Negative - Invalid",X30="Above Allowed Range - Invalid",AG30="Mismatch",AH30="Mismatch",AK30="Conflicting Duplicate - Flagged for Review"),"Invalid",IF(OR(L30="Filled - Unknown",S30="Filled - Unknown",X30="Missing - Defaulted to 0",AL30="Yes",AC30="Cancelled",AC30="Returned"),"Warning","Clean"))</f>
        <v>Warning</v>
      </c>
    </row>
    <row r="31" customFormat="false" ht="15" hidden="false" customHeight="false" outlineLevel="0" collapsed="false">
      <c r="A31" s="3" t="str">
        <f aca="false">raw_data!A31</f>
        <v>ORD-2025-10030</v>
      </c>
      <c r="B31" s="4" t="n">
        <f aca="false">IFERROR(IF(MID(raw_data!B31,3,1)="/",DATE(VALUE(RIGHT(raw_data!B31,4)),VALUE(LEFT(raw_data!B31,2)),VALUE(MID(raw_data!B31,4,2))),IF(MID(raw_data!B31,3,1)="-",DATE(VALUE(RIGHT(raw_data!B31,4)),VALUE(MID(raw_data!B31,4,2)),VALUE(LEFT(raw_data!B31,2))),IF(MID(raw_data!B31,5,1)="-",DATE(VALUE(LEFT(raw_data!B31,4)),VALUE(MID(raw_data!B31,6,2)),VALUE(RIGHT(raw_data!B31,2))),DATE(VALUE(RIGHT(raw_data!B31,4)),MATCH(MID(raw_data!B31,4,3),{"Jan","Feb","Mar","Apr","May","Jun","Jul","Aug","Sep","Oct","Nov","Dec"},0),VALUE(LEFT(raw_data!B31,2)))))),"")</f>
        <v>45882</v>
      </c>
      <c r="C31" s="4" t="n">
        <f aca="false">IFERROR(IF(MID(raw_data!C31,3,1)="/",DATE(VALUE(RIGHT(raw_data!C31,4)),VALUE(LEFT(raw_data!C31,2)),VALUE(MID(raw_data!C31,4,2))),IF(MID(raw_data!C31,3,1)="-",DATE(VALUE(RIGHT(raw_data!C31,4)),VALUE(MID(raw_data!C31,4,2)),VALUE(LEFT(raw_data!C31,2))),IF(MID(raw_data!C31,5,1)="-",DATE(VALUE(LEFT(raw_data!C31,4)),VALUE(MID(raw_data!C31,6,2)),VALUE(RIGHT(raw_data!C31,2))),DATE(VALUE(RIGHT(raw_data!C31,4)),MATCH(MID(raw_data!C31,4,3),{"Jan","Feb","Mar","Apr","May","Jun","Jul","Aug","Sep","Oct","Nov","Dec"},0),VALUE(LEFT(raw_data!C31,2)))))),"")</f>
        <v>45882</v>
      </c>
      <c r="D31" s="3" t="str">
        <f aca="false">IF(TRIM(raw_data!B31)="","Missing",IF(B31="","Invalid/Unrecognized","Valid"))</f>
        <v>Valid</v>
      </c>
      <c r="E31" s="3" t="str">
        <f aca="false">IF(TRIM(raw_data!C31)="","Missing",IF(C31="","Invalid/Unrecognized","Valid"))</f>
        <v>Valid</v>
      </c>
      <c r="F31" s="5" t="n">
        <f aca="false">IF(OR(B31="",C31=""),"",C31-B31)</f>
        <v>0</v>
      </c>
      <c r="G31" s="3" t="str">
        <f aca="false">IF(F31="","N/A",IF(F31&lt;0,"Invalid - Ship Before Order","OK"))</f>
        <v>OK</v>
      </c>
      <c r="H31" s="3" t="str">
        <f aca="false">raw_data!D31</f>
        <v>CUST-5936</v>
      </c>
      <c r="I31" s="3" t="str">
        <f aca="false">PROPER(TRIM(raw_data!E31))</f>
        <v>Rohan Mehta</v>
      </c>
      <c r="J31" s="3" t="str">
        <f aca="false">PROPER(TRIM(raw_data!F31))</f>
        <v>Home Office</v>
      </c>
      <c r="K31" s="3" t="str">
        <f aca="false">IF(TRIM(raw_data!G31)="","Unknown",PROPER(TRIM(raw_data!G31)))</f>
        <v>South</v>
      </c>
      <c r="L31" s="3" t="str">
        <f aca="false">IF(TRIM(raw_data!G31)="","Filled - Unknown","OK")</f>
        <v>OK</v>
      </c>
      <c r="M31" s="3" t="str">
        <f aca="false">PROPER(TRIM(raw_data!H31))</f>
        <v>Kerala</v>
      </c>
      <c r="N31" s="3" t="str">
        <f aca="false">PROPER(TRIM(raw_data!I31))</f>
        <v>Kochi</v>
      </c>
      <c r="O31" s="3" t="str">
        <f aca="false">PROPER(TRIM(raw_data!J31))</f>
        <v>Technology</v>
      </c>
      <c r="P31" s="3" t="str">
        <f aca="false">PROPER(TRIM(raw_data!K31))</f>
        <v>Phones</v>
      </c>
      <c r="Q31" s="3" t="str">
        <f aca="false">TRIM(raw_data!L31)</f>
        <v>Pro Phones 442</v>
      </c>
      <c r="R31" s="3" t="str">
        <f aca="false">IF(TRIM(raw_data!M31)="","Unknown",PROPER(TRIM(raw_data!M31)))</f>
        <v>Standard Class</v>
      </c>
      <c r="S31" s="3" t="str">
        <f aca="false">IF(TRIM(raw_data!M31)="","Filled - Unknown","OK")</f>
        <v>OK</v>
      </c>
      <c r="T31" s="6" t="n">
        <f aca="false">raw_data!N31</f>
        <v>1</v>
      </c>
      <c r="U31" s="7" t="n">
        <f aca="false">raw_data!O31</f>
        <v>256.01</v>
      </c>
      <c r="V31" s="8" t="n">
        <f aca="false">raw_data!P31</f>
        <v>0.15</v>
      </c>
      <c r="W31" s="8" t="n">
        <f aca="false">IF(raw_data!P31="",0,IF(ISTEXT(raw_data!P31),IF(RIGHT(raw_data!P31,1)="%",VALUE(LEFT(raw_data!P31,LEN(raw_data!P31)-1))/100,VALUE(raw_data!P31)),raw_data!P31))</f>
        <v>0.15</v>
      </c>
      <c r="X31" s="3" t="str">
        <f aca="false">IF(raw_data!P31="","Missing - Defaulted to 0",IF(W31&lt;0,"Negative - Invalid",IF(W31&gt;0.3,"Above Allowed Range - Invalid","Valid")))</f>
        <v>Valid</v>
      </c>
      <c r="Y31" s="7" t="n">
        <f aca="false">raw_data!Q31</f>
        <v>217.61</v>
      </c>
      <c r="Z31" s="7" t="n">
        <f aca="false">raw_data!R31</f>
        <v>119.77</v>
      </c>
      <c r="AA31" s="7" t="n">
        <f aca="false">raw_data!S31</f>
        <v>97.84</v>
      </c>
      <c r="AB31" s="3" t="str">
        <f aca="false">PROPER(TRIM(raw_data!T31))</f>
        <v>Paid</v>
      </c>
      <c r="AC31" s="3" t="str">
        <f aca="false">PROPER(TRIM(raw_data!U31))</f>
        <v>Completed</v>
      </c>
      <c r="AD31" s="7" t="n">
        <f aca="false">T31*U31*(1-W31)</f>
        <v>217.6085</v>
      </c>
      <c r="AE31" s="7" t="n">
        <f aca="false">AD31-Z31</f>
        <v>97.8385</v>
      </c>
      <c r="AF31" s="8" t="n">
        <f aca="false">IF(AD31=0,0,AE31/AD31)</f>
        <v>0.449607896750357</v>
      </c>
      <c r="AG31" s="3" t="str">
        <f aca="false">IF(ABS(Y31-AD31)&gt;1,"Mismatch","OK")</f>
        <v>OK</v>
      </c>
      <c r="AH31" s="3" t="str">
        <f aca="false">IF(ABS(AA31-AE31)&gt;1,"Mismatch","OK")</f>
        <v>OK</v>
      </c>
      <c r="AI31" s="6" t="n">
        <f aca="false">IF(B31="","",MONTH(B31))</f>
        <v>8</v>
      </c>
      <c r="AJ31" s="6" t="n">
        <f aca="false">IF(B31="","",YEAR(B31))</f>
        <v>2025</v>
      </c>
      <c r="AK31" s="3" t="str">
        <f aca="false">IF(COUNTIF(raw_data!$A$2:$A$913,A31)&gt;1,"Conflicting Duplicate - Flagged for Review","Unique")</f>
        <v>Unique</v>
      </c>
      <c r="AL31" s="3" t="str">
        <f aca="false">IF(AB31="Refunded","Yes","No")</f>
        <v>No</v>
      </c>
      <c r="AM31" s="3" t="str">
        <f aca="false">IF(OR(AC31&lt;&gt;"Completed",AB31="Failed"),"Excluded","Included")</f>
        <v>Included</v>
      </c>
      <c r="AN31" s="3" t="str">
        <f aca="false">IF(OR(D31="Invalid/Unrecognized",E31="Invalid/Unrecognized",G31="Invalid - Ship Before Order",X31="Negative - Invalid",X31="Above Allowed Range - Invalid",AG31="Mismatch",AH31="Mismatch",AK31="Conflicting Duplicate - Flagged for Review"),"Invalid",IF(OR(L31="Filled - Unknown",S31="Filled - Unknown",X31="Missing - Defaulted to 0",AL31="Yes",AC31="Cancelled",AC31="Returned"),"Warning","Clean"))</f>
        <v>Clean</v>
      </c>
    </row>
    <row r="32" customFormat="false" ht="15" hidden="false" customHeight="false" outlineLevel="0" collapsed="false">
      <c r="A32" s="3" t="str">
        <f aca="false">raw_data!A32</f>
        <v>ORD-2024-10031</v>
      </c>
      <c r="B32" s="4" t="n">
        <f aca="false">IFERROR(IF(MID(raw_data!B32,3,1)="/",DATE(VALUE(RIGHT(raw_data!B32,4)),VALUE(LEFT(raw_data!B32,2)),VALUE(MID(raw_data!B32,4,2))),IF(MID(raw_data!B32,3,1)="-",DATE(VALUE(RIGHT(raw_data!B32,4)),VALUE(MID(raw_data!B32,4,2)),VALUE(LEFT(raw_data!B32,2))),IF(MID(raw_data!B32,5,1)="-",DATE(VALUE(LEFT(raw_data!B32,4)),VALUE(MID(raw_data!B32,6,2)),VALUE(RIGHT(raw_data!B32,2))),DATE(VALUE(RIGHT(raw_data!B32,4)),MATCH(MID(raw_data!B32,4,3),{"Jan","Feb","Mar","Apr","May","Jun","Jul","Aug","Sep","Oct","Nov","Dec"},0),VALUE(LEFT(raw_data!B32,2)))))),"")</f>
        <v>45331</v>
      </c>
      <c r="C32" s="4" t="n">
        <f aca="false">IFERROR(IF(MID(raw_data!C32,3,1)="/",DATE(VALUE(RIGHT(raw_data!C32,4)),VALUE(LEFT(raw_data!C32,2)),VALUE(MID(raw_data!C32,4,2))),IF(MID(raw_data!C32,3,1)="-",DATE(VALUE(RIGHT(raw_data!C32,4)),VALUE(MID(raw_data!C32,4,2)),VALUE(LEFT(raw_data!C32,2))),IF(MID(raw_data!C32,5,1)="-",DATE(VALUE(LEFT(raw_data!C32,4)),VALUE(MID(raw_data!C32,6,2)),VALUE(RIGHT(raw_data!C32,2))),DATE(VALUE(RIGHT(raw_data!C32,4)),MATCH(MID(raw_data!C32,4,3),{"Jan","Feb","Mar","Apr","May","Jun","Jul","Aug","Sep","Oct","Nov","Dec"},0),VALUE(LEFT(raw_data!C32,2)))))),"")</f>
        <v>45334</v>
      </c>
      <c r="D32" s="3" t="str">
        <f aca="false">IF(TRIM(raw_data!B32)="","Missing",IF(B32="","Invalid/Unrecognized","Valid"))</f>
        <v>Valid</v>
      </c>
      <c r="E32" s="3" t="str">
        <f aca="false">IF(TRIM(raw_data!C32)="","Missing",IF(C32="","Invalid/Unrecognized","Valid"))</f>
        <v>Valid</v>
      </c>
      <c r="F32" s="5" t="n">
        <f aca="false">IF(OR(B32="",C32=""),"",C32-B32)</f>
        <v>3</v>
      </c>
      <c r="G32" s="3" t="str">
        <f aca="false">IF(F32="","N/A",IF(F32&lt;0,"Invalid - Ship Before Order","OK"))</f>
        <v>OK</v>
      </c>
      <c r="H32" s="3" t="str">
        <f aca="false">raw_data!D32</f>
        <v>CUST-8759</v>
      </c>
      <c r="I32" s="3" t="str">
        <f aca="false">PROPER(TRIM(raw_data!E32))</f>
        <v>Ananya Rao</v>
      </c>
      <c r="J32" s="3" t="str">
        <f aca="false">PROPER(TRIM(raw_data!F32))</f>
        <v>Corporate</v>
      </c>
      <c r="K32" s="3" t="str">
        <f aca="false">IF(TRIM(raw_data!G32)="","Unknown",PROPER(TRIM(raw_data!G32)))</f>
        <v>West</v>
      </c>
      <c r="L32" s="3" t="str">
        <f aca="false">IF(TRIM(raw_data!G32)="","Filled - Unknown","OK")</f>
        <v>OK</v>
      </c>
      <c r="M32" s="3" t="str">
        <f aca="false">PROPER(TRIM(raw_data!H32))</f>
        <v>Goa</v>
      </c>
      <c r="N32" s="3" t="str">
        <f aca="false">PROPER(TRIM(raw_data!I32))</f>
        <v>Panaji</v>
      </c>
      <c r="O32" s="3" t="str">
        <f aca="false">PROPER(TRIM(raw_data!J32))</f>
        <v>Office Supplies</v>
      </c>
      <c r="P32" s="3" t="str">
        <f aca="false">PROPER(TRIM(raw_data!K32))</f>
        <v>Labels</v>
      </c>
      <c r="Q32" s="3" t="str">
        <f aca="false">TRIM(raw_data!L32)</f>
        <v>Pro Labels 355</v>
      </c>
      <c r="R32" s="3" t="str">
        <f aca="false">IF(TRIM(raw_data!M32)="","Unknown",PROPER(TRIM(raw_data!M32)))</f>
        <v>First Class</v>
      </c>
      <c r="S32" s="3" t="str">
        <f aca="false">IF(TRIM(raw_data!M32)="","Filled - Unknown","OK")</f>
        <v>OK</v>
      </c>
      <c r="T32" s="6" t="n">
        <f aca="false">raw_data!N32</f>
        <v>1</v>
      </c>
      <c r="U32" s="7" t="n">
        <f aca="false">raw_data!O32</f>
        <v>3421.77</v>
      </c>
      <c r="V32" s="8" t="n">
        <f aca="false">raw_data!P32</f>
        <v>0.1</v>
      </c>
      <c r="W32" s="8" t="n">
        <f aca="false">IF(raw_data!P32="",0,IF(ISTEXT(raw_data!P32),IF(RIGHT(raw_data!P32,1)="%",VALUE(LEFT(raw_data!P32,LEN(raw_data!P32)-1))/100,VALUE(raw_data!P32)),raw_data!P32))</f>
        <v>0.1</v>
      </c>
      <c r="X32" s="3" t="str">
        <f aca="false">IF(raw_data!P32="","Missing - Defaulted to 0",IF(W32&lt;0,"Negative - Invalid",IF(W32&gt;0.3,"Above Allowed Range - Invalid","Valid")))</f>
        <v>Valid</v>
      </c>
      <c r="Y32" s="7" t="n">
        <f aca="false">raw_data!Q32</f>
        <v>3079.59</v>
      </c>
      <c r="Z32" s="7" t="n">
        <f aca="false">raw_data!R32</f>
        <v>2001.89</v>
      </c>
      <c r="AA32" s="7" t="n">
        <f aca="false">raw_data!S32</f>
        <v>1077.7</v>
      </c>
      <c r="AB32" s="3" t="str">
        <f aca="false">PROPER(TRIM(raw_data!T32))</f>
        <v>Paid</v>
      </c>
      <c r="AC32" s="3" t="str">
        <f aca="false">PROPER(TRIM(raw_data!U32))</f>
        <v>Completed</v>
      </c>
      <c r="AD32" s="7" t="n">
        <f aca="false">T32*U32*(1-W32)</f>
        <v>3079.593</v>
      </c>
      <c r="AE32" s="7" t="n">
        <f aca="false">AD32-Z32</f>
        <v>1077.703</v>
      </c>
      <c r="AF32" s="8" t="n">
        <f aca="false">IF(AD32=0,0,AE32/AD32)</f>
        <v>0.349949814796955</v>
      </c>
      <c r="AG32" s="3" t="str">
        <f aca="false">IF(ABS(Y32-AD32)&gt;1,"Mismatch","OK")</f>
        <v>OK</v>
      </c>
      <c r="AH32" s="3" t="str">
        <f aca="false">IF(ABS(AA32-AE32)&gt;1,"Mismatch","OK")</f>
        <v>OK</v>
      </c>
      <c r="AI32" s="6" t="n">
        <f aca="false">IF(B32="","",MONTH(B32))</f>
        <v>2</v>
      </c>
      <c r="AJ32" s="6" t="n">
        <f aca="false">IF(B32="","",YEAR(B32))</f>
        <v>2024</v>
      </c>
      <c r="AK32" s="3" t="str">
        <f aca="false">IF(COUNTIF(raw_data!$A$2:$A$913,A32)&gt;1,"Conflicting Duplicate - Flagged for Review","Unique")</f>
        <v>Unique</v>
      </c>
      <c r="AL32" s="3" t="str">
        <f aca="false">IF(AB32="Refunded","Yes","No")</f>
        <v>No</v>
      </c>
      <c r="AM32" s="3" t="str">
        <f aca="false">IF(OR(AC32&lt;&gt;"Completed",AB32="Failed"),"Excluded","Included")</f>
        <v>Included</v>
      </c>
      <c r="AN32" s="3" t="str">
        <f aca="false">IF(OR(D32="Invalid/Unrecognized",E32="Invalid/Unrecognized",G32="Invalid - Ship Before Order",X32="Negative - Invalid",X32="Above Allowed Range - Invalid",AG32="Mismatch",AH32="Mismatch",AK32="Conflicting Duplicate - Flagged for Review"),"Invalid",IF(OR(L32="Filled - Unknown",S32="Filled - Unknown",X32="Missing - Defaulted to 0",AL32="Yes",AC32="Cancelled",AC32="Returned"),"Warning","Clean"))</f>
        <v>Clean</v>
      </c>
    </row>
    <row r="33" customFormat="false" ht="15" hidden="false" customHeight="false" outlineLevel="0" collapsed="false">
      <c r="A33" s="3" t="str">
        <f aca="false">raw_data!A33</f>
        <v>ORD-2025-10032</v>
      </c>
      <c r="B33" s="4" t="n">
        <f aca="false">IFERROR(IF(MID(raw_data!B33,3,1)="/",DATE(VALUE(RIGHT(raw_data!B33,4)),VALUE(LEFT(raw_data!B33,2)),VALUE(MID(raw_data!B33,4,2))),IF(MID(raw_data!B33,3,1)="-",DATE(VALUE(RIGHT(raw_data!B33,4)),VALUE(MID(raw_data!B33,4,2)),VALUE(LEFT(raw_data!B33,2))),IF(MID(raw_data!B33,5,1)="-",DATE(VALUE(LEFT(raw_data!B33,4)),VALUE(MID(raw_data!B33,6,2)),VALUE(RIGHT(raw_data!B33,2))),DATE(VALUE(RIGHT(raw_data!B33,4)),MATCH(MID(raw_data!B33,4,3),{"Jan","Feb","Mar","Apr","May","Jun","Jul","Aug","Sep","Oct","Nov","Dec"},0),VALUE(LEFT(raw_data!B33,2)))))),"")</f>
        <v>45823</v>
      </c>
      <c r="C33" s="4" t="n">
        <f aca="false">IFERROR(IF(MID(raw_data!C33,3,1)="/",DATE(VALUE(RIGHT(raw_data!C33,4)),VALUE(LEFT(raw_data!C33,2)),VALUE(MID(raw_data!C33,4,2))),IF(MID(raw_data!C33,3,1)="-",DATE(VALUE(RIGHT(raw_data!C33,4)),VALUE(MID(raw_data!C33,4,2)),VALUE(LEFT(raw_data!C33,2))),IF(MID(raw_data!C33,5,1)="-",DATE(VALUE(LEFT(raw_data!C33,4)),VALUE(MID(raw_data!C33,6,2)),VALUE(RIGHT(raw_data!C33,2))),DATE(VALUE(RIGHT(raw_data!C33,4)),MATCH(MID(raw_data!C33,4,3),{"Jan","Feb","Mar","Apr","May","Jun","Jul","Aug","Sep","Oct","Nov","Dec"},0),VALUE(LEFT(raw_data!C33,2)))))),"")</f>
        <v>45827</v>
      </c>
      <c r="D33" s="3" t="str">
        <f aca="false">IF(TRIM(raw_data!B33)="","Missing",IF(B33="","Invalid/Unrecognized","Valid"))</f>
        <v>Valid</v>
      </c>
      <c r="E33" s="3" t="str">
        <f aca="false">IF(TRIM(raw_data!C33)="","Missing",IF(C33="","Invalid/Unrecognized","Valid"))</f>
        <v>Valid</v>
      </c>
      <c r="F33" s="5" t="n">
        <f aca="false">IF(OR(B33="",C33=""),"",C33-B33)</f>
        <v>4</v>
      </c>
      <c r="G33" s="3" t="str">
        <f aca="false">IF(F33="","N/A",IF(F33&lt;0,"Invalid - Ship Before Order","OK"))</f>
        <v>OK</v>
      </c>
      <c r="H33" s="3" t="str">
        <f aca="false">raw_data!D33</f>
        <v>CUST-7867</v>
      </c>
      <c r="I33" s="3" t="str">
        <f aca="false">PROPER(TRIM(raw_data!E33))</f>
        <v>Karan Malhotra</v>
      </c>
      <c r="J33" s="3" t="str">
        <f aca="false">PROPER(TRIM(raw_data!F33))</f>
        <v>Small Business</v>
      </c>
      <c r="K33" s="3" t="str">
        <f aca="false">IF(TRIM(raw_data!G33)="","Unknown",PROPER(TRIM(raw_data!G33)))</f>
        <v>West</v>
      </c>
      <c r="L33" s="3" t="str">
        <f aca="false">IF(TRIM(raw_data!G33)="","Filled - Unknown","OK")</f>
        <v>OK</v>
      </c>
      <c r="M33" s="3" t="str">
        <f aca="false">PROPER(TRIM(raw_data!H33))</f>
        <v>Madhya Pradesh</v>
      </c>
      <c r="N33" s="3" t="str">
        <f aca="false">PROPER(TRIM(raw_data!I33))</f>
        <v>Indore</v>
      </c>
      <c r="O33" s="3" t="str">
        <f aca="false">PROPER(TRIM(raw_data!J33))</f>
        <v>Office Supplies</v>
      </c>
      <c r="P33" s="3" t="str">
        <f aca="false">PROPER(TRIM(raw_data!K33))</f>
        <v>Paper</v>
      </c>
      <c r="Q33" s="3" t="str">
        <f aca="false">TRIM(raw_data!L33)</f>
        <v>Pro Paper 959</v>
      </c>
      <c r="R33" s="3" t="str">
        <f aca="false">IF(TRIM(raw_data!M33)="","Unknown",PROPER(TRIM(raw_data!M33)))</f>
        <v>Second Class</v>
      </c>
      <c r="S33" s="3" t="str">
        <f aca="false">IF(TRIM(raw_data!M33)="","Filled - Unknown","OK")</f>
        <v>OK</v>
      </c>
      <c r="T33" s="6" t="n">
        <f aca="false">raw_data!N33</f>
        <v>9</v>
      </c>
      <c r="U33" s="7" t="n">
        <f aca="false">raw_data!O33</f>
        <v>3092.55</v>
      </c>
      <c r="V33" s="8" t="n">
        <f aca="false">raw_data!P33</f>
        <v>0</v>
      </c>
      <c r="W33" s="8" t="n">
        <f aca="false">IF(raw_data!P33="",0,IF(ISTEXT(raw_data!P33),IF(RIGHT(raw_data!P33,1)="%",VALUE(LEFT(raw_data!P33,LEN(raw_data!P33)-1))/100,VALUE(raw_data!P33)),raw_data!P33))</f>
        <v>0</v>
      </c>
      <c r="X33" s="3" t="str">
        <f aca="false">IF(raw_data!P33="","Missing - Defaulted to 0",IF(W33&lt;0,"Negative - Invalid",IF(W33&gt;0.3,"Above Allowed Range - Invalid","Valid")))</f>
        <v>Valid</v>
      </c>
      <c r="Y33" s="7" t="n">
        <f aca="false">raw_data!Q33</f>
        <v>27832.95</v>
      </c>
      <c r="Z33" s="7" t="n">
        <f aca="false">raw_data!R33</f>
        <v>17769.75</v>
      </c>
      <c r="AA33" s="7" t="n">
        <f aca="false">raw_data!S33</f>
        <v>10063.2</v>
      </c>
      <c r="AB33" s="3" t="str">
        <f aca="false">PROPER(TRIM(raw_data!T33))</f>
        <v>Failed</v>
      </c>
      <c r="AC33" s="3" t="str">
        <f aca="false">PROPER(TRIM(raw_data!U33))</f>
        <v>Returned</v>
      </c>
      <c r="AD33" s="7" t="n">
        <f aca="false">T33*U33*(1-W33)</f>
        <v>27832.95</v>
      </c>
      <c r="AE33" s="7" t="n">
        <f aca="false">AD33-Z33</f>
        <v>10063.2</v>
      </c>
      <c r="AF33" s="8" t="n">
        <f aca="false">IF(AD33=0,0,AE33/AD33)</f>
        <v>0.361557075336966</v>
      </c>
      <c r="AG33" s="3" t="str">
        <f aca="false">IF(ABS(Y33-AD33)&gt;1,"Mismatch","OK")</f>
        <v>OK</v>
      </c>
      <c r="AH33" s="3" t="str">
        <f aca="false">IF(ABS(AA33-AE33)&gt;1,"Mismatch","OK")</f>
        <v>OK</v>
      </c>
      <c r="AI33" s="6" t="n">
        <f aca="false">IF(B33="","",MONTH(B33))</f>
        <v>6</v>
      </c>
      <c r="AJ33" s="6" t="n">
        <f aca="false">IF(B33="","",YEAR(B33))</f>
        <v>2025</v>
      </c>
      <c r="AK33" s="3" t="str">
        <f aca="false">IF(COUNTIF(raw_data!$A$2:$A$913,A33)&gt;1,"Conflicting Duplicate - Flagged for Review","Unique")</f>
        <v>Unique</v>
      </c>
      <c r="AL33" s="3" t="str">
        <f aca="false">IF(AB33="Refunded","Yes","No")</f>
        <v>No</v>
      </c>
      <c r="AM33" s="3" t="str">
        <f aca="false">IF(OR(AC33&lt;&gt;"Completed",AB33="Failed"),"Excluded","Included")</f>
        <v>Excluded</v>
      </c>
      <c r="AN33" s="3" t="str">
        <f aca="false">IF(OR(D33="Invalid/Unrecognized",E33="Invalid/Unrecognized",G33="Invalid - Ship Before Order",X33="Negative - Invalid",X33="Above Allowed Range - Invalid",AG33="Mismatch",AH33="Mismatch",AK33="Conflicting Duplicate - Flagged for Review"),"Invalid",IF(OR(L33="Filled - Unknown",S33="Filled - Unknown",X33="Missing - Defaulted to 0",AL33="Yes",AC33="Cancelled",AC33="Returned"),"Warning","Clean"))</f>
        <v>Warning</v>
      </c>
    </row>
    <row r="34" customFormat="false" ht="15" hidden="false" customHeight="false" outlineLevel="0" collapsed="false">
      <c r="A34" s="3" t="str">
        <f aca="false">raw_data!A34</f>
        <v>ORD-2024-10033</v>
      </c>
      <c r="B34" s="4" t="n">
        <f aca="false">IFERROR(IF(MID(raw_data!B34,3,1)="/",DATE(VALUE(RIGHT(raw_data!B34,4)),VALUE(LEFT(raw_data!B34,2)),VALUE(MID(raw_data!B34,4,2))),IF(MID(raw_data!B34,3,1)="-",DATE(VALUE(RIGHT(raw_data!B34,4)),VALUE(MID(raw_data!B34,4,2)),VALUE(LEFT(raw_data!B34,2))),IF(MID(raw_data!B34,5,1)="-",DATE(VALUE(LEFT(raw_data!B34,4)),VALUE(MID(raw_data!B34,6,2)),VALUE(RIGHT(raw_data!B34,2))),DATE(VALUE(RIGHT(raw_data!B34,4)),MATCH(MID(raw_data!B34,4,3),{"Jan","Feb","Mar","Apr","May","Jun","Jul","Aug","Sep","Oct","Nov","Dec"},0),VALUE(LEFT(raw_data!B34,2)))))),"")</f>
        <v>45618</v>
      </c>
      <c r="C34" s="4" t="n">
        <f aca="false">IFERROR(IF(MID(raw_data!C34,3,1)="/",DATE(VALUE(RIGHT(raw_data!C34,4)),VALUE(LEFT(raw_data!C34,2)),VALUE(MID(raw_data!C34,4,2))),IF(MID(raw_data!C34,3,1)="-",DATE(VALUE(RIGHT(raw_data!C34,4)),VALUE(MID(raw_data!C34,4,2)),VALUE(LEFT(raw_data!C34,2))),IF(MID(raw_data!C34,5,1)="-",DATE(VALUE(LEFT(raw_data!C34,4)),VALUE(MID(raw_data!C34,6,2)),VALUE(RIGHT(raw_data!C34,2))),DATE(VALUE(RIGHT(raw_data!C34,4)),MATCH(MID(raw_data!C34,4,3),{"Jan","Feb","Mar","Apr","May","Jun","Jul","Aug","Sep","Oct","Nov","Dec"},0),VALUE(LEFT(raw_data!C34,2)))))),"")</f>
        <v>45622</v>
      </c>
      <c r="D34" s="3" t="str">
        <f aca="false">IF(TRIM(raw_data!B34)="","Missing",IF(B34="","Invalid/Unrecognized","Valid"))</f>
        <v>Valid</v>
      </c>
      <c r="E34" s="3" t="str">
        <f aca="false">IF(TRIM(raw_data!C34)="","Missing",IF(C34="","Invalid/Unrecognized","Valid"))</f>
        <v>Valid</v>
      </c>
      <c r="F34" s="5" t="n">
        <f aca="false">IF(OR(B34="",C34=""),"",C34-B34)</f>
        <v>4</v>
      </c>
      <c r="G34" s="3" t="str">
        <f aca="false">IF(F34="","N/A",IF(F34&lt;0,"Invalid - Ship Before Order","OK"))</f>
        <v>OK</v>
      </c>
      <c r="H34" s="3" t="str">
        <f aca="false">raw_data!D34</f>
        <v>CUST-6509</v>
      </c>
      <c r="I34" s="3" t="str">
        <f aca="false">PROPER(TRIM(raw_data!E34))</f>
        <v>Aarav Sharma</v>
      </c>
      <c r="J34" s="3" t="str">
        <f aca="false">PROPER(TRIM(raw_data!F34))</f>
        <v>Corporate</v>
      </c>
      <c r="K34" s="3" t="str">
        <f aca="false">IF(TRIM(raw_data!G34)="","Unknown",PROPER(TRIM(raw_data!G34)))</f>
        <v>South</v>
      </c>
      <c r="L34" s="3" t="str">
        <f aca="false">IF(TRIM(raw_data!G34)="","Filled - Unknown","OK")</f>
        <v>OK</v>
      </c>
      <c r="M34" s="3" t="str">
        <f aca="false">PROPER(TRIM(raw_data!H34))</f>
        <v>Andhra Pradesh</v>
      </c>
      <c r="N34" s="3" t="str">
        <f aca="false">PROPER(TRIM(raw_data!I34))</f>
        <v>Vijayawada</v>
      </c>
      <c r="O34" s="3" t="str">
        <f aca="false">PROPER(TRIM(raw_data!J34))</f>
        <v>Technology</v>
      </c>
      <c r="P34" s="3" t="str">
        <f aca="false">PROPER(TRIM(raw_data!K34))</f>
        <v>Phones</v>
      </c>
      <c r="Q34" s="3" t="str">
        <f aca="false">TRIM(raw_data!L34)</f>
        <v>Basic Phones 242</v>
      </c>
      <c r="R34" s="3" t="str">
        <f aca="false">IF(TRIM(raw_data!M34)="","Unknown",PROPER(TRIM(raw_data!M34)))</f>
        <v>Second Class</v>
      </c>
      <c r="S34" s="3" t="str">
        <f aca="false">IF(TRIM(raw_data!M34)="","Filled - Unknown","OK")</f>
        <v>OK</v>
      </c>
      <c r="T34" s="6" t="n">
        <f aca="false">raw_data!N34</f>
        <v>3</v>
      </c>
      <c r="U34" s="7" t="n">
        <f aca="false">raw_data!O34</f>
        <v>4001.25</v>
      </c>
      <c r="V34" s="8" t="n">
        <f aca="false">raw_data!P34</f>
        <v>0</v>
      </c>
      <c r="W34" s="8" t="n">
        <f aca="false">IF(raw_data!P34="",0,IF(ISTEXT(raw_data!P34),IF(RIGHT(raw_data!P34,1)="%",VALUE(LEFT(raw_data!P34,LEN(raw_data!P34)-1))/100,VALUE(raw_data!P34)),raw_data!P34))</f>
        <v>0</v>
      </c>
      <c r="X34" s="3" t="str">
        <f aca="false">IF(raw_data!P34="","Missing - Defaulted to 0",IF(W34&lt;0,"Negative - Invalid",IF(W34&gt;0.3,"Above Allowed Range - Invalid","Valid")))</f>
        <v>Missing - Defaulted to 0</v>
      </c>
      <c r="Y34" s="7" t="n">
        <f aca="false">raw_data!Q34</f>
        <v>9002.81</v>
      </c>
      <c r="Z34" s="7" t="n">
        <f aca="false">raw_data!R34</f>
        <v>7529.92</v>
      </c>
      <c r="AA34" s="7" t="n">
        <f aca="false">raw_data!S34</f>
        <v>1472.89</v>
      </c>
      <c r="AB34" s="3" t="str">
        <f aca="false">PROPER(TRIM(raw_data!T34))</f>
        <v>Paid</v>
      </c>
      <c r="AC34" s="3" t="str">
        <f aca="false">PROPER(TRIM(raw_data!U34))</f>
        <v>Completed</v>
      </c>
      <c r="AD34" s="7" t="n">
        <f aca="false">T34*U34*(1-W34)</f>
        <v>12003.75</v>
      </c>
      <c r="AE34" s="7" t="n">
        <f aca="false">AD34-Z34</f>
        <v>4473.83</v>
      </c>
      <c r="AF34" s="8" t="n">
        <f aca="false">IF(AD34=0,0,AE34/AD34)</f>
        <v>0.372702697073831</v>
      </c>
      <c r="AG34" s="3" t="str">
        <f aca="false">IF(ABS(Y34-AD34)&gt;1,"Mismatch","OK")</f>
        <v>Mismatch</v>
      </c>
      <c r="AH34" s="3" t="str">
        <f aca="false">IF(ABS(AA34-AE34)&gt;1,"Mismatch","OK")</f>
        <v>Mismatch</v>
      </c>
      <c r="AI34" s="6" t="n">
        <f aca="false">IF(B34="","",MONTH(B34))</f>
        <v>11</v>
      </c>
      <c r="AJ34" s="6" t="n">
        <f aca="false">IF(B34="","",YEAR(B34))</f>
        <v>2024</v>
      </c>
      <c r="AK34" s="3" t="str">
        <f aca="false">IF(COUNTIF(raw_data!$A$2:$A$913,A34)&gt;1,"Conflicting Duplicate - Flagged for Review","Unique")</f>
        <v>Unique</v>
      </c>
      <c r="AL34" s="3" t="str">
        <f aca="false">IF(AB34="Refunded","Yes","No")</f>
        <v>No</v>
      </c>
      <c r="AM34" s="3" t="str">
        <f aca="false">IF(OR(AC34&lt;&gt;"Completed",AB34="Failed"),"Excluded","Included")</f>
        <v>Included</v>
      </c>
      <c r="AN34" s="3" t="str">
        <f aca="false">IF(OR(D34="Invalid/Unrecognized",E34="Invalid/Unrecognized",G34="Invalid - Ship Before Order",X34="Negative - Invalid",X34="Above Allowed Range - Invalid",AG34="Mismatch",AH34="Mismatch",AK34="Conflicting Duplicate - Flagged for Review"),"Invalid",IF(OR(L34="Filled - Unknown",S34="Filled - Unknown",X34="Missing - Defaulted to 0",AL34="Yes",AC34="Cancelled",AC34="Returned"),"Warning","Clean"))</f>
        <v>Invalid</v>
      </c>
    </row>
    <row r="35" customFormat="false" ht="15" hidden="false" customHeight="false" outlineLevel="0" collapsed="false">
      <c r="A35" s="3" t="str">
        <f aca="false">raw_data!A35</f>
        <v>ORD-2024-10034</v>
      </c>
      <c r="B35" s="4" t="n">
        <f aca="false">IFERROR(IF(MID(raw_data!B35,3,1)="/",DATE(VALUE(RIGHT(raw_data!B35,4)),VALUE(LEFT(raw_data!B35,2)),VALUE(MID(raw_data!B35,4,2))),IF(MID(raw_data!B35,3,1)="-",DATE(VALUE(RIGHT(raw_data!B35,4)),VALUE(MID(raw_data!B35,4,2)),VALUE(LEFT(raw_data!B35,2))),IF(MID(raw_data!B35,5,1)="-",DATE(VALUE(LEFT(raw_data!B35,4)),VALUE(MID(raw_data!B35,6,2)),VALUE(RIGHT(raw_data!B35,2))),DATE(VALUE(RIGHT(raw_data!B35,4)),MATCH(MID(raw_data!B35,4,3),{"Jan","Feb","Mar","Apr","May","Jun","Jul","Aug","Sep","Oct","Nov","Dec"},0),VALUE(LEFT(raw_data!B35,2)))))),"")</f>
        <v>45495</v>
      </c>
      <c r="C35" s="4" t="n">
        <f aca="false">IFERROR(IF(MID(raw_data!C35,3,1)="/",DATE(VALUE(RIGHT(raw_data!C35,4)),VALUE(LEFT(raw_data!C35,2)),VALUE(MID(raw_data!C35,4,2))),IF(MID(raw_data!C35,3,1)="-",DATE(VALUE(RIGHT(raw_data!C35,4)),VALUE(MID(raw_data!C35,4,2)),VALUE(LEFT(raw_data!C35,2))),IF(MID(raw_data!C35,5,1)="-",DATE(VALUE(LEFT(raw_data!C35,4)),VALUE(MID(raw_data!C35,6,2)),VALUE(RIGHT(raw_data!C35,2))),DATE(VALUE(RIGHT(raw_data!C35,4)),MATCH(MID(raw_data!C35,4,3),{"Jan","Feb","Mar","Apr","May","Jun","Jul","Aug","Sep","Oct","Nov","Dec"},0),VALUE(LEFT(raw_data!C35,2)))))),"")</f>
        <v>45500</v>
      </c>
      <c r="D35" s="3" t="str">
        <f aca="false">IF(TRIM(raw_data!B35)="","Missing",IF(B35="","Invalid/Unrecognized","Valid"))</f>
        <v>Valid</v>
      </c>
      <c r="E35" s="3" t="str">
        <f aca="false">IF(TRIM(raw_data!C35)="","Missing",IF(C35="","Invalid/Unrecognized","Valid"))</f>
        <v>Valid</v>
      </c>
      <c r="F35" s="5" t="n">
        <f aca="false">IF(OR(B35="",C35=""),"",C35-B35)</f>
        <v>5</v>
      </c>
      <c r="G35" s="3" t="str">
        <f aca="false">IF(F35="","N/A",IF(F35&lt;0,"Invalid - Ship Before Order","OK"))</f>
        <v>OK</v>
      </c>
      <c r="H35" s="3" t="str">
        <f aca="false">raw_data!D35</f>
        <v>CUST-6660</v>
      </c>
      <c r="I35" s="3" t="str">
        <f aca="false">PROPER(TRIM(raw_data!E35))</f>
        <v>Priya Menon</v>
      </c>
      <c r="J35" s="3" t="str">
        <f aca="false">PROPER(TRIM(raw_data!F35))</f>
        <v>Home Office</v>
      </c>
      <c r="K35" s="3" t="str">
        <f aca="false">IF(TRIM(raw_data!G35)="","Unknown",PROPER(TRIM(raw_data!G35)))</f>
        <v>West</v>
      </c>
      <c r="L35" s="3" t="str">
        <f aca="false">IF(TRIM(raw_data!G35)="","Filled - Unknown","OK")</f>
        <v>OK</v>
      </c>
      <c r="M35" s="3" t="str">
        <f aca="false">PROPER(TRIM(raw_data!H35))</f>
        <v>Goa</v>
      </c>
      <c r="N35" s="3" t="str">
        <f aca="false">PROPER(TRIM(raw_data!I35))</f>
        <v>Panaji</v>
      </c>
      <c r="O35" s="3" t="str">
        <f aca="false">PROPER(TRIM(raw_data!J35))</f>
        <v>Furniture</v>
      </c>
      <c r="P35" s="3" t="str">
        <f aca="false">PROPER(TRIM(raw_data!K35))</f>
        <v>Tables</v>
      </c>
      <c r="Q35" s="3" t="str">
        <f aca="false">TRIM(raw_data!L35)</f>
        <v>Max Tables 836</v>
      </c>
      <c r="R35" s="3" t="str">
        <f aca="false">IF(TRIM(raw_data!M35)="","Unknown",PROPER(TRIM(raw_data!M35)))</f>
        <v>Same Day</v>
      </c>
      <c r="S35" s="3" t="str">
        <f aca="false">IF(TRIM(raw_data!M35)="","Filled - Unknown","OK")</f>
        <v>OK</v>
      </c>
      <c r="T35" s="6" t="n">
        <f aca="false">raw_data!N35</f>
        <v>7</v>
      </c>
      <c r="U35" s="7" t="n">
        <f aca="false">raw_data!O35</f>
        <v>492.41</v>
      </c>
      <c r="V35" s="8" t="n">
        <f aca="false">raw_data!P35</f>
        <v>0.25</v>
      </c>
      <c r="W35" s="8" t="n">
        <f aca="false">IF(raw_data!P35="",0,IF(ISTEXT(raw_data!P35),IF(RIGHT(raw_data!P35,1)="%",VALUE(LEFT(raw_data!P35,LEN(raw_data!P35)-1))/100,VALUE(raw_data!P35)),raw_data!P35))</f>
        <v>0.25</v>
      </c>
      <c r="X35" s="3" t="str">
        <f aca="false">IF(raw_data!P35="","Missing - Defaulted to 0",IF(W35&lt;0,"Negative - Invalid",IF(W35&gt;0.3,"Above Allowed Range - Invalid","Valid")))</f>
        <v>Valid</v>
      </c>
      <c r="Y35" s="7" t="n">
        <f aca="false">raw_data!Q35</f>
        <v>2585.15</v>
      </c>
      <c r="Z35" s="7" t="n">
        <f aca="false">raw_data!R35</f>
        <v>2070.73</v>
      </c>
      <c r="AA35" s="7" t="n">
        <f aca="false">raw_data!S35</f>
        <v>514.42</v>
      </c>
      <c r="AB35" s="3" t="str">
        <f aca="false">PROPER(TRIM(raw_data!T35))</f>
        <v>Paid</v>
      </c>
      <c r="AC35" s="3" t="str">
        <f aca="false">PROPER(TRIM(raw_data!U35))</f>
        <v>Completed</v>
      </c>
      <c r="AD35" s="7" t="n">
        <f aca="false">T35*U35*(1-W35)</f>
        <v>2585.1525</v>
      </c>
      <c r="AE35" s="7" t="n">
        <f aca="false">AD35-Z35</f>
        <v>514.4225</v>
      </c>
      <c r="AF35" s="8" t="n">
        <f aca="false">IF(AD35=0,0,AE35/AD35)</f>
        <v>0.198991162030093</v>
      </c>
      <c r="AG35" s="3" t="str">
        <f aca="false">IF(ABS(Y35-AD35)&gt;1,"Mismatch","OK")</f>
        <v>OK</v>
      </c>
      <c r="AH35" s="3" t="str">
        <f aca="false">IF(ABS(AA35-AE35)&gt;1,"Mismatch","OK")</f>
        <v>OK</v>
      </c>
      <c r="AI35" s="6" t="n">
        <f aca="false">IF(B35="","",MONTH(B35))</f>
        <v>7</v>
      </c>
      <c r="AJ35" s="6" t="n">
        <f aca="false">IF(B35="","",YEAR(B35))</f>
        <v>2024</v>
      </c>
      <c r="AK35" s="3" t="str">
        <f aca="false">IF(COUNTIF(raw_data!$A$2:$A$913,A35)&gt;1,"Conflicting Duplicate - Flagged for Review","Unique")</f>
        <v>Unique</v>
      </c>
      <c r="AL35" s="3" t="str">
        <f aca="false">IF(AB35="Refunded","Yes","No")</f>
        <v>No</v>
      </c>
      <c r="AM35" s="3" t="str">
        <f aca="false">IF(OR(AC35&lt;&gt;"Completed",AB35="Failed"),"Excluded","Included")</f>
        <v>Included</v>
      </c>
      <c r="AN35" s="3" t="str">
        <f aca="false">IF(OR(D35="Invalid/Unrecognized",E35="Invalid/Unrecognized",G35="Invalid - Ship Before Order",X35="Negative - Invalid",X35="Above Allowed Range - Invalid",AG35="Mismatch",AH35="Mismatch",AK35="Conflicting Duplicate - Flagged for Review"),"Invalid",IF(OR(L35="Filled - Unknown",S35="Filled - Unknown",X35="Missing - Defaulted to 0",AL35="Yes",AC35="Cancelled",AC35="Returned"),"Warning","Clean"))</f>
        <v>Clean</v>
      </c>
    </row>
    <row r="36" customFormat="false" ht="15" hidden="false" customHeight="false" outlineLevel="0" collapsed="false">
      <c r="A36" s="3" t="str">
        <f aca="false">raw_data!A36</f>
        <v>ORD-2025-10035</v>
      </c>
      <c r="B36" s="4" t="n">
        <f aca="false">IFERROR(IF(MID(raw_data!B36,3,1)="/",DATE(VALUE(RIGHT(raw_data!B36,4)),VALUE(LEFT(raw_data!B36,2)),VALUE(MID(raw_data!B36,4,2))),IF(MID(raw_data!B36,3,1)="-",DATE(VALUE(RIGHT(raw_data!B36,4)),VALUE(MID(raw_data!B36,4,2)),VALUE(LEFT(raw_data!B36,2))),IF(MID(raw_data!B36,5,1)="-",DATE(VALUE(LEFT(raw_data!B36,4)),VALUE(MID(raw_data!B36,6,2)),VALUE(RIGHT(raw_data!B36,2))),DATE(VALUE(RIGHT(raw_data!B36,4)),MATCH(MID(raw_data!B36,4,3),{"Jan","Feb","Mar","Apr","May","Jun","Jul","Aug","Sep","Oct","Nov","Dec"},0),VALUE(LEFT(raw_data!B36,2)))))),"")</f>
        <v>45688</v>
      </c>
      <c r="C36" s="4" t="n">
        <f aca="false">IFERROR(IF(MID(raw_data!C36,3,1)="/",DATE(VALUE(RIGHT(raw_data!C36,4)),VALUE(LEFT(raw_data!C36,2)),VALUE(MID(raw_data!C36,4,2))),IF(MID(raw_data!C36,3,1)="-",DATE(VALUE(RIGHT(raw_data!C36,4)),VALUE(MID(raw_data!C36,4,2)),VALUE(LEFT(raw_data!C36,2))),IF(MID(raw_data!C36,5,1)="-",DATE(VALUE(LEFT(raw_data!C36,4)),VALUE(MID(raw_data!C36,6,2)),VALUE(RIGHT(raw_data!C36,2))),DATE(VALUE(RIGHT(raw_data!C36,4)),MATCH(MID(raw_data!C36,4,3),{"Jan","Feb","Mar","Apr","May","Jun","Jul","Aug","Sep","Oct","Nov","Dec"},0),VALUE(LEFT(raw_data!C36,2)))))),"")</f>
        <v>45693</v>
      </c>
      <c r="D36" s="3" t="str">
        <f aca="false">IF(TRIM(raw_data!B36)="","Missing",IF(B36="","Invalid/Unrecognized","Valid"))</f>
        <v>Valid</v>
      </c>
      <c r="E36" s="3" t="str">
        <f aca="false">IF(TRIM(raw_data!C36)="","Missing",IF(C36="","Invalid/Unrecognized","Valid"))</f>
        <v>Valid</v>
      </c>
      <c r="F36" s="5" t="n">
        <f aca="false">IF(OR(B36="",C36=""),"",C36-B36)</f>
        <v>5</v>
      </c>
      <c r="G36" s="3" t="str">
        <f aca="false">IF(F36="","N/A",IF(F36&lt;0,"Invalid - Ship Before Order","OK"))</f>
        <v>OK</v>
      </c>
      <c r="H36" s="3" t="str">
        <f aca="false">raw_data!D36</f>
        <v>CUST-2392</v>
      </c>
      <c r="I36" s="3" t="str">
        <f aca="false">PROPER(TRIM(raw_data!E36))</f>
        <v>Priya Menon</v>
      </c>
      <c r="J36" s="3" t="str">
        <f aca="false">PROPER(TRIM(raw_data!F36))</f>
        <v>Home Office</v>
      </c>
      <c r="K36" s="3" t="str">
        <f aca="false">IF(TRIM(raw_data!G36)="","Unknown",PROPER(TRIM(raw_data!G36)))</f>
        <v>East</v>
      </c>
      <c r="L36" s="3" t="str">
        <f aca="false">IF(TRIM(raw_data!G36)="","Filled - Unknown","OK")</f>
        <v>OK</v>
      </c>
      <c r="M36" s="3" t="str">
        <f aca="false">PROPER(TRIM(raw_data!H36))</f>
        <v>West Bengal</v>
      </c>
      <c r="N36" s="3" t="str">
        <f aca="false">PROPER(TRIM(raw_data!I36))</f>
        <v>Kolkata</v>
      </c>
      <c r="O36" s="3" t="str">
        <f aca="false">PROPER(TRIM(raw_data!J36))</f>
        <v>Furniture</v>
      </c>
      <c r="P36" s="3" t="str">
        <f aca="false">PROPER(TRIM(raw_data!K36))</f>
        <v>Chairs</v>
      </c>
      <c r="Q36" s="3" t="str">
        <f aca="false">TRIM(raw_data!L36)</f>
        <v>Elite Chairs 862</v>
      </c>
      <c r="R36" s="3" t="str">
        <f aca="false">IF(TRIM(raw_data!M36)="","Unknown",PROPER(TRIM(raw_data!M36)))</f>
        <v>Unknown</v>
      </c>
      <c r="S36" s="3" t="str">
        <f aca="false">IF(TRIM(raw_data!M36)="","Filled - Unknown","OK")</f>
        <v>Filled - Unknown</v>
      </c>
      <c r="T36" s="6" t="n">
        <f aca="false">raw_data!N36</f>
        <v>2</v>
      </c>
      <c r="U36" s="7" t="n">
        <f aca="false">raw_data!O36</f>
        <v>4159.69</v>
      </c>
      <c r="V36" s="8" t="n">
        <f aca="false">raw_data!P36</f>
        <v>0.2</v>
      </c>
      <c r="W36" s="8" t="n">
        <f aca="false">IF(raw_data!P36="",0,IF(ISTEXT(raw_data!P36),IF(RIGHT(raw_data!P36,1)="%",VALUE(LEFT(raw_data!P36,LEN(raw_data!P36)-1))/100,VALUE(raw_data!P36)),raw_data!P36))</f>
        <v>0.2</v>
      </c>
      <c r="X36" s="3" t="str">
        <f aca="false">IF(raw_data!P36="","Missing - Defaulted to 0",IF(W36&lt;0,"Negative - Invalid",IF(W36&gt;0.3,"Above Allowed Range - Invalid","Valid")))</f>
        <v>Valid</v>
      </c>
      <c r="Y36" s="7" t="n">
        <f aca="false">raw_data!Q36</f>
        <v>6655.5</v>
      </c>
      <c r="Z36" s="7" t="n">
        <f aca="false">raw_data!R36</f>
        <v>4340.21</v>
      </c>
      <c r="AA36" s="7" t="n">
        <f aca="false">raw_data!S36</f>
        <v>2607.32</v>
      </c>
      <c r="AB36" s="3" t="str">
        <f aca="false">PROPER(TRIM(raw_data!T36))</f>
        <v>Paid</v>
      </c>
      <c r="AC36" s="3" t="str">
        <f aca="false">PROPER(TRIM(raw_data!U36))</f>
        <v>Completed</v>
      </c>
      <c r="AD36" s="7" t="n">
        <f aca="false">T36*U36*(1-W36)</f>
        <v>6655.504</v>
      </c>
      <c r="AE36" s="7" t="n">
        <f aca="false">AD36-Z36</f>
        <v>2315.294</v>
      </c>
      <c r="AF36" s="8" t="n">
        <f aca="false">IF(AD36=0,0,AE36/AD36)</f>
        <v>0.347876584553176</v>
      </c>
      <c r="AG36" s="3" t="str">
        <f aca="false">IF(ABS(Y36-AD36)&gt;1,"Mismatch","OK")</f>
        <v>OK</v>
      </c>
      <c r="AH36" s="3" t="str">
        <f aca="false">IF(ABS(AA36-AE36)&gt;1,"Mismatch","OK")</f>
        <v>Mismatch</v>
      </c>
      <c r="AI36" s="6" t="n">
        <f aca="false">IF(B36="","",MONTH(B36))</f>
        <v>1</v>
      </c>
      <c r="AJ36" s="6" t="n">
        <f aca="false">IF(B36="","",YEAR(B36))</f>
        <v>2025</v>
      </c>
      <c r="AK36" s="3" t="str">
        <f aca="false">IF(COUNTIF(raw_data!$A$2:$A$913,A36)&gt;1,"Conflicting Duplicate - Flagged for Review","Unique")</f>
        <v>Unique</v>
      </c>
      <c r="AL36" s="3" t="str">
        <f aca="false">IF(AB36="Refunded","Yes","No")</f>
        <v>No</v>
      </c>
      <c r="AM36" s="3" t="str">
        <f aca="false">IF(OR(AC36&lt;&gt;"Completed",AB36="Failed"),"Excluded","Included")</f>
        <v>Included</v>
      </c>
      <c r="AN36" s="3" t="str">
        <f aca="false">IF(OR(D36="Invalid/Unrecognized",E36="Invalid/Unrecognized",G36="Invalid - Ship Before Order",X36="Negative - Invalid",X36="Above Allowed Range - Invalid",AG36="Mismatch",AH36="Mismatch",AK36="Conflicting Duplicate - Flagged for Review"),"Invalid",IF(OR(L36="Filled - Unknown",S36="Filled - Unknown",X36="Missing - Defaulted to 0",AL36="Yes",AC36="Cancelled",AC36="Returned"),"Warning","Clean"))</f>
        <v>Invalid</v>
      </c>
    </row>
    <row r="37" customFormat="false" ht="15" hidden="false" customHeight="false" outlineLevel="0" collapsed="false">
      <c r="A37" s="3" t="str">
        <f aca="false">raw_data!A37</f>
        <v>ORD-2024-10036</v>
      </c>
      <c r="B37" s="4" t="n">
        <f aca="false">IFERROR(IF(MID(raw_data!B37,3,1)="/",DATE(VALUE(RIGHT(raw_data!B37,4)),VALUE(LEFT(raw_data!B37,2)),VALUE(MID(raw_data!B37,4,2))),IF(MID(raw_data!B37,3,1)="-",DATE(VALUE(RIGHT(raw_data!B37,4)),VALUE(MID(raw_data!B37,4,2)),VALUE(LEFT(raw_data!B37,2))),IF(MID(raw_data!B37,5,1)="-",DATE(VALUE(LEFT(raw_data!B37,4)),VALUE(MID(raw_data!B37,6,2)),VALUE(RIGHT(raw_data!B37,2))),DATE(VALUE(RIGHT(raw_data!B37,4)),MATCH(MID(raw_data!B37,4,3),{"Jan","Feb","Mar","Apr","May","Jun","Jul","Aug","Sep","Oct","Nov","Dec"},0),VALUE(LEFT(raw_data!B37,2)))))),"")</f>
        <v>45441</v>
      </c>
      <c r="C37" s="4" t="n">
        <f aca="false">IFERROR(IF(MID(raw_data!C37,3,1)="/",DATE(VALUE(RIGHT(raw_data!C37,4)),VALUE(LEFT(raw_data!C37,2)),VALUE(MID(raw_data!C37,4,2))),IF(MID(raw_data!C37,3,1)="-",DATE(VALUE(RIGHT(raw_data!C37,4)),VALUE(MID(raw_data!C37,4,2)),VALUE(LEFT(raw_data!C37,2))),IF(MID(raw_data!C37,5,1)="-",DATE(VALUE(LEFT(raw_data!C37,4)),VALUE(MID(raw_data!C37,6,2)),VALUE(RIGHT(raw_data!C37,2))),DATE(VALUE(RIGHT(raw_data!C37,4)),MATCH(MID(raw_data!C37,4,3),{"Jan","Feb","Mar","Apr","May","Jun","Jul","Aug","Sep","Oct","Nov","Dec"},0),VALUE(LEFT(raw_data!C37,2)))))),"")</f>
        <v>45441</v>
      </c>
      <c r="D37" s="3" t="str">
        <f aca="false">IF(TRIM(raw_data!B37)="","Missing",IF(B37="","Invalid/Unrecognized","Valid"))</f>
        <v>Valid</v>
      </c>
      <c r="E37" s="3" t="str">
        <f aca="false">IF(TRIM(raw_data!C37)="","Missing",IF(C37="","Invalid/Unrecognized","Valid"))</f>
        <v>Valid</v>
      </c>
      <c r="F37" s="5" t="n">
        <f aca="false">IF(OR(B37="",C37=""),"",C37-B37)</f>
        <v>0</v>
      </c>
      <c r="G37" s="3" t="str">
        <f aca="false">IF(F37="","N/A",IF(F37&lt;0,"Invalid - Ship Before Order","OK"))</f>
        <v>OK</v>
      </c>
      <c r="H37" s="3" t="str">
        <f aca="false">raw_data!D37</f>
        <v>CUST-1611</v>
      </c>
      <c r="I37" s="3" t="str">
        <f aca="false">PROPER(TRIM(raw_data!E37))</f>
        <v>Sneha Kapoor</v>
      </c>
      <c r="J37" s="3" t="str">
        <f aca="false">PROPER(TRIM(raw_data!F37))</f>
        <v>Small Business</v>
      </c>
      <c r="K37" s="3" t="str">
        <f aca="false">IF(TRIM(raw_data!G37)="","Unknown",PROPER(TRIM(raw_data!G37)))</f>
        <v>West</v>
      </c>
      <c r="L37" s="3" t="str">
        <f aca="false">IF(TRIM(raw_data!G37)="","Filled - Unknown","OK")</f>
        <v>OK</v>
      </c>
      <c r="M37" s="3" t="str">
        <f aca="false">PROPER(TRIM(raw_data!H37))</f>
        <v>Gujarat</v>
      </c>
      <c r="N37" s="3" t="str">
        <f aca="false">PROPER(TRIM(raw_data!I37))</f>
        <v>Ahmedabad</v>
      </c>
      <c r="O37" s="3" t="str">
        <f aca="false">PROPER(TRIM(raw_data!J37))</f>
        <v>Furniture</v>
      </c>
      <c r="P37" s="3" t="str">
        <f aca="false">PROPER(TRIM(raw_data!K37))</f>
        <v>Bookcases</v>
      </c>
      <c r="Q37" s="3" t="str">
        <f aca="false">TRIM(raw_data!L37)</f>
        <v>Prime Bookcases 414</v>
      </c>
      <c r="R37" s="3" t="str">
        <f aca="false">IF(TRIM(raw_data!M37)="","Unknown",PROPER(TRIM(raw_data!M37)))</f>
        <v>Second Class</v>
      </c>
      <c r="S37" s="3" t="str">
        <f aca="false">IF(TRIM(raw_data!M37)="","Filled - Unknown","OK")</f>
        <v>OK</v>
      </c>
      <c r="T37" s="6" t="n">
        <f aca="false">raw_data!N37</f>
        <v>8</v>
      </c>
      <c r="U37" s="7" t="n">
        <f aca="false">raw_data!O37</f>
        <v>2507.12</v>
      </c>
      <c r="V37" s="8" t="n">
        <f aca="false">raw_data!P37</f>
        <v>0.05</v>
      </c>
      <c r="W37" s="8" t="n">
        <f aca="false">IF(raw_data!P37="",0,IF(ISTEXT(raw_data!P37),IF(RIGHT(raw_data!P37,1)="%",VALUE(LEFT(raw_data!P37,LEN(raw_data!P37)-1))/100,VALUE(raw_data!P37)),raw_data!P37))</f>
        <v>0.05</v>
      </c>
      <c r="X37" s="3" t="str">
        <f aca="false">IF(raw_data!P37="","Missing - Defaulted to 0",IF(W37&lt;0,"Negative - Invalid",IF(W37&gt;0.3,"Above Allowed Range - Invalid","Valid")))</f>
        <v>Valid</v>
      </c>
      <c r="Y37" s="7" t="n">
        <f aca="false">raw_data!Q37</f>
        <v>19054.11</v>
      </c>
      <c r="Z37" s="7" t="n">
        <f aca="false">raw_data!R37</f>
        <v>15313.83</v>
      </c>
      <c r="AA37" s="7" t="n">
        <f aca="false">raw_data!S37</f>
        <v>3740.28</v>
      </c>
      <c r="AB37" s="3" t="str">
        <f aca="false">PROPER(TRIM(raw_data!T37))</f>
        <v>Pending</v>
      </c>
      <c r="AC37" s="3" t="str">
        <f aca="false">PROPER(TRIM(raw_data!U37))</f>
        <v>Returned</v>
      </c>
      <c r="AD37" s="7" t="n">
        <f aca="false">T37*U37*(1-W37)</f>
        <v>19054.112</v>
      </c>
      <c r="AE37" s="7" t="n">
        <f aca="false">AD37-Z37</f>
        <v>3740.282</v>
      </c>
      <c r="AF37" s="8" t="n">
        <f aca="false">IF(AD37=0,0,AE37/AD37)</f>
        <v>0.196297890974924</v>
      </c>
      <c r="AG37" s="3" t="str">
        <f aca="false">IF(ABS(Y37-AD37)&gt;1,"Mismatch","OK")</f>
        <v>OK</v>
      </c>
      <c r="AH37" s="3" t="str">
        <f aca="false">IF(ABS(AA37-AE37)&gt;1,"Mismatch","OK")</f>
        <v>OK</v>
      </c>
      <c r="AI37" s="6" t="n">
        <f aca="false">IF(B37="","",MONTH(B37))</f>
        <v>5</v>
      </c>
      <c r="AJ37" s="6" t="n">
        <f aca="false">IF(B37="","",YEAR(B37))</f>
        <v>2024</v>
      </c>
      <c r="AK37" s="3" t="str">
        <f aca="false">IF(COUNTIF(raw_data!$A$2:$A$913,A37)&gt;1,"Conflicting Duplicate - Flagged for Review","Unique")</f>
        <v>Unique</v>
      </c>
      <c r="AL37" s="3" t="str">
        <f aca="false">IF(AB37="Refunded","Yes","No")</f>
        <v>No</v>
      </c>
      <c r="AM37" s="3" t="str">
        <f aca="false">IF(OR(AC37&lt;&gt;"Completed",AB37="Failed"),"Excluded","Included")</f>
        <v>Excluded</v>
      </c>
      <c r="AN37" s="3" t="str">
        <f aca="false">IF(OR(D37="Invalid/Unrecognized",E37="Invalid/Unrecognized",G37="Invalid - Ship Before Order",X37="Negative - Invalid",X37="Above Allowed Range - Invalid",AG37="Mismatch",AH37="Mismatch",AK37="Conflicting Duplicate - Flagged for Review"),"Invalid",IF(OR(L37="Filled - Unknown",S37="Filled - Unknown",X37="Missing - Defaulted to 0",AL37="Yes",AC37="Cancelled",AC37="Returned"),"Warning","Clean"))</f>
        <v>Warning</v>
      </c>
    </row>
    <row r="38" customFormat="false" ht="15" hidden="false" customHeight="false" outlineLevel="0" collapsed="false">
      <c r="A38" s="3" t="str">
        <f aca="false">raw_data!A38</f>
        <v>ORD-2024-10037</v>
      </c>
      <c r="B38" s="4" t="n">
        <f aca="false">IFERROR(IF(MID(raw_data!B38,3,1)="/",DATE(VALUE(RIGHT(raw_data!B38,4)),VALUE(LEFT(raw_data!B38,2)),VALUE(MID(raw_data!B38,4,2))),IF(MID(raw_data!B38,3,1)="-",DATE(VALUE(RIGHT(raw_data!B38,4)),VALUE(MID(raw_data!B38,4,2)),VALUE(LEFT(raw_data!B38,2))),IF(MID(raw_data!B38,5,1)="-",DATE(VALUE(LEFT(raw_data!B38,4)),VALUE(MID(raw_data!B38,6,2)),VALUE(RIGHT(raw_data!B38,2))),DATE(VALUE(RIGHT(raw_data!B38,4)),MATCH(MID(raw_data!B38,4,3),{"Jan","Feb","Mar","Apr","May","Jun","Jul","Aug","Sep","Oct","Nov","Dec"},0),VALUE(LEFT(raw_data!B38,2)))))),"")</f>
        <v>45590</v>
      </c>
      <c r="C38" s="4" t="n">
        <f aca="false">IFERROR(IF(MID(raw_data!C38,3,1)="/",DATE(VALUE(RIGHT(raw_data!C38,4)),VALUE(LEFT(raw_data!C38,2)),VALUE(MID(raw_data!C38,4,2))),IF(MID(raw_data!C38,3,1)="-",DATE(VALUE(RIGHT(raw_data!C38,4)),VALUE(MID(raw_data!C38,4,2)),VALUE(LEFT(raw_data!C38,2))),IF(MID(raw_data!C38,5,1)="-",DATE(VALUE(LEFT(raw_data!C38,4)),VALUE(MID(raw_data!C38,6,2)),VALUE(RIGHT(raw_data!C38,2))),DATE(VALUE(RIGHT(raw_data!C38,4)),MATCH(MID(raw_data!C38,4,3),{"Jan","Feb","Mar","Apr","May","Jun","Jul","Aug","Sep","Oct","Nov","Dec"},0),VALUE(LEFT(raw_data!C38,2)))))),"")</f>
        <v>45593</v>
      </c>
      <c r="D38" s="3" t="str">
        <f aca="false">IF(TRIM(raw_data!B38)="","Missing",IF(B38="","Invalid/Unrecognized","Valid"))</f>
        <v>Valid</v>
      </c>
      <c r="E38" s="3" t="str">
        <f aca="false">IF(TRIM(raw_data!C38)="","Missing",IF(C38="","Invalid/Unrecognized","Valid"))</f>
        <v>Valid</v>
      </c>
      <c r="F38" s="5" t="n">
        <f aca="false">IF(OR(B38="",C38=""),"",C38-B38)</f>
        <v>3</v>
      </c>
      <c r="G38" s="3" t="str">
        <f aca="false">IF(F38="","N/A",IF(F38&lt;0,"Invalid - Ship Before Order","OK"))</f>
        <v>OK</v>
      </c>
      <c r="H38" s="3" t="str">
        <f aca="false">raw_data!D38</f>
        <v>CUST-8296</v>
      </c>
      <c r="I38" s="3" t="str">
        <f aca="false">PROPER(TRIM(raw_data!E38))</f>
        <v>Rohan Mehta</v>
      </c>
      <c r="J38" s="3" t="str">
        <f aca="false">PROPER(TRIM(raw_data!F38))</f>
        <v>Corporate</v>
      </c>
      <c r="K38" s="3" t="str">
        <f aca="false">IF(TRIM(raw_data!G38)="","Unknown",PROPER(TRIM(raw_data!G38)))</f>
        <v>West</v>
      </c>
      <c r="L38" s="3" t="str">
        <f aca="false">IF(TRIM(raw_data!G38)="","Filled - Unknown","OK")</f>
        <v>OK</v>
      </c>
      <c r="M38" s="3" t="str">
        <f aca="false">PROPER(TRIM(raw_data!H38))</f>
        <v>Maharashtra</v>
      </c>
      <c r="N38" s="3" t="str">
        <f aca="false">PROPER(TRIM(raw_data!I38))</f>
        <v>Mumbai</v>
      </c>
      <c r="O38" s="3" t="str">
        <f aca="false">PROPER(TRIM(raw_data!J38))</f>
        <v>Furniture</v>
      </c>
      <c r="P38" s="3" t="str">
        <f aca="false">PROPER(TRIM(raw_data!K38))</f>
        <v>Bookcases</v>
      </c>
      <c r="Q38" s="3" t="str">
        <f aca="false">TRIM(raw_data!L38)</f>
        <v>Eco Bookcases 220</v>
      </c>
      <c r="R38" s="3" t="str">
        <f aca="false">IF(TRIM(raw_data!M38)="","Unknown",PROPER(TRIM(raw_data!M38)))</f>
        <v>Second Class</v>
      </c>
      <c r="S38" s="3" t="str">
        <f aca="false">IF(TRIM(raw_data!M38)="","Filled - Unknown","OK")</f>
        <v>OK</v>
      </c>
      <c r="T38" s="6" t="n">
        <f aca="false">raw_data!N38</f>
        <v>3</v>
      </c>
      <c r="U38" s="7" t="n">
        <f aca="false">raw_data!O38</f>
        <v>3126.47</v>
      </c>
      <c r="V38" s="8" t="n">
        <f aca="false">raw_data!P38</f>
        <v>0</v>
      </c>
      <c r="W38" s="8" t="n">
        <f aca="false">IF(raw_data!P38="",0,IF(ISTEXT(raw_data!P38),IF(RIGHT(raw_data!P38,1)="%",VALUE(LEFT(raw_data!P38,LEN(raw_data!P38)-1))/100,VALUE(raw_data!P38)),raw_data!P38))</f>
        <v>0</v>
      </c>
      <c r="X38" s="3" t="str">
        <f aca="false">IF(raw_data!P38="","Missing - Defaulted to 0",IF(W38&lt;0,"Negative - Invalid",IF(W38&gt;0.3,"Above Allowed Range - Invalid","Valid")))</f>
        <v>Valid</v>
      </c>
      <c r="Y38" s="7" t="n">
        <f aca="false">raw_data!Q38</f>
        <v>9379.41</v>
      </c>
      <c r="Z38" s="7" t="n">
        <f aca="false">raw_data!R38</f>
        <v>6670.85</v>
      </c>
      <c r="AA38" s="7" t="n">
        <f aca="false">raw_data!S38</f>
        <v>2708.56</v>
      </c>
      <c r="AB38" s="3" t="str">
        <f aca="false">PROPER(TRIM(raw_data!T38))</f>
        <v>Paid</v>
      </c>
      <c r="AC38" s="3" t="str">
        <f aca="false">PROPER(TRIM(raw_data!U38))</f>
        <v>Returned</v>
      </c>
      <c r="AD38" s="7" t="n">
        <f aca="false">T38*U38*(1-W38)</f>
        <v>9379.41</v>
      </c>
      <c r="AE38" s="7" t="n">
        <f aca="false">AD38-Z38</f>
        <v>2708.56</v>
      </c>
      <c r="AF38" s="8" t="n">
        <f aca="false">IF(AD38=0,0,AE38/AD38)</f>
        <v>0.288777225859622</v>
      </c>
      <c r="AG38" s="3" t="str">
        <f aca="false">IF(ABS(Y38-AD38)&gt;1,"Mismatch","OK")</f>
        <v>OK</v>
      </c>
      <c r="AH38" s="3" t="str">
        <f aca="false">IF(ABS(AA38-AE38)&gt;1,"Mismatch","OK")</f>
        <v>OK</v>
      </c>
      <c r="AI38" s="6" t="n">
        <f aca="false">IF(B38="","",MONTH(B38))</f>
        <v>10</v>
      </c>
      <c r="AJ38" s="6" t="n">
        <f aca="false">IF(B38="","",YEAR(B38))</f>
        <v>2024</v>
      </c>
      <c r="AK38" s="3" t="str">
        <f aca="false">IF(COUNTIF(raw_data!$A$2:$A$913,A38)&gt;1,"Conflicting Duplicate - Flagged for Review","Unique")</f>
        <v>Unique</v>
      </c>
      <c r="AL38" s="3" t="str">
        <f aca="false">IF(AB38="Refunded","Yes","No")</f>
        <v>No</v>
      </c>
      <c r="AM38" s="3" t="str">
        <f aca="false">IF(OR(AC38&lt;&gt;"Completed",AB38="Failed"),"Excluded","Included")</f>
        <v>Excluded</v>
      </c>
      <c r="AN38" s="3" t="str">
        <f aca="false">IF(OR(D38="Invalid/Unrecognized",E38="Invalid/Unrecognized",G38="Invalid - Ship Before Order",X38="Negative - Invalid",X38="Above Allowed Range - Invalid",AG38="Mismatch",AH38="Mismatch",AK38="Conflicting Duplicate - Flagged for Review"),"Invalid",IF(OR(L38="Filled - Unknown",S38="Filled - Unknown",X38="Missing - Defaulted to 0",AL38="Yes",AC38="Cancelled",AC38="Returned"),"Warning","Clean"))</f>
        <v>Warning</v>
      </c>
    </row>
    <row r="39" customFormat="false" ht="15" hidden="false" customHeight="false" outlineLevel="0" collapsed="false">
      <c r="A39" s="3" t="str">
        <f aca="false">raw_data!A39</f>
        <v>ORD-2025-10038</v>
      </c>
      <c r="B39" s="4" t="n">
        <f aca="false">IFERROR(IF(MID(raw_data!B39,3,1)="/",DATE(VALUE(RIGHT(raw_data!B39,4)),VALUE(LEFT(raw_data!B39,2)),VALUE(MID(raw_data!B39,4,2))),IF(MID(raw_data!B39,3,1)="-",DATE(VALUE(RIGHT(raw_data!B39,4)),VALUE(MID(raw_data!B39,4,2)),VALUE(LEFT(raw_data!B39,2))),IF(MID(raw_data!B39,5,1)="-",DATE(VALUE(LEFT(raw_data!B39,4)),VALUE(MID(raw_data!B39,6,2)),VALUE(RIGHT(raw_data!B39,2))),DATE(VALUE(RIGHT(raw_data!B39,4)),MATCH(MID(raw_data!B39,4,3),{"Jan","Feb","Mar","Apr","May","Jun","Jul","Aug","Sep","Oct","Nov","Dec"},0),VALUE(LEFT(raw_data!B39,2)))))),"")</f>
        <v>45867</v>
      </c>
      <c r="C39" s="4" t="n">
        <f aca="false">IFERROR(IF(MID(raw_data!C39,3,1)="/",DATE(VALUE(RIGHT(raw_data!C39,4)),VALUE(LEFT(raw_data!C39,2)),VALUE(MID(raw_data!C39,4,2))),IF(MID(raw_data!C39,3,1)="-",DATE(VALUE(RIGHT(raw_data!C39,4)),VALUE(MID(raw_data!C39,4,2)),VALUE(LEFT(raw_data!C39,2))),IF(MID(raw_data!C39,5,1)="-",DATE(VALUE(LEFT(raw_data!C39,4)),VALUE(MID(raw_data!C39,6,2)),VALUE(RIGHT(raw_data!C39,2))),DATE(VALUE(RIGHT(raw_data!C39,4)),MATCH(MID(raw_data!C39,4,3),{"Jan","Feb","Mar","Apr","May","Jun","Jul","Aug","Sep","Oct","Nov","Dec"},0),VALUE(LEFT(raw_data!C39,2)))))),"")</f>
        <v>45867</v>
      </c>
      <c r="D39" s="3" t="str">
        <f aca="false">IF(TRIM(raw_data!B39)="","Missing",IF(B39="","Invalid/Unrecognized","Valid"))</f>
        <v>Valid</v>
      </c>
      <c r="E39" s="3" t="str">
        <f aca="false">IF(TRIM(raw_data!C39)="","Missing",IF(C39="","Invalid/Unrecognized","Valid"))</f>
        <v>Valid</v>
      </c>
      <c r="F39" s="5" t="n">
        <f aca="false">IF(OR(B39="",C39=""),"",C39-B39)</f>
        <v>0</v>
      </c>
      <c r="G39" s="3" t="str">
        <f aca="false">IF(F39="","N/A",IF(F39&lt;0,"Invalid - Ship Before Order","OK"))</f>
        <v>OK</v>
      </c>
      <c r="H39" s="3" t="str">
        <f aca="false">raw_data!D39</f>
        <v>CUST-4646</v>
      </c>
      <c r="I39" s="3" t="str">
        <f aca="false">PROPER(TRIM(raw_data!E39))</f>
        <v>Diya Patel</v>
      </c>
      <c r="J39" s="3" t="str">
        <f aca="false">PROPER(TRIM(raw_data!F39))</f>
        <v>Consumer</v>
      </c>
      <c r="K39" s="3" t="str">
        <f aca="false">IF(TRIM(raw_data!G39)="","Unknown",PROPER(TRIM(raw_data!G39)))</f>
        <v>West</v>
      </c>
      <c r="L39" s="3" t="str">
        <f aca="false">IF(TRIM(raw_data!G39)="","Filled - Unknown","OK")</f>
        <v>OK</v>
      </c>
      <c r="M39" s="3" t="str">
        <f aca="false">PROPER(TRIM(raw_data!H39))</f>
        <v>Maharashtra</v>
      </c>
      <c r="N39" s="3" t="str">
        <f aca="false">PROPER(TRIM(raw_data!I39))</f>
        <v>Mumbai</v>
      </c>
      <c r="O39" s="3" t="str">
        <f aca="false">PROPER(TRIM(raw_data!J39))</f>
        <v>Technology</v>
      </c>
      <c r="P39" s="3" t="str">
        <f aca="false">PROPER(TRIM(raw_data!K39))</f>
        <v>Copiers</v>
      </c>
      <c r="Q39" s="3" t="str">
        <f aca="false">TRIM(raw_data!L39)</f>
        <v>Pro Copiers 830</v>
      </c>
      <c r="R39" s="3" t="str">
        <f aca="false">IF(TRIM(raw_data!M39)="","Unknown",PROPER(TRIM(raw_data!M39)))</f>
        <v>Standard Class</v>
      </c>
      <c r="S39" s="3" t="str">
        <f aca="false">IF(TRIM(raw_data!M39)="","Filled - Unknown","OK")</f>
        <v>OK</v>
      </c>
      <c r="T39" s="6" t="n">
        <f aca="false">raw_data!N39</f>
        <v>4</v>
      </c>
      <c r="U39" s="7" t="n">
        <f aca="false">raw_data!O39</f>
        <v>1327.54</v>
      </c>
      <c r="V39" s="8" t="n">
        <f aca="false">raw_data!P39</f>
        <v>0.2</v>
      </c>
      <c r="W39" s="8" t="n">
        <f aca="false">IF(raw_data!P39="",0,IF(ISTEXT(raw_data!P39),IF(RIGHT(raw_data!P39,1)="%",VALUE(LEFT(raw_data!P39,LEN(raw_data!P39)-1))/100,VALUE(raw_data!P39)),raw_data!P39))</f>
        <v>0.2</v>
      </c>
      <c r="X39" s="3" t="str">
        <f aca="false">IF(raw_data!P39="","Missing - Defaulted to 0",IF(W39&lt;0,"Negative - Invalid",IF(W39&gt;0.3,"Above Allowed Range - Invalid","Valid")))</f>
        <v>Valid</v>
      </c>
      <c r="Y39" s="7" t="n">
        <f aca="false">raw_data!Q39</f>
        <v>4248.13</v>
      </c>
      <c r="Z39" s="7" t="n">
        <f aca="false">raw_data!R39</f>
        <v>3321.09</v>
      </c>
      <c r="AA39" s="7" t="n">
        <f aca="false">raw_data!S39</f>
        <v>927.04</v>
      </c>
      <c r="AB39" s="3" t="str">
        <f aca="false">PROPER(TRIM(raw_data!T39))</f>
        <v>Paid</v>
      </c>
      <c r="AC39" s="3" t="str">
        <f aca="false">PROPER(TRIM(raw_data!U39))</f>
        <v>Completed</v>
      </c>
      <c r="AD39" s="7" t="n">
        <f aca="false">T39*U39*(1-W39)</f>
        <v>4248.128</v>
      </c>
      <c r="AE39" s="7" t="n">
        <f aca="false">AD39-Z39</f>
        <v>927.038</v>
      </c>
      <c r="AF39" s="8" t="n">
        <f aca="false">IF(AD39=0,0,AE39/AD39)</f>
        <v>0.218222708920258</v>
      </c>
      <c r="AG39" s="3" t="str">
        <f aca="false">IF(ABS(Y39-AD39)&gt;1,"Mismatch","OK")</f>
        <v>OK</v>
      </c>
      <c r="AH39" s="3" t="str">
        <f aca="false">IF(ABS(AA39-AE39)&gt;1,"Mismatch","OK")</f>
        <v>OK</v>
      </c>
      <c r="AI39" s="6" t="n">
        <f aca="false">IF(B39="","",MONTH(B39))</f>
        <v>7</v>
      </c>
      <c r="AJ39" s="6" t="n">
        <f aca="false">IF(B39="","",YEAR(B39))</f>
        <v>2025</v>
      </c>
      <c r="AK39" s="3" t="str">
        <f aca="false">IF(COUNTIF(raw_data!$A$2:$A$913,A39)&gt;1,"Conflicting Duplicate - Flagged for Review","Unique")</f>
        <v>Unique</v>
      </c>
      <c r="AL39" s="3" t="str">
        <f aca="false">IF(AB39="Refunded","Yes","No")</f>
        <v>No</v>
      </c>
      <c r="AM39" s="3" t="str">
        <f aca="false">IF(OR(AC39&lt;&gt;"Completed",AB39="Failed"),"Excluded","Included")</f>
        <v>Included</v>
      </c>
      <c r="AN39" s="3" t="str">
        <f aca="false">IF(OR(D39="Invalid/Unrecognized",E39="Invalid/Unrecognized",G39="Invalid - Ship Before Order",X39="Negative - Invalid",X39="Above Allowed Range - Invalid",AG39="Mismatch",AH39="Mismatch",AK39="Conflicting Duplicate - Flagged for Review"),"Invalid",IF(OR(L39="Filled - Unknown",S39="Filled - Unknown",X39="Missing - Defaulted to 0",AL39="Yes",AC39="Cancelled",AC39="Returned"),"Warning","Clean"))</f>
        <v>Clean</v>
      </c>
    </row>
    <row r="40" customFormat="false" ht="15" hidden="false" customHeight="false" outlineLevel="0" collapsed="false">
      <c r="A40" s="3" t="str">
        <f aca="false">raw_data!A40</f>
        <v>ORD-2024-10039</v>
      </c>
      <c r="B40" s="4" t="n">
        <f aca="false">IFERROR(IF(MID(raw_data!B40,3,1)="/",DATE(VALUE(RIGHT(raw_data!B40,4)),VALUE(LEFT(raw_data!B40,2)),VALUE(MID(raw_data!B40,4,2))),IF(MID(raw_data!B40,3,1)="-",DATE(VALUE(RIGHT(raw_data!B40,4)),VALUE(MID(raw_data!B40,4,2)),VALUE(LEFT(raw_data!B40,2))),IF(MID(raw_data!B40,5,1)="-",DATE(VALUE(LEFT(raw_data!B40,4)),VALUE(MID(raw_data!B40,6,2)),VALUE(RIGHT(raw_data!B40,2))),DATE(VALUE(RIGHT(raw_data!B40,4)),MATCH(MID(raw_data!B40,4,3),{"Jan","Feb","Mar","Apr","May","Jun","Jul","Aug","Sep","Oct","Nov","Dec"},0),VALUE(LEFT(raw_data!B40,2)))))),"")</f>
        <v>45460</v>
      </c>
      <c r="C40" s="4" t="n">
        <f aca="false">IFERROR(IF(MID(raw_data!C40,3,1)="/",DATE(VALUE(RIGHT(raw_data!C40,4)),VALUE(LEFT(raw_data!C40,2)),VALUE(MID(raw_data!C40,4,2))),IF(MID(raw_data!C40,3,1)="-",DATE(VALUE(RIGHT(raw_data!C40,4)),VALUE(MID(raw_data!C40,4,2)),VALUE(LEFT(raw_data!C40,2))),IF(MID(raw_data!C40,5,1)="-",DATE(VALUE(LEFT(raw_data!C40,4)),VALUE(MID(raw_data!C40,6,2)),VALUE(RIGHT(raw_data!C40,2))),DATE(VALUE(RIGHT(raw_data!C40,4)),MATCH(MID(raw_data!C40,4,3),{"Jan","Feb","Mar","Apr","May","Jun","Jul","Aug","Sep","Oct","Nov","Dec"},0),VALUE(LEFT(raw_data!C40,2)))))),"")</f>
        <v>45465</v>
      </c>
      <c r="D40" s="3" t="str">
        <f aca="false">IF(TRIM(raw_data!B40)="","Missing",IF(B40="","Invalid/Unrecognized","Valid"))</f>
        <v>Valid</v>
      </c>
      <c r="E40" s="3" t="str">
        <f aca="false">IF(TRIM(raw_data!C40)="","Missing",IF(C40="","Invalid/Unrecognized","Valid"))</f>
        <v>Valid</v>
      </c>
      <c r="F40" s="5" t="n">
        <f aca="false">IF(OR(B40="",C40=""),"",C40-B40)</f>
        <v>5</v>
      </c>
      <c r="G40" s="3" t="str">
        <f aca="false">IF(F40="","N/A",IF(F40&lt;0,"Invalid - Ship Before Order","OK"))</f>
        <v>OK</v>
      </c>
      <c r="H40" s="3" t="str">
        <f aca="false">raw_data!D40</f>
        <v>CUST-8235</v>
      </c>
      <c r="I40" s="3" t="str">
        <f aca="false">PROPER(TRIM(raw_data!E40))</f>
        <v>Aarav Sharma</v>
      </c>
      <c r="J40" s="3" t="str">
        <f aca="false">PROPER(TRIM(raw_data!F40))</f>
        <v>Corporate</v>
      </c>
      <c r="K40" s="3" t="str">
        <f aca="false">IF(TRIM(raw_data!G40)="","Unknown",PROPER(TRIM(raw_data!G40)))</f>
        <v>West</v>
      </c>
      <c r="L40" s="3" t="str">
        <f aca="false">IF(TRIM(raw_data!G40)="","Filled - Unknown","OK")</f>
        <v>OK</v>
      </c>
      <c r="M40" s="3" t="str">
        <f aca="false">PROPER(TRIM(raw_data!H40))</f>
        <v>Gujarat</v>
      </c>
      <c r="N40" s="3" t="str">
        <f aca="false">PROPER(TRIM(raw_data!I40))</f>
        <v>Ahmedabad</v>
      </c>
      <c r="O40" s="3" t="str">
        <f aca="false">PROPER(TRIM(raw_data!J40))</f>
        <v>Technology</v>
      </c>
      <c r="P40" s="3" t="str">
        <f aca="false">PROPER(TRIM(raw_data!K40))</f>
        <v>Phones</v>
      </c>
      <c r="Q40" s="3" t="str">
        <f aca="false">TRIM(raw_data!L40)</f>
        <v>Prime Phones 507</v>
      </c>
      <c r="R40" s="3" t="str">
        <f aca="false">IF(TRIM(raw_data!M40)="","Unknown",PROPER(TRIM(raw_data!M40)))</f>
        <v>First Class</v>
      </c>
      <c r="S40" s="3" t="str">
        <f aca="false">IF(TRIM(raw_data!M40)="","Filled - Unknown","OK")</f>
        <v>OK</v>
      </c>
      <c r="T40" s="6" t="n">
        <f aca="false">raw_data!N40</f>
        <v>7</v>
      </c>
      <c r="U40" s="7" t="n">
        <f aca="false">raw_data!O40</f>
        <v>2210.68</v>
      </c>
      <c r="V40" s="8" t="n">
        <f aca="false">raw_data!P40</f>
        <v>0.1</v>
      </c>
      <c r="W40" s="8" t="n">
        <f aca="false">IF(raw_data!P40="",0,IF(ISTEXT(raw_data!P40),IF(RIGHT(raw_data!P40,1)="%",VALUE(LEFT(raw_data!P40,LEN(raw_data!P40)-1))/100,VALUE(raw_data!P40)),raw_data!P40))</f>
        <v>0.1</v>
      </c>
      <c r="X40" s="3" t="str">
        <f aca="false">IF(raw_data!P40="","Missing - Defaulted to 0",IF(W40&lt;0,"Negative - Invalid",IF(W40&gt;0.3,"Above Allowed Range - Invalid","Valid")))</f>
        <v>Valid</v>
      </c>
      <c r="Y40" s="7" t="n">
        <f aca="false">raw_data!Q40</f>
        <v>13927.28</v>
      </c>
      <c r="Z40" s="7" t="n">
        <f aca="false">raw_data!R40</f>
        <v>10504.87</v>
      </c>
      <c r="AA40" s="7" t="n">
        <f aca="false">raw_data!S40</f>
        <v>3422.41</v>
      </c>
      <c r="AB40" s="3" t="str">
        <f aca="false">PROPER(TRIM(raw_data!T40))</f>
        <v>Paid</v>
      </c>
      <c r="AC40" s="3" t="str">
        <f aca="false">PROPER(TRIM(raw_data!U40))</f>
        <v>Completed</v>
      </c>
      <c r="AD40" s="7" t="n">
        <f aca="false">T40*U40*(1-W40)</f>
        <v>13927.284</v>
      </c>
      <c r="AE40" s="7" t="n">
        <f aca="false">AD40-Z40</f>
        <v>3422.414</v>
      </c>
      <c r="AF40" s="8" t="n">
        <f aca="false">IF(AD40=0,0,AE40/AD40)</f>
        <v>0.245734487786707</v>
      </c>
      <c r="AG40" s="3" t="str">
        <f aca="false">IF(ABS(Y40-AD40)&gt;1,"Mismatch","OK")</f>
        <v>OK</v>
      </c>
      <c r="AH40" s="3" t="str">
        <f aca="false">IF(ABS(AA40-AE40)&gt;1,"Mismatch","OK")</f>
        <v>OK</v>
      </c>
      <c r="AI40" s="6" t="n">
        <f aca="false">IF(B40="","",MONTH(B40))</f>
        <v>6</v>
      </c>
      <c r="AJ40" s="6" t="n">
        <f aca="false">IF(B40="","",YEAR(B40))</f>
        <v>2024</v>
      </c>
      <c r="AK40" s="3" t="str">
        <f aca="false">IF(COUNTIF(raw_data!$A$2:$A$913,A40)&gt;1,"Conflicting Duplicate - Flagged for Review","Unique")</f>
        <v>Unique</v>
      </c>
      <c r="AL40" s="3" t="str">
        <f aca="false">IF(AB40="Refunded","Yes","No")</f>
        <v>No</v>
      </c>
      <c r="AM40" s="3" t="str">
        <f aca="false">IF(OR(AC40&lt;&gt;"Completed",AB40="Failed"),"Excluded","Included")</f>
        <v>Included</v>
      </c>
      <c r="AN40" s="3" t="str">
        <f aca="false">IF(OR(D40="Invalid/Unrecognized",E40="Invalid/Unrecognized",G40="Invalid - Ship Before Order",X40="Negative - Invalid",X40="Above Allowed Range - Invalid",AG40="Mismatch",AH40="Mismatch",AK40="Conflicting Duplicate - Flagged for Review"),"Invalid",IF(OR(L40="Filled - Unknown",S40="Filled - Unknown",X40="Missing - Defaulted to 0",AL40="Yes",AC40="Cancelled",AC40="Returned"),"Warning","Clean"))</f>
        <v>Clean</v>
      </c>
    </row>
    <row r="41" customFormat="false" ht="15" hidden="false" customHeight="false" outlineLevel="0" collapsed="false">
      <c r="A41" s="3" t="str">
        <f aca="false">raw_data!A41</f>
        <v>ORD-2024-10040</v>
      </c>
      <c r="B41" s="4" t="n">
        <f aca="false">IFERROR(IF(MID(raw_data!B41,3,1)="/",DATE(VALUE(RIGHT(raw_data!B41,4)),VALUE(LEFT(raw_data!B41,2)),VALUE(MID(raw_data!B41,4,2))),IF(MID(raw_data!B41,3,1)="-",DATE(VALUE(RIGHT(raw_data!B41,4)),VALUE(MID(raw_data!B41,4,2)),VALUE(LEFT(raw_data!B41,2))),IF(MID(raw_data!B41,5,1)="-",DATE(VALUE(LEFT(raw_data!B41,4)),VALUE(MID(raw_data!B41,6,2)),VALUE(RIGHT(raw_data!B41,2))),DATE(VALUE(RIGHT(raw_data!B41,4)),MATCH(MID(raw_data!B41,4,3),{"Jan","Feb","Mar","Apr","May","Jun","Jul","Aug","Sep","Oct","Nov","Dec"},0),VALUE(LEFT(raw_data!B41,2)))))),"")</f>
        <v>45637</v>
      </c>
      <c r="C41" s="4" t="n">
        <f aca="false">IFERROR(IF(MID(raw_data!C41,3,1)="/",DATE(VALUE(RIGHT(raw_data!C41,4)),VALUE(LEFT(raw_data!C41,2)),VALUE(MID(raw_data!C41,4,2))),IF(MID(raw_data!C41,3,1)="-",DATE(VALUE(RIGHT(raw_data!C41,4)),VALUE(MID(raw_data!C41,4,2)),VALUE(LEFT(raw_data!C41,2))),IF(MID(raw_data!C41,5,1)="-",DATE(VALUE(LEFT(raw_data!C41,4)),VALUE(MID(raw_data!C41,6,2)),VALUE(RIGHT(raw_data!C41,2))),DATE(VALUE(RIGHT(raw_data!C41,4)),MATCH(MID(raw_data!C41,4,3),{"Jan","Feb","Mar","Apr","May","Jun","Jul","Aug","Sep","Oct","Nov","Dec"},0),VALUE(LEFT(raw_data!C41,2)))))),"")</f>
        <v>45637</v>
      </c>
      <c r="D41" s="3" t="str">
        <f aca="false">IF(TRIM(raw_data!B41)="","Missing",IF(B41="","Invalid/Unrecognized","Valid"))</f>
        <v>Valid</v>
      </c>
      <c r="E41" s="3" t="str">
        <f aca="false">IF(TRIM(raw_data!C41)="","Missing",IF(C41="","Invalid/Unrecognized","Valid"))</f>
        <v>Valid</v>
      </c>
      <c r="F41" s="5" t="n">
        <f aca="false">IF(OR(B41="",C41=""),"",C41-B41)</f>
        <v>0</v>
      </c>
      <c r="G41" s="3" t="str">
        <f aca="false">IF(F41="","N/A",IF(F41&lt;0,"Invalid - Ship Before Order","OK"))</f>
        <v>OK</v>
      </c>
      <c r="H41" s="3" t="str">
        <f aca="false">raw_data!D41</f>
        <v>CUST-5830</v>
      </c>
      <c r="I41" s="3" t="str">
        <f aca="false">PROPER(TRIM(raw_data!E41))</f>
        <v>Mira Das</v>
      </c>
      <c r="J41" s="3" t="str">
        <f aca="false">PROPER(TRIM(raw_data!F41))</f>
        <v>Small Business</v>
      </c>
      <c r="K41" s="3" t="str">
        <f aca="false">IF(TRIM(raw_data!G41)="","Unknown",PROPER(TRIM(raw_data!G41)))</f>
        <v>West</v>
      </c>
      <c r="L41" s="3" t="str">
        <f aca="false">IF(TRIM(raw_data!G41)="","Filled - Unknown","OK")</f>
        <v>OK</v>
      </c>
      <c r="M41" s="3" t="str">
        <f aca="false">PROPER(TRIM(raw_data!H41))</f>
        <v>Madhya Pradesh</v>
      </c>
      <c r="N41" s="3" t="str">
        <f aca="false">PROPER(TRIM(raw_data!I41))</f>
        <v>Indore</v>
      </c>
      <c r="O41" s="3" t="str">
        <f aca="false">PROPER(TRIM(raw_data!J41))</f>
        <v>Technology</v>
      </c>
      <c r="P41" s="3" t="str">
        <f aca="false">PROPER(TRIM(raw_data!K41))</f>
        <v>Copiers</v>
      </c>
      <c r="Q41" s="3" t="str">
        <f aca="false">TRIM(raw_data!L41)</f>
        <v>Classic Copiers 590</v>
      </c>
      <c r="R41" s="3" t="str">
        <f aca="false">IF(TRIM(raw_data!M41)="","Unknown",PROPER(TRIM(raw_data!M41)))</f>
        <v>First Class</v>
      </c>
      <c r="S41" s="3" t="str">
        <f aca="false">IF(TRIM(raw_data!M41)="","Filled - Unknown","OK")</f>
        <v>OK</v>
      </c>
      <c r="T41" s="6" t="n">
        <f aca="false">raw_data!N41</f>
        <v>4</v>
      </c>
      <c r="U41" s="7" t="n">
        <f aca="false">raw_data!O41</f>
        <v>1370.92</v>
      </c>
      <c r="V41" s="8" t="n">
        <f aca="false">raw_data!P41</f>
        <v>0.1</v>
      </c>
      <c r="W41" s="8" t="n">
        <f aca="false">IF(raw_data!P41="",0,IF(ISTEXT(raw_data!P41),IF(RIGHT(raw_data!P41,1)="%",VALUE(LEFT(raw_data!P41,LEN(raw_data!P41)-1))/100,VALUE(raw_data!P41)),raw_data!P41))</f>
        <v>0.1</v>
      </c>
      <c r="X41" s="3" t="str">
        <f aca="false">IF(raw_data!P41="","Missing - Defaulted to 0",IF(W41&lt;0,"Negative - Invalid",IF(W41&gt;0.3,"Above Allowed Range - Invalid","Valid")))</f>
        <v>Valid</v>
      </c>
      <c r="Y41" s="7" t="n">
        <f aca="false">raw_data!Q41</f>
        <v>4935.31</v>
      </c>
      <c r="Z41" s="7" t="n">
        <f aca="false">raw_data!R41</f>
        <v>3374.77</v>
      </c>
      <c r="AA41" s="7" t="n">
        <f aca="false">raw_data!S41</f>
        <v>1560.54</v>
      </c>
      <c r="AB41" s="3" t="str">
        <f aca="false">PROPER(TRIM(raw_data!T41))</f>
        <v>Pending</v>
      </c>
      <c r="AC41" s="3" t="str">
        <f aca="false">PROPER(TRIM(raw_data!U41))</f>
        <v>Returned</v>
      </c>
      <c r="AD41" s="7" t="n">
        <f aca="false">T41*U41*(1-W41)</f>
        <v>4935.312</v>
      </c>
      <c r="AE41" s="7" t="n">
        <f aca="false">AD41-Z41</f>
        <v>1560.542</v>
      </c>
      <c r="AF41" s="8" t="n">
        <f aca="false">IF(AD41=0,0,AE41/AD41)</f>
        <v>0.316199259540228</v>
      </c>
      <c r="AG41" s="3" t="str">
        <f aca="false">IF(ABS(Y41-AD41)&gt;1,"Mismatch","OK")</f>
        <v>OK</v>
      </c>
      <c r="AH41" s="3" t="str">
        <f aca="false">IF(ABS(AA41-AE41)&gt;1,"Mismatch","OK")</f>
        <v>OK</v>
      </c>
      <c r="AI41" s="6" t="n">
        <f aca="false">IF(B41="","",MONTH(B41))</f>
        <v>12</v>
      </c>
      <c r="AJ41" s="6" t="n">
        <f aca="false">IF(B41="","",YEAR(B41))</f>
        <v>2024</v>
      </c>
      <c r="AK41" s="3" t="str">
        <f aca="false">IF(COUNTIF(raw_data!$A$2:$A$913,A41)&gt;1,"Conflicting Duplicate - Flagged for Review","Unique")</f>
        <v>Unique</v>
      </c>
      <c r="AL41" s="3" t="str">
        <f aca="false">IF(AB41="Refunded","Yes","No")</f>
        <v>No</v>
      </c>
      <c r="AM41" s="3" t="str">
        <f aca="false">IF(OR(AC41&lt;&gt;"Completed",AB41="Failed"),"Excluded","Included")</f>
        <v>Excluded</v>
      </c>
      <c r="AN41" s="3" t="str">
        <f aca="false">IF(OR(D41="Invalid/Unrecognized",E41="Invalid/Unrecognized",G41="Invalid - Ship Before Order",X41="Negative - Invalid",X41="Above Allowed Range - Invalid",AG41="Mismatch",AH41="Mismatch",AK41="Conflicting Duplicate - Flagged for Review"),"Invalid",IF(OR(L41="Filled - Unknown",S41="Filled - Unknown",X41="Missing - Defaulted to 0",AL41="Yes",AC41="Cancelled",AC41="Returned"),"Warning","Clean"))</f>
        <v>Warning</v>
      </c>
    </row>
    <row r="42" customFormat="false" ht="15" hidden="false" customHeight="false" outlineLevel="0" collapsed="false">
      <c r="A42" s="3" t="str">
        <f aca="false">raw_data!A42</f>
        <v>ORD-2024-10041</v>
      </c>
      <c r="B42" s="4" t="n">
        <f aca="false">IFERROR(IF(MID(raw_data!B42,3,1)="/",DATE(VALUE(RIGHT(raw_data!B42,4)),VALUE(LEFT(raw_data!B42,2)),VALUE(MID(raw_data!B42,4,2))),IF(MID(raw_data!B42,3,1)="-",DATE(VALUE(RIGHT(raw_data!B42,4)),VALUE(MID(raw_data!B42,4,2)),VALUE(LEFT(raw_data!B42,2))),IF(MID(raw_data!B42,5,1)="-",DATE(VALUE(LEFT(raw_data!B42,4)),VALUE(MID(raw_data!B42,6,2)),VALUE(RIGHT(raw_data!B42,2))),DATE(VALUE(RIGHT(raw_data!B42,4)),MATCH(MID(raw_data!B42,4,3),{"Jan","Feb","Mar","Apr","May","Jun","Jul","Aug","Sep","Oct","Nov","Dec"},0),VALUE(LEFT(raw_data!B42,2)))))),"")</f>
        <v>45575</v>
      </c>
      <c r="C42" s="4" t="n">
        <f aca="false">IFERROR(IF(MID(raw_data!C42,3,1)="/",DATE(VALUE(RIGHT(raw_data!C42,4)),VALUE(LEFT(raw_data!C42,2)),VALUE(MID(raw_data!C42,4,2))),IF(MID(raw_data!C42,3,1)="-",DATE(VALUE(RIGHT(raw_data!C42,4)),VALUE(MID(raw_data!C42,4,2)),VALUE(LEFT(raw_data!C42,2))),IF(MID(raw_data!C42,5,1)="-",DATE(VALUE(LEFT(raw_data!C42,4)),VALUE(MID(raw_data!C42,6,2)),VALUE(RIGHT(raw_data!C42,2))),DATE(VALUE(RIGHT(raw_data!C42,4)),MATCH(MID(raw_data!C42,4,3),{"Jan","Feb","Mar","Apr","May","Jun","Jul","Aug","Sep","Oct","Nov","Dec"},0),VALUE(LEFT(raw_data!C42,2)))))),"")</f>
        <v>45581</v>
      </c>
      <c r="D42" s="3" t="str">
        <f aca="false">IF(TRIM(raw_data!B42)="","Missing",IF(B42="","Invalid/Unrecognized","Valid"))</f>
        <v>Valid</v>
      </c>
      <c r="E42" s="3" t="str">
        <f aca="false">IF(TRIM(raw_data!C42)="","Missing",IF(C42="","Invalid/Unrecognized","Valid"))</f>
        <v>Valid</v>
      </c>
      <c r="F42" s="5" t="n">
        <f aca="false">IF(OR(B42="",C42=""),"",C42-B42)</f>
        <v>6</v>
      </c>
      <c r="G42" s="3" t="str">
        <f aca="false">IF(F42="","N/A",IF(F42&lt;0,"Invalid - Ship Before Order","OK"))</f>
        <v>OK</v>
      </c>
      <c r="H42" s="3" t="str">
        <f aca="false">raw_data!D42</f>
        <v>CUST-7178</v>
      </c>
      <c r="I42" s="3" t="str">
        <f aca="false">PROPER(TRIM(raw_data!E42))</f>
        <v>Isha Nair</v>
      </c>
      <c r="J42" s="3" t="str">
        <f aca="false">PROPER(TRIM(raw_data!F42))</f>
        <v>Home Office</v>
      </c>
      <c r="K42" s="3" t="str">
        <f aca="false">IF(TRIM(raw_data!G42)="","Unknown",PROPER(TRIM(raw_data!G42)))</f>
        <v>West</v>
      </c>
      <c r="L42" s="3" t="str">
        <f aca="false">IF(TRIM(raw_data!G42)="","Filled - Unknown","OK")</f>
        <v>OK</v>
      </c>
      <c r="M42" s="3" t="str">
        <f aca="false">PROPER(TRIM(raw_data!H42))</f>
        <v>Rajasthan</v>
      </c>
      <c r="N42" s="3" t="str">
        <f aca="false">PROPER(TRIM(raw_data!I42))</f>
        <v>Udaipur</v>
      </c>
      <c r="O42" s="3" t="str">
        <f aca="false">PROPER(TRIM(raw_data!J42))</f>
        <v>Technology</v>
      </c>
      <c r="P42" s="3" t="str">
        <f aca="false">PROPER(TRIM(raw_data!K42))</f>
        <v>Copiers</v>
      </c>
      <c r="Q42" s="3" t="str">
        <f aca="false">TRIM(raw_data!L42)</f>
        <v>Eco Copiers 865</v>
      </c>
      <c r="R42" s="3" t="str">
        <f aca="false">IF(TRIM(raw_data!M42)="","Unknown",PROPER(TRIM(raw_data!M42)))</f>
        <v>Standard Class</v>
      </c>
      <c r="S42" s="3" t="str">
        <f aca="false">IF(TRIM(raw_data!M42)="","Filled - Unknown","OK")</f>
        <v>OK</v>
      </c>
      <c r="T42" s="6" t="n">
        <f aca="false">raw_data!N42</f>
        <v>7</v>
      </c>
      <c r="U42" s="7" t="n">
        <f aca="false">raw_data!O42</f>
        <v>2509.27</v>
      </c>
      <c r="V42" s="8" t="n">
        <f aca="false">raw_data!P42</f>
        <v>0.2</v>
      </c>
      <c r="W42" s="8" t="n">
        <f aca="false">IF(raw_data!P42="",0,IF(ISTEXT(raw_data!P42),IF(RIGHT(raw_data!P42,1)="%",VALUE(LEFT(raw_data!P42,LEN(raw_data!P42)-1))/100,VALUE(raw_data!P42)),raw_data!P42))</f>
        <v>0.2</v>
      </c>
      <c r="X42" s="3" t="str">
        <f aca="false">IF(raw_data!P42="","Missing - Defaulted to 0",IF(W42&lt;0,"Negative - Invalid",IF(W42&gt;0.3,"Above Allowed Range - Invalid","Valid")))</f>
        <v>Valid</v>
      </c>
      <c r="Y42" s="7" t="n">
        <f aca="false">raw_data!Q42</f>
        <v>14051.91</v>
      </c>
      <c r="Z42" s="7" t="n">
        <f aca="false">raw_data!R42</f>
        <v>11990.37</v>
      </c>
      <c r="AA42" s="7" t="n">
        <f aca="false">raw_data!S42</f>
        <v>2061.54</v>
      </c>
      <c r="AB42" s="3" t="str">
        <f aca="false">PROPER(TRIM(raw_data!T42))</f>
        <v>Paid</v>
      </c>
      <c r="AC42" s="3" t="str">
        <f aca="false">PROPER(TRIM(raw_data!U42))</f>
        <v>Completed</v>
      </c>
      <c r="AD42" s="7" t="n">
        <f aca="false">T42*U42*(1-W42)</f>
        <v>14051.912</v>
      </c>
      <c r="AE42" s="7" t="n">
        <f aca="false">AD42-Z42</f>
        <v>2061.542</v>
      </c>
      <c r="AF42" s="8" t="n">
        <f aca="false">IF(AD42=0,0,AE42/AD42)</f>
        <v>0.146709003016814</v>
      </c>
      <c r="AG42" s="3" t="str">
        <f aca="false">IF(ABS(Y42-AD42)&gt;1,"Mismatch","OK")</f>
        <v>OK</v>
      </c>
      <c r="AH42" s="3" t="str">
        <f aca="false">IF(ABS(AA42-AE42)&gt;1,"Mismatch","OK")</f>
        <v>OK</v>
      </c>
      <c r="AI42" s="6" t="n">
        <f aca="false">IF(B42="","",MONTH(B42))</f>
        <v>10</v>
      </c>
      <c r="AJ42" s="6" t="n">
        <f aca="false">IF(B42="","",YEAR(B42))</f>
        <v>2024</v>
      </c>
      <c r="AK42" s="3" t="str">
        <f aca="false">IF(COUNTIF(raw_data!$A$2:$A$913,A42)&gt;1,"Conflicting Duplicate - Flagged for Review","Unique")</f>
        <v>Unique</v>
      </c>
      <c r="AL42" s="3" t="str">
        <f aca="false">IF(AB42="Refunded","Yes","No")</f>
        <v>No</v>
      </c>
      <c r="AM42" s="3" t="str">
        <f aca="false">IF(OR(AC42&lt;&gt;"Completed",AB42="Failed"),"Excluded","Included")</f>
        <v>Included</v>
      </c>
      <c r="AN42" s="3" t="str">
        <f aca="false">IF(OR(D42="Invalid/Unrecognized",E42="Invalid/Unrecognized",G42="Invalid - Ship Before Order",X42="Negative - Invalid",X42="Above Allowed Range - Invalid",AG42="Mismatch",AH42="Mismatch",AK42="Conflicting Duplicate - Flagged for Review"),"Invalid",IF(OR(L42="Filled - Unknown",S42="Filled - Unknown",X42="Missing - Defaulted to 0",AL42="Yes",AC42="Cancelled",AC42="Returned"),"Warning","Clean"))</f>
        <v>Clean</v>
      </c>
    </row>
    <row r="43" customFormat="false" ht="15" hidden="false" customHeight="false" outlineLevel="0" collapsed="false">
      <c r="A43" s="3" t="str">
        <f aca="false">raw_data!A43</f>
        <v>ORD-2024-10042</v>
      </c>
      <c r="B43" s="4" t="n">
        <f aca="false">IFERROR(IF(MID(raw_data!B43,3,1)="/",DATE(VALUE(RIGHT(raw_data!B43,4)),VALUE(LEFT(raw_data!B43,2)),VALUE(MID(raw_data!B43,4,2))),IF(MID(raw_data!B43,3,1)="-",DATE(VALUE(RIGHT(raw_data!B43,4)),VALUE(MID(raw_data!B43,4,2)),VALUE(LEFT(raw_data!B43,2))),IF(MID(raw_data!B43,5,1)="-",DATE(VALUE(LEFT(raw_data!B43,4)),VALUE(MID(raw_data!B43,6,2)),VALUE(RIGHT(raw_data!B43,2))),DATE(VALUE(RIGHT(raw_data!B43,4)),MATCH(MID(raw_data!B43,4,3),{"Jan","Feb","Mar","Apr","May","Jun","Jul","Aug","Sep","Oct","Nov","Dec"},0),VALUE(LEFT(raw_data!B43,2)))))),"")</f>
        <v>45363</v>
      </c>
      <c r="C43" s="4" t="n">
        <f aca="false">IFERROR(IF(MID(raw_data!C43,3,1)="/",DATE(VALUE(RIGHT(raw_data!C43,4)),VALUE(LEFT(raw_data!C43,2)),VALUE(MID(raw_data!C43,4,2))),IF(MID(raw_data!C43,3,1)="-",DATE(VALUE(RIGHT(raw_data!C43,4)),VALUE(MID(raw_data!C43,4,2)),VALUE(LEFT(raw_data!C43,2))),IF(MID(raw_data!C43,5,1)="-",DATE(VALUE(LEFT(raw_data!C43,4)),VALUE(MID(raw_data!C43,6,2)),VALUE(RIGHT(raw_data!C43,2))),DATE(VALUE(RIGHT(raw_data!C43,4)),MATCH(MID(raw_data!C43,4,3),{"Jan","Feb","Mar","Apr","May","Jun","Jul","Aug","Sep","Oct","Nov","Dec"},0),VALUE(LEFT(raw_data!C43,2)))))),"")</f>
        <v>45368</v>
      </c>
      <c r="D43" s="3" t="str">
        <f aca="false">IF(TRIM(raw_data!B43)="","Missing",IF(B43="","Invalid/Unrecognized","Valid"))</f>
        <v>Valid</v>
      </c>
      <c r="E43" s="3" t="str">
        <f aca="false">IF(TRIM(raw_data!C43)="","Missing",IF(C43="","Invalid/Unrecognized","Valid"))</f>
        <v>Valid</v>
      </c>
      <c r="F43" s="5" t="n">
        <f aca="false">IF(OR(B43="",C43=""),"",C43-B43)</f>
        <v>5</v>
      </c>
      <c r="G43" s="3" t="str">
        <f aca="false">IF(F43="","N/A",IF(F43&lt;0,"Invalid - Ship Before Order","OK"))</f>
        <v>OK</v>
      </c>
      <c r="H43" s="3" t="str">
        <f aca="false">raw_data!D43</f>
        <v>CUST-3829</v>
      </c>
      <c r="I43" s="3" t="str">
        <f aca="false">PROPER(TRIM(raw_data!E43))</f>
        <v>Aarav Sharma</v>
      </c>
      <c r="J43" s="3" t="str">
        <f aca="false">PROPER(TRIM(raw_data!F43))</f>
        <v>Small Business</v>
      </c>
      <c r="K43" s="3" t="str">
        <f aca="false">IF(TRIM(raw_data!G43)="","Unknown",PROPER(TRIM(raw_data!G43)))</f>
        <v>East</v>
      </c>
      <c r="L43" s="3" t="str">
        <f aca="false">IF(TRIM(raw_data!G43)="","Filled - Unknown","OK")</f>
        <v>OK</v>
      </c>
      <c r="M43" s="3" t="str">
        <f aca="false">PROPER(TRIM(raw_data!H43))</f>
        <v>Odisha</v>
      </c>
      <c r="N43" s="3" t="str">
        <f aca="false">PROPER(TRIM(raw_data!I43))</f>
        <v>Bhubaneswar</v>
      </c>
      <c r="O43" s="3" t="str">
        <f aca="false">PROPER(TRIM(raw_data!J43))</f>
        <v>Furniture</v>
      </c>
      <c r="P43" s="3" t="str">
        <f aca="false">PROPER(TRIM(raw_data!K43))</f>
        <v>Bookcases</v>
      </c>
      <c r="Q43" s="3" t="str">
        <f aca="false">TRIM(raw_data!L43)</f>
        <v>Classic Bookcases 835</v>
      </c>
      <c r="R43" s="3" t="str">
        <f aca="false">IF(TRIM(raw_data!M43)="","Unknown",PROPER(TRIM(raw_data!M43)))</f>
        <v>Same Day</v>
      </c>
      <c r="S43" s="3" t="str">
        <f aca="false">IF(TRIM(raw_data!M43)="","Filled - Unknown","OK")</f>
        <v>OK</v>
      </c>
      <c r="T43" s="6" t="n">
        <f aca="false">raw_data!N43</f>
        <v>8</v>
      </c>
      <c r="U43" s="7" t="n">
        <f aca="false">raw_data!O43</f>
        <v>855.81</v>
      </c>
      <c r="V43" s="8" t="n">
        <f aca="false">raw_data!P43</f>
        <v>0</v>
      </c>
      <c r="W43" s="8" t="n">
        <f aca="false">IF(raw_data!P43="",0,IF(ISTEXT(raw_data!P43),IF(RIGHT(raw_data!P43,1)="%",VALUE(LEFT(raw_data!P43,LEN(raw_data!P43)-1))/100,VALUE(raw_data!P43)),raw_data!P43))</f>
        <v>0</v>
      </c>
      <c r="X43" s="3" t="str">
        <f aca="false">IF(raw_data!P43="","Missing - Defaulted to 0",IF(W43&lt;0,"Negative - Invalid",IF(W43&gt;0.3,"Above Allowed Range - Invalid","Valid")))</f>
        <v>Valid</v>
      </c>
      <c r="Y43" s="7" t="n">
        <f aca="false">raw_data!Q43</f>
        <v>6846.48</v>
      </c>
      <c r="Z43" s="7" t="n">
        <f aca="false">raw_data!R43</f>
        <v>4239.89</v>
      </c>
      <c r="AA43" s="7" t="n">
        <f aca="false">raw_data!S43</f>
        <v>2606.59</v>
      </c>
      <c r="AB43" s="3" t="str">
        <f aca="false">PROPER(TRIM(raw_data!T43))</f>
        <v>Pending</v>
      </c>
      <c r="AC43" s="3" t="str">
        <f aca="false">PROPER(TRIM(raw_data!U43))</f>
        <v>Cancelled</v>
      </c>
      <c r="AD43" s="7" t="n">
        <f aca="false">T43*U43*(1-W43)</f>
        <v>6846.48</v>
      </c>
      <c r="AE43" s="7" t="n">
        <f aca="false">AD43-Z43</f>
        <v>2606.59</v>
      </c>
      <c r="AF43" s="8" t="n">
        <f aca="false">IF(AD43=0,0,AE43/AD43)</f>
        <v>0.380719727509611</v>
      </c>
      <c r="AG43" s="3" t="str">
        <f aca="false">IF(ABS(Y43-AD43)&gt;1,"Mismatch","OK")</f>
        <v>OK</v>
      </c>
      <c r="AH43" s="3" t="str">
        <f aca="false">IF(ABS(AA43-AE43)&gt;1,"Mismatch","OK")</f>
        <v>OK</v>
      </c>
      <c r="AI43" s="6" t="n">
        <f aca="false">IF(B43="","",MONTH(B43))</f>
        <v>3</v>
      </c>
      <c r="AJ43" s="6" t="n">
        <f aca="false">IF(B43="","",YEAR(B43))</f>
        <v>2024</v>
      </c>
      <c r="AK43" s="3" t="str">
        <f aca="false">IF(COUNTIF(raw_data!$A$2:$A$913,A43)&gt;1,"Conflicting Duplicate - Flagged for Review","Unique")</f>
        <v>Unique</v>
      </c>
      <c r="AL43" s="3" t="str">
        <f aca="false">IF(AB43="Refunded","Yes","No")</f>
        <v>No</v>
      </c>
      <c r="AM43" s="3" t="str">
        <f aca="false">IF(OR(AC43&lt;&gt;"Completed",AB43="Failed"),"Excluded","Included")</f>
        <v>Excluded</v>
      </c>
      <c r="AN43" s="3" t="str">
        <f aca="false">IF(OR(D43="Invalid/Unrecognized",E43="Invalid/Unrecognized",G43="Invalid - Ship Before Order",X43="Negative - Invalid",X43="Above Allowed Range - Invalid",AG43="Mismatch",AH43="Mismatch",AK43="Conflicting Duplicate - Flagged for Review"),"Invalid",IF(OR(L43="Filled - Unknown",S43="Filled - Unknown",X43="Missing - Defaulted to 0",AL43="Yes",AC43="Cancelled",AC43="Returned"),"Warning","Clean"))</f>
        <v>Warning</v>
      </c>
    </row>
    <row r="44" customFormat="false" ht="15" hidden="false" customHeight="false" outlineLevel="0" collapsed="false">
      <c r="A44" s="3" t="str">
        <f aca="false">raw_data!A44</f>
        <v>ORD-2025-10043</v>
      </c>
      <c r="B44" s="4" t="n">
        <f aca="false">IFERROR(IF(MID(raw_data!B44,3,1)="/",DATE(VALUE(RIGHT(raw_data!B44,4)),VALUE(LEFT(raw_data!B44,2)),VALUE(MID(raw_data!B44,4,2))),IF(MID(raw_data!B44,3,1)="-",DATE(VALUE(RIGHT(raw_data!B44,4)),VALUE(MID(raw_data!B44,4,2)),VALUE(LEFT(raw_data!B44,2))),IF(MID(raw_data!B44,5,1)="-",DATE(VALUE(LEFT(raw_data!B44,4)),VALUE(MID(raw_data!B44,6,2)),VALUE(RIGHT(raw_data!B44,2))),DATE(VALUE(RIGHT(raw_data!B44,4)),MATCH(MID(raw_data!B44,4,3),{"Jan","Feb","Mar","Apr","May","Jun","Jul","Aug","Sep","Oct","Nov","Dec"},0),VALUE(LEFT(raw_data!B44,2)))))),"")</f>
        <v>45940</v>
      </c>
      <c r="C44" s="4" t="n">
        <f aca="false">IFERROR(IF(MID(raw_data!C44,3,1)="/",DATE(VALUE(RIGHT(raw_data!C44,4)),VALUE(LEFT(raw_data!C44,2)),VALUE(MID(raw_data!C44,4,2))),IF(MID(raw_data!C44,3,1)="-",DATE(VALUE(RIGHT(raw_data!C44,4)),VALUE(MID(raw_data!C44,4,2)),VALUE(LEFT(raw_data!C44,2))),IF(MID(raw_data!C44,5,1)="-",DATE(VALUE(LEFT(raw_data!C44,4)),VALUE(MID(raw_data!C44,6,2)),VALUE(RIGHT(raw_data!C44,2))),DATE(VALUE(RIGHT(raw_data!C44,4)),MATCH(MID(raw_data!C44,4,3),{"Jan","Feb","Mar","Apr","May","Jun","Jul","Aug","Sep","Oct","Nov","Dec"},0),VALUE(LEFT(raw_data!C44,2)))))),"")</f>
        <v>45945</v>
      </c>
      <c r="D44" s="3" t="str">
        <f aca="false">IF(TRIM(raw_data!B44)="","Missing",IF(B44="","Invalid/Unrecognized","Valid"))</f>
        <v>Valid</v>
      </c>
      <c r="E44" s="3" t="str">
        <f aca="false">IF(TRIM(raw_data!C44)="","Missing",IF(C44="","Invalid/Unrecognized","Valid"))</f>
        <v>Valid</v>
      </c>
      <c r="F44" s="5" t="n">
        <f aca="false">IF(OR(B44="",C44=""),"",C44-B44)</f>
        <v>5</v>
      </c>
      <c r="G44" s="3" t="str">
        <f aca="false">IF(F44="","N/A",IF(F44&lt;0,"Invalid - Ship Before Order","OK"))</f>
        <v>OK</v>
      </c>
      <c r="H44" s="3" t="str">
        <f aca="false">raw_data!D44</f>
        <v>CUST-6708</v>
      </c>
      <c r="I44" s="3" t="str">
        <f aca="false">PROPER(TRIM(raw_data!E44))</f>
        <v>Arjun Bose</v>
      </c>
      <c r="J44" s="3" t="str">
        <f aca="false">PROPER(TRIM(raw_data!F44))</f>
        <v>Corporate</v>
      </c>
      <c r="K44" s="3" t="str">
        <f aca="false">IF(TRIM(raw_data!G44)="","Unknown",PROPER(TRIM(raw_data!G44)))</f>
        <v>East</v>
      </c>
      <c r="L44" s="3" t="str">
        <f aca="false">IF(TRIM(raw_data!G44)="","Filled - Unknown","OK")</f>
        <v>OK</v>
      </c>
      <c r="M44" s="3" t="str">
        <f aca="false">PROPER(TRIM(raw_data!H44))</f>
        <v>Jharkhand</v>
      </c>
      <c r="N44" s="3" t="str">
        <f aca="false">PROPER(TRIM(raw_data!I44))</f>
        <v>Ranchi</v>
      </c>
      <c r="O44" s="3" t="str">
        <f aca="false">PROPER(TRIM(raw_data!J44))</f>
        <v>Technology</v>
      </c>
      <c r="P44" s="3" t="str">
        <f aca="false">PROPER(TRIM(raw_data!K44))</f>
        <v>Phones</v>
      </c>
      <c r="Q44" s="3" t="str">
        <f aca="false">TRIM(raw_data!L44)</f>
        <v>Eco Phones 702</v>
      </c>
      <c r="R44" s="3" t="str">
        <f aca="false">IF(TRIM(raw_data!M44)="","Unknown",PROPER(TRIM(raw_data!M44)))</f>
        <v>Standard Class</v>
      </c>
      <c r="S44" s="3" t="str">
        <f aca="false">IF(TRIM(raw_data!M44)="","Filled - Unknown","OK")</f>
        <v>OK</v>
      </c>
      <c r="T44" s="6" t="n">
        <f aca="false">raw_data!N44</f>
        <v>8</v>
      </c>
      <c r="U44" s="7" t="n">
        <f aca="false">raw_data!O44</f>
        <v>979.87</v>
      </c>
      <c r="V44" s="8" t="n">
        <f aca="false">raw_data!P44</f>
        <v>0.05</v>
      </c>
      <c r="W44" s="8" t="n">
        <f aca="false">IF(raw_data!P44="",0,IF(ISTEXT(raw_data!P44),IF(RIGHT(raw_data!P44,1)="%",VALUE(LEFT(raw_data!P44,LEN(raw_data!P44)-1))/100,VALUE(raw_data!P44)),raw_data!P44))</f>
        <v>0.05</v>
      </c>
      <c r="X44" s="3" t="str">
        <f aca="false">IF(raw_data!P44="","Missing - Defaulted to 0",IF(W44&lt;0,"Negative - Invalid",IF(W44&gt;0.3,"Above Allowed Range - Invalid","Valid")))</f>
        <v>Valid</v>
      </c>
      <c r="Y44" s="7" t="n">
        <f aca="false">raw_data!Q44</f>
        <v>7447.01</v>
      </c>
      <c r="Z44" s="7" t="n">
        <f aca="false">raw_data!R44</f>
        <v>4496.22</v>
      </c>
      <c r="AA44" s="7" t="n">
        <f aca="false">raw_data!S44</f>
        <v>2950.79</v>
      </c>
      <c r="AB44" s="3" t="str">
        <f aca="false">PROPER(TRIM(raw_data!T44))</f>
        <v>Paid</v>
      </c>
      <c r="AC44" s="3" t="str">
        <f aca="false">PROPER(TRIM(raw_data!U44))</f>
        <v>Completed</v>
      </c>
      <c r="AD44" s="7" t="n">
        <f aca="false">T44*U44*(1-W44)</f>
        <v>7447.012</v>
      </c>
      <c r="AE44" s="7" t="n">
        <f aca="false">AD44-Z44</f>
        <v>2950.792</v>
      </c>
      <c r="AF44" s="8" t="n">
        <f aca="false">IF(AD44=0,0,AE44/AD44)</f>
        <v>0.396238383931703</v>
      </c>
      <c r="AG44" s="3" t="str">
        <f aca="false">IF(ABS(Y44-AD44)&gt;1,"Mismatch","OK")</f>
        <v>OK</v>
      </c>
      <c r="AH44" s="3" t="str">
        <f aca="false">IF(ABS(AA44-AE44)&gt;1,"Mismatch","OK")</f>
        <v>OK</v>
      </c>
      <c r="AI44" s="6" t="n">
        <f aca="false">IF(B44="","",MONTH(B44))</f>
        <v>10</v>
      </c>
      <c r="AJ44" s="6" t="n">
        <f aca="false">IF(B44="","",YEAR(B44))</f>
        <v>2025</v>
      </c>
      <c r="AK44" s="3" t="str">
        <f aca="false">IF(COUNTIF(raw_data!$A$2:$A$913,A44)&gt;1,"Conflicting Duplicate - Flagged for Review","Unique")</f>
        <v>Unique</v>
      </c>
      <c r="AL44" s="3" t="str">
        <f aca="false">IF(AB44="Refunded","Yes","No")</f>
        <v>No</v>
      </c>
      <c r="AM44" s="3" t="str">
        <f aca="false">IF(OR(AC44&lt;&gt;"Completed",AB44="Failed"),"Excluded","Included")</f>
        <v>Included</v>
      </c>
      <c r="AN44" s="3" t="str">
        <f aca="false">IF(OR(D44="Invalid/Unrecognized",E44="Invalid/Unrecognized",G44="Invalid - Ship Before Order",X44="Negative - Invalid",X44="Above Allowed Range - Invalid",AG44="Mismatch",AH44="Mismatch",AK44="Conflicting Duplicate - Flagged for Review"),"Invalid",IF(OR(L44="Filled - Unknown",S44="Filled - Unknown",X44="Missing - Defaulted to 0",AL44="Yes",AC44="Cancelled",AC44="Returned"),"Warning","Clean"))</f>
        <v>Clean</v>
      </c>
    </row>
    <row r="45" customFormat="false" ht="15" hidden="false" customHeight="false" outlineLevel="0" collapsed="false">
      <c r="A45" s="3" t="str">
        <f aca="false">raw_data!A45</f>
        <v>ORD-2024-10044</v>
      </c>
      <c r="B45" s="4" t="n">
        <f aca="false">IFERROR(IF(MID(raw_data!B45,3,1)="/",DATE(VALUE(RIGHT(raw_data!B45,4)),VALUE(LEFT(raw_data!B45,2)),VALUE(MID(raw_data!B45,4,2))),IF(MID(raw_data!B45,3,1)="-",DATE(VALUE(RIGHT(raw_data!B45,4)),VALUE(MID(raw_data!B45,4,2)),VALUE(LEFT(raw_data!B45,2))),IF(MID(raw_data!B45,5,1)="-",DATE(VALUE(LEFT(raw_data!B45,4)),VALUE(MID(raw_data!B45,6,2)),VALUE(RIGHT(raw_data!B45,2))),DATE(VALUE(RIGHT(raw_data!B45,4)),MATCH(MID(raw_data!B45,4,3),{"Jan","Feb","Mar","Apr","May","Jun","Jul","Aug","Sep","Oct","Nov","Dec"},0),VALUE(LEFT(raw_data!B45,2)))))),"")</f>
        <v>45481</v>
      </c>
      <c r="C45" s="4" t="n">
        <f aca="false">IFERROR(IF(MID(raw_data!C45,3,1)="/",DATE(VALUE(RIGHT(raw_data!C45,4)),VALUE(LEFT(raw_data!C45,2)),VALUE(MID(raw_data!C45,4,2))),IF(MID(raw_data!C45,3,1)="-",DATE(VALUE(RIGHT(raw_data!C45,4)),VALUE(MID(raw_data!C45,4,2)),VALUE(LEFT(raw_data!C45,2))),IF(MID(raw_data!C45,5,1)="-",DATE(VALUE(LEFT(raw_data!C45,4)),VALUE(MID(raw_data!C45,6,2)),VALUE(RIGHT(raw_data!C45,2))),DATE(VALUE(RIGHT(raw_data!C45,4)),MATCH(MID(raw_data!C45,4,3),{"Jan","Feb","Mar","Apr","May","Jun","Jul","Aug","Sep","Oct","Nov","Dec"},0),VALUE(LEFT(raw_data!C45,2)))))),"")</f>
        <v>45487</v>
      </c>
      <c r="D45" s="3" t="str">
        <f aca="false">IF(TRIM(raw_data!B45)="","Missing",IF(B45="","Invalid/Unrecognized","Valid"))</f>
        <v>Valid</v>
      </c>
      <c r="E45" s="3" t="str">
        <f aca="false">IF(TRIM(raw_data!C45)="","Missing",IF(C45="","Invalid/Unrecognized","Valid"))</f>
        <v>Valid</v>
      </c>
      <c r="F45" s="5" t="n">
        <f aca="false">IF(OR(B45="",C45=""),"",C45-B45)</f>
        <v>6</v>
      </c>
      <c r="G45" s="3" t="str">
        <f aca="false">IF(F45="","N/A",IF(F45&lt;0,"Invalid - Ship Before Order","OK"))</f>
        <v>OK</v>
      </c>
      <c r="H45" s="3" t="str">
        <f aca="false">raw_data!D45</f>
        <v>CUST-7119</v>
      </c>
      <c r="I45" s="3" t="str">
        <f aca="false">PROPER(TRIM(raw_data!E45))</f>
        <v>Priya Menon</v>
      </c>
      <c r="J45" s="3" t="str">
        <f aca="false">PROPER(TRIM(raw_data!F45))</f>
        <v>Small Business</v>
      </c>
      <c r="K45" s="3" t="str">
        <f aca="false">IF(TRIM(raw_data!G45)="","Unknown",PROPER(TRIM(raw_data!G45)))</f>
        <v>East</v>
      </c>
      <c r="L45" s="3" t="str">
        <f aca="false">IF(TRIM(raw_data!G45)="","Filled - Unknown","OK")</f>
        <v>OK</v>
      </c>
      <c r="M45" s="3" t="str">
        <f aca="false">PROPER(TRIM(raw_data!H45))</f>
        <v>Odisha</v>
      </c>
      <c r="N45" s="3" t="str">
        <f aca="false">PROPER(TRIM(raw_data!I45))</f>
        <v>Bhubaneswar</v>
      </c>
      <c r="O45" s="3" t="str">
        <f aca="false">PROPER(TRIM(raw_data!J45))</f>
        <v>Furniture</v>
      </c>
      <c r="P45" s="3" t="str">
        <f aca="false">PROPER(TRIM(raw_data!K45))</f>
        <v>Furnishings</v>
      </c>
      <c r="Q45" s="3" t="str">
        <f aca="false">TRIM(raw_data!L45)</f>
        <v>Smart Furnishings 956</v>
      </c>
      <c r="R45" s="3" t="str">
        <f aca="false">IF(TRIM(raw_data!M45)="","Unknown",PROPER(TRIM(raw_data!M45)))</f>
        <v>Same Day</v>
      </c>
      <c r="S45" s="3" t="str">
        <f aca="false">IF(TRIM(raw_data!M45)="","Filled - Unknown","OK")</f>
        <v>OK</v>
      </c>
      <c r="T45" s="6" t="n">
        <f aca="false">raw_data!N45</f>
        <v>3</v>
      </c>
      <c r="U45" s="7" t="n">
        <f aca="false">raw_data!O45</f>
        <v>1010.23</v>
      </c>
      <c r="V45" s="8" t="n">
        <f aca="false">raw_data!P45</f>
        <v>0</v>
      </c>
      <c r="W45" s="8" t="n">
        <f aca="false">IF(raw_data!P45="",0,IF(ISTEXT(raw_data!P45),IF(RIGHT(raw_data!P45,1)="%",VALUE(LEFT(raw_data!P45,LEN(raw_data!P45)-1))/100,VALUE(raw_data!P45)),raw_data!P45))</f>
        <v>0</v>
      </c>
      <c r="X45" s="3" t="str">
        <f aca="false">IF(raw_data!P45="","Missing - Defaulted to 0",IF(W45&lt;0,"Negative - Invalid",IF(W45&gt;0.3,"Above Allowed Range - Invalid","Valid")))</f>
        <v>Valid</v>
      </c>
      <c r="Y45" s="7" t="n">
        <f aca="false">raw_data!Q45</f>
        <v>3030.69</v>
      </c>
      <c r="Z45" s="7" t="n">
        <f aca="false">raw_data!R45</f>
        <v>1721.08</v>
      </c>
      <c r="AA45" s="7" t="n">
        <f aca="false">raw_data!S45</f>
        <v>1309.61</v>
      </c>
      <c r="AB45" s="3" t="str">
        <f aca="false">PROPER(TRIM(raw_data!T45))</f>
        <v>Paid</v>
      </c>
      <c r="AC45" s="3" t="str">
        <f aca="false">PROPER(TRIM(raw_data!U45))</f>
        <v>Completed</v>
      </c>
      <c r="AD45" s="7" t="n">
        <f aca="false">T45*U45*(1-W45)</f>
        <v>3030.69</v>
      </c>
      <c r="AE45" s="7" t="n">
        <f aca="false">AD45-Z45</f>
        <v>1309.61</v>
      </c>
      <c r="AF45" s="8" t="n">
        <f aca="false">IF(AD45=0,0,AE45/AD45)</f>
        <v>0.432116118771633</v>
      </c>
      <c r="AG45" s="3" t="str">
        <f aca="false">IF(ABS(Y45-AD45)&gt;1,"Mismatch","OK")</f>
        <v>OK</v>
      </c>
      <c r="AH45" s="3" t="str">
        <f aca="false">IF(ABS(AA45-AE45)&gt;1,"Mismatch","OK")</f>
        <v>OK</v>
      </c>
      <c r="AI45" s="6" t="n">
        <f aca="false">IF(B45="","",MONTH(B45))</f>
        <v>7</v>
      </c>
      <c r="AJ45" s="6" t="n">
        <f aca="false">IF(B45="","",YEAR(B45))</f>
        <v>2024</v>
      </c>
      <c r="AK45" s="3" t="str">
        <f aca="false">IF(COUNTIF(raw_data!$A$2:$A$913,A45)&gt;1,"Conflicting Duplicate - Flagged for Review","Unique")</f>
        <v>Unique</v>
      </c>
      <c r="AL45" s="3" t="str">
        <f aca="false">IF(AB45="Refunded","Yes","No")</f>
        <v>No</v>
      </c>
      <c r="AM45" s="3" t="str">
        <f aca="false">IF(OR(AC45&lt;&gt;"Completed",AB45="Failed"),"Excluded","Included")</f>
        <v>Included</v>
      </c>
      <c r="AN45" s="3" t="str">
        <f aca="false">IF(OR(D45="Invalid/Unrecognized",E45="Invalid/Unrecognized",G45="Invalid - Ship Before Order",X45="Negative - Invalid",X45="Above Allowed Range - Invalid",AG45="Mismatch",AH45="Mismatch",AK45="Conflicting Duplicate - Flagged for Review"),"Invalid",IF(OR(L45="Filled - Unknown",S45="Filled - Unknown",X45="Missing - Defaulted to 0",AL45="Yes",AC45="Cancelled",AC45="Returned"),"Warning","Clean"))</f>
        <v>Clean</v>
      </c>
    </row>
    <row r="46" customFormat="false" ht="15" hidden="false" customHeight="false" outlineLevel="0" collapsed="false">
      <c r="A46" s="3" t="str">
        <f aca="false">raw_data!A46</f>
        <v>ORD-2024-10045</v>
      </c>
      <c r="B46" s="4" t="n">
        <f aca="false">IFERROR(IF(MID(raw_data!B46,3,1)="/",DATE(VALUE(RIGHT(raw_data!B46,4)),VALUE(LEFT(raw_data!B46,2)),VALUE(MID(raw_data!B46,4,2))),IF(MID(raw_data!B46,3,1)="-",DATE(VALUE(RIGHT(raw_data!B46,4)),VALUE(MID(raw_data!B46,4,2)),VALUE(LEFT(raw_data!B46,2))),IF(MID(raw_data!B46,5,1)="-",DATE(VALUE(LEFT(raw_data!B46,4)),VALUE(MID(raw_data!B46,6,2)),VALUE(RIGHT(raw_data!B46,2))),DATE(VALUE(RIGHT(raw_data!B46,4)),MATCH(MID(raw_data!B46,4,3),{"Jan","Feb","Mar","Apr","May","Jun","Jul","Aug","Sep","Oct","Nov","Dec"},0),VALUE(LEFT(raw_data!B46,2)))))),"")</f>
        <v>45465</v>
      </c>
      <c r="C46" s="4" t="n">
        <f aca="false">IFERROR(IF(MID(raw_data!C46,3,1)="/",DATE(VALUE(RIGHT(raw_data!C46,4)),VALUE(LEFT(raw_data!C46,2)),VALUE(MID(raw_data!C46,4,2))),IF(MID(raw_data!C46,3,1)="-",DATE(VALUE(RIGHT(raw_data!C46,4)),VALUE(MID(raw_data!C46,4,2)),VALUE(LEFT(raw_data!C46,2))),IF(MID(raw_data!C46,5,1)="-",DATE(VALUE(LEFT(raw_data!C46,4)),VALUE(MID(raw_data!C46,6,2)),VALUE(RIGHT(raw_data!C46,2))),DATE(VALUE(RIGHT(raw_data!C46,4)),MATCH(MID(raw_data!C46,4,3),{"Jan","Feb","Mar","Apr","May","Jun","Jul","Aug","Sep","Oct","Nov","Dec"},0),VALUE(LEFT(raw_data!C46,2)))))),"")</f>
        <v>45468</v>
      </c>
      <c r="D46" s="3" t="str">
        <f aca="false">IF(TRIM(raw_data!B46)="","Missing",IF(B46="","Invalid/Unrecognized","Valid"))</f>
        <v>Valid</v>
      </c>
      <c r="E46" s="3" t="str">
        <f aca="false">IF(TRIM(raw_data!C46)="","Missing",IF(C46="","Invalid/Unrecognized","Valid"))</f>
        <v>Valid</v>
      </c>
      <c r="F46" s="5" t="n">
        <f aca="false">IF(OR(B46="",C46=""),"",C46-B46)</f>
        <v>3</v>
      </c>
      <c r="G46" s="3" t="str">
        <f aca="false">IF(F46="","N/A",IF(F46&lt;0,"Invalid - Ship Before Order","OK"))</f>
        <v>OK</v>
      </c>
      <c r="H46" s="3" t="str">
        <f aca="false">raw_data!D46</f>
        <v>CUST-3373</v>
      </c>
      <c r="I46" s="3" t="str">
        <f aca="false">PROPER(TRIM(raw_data!E46))</f>
        <v>Rohan Mehta</v>
      </c>
      <c r="J46" s="3" t="str">
        <f aca="false">PROPER(TRIM(raw_data!F46))</f>
        <v>Small Business</v>
      </c>
      <c r="K46" s="3" t="str">
        <f aca="false">IF(TRIM(raw_data!G46)="","Unknown",PROPER(TRIM(raw_data!G46)))</f>
        <v>North</v>
      </c>
      <c r="L46" s="3" t="str">
        <f aca="false">IF(TRIM(raw_data!G46)="","Filled - Unknown","OK")</f>
        <v>OK</v>
      </c>
      <c r="M46" s="3" t="str">
        <f aca="false">PROPER(TRIM(raw_data!H46))</f>
        <v>Haryana</v>
      </c>
      <c r="N46" s="3" t="str">
        <f aca="false">PROPER(TRIM(raw_data!I46))</f>
        <v>Gurugram</v>
      </c>
      <c r="O46" s="3" t="str">
        <f aca="false">PROPER(TRIM(raw_data!J46))</f>
        <v>Furniture</v>
      </c>
      <c r="P46" s="3" t="str">
        <f aca="false">PROPER(TRIM(raw_data!K46))</f>
        <v>Chairs</v>
      </c>
      <c r="Q46" s="3" t="str">
        <f aca="false">TRIM(raw_data!L46)</f>
        <v>Max Chairs 393</v>
      </c>
      <c r="R46" s="3" t="str">
        <f aca="false">IF(TRIM(raw_data!M46)="","Unknown",PROPER(TRIM(raw_data!M46)))</f>
        <v>Standard Class</v>
      </c>
      <c r="S46" s="3" t="str">
        <f aca="false">IF(TRIM(raw_data!M46)="","Filled - Unknown","OK")</f>
        <v>OK</v>
      </c>
      <c r="T46" s="6" t="n">
        <f aca="false">raw_data!N46</f>
        <v>9</v>
      </c>
      <c r="U46" s="7" t="n">
        <f aca="false">raw_data!O46</f>
        <v>3329.77</v>
      </c>
      <c r="V46" s="8" t="n">
        <f aca="false">raw_data!P46</f>
        <v>0.1</v>
      </c>
      <c r="W46" s="8" t="n">
        <f aca="false">IF(raw_data!P46="",0,IF(ISTEXT(raw_data!P46),IF(RIGHT(raw_data!P46,1)="%",VALUE(LEFT(raw_data!P46,LEN(raw_data!P46)-1))/100,VALUE(raw_data!P46)),raw_data!P46))</f>
        <v>0.1</v>
      </c>
      <c r="X46" s="3" t="str">
        <f aca="false">IF(raw_data!P46="","Missing - Defaulted to 0",IF(W46&lt;0,"Negative - Invalid",IF(W46&gt;0.3,"Above Allowed Range - Invalid","Valid")))</f>
        <v>Valid</v>
      </c>
      <c r="Y46" s="7" t="n">
        <f aca="false">raw_data!Q46</f>
        <v>26971.14</v>
      </c>
      <c r="Z46" s="7" t="n">
        <f aca="false">raw_data!R46</f>
        <v>17376.2</v>
      </c>
      <c r="AA46" s="7" t="n">
        <f aca="false">raw_data!S46</f>
        <v>9594.94</v>
      </c>
      <c r="AB46" s="3" t="str">
        <f aca="false">PROPER(TRIM(raw_data!T46))</f>
        <v>Paid</v>
      </c>
      <c r="AC46" s="3" t="str">
        <f aca="false">PROPER(TRIM(raw_data!U46))</f>
        <v>Completed</v>
      </c>
      <c r="AD46" s="7" t="n">
        <f aca="false">T46*U46*(1-W46)</f>
        <v>26971.137</v>
      </c>
      <c r="AE46" s="7" t="n">
        <f aca="false">AD46-Z46</f>
        <v>9594.937</v>
      </c>
      <c r="AF46" s="8" t="n">
        <f aca="false">IF(AD46=0,0,AE46/AD46)</f>
        <v>0.355748332003949</v>
      </c>
      <c r="AG46" s="3" t="str">
        <f aca="false">IF(ABS(Y46-AD46)&gt;1,"Mismatch","OK")</f>
        <v>OK</v>
      </c>
      <c r="AH46" s="3" t="str">
        <f aca="false">IF(ABS(AA46-AE46)&gt;1,"Mismatch","OK")</f>
        <v>OK</v>
      </c>
      <c r="AI46" s="6" t="n">
        <f aca="false">IF(B46="","",MONTH(B46))</f>
        <v>6</v>
      </c>
      <c r="AJ46" s="6" t="n">
        <f aca="false">IF(B46="","",YEAR(B46))</f>
        <v>2024</v>
      </c>
      <c r="AK46" s="3" t="str">
        <f aca="false">IF(COUNTIF(raw_data!$A$2:$A$913,A46)&gt;1,"Conflicting Duplicate - Flagged for Review","Unique")</f>
        <v>Unique</v>
      </c>
      <c r="AL46" s="3" t="str">
        <f aca="false">IF(AB46="Refunded","Yes","No")</f>
        <v>No</v>
      </c>
      <c r="AM46" s="3" t="str">
        <f aca="false">IF(OR(AC46&lt;&gt;"Completed",AB46="Failed"),"Excluded","Included")</f>
        <v>Included</v>
      </c>
      <c r="AN46" s="3" t="str">
        <f aca="false">IF(OR(D46="Invalid/Unrecognized",E46="Invalid/Unrecognized",G46="Invalid - Ship Before Order",X46="Negative - Invalid",X46="Above Allowed Range - Invalid",AG46="Mismatch",AH46="Mismatch",AK46="Conflicting Duplicate - Flagged for Review"),"Invalid",IF(OR(L46="Filled - Unknown",S46="Filled - Unknown",X46="Missing - Defaulted to 0",AL46="Yes",AC46="Cancelled",AC46="Returned"),"Warning","Clean"))</f>
        <v>Clean</v>
      </c>
    </row>
    <row r="47" customFormat="false" ht="15" hidden="false" customHeight="false" outlineLevel="0" collapsed="false">
      <c r="A47" s="3" t="str">
        <f aca="false">raw_data!A47</f>
        <v>ORD-2024-10046</v>
      </c>
      <c r="B47" s="4" t="n">
        <f aca="false">IFERROR(IF(MID(raw_data!B47,3,1)="/",DATE(VALUE(RIGHT(raw_data!B47,4)),VALUE(LEFT(raw_data!B47,2)),VALUE(MID(raw_data!B47,4,2))),IF(MID(raw_data!B47,3,1)="-",DATE(VALUE(RIGHT(raw_data!B47,4)),VALUE(MID(raw_data!B47,4,2)),VALUE(LEFT(raw_data!B47,2))),IF(MID(raw_data!B47,5,1)="-",DATE(VALUE(LEFT(raw_data!B47,4)),VALUE(MID(raw_data!B47,6,2)),VALUE(RIGHT(raw_data!B47,2))),DATE(VALUE(RIGHT(raw_data!B47,4)),MATCH(MID(raw_data!B47,4,3),{"Jan","Feb","Mar","Apr","May","Jun","Jul","Aug","Sep","Oct","Nov","Dec"},0),VALUE(LEFT(raw_data!B47,2)))))),"")</f>
        <v>45309</v>
      </c>
      <c r="C47" s="4" t="n">
        <f aca="false">IFERROR(IF(MID(raw_data!C47,3,1)="/",DATE(VALUE(RIGHT(raw_data!C47,4)),VALUE(LEFT(raw_data!C47,2)),VALUE(MID(raw_data!C47,4,2))),IF(MID(raw_data!C47,3,1)="-",DATE(VALUE(RIGHT(raw_data!C47,4)),VALUE(MID(raw_data!C47,4,2)),VALUE(LEFT(raw_data!C47,2))),IF(MID(raw_data!C47,5,1)="-",DATE(VALUE(LEFT(raw_data!C47,4)),VALUE(MID(raw_data!C47,6,2)),VALUE(RIGHT(raw_data!C47,2))),DATE(VALUE(RIGHT(raw_data!C47,4)),MATCH(MID(raw_data!C47,4,3),{"Jan","Feb","Mar","Apr","May","Jun","Jul","Aug","Sep","Oct","Nov","Dec"},0),VALUE(LEFT(raw_data!C47,2)))))),"")</f>
        <v>45315</v>
      </c>
      <c r="D47" s="3" t="str">
        <f aca="false">IF(TRIM(raw_data!B47)="","Missing",IF(B47="","Invalid/Unrecognized","Valid"))</f>
        <v>Valid</v>
      </c>
      <c r="E47" s="3" t="str">
        <f aca="false">IF(TRIM(raw_data!C47)="","Missing",IF(C47="","Invalid/Unrecognized","Valid"))</f>
        <v>Valid</v>
      </c>
      <c r="F47" s="5" t="n">
        <f aca="false">IF(OR(B47="",C47=""),"",C47-B47)</f>
        <v>6</v>
      </c>
      <c r="G47" s="3" t="str">
        <f aca="false">IF(F47="","N/A",IF(F47&lt;0,"Invalid - Ship Before Order","OK"))</f>
        <v>OK</v>
      </c>
      <c r="H47" s="3" t="str">
        <f aca="false">raw_data!D47</f>
        <v>CUST-8896</v>
      </c>
      <c r="I47" s="3" t="str">
        <f aca="false">PROPER(TRIM(raw_data!E47))</f>
        <v>Isha Nair</v>
      </c>
      <c r="J47" s="3" t="str">
        <f aca="false">PROPER(TRIM(raw_data!F47))</f>
        <v>Home Office</v>
      </c>
      <c r="K47" s="3" t="str">
        <f aca="false">IF(TRIM(raw_data!G47)="","Unknown",PROPER(TRIM(raw_data!G47)))</f>
        <v>East</v>
      </c>
      <c r="L47" s="3" t="str">
        <f aca="false">IF(TRIM(raw_data!G47)="","Filled - Unknown","OK")</f>
        <v>OK</v>
      </c>
      <c r="M47" s="3" t="str">
        <f aca="false">PROPER(TRIM(raw_data!H47))</f>
        <v>Bihar</v>
      </c>
      <c r="N47" s="3" t="str">
        <f aca="false">PROPER(TRIM(raw_data!I47))</f>
        <v>Patna</v>
      </c>
      <c r="O47" s="3" t="str">
        <f aca="false">PROPER(TRIM(raw_data!J47))</f>
        <v>Office Supplies</v>
      </c>
      <c r="P47" s="3" t="str">
        <f aca="false">PROPER(TRIM(raw_data!K47))</f>
        <v>Art</v>
      </c>
      <c r="Q47" s="3" t="str">
        <f aca="false">TRIM(raw_data!L47)</f>
        <v>Prime Art 221</v>
      </c>
      <c r="R47" s="3" t="str">
        <f aca="false">IF(TRIM(raw_data!M47)="","Unknown",PROPER(TRIM(raw_data!M47)))</f>
        <v>Second Class</v>
      </c>
      <c r="S47" s="3" t="str">
        <f aca="false">IF(TRIM(raw_data!M47)="","Filled - Unknown","OK")</f>
        <v>OK</v>
      </c>
      <c r="T47" s="6" t="n">
        <f aca="false">raw_data!N47</f>
        <v>8</v>
      </c>
      <c r="U47" s="7" t="n">
        <f aca="false">raw_data!O47</f>
        <v>3927.82</v>
      </c>
      <c r="V47" s="8" t="n">
        <f aca="false">raw_data!P47</f>
        <v>0.05</v>
      </c>
      <c r="W47" s="8" t="n">
        <f aca="false">IF(raw_data!P47="",0,IF(ISTEXT(raw_data!P47),IF(RIGHT(raw_data!P47,1)="%",VALUE(LEFT(raw_data!P47,LEN(raw_data!P47)-1))/100,VALUE(raw_data!P47)),raw_data!P47))</f>
        <v>0.05</v>
      </c>
      <c r="X47" s="3" t="str">
        <f aca="false">IF(raw_data!P47="","Missing - Defaulted to 0",IF(W47&lt;0,"Negative - Invalid",IF(W47&gt;0.3,"Above Allowed Range - Invalid","Valid")))</f>
        <v>Valid</v>
      </c>
      <c r="Y47" s="7" t="n">
        <f aca="false">raw_data!Q47</f>
        <v>29851.43</v>
      </c>
      <c r="Z47" s="7" t="n">
        <f aca="false">raw_data!R47</f>
        <v>17487.48</v>
      </c>
      <c r="AA47" s="7" t="n">
        <f aca="false">raw_data!S47</f>
        <v>12363.95</v>
      </c>
      <c r="AB47" s="3" t="str">
        <f aca="false">PROPER(TRIM(raw_data!T47))</f>
        <v>Pending</v>
      </c>
      <c r="AC47" s="3" t="str">
        <f aca="false">PROPER(TRIM(raw_data!U47))</f>
        <v>Returned</v>
      </c>
      <c r="AD47" s="7" t="n">
        <f aca="false">T47*U47*(1-W47)</f>
        <v>29851.432</v>
      </c>
      <c r="AE47" s="7" t="n">
        <f aca="false">AD47-Z47</f>
        <v>12363.952</v>
      </c>
      <c r="AF47" s="8" t="n">
        <f aca="false">IF(AD47=0,0,AE47/AD47)</f>
        <v>0.414182877390941</v>
      </c>
      <c r="AG47" s="3" t="str">
        <f aca="false">IF(ABS(Y47-AD47)&gt;1,"Mismatch","OK")</f>
        <v>OK</v>
      </c>
      <c r="AH47" s="3" t="str">
        <f aca="false">IF(ABS(AA47-AE47)&gt;1,"Mismatch","OK")</f>
        <v>OK</v>
      </c>
      <c r="AI47" s="6" t="n">
        <f aca="false">IF(B47="","",MONTH(B47))</f>
        <v>1</v>
      </c>
      <c r="AJ47" s="6" t="n">
        <f aca="false">IF(B47="","",YEAR(B47))</f>
        <v>2024</v>
      </c>
      <c r="AK47" s="3" t="str">
        <f aca="false">IF(COUNTIF(raw_data!$A$2:$A$913,A47)&gt;1,"Conflicting Duplicate - Flagged for Review","Unique")</f>
        <v>Unique</v>
      </c>
      <c r="AL47" s="3" t="str">
        <f aca="false">IF(AB47="Refunded","Yes","No")</f>
        <v>No</v>
      </c>
      <c r="AM47" s="3" t="str">
        <f aca="false">IF(OR(AC47&lt;&gt;"Completed",AB47="Failed"),"Excluded","Included")</f>
        <v>Excluded</v>
      </c>
      <c r="AN47" s="3" t="str">
        <f aca="false">IF(OR(D47="Invalid/Unrecognized",E47="Invalid/Unrecognized",G47="Invalid - Ship Before Order",X47="Negative - Invalid",X47="Above Allowed Range - Invalid",AG47="Mismatch",AH47="Mismatch",AK47="Conflicting Duplicate - Flagged for Review"),"Invalid",IF(OR(L47="Filled - Unknown",S47="Filled - Unknown",X47="Missing - Defaulted to 0",AL47="Yes",AC47="Cancelled",AC47="Returned"),"Warning","Clean"))</f>
        <v>Warning</v>
      </c>
    </row>
    <row r="48" customFormat="false" ht="15" hidden="false" customHeight="false" outlineLevel="0" collapsed="false">
      <c r="A48" s="3" t="str">
        <f aca="false">raw_data!A48</f>
        <v>ORD-2024-10047</v>
      </c>
      <c r="B48" s="4" t="n">
        <f aca="false">IFERROR(IF(MID(raw_data!B48,3,1)="/",DATE(VALUE(RIGHT(raw_data!B48,4)),VALUE(LEFT(raw_data!B48,2)),VALUE(MID(raw_data!B48,4,2))),IF(MID(raw_data!B48,3,1)="-",DATE(VALUE(RIGHT(raw_data!B48,4)),VALUE(MID(raw_data!B48,4,2)),VALUE(LEFT(raw_data!B48,2))),IF(MID(raw_data!B48,5,1)="-",DATE(VALUE(LEFT(raw_data!B48,4)),VALUE(MID(raw_data!B48,6,2)),VALUE(RIGHT(raw_data!B48,2))),DATE(VALUE(RIGHT(raw_data!B48,4)),MATCH(MID(raw_data!B48,4,3),{"Jan","Feb","Mar","Apr","May","Jun","Jul","Aug","Sep","Oct","Nov","Dec"},0),VALUE(LEFT(raw_data!B48,2)))))),"")</f>
        <v>45492</v>
      </c>
      <c r="C48" s="4" t="n">
        <f aca="false">IFERROR(IF(MID(raw_data!C48,3,1)="/",DATE(VALUE(RIGHT(raw_data!C48,4)),VALUE(LEFT(raw_data!C48,2)),VALUE(MID(raw_data!C48,4,2))),IF(MID(raw_data!C48,3,1)="-",DATE(VALUE(RIGHT(raw_data!C48,4)),VALUE(MID(raw_data!C48,4,2)),VALUE(LEFT(raw_data!C48,2))),IF(MID(raw_data!C48,5,1)="-",DATE(VALUE(LEFT(raw_data!C48,4)),VALUE(MID(raw_data!C48,6,2)),VALUE(RIGHT(raw_data!C48,2))),DATE(VALUE(RIGHT(raw_data!C48,4)),MATCH(MID(raw_data!C48,4,3),{"Jan","Feb","Mar","Apr","May","Jun","Jul","Aug","Sep","Oct","Nov","Dec"},0),VALUE(LEFT(raw_data!C48,2)))))),"")</f>
        <v>45492</v>
      </c>
      <c r="D48" s="3" t="str">
        <f aca="false">IF(TRIM(raw_data!B48)="","Missing",IF(B48="","Invalid/Unrecognized","Valid"))</f>
        <v>Valid</v>
      </c>
      <c r="E48" s="3" t="str">
        <f aca="false">IF(TRIM(raw_data!C48)="","Missing",IF(C48="","Invalid/Unrecognized","Valid"))</f>
        <v>Valid</v>
      </c>
      <c r="F48" s="5" t="n">
        <f aca="false">IF(OR(B48="",C48=""),"",C48-B48)</f>
        <v>0</v>
      </c>
      <c r="G48" s="3" t="str">
        <f aca="false">IF(F48="","N/A",IF(F48&lt;0,"Invalid - Ship Before Order","OK"))</f>
        <v>OK</v>
      </c>
      <c r="H48" s="3" t="str">
        <f aca="false">raw_data!D48</f>
        <v>CUST-8517</v>
      </c>
      <c r="I48" s="3" t="str">
        <f aca="false">PROPER(TRIM(raw_data!E48))</f>
        <v>Ananya Rao</v>
      </c>
      <c r="J48" s="3" t="str">
        <f aca="false">PROPER(TRIM(raw_data!F48))</f>
        <v>Small Business</v>
      </c>
      <c r="K48" s="3" t="str">
        <f aca="false">IF(TRIM(raw_data!G48)="","Unknown",PROPER(TRIM(raw_data!G48)))</f>
        <v>South</v>
      </c>
      <c r="L48" s="3" t="str">
        <f aca="false">IF(TRIM(raw_data!G48)="","Filled - Unknown","OK")</f>
        <v>OK</v>
      </c>
      <c r="M48" s="3" t="str">
        <f aca="false">PROPER(TRIM(raw_data!H48))</f>
        <v>Kerala</v>
      </c>
      <c r="N48" s="3" t="str">
        <f aca="false">PROPER(TRIM(raw_data!I48))</f>
        <v>Kochi</v>
      </c>
      <c r="O48" s="3" t="str">
        <f aca="false">PROPER(TRIM(raw_data!J48))</f>
        <v>Furniture</v>
      </c>
      <c r="P48" s="3" t="str">
        <f aca="false">PROPER(TRIM(raw_data!K48))</f>
        <v>Bookcases</v>
      </c>
      <c r="Q48" s="3" t="str">
        <f aca="false">TRIM(raw_data!L48)</f>
        <v>Elite Bookcases 671</v>
      </c>
      <c r="R48" s="3" t="str">
        <f aca="false">IF(TRIM(raw_data!M48)="","Unknown",PROPER(TRIM(raw_data!M48)))</f>
        <v>Standard Class</v>
      </c>
      <c r="S48" s="3" t="str">
        <f aca="false">IF(TRIM(raw_data!M48)="","Filled - Unknown","OK")</f>
        <v>OK</v>
      </c>
      <c r="T48" s="6" t="n">
        <f aca="false">raw_data!N48</f>
        <v>9</v>
      </c>
      <c r="U48" s="7" t="n">
        <f aca="false">raw_data!O48</f>
        <v>2386.79</v>
      </c>
      <c r="V48" s="8" t="n">
        <f aca="false">raw_data!P48</f>
        <v>0.25</v>
      </c>
      <c r="W48" s="8" t="n">
        <f aca="false">IF(raw_data!P48="",0,IF(ISTEXT(raw_data!P48),IF(RIGHT(raw_data!P48,1)="%",VALUE(LEFT(raw_data!P48,LEN(raw_data!P48)-1))/100,VALUE(raw_data!P48)),raw_data!P48))</f>
        <v>0.25</v>
      </c>
      <c r="X48" s="3" t="str">
        <f aca="false">IF(raw_data!P48="","Missing - Defaulted to 0",IF(W48&lt;0,"Negative - Invalid",IF(W48&gt;0.3,"Above Allowed Range - Invalid","Valid")))</f>
        <v>Valid</v>
      </c>
      <c r="Y48" s="7" t="n">
        <f aca="false">raw_data!Q48</f>
        <v>16110.83</v>
      </c>
      <c r="Z48" s="7" t="n">
        <f aca="false">raw_data!R48</f>
        <v>10680.03</v>
      </c>
      <c r="AA48" s="7" t="n">
        <f aca="false">raw_data!S48</f>
        <v>5430.8</v>
      </c>
      <c r="AB48" s="3" t="str">
        <f aca="false">PROPER(TRIM(raw_data!T48))</f>
        <v>Refunded</v>
      </c>
      <c r="AC48" s="3" t="str">
        <f aca="false">PROPER(TRIM(raw_data!U48))</f>
        <v>Returned</v>
      </c>
      <c r="AD48" s="7" t="n">
        <f aca="false">T48*U48*(1-W48)</f>
        <v>16110.8325</v>
      </c>
      <c r="AE48" s="7" t="n">
        <f aca="false">AD48-Z48</f>
        <v>5430.8025</v>
      </c>
      <c r="AF48" s="8" t="n">
        <f aca="false">IF(AD48=0,0,AE48/AD48)</f>
        <v>0.337090122437807</v>
      </c>
      <c r="AG48" s="3" t="str">
        <f aca="false">IF(ABS(Y48-AD48)&gt;1,"Mismatch","OK")</f>
        <v>OK</v>
      </c>
      <c r="AH48" s="3" t="str">
        <f aca="false">IF(ABS(AA48-AE48)&gt;1,"Mismatch","OK")</f>
        <v>OK</v>
      </c>
      <c r="AI48" s="6" t="n">
        <f aca="false">IF(B48="","",MONTH(B48))</f>
        <v>7</v>
      </c>
      <c r="AJ48" s="6" t="n">
        <f aca="false">IF(B48="","",YEAR(B48))</f>
        <v>2024</v>
      </c>
      <c r="AK48" s="3" t="str">
        <f aca="false">IF(COUNTIF(raw_data!$A$2:$A$913,A48)&gt;1,"Conflicting Duplicate - Flagged for Review","Unique")</f>
        <v>Unique</v>
      </c>
      <c r="AL48" s="3" t="str">
        <f aca="false">IF(AB48="Refunded","Yes","No")</f>
        <v>Yes</v>
      </c>
      <c r="AM48" s="3" t="str">
        <f aca="false">IF(OR(AC48&lt;&gt;"Completed",AB48="Failed"),"Excluded","Included")</f>
        <v>Excluded</v>
      </c>
      <c r="AN48" s="3" t="str">
        <f aca="false">IF(OR(D48="Invalid/Unrecognized",E48="Invalid/Unrecognized",G48="Invalid - Ship Before Order",X48="Negative - Invalid",X48="Above Allowed Range - Invalid",AG48="Mismatch",AH48="Mismatch",AK48="Conflicting Duplicate - Flagged for Review"),"Invalid",IF(OR(L48="Filled - Unknown",S48="Filled - Unknown",X48="Missing - Defaulted to 0",AL48="Yes",AC48="Cancelled",AC48="Returned"),"Warning","Clean"))</f>
        <v>Warning</v>
      </c>
    </row>
    <row r="49" customFormat="false" ht="15" hidden="false" customHeight="false" outlineLevel="0" collapsed="false">
      <c r="A49" s="3" t="str">
        <f aca="false">raw_data!A49</f>
        <v>ORD-2024-10048</v>
      </c>
      <c r="B49" s="4" t="n">
        <f aca="false">IFERROR(IF(MID(raw_data!B49,3,1)="/",DATE(VALUE(RIGHT(raw_data!B49,4)),VALUE(LEFT(raw_data!B49,2)),VALUE(MID(raw_data!B49,4,2))),IF(MID(raw_data!B49,3,1)="-",DATE(VALUE(RIGHT(raw_data!B49,4)),VALUE(MID(raw_data!B49,4,2)),VALUE(LEFT(raw_data!B49,2))),IF(MID(raw_data!B49,5,1)="-",DATE(VALUE(LEFT(raw_data!B49,4)),VALUE(MID(raw_data!B49,6,2)),VALUE(RIGHT(raw_data!B49,2))),DATE(VALUE(RIGHT(raw_data!B49,4)),MATCH(MID(raw_data!B49,4,3),{"Jan","Feb","Mar","Apr","May","Jun","Jul","Aug","Sep","Oct","Nov","Dec"},0),VALUE(LEFT(raw_data!B49,2)))))),"")</f>
        <v>45516</v>
      </c>
      <c r="C49" s="4" t="n">
        <f aca="false">IFERROR(IF(MID(raw_data!C49,3,1)="/",DATE(VALUE(RIGHT(raw_data!C49,4)),VALUE(LEFT(raw_data!C49,2)),VALUE(MID(raw_data!C49,4,2))),IF(MID(raw_data!C49,3,1)="-",DATE(VALUE(RIGHT(raw_data!C49,4)),VALUE(MID(raw_data!C49,4,2)),VALUE(LEFT(raw_data!C49,2))),IF(MID(raw_data!C49,5,1)="-",DATE(VALUE(LEFT(raw_data!C49,4)),VALUE(MID(raw_data!C49,6,2)),VALUE(RIGHT(raw_data!C49,2))),DATE(VALUE(RIGHT(raw_data!C49,4)),MATCH(MID(raw_data!C49,4,3),{"Jan","Feb","Mar","Apr","May","Jun","Jul","Aug","Sep","Oct","Nov","Dec"},0),VALUE(LEFT(raw_data!C49,2)))))),"")</f>
        <v>45516</v>
      </c>
      <c r="D49" s="3" t="str">
        <f aca="false">IF(TRIM(raw_data!B49)="","Missing",IF(B49="","Invalid/Unrecognized","Valid"))</f>
        <v>Valid</v>
      </c>
      <c r="E49" s="3" t="str">
        <f aca="false">IF(TRIM(raw_data!C49)="","Missing",IF(C49="","Invalid/Unrecognized","Valid"))</f>
        <v>Valid</v>
      </c>
      <c r="F49" s="5" t="n">
        <f aca="false">IF(OR(B49="",C49=""),"",C49-B49)</f>
        <v>0</v>
      </c>
      <c r="G49" s="3" t="str">
        <f aca="false">IF(F49="","N/A",IF(F49&lt;0,"Invalid - Ship Before Order","OK"))</f>
        <v>OK</v>
      </c>
      <c r="H49" s="3" t="str">
        <f aca="false">raw_data!D49</f>
        <v>CUST-1987</v>
      </c>
      <c r="I49" s="3" t="str">
        <f aca="false">PROPER(TRIM(raw_data!E49))</f>
        <v>Rahul Verma</v>
      </c>
      <c r="J49" s="3" t="str">
        <f aca="false">PROPER(TRIM(raw_data!F49))</f>
        <v>Corporate</v>
      </c>
      <c r="K49" s="3" t="str">
        <f aca="false">IF(TRIM(raw_data!G49)="","Unknown",PROPER(TRIM(raw_data!G49)))</f>
        <v>South</v>
      </c>
      <c r="L49" s="3" t="str">
        <f aca="false">IF(TRIM(raw_data!G49)="","Filled - Unknown","OK")</f>
        <v>OK</v>
      </c>
      <c r="M49" s="3" t="str">
        <f aca="false">PROPER(TRIM(raw_data!H49))</f>
        <v>Tamil Nadu</v>
      </c>
      <c r="N49" s="3" t="str">
        <f aca="false">PROPER(TRIM(raw_data!I49))</f>
        <v>Chennai</v>
      </c>
      <c r="O49" s="3" t="str">
        <f aca="false">PROPER(TRIM(raw_data!J49))</f>
        <v>Office Supplies</v>
      </c>
      <c r="P49" s="3" t="str">
        <f aca="false">PROPER(TRIM(raw_data!K49))</f>
        <v>Storage</v>
      </c>
      <c r="Q49" s="3" t="str">
        <f aca="false">TRIM(raw_data!L49)</f>
        <v>Max Storage 432</v>
      </c>
      <c r="R49" s="3" t="str">
        <f aca="false">IF(TRIM(raw_data!M49)="","Unknown",PROPER(TRIM(raw_data!M49)))</f>
        <v>Standard Class</v>
      </c>
      <c r="S49" s="3" t="str">
        <f aca="false">IF(TRIM(raw_data!M49)="","Filled - Unknown","OK")</f>
        <v>OK</v>
      </c>
      <c r="T49" s="6" t="n">
        <f aca="false">raw_data!N49</f>
        <v>8</v>
      </c>
      <c r="U49" s="7" t="n">
        <f aca="false">raw_data!O49</f>
        <v>2445.31</v>
      </c>
      <c r="V49" s="8" t="n">
        <f aca="false">raw_data!P49</f>
        <v>0.1</v>
      </c>
      <c r="W49" s="8" t="n">
        <f aca="false">IF(raw_data!P49="",0,IF(ISTEXT(raw_data!P49),IF(RIGHT(raw_data!P49,1)="%",VALUE(LEFT(raw_data!P49,LEN(raw_data!P49)-1))/100,VALUE(raw_data!P49)),raw_data!P49))</f>
        <v>0.1</v>
      </c>
      <c r="X49" s="3" t="str">
        <f aca="false">IF(raw_data!P49="","Missing - Defaulted to 0",IF(W49&lt;0,"Negative - Invalid",IF(W49&gt;0.3,"Above Allowed Range - Invalid","Valid")))</f>
        <v>Valid</v>
      </c>
      <c r="Y49" s="7" t="n">
        <f aca="false">raw_data!Q49</f>
        <v>17606.23</v>
      </c>
      <c r="Z49" s="7" t="n">
        <f aca="false">raw_data!R49</f>
        <v>12438.96</v>
      </c>
      <c r="AA49" s="7" t="n">
        <f aca="false">raw_data!S49</f>
        <v>5167.27</v>
      </c>
      <c r="AB49" s="3" t="str">
        <f aca="false">PROPER(TRIM(raw_data!T49))</f>
        <v>Paid</v>
      </c>
      <c r="AC49" s="3" t="str">
        <f aca="false">PROPER(TRIM(raw_data!U49))</f>
        <v>Completed</v>
      </c>
      <c r="AD49" s="7" t="n">
        <f aca="false">T49*U49*(1-W49)</f>
        <v>17606.232</v>
      </c>
      <c r="AE49" s="7" t="n">
        <f aca="false">AD49-Z49</f>
        <v>5167.272</v>
      </c>
      <c r="AF49" s="8" t="n">
        <f aca="false">IF(AD49=0,0,AE49/AD49)</f>
        <v>0.293491077477566</v>
      </c>
      <c r="AG49" s="3" t="str">
        <f aca="false">IF(ABS(Y49-AD49)&gt;1,"Mismatch","OK")</f>
        <v>OK</v>
      </c>
      <c r="AH49" s="3" t="str">
        <f aca="false">IF(ABS(AA49-AE49)&gt;1,"Mismatch","OK")</f>
        <v>OK</v>
      </c>
      <c r="AI49" s="6" t="n">
        <f aca="false">IF(B49="","",MONTH(B49))</f>
        <v>8</v>
      </c>
      <c r="AJ49" s="6" t="n">
        <f aca="false">IF(B49="","",YEAR(B49))</f>
        <v>2024</v>
      </c>
      <c r="AK49" s="3" t="str">
        <f aca="false">IF(COUNTIF(raw_data!$A$2:$A$913,A49)&gt;1,"Conflicting Duplicate - Flagged for Review","Unique")</f>
        <v>Unique</v>
      </c>
      <c r="AL49" s="3" t="str">
        <f aca="false">IF(AB49="Refunded","Yes","No")</f>
        <v>No</v>
      </c>
      <c r="AM49" s="3" t="str">
        <f aca="false">IF(OR(AC49&lt;&gt;"Completed",AB49="Failed"),"Excluded","Included")</f>
        <v>Included</v>
      </c>
      <c r="AN49" s="3" t="str">
        <f aca="false">IF(OR(D49="Invalid/Unrecognized",E49="Invalid/Unrecognized",G49="Invalid - Ship Before Order",X49="Negative - Invalid",X49="Above Allowed Range - Invalid",AG49="Mismatch",AH49="Mismatch",AK49="Conflicting Duplicate - Flagged for Review"),"Invalid",IF(OR(L49="Filled - Unknown",S49="Filled - Unknown",X49="Missing - Defaulted to 0",AL49="Yes",AC49="Cancelled",AC49="Returned"),"Warning","Clean"))</f>
        <v>Clean</v>
      </c>
    </row>
    <row r="50" customFormat="false" ht="15" hidden="false" customHeight="false" outlineLevel="0" collapsed="false">
      <c r="A50" s="3" t="str">
        <f aca="false">raw_data!A50</f>
        <v>ORD-2025-10049</v>
      </c>
      <c r="B50" s="4" t="n">
        <f aca="false">IFERROR(IF(MID(raw_data!B50,3,1)="/",DATE(VALUE(RIGHT(raw_data!B50,4)),VALUE(LEFT(raw_data!B50,2)),VALUE(MID(raw_data!B50,4,2))),IF(MID(raw_data!B50,3,1)="-",DATE(VALUE(RIGHT(raw_data!B50,4)),VALUE(MID(raw_data!B50,4,2)),VALUE(LEFT(raw_data!B50,2))),IF(MID(raw_data!B50,5,1)="-",DATE(VALUE(LEFT(raw_data!B50,4)),VALUE(MID(raw_data!B50,6,2)),VALUE(RIGHT(raw_data!B50,2))),DATE(VALUE(RIGHT(raw_data!B50,4)),MATCH(MID(raw_data!B50,4,3),{"Jan","Feb","Mar","Apr","May","Jun","Jul","Aug","Sep","Oct","Nov","Dec"},0),VALUE(LEFT(raw_data!B50,2)))))),"")</f>
        <v>45687</v>
      </c>
      <c r="C50" s="4" t="n">
        <f aca="false">IFERROR(IF(MID(raw_data!C50,3,1)="/",DATE(VALUE(RIGHT(raw_data!C50,4)),VALUE(LEFT(raw_data!C50,2)),VALUE(MID(raw_data!C50,4,2))),IF(MID(raw_data!C50,3,1)="-",DATE(VALUE(RIGHT(raw_data!C50,4)),VALUE(MID(raw_data!C50,4,2)),VALUE(LEFT(raw_data!C50,2))),IF(MID(raw_data!C50,5,1)="-",DATE(VALUE(LEFT(raw_data!C50,4)),VALUE(MID(raw_data!C50,6,2)),VALUE(RIGHT(raw_data!C50,2))),DATE(VALUE(RIGHT(raw_data!C50,4)),MATCH(MID(raw_data!C50,4,3),{"Jan","Feb","Mar","Apr","May","Jun","Jul","Aug","Sep","Oct","Nov","Dec"},0),VALUE(LEFT(raw_data!C50,2)))))),"")</f>
        <v>45693</v>
      </c>
      <c r="D50" s="3" t="str">
        <f aca="false">IF(TRIM(raw_data!B50)="","Missing",IF(B50="","Invalid/Unrecognized","Valid"))</f>
        <v>Valid</v>
      </c>
      <c r="E50" s="3" t="str">
        <f aca="false">IF(TRIM(raw_data!C50)="","Missing",IF(C50="","Invalid/Unrecognized","Valid"))</f>
        <v>Valid</v>
      </c>
      <c r="F50" s="5" t="n">
        <f aca="false">IF(OR(B50="",C50=""),"",C50-B50)</f>
        <v>6</v>
      </c>
      <c r="G50" s="3" t="str">
        <f aca="false">IF(F50="","N/A",IF(F50&lt;0,"Invalid - Ship Before Order","OK"))</f>
        <v>OK</v>
      </c>
      <c r="H50" s="3" t="str">
        <f aca="false">raw_data!D50</f>
        <v>CUST-8183</v>
      </c>
      <c r="I50" s="3" t="str">
        <f aca="false">PROPER(TRIM(raw_data!E50))</f>
        <v>Neha Gupta</v>
      </c>
      <c r="J50" s="3" t="str">
        <f aca="false">PROPER(TRIM(raw_data!F50))</f>
        <v>Corporate</v>
      </c>
      <c r="K50" s="3" t="str">
        <f aca="false">IF(TRIM(raw_data!G50)="","Unknown",PROPER(TRIM(raw_data!G50)))</f>
        <v>West</v>
      </c>
      <c r="L50" s="3" t="str">
        <f aca="false">IF(TRIM(raw_data!G50)="","Filled - Unknown","OK")</f>
        <v>OK</v>
      </c>
      <c r="M50" s="3" t="str">
        <f aca="false">PROPER(TRIM(raw_data!H50))</f>
        <v>Maharashtra</v>
      </c>
      <c r="N50" s="3" t="str">
        <f aca="false">PROPER(TRIM(raw_data!I50))</f>
        <v>Mumbai</v>
      </c>
      <c r="O50" s="3" t="str">
        <f aca="false">PROPER(TRIM(raw_data!J50))</f>
        <v>Furniture</v>
      </c>
      <c r="P50" s="3" t="str">
        <f aca="false">PROPER(TRIM(raw_data!K50))</f>
        <v>Chairs</v>
      </c>
      <c r="Q50" s="3" t="str">
        <f aca="false">TRIM(raw_data!L50)</f>
        <v>Basic Chairs 837</v>
      </c>
      <c r="R50" s="3" t="str">
        <f aca="false">IF(TRIM(raw_data!M50)="","Unknown",PROPER(TRIM(raw_data!M50)))</f>
        <v>Second Class</v>
      </c>
      <c r="S50" s="3" t="str">
        <f aca="false">IF(TRIM(raw_data!M50)="","Filled - Unknown","OK")</f>
        <v>OK</v>
      </c>
      <c r="T50" s="6" t="n">
        <f aca="false">raw_data!N50</f>
        <v>7</v>
      </c>
      <c r="U50" s="7" t="n">
        <f aca="false">raw_data!O50</f>
        <v>4063.66</v>
      </c>
      <c r="V50" s="8" t="n">
        <f aca="false">raw_data!P50</f>
        <v>0</v>
      </c>
      <c r="W50" s="8" t="n">
        <f aca="false">IF(raw_data!P50="",0,IF(ISTEXT(raw_data!P50),IF(RIGHT(raw_data!P50,1)="%",VALUE(LEFT(raw_data!P50,LEN(raw_data!P50)-1))/100,VALUE(raw_data!P50)),raw_data!P50))</f>
        <v>0</v>
      </c>
      <c r="X50" s="3" t="str">
        <f aca="false">IF(raw_data!P50="","Missing - Defaulted to 0",IF(W50&lt;0,"Negative - Invalid",IF(W50&gt;0.3,"Above Allowed Range - Invalid","Valid")))</f>
        <v>Valid</v>
      </c>
      <c r="Y50" s="7" t="n">
        <f aca="false">raw_data!Q50</f>
        <v>28445.62</v>
      </c>
      <c r="Z50" s="7" t="n">
        <f aca="false">raw_data!R50</f>
        <v>20938.59</v>
      </c>
      <c r="AA50" s="7" t="n">
        <f aca="false">raw_data!S50</f>
        <v>7507.03</v>
      </c>
      <c r="AB50" s="3" t="str">
        <f aca="false">PROPER(TRIM(raw_data!T50))</f>
        <v>Paid</v>
      </c>
      <c r="AC50" s="3" t="str">
        <f aca="false">PROPER(TRIM(raw_data!U50))</f>
        <v>Completed</v>
      </c>
      <c r="AD50" s="7" t="n">
        <f aca="false">T50*U50*(1-W50)</f>
        <v>28445.62</v>
      </c>
      <c r="AE50" s="7" t="n">
        <f aca="false">AD50-Z50</f>
        <v>7507.03</v>
      </c>
      <c r="AF50" s="8" t="n">
        <f aca="false">IF(AD50=0,0,AE50/AD50)</f>
        <v>0.263908116609868</v>
      </c>
      <c r="AG50" s="3" t="str">
        <f aca="false">IF(ABS(Y50-AD50)&gt;1,"Mismatch","OK")</f>
        <v>OK</v>
      </c>
      <c r="AH50" s="3" t="str">
        <f aca="false">IF(ABS(AA50-AE50)&gt;1,"Mismatch","OK")</f>
        <v>OK</v>
      </c>
      <c r="AI50" s="6" t="n">
        <f aca="false">IF(B50="","",MONTH(B50))</f>
        <v>1</v>
      </c>
      <c r="AJ50" s="6" t="n">
        <f aca="false">IF(B50="","",YEAR(B50))</f>
        <v>2025</v>
      </c>
      <c r="AK50" s="3" t="str">
        <f aca="false">IF(COUNTIF(raw_data!$A$2:$A$913,A50)&gt;1,"Conflicting Duplicate - Flagged for Review","Unique")</f>
        <v>Unique</v>
      </c>
      <c r="AL50" s="3" t="str">
        <f aca="false">IF(AB50="Refunded","Yes","No")</f>
        <v>No</v>
      </c>
      <c r="AM50" s="3" t="str">
        <f aca="false">IF(OR(AC50&lt;&gt;"Completed",AB50="Failed"),"Excluded","Included")</f>
        <v>Included</v>
      </c>
      <c r="AN50" s="3" t="str">
        <f aca="false">IF(OR(D50="Invalid/Unrecognized",E50="Invalid/Unrecognized",G50="Invalid - Ship Before Order",X50="Negative - Invalid",X50="Above Allowed Range - Invalid",AG50="Mismatch",AH50="Mismatch",AK50="Conflicting Duplicate - Flagged for Review"),"Invalid",IF(OR(L50="Filled - Unknown",S50="Filled - Unknown",X50="Missing - Defaulted to 0",AL50="Yes",AC50="Cancelled",AC50="Returned"),"Warning","Clean"))</f>
        <v>Clean</v>
      </c>
    </row>
    <row r="51" customFormat="false" ht="15" hidden="false" customHeight="false" outlineLevel="0" collapsed="false">
      <c r="A51" s="3" t="str">
        <f aca="false">raw_data!A51</f>
        <v>ORD-2024-10050</v>
      </c>
      <c r="B51" s="4" t="n">
        <f aca="false">IFERROR(IF(MID(raw_data!B51,3,1)="/",DATE(VALUE(RIGHT(raw_data!B51,4)),VALUE(LEFT(raw_data!B51,2)),VALUE(MID(raw_data!B51,4,2))),IF(MID(raw_data!B51,3,1)="-",DATE(VALUE(RIGHT(raw_data!B51,4)),VALUE(MID(raw_data!B51,4,2)),VALUE(LEFT(raw_data!B51,2))),IF(MID(raw_data!B51,5,1)="-",DATE(VALUE(LEFT(raw_data!B51,4)),VALUE(MID(raw_data!B51,6,2)),VALUE(RIGHT(raw_data!B51,2))),DATE(VALUE(RIGHT(raw_data!B51,4)),MATCH(MID(raw_data!B51,4,3),{"Jan","Feb","Mar","Apr","May","Jun","Jul","Aug","Sep","Oct","Nov","Dec"},0),VALUE(LEFT(raw_data!B51,2)))))),"")</f>
        <v>45388</v>
      </c>
      <c r="C51" s="4" t="n">
        <f aca="false">IFERROR(IF(MID(raw_data!C51,3,1)="/",DATE(VALUE(RIGHT(raw_data!C51,4)),VALUE(LEFT(raw_data!C51,2)),VALUE(MID(raw_data!C51,4,2))),IF(MID(raw_data!C51,3,1)="-",DATE(VALUE(RIGHT(raw_data!C51,4)),VALUE(MID(raw_data!C51,4,2)),VALUE(LEFT(raw_data!C51,2))),IF(MID(raw_data!C51,5,1)="-",DATE(VALUE(LEFT(raw_data!C51,4)),VALUE(MID(raw_data!C51,6,2)),VALUE(RIGHT(raw_data!C51,2))),DATE(VALUE(RIGHT(raw_data!C51,4)),MATCH(MID(raw_data!C51,4,3),{"Jan","Feb","Mar","Apr","May","Jun","Jul","Aug","Sep","Oct","Nov","Dec"},0),VALUE(LEFT(raw_data!C51,2)))))),"")</f>
        <v>45395</v>
      </c>
      <c r="D51" s="3" t="str">
        <f aca="false">IF(TRIM(raw_data!B51)="","Missing",IF(B51="","Invalid/Unrecognized","Valid"))</f>
        <v>Valid</v>
      </c>
      <c r="E51" s="3" t="str">
        <f aca="false">IF(TRIM(raw_data!C51)="","Missing",IF(C51="","Invalid/Unrecognized","Valid"))</f>
        <v>Valid</v>
      </c>
      <c r="F51" s="5" t="n">
        <f aca="false">IF(OR(B51="",C51=""),"",C51-B51)</f>
        <v>7</v>
      </c>
      <c r="G51" s="3" t="str">
        <f aca="false">IF(F51="","N/A",IF(F51&lt;0,"Invalid - Ship Before Order","OK"))</f>
        <v>OK</v>
      </c>
      <c r="H51" s="3" t="str">
        <f aca="false">raw_data!D51</f>
        <v>CUST-2380</v>
      </c>
      <c r="I51" s="3" t="str">
        <f aca="false">PROPER(TRIM(raw_data!E51))</f>
        <v>Aarav Sharma</v>
      </c>
      <c r="J51" s="3" t="str">
        <f aca="false">PROPER(TRIM(raw_data!F51))</f>
        <v>Home Office</v>
      </c>
      <c r="K51" s="3" t="str">
        <f aca="false">IF(TRIM(raw_data!G51)="","Unknown",PROPER(TRIM(raw_data!G51)))</f>
        <v>North</v>
      </c>
      <c r="L51" s="3" t="str">
        <f aca="false">IF(TRIM(raw_data!G51)="","Filled - Unknown","OK")</f>
        <v>OK</v>
      </c>
      <c r="M51" s="3" t="str">
        <f aca="false">PROPER(TRIM(raw_data!H51))</f>
        <v>Uttar Pradesh</v>
      </c>
      <c r="N51" s="3" t="str">
        <f aca="false">PROPER(TRIM(raw_data!I51))</f>
        <v>Noida</v>
      </c>
      <c r="O51" s="3" t="str">
        <f aca="false">PROPER(TRIM(raw_data!J51))</f>
        <v>Technology</v>
      </c>
      <c r="P51" s="3" t="str">
        <f aca="false">PROPER(TRIM(raw_data!K51))</f>
        <v>Copiers</v>
      </c>
      <c r="Q51" s="3" t="str">
        <f aca="false">TRIM(raw_data!L51)</f>
        <v>Classic Copiers 295</v>
      </c>
      <c r="R51" s="3" t="str">
        <f aca="false">IF(TRIM(raw_data!M51)="","Unknown",PROPER(TRIM(raw_data!M51)))</f>
        <v>Second Class</v>
      </c>
      <c r="S51" s="3" t="str">
        <f aca="false">IF(TRIM(raw_data!M51)="","Filled - Unknown","OK")</f>
        <v>OK</v>
      </c>
      <c r="T51" s="6" t="n">
        <f aca="false">raw_data!N51</f>
        <v>9</v>
      </c>
      <c r="U51" s="7" t="n">
        <f aca="false">raw_data!O51</f>
        <v>792.11</v>
      </c>
      <c r="V51" s="8" t="n">
        <f aca="false">raw_data!P51</f>
        <v>0.05</v>
      </c>
      <c r="W51" s="8" t="n">
        <f aca="false">IF(raw_data!P51="",0,IF(ISTEXT(raw_data!P51),IF(RIGHT(raw_data!P51,1)="%",VALUE(LEFT(raw_data!P51,LEN(raw_data!P51)-1))/100,VALUE(raw_data!P51)),raw_data!P51))</f>
        <v>0.05</v>
      </c>
      <c r="X51" s="3" t="str">
        <f aca="false">IF(raw_data!P51="","Missing - Defaulted to 0",IF(W51&lt;0,"Negative - Invalid",IF(W51&gt;0.3,"Above Allowed Range - Invalid","Valid")))</f>
        <v>Valid</v>
      </c>
      <c r="Y51" s="7" t="n">
        <f aca="false">raw_data!Q51</f>
        <v>6772.54</v>
      </c>
      <c r="Z51" s="7" t="n">
        <f aca="false">raw_data!R51</f>
        <v>5755.46</v>
      </c>
      <c r="AA51" s="7" t="n">
        <f aca="false">raw_data!S51</f>
        <v>1017.08</v>
      </c>
      <c r="AB51" s="3" t="str">
        <f aca="false">PROPER(TRIM(raw_data!T51))</f>
        <v>Paid</v>
      </c>
      <c r="AC51" s="3" t="str">
        <f aca="false">PROPER(TRIM(raw_data!U51))</f>
        <v>Completed</v>
      </c>
      <c r="AD51" s="7" t="n">
        <f aca="false">T51*U51*(1-W51)</f>
        <v>6772.5405</v>
      </c>
      <c r="AE51" s="7" t="n">
        <f aca="false">AD51-Z51</f>
        <v>1017.0805</v>
      </c>
      <c r="AF51" s="8" t="n">
        <f aca="false">IF(AD51=0,0,AE51/AD51)</f>
        <v>0.150177101192676</v>
      </c>
      <c r="AG51" s="3" t="str">
        <f aca="false">IF(ABS(Y51-AD51)&gt;1,"Mismatch","OK")</f>
        <v>OK</v>
      </c>
      <c r="AH51" s="3" t="str">
        <f aca="false">IF(ABS(AA51-AE51)&gt;1,"Mismatch","OK")</f>
        <v>OK</v>
      </c>
      <c r="AI51" s="6" t="n">
        <f aca="false">IF(B51="","",MONTH(B51))</f>
        <v>4</v>
      </c>
      <c r="AJ51" s="6" t="n">
        <f aca="false">IF(B51="","",YEAR(B51))</f>
        <v>2024</v>
      </c>
      <c r="AK51" s="3" t="str">
        <f aca="false">IF(COUNTIF(raw_data!$A$2:$A$913,A51)&gt;1,"Conflicting Duplicate - Flagged for Review","Unique")</f>
        <v>Unique</v>
      </c>
      <c r="AL51" s="3" t="str">
        <f aca="false">IF(AB51="Refunded","Yes","No")</f>
        <v>No</v>
      </c>
      <c r="AM51" s="3" t="str">
        <f aca="false">IF(OR(AC51&lt;&gt;"Completed",AB51="Failed"),"Excluded","Included")</f>
        <v>Included</v>
      </c>
      <c r="AN51" s="3" t="str">
        <f aca="false">IF(OR(D51="Invalid/Unrecognized",E51="Invalid/Unrecognized",G51="Invalid - Ship Before Order",X51="Negative - Invalid",X51="Above Allowed Range - Invalid",AG51="Mismatch",AH51="Mismatch",AK51="Conflicting Duplicate - Flagged for Review"),"Invalid",IF(OR(L51="Filled - Unknown",S51="Filled - Unknown",X51="Missing - Defaulted to 0",AL51="Yes",AC51="Cancelled",AC51="Returned"),"Warning","Clean"))</f>
        <v>Clean</v>
      </c>
    </row>
    <row r="52" customFormat="false" ht="15" hidden="false" customHeight="false" outlineLevel="0" collapsed="false">
      <c r="A52" s="3" t="str">
        <f aca="false">raw_data!A52</f>
        <v>ORD-2025-10051</v>
      </c>
      <c r="B52" s="4" t="n">
        <f aca="false">IFERROR(IF(MID(raw_data!B52,3,1)="/",DATE(VALUE(RIGHT(raw_data!B52,4)),VALUE(LEFT(raw_data!B52,2)),VALUE(MID(raw_data!B52,4,2))),IF(MID(raw_data!B52,3,1)="-",DATE(VALUE(RIGHT(raw_data!B52,4)),VALUE(MID(raw_data!B52,4,2)),VALUE(LEFT(raw_data!B52,2))),IF(MID(raw_data!B52,5,1)="-",DATE(VALUE(LEFT(raw_data!B52,4)),VALUE(MID(raw_data!B52,6,2)),VALUE(RIGHT(raw_data!B52,2))),DATE(VALUE(RIGHT(raw_data!B52,4)),MATCH(MID(raw_data!B52,4,3),{"Jan","Feb","Mar","Apr","May","Jun","Jul","Aug","Sep","Oct","Nov","Dec"},0),VALUE(LEFT(raw_data!B52,2)))))),"")</f>
        <v>45788</v>
      </c>
      <c r="C52" s="4" t="n">
        <f aca="false">IFERROR(IF(MID(raw_data!C52,3,1)="/",DATE(VALUE(RIGHT(raw_data!C52,4)),VALUE(LEFT(raw_data!C52,2)),VALUE(MID(raw_data!C52,4,2))),IF(MID(raw_data!C52,3,1)="-",DATE(VALUE(RIGHT(raw_data!C52,4)),VALUE(MID(raw_data!C52,4,2)),VALUE(LEFT(raw_data!C52,2))),IF(MID(raw_data!C52,5,1)="-",DATE(VALUE(LEFT(raw_data!C52,4)),VALUE(MID(raw_data!C52,6,2)),VALUE(RIGHT(raw_data!C52,2))),DATE(VALUE(RIGHT(raw_data!C52,4)),MATCH(MID(raw_data!C52,4,3),{"Jan","Feb","Mar","Apr","May","Jun","Jul","Aug","Sep","Oct","Nov","Dec"},0),VALUE(LEFT(raw_data!C52,2)))))),"")</f>
        <v>45796</v>
      </c>
      <c r="D52" s="3" t="str">
        <f aca="false">IF(TRIM(raw_data!B52)="","Missing",IF(B52="","Invalid/Unrecognized","Valid"))</f>
        <v>Valid</v>
      </c>
      <c r="E52" s="3" t="str">
        <f aca="false">IF(TRIM(raw_data!C52)="","Missing",IF(C52="","Invalid/Unrecognized","Valid"))</f>
        <v>Valid</v>
      </c>
      <c r="F52" s="5" t="n">
        <f aca="false">IF(OR(B52="",C52=""),"",C52-B52)</f>
        <v>8</v>
      </c>
      <c r="G52" s="3" t="str">
        <f aca="false">IF(F52="","N/A",IF(F52&lt;0,"Invalid - Ship Before Order","OK"))</f>
        <v>OK</v>
      </c>
      <c r="H52" s="3" t="str">
        <f aca="false">raw_data!D52</f>
        <v>CUST-8787</v>
      </c>
      <c r="I52" s="3" t="str">
        <f aca="false">PROPER(TRIM(raw_data!E52))</f>
        <v>Sneha Kapoor</v>
      </c>
      <c r="J52" s="3" t="str">
        <f aca="false">PROPER(TRIM(raw_data!F52))</f>
        <v>Consumer</v>
      </c>
      <c r="K52" s="3" t="str">
        <f aca="false">IF(TRIM(raw_data!G52)="","Unknown",PROPER(TRIM(raw_data!G52)))</f>
        <v>East</v>
      </c>
      <c r="L52" s="3" t="str">
        <f aca="false">IF(TRIM(raw_data!G52)="","Filled - Unknown","OK")</f>
        <v>OK</v>
      </c>
      <c r="M52" s="3" t="str">
        <f aca="false">PROPER(TRIM(raw_data!H52))</f>
        <v>West Bengal</v>
      </c>
      <c r="N52" s="3" t="str">
        <f aca="false">PROPER(TRIM(raw_data!I52))</f>
        <v>Kolkata</v>
      </c>
      <c r="O52" s="3" t="str">
        <f aca="false">PROPER(TRIM(raw_data!J52))</f>
        <v>Technology</v>
      </c>
      <c r="P52" s="3" t="str">
        <f aca="false">PROPER(TRIM(raw_data!K52))</f>
        <v>Copiers</v>
      </c>
      <c r="Q52" s="3" t="str">
        <f aca="false">TRIM(raw_data!L52)</f>
        <v>Pro Copiers 963</v>
      </c>
      <c r="R52" s="3" t="str">
        <f aca="false">IF(TRIM(raw_data!M52)="","Unknown",PROPER(TRIM(raw_data!M52)))</f>
        <v>Standard Class</v>
      </c>
      <c r="S52" s="3" t="str">
        <f aca="false">IF(TRIM(raw_data!M52)="","Filled - Unknown","OK")</f>
        <v>OK</v>
      </c>
      <c r="T52" s="6" t="n">
        <f aca="false">raw_data!N52</f>
        <v>1</v>
      </c>
      <c r="U52" s="7" t="n">
        <f aca="false">raw_data!O52</f>
        <v>2382.8</v>
      </c>
      <c r="V52" s="8" t="n">
        <f aca="false">raw_data!P52</f>
        <v>0.15</v>
      </c>
      <c r="W52" s="8" t="n">
        <f aca="false">IF(raw_data!P52="",0,IF(ISTEXT(raw_data!P52),IF(RIGHT(raw_data!P52,1)="%",VALUE(LEFT(raw_data!P52,LEN(raw_data!P52)-1))/100,VALUE(raw_data!P52)),raw_data!P52))</f>
        <v>0.15</v>
      </c>
      <c r="X52" s="3" t="str">
        <f aca="false">IF(raw_data!P52="","Missing - Defaulted to 0",IF(W52&lt;0,"Negative - Invalid",IF(W52&gt;0.3,"Above Allowed Range - Invalid","Valid")))</f>
        <v>Valid</v>
      </c>
      <c r="Y52" s="7" t="n">
        <f aca="false">raw_data!Q52</f>
        <v>2025.38</v>
      </c>
      <c r="Z52" s="7" t="n">
        <f aca="false">raw_data!R52</f>
        <v>1140.65</v>
      </c>
      <c r="AA52" s="7" t="n">
        <f aca="false">raw_data!S52</f>
        <v>884.73</v>
      </c>
      <c r="AB52" s="3" t="str">
        <f aca="false">PROPER(TRIM(raw_data!T52))</f>
        <v>Paid</v>
      </c>
      <c r="AC52" s="3" t="str">
        <f aca="false">PROPER(TRIM(raw_data!U52))</f>
        <v>Completed</v>
      </c>
      <c r="AD52" s="7" t="n">
        <f aca="false">T52*U52*(1-W52)</f>
        <v>2025.38</v>
      </c>
      <c r="AE52" s="7" t="n">
        <f aca="false">AD52-Z52</f>
        <v>884.73</v>
      </c>
      <c r="AF52" s="8" t="n">
        <f aca="false">IF(AD52=0,0,AE52/AD52)</f>
        <v>0.436821732218152</v>
      </c>
      <c r="AG52" s="3" t="str">
        <f aca="false">IF(ABS(Y52-AD52)&gt;1,"Mismatch","OK")</f>
        <v>OK</v>
      </c>
      <c r="AH52" s="3" t="str">
        <f aca="false">IF(ABS(AA52-AE52)&gt;1,"Mismatch","OK")</f>
        <v>OK</v>
      </c>
      <c r="AI52" s="6" t="n">
        <f aca="false">IF(B52="","",MONTH(B52))</f>
        <v>5</v>
      </c>
      <c r="AJ52" s="6" t="n">
        <f aca="false">IF(B52="","",YEAR(B52))</f>
        <v>2025</v>
      </c>
      <c r="AK52" s="3" t="str">
        <f aca="false">IF(COUNTIF(raw_data!$A$2:$A$913,A52)&gt;1,"Conflicting Duplicate - Flagged for Review","Unique")</f>
        <v>Unique</v>
      </c>
      <c r="AL52" s="3" t="str">
        <f aca="false">IF(AB52="Refunded","Yes","No")</f>
        <v>No</v>
      </c>
      <c r="AM52" s="3" t="str">
        <f aca="false">IF(OR(AC52&lt;&gt;"Completed",AB52="Failed"),"Excluded","Included")</f>
        <v>Included</v>
      </c>
      <c r="AN52" s="3" t="str">
        <f aca="false">IF(OR(D52="Invalid/Unrecognized",E52="Invalid/Unrecognized",G52="Invalid - Ship Before Order",X52="Negative - Invalid",X52="Above Allowed Range - Invalid",AG52="Mismatch",AH52="Mismatch",AK52="Conflicting Duplicate - Flagged for Review"),"Invalid",IF(OR(L52="Filled - Unknown",S52="Filled - Unknown",X52="Missing - Defaulted to 0",AL52="Yes",AC52="Cancelled",AC52="Returned"),"Warning","Clean"))</f>
        <v>Clean</v>
      </c>
    </row>
    <row r="53" customFormat="false" ht="15" hidden="false" customHeight="false" outlineLevel="0" collapsed="false">
      <c r="A53" s="3" t="str">
        <f aca="false">raw_data!A53</f>
        <v>ORD-2024-10052</v>
      </c>
      <c r="B53" s="4" t="n">
        <f aca="false">IFERROR(IF(MID(raw_data!B53,3,1)="/",DATE(VALUE(RIGHT(raw_data!B53,4)),VALUE(LEFT(raw_data!B53,2)),VALUE(MID(raw_data!B53,4,2))),IF(MID(raw_data!B53,3,1)="-",DATE(VALUE(RIGHT(raw_data!B53,4)),VALUE(MID(raw_data!B53,4,2)),VALUE(LEFT(raw_data!B53,2))),IF(MID(raw_data!B53,5,1)="-",DATE(VALUE(LEFT(raw_data!B53,4)),VALUE(MID(raw_data!B53,6,2)),VALUE(RIGHT(raw_data!B53,2))),DATE(VALUE(RIGHT(raw_data!B53,4)),MATCH(MID(raw_data!B53,4,3),{"Jan","Feb","Mar","Apr","May","Jun","Jul","Aug","Sep","Oct","Nov","Dec"},0),VALUE(LEFT(raw_data!B53,2)))))),"")</f>
        <v>45406</v>
      </c>
      <c r="C53" s="4" t="n">
        <f aca="false">IFERROR(IF(MID(raw_data!C53,3,1)="/",DATE(VALUE(RIGHT(raw_data!C53,4)),VALUE(LEFT(raw_data!C53,2)),VALUE(MID(raw_data!C53,4,2))),IF(MID(raw_data!C53,3,1)="-",DATE(VALUE(RIGHT(raw_data!C53,4)),VALUE(MID(raw_data!C53,4,2)),VALUE(LEFT(raw_data!C53,2))),IF(MID(raw_data!C53,5,1)="-",DATE(VALUE(LEFT(raw_data!C53,4)),VALUE(MID(raw_data!C53,6,2)),VALUE(RIGHT(raw_data!C53,2))),DATE(VALUE(RIGHT(raw_data!C53,4)),MATCH(MID(raw_data!C53,4,3),{"Jan","Feb","Mar","Apr","May","Jun","Jul","Aug","Sep","Oct","Nov","Dec"},0),VALUE(LEFT(raw_data!C53,2)))))),"")</f>
        <v>45411</v>
      </c>
      <c r="D53" s="3" t="str">
        <f aca="false">IF(TRIM(raw_data!B53)="","Missing",IF(B53="","Invalid/Unrecognized","Valid"))</f>
        <v>Valid</v>
      </c>
      <c r="E53" s="3" t="str">
        <f aca="false">IF(TRIM(raw_data!C53)="","Missing",IF(C53="","Invalid/Unrecognized","Valid"))</f>
        <v>Valid</v>
      </c>
      <c r="F53" s="5" t="n">
        <f aca="false">IF(OR(B53="",C53=""),"",C53-B53)</f>
        <v>5</v>
      </c>
      <c r="G53" s="3" t="str">
        <f aca="false">IF(F53="","N/A",IF(F53&lt;0,"Invalid - Ship Before Order","OK"))</f>
        <v>OK</v>
      </c>
      <c r="H53" s="3" t="str">
        <f aca="false">raw_data!D53</f>
        <v>CUST-3557</v>
      </c>
      <c r="I53" s="3" t="str">
        <f aca="false">PROPER(TRIM(raw_data!E53))</f>
        <v>Ananya Rao</v>
      </c>
      <c r="J53" s="3" t="str">
        <f aca="false">PROPER(TRIM(raw_data!F53))</f>
        <v>Corporate</v>
      </c>
      <c r="K53" s="3" t="str">
        <f aca="false">IF(TRIM(raw_data!G53)="","Unknown",PROPER(TRIM(raw_data!G53)))</f>
        <v>South</v>
      </c>
      <c r="L53" s="3" t="str">
        <f aca="false">IF(TRIM(raw_data!G53)="","Filled - Unknown","OK")</f>
        <v>OK</v>
      </c>
      <c r="M53" s="3" t="str">
        <f aca="false">PROPER(TRIM(raw_data!H53))</f>
        <v>Telangana</v>
      </c>
      <c r="N53" s="3" t="str">
        <f aca="false">PROPER(TRIM(raw_data!I53))</f>
        <v>Hyderabad</v>
      </c>
      <c r="O53" s="3" t="str">
        <f aca="false">PROPER(TRIM(raw_data!J53))</f>
        <v>Office Supplies</v>
      </c>
      <c r="P53" s="3" t="str">
        <f aca="false">PROPER(TRIM(raw_data!K53))</f>
        <v>Art</v>
      </c>
      <c r="Q53" s="3" t="str">
        <f aca="false">TRIM(raw_data!L53)</f>
        <v>Pro Art 907</v>
      </c>
      <c r="R53" s="3" t="str">
        <f aca="false">IF(TRIM(raw_data!M53)="","Unknown",PROPER(TRIM(raw_data!M53)))</f>
        <v>Standard Class</v>
      </c>
      <c r="S53" s="3" t="str">
        <f aca="false">IF(TRIM(raw_data!M53)="","Filled - Unknown","OK")</f>
        <v>OK</v>
      </c>
      <c r="T53" s="6" t="n">
        <f aca="false">raw_data!N53</f>
        <v>6</v>
      </c>
      <c r="U53" s="7" t="n">
        <f aca="false">raw_data!O53</f>
        <v>1528.08</v>
      </c>
      <c r="V53" s="8" t="n">
        <f aca="false">raw_data!P53</f>
        <v>0</v>
      </c>
      <c r="W53" s="8" t="n">
        <f aca="false">IF(raw_data!P53="",0,IF(ISTEXT(raw_data!P53),IF(RIGHT(raw_data!P53,1)="%",VALUE(LEFT(raw_data!P53,LEN(raw_data!P53)-1))/100,VALUE(raw_data!P53)),raw_data!P53))</f>
        <v>0</v>
      </c>
      <c r="X53" s="3" t="str">
        <f aca="false">IF(raw_data!P53="","Missing - Defaulted to 0",IF(W53&lt;0,"Negative - Invalid",IF(W53&gt;0.3,"Above Allowed Range - Invalid","Valid")))</f>
        <v>Valid</v>
      </c>
      <c r="Y53" s="7" t="n">
        <f aca="false">raw_data!Q53</f>
        <v>9168.48</v>
      </c>
      <c r="Z53" s="7" t="n">
        <f aca="false">raw_data!R53</f>
        <v>7439.77</v>
      </c>
      <c r="AA53" s="7" t="n">
        <f aca="false">raw_data!S53</f>
        <v>1728.71</v>
      </c>
      <c r="AB53" s="3" t="str">
        <f aca="false">PROPER(TRIM(raw_data!T53))</f>
        <v>Paid</v>
      </c>
      <c r="AC53" s="3" t="str">
        <f aca="false">PROPER(TRIM(raw_data!U53))</f>
        <v>Completed</v>
      </c>
      <c r="AD53" s="7" t="n">
        <f aca="false">T53*U53*(1-W53)</f>
        <v>9168.48</v>
      </c>
      <c r="AE53" s="7" t="n">
        <f aca="false">AD53-Z53</f>
        <v>1728.71</v>
      </c>
      <c r="AF53" s="8" t="n">
        <f aca="false">IF(AD53=0,0,AE53/AD53)</f>
        <v>0.188549246985324</v>
      </c>
      <c r="AG53" s="3" t="str">
        <f aca="false">IF(ABS(Y53-AD53)&gt;1,"Mismatch","OK")</f>
        <v>OK</v>
      </c>
      <c r="AH53" s="3" t="str">
        <f aca="false">IF(ABS(AA53-AE53)&gt;1,"Mismatch","OK")</f>
        <v>OK</v>
      </c>
      <c r="AI53" s="6" t="n">
        <f aca="false">IF(B53="","",MONTH(B53))</f>
        <v>4</v>
      </c>
      <c r="AJ53" s="6" t="n">
        <f aca="false">IF(B53="","",YEAR(B53))</f>
        <v>2024</v>
      </c>
      <c r="AK53" s="3" t="str">
        <f aca="false">IF(COUNTIF(raw_data!$A$2:$A$913,A53)&gt;1,"Conflicting Duplicate - Flagged for Review","Unique")</f>
        <v>Unique</v>
      </c>
      <c r="AL53" s="3" t="str">
        <f aca="false">IF(AB53="Refunded","Yes","No")</f>
        <v>No</v>
      </c>
      <c r="AM53" s="3" t="str">
        <f aca="false">IF(OR(AC53&lt;&gt;"Completed",AB53="Failed"),"Excluded","Included")</f>
        <v>Included</v>
      </c>
      <c r="AN53" s="3" t="str">
        <f aca="false">IF(OR(D53="Invalid/Unrecognized",E53="Invalid/Unrecognized",G53="Invalid - Ship Before Order",X53="Negative - Invalid",X53="Above Allowed Range - Invalid",AG53="Mismatch",AH53="Mismatch",AK53="Conflicting Duplicate - Flagged for Review"),"Invalid",IF(OR(L53="Filled - Unknown",S53="Filled - Unknown",X53="Missing - Defaulted to 0",AL53="Yes",AC53="Cancelled",AC53="Returned"),"Warning","Clean"))</f>
        <v>Clean</v>
      </c>
    </row>
    <row r="54" customFormat="false" ht="15" hidden="false" customHeight="false" outlineLevel="0" collapsed="false">
      <c r="A54" s="3" t="str">
        <f aca="false">raw_data!A54</f>
        <v>ORD-2024-10053</v>
      </c>
      <c r="B54" s="4" t="n">
        <f aca="false">IFERROR(IF(MID(raw_data!B54,3,1)="/",DATE(VALUE(RIGHT(raw_data!B54,4)),VALUE(LEFT(raw_data!B54,2)),VALUE(MID(raw_data!B54,4,2))),IF(MID(raw_data!B54,3,1)="-",DATE(VALUE(RIGHT(raw_data!B54,4)),VALUE(MID(raw_data!B54,4,2)),VALUE(LEFT(raw_data!B54,2))),IF(MID(raw_data!B54,5,1)="-",DATE(VALUE(LEFT(raw_data!B54,4)),VALUE(MID(raw_data!B54,6,2)),VALUE(RIGHT(raw_data!B54,2))),DATE(VALUE(RIGHT(raw_data!B54,4)),MATCH(MID(raw_data!B54,4,3),{"Jan","Feb","Mar","Apr","May","Jun","Jul","Aug","Sep","Oct","Nov","Dec"},0),VALUE(LEFT(raw_data!B54,2)))))),"")</f>
        <v>45591</v>
      </c>
      <c r="C54" s="4" t="n">
        <f aca="false">IFERROR(IF(MID(raw_data!C54,3,1)="/",DATE(VALUE(RIGHT(raw_data!C54,4)),VALUE(LEFT(raw_data!C54,2)),VALUE(MID(raw_data!C54,4,2))),IF(MID(raw_data!C54,3,1)="-",DATE(VALUE(RIGHT(raw_data!C54,4)),VALUE(MID(raw_data!C54,4,2)),VALUE(LEFT(raw_data!C54,2))),IF(MID(raw_data!C54,5,1)="-",DATE(VALUE(LEFT(raw_data!C54,4)),VALUE(MID(raw_data!C54,6,2)),VALUE(RIGHT(raw_data!C54,2))),DATE(VALUE(RIGHT(raw_data!C54,4)),MATCH(MID(raw_data!C54,4,3),{"Jan","Feb","Mar","Apr","May","Jun","Jul","Aug","Sep","Oct","Nov","Dec"},0),VALUE(LEFT(raw_data!C54,2)))))),"")</f>
        <v>45593</v>
      </c>
      <c r="D54" s="3" t="str">
        <f aca="false">IF(TRIM(raw_data!B54)="","Missing",IF(B54="","Invalid/Unrecognized","Valid"))</f>
        <v>Valid</v>
      </c>
      <c r="E54" s="3" t="str">
        <f aca="false">IF(TRIM(raw_data!C54)="","Missing",IF(C54="","Invalid/Unrecognized","Valid"))</f>
        <v>Valid</v>
      </c>
      <c r="F54" s="5" t="n">
        <f aca="false">IF(OR(B54="",C54=""),"",C54-B54)</f>
        <v>2</v>
      </c>
      <c r="G54" s="3" t="str">
        <f aca="false">IF(F54="","N/A",IF(F54&lt;0,"Invalid - Ship Before Order","OK"))</f>
        <v>OK</v>
      </c>
      <c r="H54" s="3" t="str">
        <f aca="false">raw_data!D54</f>
        <v>CUST-2778</v>
      </c>
      <c r="I54" s="3" t="str">
        <f aca="false">PROPER(TRIM(raw_data!E54))</f>
        <v>Kabir Singh</v>
      </c>
      <c r="J54" s="3" t="str">
        <f aca="false">PROPER(TRIM(raw_data!F54))</f>
        <v>Small Business</v>
      </c>
      <c r="K54" s="3" t="str">
        <f aca="false">IF(TRIM(raw_data!G54)="","Unknown",PROPER(TRIM(raw_data!G54)))</f>
        <v>North</v>
      </c>
      <c r="L54" s="3" t="str">
        <f aca="false">IF(TRIM(raw_data!G54)="","Filled - Unknown","OK")</f>
        <v>OK</v>
      </c>
      <c r="M54" s="3" t="str">
        <f aca="false">PROPER(TRIM(raw_data!H54))</f>
        <v>Rajasthan</v>
      </c>
      <c r="N54" s="3" t="str">
        <f aca="false">PROPER(TRIM(raw_data!I54))</f>
        <v>Jaipur</v>
      </c>
      <c r="O54" s="3" t="str">
        <f aca="false">PROPER(TRIM(raw_data!J54))</f>
        <v>Furniture</v>
      </c>
      <c r="P54" s="3" t="str">
        <f aca="false">PROPER(TRIM(raw_data!K54))</f>
        <v>Chairs</v>
      </c>
      <c r="Q54" s="3" t="str">
        <f aca="false">TRIM(raw_data!L54)</f>
        <v>Pro Chairs 526</v>
      </c>
      <c r="R54" s="3" t="str">
        <f aca="false">IF(TRIM(raw_data!M54)="","Unknown",PROPER(TRIM(raw_data!M54)))</f>
        <v>First Class</v>
      </c>
      <c r="S54" s="3" t="str">
        <f aca="false">IF(TRIM(raw_data!M54)="","Filled - Unknown","OK")</f>
        <v>OK</v>
      </c>
      <c r="T54" s="6" t="n">
        <f aca="false">raw_data!N54</f>
        <v>9</v>
      </c>
      <c r="U54" s="7" t="n">
        <f aca="false">raw_data!O54</f>
        <v>1399.63</v>
      </c>
      <c r="V54" s="8" t="n">
        <f aca="false">raw_data!P54</f>
        <v>0</v>
      </c>
      <c r="W54" s="8" t="n">
        <f aca="false">IF(raw_data!P54="",0,IF(ISTEXT(raw_data!P54),IF(RIGHT(raw_data!P54,1)="%",VALUE(LEFT(raw_data!P54,LEN(raw_data!P54)-1))/100,VALUE(raw_data!P54)),raw_data!P54))</f>
        <v>0</v>
      </c>
      <c r="X54" s="3" t="str">
        <f aca="false">IF(raw_data!P54="","Missing - Defaulted to 0",IF(W54&lt;0,"Negative - Invalid",IF(W54&gt;0.3,"Above Allowed Range - Invalid","Valid")))</f>
        <v>Valid</v>
      </c>
      <c r="Y54" s="7" t="n">
        <f aca="false">raw_data!Q54</f>
        <v>12596.67</v>
      </c>
      <c r="Z54" s="7" t="n">
        <f aca="false">raw_data!R54</f>
        <v>10603.29</v>
      </c>
      <c r="AA54" s="7" t="n">
        <f aca="false">raw_data!S54</f>
        <v>1993.38</v>
      </c>
      <c r="AB54" s="3" t="str">
        <f aca="false">PROPER(TRIM(raw_data!T54))</f>
        <v>Failed</v>
      </c>
      <c r="AC54" s="3" t="str">
        <f aca="false">PROPER(TRIM(raw_data!U54))</f>
        <v>Cancelled</v>
      </c>
      <c r="AD54" s="7" t="n">
        <f aca="false">T54*U54*(1-W54)</f>
        <v>12596.67</v>
      </c>
      <c r="AE54" s="7" t="n">
        <f aca="false">AD54-Z54</f>
        <v>1993.38</v>
      </c>
      <c r="AF54" s="8" t="n">
        <f aca="false">IF(AD54=0,0,AE54/AD54)</f>
        <v>0.158246584216305</v>
      </c>
      <c r="AG54" s="3" t="str">
        <f aca="false">IF(ABS(Y54-AD54)&gt;1,"Mismatch","OK")</f>
        <v>OK</v>
      </c>
      <c r="AH54" s="3" t="str">
        <f aca="false">IF(ABS(AA54-AE54)&gt;1,"Mismatch","OK")</f>
        <v>OK</v>
      </c>
      <c r="AI54" s="6" t="n">
        <f aca="false">IF(B54="","",MONTH(B54))</f>
        <v>10</v>
      </c>
      <c r="AJ54" s="6" t="n">
        <f aca="false">IF(B54="","",YEAR(B54))</f>
        <v>2024</v>
      </c>
      <c r="AK54" s="3" t="str">
        <f aca="false">IF(COUNTIF(raw_data!$A$2:$A$913,A54)&gt;1,"Conflicting Duplicate - Flagged for Review","Unique")</f>
        <v>Unique</v>
      </c>
      <c r="AL54" s="3" t="str">
        <f aca="false">IF(AB54="Refunded","Yes","No")</f>
        <v>No</v>
      </c>
      <c r="AM54" s="3" t="str">
        <f aca="false">IF(OR(AC54&lt;&gt;"Completed",AB54="Failed"),"Excluded","Included")</f>
        <v>Excluded</v>
      </c>
      <c r="AN54" s="3" t="str">
        <f aca="false">IF(OR(D54="Invalid/Unrecognized",E54="Invalid/Unrecognized",G54="Invalid - Ship Before Order",X54="Negative - Invalid",X54="Above Allowed Range - Invalid",AG54="Mismatch",AH54="Mismatch",AK54="Conflicting Duplicate - Flagged for Review"),"Invalid",IF(OR(L54="Filled - Unknown",S54="Filled - Unknown",X54="Missing - Defaulted to 0",AL54="Yes",AC54="Cancelled",AC54="Returned"),"Warning","Clean"))</f>
        <v>Warning</v>
      </c>
    </row>
    <row r="55" customFormat="false" ht="15" hidden="false" customHeight="false" outlineLevel="0" collapsed="false">
      <c r="A55" s="3" t="str">
        <f aca="false">raw_data!A55</f>
        <v>ORD-2025-10054</v>
      </c>
      <c r="B55" s="4" t="n">
        <f aca="false">IFERROR(IF(MID(raw_data!B55,3,1)="/",DATE(VALUE(RIGHT(raw_data!B55,4)),VALUE(LEFT(raw_data!B55,2)),VALUE(MID(raw_data!B55,4,2))),IF(MID(raw_data!B55,3,1)="-",DATE(VALUE(RIGHT(raw_data!B55,4)),VALUE(MID(raw_data!B55,4,2)),VALUE(LEFT(raw_data!B55,2))),IF(MID(raw_data!B55,5,1)="-",DATE(VALUE(LEFT(raw_data!B55,4)),VALUE(MID(raw_data!B55,6,2)),VALUE(RIGHT(raw_data!B55,2))),DATE(VALUE(RIGHT(raw_data!B55,4)),MATCH(MID(raw_data!B55,4,3),{"Jan","Feb","Mar","Apr","May","Jun","Jul","Aug","Sep","Oct","Nov","Dec"},0),VALUE(LEFT(raw_data!B55,2)))))),"")</f>
        <v>45747</v>
      </c>
      <c r="C55" s="4" t="n">
        <f aca="false">IFERROR(IF(MID(raw_data!C55,3,1)="/",DATE(VALUE(RIGHT(raw_data!C55,4)),VALUE(LEFT(raw_data!C55,2)),VALUE(MID(raw_data!C55,4,2))),IF(MID(raw_data!C55,3,1)="-",DATE(VALUE(RIGHT(raw_data!C55,4)),VALUE(MID(raw_data!C55,4,2)),VALUE(LEFT(raw_data!C55,2))),IF(MID(raw_data!C55,5,1)="-",DATE(VALUE(LEFT(raw_data!C55,4)),VALUE(MID(raw_data!C55,6,2)),VALUE(RIGHT(raw_data!C55,2))),DATE(VALUE(RIGHT(raw_data!C55,4)),MATCH(MID(raw_data!C55,4,3),{"Jan","Feb","Mar","Apr","May","Jun","Jul","Aug","Sep","Oct","Nov","Dec"},0),VALUE(LEFT(raw_data!C55,2)))))),"")</f>
        <v>45747</v>
      </c>
      <c r="D55" s="3" t="str">
        <f aca="false">IF(TRIM(raw_data!B55)="","Missing",IF(B55="","Invalid/Unrecognized","Valid"))</f>
        <v>Valid</v>
      </c>
      <c r="E55" s="3" t="str">
        <f aca="false">IF(TRIM(raw_data!C55)="","Missing",IF(C55="","Invalid/Unrecognized","Valid"))</f>
        <v>Valid</v>
      </c>
      <c r="F55" s="5" t="n">
        <f aca="false">IF(OR(B55="",C55=""),"",C55-B55)</f>
        <v>0</v>
      </c>
      <c r="G55" s="3" t="str">
        <f aca="false">IF(F55="","N/A",IF(F55&lt;0,"Invalid - Ship Before Order","OK"))</f>
        <v>OK</v>
      </c>
      <c r="H55" s="3" t="str">
        <f aca="false">raw_data!D55</f>
        <v>CUST-7195</v>
      </c>
      <c r="I55" s="3" t="str">
        <f aca="false">PROPER(TRIM(raw_data!E55))</f>
        <v>Kabir Singh</v>
      </c>
      <c r="J55" s="3" t="str">
        <f aca="false">PROPER(TRIM(raw_data!F55))</f>
        <v>Home Office</v>
      </c>
      <c r="K55" s="3" t="str">
        <f aca="false">IF(TRIM(raw_data!G55)="","Unknown",PROPER(TRIM(raw_data!G55)))</f>
        <v>West</v>
      </c>
      <c r="L55" s="3" t="str">
        <f aca="false">IF(TRIM(raw_data!G55)="","Filled - Unknown","OK")</f>
        <v>OK</v>
      </c>
      <c r="M55" s="3" t="str">
        <f aca="false">PROPER(TRIM(raw_data!H55))</f>
        <v>Gujarat</v>
      </c>
      <c r="N55" s="3" t="str">
        <f aca="false">PROPER(TRIM(raw_data!I55))</f>
        <v>Ahmedabad</v>
      </c>
      <c r="O55" s="3" t="str">
        <f aca="false">PROPER(TRIM(raw_data!J55))</f>
        <v>Office Supplies</v>
      </c>
      <c r="P55" s="3" t="str">
        <f aca="false">PROPER(TRIM(raw_data!K55))</f>
        <v>Storage</v>
      </c>
      <c r="Q55" s="3" t="str">
        <f aca="false">TRIM(raw_data!L55)</f>
        <v>Elite Storage 924</v>
      </c>
      <c r="R55" s="3" t="str">
        <f aca="false">IF(TRIM(raw_data!M55)="","Unknown",PROPER(TRIM(raw_data!M55)))</f>
        <v>First Class</v>
      </c>
      <c r="S55" s="3" t="str">
        <f aca="false">IF(TRIM(raw_data!M55)="","Filled - Unknown","OK")</f>
        <v>OK</v>
      </c>
      <c r="T55" s="6" t="n">
        <f aca="false">raw_data!N55</f>
        <v>5</v>
      </c>
      <c r="U55" s="7" t="n">
        <f aca="false">raw_data!O55</f>
        <v>1207.47</v>
      </c>
      <c r="V55" s="8" t="n">
        <f aca="false">raw_data!P55</f>
        <v>0.15</v>
      </c>
      <c r="W55" s="8" t="n">
        <f aca="false">IF(raw_data!P55="",0,IF(ISTEXT(raw_data!P55),IF(RIGHT(raw_data!P55,1)="%",VALUE(LEFT(raw_data!P55,LEN(raw_data!P55)-1))/100,VALUE(raw_data!P55)),raw_data!P55))</f>
        <v>0.15</v>
      </c>
      <c r="X55" s="3" t="str">
        <f aca="false">IF(raw_data!P55="","Missing - Defaulted to 0",IF(W55&lt;0,"Negative - Invalid",IF(W55&gt;0.3,"Above Allowed Range - Invalid","Valid")))</f>
        <v>Valid</v>
      </c>
      <c r="Y55" s="7" t="n">
        <f aca="false">raw_data!Q55</f>
        <v>5131.75</v>
      </c>
      <c r="Z55" s="7" t="n">
        <f aca="false">raw_data!R55</f>
        <v>2838.68</v>
      </c>
      <c r="AA55" s="7" t="n">
        <f aca="false">raw_data!S55</f>
        <v>2293.07</v>
      </c>
      <c r="AB55" s="3" t="str">
        <f aca="false">PROPER(TRIM(raw_data!T55))</f>
        <v>Paid</v>
      </c>
      <c r="AC55" s="3" t="str">
        <f aca="false">PROPER(TRIM(raw_data!U55))</f>
        <v>Completed</v>
      </c>
      <c r="AD55" s="7" t="n">
        <f aca="false">T55*U55*(1-W55)</f>
        <v>5131.7475</v>
      </c>
      <c r="AE55" s="7" t="n">
        <f aca="false">AD55-Z55</f>
        <v>2293.0675</v>
      </c>
      <c r="AF55" s="8" t="n">
        <f aca="false">IF(AD55=0,0,AE55/AD55)</f>
        <v>0.446839502528135</v>
      </c>
      <c r="AG55" s="3" t="str">
        <f aca="false">IF(ABS(Y55-AD55)&gt;1,"Mismatch","OK")</f>
        <v>OK</v>
      </c>
      <c r="AH55" s="3" t="str">
        <f aca="false">IF(ABS(AA55-AE55)&gt;1,"Mismatch","OK")</f>
        <v>OK</v>
      </c>
      <c r="AI55" s="6" t="n">
        <f aca="false">IF(B55="","",MONTH(B55))</f>
        <v>3</v>
      </c>
      <c r="AJ55" s="6" t="n">
        <f aca="false">IF(B55="","",YEAR(B55))</f>
        <v>2025</v>
      </c>
      <c r="AK55" s="3" t="str">
        <f aca="false">IF(COUNTIF(raw_data!$A$2:$A$913,A55)&gt;1,"Conflicting Duplicate - Flagged for Review","Unique")</f>
        <v>Unique</v>
      </c>
      <c r="AL55" s="3" t="str">
        <f aca="false">IF(AB55="Refunded","Yes","No")</f>
        <v>No</v>
      </c>
      <c r="AM55" s="3" t="str">
        <f aca="false">IF(OR(AC55&lt;&gt;"Completed",AB55="Failed"),"Excluded","Included")</f>
        <v>Included</v>
      </c>
      <c r="AN55" s="3" t="str">
        <f aca="false">IF(OR(D55="Invalid/Unrecognized",E55="Invalid/Unrecognized",G55="Invalid - Ship Before Order",X55="Negative - Invalid",X55="Above Allowed Range - Invalid",AG55="Mismatch",AH55="Mismatch",AK55="Conflicting Duplicate - Flagged for Review"),"Invalid",IF(OR(L55="Filled - Unknown",S55="Filled - Unknown",X55="Missing - Defaulted to 0",AL55="Yes",AC55="Cancelled",AC55="Returned"),"Warning","Clean"))</f>
        <v>Clean</v>
      </c>
    </row>
    <row r="56" customFormat="false" ht="15" hidden="false" customHeight="false" outlineLevel="0" collapsed="false">
      <c r="A56" s="3" t="str">
        <f aca="false">raw_data!A56</f>
        <v>ORD-2025-10055</v>
      </c>
      <c r="B56" s="4" t="n">
        <f aca="false">IFERROR(IF(MID(raw_data!B56,3,1)="/",DATE(VALUE(RIGHT(raw_data!B56,4)),VALUE(LEFT(raw_data!B56,2)),VALUE(MID(raw_data!B56,4,2))),IF(MID(raw_data!B56,3,1)="-",DATE(VALUE(RIGHT(raw_data!B56,4)),VALUE(MID(raw_data!B56,4,2)),VALUE(LEFT(raw_data!B56,2))),IF(MID(raw_data!B56,5,1)="-",DATE(VALUE(LEFT(raw_data!B56,4)),VALUE(MID(raw_data!B56,6,2)),VALUE(RIGHT(raw_data!B56,2))),DATE(VALUE(RIGHT(raw_data!B56,4)),MATCH(MID(raw_data!B56,4,3),{"Jan","Feb","Mar","Apr","May","Jun","Jul","Aug","Sep","Oct","Nov","Dec"},0),VALUE(LEFT(raw_data!B56,2)))))),"")</f>
        <v>45807</v>
      </c>
      <c r="C56" s="4" t="n">
        <f aca="false">IFERROR(IF(MID(raw_data!C56,3,1)="/",DATE(VALUE(RIGHT(raw_data!C56,4)),VALUE(LEFT(raw_data!C56,2)),VALUE(MID(raw_data!C56,4,2))),IF(MID(raw_data!C56,3,1)="-",DATE(VALUE(RIGHT(raw_data!C56,4)),VALUE(MID(raw_data!C56,4,2)),VALUE(LEFT(raw_data!C56,2))),IF(MID(raw_data!C56,5,1)="-",DATE(VALUE(LEFT(raw_data!C56,4)),VALUE(MID(raw_data!C56,6,2)),VALUE(RIGHT(raw_data!C56,2))),DATE(VALUE(RIGHT(raw_data!C56,4)),MATCH(MID(raw_data!C56,4,3),{"Jan","Feb","Mar","Apr","May","Jun","Jul","Aug","Sep","Oct","Nov","Dec"},0),VALUE(LEFT(raw_data!C56,2)))))),"")</f>
        <v>45810</v>
      </c>
      <c r="D56" s="3" t="str">
        <f aca="false">IF(TRIM(raw_data!B56)="","Missing",IF(B56="","Invalid/Unrecognized","Valid"))</f>
        <v>Valid</v>
      </c>
      <c r="E56" s="3" t="str">
        <f aca="false">IF(TRIM(raw_data!C56)="","Missing",IF(C56="","Invalid/Unrecognized","Valid"))</f>
        <v>Valid</v>
      </c>
      <c r="F56" s="5" t="n">
        <f aca="false">IF(OR(B56="",C56=""),"",C56-B56)</f>
        <v>3</v>
      </c>
      <c r="G56" s="3" t="str">
        <f aca="false">IF(F56="","N/A",IF(F56&lt;0,"Invalid - Ship Before Order","OK"))</f>
        <v>OK</v>
      </c>
      <c r="H56" s="3" t="str">
        <f aca="false">raw_data!D56</f>
        <v>CUST-9039</v>
      </c>
      <c r="I56" s="3" t="str">
        <f aca="false">PROPER(TRIM(raw_data!E56))</f>
        <v>Arjun Bose</v>
      </c>
      <c r="J56" s="3" t="str">
        <f aca="false">PROPER(TRIM(raw_data!F56))</f>
        <v>Corporate</v>
      </c>
      <c r="K56" s="3" t="str">
        <f aca="false">IF(TRIM(raw_data!G56)="","Unknown",PROPER(TRIM(raw_data!G56)))</f>
        <v>South</v>
      </c>
      <c r="L56" s="3" t="str">
        <f aca="false">IF(TRIM(raw_data!G56)="","Filled - Unknown","OK")</f>
        <v>OK</v>
      </c>
      <c r="M56" s="3" t="str">
        <f aca="false">PROPER(TRIM(raw_data!H56))</f>
        <v>Tamil Nadu</v>
      </c>
      <c r="N56" s="3" t="str">
        <f aca="false">PROPER(TRIM(raw_data!I56))</f>
        <v>Chennai</v>
      </c>
      <c r="O56" s="3" t="str">
        <f aca="false">PROPER(TRIM(raw_data!J56))</f>
        <v>Office Supplies</v>
      </c>
      <c r="P56" s="3" t="str">
        <f aca="false">PROPER(TRIM(raw_data!K56))</f>
        <v>Labels</v>
      </c>
      <c r="Q56" s="3" t="str">
        <f aca="false">TRIM(raw_data!L56)</f>
        <v>Pro Labels 957</v>
      </c>
      <c r="R56" s="3" t="str">
        <f aca="false">IF(TRIM(raw_data!M56)="","Unknown",PROPER(TRIM(raw_data!M56)))</f>
        <v>Same Day</v>
      </c>
      <c r="S56" s="3" t="str">
        <f aca="false">IF(TRIM(raw_data!M56)="","Filled - Unknown","OK")</f>
        <v>OK</v>
      </c>
      <c r="T56" s="6" t="n">
        <f aca="false">raw_data!N56</f>
        <v>8</v>
      </c>
      <c r="U56" s="7" t="n">
        <f aca="false">raw_data!O56</f>
        <v>474.37</v>
      </c>
      <c r="V56" s="8" t="n">
        <f aca="false">raw_data!P56</f>
        <v>0.1</v>
      </c>
      <c r="W56" s="8" t="n">
        <f aca="false">IF(raw_data!P56="",0,IF(ISTEXT(raw_data!P56),IF(RIGHT(raw_data!P56,1)="%",VALUE(LEFT(raw_data!P56,LEN(raw_data!P56)-1))/100,VALUE(raw_data!P56)),raw_data!P56))</f>
        <v>0.1</v>
      </c>
      <c r="X56" s="3" t="str">
        <f aca="false">IF(raw_data!P56="","Missing - Defaulted to 0",IF(W56&lt;0,"Negative - Invalid",IF(W56&gt;0.3,"Above Allowed Range - Invalid","Valid")))</f>
        <v>Valid</v>
      </c>
      <c r="Y56" s="7" t="n">
        <f aca="false">raw_data!Q56</f>
        <v>3415.46</v>
      </c>
      <c r="Z56" s="7" t="n">
        <f aca="false">raw_data!R56</f>
        <v>1993.23</v>
      </c>
      <c r="AA56" s="7" t="n">
        <f aca="false">raw_data!S56</f>
        <v>1422.23</v>
      </c>
      <c r="AB56" s="3" t="str">
        <f aca="false">PROPER(TRIM(raw_data!T56))</f>
        <v>Failed</v>
      </c>
      <c r="AC56" s="3" t="str">
        <f aca="false">PROPER(TRIM(raw_data!U56))</f>
        <v>Cancelled</v>
      </c>
      <c r="AD56" s="7" t="n">
        <f aca="false">T56*U56*(1-W56)</f>
        <v>3415.464</v>
      </c>
      <c r="AE56" s="7" t="n">
        <f aca="false">AD56-Z56</f>
        <v>1422.234</v>
      </c>
      <c r="AF56" s="8" t="n">
        <f aca="false">IF(AD56=0,0,AE56/AD56)</f>
        <v>0.416410186141619</v>
      </c>
      <c r="AG56" s="3" t="str">
        <f aca="false">IF(ABS(Y56-AD56)&gt;1,"Mismatch","OK")</f>
        <v>OK</v>
      </c>
      <c r="AH56" s="3" t="str">
        <f aca="false">IF(ABS(AA56-AE56)&gt;1,"Mismatch","OK")</f>
        <v>OK</v>
      </c>
      <c r="AI56" s="6" t="n">
        <f aca="false">IF(B56="","",MONTH(B56))</f>
        <v>5</v>
      </c>
      <c r="AJ56" s="6" t="n">
        <f aca="false">IF(B56="","",YEAR(B56))</f>
        <v>2025</v>
      </c>
      <c r="AK56" s="3" t="str">
        <f aca="false">IF(COUNTIF(raw_data!$A$2:$A$913,A56)&gt;1,"Conflicting Duplicate - Flagged for Review","Unique")</f>
        <v>Unique</v>
      </c>
      <c r="AL56" s="3" t="str">
        <f aca="false">IF(AB56="Refunded","Yes","No")</f>
        <v>No</v>
      </c>
      <c r="AM56" s="3" t="str">
        <f aca="false">IF(OR(AC56&lt;&gt;"Completed",AB56="Failed"),"Excluded","Included")</f>
        <v>Excluded</v>
      </c>
      <c r="AN56" s="3" t="str">
        <f aca="false">IF(OR(D56="Invalid/Unrecognized",E56="Invalid/Unrecognized",G56="Invalid - Ship Before Order",X56="Negative - Invalid",X56="Above Allowed Range - Invalid",AG56="Mismatch",AH56="Mismatch",AK56="Conflicting Duplicate - Flagged for Review"),"Invalid",IF(OR(L56="Filled - Unknown",S56="Filled - Unknown",X56="Missing - Defaulted to 0",AL56="Yes",AC56="Cancelled",AC56="Returned"),"Warning","Clean"))</f>
        <v>Warning</v>
      </c>
    </row>
    <row r="57" customFormat="false" ht="15" hidden="false" customHeight="false" outlineLevel="0" collapsed="false">
      <c r="A57" s="3" t="str">
        <f aca="false">raw_data!A57</f>
        <v>ORD-2025-10056</v>
      </c>
      <c r="B57" s="4" t="n">
        <f aca="false">IFERROR(IF(MID(raw_data!B57,3,1)="/",DATE(VALUE(RIGHT(raw_data!B57,4)),VALUE(LEFT(raw_data!B57,2)),VALUE(MID(raw_data!B57,4,2))),IF(MID(raw_data!B57,3,1)="-",DATE(VALUE(RIGHT(raw_data!B57,4)),VALUE(MID(raw_data!B57,4,2)),VALUE(LEFT(raw_data!B57,2))),IF(MID(raw_data!B57,5,1)="-",DATE(VALUE(LEFT(raw_data!B57,4)),VALUE(MID(raw_data!B57,6,2)),VALUE(RIGHT(raw_data!B57,2))),DATE(VALUE(RIGHT(raw_data!B57,4)),MATCH(MID(raw_data!B57,4,3),{"Jan","Feb","Mar","Apr","May","Jun","Jul","Aug","Sep","Oct","Nov","Dec"},0),VALUE(LEFT(raw_data!B57,2)))))),"")</f>
        <v>45839</v>
      </c>
      <c r="C57" s="4" t="n">
        <f aca="false">IFERROR(IF(MID(raw_data!C57,3,1)="/",DATE(VALUE(RIGHT(raw_data!C57,4)),VALUE(LEFT(raw_data!C57,2)),VALUE(MID(raw_data!C57,4,2))),IF(MID(raw_data!C57,3,1)="-",DATE(VALUE(RIGHT(raw_data!C57,4)),VALUE(MID(raw_data!C57,4,2)),VALUE(LEFT(raw_data!C57,2))),IF(MID(raw_data!C57,5,1)="-",DATE(VALUE(LEFT(raw_data!C57,4)),VALUE(MID(raw_data!C57,6,2)),VALUE(RIGHT(raw_data!C57,2))),DATE(VALUE(RIGHT(raw_data!C57,4)),MATCH(MID(raw_data!C57,4,3),{"Jan","Feb","Mar","Apr","May","Jun","Jul","Aug","Sep","Oct","Nov","Dec"},0),VALUE(LEFT(raw_data!C57,2)))))),"")</f>
        <v>45841</v>
      </c>
      <c r="D57" s="3" t="str">
        <f aca="false">IF(TRIM(raw_data!B57)="","Missing",IF(B57="","Invalid/Unrecognized","Valid"))</f>
        <v>Valid</v>
      </c>
      <c r="E57" s="3" t="str">
        <f aca="false">IF(TRIM(raw_data!C57)="","Missing",IF(C57="","Invalid/Unrecognized","Valid"))</f>
        <v>Valid</v>
      </c>
      <c r="F57" s="5" t="n">
        <f aca="false">IF(OR(B57="",C57=""),"",C57-B57)</f>
        <v>2</v>
      </c>
      <c r="G57" s="3" t="str">
        <f aca="false">IF(F57="","N/A",IF(F57&lt;0,"Invalid - Ship Before Order","OK"))</f>
        <v>OK</v>
      </c>
      <c r="H57" s="3" t="str">
        <f aca="false">raw_data!D57</f>
        <v>CUST-9821</v>
      </c>
      <c r="I57" s="3" t="str">
        <f aca="false">PROPER(TRIM(raw_data!E57))</f>
        <v>Mira Das</v>
      </c>
      <c r="J57" s="3" t="str">
        <f aca="false">PROPER(TRIM(raw_data!F57))</f>
        <v>Small Business</v>
      </c>
      <c r="K57" s="3" t="str">
        <f aca="false">IF(TRIM(raw_data!G57)="","Unknown",PROPER(TRIM(raw_data!G57)))</f>
        <v>South</v>
      </c>
      <c r="L57" s="3" t="str">
        <f aca="false">IF(TRIM(raw_data!G57)="","Filled - Unknown","OK")</f>
        <v>OK</v>
      </c>
      <c r="M57" s="3" t="str">
        <f aca="false">PROPER(TRIM(raw_data!H57))</f>
        <v>Andhra Pradesh</v>
      </c>
      <c r="N57" s="3" t="str">
        <f aca="false">PROPER(TRIM(raw_data!I57))</f>
        <v>Vijayawada</v>
      </c>
      <c r="O57" s="3" t="str">
        <f aca="false">PROPER(TRIM(raw_data!J57))</f>
        <v>Technology</v>
      </c>
      <c r="P57" s="3" t="str">
        <f aca="false">PROPER(TRIM(raw_data!K57))</f>
        <v>Machines</v>
      </c>
      <c r="Q57" s="3" t="str">
        <f aca="false">TRIM(raw_data!L57)</f>
        <v>Classic Machines 310</v>
      </c>
      <c r="R57" s="3" t="str">
        <f aca="false">IF(TRIM(raw_data!M57)="","Unknown",PROPER(TRIM(raw_data!M57)))</f>
        <v>Same Day</v>
      </c>
      <c r="S57" s="3" t="str">
        <f aca="false">IF(TRIM(raw_data!M57)="","Filled - Unknown","OK")</f>
        <v>OK</v>
      </c>
      <c r="T57" s="6" t="n">
        <f aca="false">raw_data!N57</f>
        <v>3</v>
      </c>
      <c r="U57" s="7" t="n">
        <f aca="false">raw_data!O57</f>
        <v>1516.24</v>
      </c>
      <c r="V57" s="8" t="n">
        <f aca="false">raw_data!P57</f>
        <v>0.25</v>
      </c>
      <c r="W57" s="8" t="n">
        <f aca="false">IF(raw_data!P57="",0,IF(ISTEXT(raw_data!P57),IF(RIGHT(raw_data!P57,1)="%",VALUE(LEFT(raw_data!P57,LEN(raw_data!P57)-1))/100,VALUE(raw_data!P57)),raw_data!P57))</f>
        <v>0.25</v>
      </c>
      <c r="X57" s="3" t="str">
        <f aca="false">IF(raw_data!P57="","Missing - Defaulted to 0",IF(W57&lt;0,"Negative - Invalid",IF(W57&gt;0.3,"Above Allowed Range - Invalid","Valid")))</f>
        <v>Valid</v>
      </c>
      <c r="Y57" s="7" t="n">
        <f aca="false">raw_data!Q57</f>
        <v>3411.54</v>
      </c>
      <c r="Z57" s="7" t="n">
        <f aca="false">raw_data!R57</f>
        <v>2803.13</v>
      </c>
      <c r="AA57" s="7" t="n">
        <f aca="false">raw_data!S57</f>
        <v>608.41</v>
      </c>
      <c r="AB57" s="3" t="str">
        <f aca="false">PROPER(TRIM(raw_data!T57))</f>
        <v>Paid</v>
      </c>
      <c r="AC57" s="3" t="str">
        <f aca="false">PROPER(TRIM(raw_data!U57))</f>
        <v>Completed</v>
      </c>
      <c r="AD57" s="7" t="n">
        <f aca="false">T57*U57*(1-W57)</f>
        <v>3411.54</v>
      </c>
      <c r="AE57" s="7" t="n">
        <f aca="false">AD57-Z57</f>
        <v>608.41</v>
      </c>
      <c r="AF57" s="8" t="n">
        <f aca="false">IF(AD57=0,0,AE57/AD57)</f>
        <v>0.178338814728832</v>
      </c>
      <c r="AG57" s="3" t="str">
        <f aca="false">IF(ABS(Y57-AD57)&gt;1,"Mismatch","OK")</f>
        <v>OK</v>
      </c>
      <c r="AH57" s="3" t="str">
        <f aca="false">IF(ABS(AA57-AE57)&gt;1,"Mismatch","OK")</f>
        <v>OK</v>
      </c>
      <c r="AI57" s="6" t="n">
        <f aca="false">IF(B57="","",MONTH(B57))</f>
        <v>7</v>
      </c>
      <c r="AJ57" s="6" t="n">
        <f aca="false">IF(B57="","",YEAR(B57))</f>
        <v>2025</v>
      </c>
      <c r="AK57" s="3" t="str">
        <f aca="false">IF(COUNTIF(raw_data!$A$2:$A$913,A57)&gt;1,"Conflicting Duplicate - Flagged for Review","Unique")</f>
        <v>Unique</v>
      </c>
      <c r="AL57" s="3" t="str">
        <f aca="false">IF(AB57="Refunded","Yes","No")</f>
        <v>No</v>
      </c>
      <c r="AM57" s="3" t="str">
        <f aca="false">IF(OR(AC57&lt;&gt;"Completed",AB57="Failed"),"Excluded","Included")</f>
        <v>Included</v>
      </c>
      <c r="AN57" s="3" t="str">
        <f aca="false">IF(OR(D57="Invalid/Unrecognized",E57="Invalid/Unrecognized",G57="Invalid - Ship Before Order",X57="Negative - Invalid",X57="Above Allowed Range - Invalid",AG57="Mismatch",AH57="Mismatch",AK57="Conflicting Duplicate - Flagged for Review"),"Invalid",IF(OR(L57="Filled - Unknown",S57="Filled - Unknown",X57="Missing - Defaulted to 0",AL57="Yes",AC57="Cancelled",AC57="Returned"),"Warning","Clean"))</f>
        <v>Clean</v>
      </c>
    </row>
    <row r="58" customFormat="false" ht="15" hidden="false" customHeight="false" outlineLevel="0" collapsed="false">
      <c r="A58" s="3" t="str">
        <f aca="false">raw_data!A58</f>
        <v>ORD-2025-10057</v>
      </c>
      <c r="B58" s="4" t="n">
        <f aca="false">IFERROR(IF(MID(raw_data!B58,3,1)="/",DATE(VALUE(RIGHT(raw_data!B58,4)),VALUE(LEFT(raw_data!B58,2)),VALUE(MID(raw_data!B58,4,2))),IF(MID(raw_data!B58,3,1)="-",DATE(VALUE(RIGHT(raw_data!B58,4)),VALUE(MID(raw_data!B58,4,2)),VALUE(LEFT(raw_data!B58,2))),IF(MID(raw_data!B58,5,1)="-",DATE(VALUE(LEFT(raw_data!B58,4)),VALUE(MID(raw_data!B58,6,2)),VALUE(RIGHT(raw_data!B58,2))),DATE(VALUE(RIGHT(raw_data!B58,4)),MATCH(MID(raw_data!B58,4,3),{"Jan","Feb","Mar","Apr","May","Jun","Jul","Aug","Sep","Oct","Nov","Dec"},0),VALUE(LEFT(raw_data!B58,2)))))),"")</f>
        <v>45662</v>
      </c>
      <c r="C58" s="4" t="n">
        <f aca="false">IFERROR(IF(MID(raw_data!C58,3,1)="/",DATE(VALUE(RIGHT(raw_data!C58,4)),VALUE(LEFT(raw_data!C58,2)),VALUE(MID(raw_data!C58,4,2))),IF(MID(raw_data!C58,3,1)="-",DATE(VALUE(RIGHT(raw_data!C58,4)),VALUE(MID(raw_data!C58,4,2)),VALUE(LEFT(raw_data!C58,2))),IF(MID(raw_data!C58,5,1)="-",DATE(VALUE(LEFT(raw_data!C58,4)),VALUE(MID(raw_data!C58,6,2)),VALUE(RIGHT(raw_data!C58,2))),DATE(VALUE(RIGHT(raw_data!C58,4)),MATCH(MID(raw_data!C58,4,3),{"Jan","Feb","Mar","Apr","May","Jun","Jul","Aug","Sep","Oct","Nov","Dec"},0),VALUE(LEFT(raw_data!C58,2)))))),"")</f>
        <v>45663</v>
      </c>
      <c r="D58" s="3" t="str">
        <f aca="false">IF(TRIM(raw_data!B58)="","Missing",IF(B58="","Invalid/Unrecognized","Valid"))</f>
        <v>Valid</v>
      </c>
      <c r="E58" s="3" t="str">
        <f aca="false">IF(TRIM(raw_data!C58)="","Missing",IF(C58="","Invalid/Unrecognized","Valid"))</f>
        <v>Valid</v>
      </c>
      <c r="F58" s="5" t="n">
        <f aca="false">IF(OR(B58="",C58=""),"",C58-B58)</f>
        <v>1</v>
      </c>
      <c r="G58" s="3" t="str">
        <f aca="false">IF(F58="","N/A",IF(F58&lt;0,"Invalid - Ship Before Order","OK"))</f>
        <v>OK</v>
      </c>
      <c r="H58" s="3" t="str">
        <f aca="false">raw_data!D58</f>
        <v>CUST-8701</v>
      </c>
      <c r="I58" s="3" t="str">
        <f aca="false">PROPER(TRIM(raw_data!E58))</f>
        <v>Karan Malhotra</v>
      </c>
      <c r="J58" s="3" t="str">
        <f aca="false">PROPER(TRIM(raw_data!F58))</f>
        <v>Consumer</v>
      </c>
      <c r="K58" s="3" t="str">
        <f aca="false">IF(TRIM(raw_data!G58)="","Unknown",PROPER(TRIM(raw_data!G58)))</f>
        <v>South</v>
      </c>
      <c r="L58" s="3" t="str">
        <f aca="false">IF(TRIM(raw_data!G58)="","Filled - Unknown","OK")</f>
        <v>OK</v>
      </c>
      <c r="M58" s="3" t="str">
        <f aca="false">PROPER(TRIM(raw_data!H58))</f>
        <v>Karnataka</v>
      </c>
      <c r="N58" s="3" t="str">
        <f aca="false">PROPER(TRIM(raw_data!I58))</f>
        <v>Bengaluru</v>
      </c>
      <c r="O58" s="3" t="str">
        <f aca="false">PROPER(TRIM(raw_data!J58))</f>
        <v>Office Supplies</v>
      </c>
      <c r="P58" s="3" t="str">
        <f aca="false">PROPER(TRIM(raw_data!K58))</f>
        <v>Binders</v>
      </c>
      <c r="Q58" s="3" t="str">
        <f aca="false">TRIM(raw_data!L58)</f>
        <v>Smart Binders 393</v>
      </c>
      <c r="R58" s="3" t="str">
        <f aca="false">IF(TRIM(raw_data!M58)="","Unknown",PROPER(TRIM(raw_data!M58)))</f>
        <v>Second Class</v>
      </c>
      <c r="S58" s="3" t="str">
        <f aca="false">IF(TRIM(raw_data!M58)="","Filled - Unknown","OK")</f>
        <v>OK</v>
      </c>
      <c r="T58" s="6" t="n">
        <f aca="false">raw_data!N58</f>
        <v>3</v>
      </c>
      <c r="U58" s="7" t="n">
        <f aca="false">raw_data!O58</f>
        <v>3155.61</v>
      </c>
      <c r="V58" s="8" t="n">
        <f aca="false">raw_data!P58</f>
        <v>0</v>
      </c>
      <c r="W58" s="8" t="n">
        <f aca="false">IF(raw_data!P58="",0,IF(ISTEXT(raw_data!P58),IF(RIGHT(raw_data!P58,1)="%",VALUE(LEFT(raw_data!P58,LEN(raw_data!P58)-1))/100,VALUE(raw_data!P58)),raw_data!P58))</f>
        <v>0</v>
      </c>
      <c r="X58" s="3" t="str">
        <f aca="false">IF(raw_data!P58="","Missing - Defaulted to 0",IF(W58&lt;0,"Negative - Invalid",IF(W58&gt;0.3,"Above Allowed Range - Invalid","Valid")))</f>
        <v>Valid</v>
      </c>
      <c r="Y58" s="7" t="n">
        <f aca="false">raw_data!Q58</f>
        <v>9466.83</v>
      </c>
      <c r="Z58" s="7" t="n">
        <f aca="false">raw_data!R58</f>
        <v>6557.83</v>
      </c>
      <c r="AA58" s="7" t="n">
        <f aca="false">raw_data!S58</f>
        <v>2909</v>
      </c>
      <c r="AB58" s="3" t="str">
        <f aca="false">PROPER(TRIM(raw_data!T58))</f>
        <v>Refunded</v>
      </c>
      <c r="AC58" s="3" t="str">
        <f aca="false">PROPER(TRIM(raw_data!U58))</f>
        <v>Cancelled</v>
      </c>
      <c r="AD58" s="7" t="n">
        <f aca="false">T58*U58*(1-W58)</f>
        <v>9466.83</v>
      </c>
      <c r="AE58" s="7" t="n">
        <f aca="false">AD58-Z58</f>
        <v>2909</v>
      </c>
      <c r="AF58" s="8" t="n">
        <f aca="false">IF(AD58=0,0,AE58/AD58)</f>
        <v>0.307283430673203</v>
      </c>
      <c r="AG58" s="3" t="str">
        <f aca="false">IF(ABS(Y58-AD58)&gt;1,"Mismatch","OK")</f>
        <v>OK</v>
      </c>
      <c r="AH58" s="3" t="str">
        <f aca="false">IF(ABS(AA58-AE58)&gt;1,"Mismatch","OK")</f>
        <v>OK</v>
      </c>
      <c r="AI58" s="6" t="n">
        <f aca="false">IF(B58="","",MONTH(B58))</f>
        <v>1</v>
      </c>
      <c r="AJ58" s="6" t="n">
        <f aca="false">IF(B58="","",YEAR(B58))</f>
        <v>2025</v>
      </c>
      <c r="AK58" s="3" t="str">
        <f aca="false">IF(COUNTIF(raw_data!$A$2:$A$913,A58)&gt;1,"Conflicting Duplicate - Flagged for Review","Unique")</f>
        <v>Unique</v>
      </c>
      <c r="AL58" s="3" t="str">
        <f aca="false">IF(AB58="Refunded","Yes","No")</f>
        <v>Yes</v>
      </c>
      <c r="AM58" s="3" t="str">
        <f aca="false">IF(OR(AC58&lt;&gt;"Completed",AB58="Failed"),"Excluded","Included")</f>
        <v>Excluded</v>
      </c>
      <c r="AN58" s="3" t="str">
        <f aca="false">IF(OR(D58="Invalid/Unrecognized",E58="Invalid/Unrecognized",G58="Invalid - Ship Before Order",X58="Negative - Invalid",X58="Above Allowed Range - Invalid",AG58="Mismatch",AH58="Mismatch",AK58="Conflicting Duplicate - Flagged for Review"),"Invalid",IF(OR(L58="Filled - Unknown",S58="Filled - Unknown",X58="Missing - Defaulted to 0",AL58="Yes",AC58="Cancelled",AC58="Returned"),"Warning","Clean"))</f>
        <v>Warning</v>
      </c>
    </row>
    <row r="59" customFormat="false" ht="15" hidden="false" customHeight="false" outlineLevel="0" collapsed="false">
      <c r="A59" s="3" t="str">
        <f aca="false">raw_data!A59</f>
        <v>ORD-2024-10058</v>
      </c>
      <c r="B59" s="4" t="n">
        <f aca="false">IFERROR(IF(MID(raw_data!B59,3,1)="/",DATE(VALUE(RIGHT(raw_data!B59,4)),VALUE(LEFT(raw_data!B59,2)),VALUE(MID(raw_data!B59,4,2))),IF(MID(raw_data!B59,3,1)="-",DATE(VALUE(RIGHT(raw_data!B59,4)),VALUE(MID(raw_data!B59,4,2)),VALUE(LEFT(raw_data!B59,2))),IF(MID(raw_data!B59,5,1)="-",DATE(VALUE(LEFT(raw_data!B59,4)),VALUE(MID(raw_data!B59,6,2)),VALUE(RIGHT(raw_data!B59,2))),DATE(VALUE(RIGHT(raw_data!B59,4)),MATCH(MID(raw_data!B59,4,3),{"Jan","Feb","Mar","Apr","May","Jun","Jul","Aug","Sep","Oct","Nov","Dec"},0),VALUE(LEFT(raw_data!B59,2)))))),"")</f>
        <v>45329</v>
      </c>
      <c r="C59" s="4" t="n">
        <f aca="false">IFERROR(IF(MID(raw_data!C59,3,1)="/",DATE(VALUE(RIGHT(raw_data!C59,4)),VALUE(LEFT(raw_data!C59,2)),VALUE(MID(raw_data!C59,4,2))),IF(MID(raw_data!C59,3,1)="-",DATE(VALUE(RIGHT(raw_data!C59,4)),VALUE(MID(raw_data!C59,4,2)),VALUE(LEFT(raw_data!C59,2))),IF(MID(raw_data!C59,5,1)="-",DATE(VALUE(LEFT(raw_data!C59,4)),VALUE(MID(raw_data!C59,6,2)),VALUE(RIGHT(raw_data!C59,2))),DATE(VALUE(RIGHT(raw_data!C59,4)),MATCH(MID(raw_data!C59,4,3),{"Jan","Feb","Mar","Apr","May","Jun","Jul","Aug","Sep","Oct","Nov","Dec"},0),VALUE(LEFT(raw_data!C59,2)))))),"")</f>
        <v>45337</v>
      </c>
      <c r="D59" s="3" t="str">
        <f aca="false">IF(TRIM(raw_data!B59)="","Missing",IF(B59="","Invalid/Unrecognized","Valid"))</f>
        <v>Valid</v>
      </c>
      <c r="E59" s="3" t="str">
        <f aca="false">IF(TRIM(raw_data!C59)="","Missing",IF(C59="","Invalid/Unrecognized","Valid"))</f>
        <v>Valid</v>
      </c>
      <c r="F59" s="5" t="n">
        <f aca="false">IF(OR(B59="",C59=""),"",C59-B59)</f>
        <v>8</v>
      </c>
      <c r="G59" s="3" t="str">
        <f aca="false">IF(F59="","N/A",IF(F59&lt;0,"Invalid - Ship Before Order","OK"))</f>
        <v>OK</v>
      </c>
      <c r="H59" s="3" t="str">
        <f aca="false">raw_data!D59</f>
        <v>CUST-9941</v>
      </c>
      <c r="I59" s="3" t="str">
        <f aca="false">PROPER(TRIM(raw_data!E59))</f>
        <v>Priya Menon</v>
      </c>
      <c r="J59" s="3" t="str">
        <f aca="false">PROPER(TRIM(raw_data!F59))</f>
        <v>Consumer</v>
      </c>
      <c r="K59" s="3" t="str">
        <f aca="false">IF(TRIM(raw_data!G59)="","Unknown",PROPER(TRIM(raw_data!G59)))</f>
        <v>West</v>
      </c>
      <c r="L59" s="3" t="str">
        <f aca="false">IF(TRIM(raw_data!G59)="","Filled - Unknown","OK")</f>
        <v>OK</v>
      </c>
      <c r="M59" s="3" t="str">
        <f aca="false">PROPER(TRIM(raw_data!H59))</f>
        <v>Goa</v>
      </c>
      <c r="N59" s="3" t="str">
        <f aca="false">PROPER(TRIM(raw_data!I59))</f>
        <v>Panaji</v>
      </c>
      <c r="O59" s="3" t="str">
        <f aca="false">PROPER(TRIM(raw_data!J59))</f>
        <v>Furniture</v>
      </c>
      <c r="P59" s="3" t="str">
        <f aca="false">PROPER(TRIM(raw_data!K59))</f>
        <v>Chairs</v>
      </c>
      <c r="Q59" s="3" t="str">
        <f aca="false">TRIM(raw_data!L59)</f>
        <v>Max Chairs 813</v>
      </c>
      <c r="R59" s="3" t="str">
        <f aca="false">IF(TRIM(raw_data!M59)="","Unknown",PROPER(TRIM(raw_data!M59)))</f>
        <v>Same Day</v>
      </c>
      <c r="S59" s="3" t="str">
        <f aca="false">IF(TRIM(raw_data!M59)="","Filled - Unknown","OK")</f>
        <v>OK</v>
      </c>
      <c r="T59" s="6" t="n">
        <f aca="false">raw_data!N59</f>
        <v>5</v>
      </c>
      <c r="U59" s="7" t="n">
        <f aca="false">raw_data!O59</f>
        <v>255.87</v>
      </c>
      <c r="V59" s="8" t="n">
        <f aca="false">raw_data!P59</f>
        <v>0</v>
      </c>
      <c r="W59" s="8" t="n">
        <f aca="false">IF(raw_data!P59="",0,IF(ISTEXT(raw_data!P59),IF(RIGHT(raw_data!P59,1)="%",VALUE(LEFT(raw_data!P59,LEN(raw_data!P59)-1))/100,VALUE(raw_data!P59)),raw_data!P59))</f>
        <v>0</v>
      </c>
      <c r="X59" s="3" t="str">
        <f aca="false">IF(raw_data!P59="","Missing - Defaulted to 0",IF(W59&lt;0,"Negative - Invalid",IF(W59&gt;0.3,"Above Allowed Range - Invalid","Valid")))</f>
        <v>Valid</v>
      </c>
      <c r="Y59" s="7" t="n">
        <f aca="false">raw_data!Q59</f>
        <v>1279.35</v>
      </c>
      <c r="Z59" s="7" t="n">
        <f aca="false">raw_data!R59</f>
        <v>1091.54</v>
      </c>
      <c r="AA59" s="7" t="n">
        <f aca="false">raw_data!S59</f>
        <v>187.81</v>
      </c>
      <c r="AB59" s="3" t="str">
        <f aca="false">PROPER(TRIM(raw_data!T59))</f>
        <v>Paid</v>
      </c>
      <c r="AC59" s="3" t="str">
        <f aca="false">PROPER(TRIM(raw_data!U59))</f>
        <v>Completed</v>
      </c>
      <c r="AD59" s="7" t="n">
        <f aca="false">T59*U59*(1-W59)</f>
        <v>1279.35</v>
      </c>
      <c r="AE59" s="7" t="n">
        <f aca="false">AD59-Z59</f>
        <v>187.81</v>
      </c>
      <c r="AF59" s="8" t="n">
        <f aca="false">IF(AD59=0,0,AE59/AD59)</f>
        <v>0.146801109938641</v>
      </c>
      <c r="AG59" s="3" t="str">
        <f aca="false">IF(ABS(Y59-AD59)&gt;1,"Mismatch","OK")</f>
        <v>OK</v>
      </c>
      <c r="AH59" s="3" t="str">
        <f aca="false">IF(ABS(AA59-AE59)&gt;1,"Mismatch","OK")</f>
        <v>OK</v>
      </c>
      <c r="AI59" s="6" t="n">
        <f aca="false">IF(B59="","",MONTH(B59))</f>
        <v>2</v>
      </c>
      <c r="AJ59" s="6" t="n">
        <f aca="false">IF(B59="","",YEAR(B59))</f>
        <v>2024</v>
      </c>
      <c r="AK59" s="3" t="str">
        <f aca="false">IF(COUNTIF(raw_data!$A$2:$A$913,A59)&gt;1,"Conflicting Duplicate - Flagged for Review","Unique")</f>
        <v>Unique</v>
      </c>
      <c r="AL59" s="3" t="str">
        <f aca="false">IF(AB59="Refunded","Yes","No")</f>
        <v>No</v>
      </c>
      <c r="AM59" s="3" t="str">
        <f aca="false">IF(OR(AC59&lt;&gt;"Completed",AB59="Failed"),"Excluded","Included")</f>
        <v>Included</v>
      </c>
      <c r="AN59" s="3" t="str">
        <f aca="false">IF(OR(D59="Invalid/Unrecognized",E59="Invalid/Unrecognized",G59="Invalid - Ship Before Order",X59="Negative - Invalid",X59="Above Allowed Range - Invalid",AG59="Mismatch",AH59="Mismatch",AK59="Conflicting Duplicate - Flagged for Review"),"Invalid",IF(OR(L59="Filled - Unknown",S59="Filled - Unknown",X59="Missing - Defaulted to 0",AL59="Yes",AC59="Cancelled",AC59="Returned"),"Warning","Clean"))</f>
        <v>Clean</v>
      </c>
    </row>
    <row r="60" customFormat="false" ht="15" hidden="false" customHeight="false" outlineLevel="0" collapsed="false">
      <c r="A60" s="3" t="str">
        <f aca="false">raw_data!A60</f>
        <v>ORD-2024-10059</v>
      </c>
      <c r="B60" s="4" t="n">
        <f aca="false">IFERROR(IF(MID(raw_data!B60,3,1)="/",DATE(VALUE(RIGHT(raw_data!B60,4)),VALUE(LEFT(raw_data!B60,2)),VALUE(MID(raw_data!B60,4,2))),IF(MID(raw_data!B60,3,1)="-",DATE(VALUE(RIGHT(raw_data!B60,4)),VALUE(MID(raw_data!B60,4,2)),VALUE(LEFT(raw_data!B60,2))),IF(MID(raw_data!B60,5,1)="-",DATE(VALUE(LEFT(raw_data!B60,4)),VALUE(MID(raw_data!B60,6,2)),VALUE(RIGHT(raw_data!B60,2))),DATE(VALUE(RIGHT(raw_data!B60,4)),MATCH(MID(raw_data!B60,4,3),{"Jan","Feb","Mar","Apr","May","Jun","Jul","Aug","Sep","Oct","Nov","Dec"},0),VALUE(LEFT(raw_data!B60,2)))))),"")</f>
        <v>45536</v>
      </c>
      <c r="C60" s="4" t="n">
        <f aca="false">IFERROR(IF(MID(raw_data!C60,3,1)="/",DATE(VALUE(RIGHT(raw_data!C60,4)),VALUE(LEFT(raw_data!C60,2)),VALUE(MID(raw_data!C60,4,2))),IF(MID(raw_data!C60,3,1)="-",DATE(VALUE(RIGHT(raw_data!C60,4)),VALUE(MID(raw_data!C60,4,2)),VALUE(LEFT(raw_data!C60,2))),IF(MID(raw_data!C60,5,1)="-",DATE(VALUE(LEFT(raw_data!C60,4)),VALUE(MID(raw_data!C60,6,2)),VALUE(RIGHT(raw_data!C60,2))),DATE(VALUE(RIGHT(raw_data!C60,4)),MATCH(MID(raw_data!C60,4,3),{"Jan","Feb","Mar","Apr","May","Jun","Jul","Aug","Sep","Oct","Nov","Dec"},0),VALUE(LEFT(raw_data!C60,2)))))),"")</f>
        <v>45542</v>
      </c>
      <c r="D60" s="3" t="str">
        <f aca="false">IF(TRIM(raw_data!B60)="","Missing",IF(B60="","Invalid/Unrecognized","Valid"))</f>
        <v>Valid</v>
      </c>
      <c r="E60" s="3" t="str">
        <f aca="false">IF(TRIM(raw_data!C60)="","Missing",IF(C60="","Invalid/Unrecognized","Valid"))</f>
        <v>Valid</v>
      </c>
      <c r="F60" s="5" t="n">
        <f aca="false">IF(OR(B60="",C60=""),"",C60-B60)</f>
        <v>6</v>
      </c>
      <c r="G60" s="3" t="str">
        <f aca="false">IF(F60="","N/A",IF(F60&lt;0,"Invalid - Ship Before Order","OK"))</f>
        <v>OK</v>
      </c>
      <c r="H60" s="3" t="str">
        <f aca="false">raw_data!D60</f>
        <v>CUST-3983</v>
      </c>
      <c r="I60" s="3" t="str">
        <f aca="false">PROPER(TRIM(raw_data!E60))</f>
        <v>Isha Nair</v>
      </c>
      <c r="J60" s="3" t="str">
        <f aca="false">PROPER(TRIM(raw_data!F60))</f>
        <v>Home Office</v>
      </c>
      <c r="K60" s="3" t="str">
        <f aca="false">IF(TRIM(raw_data!G60)="","Unknown",PROPER(TRIM(raw_data!G60)))</f>
        <v>North</v>
      </c>
      <c r="L60" s="3" t="str">
        <f aca="false">IF(TRIM(raw_data!G60)="","Filled - Unknown","OK")</f>
        <v>OK</v>
      </c>
      <c r="M60" s="3" t="str">
        <f aca="false">PROPER(TRIM(raw_data!H60))</f>
        <v>Rajasthan</v>
      </c>
      <c r="N60" s="3" t="str">
        <f aca="false">PROPER(TRIM(raw_data!I60))</f>
        <v>Jaipur</v>
      </c>
      <c r="O60" s="3" t="str">
        <f aca="false">PROPER(TRIM(raw_data!J60))</f>
        <v>Office Supplies</v>
      </c>
      <c r="P60" s="3" t="str">
        <f aca="false">PROPER(TRIM(raw_data!K60))</f>
        <v>Storage</v>
      </c>
      <c r="Q60" s="3" t="str">
        <f aca="false">TRIM(raw_data!L60)</f>
        <v>Basic Storage 872</v>
      </c>
      <c r="R60" s="3" t="str">
        <f aca="false">IF(TRIM(raw_data!M60)="","Unknown",PROPER(TRIM(raw_data!M60)))</f>
        <v>Unknown</v>
      </c>
      <c r="S60" s="3" t="str">
        <f aca="false">IF(TRIM(raw_data!M60)="","Filled - Unknown","OK")</f>
        <v>Filled - Unknown</v>
      </c>
      <c r="T60" s="6" t="n">
        <f aca="false">raw_data!N60</f>
        <v>9</v>
      </c>
      <c r="U60" s="7" t="n">
        <f aca="false">raw_data!O60</f>
        <v>1389.48</v>
      </c>
      <c r="V60" s="8" t="n">
        <f aca="false">raw_data!P60</f>
        <v>0.1</v>
      </c>
      <c r="W60" s="8" t="n">
        <f aca="false">IF(raw_data!P60="",0,IF(ISTEXT(raw_data!P60),IF(RIGHT(raw_data!P60,1)="%",VALUE(LEFT(raw_data!P60,LEN(raw_data!P60)-1))/100,VALUE(raw_data!P60)),raw_data!P60))</f>
        <v>0.1</v>
      </c>
      <c r="X60" s="3" t="str">
        <f aca="false">IF(raw_data!P60="","Missing - Defaulted to 0",IF(W60&lt;0,"Negative - Invalid",IF(W60&gt;0.3,"Above Allowed Range - Invalid","Valid")))</f>
        <v>Valid</v>
      </c>
      <c r="Y60" s="7" t="n">
        <f aca="false">raw_data!Q60</f>
        <v>11254.79</v>
      </c>
      <c r="Z60" s="7" t="n">
        <f aca="false">raw_data!R60</f>
        <v>6578.06</v>
      </c>
      <c r="AA60" s="7" t="n">
        <f aca="false">raw_data!S60</f>
        <v>4676.73</v>
      </c>
      <c r="AB60" s="3" t="str">
        <f aca="false">PROPER(TRIM(raw_data!T60))</f>
        <v>Pending</v>
      </c>
      <c r="AC60" s="3" t="str">
        <f aca="false">PROPER(TRIM(raw_data!U60))</f>
        <v>Returned</v>
      </c>
      <c r="AD60" s="7" t="n">
        <f aca="false">T60*U60*(1-W60)</f>
        <v>11254.788</v>
      </c>
      <c r="AE60" s="7" t="n">
        <f aca="false">AD60-Z60</f>
        <v>4676.728</v>
      </c>
      <c r="AF60" s="8" t="n">
        <f aca="false">IF(AD60=0,0,AE60/AD60)</f>
        <v>0.415532305006545</v>
      </c>
      <c r="AG60" s="3" t="str">
        <f aca="false">IF(ABS(Y60-AD60)&gt;1,"Mismatch","OK")</f>
        <v>OK</v>
      </c>
      <c r="AH60" s="3" t="str">
        <f aca="false">IF(ABS(AA60-AE60)&gt;1,"Mismatch","OK")</f>
        <v>OK</v>
      </c>
      <c r="AI60" s="6" t="n">
        <f aca="false">IF(B60="","",MONTH(B60))</f>
        <v>9</v>
      </c>
      <c r="AJ60" s="6" t="n">
        <f aca="false">IF(B60="","",YEAR(B60))</f>
        <v>2024</v>
      </c>
      <c r="AK60" s="3" t="str">
        <f aca="false">IF(COUNTIF(raw_data!$A$2:$A$913,A60)&gt;1,"Conflicting Duplicate - Flagged for Review","Unique")</f>
        <v>Unique</v>
      </c>
      <c r="AL60" s="3" t="str">
        <f aca="false">IF(AB60="Refunded","Yes","No")</f>
        <v>No</v>
      </c>
      <c r="AM60" s="3" t="str">
        <f aca="false">IF(OR(AC60&lt;&gt;"Completed",AB60="Failed"),"Excluded","Included")</f>
        <v>Excluded</v>
      </c>
      <c r="AN60" s="3" t="str">
        <f aca="false">IF(OR(D60="Invalid/Unrecognized",E60="Invalid/Unrecognized",G60="Invalid - Ship Before Order",X60="Negative - Invalid",X60="Above Allowed Range - Invalid",AG60="Mismatch",AH60="Mismatch",AK60="Conflicting Duplicate - Flagged for Review"),"Invalid",IF(OR(L60="Filled - Unknown",S60="Filled - Unknown",X60="Missing - Defaulted to 0",AL60="Yes",AC60="Cancelled",AC60="Returned"),"Warning","Clean"))</f>
        <v>Warning</v>
      </c>
    </row>
    <row r="61" customFormat="false" ht="15" hidden="false" customHeight="false" outlineLevel="0" collapsed="false">
      <c r="A61" s="3" t="str">
        <f aca="false">raw_data!A61</f>
        <v>ORD-2024-10060</v>
      </c>
      <c r="B61" s="4" t="n">
        <f aca="false">IFERROR(IF(MID(raw_data!B61,3,1)="/",DATE(VALUE(RIGHT(raw_data!B61,4)),VALUE(LEFT(raw_data!B61,2)),VALUE(MID(raw_data!B61,4,2))),IF(MID(raw_data!B61,3,1)="-",DATE(VALUE(RIGHT(raw_data!B61,4)),VALUE(MID(raw_data!B61,4,2)),VALUE(LEFT(raw_data!B61,2))),IF(MID(raw_data!B61,5,1)="-",DATE(VALUE(LEFT(raw_data!B61,4)),VALUE(MID(raw_data!B61,6,2)),VALUE(RIGHT(raw_data!B61,2))),DATE(VALUE(RIGHT(raw_data!B61,4)),MATCH(MID(raw_data!B61,4,3),{"Jan","Feb","Mar","Apr","May","Jun","Jul","Aug","Sep","Oct","Nov","Dec"},0),VALUE(LEFT(raw_data!B61,2)))))),"")</f>
        <v>45493</v>
      </c>
      <c r="C61" s="4" t="n">
        <f aca="false">IFERROR(IF(MID(raw_data!C61,3,1)="/",DATE(VALUE(RIGHT(raw_data!C61,4)),VALUE(LEFT(raw_data!C61,2)),VALUE(MID(raw_data!C61,4,2))),IF(MID(raw_data!C61,3,1)="-",DATE(VALUE(RIGHT(raw_data!C61,4)),VALUE(MID(raw_data!C61,4,2)),VALUE(LEFT(raw_data!C61,2))),IF(MID(raw_data!C61,5,1)="-",DATE(VALUE(LEFT(raw_data!C61,4)),VALUE(MID(raw_data!C61,6,2)),VALUE(RIGHT(raw_data!C61,2))),DATE(VALUE(RIGHT(raw_data!C61,4)),MATCH(MID(raw_data!C61,4,3),{"Jan","Feb","Mar","Apr","May","Jun","Jul","Aug","Sep","Oct","Nov","Dec"},0),VALUE(LEFT(raw_data!C61,2)))))),"")</f>
        <v>45498</v>
      </c>
      <c r="D61" s="3" t="str">
        <f aca="false">IF(TRIM(raw_data!B61)="","Missing",IF(B61="","Invalid/Unrecognized","Valid"))</f>
        <v>Valid</v>
      </c>
      <c r="E61" s="3" t="str">
        <f aca="false">IF(TRIM(raw_data!C61)="","Missing",IF(C61="","Invalid/Unrecognized","Valid"))</f>
        <v>Valid</v>
      </c>
      <c r="F61" s="5" t="n">
        <f aca="false">IF(OR(B61="",C61=""),"",C61-B61)</f>
        <v>5</v>
      </c>
      <c r="G61" s="3" t="str">
        <f aca="false">IF(F61="","N/A",IF(F61&lt;0,"Invalid - Ship Before Order","OK"))</f>
        <v>OK</v>
      </c>
      <c r="H61" s="3" t="str">
        <f aca="false">raw_data!D61</f>
        <v>CUST-2418</v>
      </c>
      <c r="I61" s="3" t="str">
        <f aca="false">PROPER(TRIM(raw_data!E61))</f>
        <v>Priya Menon</v>
      </c>
      <c r="J61" s="3" t="str">
        <f aca="false">PROPER(TRIM(raw_data!F61))</f>
        <v>Corporate</v>
      </c>
      <c r="K61" s="3" t="str">
        <f aca="false">IF(TRIM(raw_data!G61)="","Unknown",PROPER(TRIM(raw_data!G61)))</f>
        <v>East</v>
      </c>
      <c r="L61" s="3" t="str">
        <f aca="false">IF(TRIM(raw_data!G61)="","Filled - Unknown","OK")</f>
        <v>OK</v>
      </c>
      <c r="M61" s="3" t="str">
        <f aca="false">PROPER(TRIM(raw_data!H61))</f>
        <v>Assam</v>
      </c>
      <c r="N61" s="3" t="str">
        <f aca="false">PROPER(TRIM(raw_data!I61))</f>
        <v>Guwahati</v>
      </c>
      <c r="O61" s="3" t="str">
        <f aca="false">PROPER(TRIM(raw_data!J61))</f>
        <v>Office Supplies</v>
      </c>
      <c r="P61" s="3" t="str">
        <f aca="false">PROPER(TRIM(raw_data!K61))</f>
        <v>Labels</v>
      </c>
      <c r="Q61" s="3" t="str">
        <f aca="false">TRIM(raw_data!L61)</f>
        <v>Smart Labels 655</v>
      </c>
      <c r="R61" s="3" t="str">
        <f aca="false">IF(TRIM(raw_data!M61)="","Unknown",PROPER(TRIM(raw_data!M61)))</f>
        <v>Same Day</v>
      </c>
      <c r="S61" s="3" t="str">
        <f aca="false">IF(TRIM(raw_data!M61)="","Filled - Unknown","OK")</f>
        <v>OK</v>
      </c>
      <c r="T61" s="6" t="n">
        <f aca="false">raw_data!N61</f>
        <v>5</v>
      </c>
      <c r="U61" s="7" t="n">
        <f aca="false">raw_data!O61</f>
        <v>4133.85</v>
      </c>
      <c r="V61" s="8" t="n">
        <f aca="false">raw_data!P61</f>
        <v>0.2</v>
      </c>
      <c r="W61" s="8" t="n">
        <f aca="false">IF(raw_data!P61="",0,IF(ISTEXT(raw_data!P61),IF(RIGHT(raw_data!P61,1)="%",VALUE(LEFT(raw_data!P61,LEN(raw_data!P61)-1))/100,VALUE(raw_data!P61)),raw_data!P61))</f>
        <v>0.2</v>
      </c>
      <c r="X61" s="3" t="str">
        <f aca="false">IF(raw_data!P61="","Missing - Defaulted to 0",IF(W61&lt;0,"Negative - Invalid",IF(W61&gt;0.3,"Above Allowed Range - Invalid","Valid")))</f>
        <v>Valid</v>
      </c>
      <c r="Y61" s="7" t="n">
        <f aca="false">raw_data!Q61</f>
        <v>16535.4</v>
      </c>
      <c r="Z61" s="7" t="n">
        <f aca="false">raw_data!R61</f>
        <v>12990.21</v>
      </c>
      <c r="AA61" s="7" t="n">
        <f aca="false">raw_data!S61</f>
        <v>3545.19</v>
      </c>
      <c r="AB61" s="3" t="str">
        <f aca="false">PROPER(TRIM(raw_data!T61))</f>
        <v>Paid</v>
      </c>
      <c r="AC61" s="3" t="str">
        <f aca="false">PROPER(TRIM(raw_data!U61))</f>
        <v>Cancelled</v>
      </c>
      <c r="AD61" s="7" t="n">
        <f aca="false">T61*U61*(1-W61)</f>
        <v>16535.4</v>
      </c>
      <c r="AE61" s="7" t="n">
        <f aca="false">AD61-Z61</f>
        <v>3545.19</v>
      </c>
      <c r="AF61" s="8" t="n">
        <f aca="false">IF(AD61=0,0,AE61/AD61)</f>
        <v>0.214400014514315</v>
      </c>
      <c r="AG61" s="3" t="str">
        <f aca="false">IF(ABS(Y61-AD61)&gt;1,"Mismatch","OK")</f>
        <v>OK</v>
      </c>
      <c r="AH61" s="3" t="str">
        <f aca="false">IF(ABS(AA61-AE61)&gt;1,"Mismatch","OK")</f>
        <v>OK</v>
      </c>
      <c r="AI61" s="6" t="n">
        <f aca="false">IF(B61="","",MONTH(B61))</f>
        <v>7</v>
      </c>
      <c r="AJ61" s="6" t="n">
        <f aca="false">IF(B61="","",YEAR(B61))</f>
        <v>2024</v>
      </c>
      <c r="AK61" s="3" t="str">
        <f aca="false">IF(COUNTIF(raw_data!$A$2:$A$913,A61)&gt;1,"Conflicting Duplicate - Flagged for Review","Unique")</f>
        <v>Unique</v>
      </c>
      <c r="AL61" s="3" t="str">
        <f aca="false">IF(AB61="Refunded","Yes","No")</f>
        <v>No</v>
      </c>
      <c r="AM61" s="3" t="str">
        <f aca="false">IF(OR(AC61&lt;&gt;"Completed",AB61="Failed"),"Excluded","Included")</f>
        <v>Excluded</v>
      </c>
      <c r="AN61" s="3" t="str">
        <f aca="false">IF(OR(D61="Invalid/Unrecognized",E61="Invalid/Unrecognized",G61="Invalid - Ship Before Order",X61="Negative - Invalid",X61="Above Allowed Range - Invalid",AG61="Mismatch",AH61="Mismatch",AK61="Conflicting Duplicate - Flagged for Review"),"Invalid",IF(OR(L61="Filled - Unknown",S61="Filled - Unknown",X61="Missing - Defaulted to 0",AL61="Yes",AC61="Cancelled",AC61="Returned"),"Warning","Clean"))</f>
        <v>Warning</v>
      </c>
    </row>
    <row r="62" customFormat="false" ht="15" hidden="false" customHeight="false" outlineLevel="0" collapsed="false">
      <c r="A62" s="3" t="str">
        <f aca="false">raw_data!A62</f>
        <v>ORD-2024-10061</v>
      </c>
      <c r="B62" s="4" t="n">
        <f aca="false">IFERROR(IF(MID(raw_data!B62,3,1)="/",DATE(VALUE(RIGHT(raw_data!B62,4)),VALUE(LEFT(raw_data!B62,2)),VALUE(MID(raw_data!B62,4,2))),IF(MID(raw_data!B62,3,1)="-",DATE(VALUE(RIGHT(raw_data!B62,4)),VALUE(MID(raw_data!B62,4,2)),VALUE(LEFT(raw_data!B62,2))),IF(MID(raw_data!B62,5,1)="-",DATE(VALUE(LEFT(raw_data!B62,4)),VALUE(MID(raw_data!B62,6,2)),VALUE(RIGHT(raw_data!B62,2))),DATE(VALUE(RIGHT(raw_data!B62,4)),MATCH(MID(raw_data!B62,4,3),{"Jan","Feb","Mar","Apr","May","Jun","Jul","Aug","Sep","Oct","Nov","Dec"},0),VALUE(LEFT(raw_data!B62,2)))))),"")</f>
        <v>45486</v>
      </c>
      <c r="C62" s="4" t="n">
        <f aca="false">IFERROR(IF(MID(raw_data!C62,3,1)="/",DATE(VALUE(RIGHT(raw_data!C62,4)),VALUE(LEFT(raw_data!C62,2)),VALUE(MID(raw_data!C62,4,2))),IF(MID(raw_data!C62,3,1)="-",DATE(VALUE(RIGHT(raw_data!C62,4)),VALUE(MID(raw_data!C62,4,2)),VALUE(LEFT(raw_data!C62,2))),IF(MID(raw_data!C62,5,1)="-",DATE(VALUE(LEFT(raw_data!C62,4)),VALUE(MID(raw_data!C62,6,2)),VALUE(RIGHT(raw_data!C62,2))),DATE(VALUE(RIGHT(raw_data!C62,4)),MATCH(MID(raw_data!C62,4,3),{"Jan","Feb","Mar","Apr","May","Jun","Jul","Aug","Sep","Oct","Nov","Dec"},0),VALUE(LEFT(raw_data!C62,2)))))),"")</f>
        <v>45492</v>
      </c>
      <c r="D62" s="3" t="str">
        <f aca="false">IF(TRIM(raw_data!B62)="","Missing",IF(B62="","Invalid/Unrecognized","Valid"))</f>
        <v>Valid</v>
      </c>
      <c r="E62" s="3" t="str">
        <f aca="false">IF(TRIM(raw_data!C62)="","Missing",IF(C62="","Invalid/Unrecognized","Valid"))</f>
        <v>Valid</v>
      </c>
      <c r="F62" s="5" t="n">
        <f aca="false">IF(OR(B62="",C62=""),"",C62-B62)</f>
        <v>6</v>
      </c>
      <c r="G62" s="3" t="str">
        <f aca="false">IF(F62="","N/A",IF(F62&lt;0,"Invalid - Ship Before Order","OK"))</f>
        <v>OK</v>
      </c>
      <c r="H62" s="3" t="str">
        <f aca="false">raw_data!D62</f>
        <v>CUST-2892</v>
      </c>
      <c r="I62" s="3" t="str">
        <f aca="false">PROPER(TRIM(raw_data!E62))</f>
        <v>Ananya Rao</v>
      </c>
      <c r="J62" s="3" t="str">
        <f aca="false">PROPER(TRIM(raw_data!F62))</f>
        <v>Corporate</v>
      </c>
      <c r="K62" s="3" t="str">
        <f aca="false">IF(TRIM(raw_data!G62)="","Unknown",PROPER(TRIM(raw_data!G62)))</f>
        <v>East</v>
      </c>
      <c r="L62" s="3" t="str">
        <f aca="false">IF(TRIM(raw_data!G62)="","Filled - Unknown","OK")</f>
        <v>OK</v>
      </c>
      <c r="M62" s="3" t="str">
        <f aca="false">PROPER(TRIM(raw_data!H62))</f>
        <v>Assam</v>
      </c>
      <c r="N62" s="3" t="str">
        <f aca="false">PROPER(TRIM(raw_data!I62))</f>
        <v>Guwahati</v>
      </c>
      <c r="O62" s="3" t="str">
        <f aca="false">PROPER(TRIM(raw_data!J62))</f>
        <v>Office Supplies</v>
      </c>
      <c r="P62" s="3" t="str">
        <f aca="false">PROPER(TRIM(raw_data!K62))</f>
        <v>Labels</v>
      </c>
      <c r="Q62" s="3" t="str">
        <f aca="false">TRIM(raw_data!L62)</f>
        <v>Eco Labels 210</v>
      </c>
      <c r="R62" s="3" t="str">
        <f aca="false">IF(TRIM(raw_data!M62)="","Unknown",PROPER(TRIM(raw_data!M62)))</f>
        <v>Same Day</v>
      </c>
      <c r="S62" s="3" t="str">
        <f aca="false">IF(TRIM(raw_data!M62)="","Filled - Unknown","OK")</f>
        <v>OK</v>
      </c>
      <c r="T62" s="6" t="n">
        <f aca="false">raw_data!N62</f>
        <v>3</v>
      </c>
      <c r="U62" s="7" t="n">
        <f aca="false">raw_data!O62</f>
        <v>275.76</v>
      </c>
      <c r="V62" s="8" t="n">
        <f aca="false">raw_data!P62</f>
        <v>0.2</v>
      </c>
      <c r="W62" s="8" t="n">
        <f aca="false">IF(raw_data!P62="",0,IF(ISTEXT(raw_data!P62),IF(RIGHT(raw_data!P62,1)="%",VALUE(LEFT(raw_data!P62,LEN(raw_data!P62)-1))/100,VALUE(raw_data!P62)),raw_data!P62))</f>
        <v>0.2</v>
      </c>
      <c r="X62" s="3" t="str">
        <f aca="false">IF(raw_data!P62="","Missing - Defaulted to 0",IF(W62&lt;0,"Negative - Invalid",IF(W62&gt;0.3,"Above Allowed Range - Invalid","Valid")))</f>
        <v>Valid</v>
      </c>
      <c r="Y62" s="7" t="n">
        <f aca="false">raw_data!Q62</f>
        <v>661.82</v>
      </c>
      <c r="Z62" s="7" t="n">
        <f aca="false">raw_data!R62</f>
        <v>481.47</v>
      </c>
      <c r="AA62" s="7" t="n">
        <f aca="false">raw_data!S62</f>
        <v>180.35</v>
      </c>
      <c r="AB62" s="3" t="str">
        <f aca="false">PROPER(TRIM(raw_data!T62))</f>
        <v>Refunded</v>
      </c>
      <c r="AC62" s="3" t="str">
        <f aca="false">PROPER(TRIM(raw_data!U62))</f>
        <v>Cancelled</v>
      </c>
      <c r="AD62" s="7" t="n">
        <f aca="false">T62*U62*(1-W62)</f>
        <v>661.824</v>
      </c>
      <c r="AE62" s="7" t="n">
        <f aca="false">AD62-Z62</f>
        <v>180.354</v>
      </c>
      <c r="AF62" s="8" t="n">
        <f aca="false">IF(AD62=0,0,AE62/AD62)</f>
        <v>0.272510516391065</v>
      </c>
      <c r="AG62" s="3" t="str">
        <f aca="false">IF(ABS(Y62-AD62)&gt;1,"Mismatch","OK")</f>
        <v>OK</v>
      </c>
      <c r="AH62" s="3" t="str">
        <f aca="false">IF(ABS(AA62-AE62)&gt;1,"Mismatch","OK")</f>
        <v>OK</v>
      </c>
      <c r="AI62" s="6" t="n">
        <f aca="false">IF(B62="","",MONTH(B62))</f>
        <v>7</v>
      </c>
      <c r="AJ62" s="6" t="n">
        <f aca="false">IF(B62="","",YEAR(B62))</f>
        <v>2024</v>
      </c>
      <c r="AK62" s="3" t="str">
        <f aca="false">IF(COUNTIF(raw_data!$A$2:$A$913,A62)&gt;1,"Conflicting Duplicate - Flagged for Review","Unique")</f>
        <v>Unique</v>
      </c>
      <c r="AL62" s="3" t="str">
        <f aca="false">IF(AB62="Refunded","Yes","No")</f>
        <v>Yes</v>
      </c>
      <c r="AM62" s="3" t="str">
        <f aca="false">IF(OR(AC62&lt;&gt;"Completed",AB62="Failed"),"Excluded","Included")</f>
        <v>Excluded</v>
      </c>
      <c r="AN62" s="3" t="str">
        <f aca="false">IF(OR(D62="Invalid/Unrecognized",E62="Invalid/Unrecognized",G62="Invalid - Ship Before Order",X62="Negative - Invalid",X62="Above Allowed Range - Invalid",AG62="Mismatch",AH62="Mismatch",AK62="Conflicting Duplicate - Flagged for Review"),"Invalid",IF(OR(L62="Filled - Unknown",S62="Filled - Unknown",X62="Missing - Defaulted to 0",AL62="Yes",AC62="Cancelled",AC62="Returned"),"Warning","Clean"))</f>
        <v>Warning</v>
      </c>
    </row>
    <row r="63" customFormat="false" ht="15" hidden="false" customHeight="false" outlineLevel="0" collapsed="false">
      <c r="A63" s="3" t="str">
        <f aca="false">raw_data!A63</f>
        <v>ORD-2024-10062</v>
      </c>
      <c r="B63" s="4" t="n">
        <f aca="false">IFERROR(IF(MID(raw_data!B63,3,1)="/",DATE(VALUE(RIGHT(raw_data!B63,4)),VALUE(LEFT(raw_data!B63,2)),VALUE(MID(raw_data!B63,4,2))),IF(MID(raw_data!B63,3,1)="-",DATE(VALUE(RIGHT(raw_data!B63,4)),VALUE(MID(raw_data!B63,4,2)),VALUE(LEFT(raw_data!B63,2))),IF(MID(raw_data!B63,5,1)="-",DATE(VALUE(LEFT(raw_data!B63,4)),VALUE(MID(raw_data!B63,6,2)),VALUE(RIGHT(raw_data!B63,2))),DATE(VALUE(RIGHT(raw_data!B63,4)),MATCH(MID(raw_data!B63,4,3),{"Jan","Feb","Mar","Apr","May","Jun","Jul","Aug","Sep","Oct","Nov","Dec"},0),VALUE(LEFT(raw_data!B63,2)))))),"")</f>
        <v>45398</v>
      </c>
      <c r="C63" s="4" t="n">
        <f aca="false">IFERROR(IF(MID(raw_data!C63,3,1)="/",DATE(VALUE(RIGHT(raw_data!C63,4)),VALUE(LEFT(raw_data!C63,2)),VALUE(MID(raw_data!C63,4,2))),IF(MID(raw_data!C63,3,1)="-",DATE(VALUE(RIGHT(raw_data!C63,4)),VALUE(MID(raw_data!C63,4,2)),VALUE(LEFT(raw_data!C63,2))),IF(MID(raw_data!C63,5,1)="-",DATE(VALUE(LEFT(raw_data!C63,4)),VALUE(MID(raw_data!C63,6,2)),VALUE(RIGHT(raw_data!C63,2))),DATE(VALUE(RIGHT(raw_data!C63,4)),MATCH(MID(raw_data!C63,4,3),{"Jan","Feb","Mar","Apr","May","Jun","Jul","Aug","Sep","Oct","Nov","Dec"},0),VALUE(LEFT(raw_data!C63,2)))))),"")</f>
        <v>45398</v>
      </c>
      <c r="D63" s="3" t="str">
        <f aca="false">IF(TRIM(raw_data!B63)="","Missing",IF(B63="","Invalid/Unrecognized","Valid"))</f>
        <v>Valid</v>
      </c>
      <c r="E63" s="3" t="str">
        <f aca="false">IF(TRIM(raw_data!C63)="","Missing",IF(C63="","Invalid/Unrecognized","Valid"))</f>
        <v>Valid</v>
      </c>
      <c r="F63" s="5" t="n">
        <f aca="false">IF(OR(B63="",C63=""),"",C63-B63)</f>
        <v>0</v>
      </c>
      <c r="G63" s="3" t="str">
        <f aca="false">IF(F63="","N/A",IF(F63&lt;0,"Invalid - Ship Before Order","OK"))</f>
        <v>OK</v>
      </c>
      <c r="H63" s="3" t="str">
        <f aca="false">raw_data!D63</f>
        <v>CUST-7008</v>
      </c>
      <c r="I63" s="3" t="str">
        <f aca="false">PROPER(TRIM(raw_data!E63))</f>
        <v>Vikram Iyer</v>
      </c>
      <c r="J63" s="3" t="str">
        <f aca="false">PROPER(TRIM(raw_data!F63))</f>
        <v>Home Office</v>
      </c>
      <c r="K63" s="3" t="str">
        <f aca="false">IF(TRIM(raw_data!G63)="","Unknown",PROPER(TRIM(raw_data!G63)))</f>
        <v>East</v>
      </c>
      <c r="L63" s="3" t="str">
        <f aca="false">IF(TRIM(raw_data!G63)="","Filled - Unknown","OK")</f>
        <v>OK</v>
      </c>
      <c r="M63" s="3" t="str">
        <f aca="false">PROPER(TRIM(raw_data!H63))</f>
        <v>Bihar</v>
      </c>
      <c r="N63" s="3" t="str">
        <f aca="false">PROPER(TRIM(raw_data!I63))</f>
        <v>Patna</v>
      </c>
      <c r="O63" s="3" t="str">
        <f aca="false">PROPER(TRIM(raw_data!J63))</f>
        <v>Furniture</v>
      </c>
      <c r="P63" s="3" t="str">
        <f aca="false">PROPER(TRIM(raw_data!K63))</f>
        <v>Bookcases</v>
      </c>
      <c r="Q63" s="3" t="str">
        <f aca="false">TRIM(raw_data!L63)</f>
        <v>Classic Bookcases 296</v>
      </c>
      <c r="R63" s="3" t="str">
        <f aca="false">IF(TRIM(raw_data!M63)="","Unknown",PROPER(TRIM(raw_data!M63)))</f>
        <v>Standard Class</v>
      </c>
      <c r="S63" s="3" t="str">
        <f aca="false">IF(TRIM(raw_data!M63)="","Filled - Unknown","OK")</f>
        <v>OK</v>
      </c>
      <c r="T63" s="6" t="n">
        <f aca="false">raw_data!N63</f>
        <v>1</v>
      </c>
      <c r="U63" s="7" t="n">
        <f aca="false">raw_data!O63</f>
        <v>949.59</v>
      </c>
      <c r="V63" s="8" t="n">
        <f aca="false">raw_data!P63</f>
        <v>0</v>
      </c>
      <c r="W63" s="8" t="n">
        <f aca="false">IF(raw_data!P63="",0,IF(ISTEXT(raw_data!P63),IF(RIGHT(raw_data!P63,1)="%",VALUE(LEFT(raw_data!P63,LEN(raw_data!P63)-1))/100,VALUE(raw_data!P63)),raw_data!P63))</f>
        <v>0</v>
      </c>
      <c r="X63" s="3" t="str">
        <f aca="false">IF(raw_data!P63="","Missing - Defaulted to 0",IF(W63&lt;0,"Negative - Invalid",IF(W63&gt;0.3,"Above Allowed Range - Invalid","Valid")))</f>
        <v>Valid</v>
      </c>
      <c r="Y63" s="7" t="n">
        <f aca="false">raw_data!Q63</f>
        <v>949.59</v>
      </c>
      <c r="Z63" s="7" t="n">
        <f aca="false">raw_data!R63</f>
        <v>751.25</v>
      </c>
      <c r="AA63" s="7" t="n">
        <f aca="false">raw_data!S63</f>
        <v>198.34</v>
      </c>
      <c r="AB63" s="3" t="str">
        <f aca="false">PROPER(TRIM(raw_data!T63))</f>
        <v>Paid</v>
      </c>
      <c r="AC63" s="3" t="str">
        <f aca="false">PROPER(TRIM(raw_data!U63))</f>
        <v>Completed</v>
      </c>
      <c r="AD63" s="7" t="n">
        <f aca="false">T63*U63*(1-W63)</f>
        <v>949.59</v>
      </c>
      <c r="AE63" s="7" t="n">
        <f aca="false">AD63-Z63</f>
        <v>198.34</v>
      </c>
      <c r="AF63" s="8" t="n">
        <f aca="false">IF(AD63=0,0,AE63/AD63)</f>
        <v>0.208869090870797</v>
      </c>
      <c r="AG63" s="3" t="str">
        <f aca="false">IF(ABS(Y63-AD63)&gt;1,"Mismatch","OK")</f>
        <v>OK</v>
      </c>
      <c r="AH63" s="3" t="str">
        <f aca="false">IF(ABS(AA63-AE63)&gt;1,"Mismatch","OK")</f>
        <v>OK</v>
      </c>
      <c r="AI63" s="6" t="n">
        <f aca="false">IF(B63="","",MONTH(B63))</f>
        <v>4</v>
      </c>
      <c r="AJ63" s="6" t="n">
        <f aca="false">IF(B63="","",YEAR(B63))</f>
        <v>2024</v>
      </c>
      <c r="AK63" s="3" t="str">
        <f aca="false">IF(COUNTIF(raw_data!$A$2:$A$913,A63)&gt;1,"Conflicting Duplicate - Flagged for Review","Unique")</f>
        <v>Unique</v>
      </c>
      <c r="AL63" s="3" t="str">
        <f aca="false">IF(AB63="Refunded","Yes","No")</f>
        <v>No</v>
      </c>
      <c r="AM63" s="3" t="str">
        <f aca="false">IF(OR(AC63&lt;&gt;"Completed",AB63="Failed"),"Excluded","Included")</f>
        <v>Included</v>
      </c>
      <c r="AN63" s="3" t="str">
        <f aca="false">IF(OR(D63="Invalid/Unrecognized",E63="Invalid/Unrecognized",G63="Invalid - Ship Before Order",X63="Negative - Invalid",X63="Above Allowed Range - Invalid",AG63="Mismatch",AH63="Mismatch",AK63="Conflicting Duplicate - Flagged for Review"),"Invalid",IF(OR(L63="Filled - Unknown",S63="Filled - Unknown",X63="Missing - Defaulted to 0",AL63="Yes",AC63="Cancelled",AC63="Returned"),"Warning","Clean"))</f>
        <v>Clean</v>
      </c>
    </row>
    <row r="64" customFormat="false" ht="15" hidden="false" customHeight="false" outlineLevel="0" collapsed="false">
      <c r="A64" s="3" t="str">
        <f aca="false">raw_data!A64</f>
        <v>ORD-2024-10063</v>
      </c>
      <c r="B64" s="4" t="n">
        <f aca="false">IFERROR(IF(MID(raw_data!B64,3,1)="/",DATE(VALUE(RIGHT(raw_data!B64,4)),VALUE(LEFT(raw_data!B64,2)),VALUE(MID(raw_data!B64,4,2))),IF(MID(raw_data!B64,3,1)="-",DATE(VALUE(RIGHT(raw_data!B64,4)),VALUE(MID(raw_data!B64,4,2)),VALUE(LEFT(raw_data!B64,2))),IF(MID(raw_data!B64,5,1)="-",DATE(VALUE(LEFT(raw_data!B64,4)),VALUE(MID(raw_data!B64,6,2)),VALUE(RIGHT(raw_data!B64,2))),DATE(VALUE(RIGHT(raw_data!B64,4)),MATCH(MID(raw_data!B64,4,3),{"Jan","Feb","Mar","Apr","May","Jun","Jul","Aug","Sep","Oct","Nov","Dec"},0),VALUE(LEFT(raw_data!B64,2)))))),"")</f>
        <v>45595</v>
      </c>
      <c r="C64" s="4" t="n">
        <f aca="false">IFERROR(IF(MID(raw_data!C64,3,1)="/",DATE(VALUE(RIGHT(raw_data!C64,4)),VALUE(LEFT(raw_data!C64,2)),VALUE(MID(raw_data!C64,4,2))),IF(MID(raw_data!C64,3,1)="-",DATE(VALUE(RIGHT(raw_data!C64,4)),VALUE(MID(raw_data!C64,4,2)),VALUE(LEFT(raw_data!C64,2))),IF(MID(raw_data!C64,5,1)="-",DATE(VALUE(LEFT(raw_data!C64,4)),VALUE(MID(raw_data!C64,6,2)),VALUE(RIGHT(raw_data!C64,2))),DATE(VALUE(RIGHT(raw_data!C64,4)),MATCH(MID(raw_data!C64,4,3),{"Jan","Feb","Mar","Apr","May","Jun","Jul","Aug","Sep","Oct","Nov","Dec"},0),VALUE(LEFT(raw_data!C64,2)))))),"")</f>
        <v>45598</v>
      </c>
      <c r="D64" s="3" t="str">
        <f aca="false">IF(TRIM(raw_data!B64)="","Missing",IF(B64="","Invalid/Unrecognized","Valid"))</f>
        <v>Valid</v>
      </c>
      <c r="E64" s="3" t="str">
        <f aca="false">IF(TRIM(raw_data!C64)="","Missing",IF(C64="","Invalid/Unrecognized","Valid"))</f>
        <v>Valid</v>
      </c>
      <c r="F64" s="5" t="n">
        <f aca="false">IF(OR(B64="",C64=""),"",C64-B64)</f>
        <v>3</v>
      </c>
      <c r="G64" s="3" t="str">
        <f aca="false">IF(F64="","N/A",IF(F64&lt;0,"Invalid - Ship Before Order","OK"))</f>
        <v>OK</v>
      </c>
      <c r="H64" s="3" t="str">
        <f aca="false">raw_data!D64</f>
        <v>CUST-4900</v>
      </c>
      <c r="I64" s="3" t="str">
        <f aca="false">PROPER(TRIM(raw_data!E64))</f>
        <v>Sneha Kapoor</v>
      </c>
      <c r="J64" s="3" t="str">
        <f aca="false">PROPER(TRIM(raw_data!F64))</f>
        <v>Home Office</v>
      </c>
      <c r="K64" s="3" t="str">
        <f aca="false">IF(TRIM(raw_data!G64)="","Unknown",PROPER(TRIM(raw_data!G64)))</f>
        <v>North</v>
      </c>
      <c r="L64" s="3" t="str">
        <f aca="false">IF(TRIM(raw_data!G64)="","Filled - Unknown","OK")</f>
        <v>OK</v>
      </c>
      <c r="M64" s="3" t="str">
        <f aca="false">PROPER(TRIM(raw_data!H64))</f>
        <v>Rajasthan</v>
      </c>
      <c r="N64" s="3" t="str">
        <f aca="false">PROPER(TRIM(raw_data!I64))</f>
        <v>Jaipur</v>
      </c>
      <c r="O64" s="3" t="str">
        <f aca="false">PROPER(TRIM(raw_data!J64))</f>
        <v>Technology</v>
      </c>
      <c r="P64" s="3" t="str">
        <f aca="false">PROPER(TRIM(raw_data!K64))</f>
        <v>Phones</v>
      </c>
      <c r="Q64" s="3" t="str">
        <f aca="false">TRIM(raw_data!L64)</f>
        <v>Basic Phones 230</v>
      </c>
      <c r="R64" s="3" t="str">
        <f aca="false">IF(TRIM(raw_data!M64)="","Unknown",PROPER(TRIM(raw_data!M64)))</f>
        <v>Standard Class</v>
      </c>
      <c r="S64" s="3" t="str">
        <f aca="false">IF(TRIM(raw_data!M64)="","Filled - Unknown","OK")</f>
        <v>OK</v>
      </c>
      <c r="T64" s="6" t="n">
        <f aca="false">raw_data!N64</f>
        <v>9</v>
      </c>
      <c r="U64" s="7" t="n">
        <f aca="false">raw_data!O64</f>
        <v>3042.29</v>
      </c>
      <c r="V64" s="8" t="n">
        <f aca="false">raw_data!P64</f>
        <v>0.2</v>
      </c>
      <c r="W64" s="8" t="n">
        <f aca="false">IF(raw_data!P64="",0,IF(ISTEXT(raw_data!P64),IF(RIGHT(raw_data!P64,1)="%",VALUE(LEFT(raw_data!P64,LEN(raw_data!P64)-1))/100,VALUE(raw_data!P64)),raw_data!P64))</f>
        <v>0.2</v>
      </c>
      <c r="X64" s="3" t="str">
        <f aca="false">IF(raw_data!P64="","Missing - Defaulted to 0",IF(W64&lt;0,"Negative - Invalid",IF(W64&gt;0.3,"Above Allowed Range - Invalid","Valid")))</f>
        <v>Valid</v>
      </c>
      <c r="Y64" s="7" t="n">
        <f aca="false">raw_data!Q64</f>
        <v>21904.49</v>
      </c>
      <c r="Z64" s="7" t="n">
        <f aca="false">raw_data!R64</f>
        <v>13570.55</v>
      </c>
      <c r="AA64" s="7" t="n">
        <f aca="false">raw_data!S64</f>
        <v>8333.94</v>
      </c>
      <c r="AB64" s="3" t="str">
        <f aca="false">PROPER(TRIM(raw_data!T64))</f>
        <v>Paid</v>
      </c>
      <c r="AC64" s="3" t="str">
        <f aca="false">PROPER(TRIM(raw_data!U64))</f>
        <v>Completed</v>
      </c>
      <c r="AD64" s="7" t="n">
        <f aca="false">T64*U64*(1-W64)</f>
        <v>21904.488</v>
      </c>
      <c r="AE64" s="7" t="n">
        <f aca="false">AD64-Z64</f>
        <v>8333.938</v>
      </c>
      <c r="AF64" s="8" t="n">
        <f aca="false">IF(AD64=0,0,AE64/AD64)</f>
        <v>0.380467144450032</v>
      </c>
      <c r="AG64" s="3" t="str">
        <f aca="false">IF(ABS(Y64-AD64)&gt;1,"Mismatch","OK")</f>
        <v>OK</v>
      </c>
      <c r="AH64" s="3" t="str">
        <f aca="false">IF(ABS(AA64-AE64)&gt;1,"Mismatch","OK")</f>
        <v>OK</v>
      </c>
      <c r="AI64" s="6" t="n">
        <f aca="false">IF(B64="","",MONTH(B64))</f>
        <v>10</v>
      </c>
      <c r="AJ64" s="6" t="n">
        <f aca="false">IF(B64="","",YEAR(B64))</f>
        <v>2024</v>
      </c>
      <c r="AK64" s="3" t="str">
        <f aca="false">IF(COUNTIF(raw_data!$A$2:$A$913,A64)&gt;1,"Conflicting Duplicate - Flagged for Review","Unique")</f>
        <v>Unique</v>
      </c>
      <c r="AL64" s="3" t="str">
        <f aca="false">IF(AB64="Refunded","Yes","No")</f>
        <v>No</v>
      </c>
      <c r="AM64" s="3" t="str">
        <f aca="false">IF(OR(AC64&lt;&gt;"Completed",AB64="Failed"),"Excluded","Included")</f>
        <v>Included</v>
      </c>
      <c r="AN64" s="3" t="str">
        <f aca="false">IF(OR(D64="Invalid/Unrecognized",E64="Invalid/Unrecognized",G64="Invalid - Ship Before Order",X64="Negative - Invalid",X64="Above Allowed Range - Invalid",AG64="Mismatch",AH64="Mismatch",AK64="Conflicting Duplicate - Flagged for Review"),"Invalid",IF(OR(L64="Filled - Unknown",S64="Filled - Unknown",X64="Missing - Defaulted to 0",AL64="Yes",AC64="Cancelled",AC64="Returned"),"Warning","Clean"))</f>
        <v>Clean</v>
      </c>
    </row>
    <row r="65" customFormat="false" ht="15" hidden="false" customHeight="false" outlineLevel="0" collapsed="false">
      <c r="A65" s="3" t="str">
        <f aca="false">raw_data!A65</f>
        <v>ORD-2024-10064</v>
      </c>
      <c r="B65" s="4" t="n">
        <f aca="false">IFERROR(IF(MID(raw_data!B65,3,1)="/",DATE(VALUE(RIGHT(raw_data!B65,4)),VALUE(LEFT(raw_data!B65,2)),VALUE(MID(raw_data!B65,4,2))),IF(MID(raw_data!B65,3,1)="-",DATE(VALUE(RIGHT(raw_data!B65,4)),VALUE(MID(raw_data!B65,4,2)),VALUE(LEFT(raw_data!B65,2))),IF(MID(raw_data!B65,5,1)="-",DATE(VALUE(LEFT(raw_data!B65,4)),VALUE(MID(raw_data!B65,6,2)),VALUE(RIGHT(raw_data!B65,2))),DATE(VALUE(RIGHT(raw_data!B65,4)),MATCH(MID(raw_data!B65,4,3),{"Jan","Feb","Mar","Apr","May","Jun","Jul","Aug","Sep","Oct","Nov","Dec"},0),VALUE(LEFT(raw_data!B65,2)))))),"")</f>
        <v>45316</v>
      </c>
      <c r="C65" s="4" t="n">
        <f aca="false">IFERROR(IF(MID(raw_data!C65,3,1)="/",DATE(VALUE(RIGHT(raw_data!C65,4)),VALUE(LEFT(raw_data!C65,2)),VALUE(MID(raw_data!C65,4,2))),IF(MID(raw_data!C65,3,1)="-",DATE(VALUE(RIGHT(raw_data!C65,4)),VALUE(MID(raw_data!C65,4,2)),VALUE(LEFT(raw_data!C65,2))),IF(MID(raw_data!C65,5,1)="-",DATE(VALUE(LEFT(raw_data!C65,4)),VALUE(MID(raw_data!C65,6,2)),VALUE(RIGHT(raw_data!C65,2))),DATE(VALUE(RIGHT(raw_data!C65,4)),MATCH(MID(raw_data!C65,4,3),{"Jan","Feb","Mar","Apr","May","Jun","Jul","Aug","Sep","Oct","Nov","Dec"},0),VALUE(LEFT(raw_data!C65,2)))))),"")</f>
        <v>45323</v>
      </c>
      <c r="D65" s="3" t="str">
        <f aca="false">IF(TRIM(raw_data!B65)="","Missing",IF(B65="","Invalid/Unrecognized","Valid"))</f>
        <v>Valid</v>
      </c>
      <c r="E65" s="3" t="str">
        <f aca="false">IF(TRIM(raw_data!C65)="","Missing",IF(C65="","Invalid/Unrecognized","Valid"))</f>
        <v>Valid</v>
      </c>
      <c r="F65" s="5" t="n">
        <f aca="false">IF(OR(B65="",C65=""),"",C65-B65)</f>
        <v>7</v>
      </c>
      <c r="G65" s="3" t="str">
        <f aca="false">IF(F65="","N/A",IF(F65&lt;0,"Invalid - Ship Before Order","OK"))</f>
        <v>OK</v>
      </c>
      <c r="H65" s="3" t="str">
        <f aca="false">raw_data!D65</f>
        <v>CUST-5382</v>
      </c>
      <c r="I65" s="3" t="str">
        <f aca="false">PROPER(TRIM(raw_data!E65))</f>
        <v>Sneha Kapoor</v>
      </c>
      <c r="J65" s="3" t="str">
        <f aca="false">PROPER(TRIM(raw_data!F65))</f>
        <v>Home Office</v>
      </c>
      <c r="K65" s="3" t="str">
        <f aca="false">IF(TRIM(raw_data!G65)="","Unknown",PROPER(TRIM(raw_data!G65)))</f>
        <v>North</v>
      </c>
      <c r="L65" s="3" t="str">
        <f aca="false">IF(TRIM(raw_data!G65)="","Filled - Unknown","OK")</f>
        <v>OK</v>
      </c>
      <c r="M65" s="3" t="str">
        <f aca="false">PROPER(TRIM(raw_data!H65))</f>
        <v>Haryana</v>
      </c>
      <c r="N65" s="3" t="str">
        <f aca="false">PROPER(TRIM(raw_data!I65))</f>
        <v>Gurugram</v>
      </c>
      <c r="O65" s="3" t="str">
        <f aca="false">PROPER(TRIM(raw_data!J65))</f>
        <v>Office Supplies</v>
      </c>
      <c r="P65" s="3" t="str">
        <f aca="false">PROPER(TRIM(raw_data!K65))</f>
        <v>Binders</v>
      </c>
      <c r="Q65" s="3" t="str">
        <f aca="false">TRIM(raw_data!L65)</f>
        <v>Pro Binders 690</v>
      </c>
      <c r="R65" s="3" t="str">
        <f aca="false">IF(TRIM(raw_data!M65)="","Unknown",PROPER(TRIM(raw_data!M65)))</f>
        <v>Same Day</v>
      </c>
      <c r="S65" s="3" t="str">
        <f aca="false">IF(TRIM(raw_data!M65)="","Filled - Unknown","OK")</f>
        <v>OK</v>
      </c>
      <c r="T65" s="6" t="n">
        <f aca="false">raw_data!N65</f>
        <v>2</v>
      </c>
      <c r="U65" s="7" t="n">
        <f aca="false">raw_data!O65</f>
        <v>2832.77</v>
      </c>
      <c r="V65" s="8" t="n">
        <f aca="false">raw_data!P65</f>
        <v>0.15</v>
      </c>
      <c r="W65" s="8" t="n">
        <f aca="false">IF(raw_data!P65="",0,IF(ISTEXT(raw_data!P65),IF(RIGHT(raw_data!P65,1)="%",VALUE(LEFT(raw_data!P65,LEN(raw_data!P65)-1))/100,VALUE(raw_data!P65)),raw_data!P65))</f>
        <v>0.15</v>
      </c>
      <c r="X65" s="3" t="str">
        <f aca="false">IF(raw_data!P65="","Missing - Defaulted to 0",IF(W65&lt;0,"Negative - Invalid",IF(W65&gt;0.3,"Above Allowed Range - Invalid","Valid")))</f>
        <v>Valid</v>
      </c>
      <c r="Y65" s="7" t="n">
        <f aca="false">raw_data!Q65</f>
        <v>4815.71</v>
      </c>
      <c r="Z65" s="7" t="n">
        <f aca="false">raw_data!R65</f>
        <v>3027.75</v>
      </c>
      <c r="AA65" s="7" t="n">
        <f aca="false">raw_data!S65</f>
        <v>1917.47</v>
      </c>
      <c r="AB65" s="3" t="str">
        <f aca="false">PROPER(TRIM(raw_data!T65))</f>
        <v>Paid</v>
      </c>
      <c r="AC65" s="3" t="str">
        <f aca="false">PROPER(TRIM(raw_data!U65))</f>
        <v>Completed</v>
      </c>
      <c r="AD65" s="7" t="n">
        <f aca="false">T65*U65*(1-W65)</f>
        <v>4815.709</v>
      </c>
      <c r="AE65" s="7" t="n">
        <f aca="false">AD65-Z65</f>
        <v>1787.959</v>
      </c>
      <c r="AF65" s="8" t="n">
        <f aca="false">IF(AD65=0,0,AE65/AD65)</f>
        <v>0.3712763790337</v>
      </c>
      <c r="AG65" s="3" t="str">
        <f aca="false">IF(ABS(Y65-AD65)&gt;1,"Mismatch","OK")</f>
        <v>OK</v>
      </c>
      <c r="AH65" s="3" t="str">
        <f aca="false">IF(ABS(AA65-AE65)&gt;1,"Mismatch","OK")</f>
        <v>Mismatch</v>
      </c>
      <c r="AI65" s="6" t="n">
        <f aca="false">IF(B65="","",MONTH(B65))</f>
        <v>1</v>
      </c>
      <c r="AJ65" s="6" t="n">
        <f aca="false">IF(B65="","",YEAR(B65))</f>
        <v>2024</v>
      </c>
      <c r="AK65" s="3" t="str">
        <f aca="false">IF(COUNTIF(raw_data!$A$2:$A$913,A65)&gt;1,"Conflicting Duplicate - Flagged for Review","Unique")</f>
        <v>Unique</v>
      </c>
      <c r="AL65" s="3" t="str">
        <f aca="false">IF(AB65="Refunded","Yes","No")</f>
        <v>No</v>
      </c>
      <c r="AM65" s="3" t="str">
        <f aca="false">IF(OR(AC65&lt;&gt;"Completed",AB65="Failed"),"Excluded","Included")</f>
        <v>Included</v>
      </c>
      <c r="AN65" s="3" t="str">
        <f aca="false">IF(OR(D65="Invalid/Unrecognized",E65="Invalid/Unrecognized",G65="Invalid - Ship Before Order",X65="Negative - Invalid",X65="Above Allowed Range - Invalid",AG65="Mismatch",AH65="Mismatch",AK65="Conflicting Duplicate - Flagged for Review"),"Invalid",IF(OR(L65="Filled - Unknown",S65="Filled - Unknown",X65="Missing - Defaulted to 0",AL65="Yes",AC65="Cancelled",AC65="Returned"),"Warning","Clean"))</f>
        <v>Invalid</v>
      </c>
    </row>
    <row r="66" customFormat="false" ht="15" hidden="false" customHeight="false" outlineLevel="0" collapsed="false">
      <c r="A66" s="3" t="str">
        <f aca="false">raw_data!A66</f>
        <v>ORD-2024-10065</v>
      </c>
      <c r="B66" s="4" t="n">
        <f aca="false">IFERROR(IF(MID(raw_data!B66,3,1)="/",DATE(VALUE(RIGHT(raw_data!B66,4)),VALUE(LEFT(raw_data!B66,2)),VALUE(MID(raw_data!B66,4,2))),IF(MID(raw_data!B66,3,1)="-",DATE(VALUE(RIGHT(raw_data!B66,4)),VALUE(MID(raw_data!B66,4,2)),VALUE(LEFT(raw_data!B66,2))),IF(MID(raw_data!B66,5,1)="-",DATE(VALUE(LEFT(raw_data!B66,4)),VALUE(MID(raw_data!B66,6,2)),VALUE(RIGHT(raw_data!B66,2))),DATE(VALUE(RIGHT(raw_data!B66,4)),MATCH(MID(raw_data!B66,4,3),{"Jan","Feb","Mar","Apr","May","Jun","Jul","Aug","Sep","Oct","Nov","Dec"},0),VALUE(LEFT(raw_data!B66,2)))))),"")</f>
        <v>45649</v>
      </c>
      <c r="C66" s="4" t="n">
        <f aca="false">IFERROR(IF(MID(raw_data!C66,3,1)="/",DATE(VALUE(RIGHT(raw_data!C66,4)),VALUE(LEFT(raw_data!C66,2)),VALUE(MID(raw_data!C66,4,2))),IF(MID(raw_data!C66,3,1)="-",DATE(VALUE(RIGHT(raw_data!C66,4)),VALUE(MID(raw_data!C66,4,2)),VALUE(LEFT(raw_data!C66,2))),IF(MID(raw_data!C66,5,1)="-",DATE(VALUE(LEFT(raw_data!C66,4)),VALUE(MID(raw_data!C66,6,2)),VALUE(RIGHT(raw_data!C66,2))),DATE(VALUE(RIGHT(raw_data!C66,4)),MATCH(MID(raw_data!C66,4,3),{"Jan","Feb","Mar","Apr","May","Jun","Jul","Aug","Sep","Oct","Nov","Dec"},0),VALUE(LEFT(raw_data!C66,2)))))),"")</f>
        <v>45655</v>
      </c>
      <c r="D66" s="3" t="str">
        <f aca="false">IF(TRIM(raw_data!B66)="","Missing",IF(B66="","Invalid/Unrecognized","Valid"))</f>
        <v>Valid</v>
      </c>
      <c r="E66" s="3" t="str">
        <f aca="false">IF(TRIM(raw_data!C66)="","Missing",IF(C66="","Invalid/Unrecognized","Valid"))</f>
        <v>Valid</v>
      </c>
      <c r="F66" s="5" t="n">
        <f aca="false">IF(OR(B66="",C66=""),"",C66-B66)</f>
        <v>6</v>
      </c>
      <c r="G66" s="3" t="str">
        <f aca="false">IF(F66="","N/A",IF(F66&lt;0,"Invalid - Ship Before Order","OK"))</f>
        <v>OK</v>
      </c>
      <c r="H66" s="3" t="str">
        <f aca="false">raw_data!D66</f>
        <v>CUST-2749</v>
      </c>
      <c r="I66" s="3" t="str">
        <f aca="false">PROPER(TRIM(raw_data!E66))</f>
        <v>Aarav Sharma</v>
      </c>
      <c r="J66" s="3" t="str">
        <f aca="false">PROPER(TRIM(raw_data!F66))</f>
        <v>Corporate</v>
      </c>
      <c r="K66" s="3" t="str">
        <f aca="false">IF(TRIM(raw_data!G66)="","Unknown",PROPER(TRIM(raw_data!G66)))</f>
        <v>East</v>
      </c>
      <c r="L66" s="3" t="str">
        <f aca="false">IF(TRIM(raw_data!G66)="","Filled - Unknown","OK")</f>
        <v>OK</v>
      </c>
      <c r="M66" s="3" t="str">
        <f aca="false">PROPER(TRIM(raw_data!H66))</f>
        <v>Jharkhand</v>
      </c>
      <c r="N66" s="3" t="str">
        <f aca="false">PROPER(TRIM(raw_data!I66))</f>
        <v>Ranchi</v>
      </c>
      <c r="O66" s="3" t="str">
        <f aca="false">PROPER(TRIM(raw_data!J66))</f>
        <v>Office Supplies</v>
      </c>
      <c r="P66" s="3" t="str">
        <f aca="false">PROPER(TRIM(raw_data!K66))</f>
        <v>Paper</v>
      </c>
      <c r="Q66" s="3" t="str">
        <f aca="false">TRIM(raw_data!L66)</f>
        <v>Classic Paper 458</v>
      </c>
      <c r="R66" s="3" t="str">
        <f aca="false">IF(TRIM(raw_data!M66)="","Unknown",PROPER(TRIM(raw_data!M66)))</f>
        <v>First Class</v>
      </c>
      <c r="S66" s="3" t="str">
        <f aca="false">IF(TRIM(raw_data!M66)="","Filled - Unknown","OK")</f>
        <v>OK</v>
      </c>
      <c r="T66" s="6" t="n">
        <f aca="false">raw_data!N66</f>
        <v>7</v>
      </c>
      <c r="U66" s="7" t="n">
        <f aca="false">raw_data!O66</f>
        <v>447.84</v>
      </c>
      <c r="V66" s="8" t="n">
        <f aca="false">raw_data!P66</f>
        <v>0</v>
      </c>
      <c r="W66" s="8" t="n">
        <f aca="false">IF(raw_data!P66="",0,IF(ISTEXT(raw_data!P66),IF(RIGHT(raw_data!P66,1)="%",VALUE(LEFT(raw_data!P66,LEN(raw_data!P66)-1))/100,VALUE(raw_data!P66)),raw_data!P66))</f>
        <v>0</v>
      </c>
      <c r="X66" s="3" t="str">
        <f aca="false">IF(raw_data!P66="","Missing - Defaulted to 0",IF(W66&lt;0,"Negative - Invalid",IF(W66&gt;0.3,"Above Allowed Range - Invalid","Valid")))</f>
        <v>Valid</v>
      </c>
      <c r="Y66" s="7" t="n">
        <f aca="false">raw_data!Q66</f>
        <v>3134.88</v>
      </c>
      <c r="Z66" s="7" t="n">
        <f aca="false">raw_data!R66</f>
        <v>2367.63</v>
      </c>
      <c r="AA66" s="7" t="n">
        <f aca="false">raw_data!S66</f>
        <v>767.25</v>
      </c>
      <c r="AB66" s="3" t="str">
        <f aca="false">PROPER(TRIM(raw_data!T66))</f>
        <v>Refunded</v>
      </c>
      <c r="AC66" s="3" t="str">
        <f aca="false">PROPER(TRIM(raw_data!U66))</f>
        <v>Returned</v>
      </c>
      <c r="AD66" s="7" t="n">
        <f aca="false">T66*U66*(1-W66)</f>
        <v>3134.88</v>
      </c>
      <c r="AE66" s="7" t="n">
        <f aca="false">AD66-Z66</f>
        <v>767.25</v>
      </c>
      <c r="AF66" s="8" t="n">
        <f aca="false">IF(AD66=0,0,AE66/AD66)</f>
        <v>0.244746210381259</v>
      </c>
      <c r="AG66" s="3" t="str">
        <f aca="false">IF(ABS(Y66-AD66)&gt;1,"Mismatch","OK")</f>
        <v>OK</v>
      </c>
      <c r="AH66" s="3" t="str">
        <f aca="false">IF(ABS(AA66-AE66)&gt;1,"Mismatch","OK")</f>
        <v>OK</v>
      </c>
      <c r="AI66" s="6" t="n">
        <f aca="false">IF(B66="","",MONTH(B66))</f>
        <v>12</v>
      </c>
      <c r="AJ66" s="6" t="n">
        <f aca="false">IF(B66="","",YEAR(B66))</f>
        <v>2024</v>
      </c>
      <c r="AK66" s="3" t="str">
        <f aca="false">IF(COUNTIF(raw_data!$A$2:$A$913,A66)&gt;1,"Conflicting Duplicate - Flagged for Review","Unique")</f>
        <v>Unique</v>
      </c>
      <c r="AL66" s="3" t="str">
        <f aca="false">IF(AB66="Refunded","Yes","No")</f>
        <v>Yes</v>
      </c>
      <c r="AM66" s="3" t="str">
        <f aca="false">IF(OR(AC66&lt;&gt;"Completed",AB66="Failed"),"Excluded","Included")</f>
        <v>Excluded</v>
      </c>
      <c r="AN66" s="3" t="str">
        <f aca="false">IF(OR(D66="Invalid/Unrecognized",E66="Invalid/Unrecognized",G66="Invalid - Ship Before Order",X66="Negative - Invalid",X66="Above Allowed Range - Invalid",AG66="Mismatch",AH66="Mismatch",AK66="Conflicting Duplicate - Flagged for Review"),"Invalid",IF(OR(L66="Filled - Unknown",S66="Filled - Unknown",X66="Missing - Defaulted to 0",AL66="Yes",AC66="Cancelled",AC66="Returned"),"Warning","Clean"))</f>
        <v>Warning</v>
      </c>
    </row>
    <row r="67" customFormat="false" ht="15" hidden="false" customHeight="false" outlineLevel="0" collapsed="false">
      <c r="A67" s="3" t="str">
        <f aca="false">raw_data!A67</f>
        <v>ORD-2024-10066</v>
      </c>
      <c r="B67" s="4" t="n">
        <f aca="false">IFERROR(IF(MID(raw_data!B67,3,1)="/",DATE(VALUE(RIGHT(raw_data!B67,4)),VALUE(LEFT(raw_data!B67,2)),VALUE(MID(raw_data!B67,4,2))),IF(MID(raw_data!B67,3,1)="-",DATE(VALUE(RIGHT(raw_data!B67,4)),VALUE(MID(raw_data!B67,4,2)),VALUE(LEFT(raw_data!B67,2))),IF(MID(raw_data!B67,5,1)="-",DATE(VALUE(LEFT(raw_data!B67,4)),VALUE(MID(raw_data!B67,6,2)),VALUE(RIGHT(raw_data!B67,2))),DATE(VALUE(RIGHT(raw_data!B67,4)),MATCH(MID(raw_data!B67,4,3),{"Jan","Feb","Mar","Apr","May","Jun","Jul","Aug","Sep","Oct","Nov","Dec"},0),VALUE(LEFT(raw_data!B67,2)))))),"")</f>
        <v>45404</v>
      </c>
      <c r="C67" s="4" t="n">
        <f aca="false">IFERROR(IF(MID(raw_data!C67,3,1)="/",DATE(VALUE(RIGHT(raw_data!C67,4)),VALUE(LEFT(raw_data!C67,2)),VALUE(MID(raw_data!C67,4,2))),IF(MID(raw_data!C67,3,1)="-",DATE(VALUE(RIGHT(raw_data!C67,4)),VALUE(MID(raw_data!C67,4,2)),VALUE(LEFT(raw_data!C67,2))),IF(MID(raw_data!C67,5,1)="-",DATE(VALUE(LEFT(raw_data!C67,4)),VALUE(MID(raw_data!C67,6,2)),VALUE(RIGHT(raw_data!C67,2))),DATE(VALUE(RIGHT(raw_data!C67,4)),MATCH(MID(raw_data!C67,4,3),{"Jan","Feb","Mar","Apr","May","Jun","Jul","Aug","Sep","Oct","Nov","Dec"},0),VALUE(LEFT(raw_data!C67,2)))))),"")</f>
        <v>45409</v>
      </c>
      <c r="D67" s="3" t="str">
        <f aca="false">IF(TRIM(raw_data!B67)="","Missing",IF(B67="","Invalid/Unrecognized","Valid"))</f>
        <v>Valid</v>
      </c>
      <c r="E67" s="3" t="str">
        <f aca="false">IF(TRIM(raw_data!C67)="","Missing",IF(C67="","Invalid/Unrecognized","Valid"))</f>
        <v>Valid</v>
      </c>
      <c r="F67" s="5" t="n">
        <f aca="false">IF(OR(B67="",C67=""),"",C67-B67)</f>
        <v>5</v>
      </c>
      <c r="G67" s="3" t="str">
        <f aca="false">IF(F67="","N/A",IF(F67&lt;0,"Invalid - Ship Before Order","OK"))</f>
        <v>OK</v>
      </c>
      <c r="H67" s="3" t="str">
        <f aca="false">raw_data!D67</f>
        <v>CUST-2463</v>
      </c>
      <c r="I67" s="3" t="str">
        <f aca="false">PROPER(TRIM(raw_data!E67))</f>
        <v>Mira Das</v>
      </c>
      <c r="J67" s="3" t="str">
        <f aca="false">PROPER(TRIM(raw_data!F67))</f>
        <v>Home Office</v>
      </c>
      <c r="K67" s="3" t="str">
        <f aca="false">IF(TRIM(raw_data!G67)="","Unknown",PROPER(TRIM(raw_data!G67)))</f>
        <v>West</v>
      </c>
      <c r="L67" s="3" t="str">
        <f aca="false">IF(TRIM(raw_data!G67)="","Filled - Unknown","OK")</f>
        <v>OK</v>
      </c>
      <c r="M67" s="3" t="str">
        <f aca="false">PROPER(TRIM(raw_data!H67))</f>
        <v>Maharashtra</v>
      </c>
      <c r="N67" s="3" t="str">
        <f aca="false">PROPER(TRIM(raw_data!I67))</f>
        <v>Mumbai</v>
      </c>
      <c r="O67" s="3" t="str">
        <f aca="false">PROPER(TRIM(raw_data!J67))</f>
        <v>Office Supplies</v>
      </c>
      <c r="P67" s="3" t="str">
        <f aca="false">PROPER(TRIM(raw_data!K67))</f>
        <v>Paper</v>
      </c>
      <c r="Q67" s="3" t="str">
        <f aca="false">TRIM(raw_data!L67)</f>
        <v>Pro Paper 552</v>
      </c>
      <c r="R67" s="3" t="str">
        <f aca="false">IF(TRIM(raw_data!M67)="","Unknown",PROPER(TRIM(raw_data!M67)))</f>
        <v>Second Class</v>
      </c>
      <c r="S67" s="3" t="str">
        <f aca="false">IF(TRIM(raw_data!M67)="","Filled - Unknown","OK")</f>
        <v>OK</v>
      </c>
      <c r="T67" s="6" t="n">
        <f aca="false">raw_data!N67</f>
        <v>1</v>
      </c>
      <c r="U67" s="7" t="n">
        <f aca="false">raw_data!O67</f>
        <v>4280.19</v>
      </c>
      <c r="V67" s="8" t="n">
        <f aca="false">raw_data!P67</f>
        <v>0.05</v>
      </c>
      <c r="W67" s="8" t="n">
        <f aca="false">IF(raw_data!P67="",0,IF(ISTEXT(raw_data!P67),IF(RIGHT(raw_data!P67,1)="%",VALUE(LEFT(raw_data!P67,LEN(raw_data!P67)-1))/100,VALUE(raw_data!P67)),raw_data!P67))</f>
        <v>0.05</v>
      </c>
      <c r="X67" s="3" t="str">
        <f aca="false">IF(raw_data!P67="","Missing - Defaulted to 0",IF(W67&lt;0,"Negative - Invalid",IF(W67&gt;0.3,"Above Allowed Range - Invalid","Valid")))</f>
        <v>Valid</v>
      </c>
      <c r="Y67" s="7" t="n">
        <f aca="false">raw_data!Q67</f>
        <v>4066.18</v>
      </c>
      <c r="Z67" s="7" t="n">
        <f aca="false">raw_data!R67</f>
        <v>2628.92</v>
      </c>
      <c r="AA67" s="7" t="n">
        <f aca="false">raw_data!S67</f>
        <v>1437.26</v>
      </c>
      <c r="AB67" s="3" t="str">
        <f aca="false">PROPER(TRIM(raw_data!T67))</f>
        <v>Paid</v>
      </c>
      <c r="AC67" s="3" t="str">
        <f aca="false">PROPER(TRIM(raw_data!U67))</f>
        <v>Completed</v>
      </c>
      <c r="AD67" s="7" t="n">
        <f aca="false">T67*U67*(1-W67)</f>
        <v>4066.1805</v>
      </c>
      <c r="AE67" s="7" t="n">
        <f aca="false">AD67-Z67</f>
        <v>1437.2605</v>
      </c>
      <c r="AF67" s="8" t="n">
        <f aca="false">IF(AD67=0,0,AE67/AD67)</f>
        <v>0.353466969801267</v>
      </c>
      <c r="AG67" s="3" t="str">
        <f aca="false">IF(ABS(Y67-AD67)&gt;1,"Mismatch","OK")</f>
        <v>OK</v>
      </c>
      <c r="AH67" s="3" t="str">
        <f aca="false">IF(ABS(AA67-AE67)&gt;1,"Mismatch","OK")</f>
        <v>OK</v>
      </c>
      <c r="AI67" s="6" t="n">
        <f aca="false">IF(B67="","",MONTH(B67))</f>
        <v>4</v>
      </c>
      <c r="AJ67" s="6" t="n">
        <f aca="false">IF(B67="","",YEAR(B67))</f>
        <v>2024</v>
      </c>
      <c r="AK67" s="3" t="str">
        <f aca="false">IF(COUNTIF(raw_data!$A$2:$A$913,A67)&gt;1,"Conflicting Duplicate - Flagged for Review","Unique")</f>
        <v>Unique</v>
      </c>
      <c r="AL67" s="3" t="str">
        <f aca="false">IF(AB67="Refunded","Yes","No")</f>
        <v>No</v>
      </c>
      <c r="AM67" s="3" t="str">
        <f aca="false">IF(OR(AC67&lt;&gt;"Completed",AB67="Failed"),"Excluded","Included")</f>
        <v>Included</v>
      </c>
      <c r="AN67" s="3" t="str">
        <f aca="false">IF(OR(D67="Invalid/Unrecognized",E67="Invalid/Unrecognized",G67="Invalid - Ship Before Order",X67="Negative - Invalid",X67="Above Allowed Range - Invalid",AG67="Mismatch",AH67="Mismatch",AK67="Conflicting Duplicate - Flagged for Review"),"Invalid",IF(OR(L67="Filled - Unknown",S67="Filled - Unknown",X67="Missing - Defaulted to 0",AL67="Yes",AC67="Cancelled",AC67="Returned"),"Warning","Clean"))</f>
        <v>Clean</v>
      </c>
    </row>
    <row r="68" customFormat="false" ht="15" hidden="false" customHeight="false" outlineLevel="0" collapsed="false">
      <c r="A68" s="3" t="str">
        <f aca="false">raw_data!A68</f>
        <v>ORD-2025-10067</v>
      </c>
      <c r="B68" s="4" t="n">
        <f aca="false">IFERROR(IF(MID(raw_data!B68,3,1)="/",DATE(VALUE(RIGHT(raw_data!B68,4)),VALUE(LEFT(raw_data!B68,2)),VALUE(MID(raw_data!B68,4,2))),IF(MID(raw_data!B68,3,1)="-",DATE(VALUE(RIGHT(raw_data!B68,4)),VALUE(MID(raw_data!B68,4,2)),VALUE(LEFT(raw_data!B68,2))),IF(MID(raw_data!B68,5,1)="-",DATE(VALUE(LEFT(raw_data!B68,4)),VALUE(MID(raw_data!B68,6,2)),VALUE(RIGHT(raw_data!B68,2))),DATE(VALUE(RIGHT(raw_data!B68,4)),MATCH(MID(raw_data!B68,4,3),{"Jan","Feb","Mar","Apr","May","Jun","Jul","Aug","Sep","Oct","Nov","Dec"},0),VALUE(LEFT(raw_data!B68,2)))))),"")</f>
        <v>45897</v>
      </c>
      <c r="C68" s="4" t="n">
        <f aca="false">IFERROR(IF(MID(raw_data!C68,3,1)="/",DATE(VALUE(RIGHT(raw_data!C68,4)),VALUE(LEFT(raw_data!C68,2)),VALUE(MID(raw_data!C68,4,2))),IF(MID(raw_data!C68,3,1)="-",DATE(VALUE(RIGHT(raw_data!C68,4)),VALUE(MID(raw_data!C68,4,2)),VALUE(LEFT(raw_data!C68,2))),IF(MID(raw_data!C68,5,1)="-",DATE(VALUE(LEFT(raw_data!C68,4)),VALUE(MID(raw_data!C68,6,2)),VALUE(RIGHT(raw_data!C68,2))),DATE(VALUE(RIGHT(raw_data!C68,4)),MATCH(MID(raw_data!C68,4,3),{"Jan","Feb","Mar","Apr","May","Jun","Jul","Aug","Sep","Oct","Nov","Dec"},0),VALUE(LEFT(raw_data!C68,2)))))),"")</f>
        <v>45901</v>
      </c>
      <c r="D68" s="3" t="str">
        <f aca="false">IF(TRIM(raw_data!B68)="","Missing",IF(B68="","Invalid/Unrecognized","Valid"))</f>
        <v>Valid</v>
      </c>
      <c r="E68" s="3" t="str">
        <f aca="false">IF(TRIM(raw_data!C68)="","Missing",IF(C68="","Invalid/Unrecognized","Valid"))</f>
        <v>Valid</v>
      </c>
      <c r="F68" s="5" t="n">
        <f aca="false">IF(OR(B68="",C68=""),"",C68-B68)</f>
        <v>4</v>
      </c>
      <c r="G68" s="3" t="str">
        <f aca="false">IF(F68="","N/A",IF(F68&lt;0,"Invalid - Ship Before Order","OK"))</f>
        <v>OK</v>
      </c>
      <c r="H68" s="3" t="str">
        <f aca="false">raw_data!D68</f>
        <v>CUST-1504</v>
      </c>
      <c r="I68" s="3" t="str">
        <f aca="false">PROPER(TRIM(raw_data!E68))</f>
        <v>Karan Malhotra</v>
      </c>
      <c r="J68" s="3" t="str">
        <f aca="false">PROPER(TRIM(raw_data!F68))</f>
        <v>Small Business</v>
      </c>
      <c r="K68" s="3" t="str">
        <f aca="false">IF(TRIM(raw_data!G68)="","Unknown",PROPER(TRIM(raw_data!G68)))</f>
        <v>South</v>
      </c>
      <c r="L68" s="3" t="str">
        <f aca="false">IF(TRIM(raw_data!G68)="","Filled - Unknown","OK")</f>
        <v>OK</v>
      </c>
      <c r="M68" s="3" t="str">
        <f aca="false">PROPER(TRIM(raw_data!H68))</f>
        <v>Tamil Nadu</v>
      </c>
      <c r="N68" s="3" t="str">
        <f aca="false">PROPER(TRIM(raw_data!I68))</f>
        <v>Chennai</v>
      </c>
      <c r="O68" s="3" t="str">
        <f aca="false">PROPER(TRIM(raw_data!J68))</f>
        <v>Technology</v>
      </c>
      <c r="P68" s="3" t="str">
        <f aca="false">PROPER(TRIM(raw_data!K68))</f>
        <v>Accessories</v>
      </c>
      <c r="Q68" s="3" t="str">
        <f aca="false">TRIM(raw_data!L68)</f>
        <v>Elite Accessories 187</v>
      </c>
      <c r="R68" s="3" t="str">
        <f aca="false">IF(TRIM(raw_data!M68)="","Unknown",PROPER(TRIM(raw_data!M68)))</f>
        <v>Same Day</v>
      </c>
      <c r="S68" s="3" t="str">
        <f aca="false">IF(TRIM(raw_data!M68)="","Filled - Unknown","OK")</f>
        <v>OK</v>
      </c>
      <c r="T68" s="6" t="n">
        <f aca="false">raw_data!N68</f>
        <v>7</v>
      </c>
      <c r="U68" s="7" t="n">
        <f aca="false">raw_data!O68</f>
        <v>1057.46</v>
      </c>
      <c r="V68" s="8" t="n">
        <f aca="false">raw_data!P68</f>
        <v>0.05</v>
      </c>
      <c r="W68" s="8" t="n">
        <f aca="false">IF(raw_data!P68="",0,IF(ISTEXT(raw_data!P68),IF(RIGHT(raw_data!P68,1)="%",VALUE(LEFT(raw_data!P68,LEN(raw_data!P68)-1))/100,VALUE(raw_data!P68)),raw_data!P68))</f>
        <v>0.05</v>
      </c>
      <c r="X68" s="3" t="str">
        <f aca="false">IF(raw_data!P68="","Missing - Defaulted to 0",IF(W68&lt;0,"Negative - Invalid",IF(W68&gt;0.3,"Above Allowed Range - Invalid","Valid")))</f>
        <v>Valid</v>
      </c>
      <c r="Y68" s="7" t="n">
        <f aca="false">raw_data!Q68</f>
        <v>7032.11</v>
      </c>
      <c r="Z68" s="7" t="n">
        <f aca="false">raw_data!R68</f>
        <v>4610.34</v>
      </c>
      <c r="AA68" s="7" t="n">
        <f aca="false">raw_data!S68</f>
        <v>2421.77</v>
      </c>
      <c r="AB68" s="3" t="str">
        <f aca="false">PROPER(TRIM(raw_data!T68))</f>
        <v>Paid</v>
      </c>
      <c r="AC68" s="3" t="str">
        <f aca="false">PROPER(TRIM(raw_data!U68))</f>
        <v>Completed</v>
      </c>
      <c r="AD68" s="7" t="n">
        <f aca="false">T68*U68*(1-W68)</f>
        <v>7032.109</v>
      </c>
      <c r="AE68" s="7" t="n">
        <f aca="false">AD68-Z68</f>
        <v>2421.769</v>
      </c>
      <c r="AF68" s="8" t="n">
        <f aca="false">IF(AD68=0,0,AE68/AD68)</f>
        <v>0.344387295475653</v>
      </c>
      <c r="AG68" s="3" t="str">
        <f aca="false">IF(ABS(Y68-AD68)&gt;1,"Mismatch","OK")</f>
        <v>OK</v>
      </c>
      <c r="AH68" s="3" t="str">
        <f aca="false">IF(ABS(AA68-AE68)&gt;1,"Mismatch","OK")</f>
        <v>OK</v>
      </c>
      <c r="AI68" s="6" t="n">
        <f aca="false">IF(B68="","",MONTH(B68))</f>
        <v>8</v>
      </c>
      <c r="AJ68" s="6" t="n">
        <f aca="false">IF(B68="","",YEAR(B68))</f>
        <v>2025</v>
      </c>
      <c r="AK68" s="3" t="str">
        <f aca="false">IF(COUNTIF(raw_data!$A$2:$A$913,A68)&gt;1,"Conflicting Duplicate - Flagged for Review","Unique")</f>
        <v>Unique</v>
      </c>
      <c r="AL68" s="3" t="str">
        <f aca="false">IF(AB68="Refunded","Yes","No")</f>
        <v>No</v>
      </c>
      <c r="AM68" s="3" t="str">
        <f aca="false">IF(OR(AC68&lt;&gt;"Completed",AB68="Failed"),"Excluded","Included")</f>
        <v>Included</v>
      </c>
      <c r="AN68" s="3" t="str">
        <f aca="false">IF(OR(D68="Invalid/Unrecognized",E68="Invalid/Unrecognized",G68="Invalid - Ship Before Order",X68="Negative - Invalid",X68="Above Allowed Range - Invalid",AG68="Mismatch",AH68="Mismatch",AK68="Conflicting Duplicate - Flagged for Review"),"Invalid",IF(OR(L68="Filled - Unknown",S68="Filled - Unknown",X68="Missing - Defaulted to 0",AL68="Yes",AC68="Cancelled",AC68="Returned"),"Warning","Clean"))</f>
        <v>Clean</v>
      </c>
    </row>
    <row r="69" customFormat="false" ht="15" hidden="false" customHeight="false" outlineLevel="0" collapsed="false">
      <c r="A69" s="3" t="str">
        <f aca="false">raw_data!A69</f>
        <v>ORD-2025-10068</v>
      </c>
      <c r="B69" s="4" t="n">
        <f aca="false">IFERROR(IF(MID(raw_data!B69,3,1)="/",DATE(VALUE(RIGHT(raw_data!B69,4)),VALUE(LEFT(raw_data!B69,2)),VALUE(MID(raw_data!B69,4,2))),IF(MID(raw_data!B69,3,1)="-",DATE(VALUE(RIGHT(raw_data!B69,4)),VALUE(MID(raw_data!B69,4,2)),VALUE(LEFT(raw_data!B69,2))),IF(MID(raw_data!B69,5,1)="-",DATE(VALUE(LEFT(raw_data!B69,4)),VALUE(MID(raw_data!B69,6,2)),VALUE(RIGHT(raw_data!B69,2))),DATE(VALUE(RIGHT(raw_data!B69,4)),MATCH(MID(raw_data!B69,4,3),{"Jan","Feb","Mar","Apr","May","Jun","Jul","Aug","Sep","Oct","Nov","Dec"},0),VALUE(LEFT(raw_data!B69,2)))))),"")</f>
        <v>45691</v>
      </c>
      <c r="C69" s="4" t="n">
        <f aca="false">IFERROR(IF(MID(raw_data!C69,3,1)="/",DATE(VALUE(RIGHT(raw_data!C69,4)),VALUE(LEFT(raw_data!C69,2)),VALUE(MID(raw_data!C69,4,2))),IF(MID(raw_data!C69,3,1)="-",DATE(VALUE(RIGHT(raw_data!C69,4)),VALUE(MID(raw_data!C69,4,2)),VALUE(LEFT(raw_data!C69,2))),IF(MID(raw_data!C69,5,1)="-",DATE(VALUE(LEFT(raw_data!C69,4)),VALUE(MID(raw_data!C69,6,2)),VALUE(RIGHT(raw_data!C69,2))),DATE(VALUE(RIGHT(raw_data!C69,4)),MATCH(MID(raw_data!C69,4,3),{"Jan","Feb","Mar","Apr","May","Jun","Jul","Aug","Sep","Oct","Nov","Dec"},0),VALUE(LEFT(raw_data!C69,2)))))),"")</f>
        <v>45695</v>
      </c>
      <c r="D69" s="3" t="str">
        <f aca="false">IF(TRIM(raw_data!B69)="","Missing",IF(B69="","Invalid/Unrecognized","Valid"))</f>
        <v>Valid</v>
      </c>
      <c r="E69" s="3" t="str">
        <f aca="false">IF(TRIM(raw_data!C69)="","Missing",IF(C69="","Invalid/Unrecognized","Valid"))</f>
        <v>Valid</v>
      </c>
      <c r="F69" s="5" t="n">
        <f aca="false">IF(OR(B69="",C69=""),"",C69-B69)</f>
        <v>4</v>
      </c>
      <c r="G69" s="3" t="str">
        <f aca="false">IF(F69="","N/A",IF(F69&lt;0,"Invalid - Ship Before Order","OK"))</f>
        <v>OK</v>
      </c>
      <c r="H69" s="3" t="str">
        <f aca="false">raw_data!D69</f>
        <v>CUST-8282</v>
      </c>
      <c r="I69" s="3" t="str">
        <f aca="false">PROPER(TRIM(raw_data!E69))</f>
        <v>Kabir Singh</v>
      </c>
      <c r="J69" s="3" t="str">
        <f aca="false">PROPER(TRIM(raw_data!F69))</f>
        <v>Consumer</v>
      </c>
      <c r="K69" s="3" t="str">
        <f aca="false">IF(TRIM(raw_data!G69)="","Unknown",PROPER(TRIM(raw_data!G69)))</f>
        <v>North</v>
      </c>
      <c r="L69" s="3" t="str">
        <f aca="false">IF(TRIM(raw_data!G69)="","Filled - Unknown","OK")</f>
        <v>OK</v>
      </c>
      <c r="M69" s="3" t="str">
        <f aca="false">PROPER(TRIM(raw_data!H69))</f>
        <v>Haryana</v>
      </c>
      <c r="N69" s="3" t="str">
        <f aca="false">PROPER(TRIM(raw_data!I69))</f>
        <v>Gurugram</v>
      </c>
      <c r="O69" s="3" t="str">
        <f aca="false">PROPER(TRIM(raw_data!J69))</f>
        <v>Office Supplies</v>
      </c>
      <c r="P69" s="3" t="str">
        <f aca="false">PROPER(TRIM(raw_data!K69))</f>
        <v>Paper</v>
      </c>
      <c r="Q69" s="3" t="str">
        <f aca="false">TRIM(raw_data!L69)</f>
        <v>Eco Paper 922</v>
      </c>
      <c r="R69" s="3" t="str">
        <f aca="false">IF(TRIM(raw_data!M69)="","Unknown",PROPER(TRIM(raw_data!M69)))</f>
        <v>First Class</v>
      </c>
      <c r="S69" s="3" t="str">
        <f aca="false">IF(TRIM(raw_data!M69)="","Filled - Unknown","OK")</f>
        <v>OK</v>
      </c>
      <c r="T69" s="6" t="n">
        <f aca="false">raw_data!N69</f>
        <v>7</v>
      </c>
      <c r="U69" s="7" t="n">
        <f aca="false">raw_data!O69</f>
        <v>3609.34</v>
      </c>
      <c r="V69" s="8" t="n">
        <f aca="false">raw_data!P69</f>
        <v>0.05</v>
      </c>
      <c r="W69" s="8" t="n">
        <f aca="false">IF(raw_data!P69="",0,IF(ISTEXT(raw_data!P69),IF(RIGHT(raw_data!P69,1)="%",VALUE(LEFT(raw_data!P69,LEN(raw_data!P69)-1))/100,VALUE(raw_data!P69)),raw_data!P69))</f>
        <v>0.05</v>
      </c>
      <c r="X69" s="3" t="str">
        <f aca="false">IF(raw_data!P69="","Missing - Defaulted to 0",IF(W69&lt;0,"Negative - Invalid",IF(W69&gt;0.3,"Above Allowed Range - Invalid","Valid")))</f>
        <v>Valid</v>
      </c>
      <c r="Y69" s="7" t="n">
        <f aca="false">raw_data!Q69</f>
        <v>24002.11</v>
      </c>
      <c r="Z69" s="7" t="n">
        <f aca="false">raw_data!R69</f>
        <v>18707.57</v>
      </c>
      <c r="AA69" s="7" t="n">
        <f aca="false">raw_data!S69</f>
        <v>5294.54</v>
      </c>
      <c r="AB69" s="3" t="str">
        <f aca="false">PROPER(TRIM(raw_data!T69))</f>
        <v>Paid</v>
      </c>
      <c r="AC69" s="3" t="str">
        <f aca="false">PROPER(TRIM(raw_data!U69))</f>
        <v>Completed</v>
      </c>
      <c r="AD69" s="7" t="n">
        <f aca="false">T69*U69*(1-W69)</f>
        <v>24002.111</v>
      </c>
      <c r="AE69" s="7" t="n">
        <f aca="false">AD69-Z69</f>
        <v>5294.541</v>
      </c>
      <c r="AF69" s="8" t="n">
        <f aca="false">IF(AD69=0,0,AE69/AD69)</f>
        <v>0.220586472581516</v>
      </c>
      <c r="AG69" s="3" t="str">
        <f aca="false">IF(ABS(Y69-AD69)&gt;1,"Mismatch","OK")</f>
        <v>OK</v>
      </c>
      <c r="AH69" s="3" t="str">
        <f aca="false">IF(ABS(AA69-AE69)&gt;1,"Mismatch","OK")</f>
        <v>OK</v>
      </c>
      <c r="AI69" s="6" t="n">
        <f aca="false">IF(B69="","",MONTH(B69))</f>
        <v>2</v>
      </c>
      <c r="AJ69" s="6" t="n">
        <f aca="false">IF(B69="","",YEAR(B69))</f>
        <v>2025</v>
      </c>
      <c r="AK69" s="3" t="str">
        <f aca="false">IF(COUNTIF(raw_data!$A$2:$A$913,A69)&gt;1,"Conflicting Duplicate - Flagged for Review","Unique")</f>
        <v>Unique</v>
      </c>
      <c r="AL69" s="3" t="str">
        <f aca="false">IF(AB69="Refunded","Yes","No")</f>
        <v>No</v>
      </c>
      <c r="AM69" s="3" t="str">
        <f aca="false">IF(OR(AC69&lt;&gt;"Completed",AB69="Failed"),"Excluded","Included")</f>
        <v>Included</v>
      </c>
      <c r="AN69" s="3" t="str">
        <f aca="false">IF(OR(D69="Invalid/Unrecognized",E69="Invalid/Unrecognized",G69="Invalid - Ship Before Order",X69="Negative - Invalid",X69="Above Allowed Range - Invalid",AG69="Mismatch",AH69="Mismatch",AK69="Conflicting Duplicate - Flagged for Review"),"Invalid",IF(OR(L69="Filled - Unknown",S69="Filled - Unknown",X69="Missing - Defaulted to 0",AL69="Yes",AC69="Cancelled",AC69="Returned"),"Warning","Clean"))</f>
        <v>Clean</v>
      </c>
    </row>
    <row r="70" customFormat="false" ht="15" hidden="false" customHeight="false" outlineLevel="0" collapsed="false">
      <c r="A70" s="3" t="str">
        <f aca="false">raw_data!A70</f>
        <v>ORD-2024-10069</v>
      </c>
      <c r="B70" s="4" t="n">
        <f aca="false">IFERROR(IF(MID(raw_data!B70,3,1)="/",DATE(VALUE(RIGHT(raw_data!B70,4)),VALUE(LEFT(raw_data!B70,2)),VALUE(MID(raw_data!B70,4,2))),IF(MID(raw_data!B70,3,1)="-",DATE(VALUE(RIGHT(raw_data!B70,4)),VALUE(MID(raw_data!B70,4,2)),VALUE(LEFT(raw_data!B70,2))),IF(MID(raw_data!B70,5,1)="-",DATE(VALUE(LEFT(raw_data!B70,4)),VALUE(MID(raw_data!B70,6,2)),VALUE(RIGHT(raw_data!B70,2))),DATE(VALUE(RIGHT(raw_data!B70,4)),MATCH(MID(raw_data!B70,4,3),{"Jan","Feb","Mar","Apr","May","Jun","Jul","Aug","Sep","Oct","Nov","Dec"},0),VALUE(LEFT(raw_data!B70,2)))))),"")</f>
        <v>45606</v>
      </c>
      <c r="C70" s="4" t="n">
        <f aca="false">IFERROR(IF(MID(raw_data!C70,3,1)="/",DATE(VALUE(RIGHT(raw_data!C70,4)),VALUE(LEFT(raw_data!C70,2)),VALUE(MID(raw_data!C70,4,2))),IF(MID(raw_data!C70,3,1)="-",DATE(VALUE(RIGHT(raw_data!C70,4)),VALUE(MID(raw_data!C70,4,2)),VALUE(LEFT(raw_data!C70,2))),IF(MID(raw_data!C70,5,1)="-",DATE(VALUE(LEFT(raw_data!C70,4)),VALUE(MID(raw_data!C70,6,2)),VALUE(RIGHT(raw_data!C70,2))),DATE(VALUE(RIGHT(raw_data!C70,4)),MATCH(MID(raw_data!C70,4,3),{"Jan","Feb","Mar","Apr","May","Jun","Jul","Aug","Sep","Oct","Nov","Dec"},0),VALUE(LEFT(raw_data!C70,2)))))),"")</f>
        <v>45609</v>
      </c>
      <c r="D70" s="3" t="str">
        <f aca="false">IF(TRIM(raw_data!B70)="","Missing",IF(B70="","Invalid/Unrecognized","Valid"))</f>
        <v>Valid</v>
      </c>
      <c r="E70" s="3" t="str">
        <f aca="false">IF(TRIM(raw_data!C70)="","Missing",IF(C70="","Invalid/Unrecognized","Valid"))</f>
        <v>Valid</v>
      </c>
      <c r="F70" s="5" t="n">
        <f aca="false">IF(OR(B70="",C70=""),"",C70-B70)</f>
        <v>3</v>
      </c>
      <c r="G70" s="3" t="str">
        <f aca="false">IF(F70="","N/A",IF(F70&lt;0,"Invalid - Ship Before Order","OK"))</f>
        <v>OK</v>
      </c>
      <c r="H70" s="3" t="str">
        <f aca="false">raw_data!D70</f>
        <v>CUST-6054</v>
      </c>
      <c r="I70" s="3" t="str">
        <f aca="false">PROPER(TRIM(raw_data!E70))</f>
        <v>Isha Nair</v>
      </c>
      <c r="J70" s="3" t="str">
        <f aca="false">PROPER(TRIM(raw_data!F70))</f>
        <v>Corporate</v>
      </c>
      <c r="K70" s="3" t="str">
        <f aca="false">IF(TRIM(raw_data!G70)="","Unknown",PROPER(TRIM(raw_data!G70)))</f>
        <v>East</v>
      </c>
      <c r="L70" s="3" t="str">
        <f aca="false">IF(TRIM(raw_data!G70)="","Filled - Unknown","OK")</f>
        <v>OK</v>
      </c>
      <c r="M70" s="3" t="str">
        <f aca="false">PROPER(TRIM(raw_data!H70))</f>
        <v>Jharkhand</v>
      </c>
      <c r="N70" s="3" t="str">
        <f aca="false">PROPER(TRIM(raw_data!I70))</f>
        <v>Ranchi</v>
      </c>
      <c r="O70" s="3" t="str">
        <f aca="false">PROPER(TRIM(raw_data!J70))</f>
        <v>Office Supplies</v>
      </c>
      <c r="P70" s="3" t="str">
        <f aca="false">PROPER(TRIM(raw_data!K70))</f>
        <v>Storage</v>
      </c>
      <c r="Q70" s="3" t="str">
        <f aca="false">TRIM(raw_data!L70)</f>
        <v>Pro Storage 975</v>
      </c>
      <c r="R70" s="3" t="str">
        <f aca="false">IF(TRIM(raw_data!M70)="","Unknown",PROPER(TRIM(raw_data!M70)))</f>
        <v>Second Class</v>
      </c>
      <c r="S70" s="3" t="str">
        <f aca="false">IF(TRIM(raw_data!M70)="","Filled - Unknown","OK")</f>
        <v>OK</v>
      </c>
      <c r="T70" s="6" t="n">
        <f aca="false">raw_data!N70</f>
        <v>9</v>
      </c>
      <c r="U70" s="7" t="n">
        <f aca="false">raw_data!O70</f>
        <v>2211.12</v>
      </c>
      <c r="V70" s="8" t="n">
        <f aca="false">raw_data!P70</f>
        <v>0</v>
      </c>
      <c r="W70" s="8" t="n">
        <f aca="false">IF(raw_data!P70="",0,IF(ISTEXT(raw_data!P70),IF(RIGHT(raw_data!P70,1)="%",VALUE(LEFT(raw_data!P70,LEN(raw_data!P70)-1))/100,VALUE(raw_data!P70)),raw_data!P70))</f>
        <v>0</v>
      </c>
      <c r="X70" s="3" t="str">
        <f aca="false">IF(raw_data!P70="","Missing - Defaulted to 0",IF(W70&lt;0,"Negative - Invalid",IF(W70&gt;0.3,"Above Allowed Range - Invalid","Valid")))</f>
        <v>Valid</v>
      </c>
      <c r="Y70" s="7" t="n">
        <f aca="false">raw_data!Q70</f>
        <v>19900.08</v>
      </c>
      <c r="Z70" s="7" t="n">
        <f aca="false">raw_data!R70</f>
        <v>10962.66</v>
      </c>
      <c r="AA70" s="7" t="n">
        <f aca="false">raw_data!S70</f>
        <v>8937.42</v>
      </c>
      <c r="AB70" s="3" t="str">
        <f aca="false">PROPER(TRIM(raw_data!T70))</f>
        <v>Failed</v>
      </c>
      <c r="AC70" s="3" t="str">
        <f aca="false">PROPER(TRIM(raw_data!U70))</f>
        <v>Returned</v>
      </c>
      <c r="AD70" s="7" t="n">
        <f aca="false">T70*U70*(1-W70)</f>
        <v>19900.08</v>
      </c>
      <c r="AE70" s="7" t="n">
        <f aca="false">AD70-Z70</f>
        <v>8937.42</v>
      </c>
      <c r="AF70" s="8" t="n">
        <f aca="false">IF(AD70=0,0,AE70/AD70)</f>
        <v>0.44911477742803</v>
      </c>
      <c r="AG70" s="3" t="str">
        <f aca="false">IF(ABS(Y70-AD70)&gt;1,"Mismatch","OK")</f>
        <v>OK</v>
      </c>
      <c r="AH70" s="3" t="str">
        <f aca="false">IF(ABS(AA70-AE70)&gt;1,"Mismatch","OK")</f>
        <v>OK</v>
      </c>
      <c r="AI70" s="6" t="n">
        <f aca="false">IF(B70="","",MONTH(B70))</f>
        <v>11</v>
      </c>
      <c r="AJ70" s="6" t="n">
        <f aca="false">IF(B70="","",YEAR(B70))</f>
        <v>2024</v>
      </c>
      <c r="AK70" s="3" t="str">
        <f aca="false">IF(COUNTIF(raw_data!$A$2:$A$913,A70)&gt;1,"Conflicting Duplicate - Flagged for Review","Unique")</f>
        <v>Unique</v>
      </c>
      <c r="AL70" s="3" t="str">
        <f aca="false">IF(AB70="Refunded","Yes","No")</f>
        <v>No</v>
      </c>
      <c r="AM70" s="3" t="str">
        <f aca="false">IF(OR(AC70&lt;&gt;"Completed",AB70="Failed"),"Excluded","Included")</f>
        <v>Excluded</v>
      </c>
      <c r="AN70" s="3" t="str">
        <f aca="false">IF(OR(D70="Invalid/Unrecognized",E70="Invalid/Unrecognized",G70="Invalid - Ship Before Order",X70="Negative - Invalid",X70="Above Allowed Range - Invalid",AG70="Mismatch",AH70="Mismatch",AK70="Conflicting Duplicate - Flagged for Review"),"Invalid",IF(OR(L70="Filled - Unknown",S70="Filled - Unknown",X70="Missing - Defaulted to 0",AL70="Yes",AC70="Cancelled",AC70="Returned"),"Warning","Clean"))</f>
        <v>Warning</v>
      </c>
    </row>
    <row r="71" customFormat="false" ht="15" hidden="false" customHeight="false" outlineLevel="0" collapsed="false">
      <c r="A71" s="3" t="str">
        <f aca="false">raw_data!A71</f>
        <v>ORD-2024-10070</v>
      </c>
      <c r="B71" s="4" t="n">
        <f aca="false">IFERROR(IF(MID(raw_data!B71,3,1)="/",DATE(VALUE(RIGHT(raw_data!B71,4)),VALUE(LEFT(raw_data!B71,2)),VALUE(MID(raw_data!B71,4,2))),IF(MID(raw_data!B71,3,1)="-",DATE(VALUE(RIGHT(raw_data!B71,4)),VALUE(MID(raw_data!B71,4,2)),VALUE(LEFT(raw_data!B71,2))),IF(MID(raw_data!B71,5,1)="-",DATE(VALUE(LEFT(raw_data!B71,4)),VALUE(MID(raw_data!B71,6,2)),VALUE(RIGHT(raw_data!B71,2))),DATE(VALUE(RIGHT(raw_data!B71,4)),MATCH(MID(raw_data!B71,4,3),{"Jan","Feb","Mar","Apr","May","Jun","Jul","Aug","Sep","Oct","Nov","Dec"},0),VALUE(LEFT(raw_data!B71,2)))))),"")</f>
        <v>45391</v>
      </c>
      <c r="C71" s="4" t="n">
        <f aca="false">IFERROR(IF(MID(raw_data!C71,3,1)="/",DATE(VALUE(RIGHT(raw_data!C71,4)),VALUE(LEFT(raw_data!C71,2)),VALUE(MID(raw_data!C71,4,2))),IF(MID(raw_data!C71,3,1)="-",DATE(VALUE(RIGHT(raw_data!C71,4)),VALUE(MID(raw_data!C71,4,2)),VALUE(LEFT(raw_data!C71,2))),IF(MID(raw_data!C71,5,1)="-",DATE(VALUE(LEFT(raw_data!C71,4)),VALUE(MID(raw_data!C71,6,2)),VALUE(RIGHT(raw_data!C71,2))),DATE(VALUE(RIGHT(raw_data!C71,4)),MATCH(MID(raw_data!C71,4,3),{"Jan","Feb","Mar","Apr","May","Jun","Jul","Aug","Sep","Oct","Nov","Dec"},0),VALUE(LEFT(raw_data!C71,2)))))),"")</f>
        <v>45396</v>
      </c>
      <c r="D71" s="3" t="str">
        <f aca="false">IF(TRIM(raw_data!B71)="","Missing",IF(B71="","Invalid/Unrecognized","Valid"))</f>
        <v>Valid</v>
      </c>
      <c r="E71" s="3" t="str">
        <f aca="false">IF(TRIM(raw_data!C71)="","Missing",IF(C71="","Invalid/Unrecognized","Valid"))</f>
        <v>Valid</v>
      </c>
      <c r="F71" s="5" t="n">
        <f aca="false">IF(OR(B71="",C71=""),"",C71-B71)</f>
        <v>5</v>
      </c>
      <c r="G71" s="3" t="str">
        <f aca="false">IF(F71="","N/A",IF(F71&lt;0,"Invalid - Ship Before Order","OK"))</f>
        <v>OK</v>
      </c>
      <c r="H71" s="3" t="str">
        <f aca="false">raw_data!D71</f>
        <v>CUST-5979</v>
      </c>
      <c r="I71" s="3" t="str">
        <f aca="false">PROPER(TRIM(raw_data!E71))</f>
        <v>Neha Gupta</v>
      </c>
      <c r="J71" s="3" t="str">
        <f aca="false">PROPER(TRIM(raw_data!F71))</f>
        <v>Small Business</v>
      </c>
      <c r="K71" s="3" t="str">
        <f aca="false">IF(TRIM(raw_data!G71)="","Unknown",PROPER(TRIM(raw_data!G71)))</f>
        <v>West</v>
      </c>
      <c r="L71" s="3" t="str">
        <f aca="false">IF(TRIM(raw_data!G71)="","Filled - Unknown","OK")</f>
        <v>OK</v>
      </c>
      <c r="M71" s="3" t="str">
        <f aca="false">PROPER(TRIM(raw_data!H71))</f>
        <v>Gujarat</v>
      </c>
      <c r="N71" s="3" t="str">
        <f aca="false">PROPER(TRIM(raw_data!I71))</f>
        <v>Ahmedabad</v>
      </c>
      <c r="O71" s="3" t="str">
        <f aca="false">PROPER(TRIM(raw_data!J71))</f>
        <v>Technology</v>
      </c>
      <c r="P71" s="3" t="str">
        <f aca="false">PROPER(TRIM(raw_data!K71))</f>
        <v>Machines</v>
      </c>
      <c r="Q71" s="3" t="str">
        <f aca="false">TRIM(raw_data!L71)</f>
        <v>Prime Machines 782</v>
      </c>
      <c r="R71" s="3" t="str">
        <f aca="false">IF(TRIM(raw_data!M71)="","Unknown",PROPER(TRIM(raw_data!M71)))</f>
        <v>Same Day</v>
      </c>
      <c r="S71" s="3" t="str">
        <f aca="false">IF(TRIM(raw_data!M71)="","Filled - Unknown","OK")</f>
        <v>OK</v>
      </c>
      <c r="T71" s="6" t="n">
        <f aca="false">raw_data!N71</f>
        <v>7</v>
      </c>
      <c r="U71" s="7" t="n">
        <f aca="false">raw_data!O71</f>
        <v>3417.09</v>
      </c>
      <c r="V71" s="8" t="n">
        <f aca="false">raw_data!P71</f>
        <v>0.1</v>
      </c>
      <c r="W71" s="8" t="n">
        <f aca="false">IF(raw_data!P71="",0,IF(ISTEXT(raw_data!P71),IF(RIGHT(raw_data!P71,1)="%",VALUE(LEFT(raw_data!P71,LEN(raw_data!P71)-1))/100,VALUE(raw_data!P71)),raw_data!P71))</f>
        <v>0.1</v>
      </c>
      <c r="X71" s="3" t="str">
        <f aca="false">IF(raw_data!P71="","Missing - Defaulted to 0",IF(W71&lt;0,"Negative - Invalid",IF(W71&gt;0.3,"Above Allowed Range - Invalid","Valid")))</f>
        <v>Valid</v>
      </c>
      <c r="Y71" s="7" t="n">
        <f aca="false">raw_data!Q71</f>
        <v>21527.67</v>
      </c>
      <c r="Z71" s="7" t="n">
        <f aca="false">raw_data!R71</f>
        <v>18287.58</v>
      </c>
      <c r="AA71" s="7" t="n">
        <f aca="false">raw_data!S71</f>
        <v>3240.09</v>
      </c>
      <c r="AB71" s="3" t="str">
        <f aca="false">PROPER(TRIM(raw_data!T71))</f>
        <v>Refunded</v>
      </c>
      <c r="AC71" s="3" t="str">
        <f aca="false">PROPER(TRIM(raw_data!U71))</f>
        <v>Returned</v>
      </c>
      <c r="AD71" s="7" t="n">
        <f aca="false">T71*U71*(1-W71)</f>
        <v>21527.667</v>
      </c>
      <c r="AE71" s="7" t="n">
        <f aca="false">AD71-Z71</f>
        <v>3240.087</v>
      </c>
      <c r="AF71" s="8" t="n">
        <f aca="false">IF(AD71=0,0,AE71/AD71)</f>
        <v>0.150508041582026</v>
      </c>
      <c r="AG71" s="3" t="str">
        <f aca="false">IF(ABS(Y71-AD71)&gt;1,"Mismatch","OK")</f>
        <v>OK</v>
      </c>
      <c r="AH71" s="3" t="str">
        <f aca="false">IF(ABS(AA71-AE71)&gt;1,"Mismatch","OK")</f>
        <v>OK</v>
      </c>
      <c r="AI71" s="6" t="n">
        <f aca="false">IF(B71="","",MONTH(B71))</f>
        <v>4</v>
      </c>
      <c r="AJ71" s="6" t="n">
        <f aca="false">IF(B71="","",YEAR(B71))</f>
        <v>2024</v>
      </c>
      <c r="AK71" s="3" t="str">
        <f aca="false">IF(COUNTIF(raw_data!$A$2:$A$913,A71)&gt;1,"Conflicting Duplicate - Flagged for Review","Unique")</f>
        <v>Unique</v>
      </c>
      <c r="AL71" s="3" t="str">
        <f aca="false">IF(AB71="Refunded","Yes","No")</f>
        <v>Yes</v>
      </c>
      <c r="AM71" s="3" t="str">
        <f aca="false">IF(OR(AC71&lt;&gt;"Completed",AB71="Failed"),"Excluded","Included")</f>
        <v>Excluded</v>
      </c>
      <c r="AN71" s="3" t="str">
        <f aca="false">IF(OR(D71="Invalid/Unrecognized",E71="Invalid/Unrecognized",G71="Invalid - Ship Before Order",X71="Negative - Invalid",X71="Above Allowed Range - Invalid",AG71="Mismatch",AH71="Mismatch",AK71="Conflicting Duplicate - Flagged for Review"),"Invalid",IF(OR(L71="Filled - Unknown",S71="Filled - Unknown",X71="Missing - Defaulted to 0",AL71="Yes",AC71="Cancelled",AC71="Returned"),"Warning","Clean"))</f>
        <v>Warning</v>
      </c>
    </row>
    <row r="72" customFormat="false" ht="15" hidden="false" customHeight="false" outlineLevel="0" collapsed="false">
      <c r="A72" s="3" t="str">
        <f aca="false">raw_data!A72</f>
        <v>ORD-2025-10071</v>
      </c>
      <c r="B72" s="4" t="n">
        <f aca="false">IFERROR(IF(MID(raw_data!B72,3,1)="/",DATE(VALUE(RIGHT(raw_data!B72,4)),VALUE(LEFT(raw_data!B72,2)),VALUE(MID(raw_data!B72,4,2))),IF(MID(raw_data!B72,3,1)="-",DATE(VALUE(RIGHT(raw_data!B72,4)),VALUE(MID(raw_data!B72,4,2)),VALUE(LEFT(raw_data!B72,2))),IF(MID(raw_data!B72,5,1)="-",DATE(VALUE(LEFT(raw_data!B72,4)),VALUE(MID(raw_data!B72,6,2)),VALUE(RIGHT(raw_data!B72,2))),DATE(VALUE(RIGHT(raw_data!B72,4)),MATCH(MID(raw_data!B72,4,3),{"Jan","Feb","Mar","Apr","May","Jun","Jul","Aug","Sep","Oct","Nov","Dec"},0),VALUE(LEFT(raw_data!B72,2)))))),"")</f>
        <v>45891</v>
      </c>
      <c r="C72" s="4" t="n">
        <f aca="false">IFERROR(IF(MID(raw_data!C72,3,1)="/",DATE(VALUE(RIGHT(raw_data!C72,4)),VALUE(LEFT(raw_data!C72,2)),VALUE(MID(raw_data!C72,4,2))),IF(MID(raw_data!C72,3,1)="-",DATE(VALUE(RIGHT(raw_data!C72,4)),VALUE(MID(raw_data!C72,4,2)),VALUE(LEFT(raw_data!C72,2))),IF(MID(raw_data!C72,5,1)="-",DATE(VALUE(LEFT(raw_data!C72,4)),VALUE(MID(raw_data!C72,6,2)),VALUE(RIGHT(raw_data!C72,2))),DATE(VALUE(RIGHT(raw_data!C72,4)),MATCH(MID(raw_data!C72,4,3),{"Jan","Feb","Mar","Apr","May","Jun","Jul","Aug","Sep","Oct","Nov","Dec"},0),VALUE(LEFT(raw_data!C72,2)))))),"")</f>
        <v>45896</v>
      </c>
      <c r="D72" s="3" t="str">
        <f aca="false">IF(TRIM(raw_data!B72)="","Missing",IF(B72="","Invalid/Unrecognized","Valid"))</f>
        <v>Valid</v>
      </c>
      <c r="E72" s="3" t="str">
        <f aca="false">IF(TRIM(raw_data!C72)="","Missing",IF(C72="","Invalid/Unrecognized","Valid"))</f>
        <v>Valid</v>
      </c>
      <c r="F72" s="5" t="n">
        <f aca="false">IF(OR(B72="",C72=""),"",C72-B72)</f>
        <v>5</v>
      </c>
      <c r="G72" s="3" t="str">
        <f aca="false">IF(F72="","N/A",IF(F72&lt;0,"Invalid - Ship Before Order","OK"))</f>
        <v>OK</v>
      </c>
      <c r="H72" s="3" t="str">
        <f aca="false">raw_data!D72</f>
        <v>CUST-5582</v>
      </c>
      <c r="I72" s="3" t="str">
        <f aca="false">PROPER(TRIM(raw_data!E72))</f>
        <v>Karan Malhotra</v>
      </c>
      <c r="J72" s="3" t="str">
        <f aca="false">PROPER(TRIM(raw_data!F72))</f>
        <v>Corporate</v>
      </c>
      <c r="K72" s="3" t="str">
        <f aca="false">IF(TRIM(raw_data!G72)="","Unknown",PROPER(TRIM(raw_data!G72)))</f>
        <v>South</v>
      </c>
      <c r="L72" s="3" t="str">
        <f aca="false">IF(TRIM(raw_data!G72)="","Filled - Unknown","OK")</f>
        <v>OK</v>
      </c>
      <c r="M72" s="3" t="str">
        <f aca="false">PROPER(TRIM(raw_data!H72))</f>
        <v>Andhra Pradesh</v>
      </c>
      <c r="N72" s="3" t="str">
        <f aca="false">PROPER(TRIM(raw_data!I72))</f>
        <v>Vijayawada</v>
      </c>
      <c r="O72" s="3" t="str">
        <f aca="false">PROPER(TRIM(raw_data!J72))</f>
        <v>Technology</v>
      </c>
      <c r="P72" s="3" t="str">
        <f aca="false">PROPER(TRIM(raw_data!K72))</f>
        <v>Phones</v>
      </c>
      <c r="Q72" s="3" t="str">
        <f aca="false">TRIM(raw_data!L72)</f>
        <v>Max Phones 661</v>
      </c>
      <c r="R72" s="3" t="str">
        <f aca="false">IF(TRIM(raw_data!M72)="","Unknown",PROPER(TRIM(raw_data!M72)))</f>
        <v>First Class</v>
      </c>
      <c r="S72" s="3" t="str">
        <f aca="false">IF(TRIM(raw_data!M72)="","Filled - Unknown","OK")</f>
        <v>OK</v>
      </c>
      <c r="T72" s="6" t="n">
        <f aca="false">raw_data!N72</f>
        <v>2</v>
      </c>
      <c r="U72" s="7" t="n">
        <f aca="false">raw_data!O72</f>
        <v>905.87</v>
      </c>
      <c r="V72" s="8" t="n">
        <f aca="false">raw_data!P72</f>
        <v>0.15</v>
      </c>
      <c r="W72" s="8" t="n">
        <f aca="false">IF(raw_data!P72="",0,IF(ISTEXT(raw_data!P72),IF(RIGHT(raw_data!P72,1)="%",VALUE(LEFT(raw_data!P72,LEN(raw_data!P72)-1))/100,VALUE(raw_data!P72)),raw_data!P72))</f>
        <v>0.15</v>
      </c>
      <c r="X72" s="3" t="str">
        <f aca="false">IF(raw_data!P72="","Missing - Defaulted to 0",IF(W72&lt;0,"Negative - Invalid",IF(W72&gt;0.3,"Above Allowed Range - Invalid","Valid")))</f>
        <v>Valid</v>
      </c>
      <c r="Y72" s="7" t="n">
        <f aca="false">raw_data!Q72</f>
        <v>1539.98</v>
      </c>
      <c r="Z72" s="7" t="n">
        <f aca="false">raw_data!R72</f>
        <v>1070.2</v>
      </c>
      <c r="AA72" s="7" t="n">
        <f aca="false">raw_data!S72</f>
        <v>469.78</v>
      </c>
      <c r="AB72" s="3" t="str">
        <f aca="false">PROPER(TRIM(raw_data!T72))</f>
        <v>Paid</v>
      </c>
      <c r="AC72" s="3" t="str">
        <f aca="false">PROPER(TRIM(raw_data!U72))</f>
        <v>Completed</v>
      </c>
      <c r="AD72" s="7" t="n">
        <f aca="false">T72*U72*(1-W72)</f>
        <v>1539.979</v>
      </c>
      <c r="AE72" s="7" t="n">
        <f aca="false">AD72-Z72</f>
        <v>469.779</v>
      </c>
      <c r="AF72" s="8" t="n">
        <f aca="false">IF(AD72=0,0,AE72/AD72)</f>
        <v>0.305055458548461</v>
      </c>
      <c r="AG72" s="3" t="str">
        <f aca="false">IF(ABS(Y72-AD72)&gt;1,"Mismatch","OK")</f>
        <v>OK</v>
      </c>
      <c r="AH72" s="3" t="str">
        <f aca="false">IF(ABS(AA72-AE72)&gt;1,"Mismatch","OK")</f>
        <v>OK</v>
      </c>
      <c r="AI72" s="6" t="n">
        <f aca="false">IF(B72="","",MONTH(B72))</f>
        <v>8</v>
      </c>
      <c r="AJ72" s="6" t="n">
        <f aca="false">IF(B72="","",YEAR(B72))</f>
        <v>2025</v>
      </c>
      <c r="AK72" s="3" t="str">
        <f aca="false">IF(COUNTIF(raw_data!$A$2:$A$913,A72)&gt;1,"Conflicting Duplicate - Flagged for Review","Unique")</f>
        <v>Unique</v>
      </c>
      <c r="AL72" s="3" t="str">
        <f aca="false">IF(AB72="Refunded","Yes","No")</f>
        <v>No</v>
      </c>
      <c r="AM72" s="3" t="str">
        <f aca="false">IF(OR(AC72&lt;&gt;"Completed",AB72="Failed"),"Excluded","Included")</f>
        <v>Included</v>
      </c>
      <c r="AN72" s="3" t="str">
        <f aca="false">IF(OR(D72="Invalid/Unrecognized",E72="Invalid/Unrecognized",G72="Invalid - Ship Before Order",X72="Negative - Invalid",X72="Above Allowed Range - Invalid",AG72="Mismatch",AH72="Mismatch",AK72="Conflicting Duplicate - Flagged for Review"),"Invalid",IF(OR(L72="Filled - Unknown",S72="Filled - Unknown",X72="Missing - Defaulted to 0",AL72="Yes",AC72="Cancelled",AC72="Returned"),"Warning","Clean"))</f>
        <v>Clean</v>
      </c>
    </row>
    <row r="73" customFormat="false" ht="15" hidden="false" customHeight="false" outlineLevel="0" collapsed="false">
      <c r="A73" s="3" t="str">
        <f aca="false">raw_data!A73</f>
        <v>ORD-2025-10072</v>
      </c>
      <c r="B73" s="4" t="n">
        <f aca="false">IFERROR(IF(MID(raw_data!B73,3,1)="/",DATE(VALUE(RIGHT(raw_data!B73,4)),VALUE(LEFT(raw_data!B73,2)),VALUE(MID(raw_data!B73,4,2))),IF(MID(raw_data!B73,3,1)="-",DATE(VALUE(RIGHT(raw_data!B73,4)),VALUE(MID(raw_data!B73,4,2)),VALUE(LEFT(raw_data!B73,2))),IF(MID(raw_data!B73,5,1)="-",DATE(VALUE(LEFT(raw_data!B73,4)),VALUE(MID(raw_data!B73,6,2)),VALUE(RIGHT(raw_data!B73,2))),DATE(VALUE(RIGHT(raw_data!B73,4)),MATCH(MID(raw_data!B73,4,3),{"Jan","Feb","Mar","Apr","May","Jun","Jul","Aug","Sep","Oct","Nov","Dec"},0),VALUE(LEFT(raw_data!B73,2)))))),"")</f>
        <v>45763</v>
      </c>
      <c r="C73" s="4" t="n">
        <f aca="false">IFERROR(IF(MID(raw_data!C73,3,1)="/",DATE(VALUE(RIGHT(raw_data!C73,4)),VALUE(LEFT(raw_data!C73,2)),VALUE(MID(raw_data!C73,4,2))),IF(MID(raw_data!C73,3,1)="-",DATE(VALUE(RIGHT(raw_data!C73,4)),VALUE(MID(raw_data!C73,4,2)),VALUE(LEFT(raw_data!C73,2))),IF(MID(raw_data!C73,5,1)="-",DATE(VALUE(LEFT(raw_data!C73,4)),VALUE(MID(raw_data!C73,6,2)),VALUE(RIGHT(raw_data!C73,2))),DATE(VALUE(RIGHT(raw_data!C73,4)),MATCH(MID(raw_data!C73,4,3),{"Jan","Feb","Mar","Apr","May","Jun","Jul","Aug","Sep","Oct","Nov","Dec"},0),VALUE(LEFT(raw_data!C73,2)))))),"")</f>
        <v>45770</v>
      </c>
      <c r="D73" s="3" t="str">
        <f aca="false">IF(TRIM(raw_data!B73)="","Missing",IF(B73="","Invalid/Unrecognized","Valid"))</f>
        <v>Valid</v>
      </c>
      <c r="E73" s="3" t="str">
        <f aca="false">IF(TRIM(raw_data!C73)="","Missing",IF(C73="","Invalid/Unrecognized","Valid"))</f>
        <v>Valid</v>
      </c>
      <c r="F73" s="5" t="n">
        <f aca="false">IF(OR(B73="",C73=""),"",C73-B73)</f>
        <v>7</v>
      </c>
      <c r="G73" s="3" t="str">
        <f aca="false">IF(F73="","N/A",IF(F73&lt;0,"Invalid - Ship Before Order","OK"))</f>
        <v>OK</v>
      </c>
      <c r="H73" s="3" t="str">
        <f aca="false">raw_data!D73</f>
        <v>CUST-3308</v>
      </c>
      <c r="I73" s="3" t="str">
        <f aca="false">PROPER(TRIM(raw_data!E73))</f>
        <v>Mira Das</v>
      </c>
      <c r="J73" s="3" t="str">
        <f aca="false">PROPER(TRIM(raw_data!F73))</f>
        <v>Small Business</v>
      </c>
      <c r="K73" s="3" t="str">
        <f aca="false">IF(TRIM(raw_data!G73)="","Unknown",PROPER(TRIM(raw_data!G73)))</f>
        <v>West</v>
      </c>
      <c r="L73" s="3" t="str">
        <f aca="false">IF(TRIM(raw_data!G73)="","Filled - Unknown","OK")</f>
        <v>OK</v>
      </c>
      <c r="M73" s="3" t="str">
        <f aca="false">PROPER(TRIM(raw_data!H73))</f>
        <v>Goa</v>
      </c>
      <c r="N73" s="3" t="str">
        <f aca="false">PROPER(TRIM(raw_data!I73))</f>
        <v>Panaji</v>
      </c>
      <c r="O73" s="3" t="str">
        <f aca="false">PROPER(TRIM(raw_data!J73))</f>
        <v>Technology</v>
      </c>
      <c r="P73" s="3" t="str">
        <f aca="false">PROPER(TRIM(raw_data!K73))</f>
        <v>Machines</v>
      </c>
      <c r="Q73" s="3" t="str">
        <f aca="false">TRIM(raw_data!L73)</f>
        <v>Elite Machines 836</v>
      </c>
      <c r="R73" s="3" t="str">
        <f aca="false">IF(TRIM(raw_data!M73)="","Unknown",PROPER(TRIM(raw_data!M73)))</f>
        <v>Standard Class</v>
      </c>
      <c r="S73" s="3" t="str">
        <f aca="false">IF(TRIM(raw_data!M73)="","Filled - Unknown","OK")</f>
        <v>OK</v>
      </c>
      <c r="T73" s="6" t="n">
        <f aca="false">raw_data!N73</f>
        <v>6</v>
      </c>
      <c r="U73" s="7" t="n">
        <f aca="false">raw_data!O73</f>
        <v>2027.32</v>
      </c>
      <c r="V73" s="8" t="n">
        <f aca="false">raw_data!P73</f>
        <v>0.1</v>
      </c>
      <c r="W73" s="8" t="n">
        <f aca="false">IF(raw_data!P73="",0,IF(ISTEXT(raw_data!P73),IF(RIGHT(raw_data!P73,1)="%",VALUE(LEFT(raw_data!P73,LEN(raw_data!P73)-1))/100,VALUE(raw_data!P73)),raw_data!P73))</f>
        <v>0.1</v>
      </c>
      <c r="X73" s="3" t="str">
        <f aca="false">IF(raw_data!P73="","Missing - Defaulted to 0",IF(W73&lt;0,"Negative - Invalid",IF(W73&gt;0.3,"Above Allowed Range - Invalid","Valid")))</f>
        <v>Valid</v>
      </c>
      <c r="Y73" s="7" t="n">
        <f aca="false">raw_data!Q73</f>
        <v>10947.53</v>
      </c>
      <c r="Z73" s="7" t="n">
        <f aca="false">raw_data!R73</f>
        <v>6447.36</v>
      </c>
      <c r="AA73" s="7" t="n">
        <f aca="false">raw_data!S73</f>
        <v>4500.17</v>
      </c>
      <c r="AB73" s="3" t="str">
        <f aca="false">PROPER(TRIM(raw_data!T73))</f>
        <v>Paid</v>
      </c>
      <c r="AC73" s="3" t="str">
        <f aca="false">PROPER(TRIM(raw_data!U73))</f>
        <v>Completed</v>
      </c>
      <c r="AD73" s="7" t="n">
        <f aca="false">T73*U73*(1-W73)</f>
        <v>10947.528</v>
      </c>
      <c r="AE73" s="7" t="n">
        <f aca="false">AD73-Z73</f>
        <v>4500.168</v>
      </c>
      <c r="AF73" s="8" t="n">
        <f aca="false">IF(AD73=0,0,AE73/AD73)</f>
        <v>0.411067046368824</v>
      </c>
      <c r="AG73" s="3" t="str">
        <f aca="false">IF(ABS(Y73-AD73)&gt;1,"Mismatch","OK")</f>
        <v>OK</v>
      </c>
      <c r="AH73" s="3" t="str">
        <f aca="false">IF(ABS(AA73-AE73)&gt;1,"Mismatch","OK")</f>
        <v>OK</v>
      </c>
      <c r="AI73" s="6" t="n">
        <f aca="false">IF(B73="","",MONTH(B73))</f>
        <v>4</v>
      </c>
      <c r="AJ73" s="6" t="n">
        <f aca="false">IF(B73="","",YEAR(B73))</f>
        <v>2025</v>
      </c>
      <c r="AK73" s="3" t="str">
        <f aca="false">IF(COUNTIF(raw_data!$A$2:$A$913,A73)&gt;1,"Conflicting Duplicate - Flagged for Review","Unique")</f>
        <v>Unique</v>
      </c>
      <c r="AL73" s="3" t="str">
        <f aca="false">IF(AB73="Refunded","Yes","No")</f>
        <v>No</v>
      </c>
      <c r="AM73" s="3" t="str">
        <f aca="false">IF(OR(AC73&lt;&gt;"Completed",AB73="Failed"),"Excluded","Included")</f>
        <v>Included</v>
      </c>
      <c r="AN73" s="3" t="str">
        <f aca="false">IF(OR(D73="Invalid/Unrecognized",E73="Invalid/Unrecognized",G73="Invalid - Ship Before Order",X73="Negative - Invalid",X73="Above Allowed Range - Invalid",AG73="Mismatch",AH73="Mismatch",AK73="Conflicting Duplicate - Flagged for Review"),"Invalid",IF(OR(L73="Filled - Unknown",S73="Filled - Unknown",X73="Missing - Defaulted to 0",AL73="Yes",AC73="Cancelled",AC73="Returned"),"Warning","Clean"))</f>
        <v>Clean</v>
      </c>
    </row>
    <row r="74" customFormat="false" ht="15" hidden="false" customHeight="false" outlineLevel="0" collapsed="false">
      <c r="A74" s="3" t="str">
        <f aca="false">raw_data!A74</f>
        <v>ORD-2024-10073</v>
      </c>
      <c r="B74" s="4" t="n">
        <f aca="false">IFERROR(IF(MID(raw_data!B74,3,1)="/",DATE(VALUE(RIGHT(raw_data!B74,4)),VALUE(LEFT(raw_data!B74,2)),VALUE(MID(raw_data!B74,4,2))),IF(MID(raw_data!B74,3,1)="-",DATE(VALUE(RIGHT(raw_data!B74,4)),VALUE(MID(raw_data!B74,4,2)),VALUE(LEFT(raw_data!B74,2))),IF(MID(raw_data!B74,5,1)="-",DATE(VALUE(LEFT(raw_data!B74,4)),VALUE(MID(raw_data!B74,6,2)),VALUE(RIGHT(raw_data!B74,2))),DATE(VALUE(RIGHT(raw_data!B74,4)),MATCH(MID(raw_data!B74,4,3),{"Jan","Feb","Mar","Apr","May","Jun","Jul","Aug","Sep","Oct","Nov","Dec"},0),VALUE(LEFT(raw_data!B74,2)))))),"")</f>
        <v>45333</v>
      </c>
      <c r="C74" s="4" t="n">
        <f aca="false">IFERROR(IF(MID(raw_data!C74,3,1)="/",DATE(VALUE(RIGHT(raw_data!C74,4)),VALUE(LEFT(raw_data!C74,2)),VALUE(MID(raw_data!C74,4,2))),IF(MID(raw_data!C74,3,1)="-",DATE(VALUE(RIGHT(raw_data!C74,4)),VALUE(MID(raw_data!C74,4,2)),VALUE(LEFT(raw_data!C74,2))),IF(MID(raw_data!C74,5,1)="-",DATE(VALUE(LEFT(raw_data!C74,4)),VALUE(MID(raw_data!C74,6,2)),VALUE(RIGHT(raw_data!C74,2))),DATE(VALUE(RIGHT(raw_data!C74,4)),MATCH(MID(raw_data!C74,4,3),{"Jan","Feb","Mar","Apr","May","Jun","Jul","Aug","Sep","Oct","Nov","Dec"},0),VALUE(LEFT(raw_data!C74,2)))))),"")</f>
        <v>45329</v>
      </c>
      <c r="D74" s="3" t="str">
        <f aca="false">IF(TRIM(raw_data!B74)="","Missing",IF(B74="","Invalid/Unrecognized","Valid"))</f>
        <v>Valid</v>
      </c>
      <c r="E74" s="3" t="str">
        <f aca="false">IF(TRIM(raw_data!C74)="","Missing",IF(C74="","Invalid/Unrecognized","Valid"))</f>
        <v>Valid</v>
      </c>
      <c r="F74" s="5" t="n">
        <f aca="false">IF(OR(B74="",C74=""),"",C74-B74)</f>
        <v>-4</v>
      </c>
      <c r="G74" s="3" t="str">
        <f aca="false">IF(F74="","N/A",IF(F74&lt;0,"Invalid - Ship Before Order","OK"))</f>
        <v>Invalid - Ship Before Order</v>
      </c>
      <c r="H74" s="3" t="str">
        <f aca="false">raw_data!D74</f>
        <v>CUST-5018</v>
      </c>
      <c r="I74" s="3" t="str">
        <f aca="false">PROPER(TRIM(raw_data!E74))</f>
        <v>Karan Malhotra</v>
      </c>
      <c r="J74" s="3" t="str">
        <f aca="false">PROPER(TRIM(raw_data!F74))</f>
        <v>Home Office</v>
      </c>
      <c r="K74" s="3" t="str">
        <f aca="false">IF(TRIM(raw_data!G74)="","Unknown",PROPER(TRIM(raw_data!G74)))</f>
        <v>South</v>
      </c>
      <c r="L74" s="3" t="str">
        <f aca="false">IF(TRIM(raw_data!G74)="","Filled - Unknown","OK")</f>
        <v>OK</v>
      </c>
      <c r="M74" s="3" t="str">
        <f aca="false">PROPER(TRIM(raw_data!H74))</f>
        <v>Tamil Nadu</v>
      </c>
      <c r="N74" s="3" t="str">
        <f aca="false">PROPER(TRIM(raw_data!I74))</f>
        <v>Chennai</v>
      </c>
      <c r="O74" s="3" t="str">
        <f aca="false">PROPER(TRIM(raw_data!J74))</f>
        <v>Furniture</v>
      </c>
      <c r="P74" s="3" t="str">
        <f aca="false">PROPER(TRIM(raw_data!K74))</f>
        <v>Tables</v>
      </c>
      <c r="Q74" s="3" t="str">
        <f aca="false">TRIM(raw_data!L74)</f>
        <v>Prime Tables 902</v>
      </c>
      <c r="R74" s="3" t="str">
        <f aca="false">IF(TRIM(raw_data!M74)="","Unknown",PROPER(TRIM(raw_data!M74)))</f>
        <v>First Class</v>
      </c>
      <c r="S74" s="3" t="str">
        <f aca="false">IF(TRIM(raw_data!M74)="","Filled - Unknown","OK")</f>
        <v>OK</v>
      </c>
      <c r="T74" s="6" t="n">
        <f aca="false">raw_data!N74</f>
        <v>7</v>
      </c>
      <c r="U74" s="7" t="n">
        <f aca="false">raw_data!O74</f>
        <v>2287.47</v>
      </c>
      <c r="V74" s="8" t="n">
        <f aca="false">raw_data!P74</f>
        <v>0.15</v>
      </c>
      <c r="W74" s="8" t="n">
        <f aca="false">IF(raw_data!P74="",0,IF(ISTEXT(raw_data!P74),IF(RIGHT(raw_data!P74,1)="%",VALUE(LEFT(raw_data!P74,LEN(raw_data!P74)-1))/100,VALUE(raw_data!P74)),raw_data!P74))</f>
        <v>0.15</v>
      </c>
      <c r="X74" s="3" t="str">
        <f aca="false">IF(raw_data!P74="","Missing - Defaulted to 0",IF(W74&lt;0,"Negative - Invalid",IF(W74&gt;0.3,"Above Allowed Range - Invalid","Valid")))</f>
        <v>Valid</v>
      </c>
      <c r="Y74" s="7" t="n">
        <f aca="false">raw_data!Q74</f>
        <v>13610.45</v>
      </c>
      <c r="Z74" s="7" t="n">
        <f aca="false">raw_data!R74</f>
        <v>10039.05</v>
      </c>
      <c r="AA74" s="7" t="n">
        <f aca="false">raw_data!S74</f>
        <v>3571.4</v>
      </c>
      <c r="AB74" s="3" t="str">
        <f aca="false">PROPER(TRIM(raw_data!T74))</f>
        <v>Paid</v>
      </c>
      <c r="AC74" s="3" t="str">
        <f aca="false">PROPER(TRIM(raw_data!U74))</f>
        <v>Completed</v>
      </c>
      <c r="AD74" s="7" t="n">
        <f aca="false">T74*U74*(1-W74)</f>
        <v>13610.4465</v>
      </c>
      <c r="AE74" s="7" t="n">
        <f aca="false">AD74-Z74</f>
        <v>3571.3965</v>
      </c>
      <c r="AF74" s="8" t="n">
        <f aca="false">IF(AD74=0,0,AE74/AD74)</f>
        <v>0.262401126957885</v>
      </c>
      <c r="AG74" s="3" t="str">
        <f aca="false">IF(ABS(Y74-AD74)&gt;1,"Mismatch","OK")</f>
        <v>OK</v>
      </c>
      <c r="AH74" s="3" t="str">
        <f aca="false">IF(ABS(AA74-AE74)&gt;1,"Mismatch","OK")</f>
        <v>OK</v>
      </c>
      <c r="AI74" s="6" t="n">
        <f aca="false">IF(B74="","",MONTH(B74))</f>
        <v>2</v>
      </c>
      <c r="AJ74" s="6" t="n">
        <f aca="false">IF(B74="","",YEAR(B74))</f>
        <v>2024</v>
      </c>
      <c r="AK74" s="3" t="str">
        <f aca="false">IF(COUNTIF(raw_data!$A$2:$A$913,A74)&gt;1,"Conflicting Duplicate - Flagged for Review","Unique")</f>
        <v>Unique</v>
      </c>
      <c r="AL74" s="3" t="str">
        <f aca="false">IF(AB74="Refunded","Yes","No")</f>
        <v>No</v>
      </c>
      <c r="AM74" s="3" t="str">
        <f aca="false">IF(OR(AC74&lt;&gt;"Completed",AB74="Failed"),"Excluded","Included")</f>
        <v>Included</v>
      </c>
      <c r="AN74" s="3" t="str">
        <f aca="false">IF(OR(D74="Invalid/Unrecognized",E74="Invalid/Unrecognized",G74="Invalid - Ship Before Order",X74="Negative - Invalid",X74="Above Allowed Range - Invalid",AG74="Mismatch",AH74="Mismatch",AK74="Conflicting Duplicate - Flagged for Review"),"Invalid",IF(OR(L74="Filled - Unknown",S74="Filled - Unknown",X74="Missing - Defaulted to 0",AL74="Yes",AC74="Cancelled",AC74="Returned"),"Warning","Clean"))</f>
        <v>Invalid</v>
      </c>
    </row>
    <row r="75" customFormat="false" ht="15" hidden="false" customHeight="false" outlineLevel="0" collapsed="false">
      <c r="A75" s="3" t="str">
        <f aca="false">raw_data!A75</f>
        <v>ORD-2025-10074</v>
      </c>
      <c r="B75" s="4" t="n">
        <f aca="false">IFERROR(IF(MID(raw_data!B75,3,1)="/",DATE(VALUE(RIGHT(raw_data!B75,4)),VALUE(LEFT(raw_data!B75,2)),VALUE(MID(raw_data!B75,4,2))),IF(MID(raw_data!B75,3,1)="-",DATE(VALUE(RIGHT(raw_data!B75,4)),VALUE(MID(raw_data!B75,4,2)),VALUE(LEFT(raw_data!B75,2))),IF(MID(raw_data!B75,5,1)="-",DATE(VALUE(LEFT(raw_data!B75,4)),VALUE(MID(raw_data!B75,6,2)),VALUE(RIGHT(raw_data!B75,2))),DATE(VALUE(RIGHT(raw_data!B75,4)),MATCH(MID(raw_data!B75,4,3),{"Jan","Feb","Mar","Apr","May","Jun","Jul","Aug","Sep","Oct","Nov","Dec"},0),VALUE(LEFT(raw_data!B75,2)))))),"")</f>
        <v>45745</v>
      </c>
      <c r="C75" s="4" t="n">
        <f aca="false">IFERROR(IF(MID(raw_data!C75,3,1)="/",DATE(VALUE(RIGHT(raw_data!C75,4)),VALUE(LEFT(raw_data!C75,2)),VALUE(MID(raw_data!C75,4,2))),IF(MID(raw_data!C75,3,1)="-",DATE(VALUE(RIGHT(raw_data!C75,4)),VALUE(MID(raw_data!C75,4,2)),VALUE(LEFT(raw_data!C75,2))),IF(MID(raw_data!C75,5,1)="-",DATE(VALUE(LEFT(raw_data!C75,4)),VALUE(MID(raw_data!C75,6,2)),VALUE(RIGHT(raw_data!C75,2))),DATE(VALUE(RIGHT(raw_data!C75,4)),MATCH(MID(raw_data!C75,4,3),{"Jan","Feb","Mar","Apr","May","Jun","Jul","Aug","Sep","Oct","Nov","Dec"},0),VALUE(LEFT(raw_data!C75,2)))))),"")</f>
        <v>45750</v>
      </c>
      <c r="D75" s="3" t="str">
        <f aca="false">IF(TRIM(raw_data!B75)="","Missing",IF(B75="","Invalid/Unrecognized","Valid"))</f>
        <v>Valid</v>
      </c>
      <c r="E75" s="3" t="str">
        <f aca="false">IF(TRIM(raw_data!C75)="","Missing",IF(C75="","Invalid/Unrecognized","Valid"))</f>
        <v>Valid</v>
      </c>
      <c r="F75" s="5" t="n">
        <f aca="false">IF(OR(B75="",C75=""),"",C75-B75)</f>
        <v>5</v>
      </c>
      <c r="G75" s="3" t="str">
        <f aca="false">IF(F75="","N/A",IF(F75&lt;0,"Invalid - Ship Before Order","OK"))</f>
        <v>OK</v>
      </c>
      <c r="H75" s="3" t="str">
        <f aca="false">raw_data!D75</f>
        <v>CUST-2342</v>
      </c>
      <c r="I75" s="3" t="str">
        <f aca="false">PROPER(TRIM(raw_data!E75))</f>
        <v>Sneha Kapoor</v>
      </c>
      <c r="J75" s="3" t="str">
        <f aca="false">PROPER(TRIM(raw_data!F75))</f>
        <v>Corporate</v>
      </c>
      <c r="K75" s="3" t="str">
        <f aca="false">IF(TRIM(raw_data!G75)="","Unknown",PROPER(TRIM(raw_data!G75)))</f>
        <v>East</v>
      </c>
      <c r="L75" s="3" t="str">
        <f aca="false">IF(TRIM(raw_data!G75)="","Filled - Unknown","OK")</f>
        <v>OK</v>
      </c>
      <c r="M75" s="3" t="str">
        <f aca="false">PROPER(TRIM(raw_data!H75))</f>
        <v>West Bengal</v>
      </c>
      <c r="N75" s="3" t="str">
        <f aca="false">PROPER(TRIM(raw_data!I75))</f>
        <v>Kolkata</v>
      </c>
      <c r="O75" s="3" t="str">
        <f aca="false">PROPER(TRIM(raw_data!J75))</f>
        <v>Furniture</v>
      </c>
      <c r="P75" s="3" t="str">
        <f aca="false">PROPER(TRIM(raw_data!K75))</f>
        <v>Bookcases</v>
      </c>
      <c r="Q75" s="3" t="str">
        <f aca="false">TRIM(raw_data!L75)</f>
        <v>Smart Bookcases 167</v>
      </c>
      <c r="R75" s="3" t="str">
        <f aca="false">IF(TRIM(raw_data!M75)="","Unknown",PROPER(TRIM(raw_data!M75)))</f>
        <v>First Class</v>
      </c>
      <c r="S75" s="3" t="str">
        <f aca="false">IF(TRIM(raw_data!M75)="","Filled - Unknown","OK")</f>
        <v>OK</v>
      </c>
      <c r="T75" s="6" t="n">
        <f aca="false">raw_data!N75</f>
        <v>5</v>
      </c>
      <c r="U75" s="7" t="n">
        <f aca="false">raw_data!O75</f>
        <v>1425.74</v>
      </c>
      <c r="V75" s="8" t="n">
        <f aca="false">raw_data!P75</f>
        <v>0</v>
      </c>
      <c r="W75" s="8" t="n">
        <f aca="false">IF(raw_data!P75="",0,IF(ISTEXT(raw_data!P75),IF(RIGHT(raw_data!P75,1)="%",VALUE(LEFT(raw_data!P75,LEN(raw_data!P75)-1))/100,VALUE(raw_data!P75)),raw_data!P75))</f>
        <v>0</v>
      </c>
      <c r="X75" s="3" t="str">
        <f aca="false">IF(raw_data!P75="","Missing - Defaulted to 0",IF(W75&lt;0,"Negative - Invalid",IF(W75&gt;0.3,"Above Allowed Range - Invalid","Valid")))</f>
        <v>Valid</v>
      </c>
      <c r="Y75" s="7" t="n">
        <f aca="false">raw_data!Q75</f>
        <v>7128.7</v>
      </c>
      <c r="Z75" s="7" t="n">
        <f aca="false">raw_data!R75</f>
        <v>4382.15</v>
      </c>
      <c r="AA75" s="7" t="n">
        <f aca="false">raw_data!S75</f>
        <v>2746.55</v>
      </c>
      <c r="AB75" s="3" t="str">
        <f aca="false">PROPER(TRIM(raw_data!T75))</f>
        <v>Paid</v>
      </c>
      <c r="AC75" s="3" t="str">
        <f aca="false">PROPER(TRIM(raw_data!U75))</f>
        <v>Completed</v>
      </c>
      <c r="AD75" s="7" t="n">
        <f aca="false">T75*U75*(1-W75)</f>
        <v>7128.7</v>
      </c>
      <c r="AE75" s="7" t="n">
        <f aca="false">AD75-Z75</f>
        <v>2746.55</v>
      </c>
      <c r="AF75" s="8" t="n">
        <f aca="false">IF(AD75=0,0,AE75/AD75)</f>
        <v>0.385280626201131</v>
      </c>
      <c r="AG75" s="3" t="str">
        <f aca="false">IF(ABS(Y75-AD75)&gt;1,"Mismatch","OK")</f>
        <v>OK</v>
      </c>
      <c r="AH75" s="3" t="str">
        <f aca="false">IF(ABS(AA75-AE75)&gt;1,"Mismatch","OK")</f>
        <v>OK</v>
      </c>
      <c r="AI75" s="6" t="n">
        <f aca="false">IF(B75="","",MONTH(B75))</f>
        <v>3</v>
      </c>
      <c r="AJ75" s="6" t="n">
        <f aca="false">IF(B75="","",YEAR(B75))</f>
        <v>2025</v>
      </c>
      <c r="AK75" s="3" t="str">
        <f aca="false">IF(COUNTIF(raw_data!$A$2:$A$913,A75)&gt;1,"Conflicting Duplicate - Flagged for Review","Unique")</f>
        <v>Unique</v>
      </c>
      <c r="AL75" s="3" t="str">
        <f aca="false">IF(AB75="Refunded","Yes","No")</f>
        <v>No</v>
      </c>
      <c r="AM75" s="3" t="str">
        <f aca="false">IF(OR(AC75&lt;&gt;"Completed",AB75="Failed"),"Excluded","Included")</f>
        <v>Included</v>
      </c>
      <c r="AN75" s="3" t="str">
        <f aca="false">IF(OR(D75="Invalid/Unrecognized",E75="Invalid/Unrecognized",G75="Invalid - Ship Before Order",X75="Negative - Invalid",X75="Above Allowed Range - Invalid",AG75="Mismatch",AH75="Mismatch",AK75="Conflicting Duplicate - Flagged for Review"),"Invalid",IF(OR(L75="Filled - Unknown",S75="Filled - Unknown",X75="Missing - Defaulted to 0",AL75="Yes",AC75="Cancelled",AC75="Returned"),"Warning","Clean"))</f>
        <v>Clean</v>
      </c>
    </row>
    <row r="76" customFormat="false" ht="15" hidden="false" customHeight="false" outlineLevel="0" collapsed="false">
      <c r="A76" s="3" t="str">
        <f aca="false">raw_data!A76</f>
        <v>ORD-2025-10075</v>
      </c>
      <c r="B76" s="4" t="n">
        <f aca="false">IFERROR(IF(MID(raw_data!B76,3,1)="/",DATE(VALUE(RIGHT(raw_data!B76,4)),VALUE(LEFT(raw_data!B76,2)),VALUE(MID(raw_data!B76,4,2))),IF(MID(raw_data!B76,3,1)="-",DATE(VALUE(RIGHT(raw_data!B76,4)),VALUE(MID(raw_data!B76,4,2)),VALUE(LEFT(raw_data!B76,2))),IF(MID(raw_data!B76,5,1)="-",DATE(VALUE(LEFT(raw_data!B76,4)),VALUE(MID(raw_data!B76,6,2)),VALUE(RIGHT(raw_data!B76,2))),DATE(VALUE(RIGHT(raw_data!B76,4)),MATCH(MID(raw_data!B76,4,3),{"Jan","Feb","Mar","Apr","May","Jun","Jul","Aug","Sep","Oct","Nov","Dec"},0),VALUE(LEFT(raw_data!B76,2)))))),"")</f>
        <v>45715</v>
      </c>
      <c r="C76" s="4" t="n">
        <f aca="false">IFERROR(IF(MID(raw_data!C76,3,1)="/",DATE(VALUE(RIGHT(raw_data!C76,4)),VALUE(LEFT(raw_data!C76,2)),VALUE(MID(raw_data!C76,4,2))),IF(MID(raw_data!C76,3,1)="-",DATE(VALUE(RIGHT(raw_data!C76,4)),VALUE(MID(raw_data!C76,4,2)),VALUE(LEFT(raw_data!C76,2))),IF(MID(raw_data!C76,5,1)="-",DATE(VALUE(LEFT(raw_data!C76,4)),VALUE(MID(raw_data!C76,6,2)),VALUE(RIGHT(raw_data!C76,2))),DATE(VALUE(RIGHT(raw_data!C76,4)),MATCH(MID(raw_data!C76,4,3),{"Jan","Feb","Mar","Apr","May","Jun","Jul","Aug","Sep","Oct","Nov","Dec"},0),VALUE(LEFT(raw_data!C76,2)))))),"")</f>
        <v>45717</v>
      </c>
      <c r="D76" s="3" t="str">
        <f aca="false">IF(TRIM(raw_data!B76)="","Missing",IF(B76="","Invalid/Unrecognized","Valid"))</f>
        <v>Valid</v>
      </c>
      <c r="E76" s="3" t="str">
        <f aca="false">IF(TRIM(raw_data!C76)="","Missing",IF(C76="","Invalid/Unrecognized","Valid"))</f>
        <v>Valid</v>
      </c>
      <c r="F76" s="5" t="n">
        <f aca="false">IF(OR(B76="",C76=""),"",C76-B76)</f>
        <v>2</v>
      </c>
      <c r="G76" s="3" t="str">
        <f aca="false">IF(F76="","N/A",IF(F76&lt;0,"Invalid - Ship Before Order","OK"))</f>
        <v>OK</v>
      </c>
      <c r="H76" s="3" t="str">
        <f aca="false">raw_data!D76</f>
        <v>CUST-6201</v>
      </c>
      <c r="I76" s="3" t="str">
        <f aca="false">PROPER(TRIM(raw_data!E76))</f>
        <v>Vikram Iyer</v>
      </c>
      <c r="J76" s="3" t="str">
        <f aca="false">PROPER(TRIM(raw_data!F76))</f>
        <v>Small Business</v>
      </c>
      <c r="K76" s="3" t="str">
        <f aca="false">IF(TRIM(raw_data!G76)="","Unknown",PROPER(TRIM(raw_data!G76)))</f>
        <v>East</v>
      </c>
      <c r="L76" s="3" t="str">
        <f aca="false">IF(TRIM(raw_data!G76)="","Filled - Unknown","OK")</f>
        <v>OK</v>
      </c>
      <c r="M76" s="3" t="str">
        <f aca="false">PROPER(TRIM(raw_data!H76))</f>
        <v>West Bengal</v>
      </c>
      <c r="N76" s="3" t="str">
        <f aca="false">PROPER(TRIM(raw_data!I76))</f>
        <v>Kolkata</v>
      </c>
      <c r="O76" s="3" t="str">
        <f aca="false">PROPER(TRIM(raw_data!J76))</f>
        <v>Furniture</v>
      </c>
      <c r="P76" s="3" t="str">
        <f aca="false">PROPER(TRIM(raw_data!K76))</f>
        <v>Chairs</v>
      </c>
      <c r="Q76" s="3" t="str">
        <f aca="false">TRIM(raw_data!L76)</f>
        <v>Max Chairs 244</v>
      </c>
      <c r="R76" s="3" t="str">
        <f aca="false">IF(TRIM(raw_data!M76)="","Unknown",PROPER(TRIM(raw_data!M76)))</f>
        <v>Standard Class</v>
      </c>
      <c r="S76" s="3" t="str">
        <f aca="false">IF(TRIM(raw_data!M76)="","Filled - Unknown","OK")</f>
        <v>OK</v>
      </c>
      <c r="T76" s="6" t="n">
        <f aca="false">raw_data!N76</f>
        <v>6</v>
      </c>
      <c r="U76" s="7" t="n">
        <f aca="false">raw_data!O76</f>
        <v>551.64</v>
      </c>
      <c r="V76" s="8" t="n">
        <f aca="false">raw_data!P76</f>
        <v>0</v>
      </c>
      <c r="W76" s="8" t="n">
        <f aca="false">IF(raw_data!P76="",0,IF(ISTEXT(raw_data!P76),IF(RIGHT(raw_data!P76,1)="%",VALUE(LEFT(raw_data!P76,LEN(raw_data!P76)-1))/100,VALUE(raw_data!P76)),raw_data!P76))</f>
        <v>0</v>
      </c>
      <c r="X76" s="3" t="str">
        <f aca="false">IF(raw_data!P76="","Missing - Defaulted to 0",IF(W76&lt;0,"Negative - Invalid",IF(W76&gt;0.3,"Above Allowed Range - Invalid","Valid")))</f>
        <v>Valid</v>
      </c>
      <c r="Y76" s="7" t="n">
        <f aca="false">raw_data!Q76</f>
        <v>3309.84</v>
      </c>
      <c r="Z76" s="7" t="n">
        <f aca="false">raw_data!R76</f>
        <v>2671.08</v>
      </c>
      <c r="AA76" s="7" t="n">
        <f aca="false">raw_data!S76</f>
        <v>638.76</v>
      </c>
      <c r="AB76" s="3" t="str">
        <f aca="false">PROPER(TRIM(raw_data!T76))</f>
        <v>Paid</v>
      </c>
      <c r="AC76" s="3" t="str">
        <f aca="false">PROPER(TRIM(raw_data!U76))</f>
        <v>Completed</v>
      </c>
      <c r="AD76" s="7" t="n">
        <f aca="false">T76*U76*(1-W76)</f>
        <v>3309.84</v>
      </c>
      <c r="AE76" s="7" t="n">
        <f aca="false">AD76-Z76</f>
        <v>638.76</v>
      </c>
      <c r="AF76" s="8" t="n">
        <f aca="false">IF(AD76=0,0,AE76/AD76)</f>
        <v>0.192988180697556</v>
      </c>
      <c r="AG76" s="3" t="str">
        <f aca="false">IF(ABS(Y76-AD76)&gt;1,"Mismatch","OK")</f>
        <v>OK</v>
      </c>
      <c r="AH76" s="3" t="str">
        <f aca="false">IF(ABS(AA76-AE76)&gt;1,"Mismatch","OK")</f>
        <v>OK</v>
      </c>
      <c r="AI76" s="6" t="n">
        <f aca="false">IF(B76="","",MONTH(B76))</f>
        <v>2</v>
      </c>
      <c r="AJ76" s="6" t="n">
        <f aca="false">IF(B76="","",YEAR(B76))</f>
        <v>2025</v>
      </c>
      <c r="AK76" s="3" t="str">
        <f aca="false">IF(COUNTIF(raw_data!$A$2:$A$913,A76)&gt;1,"Conflicting Duplicate - Flagged for Review","Unique")</f>
        <v>Unique</v>
      </c>
      <c r="AL76" s="3" t="str">
        <f aca="false">IF(AB76="Refunded","Yes","No")</f>
        <v>No</v>
      </c>
      <c r="AM76" s="3" t="str">
        <f aca="false">IF(OR(AC76&lt;&gt;"Completed",AB76="Failed"),"Excluded","Included")</f>
        <v>Included</v>
      </c>
      <c r="AN76" s="3" t="str">
        <f aca="false">IF(OR(D76="Invalid/Unrecognized",E76="Invalid/Unrecognized",G76="Invalid - Ship Before Order",X76="Negative - Invalid",X76="Above Allowed Range - Invalid",AG76="Mismatch",AH76="Mismatch",AK76="Conflicting Duplicate - Flagged for Review"),"Invalid",IF(OR(L76="Filled - Unknown",S76="Filled - Unknown",X76="Missing - Defaulted to 0",AL76="Yes",AC76="Cancelled",AC76="Returned"),"Warning","Clean"))</f>
        <v>Clean</v>
      </c>
    </row>
    <row r="77" customFormat="false" ht="15" hidden="false" customHeight="false" outlineLevel="0" collapsed="false">
      <c r="A77" s="3" t="str">
        <f aca="false">raw_data!A77</f>
        <v>ORD-2025-10076</v>
      </c>
      <c r="B77" s="4" t="n">
        <f aca="false">IFERROR(IF(MID(raw_data!B77,3,1)="/",DATE(VALUE(RIGHT(raw_data!B77,4)),VALUE(LEFT(raw_data!B77,2)),VALUE(MID(raw_data!B77,4,2))),IF(MID(raw_data!B77,3,1)="-",DATE(VALUE(RIGHT(raw_data!B77,4)),VALUE(MID(raw_data!B77,4,2)),VALUE(LEFT(raw_data!B77,2))),IF(MID(raw_data!B77,5,1)="-",DATE(VALUE(LEFT(raw_data!B77,4)),VALUE(MID(raw_data!B77,6,2)),VALUE(RIGHT(raw_data!B77,2))),DATE(VALUE(RIGHT(raw_data!B77,4)),MATCH(MID(raw_data!B77,4,3),{"Jan","Feb","Mar","Apr","May","Jun","Jul","Aug","Sep","Oct","Nov","Dec"},0),VALUE(LEFT(raw_data!B77,2)))))),"")</f>
        <v>45891</v>
      </c>
      <c r="C77" s="4" t="n">
        <f aca="false">IFERROR(IF(MID(raw_data!C77,3,1)="/",DATE(VALUE(RIGHT(raw_data!C77,4)),VALUE(LEFT(raw_data!C77,2)),VALUE(MID(raw_data!C77,4,2))),IF(MID(raw_data!C77,3,1)="-",DATE(VALUE(RIGHT(raw_data!C77,4)),VALUE(MID(raw_data!C77,4,2)),VALUE(LEFT(raw_data!C77,2))),IF(MID(raw_data!C77,5,1)="-",DATE(VALUE(LEFT(raw_data!C77,4)),VALUE(MID(raw_data!C77,6,2)),VALUE(RIGHT(raw_data!C77,2))),DATE(VALUE(RIGHT(raw_data!C77,4)),MATCH(MID(raw_data!C77,4,3),{"Jan","Feb","Mar","Apr","May","Jun","Jul","Aug","Sep","Oct","Nov","Dec"},0),VALUE(LEFT(raw_data!C77,2)))))),"")</f>
        <v>45896</v>
      </c>
      <c r="D77" s="3" t="str">
        <f aca="false">IF(TRIM(raw_data!B77)="","Missing",IF(B77="","Invalid/Unrecognized","Valid"))</f>
        <v>Valid</v>
      </c>
      <c r="E77" s="3" t="str">
        <f aca="false">IF(TRIM(raw_data!C77)="","Missing",IF(C77="","Invalid/Unrecognized","Valid"))</f>
        <v>Valid</v>
      </c>
      <c r="F77" s="5" t="n">
        <f aca="false">IF(OR(B77="",C77=""),"",C77-B77)</f>
        <v>5</v>
      </c>
      <c r="G77" s="3" t="str">
        <f aca="false">IF(F77="","N/A",IF(F77&lt;0,"Invalid - Ship Before Order","OK"))</f>
        <v>OK</v>
      </c>
      <c r="H77" s="3" t="str">
        <f aca="false">raw_data!D77</f>
        <v>CUST-5808</v>
      </c>
      <c r="I77" s="3" t="str">
        <f aca="false">PROPER(TRIM(raw_data!E77))</f>
        <v>Priya Menon</v>
      </c>
      <c r="J77" s="3" t="str">
        <f aca="false">PROPER(TRIM(raw_data!F77))</f>
        <v>Small Business</v>
      </c>
      <c r="K77" s="3" t="str">
        <f aca="false">IF(TRIM(raw_data!G77)="","Unknown",PROPER(TRIM(raw_data!G77)))</f>
        <v>East</v>
      </c>
      <c r="L77" s="3" t="str">
        <f aca="false">IF(TRIM(raw_data!G77)="","Filled - Unknown","OK")</f>
        <v>OK</v>
      </c>
      <c r="M77" s="3" t="str">
        <f aca="false">PROPER(TRIM(raw_data!H77))</f>
        <v>Odisha</v>
      </c>
      <c r="N77" s="3" t="str">
        <f aca="false">PROPER(TRIM(raw_data!I77))</f>
        <v>Bhubaneswar</v>
      </c>
      <c r="O77" s="3" t="str">
        <f aca="false">PROPER(TRIM(raw_data!J77))</f>
        <v>Office Supplies</v>
      </c>
      <c r="P77" s="3" t="str">
        <f aca="false">PROPER(TRIM(raw_data!K77))</f>
        <v>Labels</v>
      </c>
      <c r="Q77" s="3" t="str">
        <f aca="false">TRIM(raw_data!L77)</f>
        <v>Eco Labels 653</v>
      </c>
      <c r="R77" s="3" t="str">
        <f aca="false">IF(TRIM(raw_data!M77)="","Unknown",PROPER(TRIM(raw_data!M77)))</f>
        <v>First Class</v>
      </c>
      <c r="S77" s="3" t="str">
        <f aca="false">IF(TRIM(raw_data!M77)="","Filled - Unknown","OK")</f>
        <v>OK</v>
      </c>
      <c r="T77" s="6" t="n">
        <f aca="false">raw_data!N77</f>
        <v>3</v>
      </c>
      <c r="U77" s="7" t="n">
        <f aca="false">raw_data!O77</f>
        <v>3294.82</v>
      </c>
      <c r="V77" s="8" t="n">
        <f aca="false">raw_data!P77</f>
        <v>0.2</v>
      </c>
      <c r="W77" s="8" t="n">
        <f aca="false">IF(raw_data!P77="",0,IF(ISTEXT(raw_data!P77),IF(RIGHT(raw_data!P77,1)="%",VALUE(LEFT(raw_data!P77,LEN(raw_data!P77)-1))/100,VALUE(raw_data!P77)),raw_data!P77))</f>
        <v>0.2</v>
      </c>
      <c r="X77" s="3" t="str">
        <f aca="false">IF(raw_data!P77="","Missing - Defaulted to 0",IF(W77&lt;0,"Negative - Invalid",IF(W77&gt;0.3,"Above Allowed Range - Invalid","Valid")))</f>
        <v>Valid</v>
      </c>
      <c r="Y77" s="7" t="n">
        <f aca="false">raw_data!Q77</f>
        <v>7907.57</v>
      </c>
      <c r="Z77" s="7" t="n">
        <f aca="false">raw_data!R77</f>
        <v>5391.18</v>
      </c>
      <c r="AA77" s="7" t="n">
        <f aca="false">raw_data!S77</f>
        <v>2516.39</v>
      </c>
      <c r="AB77" s="3" t="str">
        <f aca="false">PROPER(TRIM(raw_data!T77))</f>
        <v>Paid</v>
      </c>
      <c r="AC77" s="3" t="str">
        <f aca="false">PROPER(TRIM(raw_data!U77))</f>
        <v>Completed</v>
      </c>
      <c r="AD77" s="7" t="n">
        <f aca="false">T77*U77*(1-W77)</f>
        <v>7907.568</v>
      </c>
      <c r="AE77" s="7" t="n">
        <f aca="false">AD77-Z77</f>
        <v>2516.388</v>
      </c>
      <c r="AF77" s="8" t="n">
        <f aca="false">IF(AD77=0,0,AE77/AD77)</f>
        <v>0.318225274825332</v>
      </c>
      <c r="AG77" s="3" t="str">
        <f aca="false">IF(ABS(Y77-AD77)&gt;1,"Mismatch","OK")</f>
        <v>OK</v>
      </c>
      <c r="AH77" s="3" t="str">
        <f aca="false">IF(ABS(AA77-AE77)&gt;1,"Mismatch","OK")</f>
        <v>OK</v>
      </c>
      <c r="AI77" s="6" t="n">
        <f aca="false">IF(B77="","",MONTH(B77))</f>
        <v>8</v>
      </c>
      <c r="AJ77" s="6" t="n">
        <f aca="false">IF(B77="","",YEAR(B77))</f>
        <v>2025</v>
      </c>
      <c r="AK77" s="3" t="str">
        <f aca="false">IF(COUNTIF(raw_data!$A$2:$A$913,A77)&gt;1,"Conflicting Duplicate - Flagged for Review","Unique")</f>
        <v>Unique</v>
      </c>
      <c r="AL77" s="3" t="str">
        <f aca="false">IF(AB77="Refunded","Yes","No")</f>
        <v>No</v>
      </c>
      <c r="AM77" s="3" t="str">
        <f aca="false">IF(OR(AC77&lt;&gt;"Completed",AB77="Failed"),"Excluded","Included")</f>
        <v>Included</v>
      </c>
      <c r="AN77" s="3" t="str">
        <f aca="false">IF(OR(D77="Invalid/Unrecognized",E77="Invalid/Unrecognized",G77="Invalid - Ship Before Order",X77="Negative - Invalid",X77="Above Allowed Range - Invalid",AG77="Mismatch",AH77="Mismatch",AK77="Conflicting Duplicate - Flagged for Review"),"Invalid",IF(OR(L77="Filled - Unknown",S77="Filled - Unknown",X77="Missing - Defaulted to 0",AL77="Yes",AC77="Cancelled",AC77="Returned"),"Warning","Clean"))</f>
        <v>Clean</v>
      </c>
    </row>
    <row r="78" customFormat="false" ht="15" hidden="false" customHeight="false" outlineLevel="0" collapsed="false">
      <c r="A78" s="3" t="str">
        <f aca="false">raw_data!A78</f>
        <v>ORD-2024-10077</v>
      </c>
      <c r="B78" s="4" t="n">
        <f aca="false">IFERROR(IF(MID(raw_data!B78,3,1)="/",DATE(VALUE(RIGHT(raw_data!B78,4)),VALUE(LEFT(raw_data!B78,2)),VALUE(MID(raw_data!B78,4,2))),IF(MID(raw_data!B78,3,1)="-",DATE(VALUE(RIGHT(raw_data!B78,4)),VALUE(MID(raw_data!B78,4,2)),VALUE(LEFT(raw_data!B78,2))),IF(MID(raw_data!B78,5,1)="-",DATE(VALUE(LEFT(raw_data!B78,4)),VALUE(MID(raw_data!B78,6,2)),VALUE(RIGHT(raw_data!B78,2))),DATE(VALUE(RIGHT(raw_data!B78,4)),MATCH(MID(raw_data!B78,4,3),{"Jan","Feb","Mar","Apr","May","Jun","Jul","Aug","Sep","Oct","Nov","Dec"},0),VALUE(LEFT(raw_data!B78,2)))))),"")</f>
        <v>45599</v>
      </c>
      <c r="C78" s="4" t="n">
        <f aca="false">IFERROR(IF(MID(raw_data!C78,3,1)="/",DATE(VALUE(RIGHT(raw_data!C78,4)),VALUE(LEFT(raw_data!C78,2)),VALUE(MID(raw_data!C78,4,2))),IF(MID(raw_data!C78,3,1)="-",DATE(VALUE(RIGHT(raw_data!C78,4)),VALUE(MID(raw_data!C78,4,2)),VALUE(LEFT(raw_data!C78,2))),IF(MID(raw_data!C78,5,1)="-",DATE(VALUE(LEFT(raw_data!C78,4)),VALUE(MID(raw_data!C78,6,2)),VALUE(RIGHT(raw_data!C78,2))),DATE(VALUE(RIGHT(raw_data!C78,4)),MATCH(MID(raw_data!C78,4,3),{"Jan","Feb","Mar","Apr","May","Jun","Jul","Aug","Sep","Oct","Nov","Dec"},0),VALUE(LEFT(raw_data!C78,2)))))),"")</f>
        <v>45607</v>
      </c>
      <c r="D78" s="3" t="str">
        <f aca="false">IF(TRIM(raw_data!B78)="","Missing",IF(B78="","Invalid/Unrecognized","Valid"))</f>
        <v>Valid</v>
      </c>
      <c r="E78" s="3" t="str">
        <f aca="false">IF(TRIM(raw_data!C78)="","Missing",IF(C78="","Invalid/Unrecognized","Valid"))</f>
        <v>Valid</v>
      </c>
      <c r="F78" s="5" t="n">
        <f aca="false">IF(OR(B78="",C78=""),"",C78-B78)</f>
        <v>8</v>
      </c>
      <c r="G78" s="3" t="str">
        <f aca="false">IF(F78="","N/A",IF(F78&lt;0,"Invalid - Ship Before Order","OK"))</f>
        <v>OK</v>
      </c>
      <c r="H78" s="3" t="str">
        <f aca="false">raw_data!D78</f>
        <v>CUST-2642</v>
      </c>
      <c r="I78" s="3" t="str">
        <f aca="false">PROPER(TRIM(raw_data!E78))</f>
        <v>Ananya Rao</v>
      </c>
      <c r="J78" s="3" t="str">
        <f aca="false">PROPER(TRIM(raw_data!F78))</f>
        <v>Corporate</v>
      </c>
      <c r="K78" s="3" t="str">
        <f aca="false">IF(TRIM(raw_data!G78)="","Unknown",PROPER(TRIM(raw_data!G78)))</f>
        <v>East</v>
      </c>
      <c r="L78" s="3" t="str">
        <f aca="false">IF(TRIM(raw_data!G78)="","Filled - Unknown","OK")</f>
        <v>OK</v>
      </c>
      <c r="M78" s="3" t="str">
        <f aca="false">PROPER(TRIM(raw_data!H78))</f>
        <v>Jharkhand</v>
      </c>
      <c r="N78" s="3" t="str">
        <f aca="false">PROPER(TRIM(raw_data!I78))</f>
        <v>Ranchi</v>
      </c>
      <c r="O78" s="3" t="str">
        <f aca="false">PROPER(TRIM(raw_data!J78))</f>
        <v>Office Supplies</v>
      </c>
      <c r="P78" s="3" t="str">
        <f aca="false">PROPER(TRIM(raw_data!K78))</f>
        <v>Labels</v>
      </c>
      <c r="Q78" s="3" t="str">
        <f aca="false">TRIM(raw_data!L78)</f>
        <v>Max Labels 617</v>
      </c>
      <c r="R78" s="3" t="str">
        <f aca="false">IF(TRIM(raw_data!M78)="","Unknown",PROPER(TRIM(raw_data!M78)))</f>
        <v>Second Class</v>
      </c>
      <c r="S78" s="3" t="str">
        <f aca="false">IF(TRIM(raw_data!M78)="","Filled - Unknown","OK")</f>
        <v>OK</v>
      </c>
      <c r="T78" s="6" t="n">
        <f aca="false">raw_data!N78</f>
        <v>3</v>
      </c>
      <c r="U78" s="7" t="n">
        <f aca="false">raw_data!O78</f>
        <v>3406.27</v>
      </c>
      <c r="V78" s="8" t="n">
        <f aca="false">raw_data!P78</f>
        <v>0</v>
      </c>
      <c r="W78" s="8" t="n">
        <f aca="false">IF(raw_data!P78="",0,IF(ISTEXT(raw_data!P78),IF(RIGHT(raw_data!P78,1)="%",VALUE(LEFT(raw_data!P78,LEN(raw_data!P78)-1))/100,VALUE(raw_data!P78)),raw_data!P78))</f>
        <v>0</v>
      </c>
      <c r="X78" s="3" t="str">
        <f aca="false">IF(raw_data!P78="","Missing - Defaulted to 0",IF(W78&lt;0,"Negative - Invalid",IF(W78&gt;0.3,"Above Allowed Range - Invalid","Valid")))</f>
        <v>Valid</v>
      </c>
      <c r="Y78" s="7" t="n">
        <f aca="false">raw_data!Q78</f>
        <v>10218.81</v>
      </c>
      <c r="Z78" s="7" t="n">
        <f aca="false">raw_data!R78</f>
        <v>7616.97</v>
      </c>
      <c r="AA78" s="7" t="n">
        <f aca="false">raw_data!S78</f>
        <v>2601.84</v>
      </c>
      <c r="AB78" s="3" t="str">
        <f aca="false">PROPER(TRIM(raw_data!T78))</f>
        <v>Paid</v>
      </c>
      <c r="AC78" s="3" t="str">
        <f aca="false">PROPER(TRIM(raw_data!U78))</f>
        <v>Completed</v>
      </c>
      <c r="AD78" s="7" t="n">
        <f aca="false">T78*U78*(1-W78)</f>
        <v>10218.81</v>
      </c>
      <c r="AE78" s="7" t="n">
        <f aca="false">AD78-Z78</f>
        <v>2601.84</v>
      </c>
      <c r="AF78" s="8" t="n">
        <f aca="false">IF(AD78=0,0,AE78/AD78)</f>
        <v>0.254612816952267</v>
      </c>
      <c r="AG78" s="3" t="str">
        <f aca="false">IF(ABS(Y78-AD78)&gt;1,"Mismatch","OK")</f>
        <v>OK</v>
      </c>
      <c r="AH78" s="3" t="str">
        <f aca="false">IF(ABS(AA78-AE78)&gt;1,"Mismatch","OK")</f>
        <v>OK</v>
      </c>
      <c r="AI78" s="6" t="n">
        <f aca="false">IF(B78="","",MONTH(B78))</f>
        <v>11</v>
      </c>
      <c r="AJ78" s="6" t="n">
        <f aca="false">IF(B78="","",YEAR(B78))</f>
        <v>2024</v>
      </c>
      <c r="AK78" s="3" t="str">
        <f aca="false">IF(COUNTIF(raw_data!$A$2:$A$913,A78)&gt;1,"Conflicting Duplicate - Flagged for Review","Unique")</f>
        <v>Unique</v>
      </c>
      <c r="AL78" s="3" t="str">
        <f aca="false">IF(AB78="Refunded","Yes","No")</f>
        <v>No</v>
      </c>
      <c r="AM78" s="3" t="str">
        <f aca="false">IF(OR(AC78&lt;&gt;"Completed",AB78="Failed"),"Excluded","Included")</f>
        <v>Included</v>
      </c>
      <c r="AN78" s="3" t="str">
        <f aca="false">IF(OR(D78="Invalid/Unrecognized",E78="Invalid/Unrecognized",G78="Invalid - Ship Before Order",X78="Negative - Invalid",X78="Above Allowed Range - Invalid",AG78="Mismatch",AH78="Mismatch",AK78="Conflicting Duplicate - Flagged for Review"),"Invalid",IF(OR(L78="Filled - Unknown",S78="Filled - Unknown",X78="Missing - Defaulted to 0",AL78="Yes",AC78="Cancelled",AC78="Returned"),"Warning","Clean"))</f>
        <v>Clean</v>
      </c>
    </row>
    <row r="79" customFormat="false" ht="15" hidden="false" customHeight="false" outlineLevel="0" collapsed="false">
      <c r="A79" s="3" t="str">
        <f aca="false">raw_data!A79</f>
        <v>ORD-2025-10078</v>
      </c>
      <c r="B79" s="4" t="n">
        <f aca="false">IFERROR(IF(MID(raw_data!B79,3,1)="/",DATE(VALUE(RIGHT(raw_data!B79,4)),VALUE(LEFT(raw_data!B79,2)),VALUE(MID(raw_data!B79,4,2))),IF(MID(raw_data!B79,3,1)="-",DATE(VALUE(RIGHT(raw_data!B79,4)),VALUE(MID(raw_data!B79,4,2)),VALUE(LEFT(raw_data!B79,2))),IF(MID(raw_data!B79,5,1)="-",DATE(VALUE(LEFT(raw_data!B79,4)),VALUE(MID(raw_data!B79,6,2)),VALUE(RIGHT(raw_data!B79,2))),DATE(VALUE(RIGHT(raw_data!B79,4)),MATCH(MID(raw_data!B79,4,3),{"Jan","Feb","Mar","Apr","May","Jun","Jul","Aug","Sep","Oct","Nov","Dec"},0),VALUE(LEFT(raw_data!B79,2)))))),"")</f>
        <v>45846</v>
      </c>
      <c r="C79" s="4" t="n">
        <f aca="false">IFERROR(IF(MID(raw_data!C79,3,1)="/",DATE(VALUE(RIGHT(raw_data!C79,4)),VALUE(LEFT(raw_data!C79,2)),VALUE(MID(raw_data!C79,4,2))),IF(MID(raw_data!C79,3,1)="-",DATE(VALUE(RIGHT(raw_data!C79,4)),VALUE(MID(raw_data!C79,4,2)),VALUE(LEFT(raw_data!C79,2))),IF(MID(raw_data!C79,5,1)="-",DATE(VALUE(LEFT(raw_data!C79,4)),VALUE(MID(raw_data!C79,6,2)),VALUE(RIGHT(raw_data!C79,2))),DATE(VALUE(RIGHT(raw_data!C79,4)),MATCH(MID(raw_data!C79,4,3),{"Jan","Feb","Mar","Apr","May","Jun","Jul","Aug","Sep","Oct","Nov","Dec"},0),VALUE(LEFT(raw_data!C79,2)))))),"")</f>
        <v>45850</v>
      </c>
      <c r="D79" s="3" t="str">
        <f aca="false">IF(TRIM(raw_data!B79)="","Missing",IF(B79="","Invalid/Unrecognized","Valid"))</f>
        <v>Valid</v>
      </c>
      <c r="E79" s="3" t="str">
        <f aca="false">IF(TRIM(raw_data!C79)="","Missing",IF(C79="","Invalid/Unrecognized","Valid"))</f>
        <v>Valid</v>
      </c>
      <c r="F79" s="5" t="n">
        <f aca="false">IF(OR(B79="",C79=""),"",C79-B79)</f>
        <v>4</v>
      </c>
      <c r="G79" s="3" t="str">
        <f aca="false">IF(F79="","N/A",IF(F79&lt;0,"Invalid - Ship Before Order","OK"))</f>
        <v>OK</v>
      </c>
      <c r="H79" s="3" t="str">
        <f aca="false">raw_data!D79</f>
        <v>CUST-4385</v>
      </c>
      <c r="I79" s="3" t="str">
        <f aca="false">PROPER(TRIM(raw_data!E79))</f>
        <v>Rohan Mehta</v>
      </c>
      <c r="J79" s="3" t="str">
        <f aca="false">PROPER(TRIM(raw_data!F79))</f>
        <v>Home Office</v>
      </c>
      <c r="K79" s="3" t="str">
        <f aca="false">IF(TRIM(raw_data!G79)="","Unknown",PROPER(TRIM(raw_data!G79)))</f>
        <v>North</v>
      </c>
      <c r="L79" s="3" t="str">
        <f aca="false">IF(TRIM(raw_data!G79)="","Filled - Unknown","OK")</f>
        <v>OK</v>
      </c>
      <c r="M79" s="3" t="str">
        <f aca="false">PROPER(TRIM(raw_data!H79))</f>
        <v>Uttar Pradesh</v>
      </c>
      <c r="N79" s="3" t="str">
        <f aca="false">PROPER(TRIM(raw_data!I79))</f>
        <v>Noida</v>
      </c>
      <c r="O79" s="3" t="str">
        <f aca="false">PROPER(TRIM(raw_data!J79))</f>
        <v>Furniture</v>
      </c>
      <c r="P79" s="3" t="str">
        <f aca="false">PROPER(TRIM(raw_data!K79))</f>
        <v>Furnishings</v>
      </c>
      <c r="Q79" s="3" t="str">
        <f aca="false">TRIM(raw_data!L79)</f>
        <v>Pro Furnishings 529</v>
      </c>
      <c r="R79" s="3" t="str">
        <f aca="false">IF(TRIM(raw_data!M79)="","Unknown",PROPER(TRIM(raw_data!M79)))</f>
        <v>Standard Class</v>
      </c>
      <c r="S79" s="3" t="str">
        <f aca="false">IF(TRIM(raw_data!M79)="","Filled - Unknown","OK")</f>
        <v>OK</v>
      </c>
      <c r="T79" s="6" t="n">
        <f aca="false">raw_data!N79</f>
        <v>1</v>
      </c>
      <c r="U79" s="7" t="n">
        <f aca="false">raw_data!O79</f>
        <v>2582.2</v>
      </c>
      <c r="V79" s="8" t="n">
        <f aca="false">raw_data!P79</f>
        <v>0.15</v>
      </c>
      <c r="W79" s="8" t="n">
        <f aca="false">IF(raw_data!P79="",0,IF(ISTEXT(raw_data!P79),IF(RIGHT(raw_data!P79,1)="%",VALUE(LEFT(raw_data!P79,LEN(raw_data!P79)-1))/100,VALUE(raw_data!P79)),raw_data!P79))</f>
        <v>0.15</v>
      </c>
      <c r="X79" s="3" t="str">
        <f aca="false">IF(raw_data!P79="","Missing - Defaulted to 0",IF(W79&lt;0,"Negative - Invalid",IF(W79&gt;0.3,"Above Allowed Range - Invalid","Valid")))</f>
        <v>Valid</v>
      </c>
      <c r="Y79" s="7" t="n">
        <f aca="false">raw_data!Q79</f>
        <v>2194.87</v>
      </c>
      <c r="Z79" s="7" t="n">
        <f aca="false">raw_data!R79</f>
        <v>1223.17</v>
      </c>
      <c r="AA79" s="7" t="n">
        <f aca="false">raw_data!S79</f>
        <v>971.7</v>
      </c>
      <c r="AB79" s="3" t="str">
        <f aca="false">PROPER(TRIM(raw_data!T79))</f>
        <v>Refunded</v>
      </c>
      <c r="AC79" s="3" t="str">
        <f aca="false">PROPER(TRIM(raw_data!U79))</f>
        <v>Cancelled</v>
      </c>
      <c r="AD79" s="7" t="n">
        <f aca="false">T79*U79*(1-W79)</f>
        <v>2194.87</v>
      </c>
      <c r="AE79" s="7" t="n">
        <f aca="false">AD79-Z79</f>
        <v>971.7</v>
      </c>
      <c r="AF79" s="8" t="n">
        <f aca="false">IF(AD79=0,0,AE79/AD79)</f>
        <v>0.442714147079326</v>
      </c>
      <c r="AG79" s="3" t="str">
        <f aca="false">IF(ABS(Y79-AD79)&gt;1,"Mismatch","OK")</f>
        <v>OK</v>
      </c>
      <c r="AH79" s="3" t="str">
        <f aca="false">IF(ABS(AA79-AE79)&gt;1,"Mismatch","OK")</f>
        <v>OK</v>
      </c>
      <c r="AI79" s="6" t="n">
        <f aca="false">IF(B79="","",MONTH(B79))</f>
        <v>7</v>
      </c>
      <c r="AJ79" s="6" t="n">
        <f aca="false">IF(B79="","",YEAR(B79))</f>
        <v>2025</v>
      </c>
      <c r="AK79" s="3" t="str">
        <f aca="false">IF(COUNTIF(raw_data!$A$2:$A$913,A79)&gt;1,"Conflicting Duplicate - Flagged for Review","Unique")</f>
        <v>Unique</v>
      </c>
      <c r="AL79" s="3" t="str">
        <f aca="false">IF(AB79="Refunded","Yes","No")</f>
        <v>Yes</v>
      </c>
      <c r="AM79" s="3" t="str">
        <f aca="false">IF(OR(AC79&lt;&gt;"Completed",AB79="Failed"),"Excluded","Included")</f>
        <v>Excluded</v>
      </c>
      <c r="AN79" s="3" t="str">
        <f aca="false">IF(OR(D79="Invalid/Unrecognized",E79="Invalid/Unrecognized",G79="Invalid - Ship Before Order",X79="Negative - Invalid",X79="Above Allowed Range - Invalid",AG79="Mismatch",AH79="Mismatch",AK79="Conflicting Duplicate - Flagged for Review"),"Invalid",IF(OR(L79="Filled - Unknown",S79="Filled - Unknown",X79="Missing - Defaulted to 0",AL79="Yes",AC79="Cancelled",AC79="Returned"),"Warning","Clean"))</f>
        <v>Warning</v>
      </c>
    </row>
    <row r="80" customFormat="false" ht="15" hidden="false" customHeight="false" outlineLevel="0" collapsed="false">
      <c r="A80" s="3" t="str">
        <f aca="false">raw_data!A80</f>
        <v>ORD-2025-10079</v>
      </c>
      <c r="B80" s="4" t="n">
        <f aca="false">IFERROR(IF(MID(raw_data!B80,3,1)="/",DATE(VALUE(RIGHT(raw_data!B80,4)),VALUE(LEFT(raw_data!B80,2)),VALUE(MID(raw_data!B80,4,2))),IF(MID(raw_data!B80,3,1)="-",DATE(VALUE(RIGHT(raw_data!B80,4)),VALUE(MID(raw_data!B80,4,2)),VALUE(LEFT(raw_data!B80,2))),IF(MID(raw_data!B80,5,1)="-",DATE(VALUE(LEFT(raw_data!B80,4)),VALUE(MID(raw_data!B80,6,2)),VALUE(RIGHT(raw_data!B80,2))),DATE(VALUE(RIGHT(raw_data!B80,4)),MATCH(MID(raw_data!B80,4,3),{"Jan","Feb","Mar","Apr","May","Jun","Jul","Aug","Sep","Oct","Nov","Dec"},0),VALUE(LEFT(raw_data!B80,2)))))),"")</f>
        <v>45854</v>
      </c>
      <c r="C80" s="4" t="n">
        <f aca="false">IFERROR(IF(MID(raw_data!C80,3,1)="/",DATE(VALUE(RIGHT(raw_data!C80,4)),VALUE(LEFT(raw_data!C80,2)),VALUE(MID(raw_data!C80,4,2))),IF(MID(raw_data!C80,3,1)="-",DATE(VALUE(RIGHT(raw_data!C80,4)),VALUE(MID(raw_data!C80,4,2)),VALUE(LEFT(raw_data!C80,2))),IF(MID(raw_data!C80,5,1)="-",DATE(VALUE(LEFT(raw_data!C80,4)),VALUE(MID(raw_data!C80,6,2)),VALUE(RIGHT(raw_data!C80,2))),DATE(VALUE(RIGHT(raw_data!C80,4)),MATCH(MID(raw_data!C80,4,3),{"Jan","Feb","Mar","Apr","May","Jun","Jul","Aug","Sep","Oct","Nov","Dec"},0),VALUE(LEFT(raw_data!C80,2)))))),"")</f>
        <v>45859</v>
      </c>
      <c r="D80" s="3" t="str">
        <f aca="false">IF(TRIM(raw_data!B80)="","Missing",IF(B80="","Invalid/Unrecognized","Valid"))</f>
        <v>Valid</v>
      </c>
      <c r="E80" s="3" t="str">
        <f aca="false">IF(TRIM(raw_data!C80)="","Missing",IF(C80="","Invalid/Unrecognized","Valid"))</f>
        <v>Valid</v>
      </c>
      <c r="F80" s="5" t="n">
        <f aca="false">IF(OR(B80="",C80=""),"",C80-B80)</f>
        <v>5</v>
      </c>
      <c r="G80" s="3" t="str">
        <f aca="false">IF(F80="","N/A",IF(F80&lt;0,"Invalid - Ship Before Order","OK"))</f>
        <v>OK</v>
      </c>
      <c r="H80" s="3" t="str">
        <f aca="false">raw_data!D80</f>
        <v>CUST-8043</v>
      </c>
      <c r="I80" s="3" t="str">
        <f aca="false">PROPER(TRIM(raw_data!E80))</f>
        <v>Sneha Kapoor</v>
      </c>
      <c r="J80" s="3" t="str">
        <f aca="false">PROPER(TRIM(raw_data!F80))</f>
        <v>Corporate</v>
      </c>
      <c r="K80" s="3" t="str">
        <f aca="false">IF(TRIM(raw_data!G80)="","Unknown",PROPER(TRIM(raw_data!G80)))</f>
        <v>East</v>
      </c>
      <c r="L80" s="3" t="str">
        <f aca="false">IF(TRIM(raw_data!G80)="","Filled - Unknown","OK")</f>
        <v>OK</v>
      </c>
      <c r="M80" s="3" t="str">
        <f aca="false">PROPER(TRIM(raw_data!H80))</f>
        <v>West Bengal</v>
      </c>
      <c r="N80" s="3" t="str">
        <f aca="false">PROPER(TRIM(raw_data!I80))</f>
        <v>Kolkata</v>
      </c>
      <c r="O80" s="3" t="str">
        <f aca="false">PROPER(TRIM(raw_data!J80))</f>
        <v>Furniture</v>
      </c>
      <c r="P80" s="3" t="str">
        <f aca="false">PROPER(TRIM(raw_data!K80))</f>
        <v>Tables</v>
      </c>
      <c r="Q80" s="3" t="str">
        <f aca="false">TRIM(raw_data!L80)</f>
        <v>Smart Tables 561</v>
      </c>
      <c r="R80" s="3" t="str">
        <f aca="false">IF(TRIM(raw_data!M80)="","Unknown",PROPER(TRIM(raw_data!M80)))</f>
        <v>First Class</v>
      </c>
      <c r="S80" s="3" t="str">
        <f aca="false">IF(TRIM(raw_data!M80)="","Filled - Unknown","OK")</f>
        <v>OK</v>
      </c>
      <c r="T80" s="6" t="n">
        <f aca="false">raw_data!N80</f>
        <v>5</v>
      </c>
      <c r="U80" s="7" t="n">
        <f aca="false">raw_data!O80</f>
        <v>2129.51</v>
      </c>
      <c r="V80" s="8" t="n">
        <f aca="false">raw_data!P80</f>
        <v>0.15</v>
      </c>
      <c r="W80" s="8" t="n">
        <f aca="false">IF(raw_data!P80="",0,IF(ISTEXT(raw_data!P80),IF(RIGHT(raw_data!P80,1)="%",VALUE(LEFT(raw_data!P80,LEN(raw_data!P80)-1))/100,VALUE(raw_data!P80)),raw_data!P80))</f>
        <v>0.15</v>
      </c>
      <c r="X80" s="3" t="str">
        <f aca="false">IF(raw_data!P80="","Missing - Defaulted to 0",IF(W80&lt;0,"Negative - Invalid",IF(W80&gt;0.3,"Above Allowed Range - Invalid","Valid")))</f>
        <v>Valid</v>
      </c>
      <c r="Y80" s="7" t="n">
        <f aca="false">raw_data!Q80</f>
        <v>9050.42</v>
      </c>
      <c r="Z80" s="7" t="n">
        <f aca="false">raw_data!R80</f>
        <v>6778.85</v>
      </c>
      <c r="AA80" s="7" t="n">
        <f aca="false">raw_data!S80</f>
        <v>2271.57</v>
      </c>
      <c r="AB80" s="3" t="str">
        <f aca="false">PROPER(TRIM(raw_data!T80))</f>
        <v>Paid</v>
      </c>
      <c r="AC80" s="3" t="str">
        <f aca="false">PROPER(TRIM(raw_data!U80))</f>
        <v>Completed</v>
      </c>
      <c r="AD80" s="7" t="n">
        <f aca="false">T80*U80*(1-W80)</f>
        <v>9050.4175</v>
      </c>
      <c r="AE80" s="7" t="n">
        <f aca="false">AD80-Z80</f>
        <v>2271.5675</v>
      </c>
      <c r="AF80" s="8" t="n">
        <f aca="false">IF(AD80=0,0,AE80/AD80)</f>
        <v>0.250990354864845</v>
      </c>
      <c r="AG80" s="3" t="str">
        <f aca="false">IF(ABS(Y80-AD80)&gt;1,"Mismatch","OK")</f>
        <v>OK</v>
      </c>
      <c r="AH80" s="3" t="str">
        <f aca="false">IF(ABS(AA80-AE80)&gt;1,"Mismatch","OK")</f>
        <v>OK</v>
      </c>
      <c r="AI80" s="6" t="n">
        <f aca="false">IF(B80="","",MONTH(B80))</f>
        <v>7</v>
      </c>
      <c r="AJ80" s="6" t="n">
        <f aca="false">IF(B80="","",YEAR(B80))</f>
        <v>2025</v>
      </c>
      <c r="AK80" s="3" t="str">
        <f aca="false">IF(COUNTIF(raw_data!$A$2:$A$913,A80)&gt;1,"Conflicting Duplicate - Flagged for Review","Unique")</f>
        <v>Unique</v>
      </c>
      <c r="AL80" s="3" t="str">
        <f aca="false">IF(AB80="Refunded","Yes","No")</f>
        <v>No</v>
      </c>
      <c r="AM80" s="3" t="str">
        <f aca="false">IF(OR(AC80&lt;&gt;"Completed",AB80="Failed"),"Excluded","Included")</f>
        <v>Included</v>
      </c>
      <c r="AN80" s="3" t="str">
        <f aca="false">IF(OR(D80="Invalid/Unrecognized",E80="Invalid/Unrecognized",G80="Invalid - Ship Before Order",X80="Negative - Invalid",X80="Above Allowed Range - Invalid",AG80="Mismatch",AH80="Mismatch",AK80="Conflicting Duplicate - Flagged for Review"),"Invalid",IF(OR(L80="Filled - Unknown",S80="Filled - Unknown",X80="Missing - Defaulted to 0",AL80="Yes",AC80="Cancelled",AC80="Returned"),"Warning","Clean"))</f>
        <v>Clean</v>
      </c>
    </row>
    <row r="81" customFormat="false" ht="15" hidden="false" customHeight="false" outlineLevel="0" collapsed="false">
      <c r="A81" s="3" t="str">
        <f aca="false">raw_data!A81</f>
        <v>ORD-2025-10080</v>
      </c>
      <c r="B81" s="4" t="n">
        <f aca="false">IFERROR(IF(MID(raw_data!B81,3,1)="/",DATE(VALUE(RIGHT(raw_data!B81,4)),VALUE(LEFT(raw_data!B81,2)),VALUE(MID(raw_data!B81,4,2))),IF(MID(raw_data!B81,3,1)="-",DATE(VALUE(RIGHT(raw_data!B81,4)),VALUE(MID(raw_data!B81,4,2)),VALUE(LEFT(raw_data!B81,2))),IF(MID(raw_data!B81,5,1)="-",DATE(VALUE(LEFT(raw_data!B81,4)),VALUE(MID(raw_data!B81,6,2)),VALUE(RIGHT(raw_data!B81,2))),DATE(VALUE(RIGHT(raw_data!B81,4)),MATCH(MID(raw_data!B81,4,3),{"Jan","Feb","Mar","Apr","May","Jun","Jul","Aug","Sep","Oct","Nov","Dec"},0),VALUE(LEFT(raw_data!B81,2)))))),"")</f>
        <v>45927</v>
      </c>
      <c r="C81" s="4" t="n">
        <f aca="false">IFERROR(IF(MID(raw_data!C81,3,1)="/",DATE(VALUE(RIGHT(raw_data!C81,4)),VALUE(LEFT(raw_data!C81,2)),VALUE(MID(raw_data!C81,4,2))),IF(MID(raw_data!C81,3,1)="-",DATE(VALUE(RIGHT(raw_data!C81,4)),VALUE(MID(raw_data!C81,4,2)),VALUE(LEFT(raw_data!C81,2))),IF(MID(raw_data!C81,5,1)="-",DATE(VALUE(LEFT(raw_data!C81,4)),VALUE(MID(raw_data!C81,6,2)),VALUE(RIGHT(raw_data!C81,2))),DATE(VALUE(RIGHT(raw_data!C81,4)),MATCH(MID(raw_data!C81,4,3),{"Jan","Feb","Mar","Apr","May","Jun","Jul","Aug","Sep","Oct","Nov","Dec"},0),VALUE(LEFT(raw_data!C81,2)))))),"")</f>
        <v>45933</v>
      </c>
      <c r="D81" s="3" t="str">
        <f aca="false">IF(TRIM(raw_data!B81)="","Missing",IF(B81="","Invalid/Unrecognized","Valid"))</f>
        <v>Valid</v>
      </c>
      <c r="E81" s="3" t="str">
        <f aca="false">IF(TRIM(raw_data!C81)="","Missing",IF(C81="","Invalid/Unrecognized","Valid"))</f>
        <v>Valid</v>
      </c>
      <c r="F81" s="5" t="n">
        <f aca="false">IF(OR(B81="",C81=""),"",C81-B81)</f>
        <v>6</v>
      </c>
      <c r="G81" s="3" t="str">
        <f aca="false">IF(F81="","N/A",IF(F81&lt;0,"Invalid - Ship Before Order","OK"))</f>
        <v>OK</v>
      </c>
      <c r="H81" s="3" t="str">
        <f aca="false">raw_data!D81</f>
        <v>CUST-9978</v>
      </c>
      <c r="I81" s="3" t="str">
        <f aca="false">PROPER(TRIM(raw_data!E81))</f>
        <v>Diya Patel</v>
      </c>
      <c r="J81" s="3" t="str">
        <f aca="false">PROPER(TRIM(raw_data!F81))</f>
        <v>Home Office</v>
      </c>
      <c r="K81" s="3" t="str">
        <f aca="false">IF(TRIM(raw_data!G81)="","Unknown",PROPER(TRIM(raw_data!G81)))</f>
        <v>South</v>
      </c>
      <c r="L81" s="3" t="str">
        <f aca="false">IF(TRIM(raw_data!G81)="","Filled - Unknown","OK")</f>
        <v>OK</v>
      </c>
      <c r="M81" s="3" t="str">
        <f aca="false">PROPER(TRIM(raw_data!H81))</f>
        <v>Tamil Nadu</v>
      </c>
      <c r="N81" s="3" t="str">
        <f aca="false">PROPER(TRIM(raw_data!I81))</f>
        <v>Chennai</v>
      </c>
      <c r="O81" s="3" t="str">
        <f aca="false">PROPER(TRIM(raw_data!J81))</f>
        <v>Furniture</v>
      </c>
      <c r="P81" s="3" t="str">
        <f aca="false">PROPER(TRIM(raw_data!K81))</f>
        <v>Chairs</v>
      </c>
      <c r="Q81" s="3" t="str">
        <f aca="false">TRIM(raw_data!L81)</f>
        <v>Prime Chairs 838</v>
      </c>
      <c r="R81" s="3" t="str">
        <f aca="false">IF(TRIM(raw_data!M81)="","Unknown",PROPER(TRIM(raw_data!M81)))</f>
        <v>Same Day</v>
      </c>
      <c r="S81" s="3" t="str">
        <f aca="false">IF(TRIM(raw_data!M81)="","Filled - Unknown","OK")</f>
        <v>OK</v>
      </c>
      <c r="T81" s="6" t="n">
        <f aca="false">raw_data!N81</f>
        <v>9</v>
      </c>
      <c r="U81" s="7" t="n">
        <f aca="false">raw_data!O81</f>
        <v>4131.52</v>
      </c>
      <c r="V81" s="8" t="n">
        <f aca="false">raw_data!P81</f>
        <v>0.1</v>
      </c>
      <c r="W81" s="8" t="n">
        <f aca="false">IF(raw_data!P81="",0,IF(ISTEXT(raw_data!P81),IF(RIGHT(raw_data!P81,1)="%",VALUE(LEFT(raw_data!P81,LEN(raw_data!P81)-1))/100,VALUE(raw_data!P81)),raw_data!P81))</f>
        <v>0.1</v>
      </c>
      <c r="X81" s="3" t="str">
        <f aca="false">IF(raw_data!P81="","Missing - Defaulted to 0",IF(W81&lt;0,"Negative - Invalid",IF(W81&gt;0.3,"Above Allowed Range - Invalid","Valid")))</f>
        <v>Valid</v>
      </c>
      <c r="Y81" s="7" t="n">
        <f aca="false">raw_data!Q81</f>
        <v>33465.31</v>
      </c>
      <c r="Z81" s="7" t="n">
        <f aca="false">raw_data!R81</f>
        <v>24781.26</v>
      </c>
      <c r="AA81" s="7" t="n">
        <f aca="false">raw_data!S81</f>
        <v>8684.05</v>
      </c>
      <c r="AB81" s="3" t="str">
        <f aca="false">PROPER(TRIM(raw_data!T81))</f>
        <v>Paid</v>
      </c>
      <c r="AC81" s="3" t="str">
        <f aca="false">PROPER(TRIM(raw_data!U81))</f>
        <v>Completed</v>
      </c>
      <c r="AD81" s="7" t="n">
        <f aca="false">T81*U81*(1-W81)</f>
        <v>33465.312</v>
      </c>
      <c r="AE81" s="7" t="n">
        <f aca="false">AD81-Z81</f>
        <v>8684.05200000001</v>
      </c>
      <c r="AF81" s="8" t="n">
        <f aca="false">IF(AD81=0,0,AE81/AD81)</f>
        <v>0.259494129324119</v>
      </c>
      <c r="AG81" s="3" t="str">
        <f aca="false">IF(ABS(Y81-AD81)&gt;1,"Mismatch","OK")</f>
        <v>OK</v>
      </c>
      <c r="AH81" s="3" t="str">
        <f aca="false">IF(ABS(AA81-AE81)&gt;1,"Mismatch","OK")</f>
        <v>OK</v>
      </c>
      <c r="AI81" s="6" t="n">
        <f aca="false">IF(B81="","",MONTH(B81))</f>
        <v>9</v>
      </c>
      <c r="AJ81" s="6" t="n">
        <f aca="false">IF(B81="","",YEAR(B81))</f>
        <v>2025</v>
      </c>
      <c r="AK81" s="3" t="str">
        <f aca="false">IF(COUNTIF(raw_data!$A$2:$A$913,A81)&gt;1,"Conflicting Duplicate - Flagged for Review","Unique")</f>
        <v>Unique</v>
      </c>
      <c r="AL81" s="3" t="str">
        <f aca="false">IF(AB81="Refunded","Yes","No")</f>
        <v>No</v>
      </c>
      <c r="AM81" s="3" t="str">
        <f aca="false">IF(OR(AC81&lt;&gt;"Completed",AB81="Failed"),"Excluded","Included")</f>
        <v>Included</v>
      </c>
      <c r="AN81" s="3" t="str">
        <f aca="false">IF(OR(D81="Invalid/Unrecognized",E81="Invalid/Unrecognized",G81="Invalid - Ship Before Order",X81="Negative - Invalid",X81="Above Allowed Range - Invalid",AG81="Mismatch",AH81="Mismatch",AK81="Conflicting Duplicate - Flagged for Review"),"Invalid",IF(OR(L81="Filled - Unknown",S81="Filled - Unknown",X81="Missing - Defaulted to 0",AL81="Yes",AC81="Cancelled",AC81="Returned"),"Warning","Clean"))</f>
        <v>Clean</v>
      </c>
    </row>
    <row r="82" customFormat="false" ht="15" hidden="false" customHeight="false" outlineLevel="0" collapsed="false">
      <c r="A82" s="3" t="str">
        <f aca="false">raw_data!A82</f>
        <v>ORD-2024-10081</v>
      </c>
      <c r="B82" s="4" t="n">
        <f aca="false">IFERROR(IF(MID(raw_data!B82,3,1)="/",DATE(VALUE(RIGHT(raw_data!B82,4)),VALUE(LEFT(raw_data!B82,2)),VALUE(MID(raw_data!B82,4,2))),IF(MID(raw_data!B82,3,1)="-",DATE(VALUE(RIGHT(raw_data!B82,4)),VALUE(MID(raw_data!B82,4,2)),VALUE(LEFT(raw_data!B82,2))),IF(MID(raw_data!B82,5,1)="-",DATE(VALUE(LEFT(raw_data!B82,4)),VALUE(MID(raw_data!B82,6,2)),VALUE(RIGHT(raw_data!B82,2))),DATE(VALUE(RIGHT(raw_data!B82,4)),MATCH(MID(raw_data!B82,4,3),{"Jan","Feb","Mar","Apr","May","Jun","Jul","Aug","Sep","Oct","Nov","Dec"},0),VALUE(LEFT(raw_data!B82,2)))))),"")</f>
        <v>45514</v>
      </c>
      <c r="C82" s="4" t="n">
        <f aca="false">IFERROR(IF(MID(raw_data!C82,3,1)="/",DATE(VALUE(RIGHT(raw_data!C82,4)),VALUE(LEFT(raw_data!C82,2)),VALUE(MID(raw_data!C82,4,2))),IF(MID(raw_data!C82,3,1)="-",DATE(VALUE(RIGHT(raw_data!C82,4)),VALUE(MID(raw_data!C82,4,2)),VALUE(LEFT(raw_data!C82,2))),IF(MID(raw_data!C82,5,1)="-",DATE(VALUE(LEFT(raw_data!C82,4)),VALUE(MID(raw_data!C82,6,2)),VALUE(RIGHT(raw_data!C82,2))),DATE(VALUE(RIGHT(raw_data!C82,4)),MATCH(MID(raw_data!C82,4,3),{"Jan","Feb","Mar","Apr","May","Jun","Jul","Aug","Sep","Oct","Nov","Dec"},0),VALUE(LEFT(raw_data!C82,2)))))),"")</f>
        <v>45518</v>
      </c>
      <c r="D82" s="3" t="str">
        <f aca="false">IF(TRIM(raw_data!B82)="","Missing",IF(B82="","Invalid/Unrecognized","Valid"))</f>
        <v>Valid</v>
      </c>
      <c r="E82" s="3" t="str">
        <f aca="false">IF(TRIM(raw_data!C82)="","Missing",IF(C82="","Invalid/Unrecognized","Valid"))</f>
        <v>Valid</v>
      </c>
      <c r="F82" s="5" t="n">
        <f aca="false">IF(OR(B82="",C82=""),"",C82-B82)</f>
        <v>4</v>
      </c>
      <c r="G82" s="3" t="str">
        <f aca="false">IF(F82="","N/A",IF(F82&lt;0,"Invalid - Ship Before Order","OK"))</f>
        <v>OK</v>
      </c>
      <c r="H82" s="3" t="str">
        <f aca="false">raw_data!D82</f>
        <v>CUST-2094</v>
      </c>
      <c r="I82" s="3" t="str">
        <f aca="false">PROPER(TRIM(raw_data!E82))</f>
        <v>Aarav Sharma</v>
      </c>
      <c r="J82" s="3" t="str">
        <f aca="false">PROPER(TRIM(raw_data!F82))</f>
        <v>Small Business</v>
      </c>
      <c r="K82" s="3" t="str">
        <f aca="false">IF(TRIM(raw_data!G82)="","Unknown",PROPER(TRIM(raw_data!G82)))</f>
        <v>North</v>
      </c>
      <c r="L82" s="3" t="str">
        <f aca="false">IF(TRIM(raw_data!G82)="","Filled - Unknown","OK")</f>
        <v>OK</v>
      </c>
      <c r="M82" s="3" t="str">
        <f aca="false">PROPER(TRIM(raw_data!H82))</f>
        <v>Delhi</v>
      </c>
      <c r="N82" s="3" t="str">
        <f aca="false">PROPER(TRIM(raw_data!I82))</f>
        <v>New Delhi</v>
      </c>
      <c r="O82" s="3" t="str">
        <f aca="false">PROPER(TRIM(raw_data!J82))</f>
        <v>Office Supplies</v>
      </c>
      <c r="P82" s="3" t="str">
        <f aca="false">PROPER(TRIM(raw_data!K82))</f>
        <v>Storage</v>
      </c>
      <c r="Q82" s="3" t="str">
        <f aca="false">TRIM(raw_data!L82)</f>
        <v>Elite Storage 371</v>
      </c>
      <c r="R82" s="3" t="str">
        <f aca="false">IF(TRIM(raw_data!M82)="","Unknown",PROPER(TRIM(raw_data!M82)))</f>
        <v>Second Class</v>
      </c>
      <c r="S82" s="3" t="str">
        <f aca="false">IF(TRIM(raw_data!M82)="","Filled - Unknown","OK")</f>
        <v>OK</v>
      </c>
      <c r="T82" s="6" t="n">
        <f aca="false">raw_data!N82</f>
        <v>4</v>
      </c>
      <c r="U82" s="7" t="n">
        <f aca="false">raw_data!O82</f>
        <v>1182.32</v>
      </c>
      <c r="V82" s="8" t="n">
        <f aca="false">raw_data!P82</f>
        <v>0.1</v>
      </c>
      <c r="W82" s="8" t="n">
        <f aca="false">IF(raw_data!P82="",0,IF(ISTEXT(raw_data!P82),IF(RIGHT(raw_data!P82,1)="%",VALUE(LEFT(raw_data!P82,LEN(raw_data!P82)-1))/100,VALUE(raw_data!P82)),raw_data!P82))</f>
        <v>0.1</v>
      </c>
      <c r="X82" s="3" t="str">
        <f aca="false">IF(raw_data!P82="","Missing - Defaulted to 0",IF(W82&lt;0,"Negative - Invalid",IF(W82&gt;0.3,"Above Allowed Range - Invalid","Valid")))</f>
        <v>Valid</v>
      </c>
      <c r="Y82" s="7" t="n">
        <f aca="false">raw_data!Q82</f>
        <v>4256.35</v>
      </c>
      <c r="Z82" s="7" t="n">
        <f aca="false">raw_data!R82</f>
        <v>2495.33</v>
      </c>
      <c r="AA82" s="7" t="n">
        <f aca="false">raw_data!S82</f>
        <v>1761.02</v>
      </c>
      <c r="AB82" s="3" t="str">
        <f aca="false">PROPER(TRIM(raw_data!T82))</f>
        <v>Pending</v>
      </c>
      <c r="AC82" s="3" t="str">
        <f aca="false">PROPER(TRIM(raw_data!U82))</f>
        <v>Returned</v>
      </c>
      <c r="AD82" s="7" t="n">
        <f aca="false">T82*U82*(1-W82)</f>
        <v>4256.352</v>
      </c>
      <c r="AE82" s="7" t="n">
        <f aca="false">AD82-Z82</f>
        <v>1761.022</v>
      </c>
      <c r="AF82" s="8" t="n">
        <f aca="false">IF(AD82=0,0,AE82/AD82)</f>
        <v>0.413739747088587</v>
      </c>
      <c r="AG82" s="3" t="str">
        <f aca="false">IF(ABS(Y82-AD82)&gt;1,"Mismatch","OK")</f>
        <v>OK</v>
      </c>
      <c r="AH82" s="3" t="str">
        <f aca="false">IF(ABS(AA82-AE82)&gt;1,"Mismatch","OK")</f>
        <v>OK</v>
      </c>
      <c r="AI82" s="6" t="n">
        <f aca="false">IF(B82="","",MONTH(B82))</f>
        <v>8</v>
      </c>
      <c r="AJ82" s="6" t="n">
        <f aca="false">IF(B82="","",YEAR(B82))</f>
        <v>2024</v>
      </c>
      <c r="AK82" s="3" t="str">
        <f aca="false">IF(COUNTIF(raw_data!$A$2:$A$913,A82)&gt;1,"Conflicting Duplicate - Flagged for Review","Unique")</f>
        <v>Unique</v>
      </c>
      <c r="AL82" s="3" t="str">
        <f aca="false">IF(AB82="Refunded","Yes","No")</f>
        <v>No</v>
      </c>
      <c r="AM82" s="3" t="str">
        <f aca="false">IF(OR(AC82&lt;&gt;"Completed",AB82="Failed"),"Excluded","Included")</f>
        <v>Excluded</v>
      </c>
      <c r="AN82" s="3" t="str">
        <f aca="false">IF(OR(D82="Invalid/Unrecognized",E82="Invalid/Unrecognized",G82="Invalid - Ship Before Order",X82="Negative - Invalid",X82="Above Allowed Range - Invalid",AG82="Mismatch",AH82="Mismatch",AK82="Conflicting Duplicate - Flagged for Review"),"Invalid",IF(OR(L82="Filled - Unknown",S82="Filled - Unknown",X82="Missing - Defaulted to 0",AL82="Yes",AC82="Cancelled",AC82="Returned"),"Warning","Clean"))</f>
        <v>Warning</v>
      </c>
    </row>
    <row r="83" customFormat="false" ht="15" hidden="false" customHeight="false" outlineLevel="0" collapsed="false">
      <c r="A83" s="3" t="str">
        <f aca="false">raw_data!A83</f>
        <v>ORD-2025-10082</v>
      </c>
      <c r="B83" s="4" t="n">
        <f aca="false">IFERROR(IF(MID(raw_data!B83,3,1)="/",DATE(VALUE(RIGHT(raw_data!B83,4)),VALUE(LEFT(raw_data!B83,2)),VALUE(MID(raw_data!B83,4,2))),IF(MID(raw_data!B83,3,1)="-",DATE(VALUE(RIGHT(raw_data!B83,4)),VALUE(MID(raw_data!B83,4,2)),VALUE(LEFT(raw_data!B83,2))),IF(MID(raw_data!B83,5,1)="-",DATE(VALUE(LEFT(raw_data!B83,4)),VALUE(MID(raw_data!B83,6,2)),VALUE(RIGHT(raw_data!B83,2))),DATE(VALUE(RIGHT(raw_data!B83,4)),MATCH(MID(raw_data!B83,4,3),{"Jan","Feb","Mar","Apr","May","Jun","Jul","Aug","Sep","Oct","Nov","Dec"},0),VALUE(LEFT(raw_data!B83,2)))))),"")</f>
        <v>45732</v>
      </c>
      <c r="C83" s="4" t="n">
        <f aca="false">IFERROR(IF(MID(raw_data!C83,3,1)="/",DATE(VALUE(RIGHT(raw_data!C83,4)),VALUE(LEFT(raw_data!C83,2)),VALUE(MID(raw_data!C83,4,2))),IF(MID(raw_data!C83,3,1)="-",DATE(VALUE(RIGHT(raw_data!C83,4)),VALUE(MID(raw_data!C83,4,2)),VALUE(LEFT(raw_data!C83,2))),IF(MID(raw_data!C83,5,1)="-",DATE(VALUE(LEFT(raw_data!C83,4)),VALUE(MID(raw_data!C83,6,2)),VALUE(RIGHT(raw_data!C83,2))),DATE(VALUE(RIGHT(raw_data!C83,4)),MATCH(MID(raw_data!C83,4,3),{"Jan","Feb","Mar","Apr","May","Jun","Jul","Aug","Sep","Oct","Nov","Dec"},0),VALUE(LEFT(raw_data!C83,2)))))),"")</f>
        <v>45733</v>
      </c>
      <c r="D83" s="3" t="str">
        <f aca="false">IF(TRIM(raw_data!B83)="","Missing",IF(B83="","Invalid/Unrecognized","Valid"))</f>
        <v>Valid</v>
      </c>
      <c r="E83" s="3" t="str">
        <f aca="false">IF(TRIM(raw_data!C83)="","Missing",IF(C83="","Invalid/Unrecognized","Valid"))</f>
        <v>Valid</v>
      </c>
      <c r="F83" s="5" t="n">
        <f aca="false">IF(OR(B83="",C83=""),"",C83-B83)</f>
        <v>1</v>
      </c>
      <c r="G83" s="3" t="str">
        <f aca="false">IF(F83="","N/A",IF(F83&lt;0,"Invalid - Ship Before Order","OK"))</f>
        <v>OK</v>
      </c>
      <c r="H83" s="3" t="str">
        <f aca="false">raw_data!D83</f>
        <v>CUST-7907</v>
      </c>
      <c r="I83" s="3" t="str">
        <f aca="false">PROPER(TRIM(raw_data!E83))</f>
        <v>Karan Malhotra</v>
      </c>
      <c r="J83" s="3" t="str">
        <f aca="false">PROPER(TRIM(raw_data!F83))</f>
        <v>Home Office</v>
      </c>
      <c r="K83" s="3" t="str">
        <f aca="false">IF(TRIM(raw_data!G83)="","Unknown",PROPER(TRIM(raw_data!G83)))</f>
        <v>West</v>
      </c>
      <c r="L83" s="3" t="str">
        <f aca="false">IF(TRIM(raw_data!G83)="","Filled - Unknown","OK")</f>
        <v>OK</v>
      </c>
      <c r="M83" s="3" t="str">
        <f aca="false">PROPER(TRIM(raw_data!H83))</f>
        <v>Goa</v>
      </c>
      <c r="N83" s="3" t="str">
        <f aca="false">PROPER(TRIM(raw_data!I83))</f>
        <v>Panaji</v>
      </c>
      <c r="O83" s="3" t="str">
        <f aca="false">PROPER(TRIM(raw_data!J83))</f>
        <v>Office Supplies</v>
      </c>
      <c r="P83" s="3" t="str">
        <f aca="false">PROPER(TRIM(raw_data!K83))</f>
        <v>Labels</v>
      </c>
      <c r="Q83" s="3" t="str">
        <f aca="false">TRIM(raw_data!L83)</f>
        <v>Eco Labels 662</v>
      </c>
      <c r="R83" s="3" t="str">
        <f aca="false">IF(TRIM(raw_data!M83)="","Unknown",PROPER(TRIM(raw_data!M83)))</f>
        <v>Same Day</v>
      </c>
      <c r="S83" s="3" t="str">
        <f aca="false">IF(TRIM(raw_data!M83)="","Filled - Unknown","OK")</f>
        <v>OK</v>
      </c>
      <c r="T83" s="6" t="n">
        <f aca="false">raw_data!N83</f>
        <v>3</v>
      </c>
      <c r="U83" s="7" t="n">
        <f aca="false">raw_data!O83</f>
        <v>1841.91</v>
      </c>
      <c r="V83" s="8" t="n">
        <f aca="false">raw_data!P83</f>
        <v>0</v>
      </c>
      <c r="W83" s="8" t="n">
        <f aca="false">IF(raw_data!P83="",0,IF(ISTEXT(raw_data!P83),IF(RIGHT(raw_data!P83,1)="%",VALUE(LEFT(raw_data!P83,LEN(raw_data!P83)-1))/100,VALUE(raw_data!P83)),raw_data!P83))</f>
        <v>0</v>
      </c>
      <c r="X83" s="3" t="str">
        <f aca="false">IF(raw_data!P83="","Missing - Defaulted to 0",IF(W83&lt;0,"Negative - Invalid",IF(W83&gt;0.3,"Above Allowed Range - Invalid","Valid")))</f>
        <v>Valid</v>
      </c>
      <c r="Y83" s="7" t="n">
        <f aca="false">raw_data!Q83</f>
        <v>5525.73</v>
      </c>
      <c r="Z83" s="7" t="n">
        <f aca="false">raw_data!R83</f>
        <v>3093.42</v>
      </c>
      <c r="AA83" s="7" t="n">
        <f aca="false">raw_data!S83</f>
        <v>2432.31</v>
      </c>
      <c r="AB83" s="3" t="str">
        <f aca="false">PROPER(TRIM(raw_data!T83))</f>
        <v>Paid</v>
      </c>
      <c r="AC83" s="3" t="str">
        <f aca="false">PROPER(TRIM(raw_data!U83))</f>
        <v>Completed</v>
      </c>
      <c r="AD83" s="7" t="n">
        <f aca="false">T83*U83*(1-W83)</f>
        <v>5525.73</v>
      </c>
      <c r="AE83" s="7" t="n">
        <f aca="false">AD83-Z83</f>
        <v>2432.31</v>
      </c>
      <c r="AF83" s="8" t="n">
        <f aca="false">IF(AD83=0,0,AE83/AD83)</f>
        <v>0.440178944682422</v>
      </c>
      <c r="AG83" s="3" t="str">
        <f aca="false">IF(ABS(Y83-AD83)&gt;1,"Mismatch","OK")</f>
        <v>OK</v>
      </c>
      <c r="AH83" s="3" t="str">
        <f aca="false">IF(ABS(AA83-AE83)&gt;1,"Mismatch","OK")</f>
        <v>OK</v>
      </c>
      <c r="AI83" s="6" t="n">
        <f aca="false">IF(B83="","",MONTH(B83))</f>
        <v>3</v>
      </c>
      <c r="AJ83" s="6" t="n">
        <f aca="false">IF(B83="","",YEAR(B83))</f>
        <v>2025</v>
      </c>
      <c r="AK83" s="3" t="str">
        <f aca="false">IF(COUNTIF(raw_data!$A$2:$A$913,A83)&gt;1,"Conflicting Duplicate - Flagged for Review","Unique")</f>
        <v>Unique</v>
      </c>
      <c r="AL83" s="3" t="str">
        <f aca="false">IF(AB83="Refunded","Yes","No")</f>
        <v>No</v>
      </c>
      <c r="AM83" s="3" t="str">
        <f aca="false">IF(OR(AC83&lt;&gt;"Completed",AB83="Failed"),"Excluded","Included")</f>
        <v>Included</v>
      </c>
      <c r="AN83" s="3" t="str">
        <f aca="false">IF(OR(D83="Invalid/Unrecognized",E83="Invalid/Unrecognized",G83="Invalid - Ship Before Order",X83="Negative - Invalid",X83="Above Allowed Range - Invalid",AG83="Mismatch",AH83="Mismatch",AK83="Conflicting Duplicate - Flagged for Review"),"Invalid",IF(OR(L83="Filled - Unknown",S83="Filled - Unknown",X83="Missing - Defaulted to 0",AL83="Yes",AC83="Cancelled",AC83="Returned"),"Warning","Clean"))</f>
        <v>Clean</v>
      </c>
    </row>
    <row r="84" customFormat="false" ht="15" hidden="false" customHeight="false" outlineLevel="0" collapsed="false">
      <c r="A84" s="3" t="str">
        <f aca="false">raw_data!A84</f>
        <v>ORD-2024-10083</v>
      </c>
      <c r="B84" s="4" t="n">
        <f aca="false">IFERROR(IF(MID(raw_data!B84,3,1)="/",DATE(VALUE(RIGHT(raw_data!B84,4)),VALUE(LEFT(raw_data!B84,2)),VALUE(MID(raw_data!B84,4,2))),IF(MID(raw_data!B84,3,1)="-",DATE(VALUE(RIGHT(raw_data!B84,4)),VALUE(MID(raw_data!B84,4,2)),VALUE(LEFT(raw_data!B84,2))),IF(MID(raw_data!B84,5,1)="-",DATE(VALUE(LEFT(raw_data!B84,4)),VALUE(MID(raw_data!B84,6,2)),VALUE(RIGHT(raw_data!B84,2))),DATE(VALUE(RIGHT(raw_data!B84,4)),MATCH(MID(raw_data!B84,4,3),{"Jan","Feb","Mar","Apr","May","Jun","Jul","Aug","Sep","Oct","Nov","Dec"},0),VALUE(LEFT(raw_data!B84,2)))))),"")</f>
        <v>45507</v>
      </c>
      <c r="C84" s="4" t="n">
        <f aca="false">IFERROR(IF(MID(raw_data!C84,3,1)="/",DATE(VALUE(RIGHT(raw_data!C84,4)),VALUE(LEFT(raw_data!C84,2)),VALUE(MID(raw_data!C84,4,2))),IF(MID(raw_data!C84,3,1)="-",DATE(VALUE(RIGHT(raw_data!C84,4)),VALUE(MID(raw_data!C84,4,2)),VALUE(LEFT(raw_data!C84,2))),IF(MID(raw_data!C84,5,1)="-",DATE(VALUE(LEFT(raw_data!C84,4)),VALUE(MID(raw_data!C84,6,2)),VALUE(RIGHT(raw_data!C84,2))),DATE(VALUE(RIGHT(raw_data!C84,4)),MATCH(MID(raw_data!C84,4,3),{"Jan","Feb","Mar","Apr","May","Jun","Jul","Aug","Sep","Oct","Nov","Dec"},0),VALUE(LEFT(raw_data!C84,2)))))),"")</f>
        <v>45508</v>
      </c>
      <c r="D84" s="3" t="str">
        <f aca="false">IF(TRIM(raw_data!B84)="","Missing",IF(B84="","Invalid/Unrecognized","Valid"))</f>
        <v>Valid</v>
      </c>
      <c r="E84" s="3" t="str">
        <f aca="false">IF(TRIM(raw_data!C84)="","Missing",IF(C84="","Invalid/Unrecognized","Valid"))</f>
        <v>Valid</v>
      </c>
      <c r="F84" s="5" t="n">
        <f aca="false">IF(OR(B84="",C84=""),"",C84-B84)</f>
        <v>1</v>
      </c>
      <c r="G84" s="3" t="str">
        <f aca="false">IF(F84="","N/A",IF(F84&lt;0,"Invalid - Ship Before Order","OK"))</f>
        <v>OK</v>
      </c>
      <c r="H84" s="3" t="str">
        <f aca="false">raw_data!D84</f>
        <v>CUST-6516</v>
      </c>
      <c r="I84" s="3" t="str">
        <f aca="false">PROPER(TRIM(raw_data!E84))</f>
        <v>Arjun Bose</v>
      </c>
      <c r="J84" s="3" t="str">
        <f aca="false">PROPER(TRIM(raw_data!F84))</f>
        <v>Consumer</v>
      </c>
      <c r="K84" s="3" t="str">
        <f aca="false">IF(TRIM(raw_data!G84)="","Unknown",PROPER(TRIM(raw_data!G84)))</f>
        <v>North</v>
      </c>
      <c r="L84" s="3" t="str">
        <f aca="false">IF(TRIM(raw_data!G84)="","Filled - Unknown","OK")</f>
        <v>OK</v>
      </c>
      <c r="M84" s="3" t="str">
        <f aca="false">PROPER(TRIM(raw_data!H84))</f>
        <v>Uttar Pradesh</v>
      </c>
      <c r="N84" s="3" t="str">
        <f aca="false">PROPER(TRIM(raw_data!I84))</f>
        <v>Noida</v>
      </c>
      <c r="O84" s="3" t="str">
        <f aca="false">PROPER(TRIM(raw_data!J84))</f>
        <v>Technology</v>
      </c>
      <c r="P84" s="3" t="str">
        <f aca="false">PROPER(TRIM(raw_data!K84))</f>
        <v>Copiers</v>
      </c>
      <c r="Q84" s="3" t="str">
        <f aca="false">TRIM(raw_data!L84)</f>
        <v>Smart Copiers 702</v>
      </c>
      <c r="R84" s="3" t="str">
        <f aca="false">IF(TRIM(raw_data!M84)="","Unknown",PROPER(TRIM(raw_data!M84)))</f>
        <v>Second Class</v>
      </c>
      <c r="S84" s="3" t="str">
        <f aca="false">IF(TRIM(raw_data!M84)="","Filled - Unknown","OK")</f>
        <v>OK</v>
      </c>
      <c r="T84" s="6" t="n">
        <f aca="false">raw_data!N84</f>
        <v>6</v>
      </c>
      <c r="U84" s="7" t="n">
        <f aca="false">raw_data!O84</f>
        <v>1001.73</v>
      </c>
      <c r="V84" s="8" t="n">
        <f aca="false">raw_data!P84</f>
        <v>0</v>
      </c>
      <c r="W84" s="8" t="n">
        <f aca="false">IF(raw_data!P84="",0,IF(ISTEXT(raw_data!P84),IF(RIGHT(raw_data!P84,1)="%",VALUE(LEFT(raw_data!P84,LEN(raw_data!P84)-1))/100,VALUE(raw_data!P84)),raw_data!P84))</f>
        <v>0</v>
      </c>
      <c r="X84" s="3" t="str">
        <f aca="false">IF(raw_data!P84="","Missing - Defaulted to 0",IF(W84&lt;0,"Negative - Invalid",IF(W84&gt;0.3,"Above Allowed Range - Invalid","Valid")))</f>
        <v>Valid</v>
      </c>
      <c r="Y84" s="7" t="n">
        <f aca="false">raw_data!Q84</f>
        <v>6010.38</v>
      </c>
      <c r="Z84" s="7" t="n">
        <f aca="false">raw_data!R84</f>
        <v>3762.85</v>
      </c>
      <c r="AA84" s="7" t="n">
        <f aca="false">raw_data!S84</f>
        <v>2247.53</v>
      </c>
      <c r="AB84" s="3" t="str">
        <f aca="false">PROPER(TRIM(raw_data!T84))</f>
        <v>Failed</v>
      </c>
      <c r="AC84" s="3" t="str">
        <f aca="false">PROPER(TRIM(raw_data!U84))</f>
        <v>Returned</v>
      </c>
      <c r="AD84" s="7" t="n">
        <f aca="false">T84*U84*(1-W84)</f>
        <v>6010.38</v>
      </c>
      <c r="AE84" s="7" t="n">
        <f aca="false">AD84-Z84</f>
        <v>2247.53</v>
      </c>
      <c r="AF84" s="8" t="n">
        <f aca="false">IF(AD84=0,0,AE84/AD84)</f>
        <v>0.373941414685927</v>
      </c>
      <c r="AG84" s="3" t="str">
        <f aca="false">IF(ABS(Y84-AD84)&gt;1,"Mismatch","OK")</f>
        <v>OK</v>
      </c>
      <c r="AH84" s="3" t="str">
        <f aca="false">IF(ABS(AA84-AE84)&gt;1,"Mismatch","OK")</f>
        <v>OK</v>
      </c>
      <c r="AI84" s="6" t="n">
        <f aca="false">IF(B84="","",MONTH(B84))</f>
        <v>8</v>
      </c>
      <c r="AJ84" s="6" t="n">
        <f aca="false">IF(B84="","",YEAR(B84))</f>
        <v>2024</v>
      </c>
      <c r="AK84" s="3" t="str">
        <f aca="false">IF(COUNTIF(raw_data!$A$2:$A$913,A84)&gt;1,"Conflicting Duplicate - Flagged for Review","Unique")</f>
        <v>Unique</v>
      </c>
      <c r="AL84" s="3" t="str">
        <f aca="false">IF(AB84="Refunded","Yes","No")</f>
        <v>No</v>
      </c>
      <c r="AM84" s="3" t="str">
        <f aca="false">IF(OR(AC84&lt;&gt;"Completed",AB84="Failed"),"Excluded","Included")</f>
        <v>Excluded</v>
      </c>
      <c r="AN84" s="3" t="str">
        <f aca="false">IF(OR(D84="Invalid/Unrecognized",E84="Invalid/Unrecognized",G84="Invalid - Ship Before Order",X84="Negative - Invalid",X84="Above Allowed Range - Invalid",AG84="Mismatch",AH84="Mismatch",AK84="Conflicting Duplicate - Flagged for Review"),"Invalid",IF(OR(L84="Filled - Unknown",S84="Filled - Unknown",X84="Missing - Defaulted to 0",AL84="Yes",AC84="Cancelled",AC84="Returned"),"Warning","Clean"))</f>
        <v>Warning</v>
      </c>
    </row>
    <row r="85" customFormat="false" ht="15" hidden="false" customHeight="false" outlineLevel="0" collapsed="false">
      <c r="A85" s="3" t="str">
        <f aca="false">raw_data!A85</f>
        <v>ORD-2024-10084</v>
      </c>
      <c r="B85" s="4" t="n">
        <f aca="false">IFERROR(IF(MID(raw_data!B85,3,1)="/",DATE(VALUE(RIGHT(raw_data!B85,4)),VALUE(LEFT(raw_data!B85,2)),VALUE(MID(raw_data!B85,4,2))),IF(MID(raw_data!B85,3,1)="-",DATE(VALUE(RIGHT(raw_data!B85,4)),VALUE(MID(raw_data!B85,4,2)),VALUE(LEFT(raw_data!B85,2))),IF(MID(raw_data!B85,5,1)="-",DATE(VALUE(LEFT(raw_data!B85,4)),VALUE(MID(raw_data!B85,6,2)),VALUE(RIGHT(raw_data!B85,2))),DATE(VALUE(RIGHT(raw_data!B85,4)),MATCH(MID(raw_data!B85,4,3),{"Jan","Feb","Mar","Apr","May","Jun","Jul","Aug","Sep","Oct","Nov","Dec"},0),VALUE(LEFT(raw_data!B85,2)))))),"")</f>
        <v>45591</v>
      </c>
      <c r="C85" s="4" t="n">
        <f aca="false">IFERROR(IF(MID(raw_data!C85,3,1)="/",DATE(VALUE(RIGHT(raw_data!C85,4)),VALUE(LEFT(raw_data!C85,2)),VALUE(MID(raw_data!C85,4,2))),IF(MID(raw_data!C85,3,1)="-",DATE(VALUE(RIGHT(raw_data!C85,4)),VALUE(MID(raw_data!C85,4,2)),VALUE(LEFT(raw_data!C85,2))),IF(MID(raw_data!C85,5,1)="-",DATE(VALUE(LEFT(raw_data!C85,4)),VALUE(MID(raw_data!C85,6,2)),VALUE(RIGHT(raw_data!C85,2))),DATE(VALUE(RIGHT(raw_data!C85,4)),MATCH(MID(raw_data!C85,4,3),{"Jan","Feb","Mar","Apr","May","Jun","Jul","Aug","Sep","Oct","Nov","Dec"},0),VALUE(LEFT(raw_data!C85,2)))))),"")</f>
        <v>45594</v>
      </c>
      <c r="D85" s="3" t="str">
        <f aca="false">IF(TRIM(raw_data!B85)="","Missing",IF(B85="","Invalid/Unrecognized","Valid"))</f>
        <v>Valid</v>
      </c>
      <c r="E85" s="3" t="str">
        <f aca="false">IF(TRIM(raw_data!C85)="","Missing",IF(C85="","Invalid/Unrecognized","Valid"))</f>
        <v>Valid</v>
      </c>
      <c r="F85" s="5" t="n">
        <f aca="false">IF(OR(B85="",C85=""),"",C85-B85)</f>
        <v>3</v>
      </c>
      <c r="G85" s="3" t="str">
        <f aca="false">IF(F85="","N/A",IF(F85&lt;0,"Invalid - Ship Before Order","OK"))</f>
        <v>OK</v>
      </c>
      <c r="H85" s="3" t="str">
        <f aca="false">raw_data!D85</f>
        <v>CUST-4989</v>
      </c>
      <c r="I85" s="3" t="str">
        <f aca="false">PROPER(TRIM(raw_data!E85))</f>
        <v>Aditi Sen</v>
      </c>
      <c r="J85" s="3" t="str">
        <f aca="false">PROPER(TRIM(raw_data!F85))</f>
        <v>Home Office</v>
      </c>
      <c r="K85" s="3" t="str">
        <f aca="false">IF(TRIM(raw_data!G85)="","Unknown",PROPER(TRIM(raw_data!G85)))</f>
        <v>West</v>
      </c>
      <c r="L85" s="3" t="str">
        <f aca="false">IF(TRIM(raw_data!G85)="","Filled - Unknown","OK")</f>
        <v>OK</v>
      </c>
      <c r="M85" s="3" t="str">
        <f aca="false">PROPER(TRIM(raw_data!H85))</f>
        <v>Maharashtra</v>
      </c>
      <c r="N85" s="3" t="str">
        <f aca="false">PROPER(TRIM(raw_data!I85))</f>
        <v>Mumbai</v>
      </c>
      <c r="O85" s="3" t="str">
        <f aca="false">PROPER(TRIM(raw_data!J85))</f>
        <v>Furniture</v>
      </c>
      <c r="P85" s="3" t="str">
        <f aca="false">PROPER(TRIM(raw_data!K85))</f>
        <v>Tables</v>
      </c>
      <c r="Q85" s="3" t="str">
        <f aca="false">TRIM(raw_data!L85)</f>
        <v>Elite Tables 362</v>
      </c>
      <c r="R85" s="3" t="str">
        <f aca="false">IF(TRIM(raw_data!M85)="","Unknown",PROPER(TRIM(raw_data!M85)))</f>
        <v>Second Class</v>
      </c>
      <c r="S85" s="3" t="str">
        <f aca="false">IF(TRIM(raw_data!M85)="","Filled - Unknown","OK")</f>
        <v>OK</v>
      </c>
      <c r="T85" s="6" t="n">
        <f aca="false">raw_data!N85</f>
        <v>9</v>
      </c>
      <c r="U85" s="7" t="n">
        <f aca="false">raw_data!O85</f>
        <v>131.74</v>
      </c>
      <c r="V85" s="8" t="n">
        <f aca="false">raw_data!P85</f>
        <v>0.2</v>
      </c>
      <c r="W85" s="8" t="n">
        <f aca="false">IF(raw_data!P85="",0,IF(ISTEXT(raw_data!P85),IF(RIGHT(raw_data!P85,1)="%",VALUE(LEFT(raw_data!P85,LEN(raw_data!P85)-1))/100,VALUE(raw_data!P85)),raw_data!P85))</f>
        <v>0.2</v>
      </c>
      <c r="X85" s="3" t="str">
        <f aca="false">IF(raw_data!P85="","Missing - Defaulted to 0",IF(W85&lt;0,"Negative - Invalid",IF(W85&gt;0.3,"Above Allowed Range - Invalid","Valid")))</f>
        <v>Valid</v>
      </c>
      <c r="Y85" s="7" t="n">
        <f aca="false">raw_data!Q85</f>
        <v>948.53</v>
      </c>
      <c r="Z85" s="7" t="n">
        <f aca="false">raw_data!R85</f>
        <v>674.62</v>
      </c>
      <c r="AA85" s="7" t="n">
        <f aca="false">raw_data!S85</f>
        <v>273.91</v>
      </c>
      <c r="AB85" s="3" t="str">
        <f aca="false">PROPER(TRIM(raw_data!T85))</f>
        <v>Paid</v>
      </c>
      <c r="AC85" s="3" t="str">
        <f aca="false">PROPER(TRIM(raw_data!U85))</f>
        <v>Completed</v>
      </c>
      <c r="AD85" s="7" t="n">
        <f aca="false">T85*U85*(1-W85)</f>
        <v>948.528</v>
      </c>
      <c r="AE85" s="7" t="n">
        <f aca="false">AD85-Z85</f>
        <v>273.908</v>
      </c>
      <c r="AF85" s="8" t="n">
        <f aca="false">IF(AD85=0,0,AE85/AD85)</f>
        <v>0.288771654605874</v>
      </c>
      <c r="AG85" s="3" t="str">
        <f aca="false">IF(ABS(Y85-AD85)&gt;1,"Mismatch","OK")</f>
        <v>OK</v>
      </c>
      <c r="AH85" s="3" t="str">
        <f aca="false">IF(ABS(AA85-AE85)&gt;1,"Mismatch","OK")</f>
        <v>OK</v>
      </c>
      <c r="AI85" s="6" t="n">
        <f aca="false">IF(B85="","",MONTH(B85))</f>
        <v>10</v>
      </c>
      <c r="AJ85" s="6" t="n">
        <f aca="false">IF(B85="","",YEAR(B85))</f>
        <v>2024</v>
      </c>
      <c r="AK85" s="3" t="str">
        <f aca="false">IF(COUNTIF(raw_data!$A$2:$A$913,A85)&gt;1,"Conflicting Duplicate - Flagged for Review","Unique")</f>
        <v>Unique</v>
      </c>
      <c r="AL85" s="3" t="str">
        <f aca="false">IF(AB85="Refunded","Yes","No")</f>
        <v>No</v>
      </c>
      <c r="AM85" s="3" t="str">
        <f aca="false">IF(OR(AC85&lt;&gt;"Completed",AB85="Failed"),"Excluded","Included")</f>
        <v>Included</v>
      </c>
      <c r="AN85" s="3" t="str">
        <f aca="false">IF(OR(D85="Invalid/Unrecognized",E85="Invalid/Unrecognized",G85="Invalid - Ship Before Order",X85="Negative - Invalid",X85="Above Allowed Range - Invalid",AG85="Mismatch",AH85="Mismatch",AK85="Conflicting Duplicate - Flagged for Review"),"Invalid",IF(OR(L85="Filled - Unknown",S85="Filled - Unknown",X85="Missing - Defaulted to 0",AL85="Yes",AC85="Cancelled",AC85="Returned"),"Warning","Clean"))</f>
        <v>Clean</v>
      </c>
    </row>
    <row r="86" customFormat="false" ht="15" hidden="false" customHeight="false" outlineLevel="0" collapsed="false">
      <c r="A86" s="3" t="str">
        <f aca="false">raw_data!A86</f>
        <v>ORD-2024-10085</v>
      </c>
      <c r="B86" s="4" t="n">
        <f aca="false">IFERROR(IF(MID(raw_data!B86,3,1)="/",DATE(VALUE(RIGHT(raw_data!B86,4)),VALUE(LEFT(raw_data!B86,2)),VALUE(MID(raw_data!B86,4,2))),IF(MID(raw_data!B86,3,1)="-",DATE(VALUE(RIGHT(raw_data!B86,4)),VALUE(MID(raw_data!B86,4,2)),VALUE(LEFT(raw_data!B86,2))),IF(MID(raw_data!B86,5,1)="-",DATE(VALUE(LEFT(raw_data!B86,4)),VALUE(MID(raw_data!B86,6,2)),VALUE(RIGHT(raw_data!B86,2))),DATE(VALUE(RIGHT(raw_data!B86,4)),MATCH(MID(raw_data!B86,4,3),{"Jan","Feb","Mar","Apr","May","Jun","Jul","Aug","Sep","Oct","Nov","Dec"},0),VALUE(LEFT(raw_data!B86,2)))))),"")</f>
        <v>45566</v>
      </c>
      <c r="C86" s="4" t="n">
        <f aca="false">IFERROR(IF(MID(raw_data!C86,3,1)="/",DATE(VALUE(RIGHT(raw_data!C86,4)),VALUE(LEFT(raw_data!C86,2)),VALUE(MID(raw_data!C86,4,2))),IF(MID(raw_data!C86,3,1)="-",DATE(VALUE(RIGHT(raw_data!C86,4)),VALUE(MID(raw_data!C86,4,2)),VALUE(LEFT(raw_data!C86,2))),IF(MID(raw_data!C86,5,1)="-",DATE(VALUE(LEFT(raw_data!C86,4)),VALUE(MID(raw_data!C86,6,2)),VALUE(RIGHT(raw_data!C86,2))),DATE(VALUE(RIGHT(raw_data!C86,4)),MATCH(MID(raw_data!C86,4,3),{"Jan","Feb","Mar","Apr","May","Jun","Jul","Aug","Sep","Oct","Nov","Dec"},0),VALUE(LEFT(raw_data!C86,2)))))),"")</f>
        <v>45568</v>
      </c>
      <c r="D86" s="3" t="str">
        <f aca="false">IF(TRIM(raw_data!B86)="","Missing",IF(B86="","Invalid/Unrecognized","Valid"))</f>
        <v>Valid</v>
      </c>
      <c r="E86" s="3" t="str">
        <f aca="false">IF(TRIM(raw_data!C86)="","Missing",IF(C86="","Invalid/Unrecognized","Valid"))</f>
        <v>Valid</v>
      </c>
      <c r="F86" s="5" t="n">
        <f aca="false">IF(OR(B86="",C86=""),"",C86-B86)</f>
        <v>2</v>
      </c>
      <c r="G86" s="3" t="str">
        <f aca="false">IF(F86="","N/A",IF(F86&lt;0,"Invalid - Ship Before Order","OK"))</f>
        <v>OK</v>
      </c>
      <c r="H86" s="3" t="str">
        <f aca="false">raw_data!D86</f>
        <v>CUST-3758</v>
      </c>
      <c r="I86" s="3" t="str">
        <f aca="false">PROPER(TRIM(raw_data!E86))</f>
        <v>Rohan Mehta</v>
      </c>
      <c r="J86" s="3" t="str">
        <f aca="false">PROPER(TRIM(raw_data!F86))</f>
        <v>Corporate</v>
      </c>
      <c r="K86" s="3" t="str">
        <f aca="false">IF(TRIM(raw_data!G86)="","Unknown",PROPER(TRIM(raw_data!G86)))</f>
        <v>South</v>
      </c>
      <c r="L86" s="3" t="str">
        <f aca="false">IF(TRIM(raw_data!G86)="","Filled - Unknown","OK")</f>
        <v>OK</v>
      </c>
      <c r="M86" s="3" t="str">
        <f aca="false">PROPER(TRIM(raw_data!H86))</f>
        <v>Tamil Nadu</v>
      </c>
      <c r="N86" s="3" t="str">
        <f aca="false">PROPER(TRIM(raw_data!I86))</f>
        <v>Chennai</v>
      </c>
      <c r="O86" s="3" t="str">
        <f aca="false">PROPER(TRIM(raw_data!J86))</f>
        <v>Technology</v>
      </c>
      <c r="P86" s="3" t="str">
        <f aca="false">PROPER(TRIM(raw_data!K86))</f>
        <v>Phones</v>
      </c>
      <c r="Q86" s="3" t="str">
        <f aca="false">TRIM(raw_data!L86)</f>
        <v>Elite Phones 781</v>
      </c>
      <c r="R86" s="3" t="str">
        <f aca="false">IF(TRIM(raw_data!M86)="","Unknown",PROPER(TRIM(raw_data!M86)))</f>
        <v>Second Class</v>
      </c>
      <c r="S86" s="3" t="str">
        <f aca="false">IF(TRIM(raw_data!M86)="","Filled - Unknown","OK")</f>
        <v>OK</v>
      </c>
      <c r="T86" s="6" t="n">
        <f aca="false">raw_data!N86</f>
        <v>6</v>
      </c>
      <c r="U86" s="7" t="n">
        <f aca="false">raw_data!O86</f>
        <v>570.28</v>
      </c>
      <c r="V86" s="8" t="n">
        <f aca="false">raw_data!P86</f>
        <v>0.2</v>
      </c>
      <c r="W86" s="8" t="n">
        <f aca="false">IF(raw_data!P86="",0,IF(ISTEXT(raw_data!P86),IF(RIGHT(raw_data!P86,1)="%",VALUE(LEFT(raw_data!P86,LEN(raw_data!P86)-1))/100,VALUE(raw_data!P86)),raw_data!P86))</f>
        <v>0.2</v>
      </c>
      <c r="X86" s="3" t="str">
        <f aca="false">IF(raw_data!P86="","Missing - Defaulted to 0",IF(W86&lt;0,"Negative - Invalid",IF(W86&gt;0.3,"Above Allowed Range - Invalid","Valid")))</f>
        <v>Valid</v>
      </c>
      <c r="Y86" s="7" t="n">
        <f aca="false">raw_data!Q86</f>
        <v>2737.34</v>
      </c>
      <c r="Z86" s="7" t="n">
        <f aca="false">raw_data!R86</f>
        <v>2085.44</v>
      </c>
      <c r="AA86" s="7" t="n">
        <f aca="false">raw_data!S86</f>
        <v>651.9</v>
      </c>
      <c r="AB86" s="3" t="str">
        <f aca="false">PROPER(TRIM(raw_data!T86))</f>
        <v>Paid</v>
      </c>
      <c r="AC86" s="3" t="str">
        <f aca="false">PROPER(TRIM(raw_data!U86))</f>
        <v>Completed</v>
      </c>
      <c r="AD86" s="7" t="n">
        <f aca="false">T86*U86*(1-W86)</f>
        <v>2737.344</v>
      </c>
      <c r="AE86" s="7" t="n">
        <f aca="false">AD86-Z86</f>
        <v>651.904</v>
      </c>
      <c r="AF86" s="8" t="n">
        <f aca="false">IF(AD86=0,0,AE86/AD86)</f>
        <v>0.238152018891305</v>
      </c>
      <c r="AG86" s="3" t="str">
        <f aca="false">IF(ABS(Y86-AD86)&gt;1,"Mismatch","OK")</f>
        <v>OK</v>
      </c>
      <c r="AH86" s="3" t="str">
        <f aca="false">IF(ABS(AA86-AE86)&gt;1,"Mismatch","OK")</f>
        <v>OK</v>
      </c>
      <c r="AI86" s="6" t="n">
        <f aca="false">IF(B86="","",MONTH(B86))</f>
        <v>10</v>
      </c>
      <c r="AJ86" s="6" t="n">
        <f aca="false">IF(B86="","",YEAR(B86))</f>
        <v>2024</v>
      </c>
      <c r="AK86" s="3" t="str">
        <f aca="false">IF(COUNTIF(raw_data!$A$2:$A$913,A86)&gt;1,"Conflicting Duplicate - Flagged for Review","Unique")</f>
        <v>Unique</v>
      </c>
      <c r="AL86" s="3" t="str">
        <f aca="false">IF(AB86="Refunded","Yes","No")</f>
        <v>No</v>
      </c>
      <c r="AM86" s="3" t="str">
        <f aca="false">IF(OR(AC86&lt;&gt;"Completed",AB86="Failed"),"Excluded","Included")</f>
        <v>Included</v>
      </c>
      <c r="AN86" s="3" t="str">
        <f aca="false">IF(OR(D86="Invalid/Unrecognized",E86="Invalid/Unrecognized",G86="Invalid - Ship Before Order",X86="Negative - Invalid",X86="Above Allowed Range - Invalid",AG86="Mismatch",AH86="Mismatch",AK86="Conflicting Duplicate - Flagged for Review"),"Invalid",IF(OR(L86="Filled - Unknown",S86="Filled - Unknown",X86="Missing - Defaulted to 0",AL86="Yes",AC86="Cancelled",AC86="Returned"),"Warning","Clean"))</f>
        <v>Clean</v>
      </c>
    </row>
    <row r="87" customFormat="false" ht="15" hidden="false" customHeight="false" outlineLevel="0" collapsed="false">
      <c r="A87" s="3" t="str">
        <f aca="false">raw_data!A87</f>
        <v>ORD-2024-10086</v>
      </c>
      <c r="B87" s="4" t="n">
        <f aca="false">IFERROR(IF(MID(raw_data!B87,3,1)="/",DATE(VALUE(RIGHT(raw_data!B87,4)),VALUE(LEFT(raw_data!B87,2)),VALUE(MID(raw_data!B87,4,2))),IF(MID(raw_data!B87,3,1)="-",DATE(VALUE(RIGHT(raw_data!B87,4)),VALUE(MID(raw_data!B87,4,2)),VALUE(LEFT(raw_data!B87,2))),IF(MID(raw_data!B87,5,1)="-",DATE(VALUE(LEFT(raw_data!B87,4)),VALUE(MID(raw_data!B87,6,2)),VALUE(RIGHT(raw_data!B87,2))),DATE(VALUE(RIGHT(raw_data!B87,4)),MATCH(MID(raw_data!B87,4,3),{"Jan","Feb","Mar","Apr","May","Jun","Jul","Aug","Sep","Oct","Nov","Dec"},0),VALUE(LEFT(raw_data!B87,2)))))),"")</f>
        <v>45503</v>
      </c>
      <c r="C87" s="4" t="n">
        <f aca="false">IFERROR(IF(MID(raw_data!C87,3,1)="/",DATE(VALUE(RIGHT(raw_data!C87,4)),VALUE(LEFT(raw_data!C87,2)),VALUE(MID(raw_data!C87,4,2))),IF(MID(raw_data!C87,3,1)="-",DATE(VALUE(RIGHT(raw_data!C87,4)),VALUE(MID(raw_data!C87,4,2)),VALUE(LEFT(raw_data!C87,2))),IF(MID(raw_data!C87,5,1)="-",DATE(VALUE(LEFT(raw_data!C87,4)),VALUE(MID(raw_data!C87,6,2)),VALUE(RIGHT(raw_data!C87,2))),DATE(VALUE(RIGHT(raw_data!C87,4)),MATCH(MID(raw_data!C87,4,3),{"Jan","Feb","Mar","Apr","May","Jun","Jul","Aug","Sep","Oct","Nov","Dec"},0),VALUE(LEFT(raw_data!C87,2)))))),"")</f>
        <v>45509</v>
      </c>
      <c r="D87" s="3" t="str">
        <f aca="false">IF(TRIM(raw_data!B87)="","Missing",IF(B87="","Invalid/Unrecognized","Valid"))</f>
        <v>Valid</v>
      </c>
      <c r="E87" s="3" t="str">
        <f aca="false">IF(TRIM(raw_data!C87)="","Missing",IF(C87="","Invalid/Unrecognized","Valid"))</f>
        <v>Valid</v>
      </c>
      <c r="F87" s="5" t="n">
        <f aca="false">IF(OR(B87="",C87=""),"",C87-B87)</f>
        <v>6</v>
      </c>
      <c r="G87" s="3" t="str">
        <f aca="false">IF(F87="","N/A",IF(F87&lt;0,"Invalid - Ship Before Order","OK"))</f>
        <v>OK</v>
      </c>
      <c r="H87" s="3" t="str">
        <f aca="false">raw_data!D87</f>
        <v>CUST-6702</v>
      </c>
      <c r="I87" s="3" t="str">
        <f aca="false">PROPER(TRIM(raw_data!E87))</f>
        <v>Kabir Singh</v>
      </c>
      <c r="J87" s="3" t="str">
        <f aca="false">PROPER(TRIM(raw_data!F87))</f>
        <v>Corporate</v>
      </c>
      <c r="K87" s="3" t="str">
        <f aca="false">IF(TRIM(raw_data!G87)="","Unknown",PROPER(TRIM(raw_data!G87)))</f>
        <v>North</v>
      </c>
      <c r="L87" s="3" t="str">
        <f aca="false">IF(TRIM(raw_data!G87)="","Filled - Unknown","OK")</f>
        <v>OK</v>
      </c>
      <c r="M87" s="3" t="str">
        <f aca="false">PROPER(TRIM(raw_data!H87))</f>
        <v>Delhi</v>
      </c>
      <c r="N87" s="3" t="str">
        <f aca="false">PROPER(TRIM(raw_data!I87))</f>
        <v>New Delhi</v>
      </c>
      <c r="O87" s="3" t="str">
        <f aca="false">PROPER(TRIM(raw_data!J87))</f>
        <v>Office Supplies</v>
      </c>
      <c r="P87" s="3" t="str">
        <f aca="false">PROPER(TRIM(raw_data!K87))</f>
        <v>Binders</v>
      </c>
      <c r="Q87" s="3" t="str">
        <f aca="false">TRIM(raw_data!L87)</f>
        <v>Eco Binders 456</v>
      </c>
      <c r="R87" s="3" t="str">
        <f aca="false">IF(TRIM(raw_data!M87)="","Unknown",PROPER(TRIM(raw_data!M87)))</f>
        <v>Standard Class</v>
      </c>
      <c r="S87" s="3" t="str">
        <f aca="false">IF(TRIM(raw_data!M87)="","Filled - Unknown","OK")</f>
        <v>OK</v>
      </c>
      <c r="T87" s="6" t="n">
        <f aca="false">raw_data!N87</f>
        <v>1</v>
      </c>
      <c r="U87" s="7" t="n">
        <f aca="false">raw_data!O87</f>
        <v>608.64</v>
      </c>
      <c r="V87" s="8" t="n">
        <f aca="false">raw_data!P87</f>
        <v>0</v>
      </c>
      <c r="W87" s="8" t="n">
        <f aca="false">IF(raw_data!P87="",0,IF(ISTEXT(raw_data!P87),IF(RIGHT(raw_data!P87,1)="%",VALUE(LEFT(raw_data!P87,LEN(raw_data!P87)-1))/100,VALUE(raw_data!P87)),raw_data!P87))</f>
        <v>0</v>
      </c>
      <c r="X87" s="3" t="str">
        <f aca="false">IF(raw_data!P87="","Missing - Defaulted to 0",IF(W87&lt;0,"Negative - Invalid",IF(W87&gt;0.3,"Above Allowed Range - Invalid","Valid")))</f>
        <v>Valid</v>
      </c>
      <c r="Y87" s="7" t="n">
        <f aca="false">raw_data!Q87</f>
        <v>608.64</v>
      </c>
      <c r="Z87" s="7" t="n">
        <f aca="false">raw_data!R87</f>
        <v>343.99</v>
      </c>
      <c r="AA87" s="7" t="n">
        <f aca="false">raw_data!S87</f>
        <v>264.65</v>
      </c>
      <c r="AB87" s="3" t="str">
        <f aca="false">PROPER(TRIM(raw_data!T87))</f>
        <v>Paid</v>
      </c>
      <c r="AC87" s="3" t="str">
        <f aca="false">PROPER(TRIM(raw_data!U87))</f>
        <v>Cancelled</v>
      </c>
      <c r="AD87" s="7" t="n">
        <f aca="false">T87*U87*(1-W87)</f>
        <v>608.64</v>
      </c>
      <c r="AE87" s="7" t="n">
        <f aca="false">AD87-Z87</f>
        <v>264.65</v>
      </c>
      <c r="AF87" s="8" t="n">
        <f aca="false">IF(AD87=0,0,AE87/AD87)</f>
        <v>0.434821898002103</v>
      </c>
      <c r="AG87" s="3" t="str">
        <f aca="false">IF(ABS(Y87-AD87)&gt;1,"Mismatch","OK")</f>
        <v>OK</v>
      </c>
      <c r="AH87" s="3" t="str">
        <f aca="false">IF(ABS(AA87-AE87)&gt;1,"Mismatch","OK")</f>
        <v>OK</v>
      </c>
      <c r="AI87" s="6" t="n">
        <f aca="false">IF(B87="","",MONTH(B87))</f>
        <v>7</v>
      </c>
      <c r="AJ87" s="6" t="n">
        <f aca="false">IF(B87="","",YEAR(B87))</f>
        <v>2024</v>
      </c>
      <c r="AK87" s="3" t="str">
        <f aca="false">IF(COUNTIF(raw_data!$A$2:$A$913,A87)&gt;1,"Conflicting Duplicate - Flagged for Review","Unique")</f>
        <v>Unique</v>
      </c>
      <c r="AL87" s="3" t="str">
        <f aca="false">IF(AB87="Refunded","Yes","No")</f>
        <v>No</v>
      </c>
      <c r="AM87" s="3" t="str">
        <f aca="false">IF(OR(AC87&lt;&gt;"Completed",AB87="Failed"),"Excluded","Included")</f>
        <v>Excluded</v>
      </c>
      <c r="AN87" s="3" t="str">
        <f aca="false">IF(OR(D87="Invalid/Unrecognized",E87="Invalid/Unrecognized",G87="Invalid - Ship Before Order",X87="Negative - Invalid",X87="Above Allowed Range - Invalid",AG87="Mismatch",AH87="Mismatch",AK87="Conflicting Duplicate - Flagged for Review"),"Invalid",IF(OR(L87="Filled - Unknown",S87="Filled - Unknown",X87="Missing - Defaulted to 0",AL87="Yes",AC87="Cancelled",AC87="Returned"),"Warning","Clean"))</f>
        <v>Warning</v>
      </c>
    </row>
    <row r="88" customFormat="false" ht="15" hidden="false" customHeight="false" outlineLevel="0" collapsed="false">
      <c r="A88" s="3" t="str">
        <f aca="false">raw_data!A88</f>
        <v>ORD-2024-10087</v>
      </c>
      <c r="B88" s="4" t="n">
        <f aca="false">IFERROR(IF(MID(raw_data!B88,3,1)="/",DATE(VALUE(RIGHT(raw_data!B88,4)),VALUE(LEFT(raw_data!B88,2)),VALUE(MID(raw_data!B88,4,2))),IF(MID(raw_data!B88,3,1)="-",DATE(VALUE(RIGHT(raw_data!B88,4)),VALUE(MID(raw_data!B88,4,2)),VALUE(LEFT(raw_data!B88,2))),IF(MID(raw_data!B88,5,1)="-",DATE(VALUE(LEFT(raw_data!B88,4)),VALUE(MID(raw_data!B88,6,2)),VALUE(RIGHT(raw_data!B88,2))),DATE(VALUE(RIGHT(raw_data!B88,4)),MATCH(MID(raw_data!B88,4,3),{"Jan","Feb","Mar","Apr","May","Jun","Jul","Aug","Sep","Oct","Nov","Dec"},0),VALUE(LEFT(raw_data!B88,2)))))),"")</f>
        <v>45474</v>
      </c>
      <c r="C88" s="4" t="n">
        <f aca="false">IFERROR(IF(MID(raw_data!C88,3,1)="/",DATE(VALUE(RIGHT(raw_data!C88,4)),VALUE(LEFT(raw_data!C88,2)),VALUE(MID(raw_data!C88,4,2))),IF(MID(raw_data!C88,3,1)="-",DATE(VALUE(RIGHT(raw_data!C88,4)),VALUE(MID(raw_data!C88,4,2)),VALUE(LEFT(raw_data!C88,2))),IF(MID(raw_data!C88,5,1)="-",DATE(VALUE(LEFT(raw_data!C88,4)),VALUE(MID(raw_data!C88,6,2)),VALUE(RIGHT(raw_data!C88,2))),DATE(VALUE(RIGHT(raw_data!C88,4)),MATCH(MID(raw_data!C88,4,3),{"Jan","Feb","Mar","Apr","May","Jun","Jul","Aug","Sep","Oct","Nov","Dec"},0),VALUE(LEFT(raw_data!C88,2)))))),"")</f>
        <v>45474</v>
      </c>
      <c r="D88" s="3" t="str">
        <f aca="false">IF(TRIM(raw_data!B88)="","Missing",IF(B88="","Invalid/Unrecognized","Valid"))</f>
        <v>Valid</v>
      </c>
      <c r="E88" s="3" t="str">
        <f aca="false">IF(TRIM(raw_data!C88)="","Missing",IF(C88="","Invalid/Unrecognized","Valid"))</f>
        <v>Valid</v>
      </c>
      <c r="F88" s="5" t="n">
        <f aca="false">IF(OR(B88="",C88=""),"",C88-B88)</f>
        <v>0</v>
      </c>
      <c r="G88" s="3" t="str">
        <f aca="false">IF(F88="","N/A",IF(F88&lt;0,"Invalid - Ship Before Order","OK"))</f>
        <v>OK</v>
      </c>
      <c r="H88" s="3" t="str">
        <f aca="false">raw_data!D88</f>
        <v>CUST-9148</v>
      </c>
      <c r="I88" s="3" t="str">
        <f aca="false">PROPER(TRIM(raw_data!E88))</f>
        <v>Ananya Rao</v>
      </c>
      <c r="J88" s="3" t="str">
        <f aca="false">PROPER(TRIM(raw_data!F88))</f>
        <v>Small Business</v>
      </c>
      <c r="K88" s="3" t="str">
        <f aca="false">IF(TRIM(raw_data!G88)="","Unknown",PROPER(TRIM(raw_data!G88)))</f>
        <v>North</v>
      </c>
      <c r="L88" s="3" t="str">
        <f aca="false">IF(TRIM(raw_data!G88)="","Filled - Unknown","OK")</f>
        <v>OK</v>
      </c>
      <c r="M88" s="3" t="str">
        <f aca="false">PROPER(TRIM(raw_data!H88))</f>
        <v>Delhi</v>
      </c>
      <c r="N88" s="3" t="str">
        <f aca="false">PROPER(TRIM(raw_data!I88))</f>
        <v>New Delhi</v>
      </c>
      <c r="O88" s="3" t="str">
        <f aca="false">PROPER(TRIM(raw_data!J88))</f>
        <v>Technology</v>
      </c>
      <c r="P88" s="3" t="str">
        <f aca="false">PROPER(TRIM(raw_data!K88))</f>
        <v>Copiers</v>
      </c>
      <c r="Q88" s="3" t="str">
        <f aca="false">TRIM(raw_data!L88)</f>
        <v>Basic Copiers 525</v>
      </c>
      <c r="R88" s="3" t="str">
        <f aca="false">IF(TRIM(raw_data!M88)="","Unknown",PROPER(TRIM(raw_data!M88)))</f>
        <v>Second Class</v>
      </c>
      <c r="S88" s="3" t="str">
        <f aca="false">IF(TRIM(raw_data!M88)="","Filled - Unknown","OK")</f>
        <v>OK</v>
      </c>
      <c r="T88" s="6" t="n">
        <f aca="false">raw_data!N88</f>
        <v>3</v>
      </c>
      <c r="U88" s="7" t="n">
        <f aca="false">raw_data!O88</f>
        <v>885.28</v>
      </c>
      <c r="V88" s="8" t="n">
        <f aca="false">raw_data!P88</f>
        <v>0.1</v>
      </c>
      <c r="W88" s="8" t="n">
        <f aca="false">IF(raw_data!P88="",0,IF(ISTEXT(raw_data!P88),IF(RIGHT(raw_data!P88,1)="%",VALUE(LEFT(raw_data!P88,LEN(raw_data!P88)-1))/100,VALUE(raw_data!P88)),raw_data!P88))</f>
        <v>0.1</v>
      </c>
      <c r="X88" s="3" t="str">
        <f aca="false">IF(raw_data!P88="","Missing - Defaulted to 0",IF(W88&lt;0,"Negative - Invalid",IF(W88&gt;0.3,"Above Allowed Range - Invalid","Valid")))</f>
        <v>Valid</v>
      </c>
      <c r="Y88" s="7" t="n">
        <f aca="false">raw_data!Q88</f>
        <v>2390.26</v>
      </c>
      <c r="Z88" s="7" t="n">
        <f aca="false">raw_data!R88</f>
        <v>1495.94</v>
      </c>
      <c r="AA88" s="7" t="n">
        <f aca="false">raw_data!S88</f>
        <v>894.32</v>
      </c>
      <c r="AB88" s="3" t="str">
        <f aca="false">PROPER(TRIM(raw_data!T88))</f>
        <v>Refunded</v>
      </c>
      <c r="AC88" s="3" t="str">
        <f aca="false">PROPER(TRIM(raw_data!U88))</f>
        <v>Cancelled</v>
      </c>
      <c r="AD88" s="7" t="n">
        <f aca="false">T88*U88*(1-W88)</f>
        <v>2390.256</v>
      </c>
      <c r="AE88" s="7" t="n">
        <f aca="false">AD88-Z88</f>
        <v>894.316</v>
      </c>
      <c r="AF88" s="8" t="n">
        <f aca="false">IF(AD88=0,0,AE88/AD88)</f>
        <v>0.374150718584118</v>
      </c>
      <c r="AG88" s="3" t="str">
        <f aca="false">IF(ABS(Y88-AD88)&gt;1,"Mismatch","OK")</f>
        <v>OK</v>
      </c>
      <c r="AH88" s="3" t="str">
        <f aca="false">IF(ABS(AA88-AE88)&gt;1,"Mismatch","OK")</f>
        <v>OK</v>
      </c>
      <c r="AI88" s="6" t="n">
        <f aca="false">IF(B88="","",MONTH(B88))</f>
        <v>7</v>
      </c>
      <c r="AJ88" s="6" t="n">
        <f aca="false">IF(B88="","",YEAR(B88))</f>
        <v>2024</v>
      </c>
      <c r="AK88" s="3" t="str">
        <f aca="false">IF(COUNTIF(raw_data!$A$2:$A$913,A88)&gt;1,"Conflicting Duplicate - Flagged for Review","Unique")</f>
        <v>Unique</v>
      </c>
      <c r="AL88" s="3" t="str">
        <f aca="false">IF(AB88="Refunded","Yes","No")</f>
        <v>Yes</v>
      </c>
      <c r="AM88" s="3" t="str">
        <f aca="false">IF(OR(AC88&lt;&gt;"Completed",AB88="Failed"),"Excluded","Included")</f>
        <v>Excluded</v>
      </c>
      <c r="AN88" s="3" t="str">
        <f aca="false">IF(OR(D88="Invalid/Unrecognized",E88="Invalid/Unrecognized",G88="Invalid - Ship Before Order",X88="Negative - Invalid",X88="Above Allowed Range - Invalid",AG88="Mismatch",AH88="Mismatch",AK88="Conflicting Duplicate - Flagged for Review"),"Invalid",IF(OR(L88="Filled - Unknown",S88="Filled - Unknown",X88="Missing - Defaulted to 0",AL88="Yes",AC88="Cancelled",AC88="Returned"),"Warning","Clean"))</f>
        <v>Warning</v>
      </c>
    </row>
    <row r="89" customFormat="false" ht="15" hidden="false" customHeight="false" outlineLevel="0" collapsed="false">
      <c r="A89" s="3" t="str">
        <f aca="false">raw_data!A89</f>
        <v>ORD-2024-10088</v>
      </c>
      <c r="B89" s="4" t="n">
        <f aca="false">IFERROR(IF(MID(raw_data!B89,3,1)="/",DATE(VALUE(RIGHT(raw_data!B89,4)),VALUE(LEFT(raw_data!B89,2)),VALUE(MID(raw_data!B89,4,2))),IF(MID(raw_data!B89,3,1)="-",DATE(VALUE(RIGHT(raw_data!B89,4)),VALUE(MID(raw_data!B89,4,2)),VALUE(LEFT(raw_data!B89,2))),IF(MID(raw_data!B89,5,1)="-",DATE(VALUE(LEFT(raw_data!B89,4)),VALUE(MID(raw_data!B89,6,2)),VALUE(RIGHT(raw_data!B89,2))),DATE(VALUE(RIGHT(raw_data!B89,4)),MATCH(MID(raw_data!B89,4,3),{"Jan","Feb","Mar","Apr","May","Jun","Jul","Aug","Sep","Oct","Nov","Dec"},0),VALUE(LEFT(raw_data!B89,2)))))),"")</f>
        <v>45506</v>
      </c>
      <c r="C89" s="4" t="n">
        <f aca="false">IFERROR(IF(MID(raw_data!C89,3,1)="/",DATE(VALUE(RIGHT(raw_data!C89,4)),VALUE(LEFT(raw_data!C89,2)),VALUE(MID(raw_data!C89,4,2))),IF(MID(raw_data!C89,3,1)="-",DATE(VALUE(RIGHT(raw_data!C89,4)),VALUE(MID(raw_data!C89,4,2)),VALUE(LEFT(raw_data!C89,2))),IF(MID(raw_data!C89,5,1)="-",DATE(VALUE(LEFT(raw_data!C89,4)),VALUE(MID(raw_data!C89,6,2)),VALUE(RIGHT(raw_data!C89,2))),DATE(VALUE(RIGHT(raw_data!C89,4)),MATCH(MID(raw_data!C89,4,3),{"Jan","Feb","Mar","Apr","May","Jun","Jul","Aug","Sep","Oct","Nov","Dec"},0),VALUE(LEFT(raw_data!C89,2)))))),"")</f>
        <v>45507</v>
      </c>
      <c r="D89" s="3" t="str">
        <f aca="false">IF(TRIM(raw_data!B89)="","Missing",IF(B89="","Invalid/Unrecognized","Valid"))</f>
        <v>Valid</v>
      </c>
      <c r="E89" s="3" t="str">
        <f aca="false">IF(TRIM(raw_data!C89)="","Missing",IF(C89="","Invalid/Unrecognized","Valid"))</f>
        <v>Valid</v>
      </c>
      <c r="F89" s="5" t="n">
        <f aca="false">IF(OR(B89="",C89=""),"",C89-B89)</f>
        <v>1</v>
      </c>
      <c r="G89" s="3" t="str">
        <f aca="false">IF(F89="","N/A",IF(F89&lt;0,"Invalid - Ship Before Order","OK"))</f>
        <v>OK</v>
      </c>
      <c r="H89" s="3" t="str">
        <f aca="false">raw_data!D89</f>
        <v>CUST-5829</v>
      </c>
      <c r="I89" s="3" t="str">
        <f aca="false">PROPER(TRIM(raw_data!E89))</f>
        <v>Vikram Iyer</v>
      </c>
      <c r="J89" s="3" t="str">
        <f aca="false">PROPER(TRIM(raw_data!F89))</f>
        <v>Consumer</v>
      </c>
      <c r="K89" s="3" t="str">
        <f aca="false">IF(TRIM(raw_data!G89)="","Unknown",PROPER(TRIM(raw_data!G89)))</f>
        <v>East</v>
      </c>
      <c r="L89" s="3" t="str">
        <f aca="false">IF(TRIM(raw_data!G89)="","Filled - Unknown","OK")</f>
        <v>OK</v>
      </c>
      <c r="M89" s="3" t="str">
        <f aca="false">PROPER(TRIM(raw_data!H89))</f>
        <v>Assam</v>
      </c>
      <c r="N89" s="3" t="str">
        <f aca="false">PROPER(TRIM(raw_data!I89))</f>
        <v>Guwahati</v>
      </c>
      <c r="O89" s="3" t="str">
        <f aca="false">PROPER(TRIM(raw_data!J89))</f>
        <v>Office Supplies</v>
      </c>
      <c r="P89" s="3" t="str">
        <f aca="false">PROPER(TRIM(raw_data!K89))</f>
        <v>Binders</v>
      </c>
      <c r="Q89" s="3" t="str">
        <f aca="false">TRIM(raw_data!L89)</f>
        <v>Eco Binders 258</v>
      </c>
      <c r="R89" s="3" t="str">
        <f aca="false">IF(TRIM(raw_data!M89)="","Unknown",PROPER(TRIM(raw_data!M89)))</f>
        <v>Standard Class</v>
      </c>
      <c r="S89" s="3" t="str">
        <f aca="false">IF(TRIM(raw_data!M89)="","Filled - Unknown","OK")</f>
        <v>OK</v>
      </c>
      <c r="T89" s="6" t="n">
        <f aca="false">raw_data!N89</f>
        <v>7</v>
      </c>
      <c r="U89" s="7" t="n">
        <f aca="false">raw_data!O89</f>
        <v>3345.22</v>
      </c>
      <c r="V89" s="8" t="n">
        <f aca="false">raw_data!P89</f>
        <v>0</v>
      </c>
      <c r="W89" s="8" t="n">
        <f aca="false">IF(raw_data!P89="",0,IF(ISTEXT(raw_data!P89),IF(RIGHT(raw_data!P89,1)="%",VALUE(LEFT(raw_data!P89,LEN(raw_data!P89)-1))/100,VALUE(raw_data!P89)),raw_data!P89))</f>
        <v>0</v>
      </c>
      <c r="X89" s="3" t="str">
        <f aca="false">IF(raw_data!P89="","Missing - Defaulted to 0",IF(W89&lt;0,"Negative - Invalid",IF(W89&gt;0.3,"Above Allowed Range - Invalid","Valid")))</f>
        <v>Valid</v>
      </c>
      <c r="Y89" s="7" t="n">
        <f aca="false">raw_data!Q89</f>
        <v>23416.54</v>
      </c>
      <c r="Z89" s="7" t="n">
        <f aca="false">raw_data!R89</f>
        <v>15490.89</v>
      </c>
      <c r="AA89" s="7" t="n">
        <f aca="false">raw_data!S89</f>
        <v>7925.65</v>
      </c>
      <c r="AB89" s="3" t="str">
        <f aca="false">PROPER(TRIM(raw_data!T89))</f>
        <v>Paid</v>
      </c>
      <c r="AC89" s="3" t="str">
        <f aca="false">PROPER(TRIM(raw_data!U89))</f>
        <v>Completed</v>
      </c>
      <c r="AD89" s="7" t="n">
        <f aca="false">T89*U89*(1-W89)</f>
        <v>23416.54</v>
      </c>
      <c r="AE89" s="7" t="n">
        <f aca="false">AD89-Z89</f>
        <v>7925.65</v>
      </c>
      <c r="AF89" s="8" t="n">
        <f aca="false">IF(AD89=0,0,AE89/AD89)</f>
        <v>0.338463752544142</v>
      </c>
      <c r="AG89" s="3" t="str">
        <f aca="false">IF(ABS(Y89-AD89)&gt;1,"Mismatch","OK")</f>
        <v>OK</v>
      </c>
      <c r="AH89" s="3" t="str">
        <f aca="false">IF(ABS(AA89-AE89)&gt;1,"Mismatch","OK")</f>
        <v>OK</v>
      </c>
      <c r="AI89" s="6" t="n">
        <f aca="false">IF(B89="","",MONTH(B89))</f>
        <v>8</v>
      </c>
      <c r="AJ89" s="6" t="n">
        <f aca="false">IF(B89="","",YEAR(B89))</f>
        <v>2024</v>
      </c>
      <c r="AK89" s="3" t="str">
        <f aca="false">IF(COUNTIF(raw_data!$A$2:$A$913,A89)&gt;1,"Conflicting Duplicate - Flagged for Review","Unique")</f>
        <v>Unique</v>
      </c>
      <c r="AL89" s="3" t="str">
        <f aca="false">IF(AB89="Refunded","Yes","No")</f>
        <v>No</v>
      </c>
      <c r="AM89" s="3" t="str">
        <f aca="false">IF(OR(AC89&lt;&gt;"Completed",AB89="Failed"),"Excluded","Included")</f>
        <v>Included</v>
      </c>
      <c r="AN89" s="3" t="str">
        <f aca="false">IF(OR(D89="Invalid/Unrecognized",E89="Invalid/Unrecognized",G89="Invalid - Ship Before Order",X89="Negative - Invalid",X89="Above Allowed Range - Invalid",AG89="Mismatch",AH89="Mismatch",AK89="Conflicting Duplicate - Flagged for Review"),"Invalid",IF(OR(L89="Filled - Unknown",S89="Filled - Unknown",X89="Missing - Defaulted to 0",AL89="Yes",AC89="Cancelled",AC89="Returned"),"Warning","Clean"))</f>
        <v>Clean</v>
      </c>
    </row>
    <row r="90" customFormat="false" ht="15" hidden="false" customHeight="false" outlineLevel="0" collapsed="false">
      <c r="A90" s="3" t="str">
        <f aca="false">raw_data!A90</f>
        <v>ORD-2024-10089</v>
      </c>
      <c r="B90" s="4" t="n">
        <f aca="false">IFERROR(IF(MID(raw_data!B90,3,1)="/",DATE(VALUE(RIGHT(raw_data!B90,4)),VALUE(LEFT(raw_data!B90,2)),VALUE(MID(raw_data!B90,4,2))),IF(MID(raw_data!B90,3,1)="-",DATE(VALUE(RIGHT(raw_data!B90,4)),VALUE(MID(raw_data!B90,4,2)),VALUE(LEFT(raw_data!B90,2))),IF(MID(raw_data!B90,5,1)="-",DATE(VALUE(LEFT(raw_data!B90,4)),VALUE(MID(raw_data!B90,6,2)),VALUE(RIGHT(raw_data!B90,2))),DATE(VALUE(RIGHT(raw_data!B90,4)),MATCH(MID(raw_data!B90,4,3),{"Jan","Feb","Mar","Apr","May","Jun","Jul","Aug","Sep","Oct","Nov","Dec"},0),VALUE(LEFT(raw_data!B90,2)))))),"")</f>
        <v>45375</v>
      </c>
      <c r="C90" s="4" t="n">
        <f aca="false">IFERROR(IF(MID(raw_data!C90,3,1)="/",DATE(VALUE(RIGHT(raw_data!C90,4)),VALUE(LEFT(raw_data!C90,2)),VALUE(MID(raw_data!C90,4,2))),IF(MID(raw_data!C90,3,1)="-",DATE(VALUE(RIGHT(raw_data!C90,4)),VALUE(MID(raw_data!C90,4,2)),VALUE(LEFT(raw_data!C90,2))),IF(MID(raw_data!C90,5,1)="-",DATE(VALUE(LEFT(raw_data!C90,4)),VALUE(MID(raw_data!C90,6,2)),VALUE(RIGHT(raw_data!C90,2))),DATE(VALUE(RIGHT(raw_data!C90,4)),MATCH(MID(raw_data!C90,4,3),{"Jan","Feb","Mar","Apr","May","Jun","Jul","Aug","Sep","Oct","Nov","Dec"},0),VALUE(LEFT(raw_data!C90,2)))))),"")</f>
        <v>45378</v>
      </c>
      <c r="D90" s="3" t="str">
        <f aca="false">IF(TRIM(raw_data!B90)="","Missing",IF(B90="","Invalid/Unrecognized","Valid"))</f>
        <v>Valid</v>
      </c>
      <c r="E90" s="3" t="str">
        <f aca="false">IF(TRIM(raw_data!C90)="","Missing",IF(C90="","Invalid/Unrecognized","Valid"))</f>
        <v>Valid</v>
      </c>
      <c r="F90" s="5" t="n">
        <f aca="false">IF(OR(B90="",C90=""),"",C90-B90)</f>
        <v>3</v>
      </c>
      <c r="G90" s="3" t="str">
        <f aca="false">IF(F90="","N/A",IF(F90&lt;0,"Invalid - Ship Before Order","OK"))</f>
        <v>OK</v>
      </c>
      <c r="H90" s="3" t="str">
        <f aca="false">raw_data!D90</f>
        <v>CUST-6059</v>
      </c>
      <c r="I90" s="3" t="str">
        <f aca="false">PROPER(TRIM(raw_data!E90))</f>
        <v>Rohan Mehta</v>
      </c>
      <c r="J90" s="3" t="str">
        <f aca="false">PROPER(TRIM(raw_data!F90))</f>
        <v>Small Business</v>
      </c>
      <c r="K90" s="3" t="str">
        <f aca="false">IF(TRIM(raw_data!G90)="","Unknown",PROPER(TRIM(raw_data!G90)))</f>
        <v>West</v>
      </c>
      <c r="L90" s="3" t="str">
        <f aca="false">IF(TRIM(raw_data!G90)="","Filled - Unknown","OK")</f>
        <v>OK</v>
      </c>
      <c r="M90" s="3" t="str">
        <f aca="false">PROPER(TRIM(raw_data!H90))</f>
        <v>Maharashtra</v>
      </c>
      <c r="N90" s="3" t="str">
        <f aca="false">PROPER(TRIM(raw_data!I90))</f>
        <v>Mumbai</v>
      </c>
      <c r="O90" s="3" t="str">
        <f aca="false">PROPER(TRIM(raw_data!J90))</f>
        <v>Furniture</v>
      </c>
      <c r="P90" s="3" t="str">
        <f aca="false">PROPER(TRIM(raw_data!K90))</f>
        <v>Bookcases</v>
      </c>
      <c r="Q90" s="3" t="str">
        <f aca="false">TRIM(raw_data!L90)</f>
        <v>Max Bookcases 398</v>
      </c>
      <c r="R90" s="3" t="str">
        <f aca="false">IF(TRIM(raw_data!M90)="","Unknown",PROPER(TRIM(raw_data!M90)))</f>
        <v>Standard Class</v>
      </c>
      <c r="S90" s="3" t="str">
        <f aca="false">IF(TRIM(raw_data!M90)="","Filled - Unknown","OK")</f>
        <v>OK</v>
      </c>
      <c r="T90" s="6" t="n">
        <f aca="false">raw_data!N90</f>
        <v>2</v>
      </c>
      <c r="U90" s="7" t="n">
        <f aca="false">raw_data!O90</f>
        <v>3284.75</v>
      </c>
      <c r="V90" s="8" t="n">
        <f aca="false">raw_data!P90</f>
        <v>0.05</v>
      </c>
      <c r="W90" s="8" t="n">
        <f aca="false">IF(raw_data!P90="",0,IF(ISTEXT(raw_data!P90),IF(RIGHT(raw_data!P90,1)="%",VALUE(LEFT(raw_data!P90,LEN(raw_data!P90)-1))/100,VALUE(raw_data!P90)),raw_data!P90))</f>
        <v>0.05</v>
      </c>
      <c r="X90" s="3" t="str">
        <f aca="false">IF(raw_data!P90="","Missing - Defaulted to 0",IF(W90&lt;0,"Negative - Invalid",IF(W90&gt;0.3,"Above Allowed Range - Invalid","Valid")))</f>
        <v>Valid</v>
      </c>
      <c r="Y90" s="7" t="n">
        <f aca="false">raw_data!Q90</f>
        <v>6241.02</v>
      </c>
      <c r="Z90" s="7" t="n">
        <f aca="false">raw_data!R90</f>
        <v>5345.88</v>
      </c>
      <c r="AA90" s="7" t="n">
        <f aca="false">raw_data!S90</f>
        <v>895.14</v>
      </c>
      <c r="AB90" s="3" t="str">
        <f aca="false">PROPER(TRIM(raw_data!T90))</f>
        <v>Paid</v>
      </c>
      <c r="AC90" s="3" t="str">
        <f aca="false">PROPER(TRIM(raw_data!U90))</f>
        <v>Completed</v>
      </c>
      <c r="AD90" s="7" t="n">
        <f aca="false">T90*U90*(1-W90)</f>
        <v>6241.025</v>
      </c>
      <c r="AE90" s="7" t="n">
        <f aca="false">AD90-Z90</f>
        <v>895.145</v>
      </c>
      <c r="AF90" s="8" t="n">
        <f aca="false">IF(AD90=0,0,AE90/AD90)</f>
        <v>0.143429164279906</v>
      </c>
      <c r="AG90" s="3" t="str">
        <f aca="false">IF(ABS(Y90-AD90)&gt;1,"Mismatch","OK")</f>
        <v>OK</v>
      </c>
      <c r="AH90" s="3" t="str">
        <f aca="false">IF(ABS(AA90-AE90)&gt;1,"Mismatch","OK")</f>
        <v>OK</v>
      </c>
      <c r="AI90" s="6" t="n">
        <f aca="false">IF(B90="","",MONTH(B90))</f>
        <v>3</v>
      </c>
      <c r="AJ90" s="6" t="n">
        <f aca="false">IF(B90="","",YEAR(B90))</f>
        <v>2024</v>
      </c>
      <c r="AK90" s="3" t="str">
        <f aca="false">IF(COUNTIF(raw_data!$A$2:$A$913,A90)&gt;1,"Conflicting Duplicate - Flagged for Review","Unique")</f>
        <v>Unique</v>
      </c>
      <c r="AL90" s="3" t="str">
        <f aca="false">IF(AB90="Refunded","Yes","No")</f>
        <v>No</v>
      </c>
      <c r="AM90" s="3" t="str">
        <f aca="false">IF(OR(AC90&lt;&gt;"Completed",AB90="Failed"),"Excluded","Included")</f>
        <v>Included</v>
      </c>
      <c r="AN90" s="3" t="str">
        <f aca="false">IF(OR(D90="Invalid/Unrecognized",E90="Invalid/Unrecognized",G90="Invalid - Ship Before Order",X90="Negative - Invalid",X90="Above Allowed Range - Invalid",AG90="Mismatch",AH90="Mismatch",AK90="Conflicting Duplicate - Flagged for Review"),"Invalid",IF(OR(L90="Filled - Unknown",S90="Filled - Unknown",X90="Missing - Defaulted to 0",AL90="Yes",AC90="Cancelled",AC90="Returned"),"Warning","Clean"))</f>
        <v>Clean</v>
      </c>
    </row>
    <row r="91" customFormat="false" ht="15" hidden="false" customHeight="false" outlineLevel="0" collapsed="false">
      <c r="A91" s="3" t="str">
        <f aca="false">raw_data!A91</f>
        <v>ORD-2024-10090</v>
      </c>
      <c r="B91" s="4" t="n">
        <f aca="false">IFERROR(IF(MID(raw_data!B91,3,1)="/",DATE(VALUE(RIGHT(raw_data!B91,4)),VALUE(LEFT(raw_data!B91,2)),VALUE(MID(raw_data!B91,4,2))),IF(MID(raw_data!B91,3,1)="-",DATE(VALUE(RIGHT(raw_data!B91,4)),VALUE(MID(raw_data!B91,4,2)),VALUE(LEFT(raw_data!B91,2))),IF(MID(raw_data!B91,5,1)="-",DATE(VALUE(LEFT(raw_data!B91,4)),VALUE(MID(raw_data!B91,6,2)),VALUE(RIGHT(raw_data!B91,2))),DATE(VALUE(RIGHT(raw_data!B91,4)),MATCH(MID(raw_data!B91,4,3),{"Jan","Feb","Mar","Apr","May","Jun","Jul","Aug","Sep","Oct","Nov","Dec"},0),VALUE(LEFT(raw_data!B91,2)))))),"")</f>
        <v>45540</v>
      </c>
      <c r="C91" s="4" t="n">
        <f aca="false">IFERROR(IF(MID(raw_data!C91,3,1)="/",DATE(VALUE(RIGHT(raw_data!C91,4)),VALUE(LEFT(raw_data!C91,2)),VALUE(MID(raw_data!C91,4,2))),IF(MID(raw_data!C91,3,1)="-",DATE(VALUE(RIGHT(raw_data!C91,4)),VALUE(MID(raw_data!C91,4,2)),VALUE(LEFT(raw_data!C91,2))),IF(MID(raw_data!C91,5,1)="-",DATE(VALUE(LEFT(raw_data!C91,4)),VALUE(MID(raw_data!C91,6,2)),VALUE(RIGHT(raw_data!C91,2))),DATE(VALUE(RIGHT(raw_data!C91,4)),MATCH(MID(raw_data!C91,4,3),{"Jan","Feb","Mar","Apr","May","Jun","Jul","Aug","Sep","Oct","Nov","Dec"},0),VALUE(LEFT(raw_data!C91,2)))))),"")</f>
        <v>45540</v>
      </c>
      <c r="D91" s="3" t="str">
        <f aca="false">IF(TRIM(raw_data!B91)="","Missing",IF(B91="","Invalid/Unrecognized","Valid"))</f>
        <v>Valid</v>
      </c>
      <c r="E91" s="3" t="str">
        <f aca="false">IF(TRIM(raw_data!C91)="","Missing",IF(C91="","Invalid/Unrecognized","Valid"))</f>
        <v>Valid</v>
      </c>
      <c r="F91" s="5" t="n">
        <f aca="false">IF(OR(B91="",C91=""),"",C91-B91)</f>
        <v>0</v>
      </c>
      <c r="G91" s="3" t="str">
        <f aca="false">IF(F91="","N/A",IF(F91&lt;0,"Invalid - Ship Before Order","OK"))</f>
        <v>OK</v>
      </c>
      <c r="H91" s="3" t="str">
        <f aca="false">raw_data!D91</f>
        <v>CUST-7744</v>
      </c>
      <c r="I91" s="3" t="str">
        <f aca="false">PROPER(TRIM(raw_data!E91))</f>
        <v>Kabir Singh</v>
      </c>
      <c r="J91" s="3" t="str">
        <f aca="false">PROPER(TRIM(raw_data!F91))</f>
        <v>Consumer</v>
      </c>
      <c r="K91" s="3" t="str">
        <f aca="false">IF(TRIM(raw_data!G91)="","Unknown",PROPER(TRIM(raw_data!G91)))</f>
        <v>South</v>
      </c>
      <c r="L91" s="3" t="str">
        <f aca="false">IF(TRIM(raw_data!G91)="","Filled - Unknown","OK")</f>
        <v>OK</v>
      </c>
      <c r="M91" s="3" t="str">
        <f aca="false">PROPER(TRIM(raw_data!H91))</f>
        <v>Andhra Pradesh</v>
      </c>
      <c r="N91" s="3" t="str">
        <f aca="false">PROPER(TRIM(raw_data!I91))</f>
        <v>Vijayawada</v>
      </c>
      <c r="O91" s="3" t="str">
        <f aca="false">PROPER(TRIM(raw_data!J91))</f>
        <v>Furniture</v>
      </c>
      <c r="P91" s="3" t="str">
        <f aca="false">PROPER(TRIM(raw_data!K91))</f>
        <v>Bookcases</v>
      </c>
      <c r="Q91" s="3" t="str">
        <f aca="false">TRIM(raw_data!L91)</f>
        <v>Smart Bookcases 857</v>
      </c>
      <c r="R91" s="3" t="str">
        <f aca="false">IF(TRIM(raw_data!M91)="","Unknown",PROPER(TRIM(raw_data!M91)))</f>
        <v>Standard Class</v>
      </c>
      <c r="S91" s="3" t="str">
        <f aca="false">IF(TRIM(raw_data!M91)="","Filled - Unknown","OK")</f>
        <v>OK</v>
      </c>
      <c r="T91" s="6" t="n">
        <f aca="false">raw_data!N91</f>
        <v>7</v>
      </c>
      <c r="U91" s="7" t="n">
        <f aca="false">raw_data!O91</f>
        <v>3761.09</v>
      </c>
      <c r="V91" s="8" t="n">
        <f aca="false">raw_data!P91</f>
        <v>0.2</v>
      </c>
      <c r="W91" s="8" t="n">
        <f aca="false">IF(raw_data!P91="",0,IF(ISTEXT(raw_data!P91),IF(RIGHT(raw_data!P91,1)="%",VALUE(LEFT(raw_data!P91,LEN(raw_data!P91)-1))/100,VALUE(raw_data!P91)),raw_data!P91))</f>
        <v>0.2</v>
      </c>
      <c r="X91" s="3" t="str">
        <f aca="false">IF(raw_data!P91="","Missing - Defaulted to 0",IF(W91&lt;0,"Negative - Invalid",IF(W91&gt;0.3,"Above Allowed Range - Invalid","Valid")))</f>
        <v>Valid</v>
      </c>
      <c r="Y91" s="7" t="n">
        <f aca="false">raw_data!Q91</f>
        <v>21062.1</v>
      </c>
      <c r="Z91" s="7" t="n">
        <f aca="false">raw_data!R91</f>
        <v>12057.13</v>
      </c>
      <c r="AA91" s="7" t="n">
        <f aca="false">raw_data!S91</f>
        <v>9004.97</v>
      </c>
      <c r="AB91" s="3" t="str">
        <f aca="false">PROPER(TRIM(raw_data!T91))</f>
        <v>Pending</v>
      </c>
      <c r="AC91" s="3" t="str">
        <f aca="false">PROPER(TRIM(raw_data!U91))</f>
        <v>Cancelled</v>
      </c>
      <c r="AD91" s="7" t="n">
        <f aca="false">T91*U91*(1-W91)</f>
        <v>21062.104</v>
      </c>
      <c r="AE91" s="7" t="n">
        <f aca="false">AD91-Z91</f>
        <v>9004.974</v>
      </c>
      <c r="AF91" s="8" t="n">
        <f aca="false">IF(AD91=0,0,AE91/AD91)</f>
        <v>0.427543895899479</v>
      </c>
      <c r="AG91" s="3" t="str">
        <f aca="false">IF(ABS(Y91-AD91)&gt;1,"Mismatch","OK")</f>
        <v>OK</v>
      </c>
      <c r="AH91" s="3" t="str">
        <f aca="false">IF(ABS(AA91-AE91)&gt;1,"Mismatch","OK")</f>
        <v>OK</v>
      </c>
      <c r="AI91" s="6" t="n">
        <f aca="false">IF(B91="","",MONTH(B91))</f>
        <v>9</v>
      </c>
      <c r="AJ91" s="6" t="n">
        <f aca="false">IF(B91="","",YEAR(B91))</f>
        <v>2024</v>
      </c>
      <c r="AK91" s="3" t="str">
        <f aca="false">IF(COUNTIF(raw_data!$A$2:$A$913,A91)&gt;1,"Conflicting Duplicate - Flagged for Review","Unique")</f>
        <v>Unique</v>
      </c>
      <c r="AL91" s="3" t="str">
        <f aca="false">IF(AB91="Refunded","Yes","No")</f>
        <v>No</v>
      </c>
      <c r="AM91" s="3" t="str">
        <f aca="false">IF(OR(AC91&lt;&gt;"Completed",AB91="Failed"),"Excluded","Included")</f>
        <v>Excluded</v>
      </c>
      <c r="AN91" s="3" t="str">
        <f aca="false">IF(OR(D91="Invalid/Unrecognized",E91="Invalid/Unrecognized",G91="Invalid - Ship Before Order",X91="Negative - Invalid",X91="Above Allowed Range - Invalid",AG91="Mismatch",AH91="Mismatch",AK91="Conflicting Duplicate - Flagged for Review"),"Invalid",IF(OR(L91="Filled - Unknown",S91="Filled - Unknown",X91="Missing - Defaulted to 0",AL91="Yes",AC91="Cancelled",AC91="Returned"),"Warning","Clean"))</f>
        <v>Warning</v>
      </c>
    </row>
    <row r="92" customFormat="false" ht="15" hidden="false" customHeight="false" outlineLevel="0" collapsed="false">
      <c r="A92" s="3" t="str">
        <f aca="false">raw_data!A92</f>
        <v>ORD-2025-10091</v>
      </c>
      <c r="B92" s="4" t="n">
        <f aca="false">IFERROR(IF(MID(raw_data!B92,3,1)="/",DATE(VALUE(RIGHT(raw_data!B92,4)),VALUE(LEFT(raw_data!B92,2)),VALUE(MID(raw_data!B92,4,2))),IF(MID(raw_data!B92,3,1)="-",DATE(VALUE(RIGHT(raw_data!B92,4)),VALUE(MID(raw_data!B92,4,2)),VALUE(LEFT(raw_data!B92,2))),IF(MID(raw_data!B92,5,1)="-",DATE(VALUE(LEFT(raw_data!B92,4)),VALUE(MID(raw_data!B92,6,2)),VALUE(RIGHT(raw_data!B92,2))),DATE(VALUE(RIGHT(raw_data!B92,4)),MATCH(MID(raw_data!B92,4,3),{"Jan","Feb","Mar","Apr","May","Jun","Jul","Aug","Sep","Oct","Nov","Dec"},0),VALUE(LEFT(raw_data!B92,2)))))),"")</f>
        <v>45893</v>
      </c>
      <c r="C92" s="4" t="n">
        <f aca="false">IFERROR(IF(MID(raw_data!C92,3,1)="/",DATE(VALUE(RIGHT(raw_data!C92,4)),VALUE(LEFT(raw_data!C92,2)),VALUE(MID(raw_data!C92,4,2))),IF(MID(raw_data!C92,3,1)="-",DATE(VALUE(RIGHT(raw_data!C92,4)),VALUE(MID(raw_data!C92,4,2)),VALUE(LEFT(raw_data!C92,2))),IF(MID(raw_data!C92,5,1)="-",DATE(VALUE(LEFT(raw_data!C92,4)),VALUE(MID(raw_data!C92,6,2)),VALUE(RIGHT(raw_data!C92,2))),DATE(VALUE(RIGHT(raw_data!C92,4)),MATCH(MID(raw_data!C92,4,3),{"Jan","Feb","Mar","Apr","May","Jun","Jul","Aug","Sep","Oct","Nov","Dec"},0),VALUE(LEFT(raw_data!C92,2)))))),"")</f>
        <v>45898</v>
      </c>
      <c r="D92" s="3" t="str">
        <f aca="false">IF(TRIM(raw_data!B92)="","Missing",IF(B92="","Invalid/Unrecognized","Valid"))</f>
        <v>Valid</v>
      </c>
      <c r="E92" s="3" t="str">
        <f aca="false">IF(TRIM(raw_data!C92)="","Missing",IF(C92="","Invalid/Unrecognized","Valid"))</f>
        <v>Valid</v>
      </c>
      <c r="F92" s="5" t="n">
        <f aca="false">IF(OR(B92="",C92=""),"",C92-B92)</f>
        <v>5</v>
      </c>
      <c r="G92" s="3" t="str">
        <f aca="false">IF(F92="","N/A",IF(F92&lt;0,"Invalid - Ship Before Order","OK"))</f>
        <v>OK</v>
      </c>
      <c r="H92" s="3" t="str">
        <f aca="false">raw_data!D92</f>
        <v>CUST-5909</v>
      </c>
      <c r="I92" s="3" t="str">
        <f aca="false">PROPER(TRIM(raw_data!E92))</f>
        <v>Aarav Sharma</v>
      </c>
      <c r="J92" s="3" t="str">
        <f aca="false">PROPER(TRIM(raw_data!F92))</f>
        <v>Small Business</v>
      </c>
      <c r="K92" s="3" t="str">
        <f aca="false">IF(TRIM(raw_data!G92)="","Unknown",PROPER(TRIM(raw_data!G92)))</f>
        <v>East</v>
      </c>
      <c r="L92" s="3" t="str">
        <f aca="false">IF(TRIM(raw_data!G92)="","Filled - Unknown","OK")</f>
        <v>OK</v>
      </c>
      <c r="M92" s="3" t="str">
        <f aca="false">PROPER(TRIM(raw_data!H92))</f>
        <v>Bihar</v>
      </c>
      <c r="N92" s="3" t="str">
        <f aca="false">PROPER(TRIM(raw_data!I92))</f>
        <v>Patna</v>
      </c>
      <c r="O92" s="3" t="str">
        <f aca="false">PROPER(TRIM(raw_data!J92))</f>
        <v>Technology</v>
      </c>
      <c r="P92" s="3" t="str">
        <f aca="false">PROPER(TRIM(raw_data!K92))</f>
        <v>Copiers</v>
      </c>
      <c r="Q92" s="3" t="str">
        <f aca="false">TRIM(raw_data!L92)</f>
        <v>Smart Copiers 556</v>
      </c>
      <c r="R92" s="3" t="str">
        <f aca="false">IF(TRIM(raw_data!M92)="","Unknown",PROPER(TRIM(raw_data!M92)))</f>
        <v>First Class</v>
      </c>
      <c r="S92" s="3" t="str">
        <f aca="false">IF(TRIM(raw_data!M92)="","Filled - Unknown","OK")</f>
        <v>OK</v>
      </c>
      <c r="T92" s="6" t="n">
        <f aca="false">raw_data!N92</f>
        <v>3</v>
      </c>
      <c r="U92" s="7" t="n">
        <f aca="false">raw_data!O92</f>
        <v>3703.96</v>
      </c>
      <c r="V92" s="8" t="n">
        <f aca="false">raw_data!P92</f>
        <v>0.15</v>
      </c>
      <c r="W92" s="8" t="n">
        <f aca="false">IF(raw_data!P92="",0,IF(ISTEXT(raw_data!P92),IF(RIGHT(raw_data!P92,1)="%",VALUE(LEFT(raw_data!P92,LEN(raw_data!P92)-1))/100,VALUE(raw_data!P92)),raw_data!P92))</f>
        <v>0.15</v>
      </c>
      <c r="X92" s="3" t="str">
        <f aca="false">IF(raw_data!P92="","Missing - Defaulted to 0",IF(W92&lt;0,"Negative - Invalid",IF(W92&gt;0.3,"Above Allowed Range - Invalid","Valid")))</f>
        <v>Valid</v>
      </c>
      <c r="Y92" s="7" t="n">
        <f aca="false">raw_data!Q92</f>
        <v>9445.1</v>
      </c>
      <c r="Z92" s="7" t="n">
        <f aca="false">raw_data!R92</f>
        <v>5586.28</v>
      </c>
      <c r="AA92" s="7" t="n">
        <f aca="false">raw_data!S92</f>
        <v>3858.82</v>
      </c>
      <c r="AB92" s="3" t="str">
        <f aca="false">PROPER(TRIM(raw_data!T92))</f>
        <v>Paid</v>
      </c>
      <c r="AC92" s="3" t="str">
        <f aca="false">PROPER(TRIM(raw_data!U92))</f>
        <v>Completed</v>
      </c>
      <c r="AD92" s="7" t="n">
        <f aca="false">T92*U92*(1-W92)</f>
        <v>9445.098</v>
      </c>
      <c r="AE92" s="7" t="n">
        <f aca="false">AD92-Z92</f>
        <v>3858.818</v>
      </c>
      <c r="AF92" s="8" t="n">
        <f aca="false">IF(AD92=0,0,AE92/AD92)</f>
        <v>0.4085524575817</v>
      </c>
      <c r="AG92" s="3" t="str">
        <f aca="false">IF(ABS(Y92-AD92)&gt;1,"Mismatch","OK")</f>
        <v>OK</v>
      </c>
      <c r="AH92" s="3" t="str">
        <f aca="false">IF(ABS(AA92-AE92)&gt;1,"Mismatch","OK")</f>
        <v>OK</v>
      </c>
      <c r="AI92" s="6" t="n">
        <f aca="false">IF(B92="","",MONTH(B92))</f>
        <v>8</v>
      </c>
      <c r="AJ92" s="6" t="n">
        <f aca="false">IF(B92="","",YEAR(B92))</f>
        <v>2025</v>
      </c>
      <c r="AK92" s="3" t="str">
        <f aca="false">IF(COUNTIF(raw_data!$A$2:$A$913,A92)&gt;1,"Conflicting Duplicate - Flagged for Review","Unique")</f>
        <v>Conflicting Duplicate - Flagged for Review</v>
      </c>
      <c r="AL92" s="3" t="str">
        <f aca="false">IF(AB92="Refunded","Yes","No")</f>
        <v>No</v>
      </c>
      <c r="AM92" s="3" t="str">
        <f aca="false">IF(OR(AC92&lt;&gt;"Completed",AB92="Failed"),"Excluded","Included")</f>
        <v>Included</v>
      </c>
      <c r="AN92" s="3" t="str">
        <f aca="false">IF(OR(D92="Invalid/Unrecognized",E92="Invalid/Unrecognized",G92="Invalid - Ship Before Order",X92="Negative - Invalid",X92="Above Allowed Range - Invalid",AG92="Mismatch",AH92="Mismatch",AK92="Conflicting Duplicate - Flagged for Review"),"Invalid",IF(OR(L92="Filled - Unknown",S92="Filled - Unknown",X92="Missing - Defaulted to 0",AL92="Yes",AC92="Cancelled",AC92="Returned"),"Warning","Clean"))</f>
        <v>Invalid</v>
      </c>
    </row>
    <row r="93" customFormat="false" ht="15" hidden="false" customHeight="false" outlineLevel="0" collapsed="false">
      <c r="A93" s="3" t="str">
        <f aca="false">raw_data!A93</f>
        <v>ORD-2025-10092</v>
      </c>
      <c r="B93" s="4" t="n">
        <f aca="false">IFERROR(IF(MID(raw_data!B93,3,1)="/",DATE(VALUE(RIGHT(raw_data!B93,4)),VALUE(LEFT(raw_data!B93,2)),VALUE(MID(raw_data!B93,4,2))),IF(MID(raw_data!B93,3,1)="-",DATE(VALUE(RIGHT(raw_data!B93,4)),VALUE(MID(raw_data!B93,4,2)),VALUE(LEFT(raw_data!B93,2))),IF(MID(raw_data!B93,5,1)="-",DATE(VALUE(LEFT(raw_data!B93,4)),VALUE(MID(raw_data!B93,6,2)),VALUE(RIGHT(raw_data!B93,2))),DATE(VALUE(RIGHT(raw_data!B93,4)),MATCH(MID(raw_data!B93,4,3),{"Jan","Feb","Mar","Apr","May","Jun","Jul","Aug","Sep","Oct","Nov","Dec"},0),VALUE(LEFT(raw_data!B93,2)))))),"")</f>
        <v>45718</v>
      </c>
      <c r="C93" s="4" t="n">
        <f aca="false">IFERROR(IF(MID(raw_data!C93,3,1)="/",DATE(VALUE(RIGHT(raw_data!C93,4)),VALUE(LEFT(raw_data!C93,2)),VALUE(MID(raw_data!C93,4,2))),IF(MID(raw_data!C93,3,1)="-",DATE(VALUE(RIGHT(raw_data!C93,4)),VALUE(MID(raw_data!C93,4,2)),VALUE(LEFT(raw_data!C93,2))),IF(MID(raw_data!C93,5,1)="-",DATE(VALUE(LEFT(raw_data!C93,4)),VALUE(MID(raw_data!C93,6,2)),VALUE(RIGHT(raw_data!C93,2))),DATE(VALUE(RIGHT(raw_data!C93,4)),MATCH(MID(raw_data!C93,4,3),{"Jan","Feb","Mar","Apr","May","Jun","Jul","Aug","Sep","Oct","Nov","Dec"},0),VALUE(LEFT(raw_data!C93,2)))))),"")</f>
        <v>45724</v>
      </c>
      <c r="D93" s="3" t="str">
        <f aca="false">IF(TRIM(raw_data!B93)="","Missing",IF(B93="","Invalid/Unrecognized","Valid"))</f>
        <v>Valid</v>
      </c>
      <c r="E93" s="3" t="str">
        <f aca="false">IF(TRIM(raw_data!C93)="","Missing",IF(C93="","Invalid/Unrecognized","Valid"))</f>
        <v>Valid</v>
      </c>
      <c r="F93" s="5" t="n">
        <f aca="false">IF(OR(B93="",C93=""),"",C93-B93)</f>
        <v>6</v>
      </c>
      <c r="G93" s="3" t="str">
        <f aca="false">IF(F93="","N/A",IF(F93&lt;0,"Invalid - Ship Before Order","OK"))</f>
        <v>OK</v>
      </c>
      <c r="H93" s="3" t="str">
        <f aca="false">raw_data!D93</f>
        <v>CUST-6409</v>
      </c>
      <c r="I93" s="3" t="str">
        <f aca="false">PROPER(TRIM(raw_data!E93))</f>
        <v>Sneha Kapoor</v>
      </c>
      <c r="J93" s="3" t="str">
        <f aca="false">PROPER(TRIM(raw_data!F93))</f>
        <v>Corporate</v>
      </c>
      <c r="K93" s="3" t="str">
        <f aca="false">IF(TRIM(raw_data!G93)="","Unknown",PROPER(TRIM(raw_data!G93)))</f>
        <v>West</v>
      </c>
      <c r="L93" s="3" t="str">
        <f aca="false">IF(TRIM(raw_data!G93)="","Filled - Unknown","OK")</f>
        <v>OK</v>
      </c>
      <c r="M93" s="3" t="str">
        <f aca="false">PROPER(TRIM(raw_data!H93))</f>
        <v>Madhya Pradesh</v>
      </c>
      <c r="N93" s="3" t="str">
        <f aca="false">PROPER(TRIM(raw_data!I93))</f>
        <v>Indore</v>
      </c>
      <c r="O93" s="3" t="str">
        <f aca="false">PROPER(TRIM(raw_data!J93))</f>
        <v>Technology</v>
      </c>
      <c r="P93" s="3" t="str">
        <f aca="false">PROPER(TRIM(raw_data!K93))</f>
        <v>Copiers</v>
      </c>
      <c r="Q93" s="3" t="str">
        <f aca="false">TRIM(raw_data!L93)</f>
        <v>Prime Copiers 575</v>
      </c>
      <c r="R93" s="3" t="str">
        <f aca="false">IF(TRIM(raw_data!M93)="","Unknown",PROPER(TRIM(raw_data!M93)))</f>
        <v>Second Class</v>
      </c>
      <c r="S93" s="3" t="str">
        <f aca="false">IF(TRIM(raw_data!M93)="","Filled - Unknown","OK")</f>
        <v>OK</v>
      </c>
      <c r="T93" s="6" t="n">
        <f aca="false">raw_data!N93</f>
        <v>9</v>
      </c>
      <c r="U93" s="7" t="n">
        <f aca="false">raw_data!O93</f>
        <v>269.68</v>
      </c>
      <c r="V93" s="8" t="n">
        <f aca="false">raw_data!P93</f>
        <v>0</v>
      </c>
      <c r="W93" s="8" t="n">
        <f aca="false">IF(raw_data!P93="",0,IF(ISTEXT(raw_data!P93),IF(RIGHT(raw_data!P93,1)="%",VALUE(LEFT(raw_data!P93,LEN(raw_data!P93)-1))/100,VALUE(raw_data!P93)),raw_data!P93))</f>
        <v>0</v>
      </c>
      <c r="X93" s="3" t="str">
        <f aca="false">IF(raw_data!P93="","Missing - Defaulted to 0",IF(W93&lt;0,"Negative - Invalid",IF(W93&gt;0.3,"Above Allowed Range - Invalid","Valid")))</f>
        <v>Valid</v>
      </c>
      <c r="Y93" s="7" t="n">
        <f aca="false">raw_data!Q93</f>
        <v>2427.12</v>
      </c>
      <c r="Z93" s="7" t="n">
        <f aca="false">raw_data!R93</f>
        <v>1538.35</v>
      </c>
      <c r="AA93" s="7" t="n">
        <f aca="false">raw_data!S93</f>
        <v>804.53</v>
      </c>
      <c r="AB93" s="3" t="str">
        <f aca="false">PROPER(TRIM(raw_data!T93))</f>
        <v>Paid</v>
      </c>
      <c r="AC93" s="3" t="str">
        <f aca="false">PROPER(TRIM(raw_data!U93))</f>
        <v>Completed</v>
      </c>
      <c r="AD93" s="7" t="n">
        <f aca="false">T93*U93*(1-W93)</f>
        <v>2427.12</v>
      </c>
      <c r="AE93" s="7" t="n">
        <f aca="false">AD93-Z93</f>
        <v>888.77</v>
      </c>
      <c r="AF93" s="8" t="n">
        <f aca="false">IF(AD93=0,0,AE93/AD93)</f>
        <v>0.366182965819572</v>
      </c>
      <c r="AG93" s="3" t="str">
        <f aca="false">IF(ABS(Y93-AD93)&gt;1,"Mismatch","OK")</f>
        <v>OK</v>
      </c>
      <c r="AH93" s="3" t="str">
        <f aca="false">IF(ABS(AA93-AE93)&gt;1,"Mismatch","OK")</f>
        <v>Mismatch</v>
      </c>
      <c r="AI93" s="6" t="n">
        <f aca="false">IF(B93="","",MONTH(B93))</f>
        <v>3</v>
      </c>
      <c r="AJ93" s="6" t="n">
        <f aca="false">IF(B93="","",YEAR(B93))</f>
        <v>2025</v>
      </c>
      <c r="AK93" s="3" t="str">
        <f aca="false">IF(COUNTIF(raw_data!$A$2:$A$913,A93)&gt;1,"Conflicting Duplicate - Flagged for Review","Unique")</f>
        <v>Unique</v>
      </c>
      <c r="AL93" s="3" t="str">
        <f aca="false">IF(AB93="Refunded","Yes","No")</f>
        <v>No</v>
      </c>
      <c r="AM93" s="3" t="str">
        <f aca="false">IF(OR(AC93&lt;&gt;"Completed",AB93="Failed"),"Excluded","Included")</f>
        <v>Included</v>
      </c>
      <c r="AN93" s="3" t="str">
        <f aca="false">IF(OR(D93="Invalid/Unrecognized",E93="Invalid/Unrecognized",G93="Invalid - Ship Before Order",X93="Negative - Invalid",X93="Above Allowed Range - Invalid",AG93="Mismatch",AH93="Mismatch",AK93="Conflicting Duplicate - Flagged for Review"),"Invalid",IF(OR(L93="Filled - Unknown",S93="Filled - Unknown",X93="Missing - Defaulted to 0",AL93="Yes",AC93="Cancelled",AC93="Returned"),"Warning","Clean"))</f>
        <v>Invalid</v>
      </c>
    </row>
    <row r="94" customFormat="false" ht="15" hidden="false" customHeight="false" outlineLevel="0" collapsed="false">
      <c r="A94" s="3" t="str">
        <f aca="false">raw_data!A94</f>
        <v>ORD-2025-10093</v>
      </c>
      <c r="B94" s="4" t="n">
        <f aca="false">IFERROR(IF(MID(raw_data!B94,3,1)="/",DATE(VALUE(RIGHT(raw_data!B94,4)),VALUE(LEFT(raw_data!B94,2)),VALUE(MID(raw_data!B94,4,2))),IF(MID(raw_data!B94,3,1)="-",DATE(VALUE(RIGHT(raw_data!B94,4)),VALUE(MID(raw_data!B94,4,2)),VALUE(LEFT(raw_data!B94,2))),IF(MID(raw_data!B94,5,1)="-",DATE(VALUE(LEFT(raw_data!B94,4)),VALUE(MID(raw_data!B94,6,2)),VALUE(RIGHT(raw_data!B94,2))),DATE(VALUE(RIGHT(raw_data!B94,4)),MATCH(MID(raw_data!B94,4,3),{"Jan","Feb","Mar","Apr","May","Jun","Jul","Aug","Sep","Oct","Nov","Dec"},0),VALUE(LEFT(raw_data!B94,2)))))),"")</f>
        <v>45680</v>
      </c>
      <c r="C94" s="4" t="n">
        <f aca="false">IFERROR(IF(MID(raw_data!C94,3,1)="/",DATE(VALUE(RIGHT(raw_data!C94,4)),VALUE(LEFT(raw_data!C94,2)),VALUE(MID(raw_data!C94,4,2))),IF(MID(raw_data!C94,3,1)="-",DATE(VALUE(RIGHT(raw_data!C94,4)),VALUE(MID(raw_data!C94,4,2)),VALUE(LEFT(raw_data!C94,2))),IF(MID(raw_data!C94,5,1)="-",DATE(VALUE(LEFT(raw_data!C94,4)),VALUE(MID(raw_data!C94,6,2)),VALUE(RIGHT(raw_data!C94,2))),DATE(VALUE(RIGHT(raw_data!C94,4)),MATCH(MID(raw_data!C94,4,3),{"Jan","Feb","Mar","Apr","May","Jun","Jul","Aug","Sep","Oct","Nov","Dec"},0),VALUE(LEFT(raw_data!C94,2)))))),"")</f>
        <v>45683</v>
      </c>
      <c r="D94" s="3" t="str">
        <f aca="false">IF(TRIM(raw_data!B94)="","Missing",IF(B94="","Invalid/Unrecognized","Valid"))</f>
        <v>Valid</v>
      </c>
      <c r="E94" s="3" t="str">
        <f aca="false">IF(TRIM(raw_data!C94)="","Missing",IF(C94="","Invalid/Unrecognized","Valid"))</f>
        <v>Valid</v>
      </c>
      <c r="F94" s="5" t="n">
        <f aca="false">IF(OR(B94="",C94=""),"",C94-B94)</f>
        <v>3</v>
      </c>
      <c r="G94" s="3" t="str">
        <f aca="false">IF(F94="","N/A",IF(F94&lt;0,"Invalid - Ship Before Order","OK"))</f>
        <v>OK</v>
      </c>
      <c r="H94" s="3" t="str">
        <f aca="false">raw_data!D94</f>
        <v>CUST-3014</v>
      </c>
      <c r="I94" s="3" t="str">
        <f aca="false">PROPER(TRIM(raw_data!E94))</f>
        <v>Aarav Sharma</v>
      </c>
      <c r="J94" s="3" t="str">
        <f aca="false">PROPER(TRIM(raw_data!F94))</f>
        <v>Consumer</v>
      </c>
      <c r="K94" s="3" t="str">
        <f aca="false">IF(TRIM(raw_data!G94)="","Unknown",PROPER(TRIM(raw_data!G94)))</f>
        <v>West</v>
      </c>
      <c r="L94" s="3" t="str">
        <f aca="false">IF(TRIM(raw_data!G94)="","Filled - Unknown","OK")</f>
        <v>OK</v>
      </c>
      <c r="M94" s="3" t="str">
        <f aca="false">PROPER(TRIM(raw_data!H94))</f>
        <v>Madhya Pradesh</v>
      </c>
      <c r="N94" s="3" t="str">
        <f aca="false">PROPER(TRIM(raw_data!I94))</f>
        <v>Indore</v>
      </c>
      <c r="O94" s="3" t="str">
        <f aca="false">PROPER(TRIM(raw_data!J94))</f>
        <v>Office Supplies</v>
      </c>
      <c r="P94" s="3" t="str">
        <f aca="false">PROPER(TRIM(raw_data!K94))</f>
        <v>Paper</v>
      </c>
      <c r="Q94" s="3" t="str">
        <f aca="false">TRIM(raw_data!L94)</f>
        <v>Elite Paper 669</v>
      </c>
      <c r="R94" s="3" t="str">
        <f aca="false">IF(TRIM(raw_data!M94)="","Unknown",PROPER(TRIM(raw_data!M94)))</f>
        <v>Standard Class</v>
      </c>
      <c r="S94" s="3" t="str">
        <f aca="false">IF(TRIM(raw_data!M94)="","Filled - Unknown","OK")</f>
        <v>OK</v>
      </c>
      <c r="T94" s="6" t="n">
        <f aca="false">raw_data!N94</f>
        <v>9</v>
      </c>
      <c r="U94" s="7" t="n">
        <f aca="false">raw_data!O94</f>
        <v>4458.26</v>
      </c>
      <c r="V94" s="8" t="n">
        <f aca="false">raw_data!P94</f>
        <v>0.1</v>
      </c>
      <c r="W94" s="8" t="n">
        <f aca="false">IF(raw_data!P94="",0,IF(ISTEXT(raw_data!P94),IF(RIGHT(raw_data!P94,1)="%",VALUE(LEFT(raw_data!P94,LEN(raw_data!P94)-1))/100,VALUE(raw_data!P94)),raw_data!P94))</f>
        <v>0.1</v>
      </c>
      <c r="X94" s="3" t="str">
        <f aca="false">IF(raw_data!P94="","Missing - Defaulted to 0",IF(W94&lt;0,"Negative - Invalid",IF(W94&gt;0.3,"Above Allowed Range - Invalid","Valid")))</f>
        <v>Valid</v>
      </c>
      <c r="Y94" s="7" t="n">
        <f aca="false">raw_data!Q94</f>
        <v>36111.91</v>
      </c>
      <c r="Z94" s="7" t="n">
        <f aca="false">raw_data!R94</f>
        <v>29194.5</v>
      </c>
      <c r="AA94" s="7" t="n">
        <f aca="false">raw_data!S94</f>
        <v>6917.41</v>
      </c>
      <c r="AB94" s="3" t="str">
        <f aca="false">PROPER(TRIM(raw_data!T94))</f>
        <v>Paid</v>
      </c>
      <c r="AC94" s="3" t="str">
        <f aca="false">PROPER(TRIM(raw_data!U94))</f>
        <v>Completed</v>
      </c>
      <c r="AD94" s="7" t="n">
        <f aca="false">T94*U94*(1-W94)</f>
        <v>36111.906</v>
      </c>
      <c r="AE94" s="7" t="n">
        <f aca="false">AD94-Z94</f>
        <v>6917.406</v>
      </c>
      <c r="AF94" s="8" t="n">
        <f aca="false">IF(AD94=0,0,AE94/AD94)</f>
        <v>0.191554718823205</v>
      </c>
      <c r="AG94" s="3" t="str">
        <f aca="false">IF(ABS(Y94-AD94)&gt;1,"Mismatch","OK")</f>
        <v>OK</v>
      </c>
      <c r="AH94" s="3" t="str">
        <f aca="false">IF(ABS(AA94-AE94)&gt;1,"Mismatch","OK")</f>
        <v>OK</v>
      </c>
      <c r="AI94" s="6" t="n">
        <f aca="false">IF(B94="","",MONTH(B94))</f>
        <v>1</v>
      </c>
      <c r="AJ94" s="6" t="n">
        <f aca="false">IF(B94="","",YEAR(B94))</f>
        <v>2025</v>
      </c>
      <c r="AK94" s="3" t="str">
        <f aca="false">IF(COUNTIF(raw_data!$A$2:$A$913,A94)&gt;1,"Conflicting Duplicate - Flagged for Review","Unique")</f>
        <v>Unique</v>
      </c>
      <c r="AL94" s="3" t="str">
        <f aca="false">IF(AB94="Refunded","Yes","No")</f>
        <v>No</v>
      </c>
      <c r="AM94" s="3" t="str">
        <f aca="false">IF(OR(AC94&lt;&gt;"Completed",AB94="Failed"),"Excluded","Included")</f>
        <v>Included</v>
      </c>
      <c r="AN94" s="3" t="str">
        <f aca="false">IF(OR(D94="Invalid/Unrecognized",E94="Invalid/Unrecognized",G94="Invalid - Ship Before Order",X94="Negative - Invalid",X94="Above Allowed Range - Invalid",AG94="Mismatch",AH94="Mismatch",AK94="Conflicting Duplicate - Flagged for Review"),"Invalid",IF(OR(L94="Filled - Unknown",S94="Filled - Unknown",X94="Missing - Defaulted to 0",AL94="Yes",AC94="Cancelled",AC94="Returned"),"Warning","Clean"))</f>
        <v>Clean</v>
      </c>
    </row>
    <row r="95" customFormat="false" ht="15" hidden="false" customHeight="false" outlineLevel="0" collapsed="false">
      <c r="A95" s="3" t="str">
        <f aca="false">raw_data!A95</f>
        <v>ORD-2024-10094</v>
      </c>
      <c r="B95" s="4" t="n">
        <f aca="false">IFERROR(IF(MID(raw_data!B95,3,1)="/",DATE(VALUE(RIGHT(raw_data!B95,4)),VALUE(LEFT(raw_data!B95,2)),VALUE(MID(raw_data!B95,4,2))),IF(MID(raw_data!B95,3,1)="-",DATE(VALUE(RIGHT(raw_data!B95,4)),VALUE(MID(raw_data!B95,4,2)),VALUE(LEFT(raw_data!B95,2))),IF(MID(raw_data!B95,5,1)="-",DATE(VALUE(LEFT(raw_data!B95,4)),VALUE(MID(raw_data!B95,6,2)),VALUE(RIGHT(raw_data!B95,2))),DATE(VALUE(RIGHT(raw_data!B95,4)),MATCH(MID(raw_data!B95,4,3),{"Jan","Feb","Mar","Apr","May","Jun","Jul","Aug","Sep","Oct","Nov","Dec"},0),VALUE(LEFT(raw_data!B95,2)))))),"")</f>
        <v>45298</v>
      </c>
      <c r="C95" s="4" t="n">
        <f aca="false">IFERROR(IF(MID(raw_data!C95,3,1)="/",DATE(VALUE(RIGHT(raw_data!C95,4)),VALUE(LEFT(raw_data!C95,2)),VALUE(MID(raw_data!C95,4,2))),IF(MID(raw_data!C95,3,1)="-",DATE(VALUE(RIGHT(raw_data!C95,4)),VALUE(MID(raw_data!C95,4,2)),VALUE(LEFT(raw_data!C95,2))),IF(MID(raw_data!C95,5,1)="-",DATE(VALUE(LEFT(raw_data!C95,4)),VALUE(MID(raw_data!C95,6,2)),VALUE(RIGHT(raw_data!C95,2))),DATE(VALUE(RIGHT(raw_data!C95,4)),MATCH(MID(raw_data!C95,4,3),{"Jan","Feb","Mar","Apr","May","Jun","Jul","Aug","Sep","Oct","Nov","Dec"},0),VALUE(LEFT(raw_data!C95,2)))))),"")</f>
        <v>45304</v>
      </c>
      <c r="D95" s="3" t="str">
        <f aca="false">IF(TRIM(raw_data!B95)="","Missing",IF(B95="","Invalid/Unrecognized","Valid"))</f>
        <v>Valid</v>
      </c>
      <c r="E95" s="3" t="str">
        <f aca="false">IF(TRIM(raw_data!C95)="","Missing",IF(C95="","Invalid/Unrecognized","Valid"))</f>
        <v>Valid</v>
      </c>
      <c r="F95" s="5" t="n">
        <f aca="false">IF(OR(B95="",C95=""),"",C95-B95)</f>
        <v>6</v>
      </c>
      <c r="G95" s="3" t="str">
        <f aca="false">IF(F95="","N/A",IF(F95&lt;0,"Invalid - Ship Before Order","OK"))</f>
        <v>OK</v>
      </c>
      <c r="H95" s="3" t="str">
        <f aca="false">raw_data!D95</f>
        <v>CUST-6106</v>
      </c>
      <c r="I95" s="3" t="str">
        <f aca="false">PROPER(TRIM(raw_data!E95))</f>
        <v>Rohan Mehta</v>
      </c>
      <c r="J95" s="3" t="str">
        <f aca="false">PROPER(TRIM(raw_data!F95))</f>
        <v>Corporate</v>
      </c>
      <c r="K95" s="3" t="str">
        <f aca="false">IF(TRIM(raw_data!G95)="","Unknown",PROPER(TRIM(raw_data!G95)))</f>
        <v>North</v>
      </c>
      <c r="L95" s="3" t="str">
        <f aca="false">IF(TRIM(raw_data!G95)="","Filled - Unknown","OK")</f>
        <v>OK</v>
      </c>
      <c r="M95" s="3" t="str">
        <f aca="false">PROPER(TRIM(raw_data!H95))</f>
        <v>Uttar Pradesh</v>
      </c>
      <c r="N95" s="3" t="str">
        <f aca="false">PROPER(TRIM(raw_data!I95))</f>
        <v>Noida</v>
      </c>
      <c r="O95" s="3" t="str">
        <f aca="false">PROPER(TRIM(raw_data!J95))</f>
        <v>Office Supplies</v>
      </c>
      <c r="P95" s="3" t="str">
        <f aca="false">PROPER(TRIM(raw_data!K95))</f>
        <v>Binders</v>
      </c>
      <c r="Q95" s="3" t="str">
        <f aca="false">TRIM(raw_data!L95)</f>
        <v>Eco Binders 780</v>
      </c>
      <c r="R95" s="3" t="str">
        <f aca="false">IF(TRIM(raw_data!M95)="","Unknown",PROPER(TRIM(raw_data!M95)))</f>
        <v>Standard Class</v>
      </c>
      <c r="S95" s="3" t="str">
        <f aca="false">IF(TRIM(raw_data!M95)="","Filled - Unknown","OK")</f>
        <v>OK</v>
      </c>
      <c r="T95" s="6" t="n">
        <f aca="false">raw_data!N95</f>
        <v>7</v>
      </c>
      <c r="U95" s="7" t="n">
        <f aca="false">raw_data!O95</f>
        <v>2788.97</v>
      </c>
      <c r="V95" s="8" t="n">
        <f aca="false">raw_data!P95</f>
        <v>-0.09</v>
      </c>
      <c r="W95" s="8" t="n">
        <f aca="false">IF(raw_data!P95="",0,IF(ISTEXT(raw_data!P95),IF(RIGHT(raw_data!P95,1)="%",VALUE(LEFT(raw_data!P95,LEN(raw_data!P95)-1))/100,VALUE(raw_data!P95)),raw_data!P95))</f>
        <v>-0.09</v>
      </c>
      <c r="X95" s="3" t="str">
        <f aca="false">IF(raw_data!P95="","Missing - Defaulted to 0",IF(W95&lt;0,"Negative - Invalid",IF(W95&gt;0.3,"Above Allowed Range - Invalid","Valid")))</f>
        <v>Negative - Invalid</v>
      </c>
      <c r="Y95" s="7" t="n">
        <f aca="false">raw_data!Q95</f>
        <v>19522.79</v>
      </c>
      <c r="Z95" s="7" t="n">
        <f aca="false">raw_data!R95</f>
        <v>12455.78</v>
      </c>
      <c r="AA95" s="7" t="n">
        <f aca="false">raw_data!S95</f>
        <v>7067.01</v>
      </c>
      <c r="AB95" s="3" t="str">
        <f aca="false">PROPER(TRIM(raw_data!T95))</f>
        <v>Paid</v>
      </c>
      <c r="AC95" s="3" t="str">
        <f aca="false">PROPER(TRIM(raw_data!U95))</f>
        <v>Completed</v>
      </c>
      <c r="AD95" s="7" t="n">
        <f aca="false">T95*U95*(1-W95)</f>
        <v>21279.8411</v>
      </c>
      <c r="AE95" s="7" t="n">
        <f aca="false">AD95-Z95</f>
        <v>8824.0611</v>
      </c>
      <c r="AF95" s="8" t="n">
        <f aca="false">IF(AD95=0,0,AE95/AD95)</f>
        <v>0.414667621742721</v>
      </c>
      <c r="AG95" s="3" t="str">
        <f aca="false">IF(ABS(Y95-AD95)&gt;1,"Mismatch","OK")</f>
        <v>Mismatch</v>
      </c>
      <c r="AH95" s="3" t="str">
        <f aca="false">IF(ABS(AA95-AE95)&gt;1,"Mismatch","OK")</f>
        <v>Mismatch</v>
      </c>
      <c r="AI95" s="6" t="n">
        <f aca="false">IF(B95="","",MONTH(B95))</f>
        <v>1</v>
      </c>
      <c r="AJ95" s="6" t="n">
        <f aca="false">IF(B95="","",YEAR(B95))</f>
        <v>2024</v>
      </c>
      <c r="AK95" s="3" t="str">
        <f aca="false">IF(COUNTIF(raw_data!$A$2:$A$913,A95)&gt;1,"Conflicting Duplicate - Flagged for Review","Unique")</f>
        <v>Unique</v>
      </c>
      <c r="AL95" s="3" t="str">
        <f aca="false">IF(AB95="Refunded","Yes","No")</f>
        <v>No</v>
      </c>
      <c r="AM95" s="3" t="str">
        <f aca="false">IF(OR(AC95&lt;&gt;"Completed",AB95="Failed"),"Excluded","Included")</f>
        <v>Included</v>
      </c>
      <c r="AN95" s="3" t="str">
        <f aca="false">IF(OR(D95="Invalid/Unrecognized",E95="Invalid/Unrecognized",G95="Invalid - Ship Before Order",X95="Negative - Invalid",X95="Above Allowed Range - Invalid",AG95="Mismatch",AH95="Mismatch",AK95="Conflicting Duplicate - Flagged for Review"),"Invalid",IF(OR(L95="Filled - Unknown",S95="Filled - Unknown",X95="Missing - Defaulted to 0",AL95="Yes",AC95="Cancelled",AC95="Returned"),"Warning","Clean"))</f>
        <v>Invalid</v>
      </c>
    </row>
    <row r="96" customFormat="false" ht="15" hidden="false" customHeight="false" outlineLevel="0" collapsed="false">
      <c r="A96" s="3" t="str">
        <f aca="false">raw_data!A96</f>
        <v>ORD-2024-10095</v>
      </c>
      <c r="B96" s="4" t="n">
        <f aca="false">IFERROR(IF(MID(raw_data!B96,3,1)="/",DATE(VALUE(RIGHT(raw_data!B96,4)),VALUE(LEFT(raw_data!B96,2)),VALUE(MID(raw_data!B96,4,2))),IF(MID(raw_data!B96,3,1)="-",DATE(VALUE(RIGHT(raw_data!B96,4)),VALUE(MID(raw_data!B96,4,2)),VALUE(LEFT(raw_data!B96,2))),IF(MID(raw_data!B96,5,1)="-",DATE(VALUE(LEFT(raw_data!B96,4)),VALUE(MID(raw_data!B96,6,2)),VALUE(RIGHT(raw_data!B96,2))),DATE(VALUE(RIGHT(raw_data!B96,4)),MATCH(MID(raw_data!B96,4,3),{"Jan","Feb","Mar","Apr","May","Jun","Jul","Aug","Sep","Oct","Nov","Dec"},0),VALUE(LEFT(raw_data!B96,2)))))),"")</f>
        <v>45541</v>
      </c>
      <c r="C96" s="4" t="n">
        <f aca="false">IFERROR(IF(MID(raw_data!C96,3,1)="/",DATE(VALUE(RIGHT(raw_data!C96,4)),VALUE(LEFT(raw_data!C96,2)),VALUE(MID(raw_data!C96,4,2))),IF(MID(raw_data!C96,3,1)="-",DATE(VALUE(RIGHT(raw_data!C96,4)),VALUE(MID(raw_data!C96,4,2)),VALUE(LEFT(raw_data!C96,2))),IF(MID(raw_data!C96,5,1)="-",DATE(VALUE(LEFT(raw_data!C96,4)),VALUE(MID(raw_data!C96,6,2)),VALUE(RIGHT(raw_data!C96,2))),DATE(VALUE(RIGHT(raw_data!C96,4)),MATCH(MID(raw_data!C96,4,3),{"Jan","Feb","Mar","Apr","May","Jun","Jul","Aug","Sep","Oct","Nov","Dec"},0),VALUE(LEFT(raw_data!C96,2)))))),"")</f>
        <v>45544</v>
      </c>
      <c r="D96" s="3" t="str">
        <f aca="false">IF(TRIM(raw_data!B96)="","Missing",IF(B96="","Invalid/Unrecognized","Valid"))</f>
        <v>Valid</v>
      </c>
      <c r="E96" s="3" t="str">
        <f aca="false">IF(TRIM(raw_data!C96)="","Missing",IF(C96="","Invalid/Unrecognized","Valid"))</f>
        <v>Valid</v>
      </c>
      <c r="F96" s="5" t="n">
        <f aca="false">IF(OR(B96="",C96=""),"",C96-B96)</f>
        <v>3</v>
      </c>
      <c r="G96" s="3" t="str">
        <f aca="false">IF(F96="","N/A",IF(F96&lt;0,"Invalid - Ship Before Order","OK"))</f>
        <v>OK</v>
      </c>
      <c r="H96" s="3" t="str">
        <f aca="false">raw_data!D96</f>
        <v>CUST-1926</v>
      </c>
      <c r="I96" s="3" t="str">
        <f aca="false">PROPER(TRIM(raw_data!E96))</f>
        <v>Diya Patel</v>
      </c>
      <c r="J96" s="3" t="str">
        <f aca="false">PROPER(TRIM(raw_data!F96))</f>
        <v>Consumer</v>
      </c>
      <c r="K96" s="3" t="str">
        <f aca="false">IF(TRIM(raw_data!G96)="","Unknown",PROPER(TRIM(raw_data!G96)))</f>
        <v>North</v>
      </c>
      <c r="L96" s="3" t="str">
        <f aca="false">IF(TRIM(raw_data!G96)="","Filled - Unknown","OK")</f>
        <v>OK</v>
      </c>
      <c r="M96" s="3" t="str">
        <f aca="false">PROPER(TRIM(raw_data!H96))</f>
        <v>Haryana</v>
      </c>
      <c r="N96" s="3" t="str">
        <f aca="false">PROPER(TRIM(raw_data!I96))</f>
        <v>Gurugram</v>
      </c>
      <c r="O96" s="3" t="str">
        <f aca="false">PROPER(TRIM(raw_data!J96))</f>
        <v>Technology</v>
      </c>
      <c r="P96" s="3" t="str">
        <f aca="false">PROPER(TRIM(raw_data!K96))</f>
        <v>Phones</v>
      </c>
      <c r="Q96" s="3" t="str">
        <f aca="false">TRIM(raw_data!L96)</f>
        <v>Elite Phones 723</v>
      </c>
      <c r="R96" s="3" t="str">
        <f aca="false">IF(TRIM(raw_data!M96)="","Unknown",PROPER(TRIM(raw_data!M96)))</f>
        <v>Second Class</v>
      </c>
      <c r="S96" s="3" t="str">
        <f aca="false">IF(TRIM(raw_data!M96)="","Filled - Unknown","OK")</f>
        <v>OK</v>
      </c>
      <c r="T96" s="6" t="n">
        <f aca="false">raw_data!N96</f>
        <v>7</v>
      </c>
      <c r="U96" s="7" t="n">
        <f aca="false">raw_data!O96</f>
        <v>3781.53</v>
      </c>
      <c r="V96" s="8" t="n">
        <f aca="false">raw_data!P96</f>
        <v>0</v>
      </c>
      <c r="W96" s="8" t="n">
        <f aca="false">IF(raw_data!P96="",0,IF(ISTEXT(raw_data!P96),IF(RIGHT(raw_data!P96,1)="%",VALUE(LEFT(raw_data!P96,LEN(raw_data!P96)-1))/100,VALUE(raw_data!P96)),raw_data!P96))</f>
        <v>0</v>
      </c>
      <c r="X96" s="3" t="str">
        <f aca="false">IF(raw_data!P96="","Missing - Defaulted to 0",IF(W96&lt;0,"Negative - Invalid",IF(W96&gt;0.3,"Above Allowed Range - Invalid","Valid")))</f>
        <v>Valid</v>
      </c>
      <c r="Y96" s="7" t="n">
        <f aca="false">raw_data!Q96</f>
        <v>26470.71</v>
      </c>
      <c r="Z96" s="7" t="n">
        <f aca="false">raw_data!R96</f>
        <v>21367.6</v>
      </c>
      <c r="AA96" s="7" t="n">
        <f aca="false">raw_data!S96</f>
        <v>5103.11</v>
      </c>
      <c r="AB96" s="3" t="str">
        <f aca="false">PROPER(TRIM(raw_data!T96))</f>
        <v>Pending</v>
      </c>
      <c r="AC96" s="3" t="str">
        <f aca="false">PROPER(TRIM(raw_data!U96))</f>
        <v>Cancelled</v>
      </c>
      <c r="AD96" s="7" t="n">
        <f aca="false">T96*U96*(1-W96)</f>
        <v>26470.71</v>
      </c>
      <c r="AE96" s="7" t="n">
        <f aca="false">AD96-Z96</f>
        <v>5103.11</v>
      </c>
      <c r="AF96" s="8" t="n">
        <f aca="false">IF(AD96=0,0,AE96/AD96)</f>
        <v>0.192783268752519</v>
      </c>
      <c r="AG96" s="3" t="str">
        <f aca="false">IF(ABS(Y96-AD96)&gt;1,"Mismatch","OK")</f>
        <v>OK</v>
      </c>
      <c r="AH96" s="3" t="str">
        <f aca="false">IF(ABS(AA96-AE96)&gt;1,"Mismatch","OK")</f>
        <v>OK</v>
      </c>
      <c r="AI96" s="6" t="n">
        <f aca="false">IF(B96="","",MONTH(B96))</f>
        <v>9</v>
      </c>
      <c r="AJ96" s="6" t="n">
        <f aca="false">IF(B96="","",YEAR(B96))</f>
        <v>2024</v>
      </c>
      <c r="AK96" s="3" t="str">
        <f aca="false">IF(COUNTIF(raw_data!$A$2:$A$913,A96)&gt;1,"Conflicting Duplicate - Flagged for Review","Unique")</f>
        <v>Unique</v>
      </c>
      <c r="AL96" s="3" t="str">
        <f aca="false">IF(AB96="Refunded","Yes","No")</f>
        <v>No</v>
      </c>
      <c r="AM96" s="3" t="str">
        <f aca="false">IF(OR(AC96&lt;&gt;"Completed",AB96="Failed"),"Excluded","Included")</f>
        <v>Excluded</v>
      </c>
      <c r="AN96" s="3" t="str">
        <f aca="false">IF(OR(D96="Invalid/Unrecognized",E96="Invalid/Unrecognized",G96="Invalid - Ship Before Order",X96="Negative - Invalid",X96="Above Allowed Range - Invalid",AG96="Mismatch",AH96="Mismatch",AK96="Conflicting Duplicate - Flagged for Review"),"Invalid",IF(OR(L96="Filled - Unknown",S96="Filled - Unknown",X96="Missing - Defaulted to 0",AL96="Yes",AC96="Cancelled",AC96="Returned"),"Warning","Clean"))</f>
        <v>Warning</v>
      </c>
    </row>
    <row r="97" customFormat="false" ht="15" hidden="false" customHeight="false" outlineLevel="0" collapsed="false">
      <c r="A97" s="3" t="str">
        <f aca="false">raw_data!A97</f>
        <v>ORD-2025-10096</v>
      </c>
      <c r="B97" s="4" t="n">
        <f aca="false">IFERROR(IF(MID(raw_data!B97,3,1)="/",DATE(VALUE(RIGHT(raw_data!B97,4)),VALUE(LEFT(raw_data!B97,2)),VALUE(MID(raw_data!B97,4,2))),IF(MID(raw_data!B97,3,1)="-",DATE(VALUE(RIGHT(raw_data!B97,4)),VALUE(MID(raw_data!B97,4,2)),VALUE(LEFT(raw_data!B97,2))),IF(MID(raw_data!B97,5,1)="-",DATE(VALUE(LEFT(raw_data!B97,4)),VALUE(MID(raw_data!B97,6,2)),VALUE(RIGHT(raw_data!B97,2))),DATE(VALUE(RIGHT(raw_data!B97,4)),MATCH(MID(raw_data!B97,4,3),{"Jan","Feb","Mar","Apr","May","Jun","Jul","Aug","Sep","Oct","Nov","Dec"},0),VALUE(LEFT(raw_data!B97,2)))))),"")</f>
        <v>45905</v>
      </c>
      <c r="C97" s="4" t="n">
        <f aca="false">IFERROR(IF(MID(raw_data!C97,3,1)="/",DATE(VALUE(RIGHT(raw_data!C97,4)),VALUE(LEFT(raw_data!C97,2)),VALUE(MID(raw_data!C97,4,2))),IF(MID(raw_data!C97,3,1)="-",DATE(VALUE(RIGHT(raw_data!C97,4)),VALUE(MID(raw_data!C97,4,2)),VALUE(LEFT(raw_data!C97,2))),IF(MID(raw_data!C97,5,1)="-",DATE(VALUE(LEFT(raw_data!C97,4)),VALUE(MID(raw_data!C97,6,2)),VALUE(RIGHT(raw_data!C97,2))),DATE(VALUE(RIGHT(raw_data!C97,4)),MATCH(MID(raw_data!C97,4,3),{"Jan","Feb","Mar","Apr","May","Jun","Jul","Aug","Sep","Oct","Nov","Dec"},0),VALUE(LEFT(raw_data!C97,2)))))),"")</f>
        <v>45910</v>
      </c>
      <c r="D97" s="3" t="str">
        <f aca="false">IF(TRIM(raw_data!B97)="","Missing",IF(B97="","Invalid/Unrecognized","Valid"))</f>
        <v>Valid</v>
      </c>
      <c r="E97" s="3" t="str">
        <f aca="false">IF(TRIM(raw_data!C97)="","Missing",IF(C97="","Invalid/Unrecognized","Valid"))</f>
        <v>Valid</v>
      </c>
      <c r="F97" s="5" t="n">
        <f aca="false">IF(OR(B97="",C97=""),"",C97-B97)</f>
        <v>5</v>
      </c>
      <c r="G97" s="3" t="str">
        <f aca="false">IF(F97="","N/A",IF(F97&lt;0,"Invalid - Ship Before Order","OK"))</f>
        <v>OK</v>
      </c>
      <c r="H97" s="3" t="str">
        <f aca="false">raw_data!D97</f>
        <v>CUST-2687</v>
      </c>
      <c r="I97" s="3" t="str">
        <f aca="false">PROPER(TRIM(raw_data!E97))</f>
        <v>Sneha Kapoor</v>
      </c>
      <c r="J97" s="3" t="str">
        <f aca="false">PROPER(TRIM(raw_data!F97))</f>
        <v>Corporate</v>
      </c>
      <c r="K97" s="3" t="str">
        <f aca="false">IF(TRIM(raw_data!G97)="","Unknown",PROPER(TRIM(raw_data!G97)))</f>
        <v>West</v>
      </c>
      <c r="L97" s="3" t="str">
        <f aca="false">IF(TRIM(raw_data!G97)="","Filled - Unknown","OK")</f>
        <v>OK</v>
      </c>
      <c r="M97" s="3" t="str">
        <f aca="false">PROPER(TRIM(raw_data!H97))</f>
        <v>Goa</v>
      </c>
      <c r="N97" s="3" t="str">
        <f aca="false">PROPER(TRIM(raw_data!I97))</f>
        <v>Panaji</v>
      </c>
      <c r="O97" s="3" t="str">
        <f aca="false">PROPER(TRIM(raw_data!J97))</f>
        <v>Furniture</v>
      </c>
      <c r="P97" s="3" t="str">
        <f aca="false">PROPER(TRIM(raw_data!K97))</f>
        <v>Bookcases</v>
      </c>
      <c r="Q97" s="3" t="str">
        <f aca="false">TRIM(raw_data!L97)</f>
        <v>Classic Bookcases 988</v>
      </c>
      <c r="R97" s="3" t="str">
        <f aca="false">IF(TRIM(raw_data!M97)="","Unknown",PROPER(TRIM(raw_data!M97)))</f>
        <v>Same Day</v>
      </c>
      <c r="S97" s="3" t="str">
        <f aca="false">IF(TRIM(raw_data!M97)="","Filled - Unknown","OK")</f>
        <v>OK</v>
      </c>
      <c r="T97" s="6" t="n">
        <f aca="false">raw_data!N97</f>
        <v>6</v>
      </c>
      <c r="U97" s="7" t="n">
        <f aca="false">raw_data!O97</f>
        <v>1754.13</v>
      </c>
      <c r="V97" s="8" t="n">
        <f aca="false">raw_data!P97</f>
        <v>0</v>
      </c>
      <c r="W97" s="8" t="n">
        <f aca="false">IF(raw_data!P97="",0,IF(ISTEXT(raw_data!P97),IF(RIGHT(raw_data!P97,1)="%",VALUE(LEFT(raw_data!P97,LEN(raw_data!P97)-1))/100,VALUE(raw_data!P97)),raw_data!P97))</f>
        <v>0</v>
      </c>
      <c r="X97" s="3" t="str">
        <f aca="false">IF(raw_data!P97="","Missing - Defaulted to 0",IF(W97&lt;0,"Negative - Invalid",IF(W97&gt;0.3,"Above Allowed Range - Invalid","Valid")))</f>
        <v>Valid</v>
      </c>
      <c r="Y97" s="7" t="n">
        <f aca="false">raw_data!Q97</f>
        <v>10524.78</v>
      </c>
      <c r="Z97" s="7" t="n">
        <f aca="false">raw_data!R97</f>
        <v>8841.05</v>
      </c>
      <c r="AA97" s="7" t="n">
        <f aca="false">raw_data!S97</f>
        <v>1683.73</v>
      </c>
      <c r="AB97" s="3" t="str">
        <f aca="false">PROPER(TRIM(raw_data!T97))</f>
        <v>Paid</v>
      </c>
      <c r="AC97" s="3" t="str">
        <f aca="false">PROPER(TRIM(raw_data!U97))</f>
        <v>Completed</v>
      </c>
      <c r="AD97" s="7" t="n">
        <f aca="false">T97*U97*(1-W97)</f>
        <v>10524.78</v>
      </c>
      <c r="AE97" s="7" t="n">
        <f aca="false">AD97-Z97</f>
        <v>1683.73</v>
      </c>
      <c r="AF97" s="8" t="n">
        <f aca="false">IF(AD97=0,0,AE97/AD97)</f>
        <v>0.15997769074508</v>
      </c>
      <c r="AG97" s="3" t="str">
        <f aca="false">IF(ABS(Y97-AD97)&gt;1,"Mismatch","OK")</f>
        <v>OK</v>
      </c>
      <c r="AH97" s="3" t="str">
        <f aca="false">IF(ABS(AA97-AE97)&gt;1,"Mismatch","OK")</f>
        <v>OK</v>
      </c>
      <c r="AI97" s="6" t="n">
        <f aca="false">IF(B97="","",MONTH(B97))</f>
        <v>9</v>
      </c>
      <c r="AJ97" s="6" t="n">
        <f aca="false">IF(B97="","",YEAR(B97))</f>
        <v>2025</v>
      </c>
      <c r="AK97" s="3" t="str">
        <f aca="false">IF(COUNTIF(raw_data!$A$2:$A$913,A97)&gt;1,"Conflicting Duplicate - Flagged for Review","Unique")</f>
        <v>Unique</v>
      </c>
      <c r="AL97" s="3" t="str">
        <f aca="false">IF(AB97="Refunded","Yes","No")</f>
        <v>No</v>
      </c>
      <c r="AM97" s="3" t="str">
        <f aca="false">IF(OR(AC97&lt;&gt;"Completed",AB97="Failed"),"Excluded","Included")</f>
        <v>Included</v>
      </c>
      <c r="AN97" s="3" t="str">
        <f aca="false">IF(OR(D97="Invalid/Unrecognized",E97="Invalid/Unrecognized",G97="Invalid - Ship Before Order",X97="Negative - Invalid",X97="Above Allowed Range - Invalid",AG97="Mismatch",AH97="Mismatch",AK97="Conflicting Duplicate - Flagged for Review"),"Invalid",IF(OR(L97="Filled - Unknown",S97="Filled - Unknown",X97="Missing - Defaulted to 0",AL97="Yes",AC97="Cancelled",AC97="Returned"),"Warning","Clean"))</f>
        <v>Clean</v>
      </c>
    </row>
    <row r="98" customFormat="false" ht="15" hidden="false" customHeight="false" outlineLevel="0" collapsed="false">
      <c r="A98" s="3" t="str">
        <f aca="false">raw_data!A98</f>
        <v>ORD-2024-10097</v>
      </c>
      <c r="B98" s="4" t="n">
        <f aca="false">IFERROR(IF(MID(raw_data!B98,3,1)="/",DATE(VALUE(RIGHT(raw_data!B98,4)),VALUE(LEFT(raw_data!B98,2)),VALUE(MID(raw_data!B98,4,2))),IF(MID(raw_data!B98,3,1)="-",DATE(VALUE(RIGHT(raw_data!B98,4)),VALUE(MID(raw_data!B98,4,2)),VALUE(LEFT(raw_data!B98,2))),IF(MID(raw_data!B98,5,1)="-",DATE(VALUE(LEFT(raw_data!B98,4)),VALUE(MID(raw_data!B98,6,2)),VALUE(RIGHT(raw_data!B98,2))),DATE(VALUE(RIGHT(raw_data!B98,4)),MATCH(MID(raw_data!B98,4,3),{"Jan","Feb","Mar","Apr","May","Jun","Jul","Aug","Sep","Oct","Nov","Dec"},0),VALUE(LEFT(raw_data!B98,2)))))),"")</f>
        <v>45448</v>
      </c>
      <c r="C98" s="4" t="n">
        <f aca="false">IFERROR(IF(MID(raw_data!C98,3,1)="/",DATE(VALUE(RIGHT(raw_data!C98,4)),VALUE(LEFT(raw_data!C98,2)),VALUE(MID(raw_data!C98,4,2))),IF(MID(raw_data!C98,3,1)="-",DATE(VALUE(RIGHT(raw_data!C98,4)),VALUE(MID(raw_data!C98,4,2)),VALUE(LEFT(raw_data!C98,2))),IF(MID(raw_data!C98,5,1)="-",DATE(VALUE(LEFT(raw_data!C98,4)),VALUE(MID(raw_data!C98,6,2)),VALUE(RIGHT(raw_data!C98,2))),DATE(VALUE(RIGHT(raw_data!C98,4)),MATCH(MID(raw_data!C98,4,3),{"Jan","Feb","Mar","Apr","May","Jun","Jul","Aug","Sep","Oct","Nov","Dec"},0),VALUE(LEFT(raw_data!C98,2)))))),"")</f>
        <v>45450</v>
      </c>
      <c r="D98" s="3" t="str">
        <f aca="false">IF(TRIM(raw_data!B98)="","Missing",IF(B98="","Invalid/Unrecognized","Valid"))</f>
        <v>Valid</v>
      </c>
      <c r="E98" s="3" t="str">
        <f aca="false">IF(TRIM(raw_data!C98)="","Missing",IF(C98="","Invalid/Unrecognized","Valid"))</f>
        <v>Valid</v>
      </c>
      <c r="F98" s="5" t="n">
        <f aca="false">IF(OR(B98="",C98=""),"",C98-B98)</f>
        <v>2</v>
      </c>
      <c r="G98" s="3" t="str">
        <f aca="false">IF(F98="","N/A",IF(F98&lt;0,"Invalid - Ship Before Order","OK"))</f>
        <v>OK</v>
      </c>
      <c r="H98" s="3" t="str">
        <f aca="false">raw_data!D98</f>
        <v>CUST-7283</v>
      </c>
      <c r="I98" s="3" t="str">
        <f aca="false">PROPER(TRIM(raw_data!E98))</f>
        <v>Rahul Verma</v>
      </c>
      <c r="J98" s="3" t="str">
        <f aca="false">PROPER(TRIM(raw_data!F98))</f>
        <v>Home Office</v>
      </c>
      <c r="K98" s="3" t="str">
        <f aca="false">IF(TRIM(raw_data!G98)="","Unknown",PROPER(TRIM(raw_data!G98)))</f>
        <v>East</v>
      </c>
      <c r="L98" s="3" t="str">
        <f aca="false">IF(TRIM(raw_data!G98)="","Filled - Unknown","OK")</f>
        <v>OK</v>
      </c>
      <c r="M98" s="3" t="str">
        <f aca="false">PROPER(TRIM(raw_data!H98))</f>
        <v>Odisha</v>
      </c>
      <c r="N98" s="3" t="str">
        <f aca="false">PROPER(TRIM(raw_data!I98))</f>
        <v>Bhubaneswar</v>
      </c>
      <c r="O98" s="3" t="str">
        <f aca="false">PROPER(TRIM(raw_data!J98))</f>
        <v>Technology</v>
      </c>
      <c r="P98" s="3" t="str">
        <f aca="false">PROPER(TRIM(raw_data!K98))</f>
        <v>Copiers</v>
      </c>
      <c r="Q98" s="3" t="str">
        <f aca="false">TRIM(raw_data!L98)</f>
        <v>Smart Copiers 547</v>
      </c>
      <c r="R98" s="3" t="str">
        <f aca="false">IF(TRIM(raw_data!M98)="","Unknown",PROPER(TRIM(raw_data!M98)))</f>
        <v>Second Class</v>
      </c>
      <c r="S98" s="3" t="str">
        <f aca="false">IF(TRIM(raw_data!M98)="","Filled - Unknown","OK")</f>
        <v>OK</v>
      </c>
      <c r="T98" s="6" t="n">
        <f aca="false">raw_data!N98</f>
        <v>2</v>
      </c>
      <c r="U98" s="7" t="n">
        <f aca="false">raw_data!O98</f>
        <v>2259.24</v>
      </c>
      <c r="V98" s="8" t="n">
        <f aca="false">raw_data!P98</f>
        <v>0.15</v>
      </c>
      <c r="W98" s="8" t="n">
        <f aca="false">IF(raw_data!P98="",0,IF(ISTEXT(raw_data!P98),IF(RIGHT(raw_data!P98,1)="%",VALUE(LEFT(raw_data!P98,LEN(raw_data!P98)-1))/100,VALUE(raw_data!P98)),raw_data!P98))</f>
        <v>0.15</v>
      </c>
      <c r="X98" s="3" t="str">
        <f aca="false">IF(raw_data!P98="","Missing - Defaulted to 0",IF(W98&lt;0,"Negative - Invalid",IF(W98&gt;0.3,"Above Allowed Range - Invalid","Valid")))</f>
        <v>Valid</v>
      </c>
      <c r="Y98" s="7" t="n">
        <f aca="false">raw_data!Q98</f>
        <v>3840.71</v>
      </c>
      <c r="Z98" s="7" t="n">
        <f aca="false">raw_data!R98</f>
        <v>2516.29</v>
      </c>
      <c r="AA98" s="7" t="n">
        <f aca="false">raw_data!S98</f>
        <v>1324.42</v>
      </c>
      <c r="AB98" s="3" t="str">
        <f aca="false">PROPER(TRIM(raw_data!T98))</f>
        <v>Paid</v>
      </c>
      <c r="AC98" s="3" t="str">
        <f aca="false">PROPER(TRIM(raw_data!U98))</f>
        <v>Completed</v>
      </c>
      <c r="AD98" s="7" t="n">
        <f aca="false">T98*U98*(1-W98)</f>
        <v>3840.708</v>
      </c>
      <c r="AE98" s="7" t="n">
        <f aca="false">AD98-Z98</f>
        <v>1324.418</v>
      </c>
      <c r="AF98" s="8" t="n">
        <f aca="false">IF(AD98=0,0,AE98/AD98)</f>
        <v>0.34483694152224</v>
      </c>
      <c r="AG98" s="3" t="str">
        <f aca="false">IF(ABS(Y98-AD98)&gt;1,"Mismatch","OK")</f>
        <v>OK</v>
      </c>
      <c r="AH98" s="3" t="str">
        <f aca="false">IF(ABS(AA98-AE98)&gt;1,"Mismatch","OK")</f>
        <v>OK</v>
      </c>
      <c r="AI98" s="6" t="n">
        <f aca="false">IF(B98="","",MONTH(B98))</f>
        <v>6</v>
      </c>
      <c r="AJ98" s="6" t="n">
        <f aca="false">IF(B98="","",YEAR(B98))</f>
        <v>2024</v>
      </c>
      <c r="AK98" s="3" t="str">
        <f aca="false">IF(COUNTIF(raw_data!$A$2:$A$913,A98)&gt;1,"Conflicting Duplicate - Flagged for Review","Unique")</f>
        <v>Unique</v>
      </c>
      <c r="AL98" s="3" t="str">
        <f aca="false">IF(AB98="Refunded","Yes","No")</f>
        <v>No</v>
      </c>
      <c r="AM98" s="3" t="str">
        <f aca="false">IF(OR(AC98&lt;&gt;"Completed",AB98="Failed"),"Excluded","Included")</f>
        <v>Included</v>
      </c>
      <c r="AN98" s="3" t="str">
        <f aca="false">IF(OR(D98="Invalid/Unrecognized",E98="Invalid/Unrecognized",G98="Invalid - Ship Before Order",X98="Negative - Invalid",X98="Above Allowed Range - Invalid",AG98="Mismatch",AH98="Mismatch",AK98="Conflicting Duplicate - Flagged for Review"),"Invalid",IF(OR(L98="Filled - Unknown",S98="Filled - Unknown",X98="Missing - Defaulted to 0",AL98="Yes",AC98="Cancelled",AC98="Returned"),"Warning","Clean"))</f>
        <v>Clean</v>
      </c>
    </row>
    <row r="99" customFormat="false" ht="15" hidden="false" customHeight="false" outlineLevel="0" collapsed="false">
      <c r="A99" s="3" t="str">
        <f aca="false">raw_data!A99</f>
        <v>ORD-2025-10098</v>
      </c>
      <c r="B99" s="4" t="n">
        <f aca="false">IFERROR(IF(MID(raw_data!B99,3,1)="/",DATE(VALUE(RIGHT(raw_data!B99,4)),VALUE(LEFT(raw_data!B99,2)),VALUE(MID(raw_data!B99,4,2))),IF(MID(raw_data!B99,3,1)="-",DATE(VALUE(RIGHT(raw_data!B99,4)),VALUE(MID(raw_data!B99,4,2)),VALUE(LEFT(raw_data!B99,2))),IF(MID(raw_data!B99,5,1)="-",DATE(VALUE(LEFT(raw_data!B99,4)),VALUE(MID(raw_data!B99,6,2)),VALUE(RIGHT(raw_data!B99,2))),DATE(VALUE(RIGHT(raw_data!B99,4)),MATCH(MID(raw_data!B99,4,3),{"Jan","Feb","Mar","Apr","May","Jun","Jul","Aug","Sep","Oct","Nov","Dec"},0),VALUE(LEFT(raw_data!B99,2)))))),"")</f>
        <v>45877</v>
      </c>
      <c r="C99" s="4" t="n">
        <f aca="false">IFERROR(IF(MID(raw_data!C99,3,1)="/",DATE(VALUE(RIGHT(raw_data!C99,4)),VALUE(LEFT(raw_data!C99,2)),VALUE(MID(raw_data!C99,4,2))),IF(MID(raw_data!C99,3,1)="-",DATE(VALUE(RIGHT(raw_data!C99,4)),VALUE(MID(raw_data!C99,4,2)),VALUE(LEFT(raw_data!C99,2))),IF(MID(raw_data!C99,5,1)="-",DATE(VALUE(LEFT(raw_data!C99,4)),VALUE(MID(raw_data!C99,6,2)),VALUE(RIGHT(raw_data!C99,2))),DATE(VALUE(RIGHT(raw_data!C99,4)),MATCH(MID(raw_data!C99,4,3),{"Jan","Feb","Mar","Apr","May","Jun","Jul","Aug","Sep","Oct","Nov","Dec"},0),VALUE(LEFT(raw_data!C99,2)))))),"")</f>
        <v>45880</v>
      </c>
      <c r="D99" s="3" t="str">
        <f aca="false">IF(TRIM(raw_data!B99)="","Missing",IF(B99="","Invalid/Unrecognized","Valid"))</f>
        <v>Valid</v>
      </c>
      <c r="E99" s="3" t="str">
        <f aca="false">IF(TRIM(raw_data!C99)="","Missing",IF(C99="","Invalid/Unrecognized","Valid"))</f>
        <v>Valid</v>
      </c>
      <c r="F99" s="5" t="n">
        <f aca="false">IF(OR(B99="",C99=""),"",C99-B99)</f>
        <v>3</v>
      </c>
      <c r="G99" s="3" t="str">
        <f aca="false">IF(F99="","N/A",IF(F99&lt;0,"Invalid - Ship Before Order","OK"))</f>
        <v>OK</v>
      </c>
      <c r="H99" s="3" t="str">
        <f aca="false">raw_data!D99</f>
        <v>CUST-8111</v>
      </c>
      <c r="I99" s="3" t="str">
        <f aca="false">PROPER(TRIM(raw_data!E99))</f>
        <v>Diya Patel</v>
      </c>
      <c r="J99" s="3" t="str">
        <f aca="false">PROPER(TRIM(raw_data!F99))</f>
        <v>Small Business</v>
      </c>
      <c r="K99" s="3" t="str">
        <f aca="false">IF(TRIM(raw_data!G99)="","Unknown",PROPER(TRIM(raw_data!G99)))</f>
        <v>West</v>
      </c>
      <c r="L99" s="3" t="str">
        <f aca="false">IF(TRIM(raw_data!G99)="","Filled - Unknown","OK")</f>
        <v>OK</v>
      </c>
      <c r="M99" s="3" t="str">
        <f aca="false">PROPER(TRIM(raw_data!H99))</f>
        <v>Gujarat</v>
      </c>
      <c r="N99" s="3" t="str">
        <f aca="false">PROPER(TRIM(raw_data!I99))</f>
        <v>Ahmedabad</v>
      </c>
      <c r="O99" s="3" t="str">
        <f aca="false">PROPER(TRIM(raw_data!J99))</f>
        <v>Office Supplies</v>
      </c>
      <c r="P99" s="3" t="str">
        <f aca="false">PROPER(TRIM(raw_data!K99))</f>
        <v>Storage</v>
      </c>
      <c r="Q99" s="3" t="str">
        <f aca="false">TRIM(raw_data!L99)</f>
        <v>Basic Storage 656</v>
      </c>
      <c r="R99" s="3" t="str">
        <f aca="false">IF(TRIM(raw_data!M99)="","Unknown",PROPER(TRIM(raw_data!M99)))</f>
        <v>Same Day</v>
      </c>
      <c r="S99" s="3" t="str">
        <f aca="false">IF(TRIM(raw_data!M99)="","Filled - Unknown","OK")</f>
        <v>OK</v>
      </c>
      <c r="T99" s="6" t="n">
        <f aca="false">raw_data!N99</f>
        <v>5</v>
      </c>
      <c r="U99" s="7" t="n">
        <f aca="false">raw_data!O99</f>
        <v>3602.36</v>
      </c>
      <c r="V99" s="8" t="n">
        <f aca="false">raw_data!P99</f>
        <v>0.2</v>
      </c>
      <c r="W99" s="8" t="n">
        <f aca="false">IF(raw_data!P99="",0,IF(ISTEXT(raw_data!P99),IF(RIGHT(raw_data!P99,1)="%",VALUE(LEFT(raw_data!P99,LEN(raw_data!P99)-1))/100,VALUE(raw_data!P99)),raw_data!P99))</f>
        <v>0.2</v>
      </c>
      <c r="X99" s="3" t="str">
        <f aca="false">IF(raw_data!P99="","Missing - Defaulted to 0",IF(W99&lt;0,"Negative - Invalid",IF(W99&gt;0.3,"Above Allowed Range - Invalid","Valid")))</f>
        <v>Valid</v>
      </c>
      <c r="Y99" s="7" t="n">
        <f aca="false">raw_data!Q99</f>
        <v>14409.44</v>
      </c>
      <c r="Z99" s="7" t="n">
        <f aca="false">raw_data!R99</f>
        <v>8809.97</v>
      </c>
      <c r="AA99" s="7" t="n">
        <f aca="false">raw_data!S99</f>
        <v>5599.47</v>
      </c>
      <c r="AB99" s="3" t="str">
        <f aca="false">PROPER(TRIM(raw_data!T99))</f>
        <v>Pending</v>
      </c>
      <c r="AC99" s="3" t="str">
        <f aca="false">PROPER(TRIM(raw_data!U99))</f>
        <v>Returned</v>
      </c>
      <c r="AD99" s="7" t="n">
        <f aca="false">T99*U99*(1-W99)</f>
        <v>14409.44</v>
      </c>
      <c r="AE99" s="7" t="n">
        <f aca="false">AD99-Z99</f>
        <v>5599.47</v>
      </c>
      <c r="AF99" s="8" t="n">
        <f aca="false">IF(AD99=0,0,AE99/AD99)</f>
        <v>0.38859733619072</v>
      </c>
      <c r="AG99" s="3" t="str">
        <f aca="false">IF(ABS(Y99-AD99)&gt;1,"Mismatch","OK")</f>
        <v>OK</v>
      </c>
      <c r="AH99" s="3" t="str">
        <f aca="false">IF(ABS(AA99-AE99)&gt;1,"Mismatch","OK")</f>
        <v>OK</v>
      </c>
      <c r="AI99" s="6" t="n">
        <f aca="false">IF(B99="","",MONTH(B99))</f>
        <v>8</v>
      </c>
      <c r="AJ99" s="6" t="n">
        <f aca="false">IF(B99="","",YEAR(B99))</f>
        <v>2025</v>
      </c>
      <c r="AK99" s="3" t="str">
        <f aca="false">IF(COUNTIF(raw_data!$A$2:$A$913,A99)&gt;1,"Conflicting Duplicate - Flagged for Review","Unique")</f>
        <v>Unique</v>
      </c>
      <c r="AL99" s="3" t="str">
        <f aca="false">IF(AB99="Refunded","Yes","No")</f>
        <v>No</v>
      </c>
      <c r="AM99" s="3" t="str">
        <f aca="false">IF(OR(AC99&lt;&gt;"Completed",AB99="Failed"),"Excluded","Included")</f>
        <v>Excluded</v>
      </c>
      <c r="AN99" s="3" t="str">
        <f aca="false">IF(OR(D99="Invalid/Unrecognized",E99="Invalid/Unrecognized",G99="Invalid - Ship Before Order",X99="Negative - Invalid",X99="Above Allowed Range - Invalid",AG99="Mismatch",AH99="Mismatch",AK99="Conflicting Duplicate - Flagged for Review"),"Invalid",IF(OR(L99="Filled - Unknown",S99="Filled - Unknown",X99="Missing - Defaulted to 0",AL99="Yes",AC99="Cancelled",AC99="Returned"),"Warning","Clean"))</f>
        <v>Warning</v>
      </c>
    </row>
    <row r="100" customFormat="false" ht="15" hidden="false" customHeight="false" outlineLevel="0" collapsed="false">
      <c r="A100" s="3" t="str">
        <f aca="false">raw_data!A100</f>
        <v>ORD-2024-10099</v>
      </c>
      <c r="B100" s="4" t="n">
        <f aca="false">IFERROR(IF(MID(raw_data!B100,3,1)="/",DATE(VALUE(RIGHT(raw_data!B100,4)),VALUE(LEFT(raw_data!B100,2)),VALUE(MID(raw_data!B100,4,2))),IF(MID(raw_data!B100,3,1)="-",DATE(VALUE(RIGHT(raw_data!B100,4)),VALUE(MID(raw_data!B100,4,2)),VALUE(LEFT(raw_data!B100,2))),IF(MID(raw_data!B100,5,1)="-",DATE(VALUE(LEFT(raw_data!B100,4)),VALUE(MID(raw_data!B100,6,2)),VALUE(RIGHT(raw_data!B100,2))),DATE(VALUE(RIGHT(raw_data!B100,4)),MATCH(MID(raw_data!B100,4,3),{"Jan","Feb","Mar","Apr","May","Jun","Jul","Aug","Sep","Oct","Nov","Dec"},0),VALUE(LEFT(raw_data!B100,2)))))),"")</f>
        <v>45317</v>
      </c>
      <c r="C100" s="4" t="n">
        <f aca="false">IFERROR(IF(MID(raw_data!C100,3,1)="/",DATE(VALUE(RIGHT(raw_data!C100,4)),VALUE(LEFT(raw_data!C100,2)),VALUE(MID(raw_data!C100,4,2))),IF(MID(raw_data!C100,3,1)="-",DATE(VALUE(RIGHT(raw_data!C100,4)),VALUE(MID(raw_data!C100,4,2)),VALUE(LEFT(raw_data!C100,2))),IF(MID(raw_data!C100,5,1)="-",DATE(VALUE(LEFT(raw_data!C100,4)),VALUE(MID(raw_data!C100,6,2)),VALUE(RIGHT(raw_data!C100,2))),DATE(VALUE(RIGHT(raw_data!C100,4)),MATCH(MID(raw_data!C100,4,3),{"Jan","Feb","Mar","Apr","May","Jun","Jul","Aug","Sep","Oct","Nov","Dec"},0),VALUE(LEFT(raw_data!C100,2)))))),"")</f>
        <v>45323</v>
      </c>
      <c r="D100" s="3" t="str">
        <f aca="false">IF(TRIM(raw_data!B100)="","Missing",IF(B100="","Invalid/Unrecognized","Valid"))</f>
        <v>Valid</v>
      </c>
      <c r="E100" s="3" t="str">
        <f aca="false">IF(TRIM(raw_data!C100)="","Missing",IF(C100="","Invalid/Unrecognized","Valid"))</f>
        <v>Valid</v>
      </c>
      <c r="F100" s="5" t="n">
        <f aca="false">IF(OR(B100="",C100=""),"",C100-B100)</f>
        <v>6</v>
      </c>
      <c r="G100" s="3" t="str">
        <f aca="false">IF(F100="","N/A",IF(F100&lt;0,"Invalid - Ship Before Order","OK"))</f>
        <v>OK</v>
      </c>
      <c r="H100" s="3" t="str">
        <f aca="false">raw_data!D100</f>
        <v>CUST-5434</v>
      </c>
      <c r="I100" s="3" t="str">
        <f aca="false">PROPER(TRIM(raw_data!E100))</f>
        <v>Rohan Mehta</v>
      </c>
      <c r="J100" s="3" t="str">
        <f aca="false">PROPER(TRIM(raw_data!F100))</f>
        <v>Home Office</v>
      </c>
      <c r="K100" s="3" t="str">
        <f aca="false">IF(TRIM(raw_data!G100)="","Unknown",PROPER(TRIM(raw_data!G100)))</f>
        <v>South</v>
      </c>
      <c r="L100" s="3" t="str">
        <f aca="false">IF(TRIM(raw_data!G100)="","Filled - Unknown","OK")</f>
        <v>OK</v>
      </c>
      <c r="M100" s="3" t="str">
        <f aca="false">PROPER(TRIM(raw_data!H100))</f>
        <v>Kerala</v>
      </c>
      <c r="N100" s="3" t="str">
        <f aca="false">PROPER(TRIM(raw_data!I100))</f>
        <v>Kochi</v>
      </c>
      <c r="O100" s="3" t="str">
        <f aca="false">PROPER(TRIM(raw_data!J100))</f>
        <v>Technology</v>
      </c>
      <c r="P100" s="3" t="str">
        <f aca="false">PROPER(TRIM(raw_data!K100))</f>
        <v>Copiers</v>
      </c>
      <c r="Q100" s="3" t="str">
        <f aca="false">TRIM(raw_data!L100)</f>
        <v>Elite Copiers 785</v>
      </c>
      <c r="R100" s="3" t="str">
        <f aca="false">IF(TRIM(raw_data!M100)="","Unknown",PROPER(TRIM(raw_data!M100)))</f>
        <v>Unknown</v>
      </c>
      <c r="S100" s="3" t="str">
        <f aca="false">IF(TRIM(raw_data!M100)="","Filled - Unknown","OK")</f>
        <v>Filled - Unknown</v>
      </c>
      <c r="T100" s="6" t="n">
        <f aca="false">raw_data!N100</f>
        <v>8</v>
      </c>
      <c r="U100" s="7" t="n">
        <f aca="false">raw_data!O100</f>
        <v>2108.93</v>
      </c>
      <c r="V100" s="8" t="n">
        <f aca="false">raw_data!P100</f>
        <v>0.1</v>
      </c>
      <c r="W100" s="8" t="n">
        <f aca="false">IF(raw_data!P100="",0,IF(ISTEXT(raw_data!P100),IF(RIGHT(raw_data!P100,1)="%",VALUE(LEFT(raw_data!P100,LEN(raw_data!P100)-1))/100,VALUE(raw_data!P100)),raw_data!P100))</f>
        <v>0.1</v>
      </c>
      <c r="X100" s="3" t="str">
        <f aca="false">IF(raw_data!P100="","Missing - Defaulted to 0",IF(W100&lt;0,"Negative - Invalid",IF(W100&gt;0.3,"Above Allowed Range - Invalid","Valid")))</f>
        <v>Valid</v>
      </c>
      <c r="Y100" s="7" t="n">
        <f aca="false">raw_data!Q100</f>
        <v>15184.3</v>
      </c>
      <c r="Z100" s="7" t="n">
        <f aca="false">raw_data!R100</f>
        <v>11270.74</v>
      </c>
      <c r="AA100" s="7" t="n">
        <f aca="false">raw_data!S100</f>
        <v>3913.56</v>
      </c>
      <c r="AB100" s="3" t="str">
        <f aca="false">PROPER(TRIM(raw_data!T100))</f>
        <v>Paid</v>
      </c>
      <c r="AC100" s="3" t="str">
        <f aca="false">PROPER(TRIM(raw_data!U100))</f>
        <v>Completed</v>
      </c>
      <c r="AD100" s="7" t="n">
        <f aca="false">T100*U100*(1-W100)</f>
        <v>15184.296</v>
      </c>
      <c r="AE100" s="7" t="n">
        <f aca="false">AD100-Z100</f>
        <v>3913.556</v>
      </c>
      <c r="AF100" s="8" t="n">
        <f aca="false">IF(AD100=0,0,AE100/AD100)</f>
        <v>0.257737072564971</v>
      </c>
      <c r="AG100" s="3" t="str">
        <f aca="false">IF(ABS(Y100-AD100)&gt;1,"Mismatch","OK")</f>
        <v>OK</v>
      </c>
      <c r="AH100" s="3" t="str">
        <f aca="false">IF(ABS(AA100-AE100)&gt;1,"Mismatch","OK")</f>
        <v>OK</v>
      </c>
      <c r="AI100" s="6" t="n">
        <f aca="false">IF(B100="","",MONTH(B100))</f>
        <v>1</v>
      </c>
      <c r="AJ100" s="6" t="n">
        <f aca="false">IF(B100="","",YEAR(B100))</f>
        <v>2024</v>
      </c>
      <c r="AK100" s="3" t="str">
        <f aca="false">IF(COUNTIF(raw_data!$A$2:$A$913,A100)&gt;1,"Conflicting Duplicate - Flagged for Review","Unique")</f>
        <v>Unique</v>
      </c>
      <c r="AL100" s="3" t="str">
        <f aca="false">IF(AB100="Refunded","Yes","No")</f>
        <v>No</v>
      </c>
      <c r="AM100" s="3" t="str">
        <f aca="false">IF(OR(AC100&lt;&gt;"Completed",AB100="Failed"),"Excluded","Included")</f>
        <v>Included</v>
      </c>
      <c r="AN100" s="3" t="str">
        <f aca="false">IF(OR(D100="Invalid/Unrecognized",E100="Invalid/Unrecognized",G100="Invalid - Ship Before Order",X100="Negative - Invalid",X100="Above Allowed Range - Invalid",AG100="Mismatch",AH100="Mismatch",AK100="Conflicting Duplicate - Flagged for Review"),"Invalid",IF(OR(L100="Filled - Unknown",S100="Filled - Unknown",X100="Missing - Defaulted to 0",AL100="Yes",AC100="Cancelled",AC100="Returned"),"Warning","Clean"))</f>
        <v>Warning</v>
      </c>
    </row>
    <row r="101" customFormat="false" ht="15" hidden="false" customHeight="false" outlineLevel="0" collapsed="false">
      <c r="A101" s="3" t="str">
        <f aca="false">raw_data!A101</f>
        <v>ORD-2025-10100</v>
      </c>
      <c r="B101" s="4" t="n">
        <f aca="false">IFERROR(IF(MID(raw_data!B101,3,1)="/",DATE(VALUE(RIGHT(raw_data!B101,4)),VALUE(LEFT(raw_data!B101,2)),VALUE(MID(raw_data!B101,4,2))),IF(MID(raw_data!B101,3,1)="-",DATE(VALUE(RIGHT(raw_data!B101,4)),VALUE(MID(raw_data!B101,4,2)),VALUE(LEFT(raw_data!B101,2))),IF(MID(raw_data!B101,5,1)="-",DATE(VALUE(LEFT(raw_data!B101,4)),VALUE(MID(raw_data!B101,6,2)),VALUE(RIGHT(raw_data!B101,2))),DATE(VALUE(RIGHT(raw_data!B101,4)),MATCH(MID(raw_data!B101,4,3),{"Jan","Feb","Mar","Apr","May","Jun","Jul","Aug","Sep","Oct","Nov","Dec"},0),VALUE(LEFT(raw_data!B101,2)))))),"")</f>
        <v>45668</v>
      </c>
      <c r="C101" s="4" t="n">
        <f aca="false">IFERROR(IF(MID(raw_data!C101,3,1)="/",DATE(VALUE(RIGHT(raw_data!C101,4)),VALUE(LEFT(raw_data!C101,2)),VALUE(MID(raw_data!C101,4,2))),IF(MID(raw_data!C101,3,1)="-",DATE(VALUE(RIGHT(raw_data!C101,4)),VALUE(MID(raw_data!C101,4,2)),VALUE(LEFT(raw_data!C101,2))),IF(MID(raw_data!C101,5,1)="-",DATE(VALUE(LEFT(raw_data!C101,4)),VALUE(MID(raw_data!C101,6,2)),VALUE(RIGHT(raw_data!C101,2))),DATE(VALUE(RIGHT(raw_data!C101,4)),MATCH(MID(raw_data!C101,4,3),{"Jan","Feb","Mar","Apr","May","Jun","Jul","Aug","Sep","Oct","Nov","Dec"},0),VALUE(LEFT(raw_data!C101,2)))))),"")</f>
        <v>45668</v>
      </c>
      <c r="D101" s="3" t="str">
        <f aca="false">IF(TRIM(raw_data!B101)="","Missing",IF(B101="","Invalid/Unrecognized","Valid"))</f>
        <v>Valid</v>
      </c>
      <c r="E101" s="3" t="str">
        <f aca="false">IF(TRIM(raw_data!C101)="","Missing",IF(C101="","Invalid/Unrecognized","Valid"))</f>
        <v>Valid</v>
      </c>
      <c r="F101" s="5" t="n">
        <f aca="false">IF(OR(B101="",C101=""),"",C101-B101)</f>
        <v>0</v>
      </c>
      <c r="G101" s="3" t="str">
        <f aca="false">IF(F101="","N/A",IF(F101&lt;0,"Invalid - Ship Before Order","OK"))</f>
        <v>OK</v>
      </c>
      <c r="H101" s="3" t="str">
        <f aca="false">raw_data!D101</f>
        <v>CUST-3865</v>
      </c>
      <c r="I101" s="3" t="str">
        <f aca="false">PROPER(TRIM(raw_data!E101))</f>
        <v>Aditi Sen</v>
      </c>
      <c r="J101" s="3" t="str">
        <f aca="false">PROPER(TRIM(raw_data!F101))</f>
        <v>Small Business</v>
      </c>
      <c r="K101" s="3" t="str">
        <f aca="false">IF(TRIM(raw_data!G101)="","Unknown",PROPER(TRIM(raw_data!G101)))</f>
        <v>West</v>
      </c>
      <c r="L101" s="3" t="str">
        <f aca="false">IF(TRIM(raw_data!G101)="","Filled - Unknown","OK")</f>
        <v>OK</v>
      </c>
      <c r="M101" s="3" t="str">
        <f aca="false">PROPER(TRIM(raw_data!H101))</f>
        <v>Rajasthan</v>
      </c>
      <c r="N101" s="3" t="str">
        <f aca="false">PROPER(TRIM(raw_data!I101))</f>
        <v>Udaipur</v>
      </c>
      <c r="O101" s="3" t="str">
        <f aca="false">PROPER(TRIM(raw_data!J101))</f>
        <v>Technology</v>
      </c>
      <c r="P101" s="3" t="str">
        <f aca="false">PROPER(TRIM(raw_data!K101))</f>
        <v>Accessories</v>
      </c>
      <c r="Q101" s="3" t="str">
        <f aca="false">TRIM(raw_data!L101)</f>
        <v>Smart Accessories 542</v>
      </c>
      <c r="R101" s="3" t="str">
        <f aca="false">IF(TRIM(raw_data!M101)="","Unknown",PROPER(TRIM(raw_data!M101)))</f>
        <v>Same Day</v>
      </c>
      <c r="S101" s="3" t="str">
        <f aca="false">IF(TRIM(raw_data!M101)="","Filled - Unknown","OK")</f>
        <v>OK</v>
      </c>
      <c r="T101" s="6" t="n">
        <f aca="false">raw_data!N101</f>
        <v>3</v>
      </c>
      <c r="U101" s="7" t="n">
        <f aca="false">raw_data!O101</f>
        <v>2165.29</v>
      </c>
      <c r="V101" s="8" t="n">
        <f aca="false">raw_data!P101</f>
        <v>0</v>
      </c>
      <c r="W101" s="8" t="n">
        <f aca="false">IF(raw_data!P101="",0,IF(ISTEXT(raw_data!P101),IF(RIGHT(raw_data!P101,1)="%",VALUE(LEFT(raw_data!P101,LEN(raw_data!P101)-1))/100,VALUE(raw_data!P101)),raw_data!P101))</f>
        <v>0</v>
      </c>
      <c r="X101" s="3" t="str">
        <f aca="false">IF(raw_data!P101="","Missing - Defaulted to 0",IF(W101&lt;0,"Negative - Invalid",IF(W101&gt;0.3,"Above Allowed Range - Invalid","Valid")))</f>
        <v>Valid</v>
      </c>
      <c r="Y101" s="7" t="n">
        <f aca="false">raw_data!Q101</f>
        <v>6495.87</v>
      </c>
      <c r="Z101" s="7" t="n">
        <f aca="false">raw_data!R101</f>
        <v>4700.89</v>
      </c>
      <c r="AA101" s="7" t="n">
        <f aca="false">raw_data!S101</f>
        <v>1794.98</v>
      </c>
      <c r="AB101" s="3" t="str">
        <f aca="false">PROPER(TRIM(raw_data!T101))</f>
        <v>Paid</v>
      </c>
      <c r="AC101" s="3" t="str">
        <f aca="false">PROPER(TRIM(raw_data!U101))</f>
        <v>Completed</v>
      </c>
      <c r="AD101" s="7" t="n">
        <f aca="false">T101*U101*(1-W101)</f>
        <v>6495.87</v>
      </c>
      <c r="AE101" s="7" t="n">
        <f aca="false">AD101-Z101</f>
        <v>1794.98</v>
      </c>
      <c r="AF101" s="8" t="n">
        <f aca="false">IF(AD101=0,0,AE101/AD101)</f>
        <v>0.27632634273777</v>
      </c>
      <c r="AG101" s="3" t="str">
        <f aca="false">IF(ABS(Y101-AD101)&gt;1,"Mismatch","OK")</f>
        <v>OK</v>
      </c>
      <c r="AH101" s="3" t="str">
        <f aca="false">IF(ABS(AA101-AE101)&gt;1,"Mismatch","OK")</f>
        <v>OK</v>
      </c>
      <c r="AI101" s="6" t="n">
        <f aca="false">IF(B101="","",MONTH(B101))</f>
        <v>1</v>
      </c>
      <c r="AJ101" s="6" t="n">
        <f aca="false">IF(B101="","",YEAR(B101))</f>
        <v>2025</v>
      </c>
      <c r="AK101" s="3" t="str">
        <f aca="false">IF(COUNTIF(raw_data!$A$2:$A$913,A101)&gt;1,"Conflicting Duplicate - Flagged for Review","Unique")</f>
        <v>Unique</v>
      </c>
      <c r="AL101" s="3" t="str">
        <f aca="false">IF(AB101="Refunded","Yes","No")</f>
        <v>No</v>
      </c>
      <c r="AM101" s="3" t="str">
        <f aca="false">IF(OR(AC101&lt;&gt;"Completed",AB101="Failed"),"Excluded","Included")</f>
        <v>Included</v>
      </c>
      <c r="AN101" s="3" t="str">
        <f aca="false">IF(OR(D101="Invalid/Unrecognized",E101="Invalid/Unrecognized",G101="Invalid - Ship Before Order",X101="Negative - Invalid",X101="Above Allowed Range - Invalid",AG101="Mismatch",AH101="Mismatch",AK101="Conflicting Duplicate - Flagged for Review"),"Invalid",IF(OR(L101="Filled - Unknown",S101="Filled - Unknown",X101="Missing - Defaulted to 0",AL101="Yes",AC101="Cancelled",AC101="Returned"),"Warning","Clean"))</f>
        <v>Clean</v>
      </c>
    </row>
    <row r="102" customFormat="false" ht="15" hidden="false" customHeight="false" outlineLevel="0" collapsed="false">
      <c r="A102" s="3" t="str">
        <f aca="false">raw_data!A102</f>
        <v>ORD-2025-10101</v>
      </c>
      <c r="B102" s="4" t="n">
        <f aca="false">IFERROR(IF(MID(raw_data!B102,3,1)="/",DATE(VALUE(RIGHT(raw_data!B102,4)),VALUE(LEFT(raw_data!B102,2)),VALUE(MID(raw_data!B102,4,2))),IF(MID(raw_data!B102,3,1)="-",DATE(VALUE(RIGHT(raw_data!B102,4)),VALUE(MID(raw_data!B102,4,2)),VALUE(LEFT(raw_data!B102,2))),IF(MID(raw_data!B102,5,1)="-",DATE(VALUE(LEFT(raw_data!B102,4)),VALUE(MID(raw_data!B102,6,2)),VALUE(RIGHT(raw_data!B102,2))),DATE(VALUE(RIGHT(raw_data!B102,4)),MATCH(MID(raw_data!B102,4,3),{"Jan","Feb","Mar","Apr","May","Jun","Jul","Aug","Sep","Oct","Nov","Dec"},0),VALUE(LEFT(raw_data!B102,2)))))),"")</f>
        <v>45912</v>
      </c>
      <c r="C102" s="4" t="n">
        <f aca="false">IFERROR(IF(MID(raw_data!C102,3,1)="/",DATE(VALUE(RIGHT(raw_data!C102,4)),VALUE(LEFT(raw_data!C102,2)),VALUE(MID(raw_data!C102,4,2))),IF(MID(raw_data!C102,3,1)="-",DATE(VALUE(RIGHT(raw_data!C102,4)),VALUE(MID(raw_data!C102,4,2)),VALUE(LEFT(raw_data!C102,2))),IF(MID(raw_data!C102,5,1)="-",DATE(VALUE(LEFT(raw_data!C102,4)),VALUE(MID(raw_data!C102,6,2)),VALUE(RIGHT(raw_data!C102,2))),DATE(VALUE(RIGHT(raw_data!C102,4)),MATCH(MID(raw_data!C102,4,3),{"Jan","Feb","Mar","Apr","May","Jun","Jul","Aug","Sep","Oct","Nov","Dec"},0),VALUE(LEFT(raw_data!C102,2)))))),"")</f>
        <v>45918</v>
      </c>
      <c r="D102" s="3" t="str">
        <f aca="false">IF(TRIM(raw_data!B102)="","Missing",IF(B102="","Invalid/Unrecognized","Valid"))</f>
        <v>Valid</v>
      </c>
      <c r="E102" s="3" t="str">
        <f aca="false">IF(TRIM(raw_data!C102)="","Missing",IF(C102="","Invalid/Unrecognized","Valid"))</f>
        <v>Valid</v>
      </c>
      <c r="F102" s="5" t="n">
        <f aca="false">IF(OR(B102="",C102=""),"",C102-B102)</f>
        <v>6</v>
      </c>
      <c r="G102" s="3" t="str">
        <f aca="false">IF(F102="","N/A",IF(F102&lt;0,"Invalid - Ship Before Order","OK"))</f>
        <v>OK</v>
      </c>
      <c r="H102" s="3" t="str">
        <f aca="false">raw_data!D102</f>
        <v>CUST-6015</v>
      </c>
      <c r="I102" s="3" t="str">
        <f aca="false">PROPER(TRIM(raw_data!E102))</f>
        <v>Aarav Sharma</v>
      </c>
      <c r="J102" s="3" t="str">
        <f aca="false">PROPER(TRIM(raw_data!F102))</f>
        <v>Home Office</v>
      </c>
      <c r="K102" s="3" t="str">
        <f aca="false">IF(TRIM(raw_data!G102)="","Unknown",PROPER(TRIM(raw_data!G102)))</f>
        <v>South</v>
      </c>
      <c r="L102" s="3" t="str">
        <f aca="false">IF(TRIM(raw_data!G102)="","Filled - Unknown","OK")</f>
        <v>OK</v>
      </c>
      <c r="M102" s="3" t="str">
        <f aca="false">PROPER(TRIM(raw_data!H102))</f>
        <v>Kerala</v>
      </c>
      <c r="N102" s="3" t="str">
        <f aca="false">PROPER(TRIM(raw_data!I102))</f>
        <v>Kochi</v>
      </c>
      <c r="O102" s="3" t="str">
        <f aca="false">PROPER(TRIM(raw_data!J102))</f>
        <v>Office Supplies</v>
      </c>
      <c r="P102" s="3" t="str">
        <f aca="false">PROPER(TRIM(raw_data!K102))</f>
        <v>Storage</v>
      </c>
      <c r="Q102" s="3" t="str">
        <f aca="false">TRIM(raw_data!L102)</f>
        <v>Eco Storage 936</v>
      </c>
      <c r="R102" s="3" t="str">
        <f aca="false">IF(TRIM(raw_data!M102)="","Unknown",PROPER(TRIM(raw_data!M102)))</f>
        <v>Standard Class</v>
      </c>
      <c r="S102" s="3" t="str">
        <f aca="false">IF(TRIM(raw_data!M102)="","Filled - Unknown","OK")</f>
        <v>OK</v>
      </c>
      <c r="T102" s="6" t="n">
        <f aca="false">raw_data!N102</f>
        <v>6</v>
      </c>
      <c r="U102" s="7" t="n">
        <f aca="false">raw_data!O102</f>
        <v>1673.8</v>
      </c>
      <c r="V102" s="8" t="n">
        <f aca="false">raw_data!P102</f>
        <v>0.05</v>
      </c>
      <c r="W102" s="8" t="n">
        <f aca="false">IF(raw_data!P102="",0,IF(ISTEXT(raw_data!P102),IF(RIGHT(raw_data!P102,1)="%",VALUE(LEFT(raw_data!P102,LEN(raw_data!P102)-1))/100,VALUE(raw_data!P102)),raw_data!P102))</f>
        <v>0.05</v>
      </c>
      <c r="X102" s="3" t="str">
        <f aca="false">IF(raw_data!P102="","Missing - Defaulted to 0",IF(W102&lt;0,"Negative - Invalid",IF(W102&gt;0.3,"Above Allowed Range - Invalid","Valid")))</f>
        <v>Valid</v>
      </c>
      <c r="Y102" s="7" t="n">
        <f aca="false">raw_data!Q102</f>
        <v>9540.66</v>
      </c>
      <c r="Z102" s="7" t="n">
        <f aca="false">raw_data!R102</f>
        <v>5561.49</v>
      </c>
      <c r="AA102" s="7" t="n">
        <f aca="false">raw_data!S102</f>
        <v>3979.17</v>
      </c>
      <c r="AB102" s="3" t="str">
        <f aca="false">PROPER(TRIM(raw_data!T102))</f>
        <v>Paid</v>
      </c>
      <c r="AC102" s="3" t="str">
        <f aca="false">PROPER(TRIM(raw_data!U102))</f>
        <v>Completed</v>
      </c>
      <c r="AD102" s="7" t="n">
        <f aca="false">T102*U102*(1-W102)</f>
        <v>9540.66</v>
      </c>
      <c r="AE102" s="7" t="n">
        <f aca="false">AD102-Z102</f>
        <v>3979.17</v>
      </c>
      <c r="AF102" s="8" t="n">
        <f aca="false">IF(AD102=0,0,AE102/AD102)</f>
        <v>0.417074919345202</v>
      </c>
      <c r="AG102" s="3" t="str">
        <f aca="false">IF(ABS(Y102-AD102)&gt;1,"Mismatch","OK")</f>
        <v>OK</v>
      </c>
      <c r="AH102" s="3" t="str">
        <f aca="false">IF(ABS(AA102-AE102)&gt;1,"Mismatch","OK")</f>
        <v>OK</v>
      </c>
      <c r="AI102" s="6" t="n">
        <f aca="false">IF(B102="","",MONTH(B102))</f>
        <v>9</v>
      </c>
      <c r="AJ102" s="6" t="n">
        <f aca="false">IF(B102="","",YEAR(B102))</f>
        <v>2025</v>
      </c>
      <c r="AK102" s="3" t="str">
        <f aca="false">IF(COUNTIF(raw_data!$A$2:$A$913,A102)&gt;1,"Conflicting Duplicate - Flagged for Review","Unique")</f>
        <v>Unique</v>
      </c>
      <c r="AL102" s="3" t="str">
        <f aca="false">IF(AB102="Refunded","Yes","No")</f>
        <v>No</v>
      </c>
      <c r="AM102" s="3" t="str">
        <f aca="false">IF(OR(AC102&lt;&gt;"Completed",AB102="Failed"),"Excluded","Included")</f>
        <v>Included</v>
      </c>
      <c r="AN102" s="3" t="str">
        <f aca="false">IF(OR(D102="Invalid/Unrecognized",E102="Invalid/Unrecognized",G102="Invalid - Ship Before Order",X102="Negative - Invalid",X102="Above Allowed Range - Invalid",AG102="Mismatch",AH102="Mismatch",AK102="Conflicting Duplicate - Flagged for Review"),"Invalid",IF(OR(L102="Filled - Unknown",S102="Filled - Unknown",X102="Missing - Defaulted to 0",AL102="Yes",AC102="Cancelled",AC102="Returned"),"Warning","Clean"))</f>
        <v>Clean</v>
      </c>
    </row>
    <row r="103" customFormat="false" ht="15" hidden="false" customHeight="false" outlineLevel="0" collapsed="false">
      <c r="A103" s="3" t="str">
        <f aca="false">raw_data!A103</f>
        <v>ORD-2024-10102</v>
      </c>
      <c r="B103" s="4" t="n">
        <f aca="false">IFERROR(IF(MID(raw_data!B103,3,1)="/",DATE(VALUE(RIGHT(raw_data!B103,4)),VALUE(LEFT(raw_data!B103,2)),VALUE(MID(raw_data!B103,4,2))),IF(MID(raw_data!B103,3,1)="-",DATE(VALUE(RIGHT(raw_data!B103,4)),VALUE(MID(raw_data!B103,4,2)),VALUE(LEFT(raw_data!B103,2))),IF(MID(raw_data!B103,5,1)="-",DATE(VALUE(LEFT(raw_data!B103,4)),VALUE(MID(raw_data!B103,6,2)),VALUE(RIGHT(raw_data!B103,2))),DATE(VALUE(RIGHT(raw_data!B103,4)),MATCH(MID(raw_data!B103,4,3),{"Jan","Feb","Mar","Apr","May","Jun","Jul","Aug","Sep","Oct","Nov","Dec"},0),VALUE(LEFT(raw_data!B103,2)))))),"")</f>
        <v>45465</v>
      </c>
      <c r="C103" s="4" t="n">
        <f aca="false">IFERROR(IF(MID(raw_data!C103,3,1)="/",DATE(VALUE(RIGHT(raw_data!C103,4)),VALUE(LEFT(raw_data!C103,2)),VALUE(MID(raw_data!C103,4,2))),IF(MID(raw_data!C103,3,1)="-",DATE(VALUE(RIGHT(raw_data!C103,4)),VALUE(MID(raw_data!C103,4,2)),VALUE(LEFT(raw_data!C103,2))),IF(MID(raw_data!C103,5,1)="-",DATE(VALUE(LEFT(raw_data!C103,4)),VALUE(MID(raw_data!C103,6,2)),VALUE(RIGHT(raw_data!C103,2))),DATE(VALUE(RIGHT(raw_data!C103,4)),MATCH(MID(raw_data!C103,4,3),{"Jan","Feb","Mar","Apr","May","Jun","Jul","Aug","Sep","Oct","Nov","Dec"},0),VALUE(LEFT(raw_data!C103,2)))))),"")</f>
        <v>45469</v>
      </c>
      <c r="D103" s="3" t="str">
        <f aca="false">IF(TRIM(raw_data!B103)="","Missing",IF(B103="","Invalid/Unrecognized","Valid"))</f>
        <v>Valid</v>
      </c>
      <c r="E103" s="3" t="str">
        <f aca="false">IF(TRIM(raw_data!C103)="","Missing",IF(C103="","Invalid/Unrecognized","Valid"))</f>
        <v>Valid</v>
      </c>
      <c r="F103" s="5" t="n">
        <f aca="false">IF(OR(B103="",C103=""),"",C103-B103)</f>
        <v>4</v>
      </c>
      <c r="G103" s="3" t="str">
        <f aca="false">IF(F103="","N/A",IF(F103&lt;0,"Invalid - Ship Before Order","OK"))</f>
        <v>OK</v>
      </c>
      <c r="H103" s="3" t="str">
        <f aca="false">raw_data!D103</f>
        <v>CUST-7909</v>
      </c>
      <c r="I103" s="3" t="str">
        <f aca="false">PROPER(TRIM(raw_data!E103))</f>
        <v>Rohan Mehta</v>
      </c>
      <c r="J103" s="3" t="str">
        <f aca="false">PROPER(TRIM(raw_data!F103))</f>
        <v>Home Office</v>
      </c>
      <c r="K103" s="3" t="str">
        <f aca="false">IF(TRIM(raw_data!G103)="","Unknown",PROPER(TRIM(raw_data!G103)))</f>
        <v>East</v>
      </c>
      <c r="L103" s="3" t="str">
        <f aca="false">IF(TRIM(raw_data!G103)="","Filled - Unknown","OK")</f>
        <v>OK</v>
      </c>
      <c r="M103" s="3" t="str">
        <f aca="false">PROPER(TRIM(raw_data!H103))</f>
        <v>Bihar</v>
      </c>
      <c r="N103" s="3" t="str">
        <f aca="false">PROPER(TRIM(raw_data!I103))</f>
        <v>Patna</v>
      </c>
      <c r="O103" s="3" t="str">
        <f aca="false">PROPER(TRIM(raw_data!J103))</f>
        <v>Furniture</v>
      </c>
      <c r="P103" s="3" t="str">
        <f aca="false">PROPER(TRIM(raw_data!K103))</f>
        <v>Furnishings</v>
      </c>
      <c r="Q103" s="3" t="str">
        <f aca="false">TRIM(raw_data!L103)</f>
        <v>Classic Furnishings 682</v>
      </c>
      <c r="R103" s="3" t="str">
        <f aca="false">IF(TRIM(raw_data!M103)="","Unknown",PROPER(TRIM(raw_data!M103)))</f>
        <v>First Class</v>
      </c>
      <c r="S103" s="3" t="str">
        <f aca="false">IF(TRIM(raw_data!M103)="","Filled - Unknown","OK")</f>
        <v>OK</v>
      </c>
      <c r="T103" s="6" t="n">
        <f aca="false">raw_data!N103</f>
        <v>5</v>
      </c>
      <c r="U103" s="7" t="n">
        <f aca="false">raw_data!O103</f>
        <v>4396.52</v>
      </c>
      <c r="V103" s="8" t="n">
        <f aca="false">raw_data!P103</f>
        <v>0.25</v>
      </c>
      <c r="W103" s="8" t="n">
        <f aca="false">IF(raw_data!P103="",0,IF(ISTEXT(raw_data!P103),IF(RIGHT(raw_data!P103,1)="%",VALUE(LEFT(raw_data!P103,LEN(raw_data!P103)-1))/100,VALUE(raw_data!P103)),raw_data!P103))</f>
        <v>0.25</v>
      </c>
      <c r="X103" s="3" t="str">
        <f aca="false">IF(raw_data!P103="","Missing - Defaulted to 0",IF(W103&lt;0,"Negative - Invalid",IF(W103&gt;0.3,"Above Allowed Range - Invalid","Valid")))</f>
        <v>Valid</v>
      </c>
      <c r="Y103" s="7" t="n">
        <f aca="false">raw_data!Q103</f>
        <v>16486.95</v>
      </c>
      <c r="Z103" s="7" t="n">
        <f aca="false">raw_data!R103</f>
        <v>12054.14</v>
      </c>
      <c r="AA103" s="7" t="n">
        <f aca="false">raw_data!S103</f>
        <v>4432.81</v>
      </c>
      <c r="AB103" s="3" t="str">
        <f aca="false">PROPER(TRIM(raw_data!T103))</f>
        <v>Paid</v>
      </c>
      <c r="AC103" s="3" t="str">
        <f aca="false">PROPER(TRIM(raw_data!U103))</f>
        <v>Completed</v>
      </c>
      <c r="AD103" s="7" t="n">
        <f aca="false">T103*U103*(1-W103)</f>
        <v>16486.95</v>
      </c>
      <c r="AE103" s="7" t="n">
        <f aca="false">AD103-Z103</f>
        <v>4432.81</v>
      </c>
      <c r="AF103" s="8" t="n">
        <f aca="false">IF(AD103=0,0,AE103/AD103)</f>
        <v>0.268867801503614</v>
      </c>
      <c r="AG103" s="3" t="str">
        <f aca="false">IF(ABS(Y103-AD103)&gt;1,"Mismatch","OK")</f>
        <v>OK</v>
      </c>
      <c r="AH103" s="3" t="str">
        <f aca="false">IF(ABS(AA103-AE103)&gt;1,"Mismatch","OK")</f>
        <v>OK</v>
      </c>
      <c r="AI103" s="6" t="n">
        <f aca="false">IF(B103="","",MONTH(B103))</f>
        <v>6</v>
      </c>
      <c r="AJ103" s="6" t="n">
        <f aca="false">IF(B103="","",YEAR(B103))</f>
        <v>2024</v>
      </c>
      <c r="AK103" s="3" t="str">
        <f aca="false">IF(COUNTIF(raw_data!$A$2:$A$913,A103)&gt;1,"Conflicting Duplicate - Flagged for Review","Unique")</f>
        <v>Unique</v>
      </c>
      <c r="AL103" s="3" t="str">
        <f aca="false">IF(AB103="Refunded","Yes","No")</f>
        <v>No</v>
      </c>
      <c r="AM103" s="3" t="str">
        <f aca="false">IF(OR(AC103&lt;&gt;"Completed",AB103="Failed"),"Excluded","Included")</f>
        <v>Included</v>
      </c>
      <c r="AN103" s="3" t="str">
        <f aca="false">IF(OR(D103="Invalid/Unrecognized",E103="Invalid/Unrecognized",G103="Invalid - Ship Before Order",X103="Negative - Invalid",X103="Above Allowed Range - Invalid",AG103="Mismatch",AH103="Mismatch",AK103="Conflicting Duplicate - Flagged for Review"),"Invalid",IF(OR(L103="Filled - Unknown",S103="Filled - Unknown",X103="Missing - Defaulted to 0",AL103="Yes",AC103="Cancelled",AC103="Returned"),"Warning","Clean"))</f>
        <v>Clean</v>
      </c>
    </row>
    <row r="104" customFormat="false" ht="15" hidden="false" customHeight="false" outlineLevel="0" collapsed="false">
      <c r="A104" s="3" t="str">
        <f aca="false">raw_data!A104</f>
        <v>ORD-2025-10103</v>
      </c>
      <c r="B104" s="4" t="n">
        <f aca="false">IFERROR(IF(MID(raw_data!B104,3,1)="/",DATE(VALUE(RIGHT(raw_data!B104,4)),VALUE(LEFT(raw_data!B104,2)),VALUE(MID(raw_data!B104,4,2))),IF(MID(raw_data!B104,3,1)="-",DATE(VALUE(RIGHT(raw_data!B104,4)),VALUE(MID(raw_data!B104,4,2)),VALUE(LEFT(raw_data!B104,2))),IF(MID(raw_data!B104,5,1)="-",DATE(VALUE(LEFT(raw_data!B104,4)),VALUE(MID(raw_data!B104,6,2)),VALUE(RIGHT(raw_data!B104,2))),DATE(VALUE(RIGHT(raw_data!B104,4)),MATCH(MID(raw_data!B104,4,3),{"Jan","Feb","Mar","Apr","May","Jun","Jul","Aug","Sep","Oct","Nov","Dec"},0),VALUE(LEFT(raw_data!B104,2)))))),"")</f>
        <v>45850</v>
      </c>
      <c r="C104" s="4" t="n">
        <f aca="false">IFERROR(IF(MID(raw_data!C104,3,1)="/",DATE(VALUE(RIGHT(raw_data!C104,4)),VALUE(LEFT(raw_data!C104,2)),VALUE(MID(raw_data!C104,4,2))),IF(MID(raw_data!C104,3,1)="-",DATE(VALUE(RIGHT(raw_data!C104,4)),VALUE(MID(raw_data!C104,4,2)),VALUE(LEFT(raw_data!C104,2))),IF(MID(raw_data!C104,5,1)="-",DATE(VALUE(LEFT(raw_data!C104,4)),VALUE(MID(raw_data!C104,6,2)),VALUE(RIGHT(raw_data!C104,2))),DATE(VALUE(RIGHT(raw_data!C104,4)),MATCH(MID(raw_data!C104,4,3),{"Jan","Feb","Mar","Apr","May","Jun","Jul","Aug","Sep","Oct","Nov","Dec"},0),VALUE(LEFT(raw_data!C104,2)))))),"")</f>
        <v>45854</v>
      </c>
      <c r="D104" s="3" t="str">
        <f aca="false">IF(TRIM(raw_data!B104)="","Missing",IF(B104="","Invalid/Unrecognized","Valid"))</f>
        <v>Valid</v>
      </c>
      <c r="E104" s="3" t="str">
        <f aca="false">IF(TRIM(raw_data!C104)="","Missing",IF(C104="","Invalid/Unrecognized","Valid"))</f>
        <v>Valid</v>
      </c>
      <c r="F104" s="5" t="n">
        <f aca="false">IF(OR(B104="",C104=""),"",C104-B104)</f>
        <v>4</v>
      </c>
      <c r="G104" s="3" t="str">
        <f aca="false">IF(F104="","N/A",IF(F104&lt;0,"Invalid - Ship Before Order","OK"))</f>
        <v>OK</v>
      </c>
      <c r="H104" s="3" t="str">
        <f aca="false">raw_data!D104</f>
        <v>CUST-9603</v>
      </c>
      <c r="I104" s="3" t="str">
        <f aca="false">PROPER(TRIM(raw_data!E104))</f>
        <v>Vikram Iyer</v>
      </c>
      <c r="J104" s="3" t="str">
        <f aca="false">PROPER(TRIM(raw_data!F104))</f>
        <v>Consumer</v>
      </c>
      <c r="K104" s="3" t="str">
        <f aca="false">IF(TRIM(raw_data!G104)="","Unknown",PROPER(TRIM(raw_data!G104)))</f>
        <v>South</v>
      </c>
      <c r="L104" s="3" t="str">
        <f aca="false">IF(TRIM(raw_data!G104)="","Filled - Unknown","OK")</f>
        <v>OK</v>
      </c>
      <c r="M104" s="3" t="str">
        <f aca="false">PROPER(TRIM(raw_data!H104))</f>
        <v>Karnataka</v>
      </c>
      <c r="N104" s="3" t="str">
        <f aca="false">PROPER(TRIM(raw_data!I104))</f>
        <v>Bengaluru</v>
      </c>
      <c r="O104" s="3" t="str">
        <f aca="false">PROPER(TRIM(raw_data!J104))</f>
        <v>Furniture</v>
      </c>
      <c r="P104" s="3" t="str">
        <f aca="false">PROPER(TRIM(raw_data!K104))</f>
        <v>Chairs</v>
      </c>
      <c r="Q104" s="3" t="str">
        <f aca="false">TRIM(raw_data!L104)</f>
        <v>Classic Chairs 604</v>
      </c>
      <c r="R104" s="3" t="str">
        <f aca="false">IF(TRIM(raw_data!M104)="","Unknown",PROPER(TRIM(raw_data!M104)))</f>
        <v>First Class</v>
      </c>
      <c r="S104" s="3" t="str">
        <f aca="false">IF(TRIM(raw_data!M104)="","Filled - Unknown","OK")</f>
        <v>OK</v>
      </c>
      <c r="T104" s="6" t="n">
        <f aca="false">raw_data!N104</f>
        <v>4</v>
      </c>
      <c r="U104" s="7" t="n">
        <f aca="false">raw_data!O104</f>
        <v>2865.71</v>
      </c>
      <c r="V104" s="8" t="n">
        <f aca="false">raw_data!P104</f>
        <v>0</v>
      </c>
      <c r="W104" s="8" t="n">
        <f aca="false">IF(raw_data!P104="",0,IF(ISTEXT(raw_data!P104),IF(RIGHT(raw_data!P104,1)="%",VALUE(LEFT(raw_data!P104,LEN(raw_data!P104)-1))/100,VALUE(raw_data!P104)),raw_data!P104))</f>
        <v>0</v>
      </c>
      <c r="X104" s="3" t="str">
        <f aca="false">IF(raw_data!P104="","Missing - Defaulted to 0",IF(W104&lt;0,"Negative - Invalid",IF(W104&gt;0.3,"Above Allowed Range - Invalid","Valid")))</f>
        <v>Valid</v>
      </c>
      <c r="Y104" s="7" t="n">
        <f aca="false">raw_data!Q104</f>
        <v>11462.84</v>
      </c>
      <c r="Z104" s="7" t="n">
        <f aca="false">raw_data!R104</f>
        <v>8979.78</v>
      </c>
      <c r="AA104" s="7" t="n">
        <f aca="false">raw_data!S104</f>
        <v>2483.06</v>
      </c>
      <c r="AB104" s="3" t="str">
        <f aca="false">PROPER(TRIM(raw_data!T104))</f>
        <v>Refunded</v>
      </c>
      <c r="AC104" s="3" t="str">
        <f aca="false">PROPER(TRIM(raw_data!U104))</f>
        <v>Cancelled</v>
      </c>
      <c r="AD104" s="7" t="n">
        <f aca="false">T104*U104*(1-W104)</f>
        <v>11462.84</v>
      </c>
      <c r="AE104" s="7" t="n">
        <f aca="false">AD104-Z104</f>
        <v>2483.06</v>
      </c>
      <c r="AF104" s="8" t="n">
        <f aca="false">IF(AD104=0,0,AE104/AD104)</f>
        <v>0.216618220266531</v>
      </c>
      <c r="AG104" s="3" t="str">
        <f aca="false">IF(ABS(Y104-AD104)&gt;1,"Mismatch","OK")</f>
        <v>OK</v>
      </c>
      <c r="AH104" s="3" t="str">
        <f aca="false">IF(ABS(AA104-AE104)&gt;1,"Mismatch","OK")</f>
        <v>OK</v>
      </c>
      <c r="AI104" s="6" t="n">
        <f aca="false">IF(B104="","",MONTH(B104))</f>
        <v>7</v>
      </c>
      <c r="AJ104" s="6" t="n">
        <f aca="false">IF(B104="","",YEAR(B104))</f>
        <v>2025</v>
      </c>
      <c r="AK104" s="3" t="str">
        <f aca="false">IF(COUNTIF(raw_data!$A$2:$A$913,A104)&gt;1,"Conflicting Duplicate - Flagged for Review","Unique")</f>
        <v>Unique</v>
      </c>
      <c r="AL104" s="3" t="str">
        <f aca="false">IF(AB104="Refunded","Yes","No")</f>
        <v>Yes</v>
      </c>
      <c r="AM104" s="3" t="str">
        <f aca="false">IF(OR(AC104&lt;&gt;"Completed",AB104="Failed"),"Excluded","Included")</f>
        <v>Excluded</v>
      </c>
      <c r="AN104" s="3" t="str">
        <f aca="false">IF(OR(D104="Invalid/Unrecognized",E104="Invalid/Unrecognized",G104="Invalid - Ship Before Order",X104="Negative - Invalid",X104="Above Allowed Range - Invalid",AG104="Mismatch",AH104="Mismatch",AK104="Conflicting Duplicate - Flagged for Review"),"Invalid",IF(OR(L104="Filled - Unknown",S104="Filled - Unknown",X104="Missing - Defaulted to 0",AL104="Yes",AC104="Cancelled",AC104="Returned"),"Warning","Clean"))</f>
        <v>Warning</v>
      </c>
    </row>
    <row r="105" customFormat="false" ht="15" hidden="false" customHeight="false" outlineLevel="0" collapsed="false">
      <c r="A105" s="3" t="str">
        <f aca="false">raw_data!A105</f>
        <v>ORD-2025-10104</v>
      </c>
      <c r="B105" s="4" t="n">
        <f aca="false">IFERROR(IF(MID(raw_data!B105,3,1)="/",DATE(VALUE(RIGHT(raw_data!B105,4)),VALUE(LEFT(raw_data!B105,2)),VALUE(MID(raw_data!B105,4,2))),IF(MID(raw_data!B105,3,1)="-",DATE(VALUE(RIGHT(raw_data!B105,4)),VALUE(MID(raw_data!B105,4,2)),VALUE(LEFT(raw_data!B105,2))),IF(MID(raw_data!B105,5,1)="-",DATE(VALUE(LEFT(raw_data!B105,4)),VALUE(MID(raw_data!B105,6,2)),VALUE(RIGHT(raw_data!B105,2))),DATE(VALUE(RIGHT(raw_data!B105,4)),MATCH(MID(raw_data!B105,4,3),{"Jan","Feb","Mar","Apr","May","Jun","Jul","Aug","Sep","Oct","Nov","Dec"},0),VALUE(LEFT(raw_data!B105,2)))))),"")</f>
        <v>45779</v>
      </c>
      <c r="C105" s="4" t="n">
        <f aca="false">IFERROR(IF(MID(raw_data!C105,3,1)="/",DATE(VALUE(RIGHT(raw_data!C105,4)),VALUE(LEFT(raw_data!C105,2)),VALUE(MID(raw_data!C105,4,2))),IF(MID(raw_data!C105,3,1)="-",DATE(VALUE(RIGHT(raw_data!C105,4)),VALUE(MID(raw_data!C105,4,2)),VALUE(LEFT(raw_data!C105,2))),IF(MID(raw_data!C105,5,1)="-",DATE(VALUE(LEFT(raw_data!C105,4)),VALUE(MID(raw_data!C105,6,2)),VALUE(RIGHT(raw_data!C105,2))),DATE(VALUE(RIGHT(raw_data!C105,4)),MATCH(MID(raw_data!C105,4,3),{"Jan","Feb","Mar","Apr","May","Jun","Jul","Aug","Sep","Oct","Nov","Dec"},0),VALUE(LEFT(raw_data!C105,2)))))),"")</f>
        <v>45787</v>
      </c>
      <c r="D105" s="3" t="str">
        <f aca="false">IF(TRIM(raw_data!B105)="","Missing",IF(B105="","Invalid/Unrecognized","Valid"))</f>
        <v>Valid</v>
      </c>
      <c r="E105" s="3" t="str">
        <f aca="false">IF(TRIM(raw_data!C105)="","Missing",IF(C105="","Invalid/Unrecognized","Valid"))</f>
        <v>Valid</v>
      </c>
      <c r="F105" s="5" t="n">
        <f aca="false">IF(OR(B105="",C105=""),"",C105-B105)</f>
        <v>8</v>
      </c>
      <c r="G105" s="3" t="str">
        <f aca="false">IF(F105="","N/A",IF(F105&lt;0,"Invalid - Ship Before Order","OK"))</f>
        <v>OK</v>
      </c>
      <c r="H105" s="3" t="str">
        <f aca="false">raw_data!D105</f>
        <v>CUST-6263</v>
      </c>
      <c r="I105" s="3" t="str">
        <f aca="false">PROPER(TRIM(raw_data!E105))</f>
        <v>Kabir Singh</v>
      </c>
      <c r="J105" s="3" t="str">
        <f aca="false">PROPER(TRIM(raw_data!F105))</f>
        <v>Corporate</v>
      </c>
      <c r="K105" s="3" t="str">
        <f aca="false">IF(TRIM(raw_data!G105)="","Unknown",PROPER(TRIM(raw_data!G105)))</f>
        <v>West</v>
      </c>
      <c r="L105" s="3" t="str">
        <f aca="false">IF(TRIM(raw_data!G105)="","Filled - Unknown","OK")</f>
        <v>OK</v>
      </c>
      <c r="M105" s="3" t="str">
        <f aca="false">PROPER(TRIM(raw_data!H105))</f>
        <v>Maharashtra</v>
      </c>
      <c r="N105" s="3" t="str">
        <f aca="false">PROPER(TRIM(raw_data!I105))</f>
        <v>Mumbai</v>
      </c>
      <c r="O105" s="3" t="str">
        <f aca="false">PROPER(TRIM(raw_data!J105))</f>
        <v>Furniture</v>
      </c>
      <c r="P105" s="3" t="str">
        <f aca="false">PROPER(TRIM(raw_data!K105))</f>
        <v>Tables</v>
      </c>
      <c r="Q105" s="3" t="str">
        <f aca="false">TRIM(raw_data!L105)</f>
        <v>Prime Tables 377</v>
      </c>
      <c r="R105" s="3" t="str">
        <f aca="false">IF(TRIM(raw_data!M105)="","Unknown",PROPER(TRIM(raw_data!M105)))</f>
        <v>First Class</v>
      </c>
      <c r="S105" s="3" t="str">
        <f aca="false">IF(TRIM(raw_data!M105)="","Filled - Unknown","OK")</f>
        <v>OK</v>
      </c>
      <c r="T105" s="6" t="n">
        <f aca="false">raw_data!N105</f>
        <v>4</v>
      </c>
      <c r="U105" s="7" t="n">
        <f aca="false">raw_data!O105</f>
        <v>2440.34</v>
      </c>
      <c r="V105" s="8" t="n">
        <f aca="false">raw_data!P105</f>
        <v>0.2</v>
      </c>
      <c r="W105" s="8" t="n">
        <f aca="false">IF(raw_data!P105="",0,IF(ISTEXT(raw_data!P105),IF(RIGHT(raw_data!P105,1)="%",VALUE(LEFT(raw_data!P105,LEN(raw_data!P105)-1))/100,VALUE(raw_data!P105)),raw_data!P105))</f>
        <v>0.2</v>
      </c>
      <c r="X105" s="3" t="str">
        <f aca="false">IF(raw_data!P105="","Missing - Defaulted to 0",IF(W105&lt;0,"Negative - Invalid",IF(W105&gt;0.3,"Above Allowed Range - Invalid","Valid")))</f>
        <v>Valid</v>
      </c>
      <c r="Y105" s="7" t="n">
        <f aca="false">raw_data!Q105</f>
        <v>7809.09</v>
      </c>
      <c r="Z105" s="7" t="n">
        <f aca="false">raw_data!R105</f>
        <v>6657.75</v>
      </c>
      <c r="AA105" s="7" t="n">
        <f aca="false">raw_data!S105</f>
        <v>1151.34</v>
      </c>
      <c r="AB105" s="3" t="str">
        <f aca="false">PROPER(TRIM(raw_data!T105))</f>
        <v>Paid</v>
      </c>
      <c r="AC105" s="3" t="str">
        <f aca="false">PROPER(TRIM(raw_data!U105))</f>
        <v>Completed</v>
      </c>
      <c r="AD105" s="7" t="n">
        <f aca="false">T105*U105*(1-W105)</f>
        <v>7809.088</v>
      </c>
      <c r="AE105" s="7" t="n">
        <f aca="false">AD105-Z105</f>
        <v>1151.338</v>
      </c>
      <c r="AF105" s="8" t="n">
        <f aca="false">IF(AD105=0,0,AE105/AD105)</f>
        <v>0.147435654457985</v>
      </c>
      <c r="AG105" s="3" t="str">
        <f aca="false">IF(ABS(Y105-AD105)&gt;1,"Mismatch","OK")</f>
        <v>OK</v>
      </c>
      <c r="AH105" s="3" t="str">
        <f aca="false">IF(ABS(AA105-AE105)&gt;1,"Mismatch","OK")</f>
        <v>OK</v>
      </c>
      <c r="AI105" s="6" t="n">
        <f aca="false">IF(B105="","",MONTH(B105))</f>
        <v>5</v>
      </c>
      <c r="AJ105" s="6" t="n">
        <f aca="false">IF(B105="","",YEAR(B105))</f>
        <v>2025</v>
      </c>
      <c r="AK105" s="3" t="str">
        <f aca="false">IF(COUNTIF(raw_data!$A$2:$A$913,A105)&gt;1,"Conflicting Duplicate - Flagged for Review","Unique")</f>
        <v>Unique</v>
      </c>
      <c r="AL105" s="3" t="str">
        <f aca="false">IF(AB105="Refunded","Yes","No")</f>
        <v>No</v>
      </c>
      <c r="AM105" s="3" t="str">
        <f aca="false">IF(OR(AC105&lt;&gt;"Completed",AB105="Failed"),"Excluded","Included")</f>
        <v>Included</v>
      </c>
      <c r="AN105" s="3" t="str">
        <f aca="false">IF(OR(D105="Invalid/Unrecognized",E105="Invalid/Unrecognized",G105="Invalid - Ship Before Order",X105="Negative - Invalid",X105="Above Allowed Range - Invalid",AG105="Mismatch",AH105="Mismatch",AK105="Conflicting Duplicate - Flagged for Review"),"Invalid",IF(OR(L105="Filled - Unknown",S105="Filled - Unknown",X105="Missing - Defaulted to 0",AL105="Yes",AC105="Cancelled",AC105="Returned"),"Warning","Clean"))</f>
        <v>Clean</v>
      </c>
    </row>
    <row r="106" customFormat="false" ht="15" hidden="false" customHeight="false" outlineLevel="0" collapsed="false">
      <c r="A106" s="3" t="str">
        <f aca="false">raw_data!A106</f>
        <v>ORD-2025-10105</v>
      </c>
      <c r="B106" s="4" t="n">
        <f aca="false">IFERROR(IF(MID(raw_data!B106,3,1)="/",DATE(VALUE(RIGHT(raw_data!B106,4)),VALUE(LEFT(raw_data!B106,2)),VALUE(MID(raw_data!B106,4,2))),IF(MID(raw_data!B106,3,1)="-",DATE(VALUE(RIGHT(raw_data!B106,4)),VALUE(MID(raw_data!B106,4,2)),VALUE(LEFT(raw_data!B106,2))),IF(MID(raw_data!B106,5,1)="-",DATE(VALUE(LEFT(raw_data!B106,4)),VALUE(MID(raw_data!B106,6,2)),VALUE(RIGHT(raw_data!B106,2))),DATE(VALUE(RIGHT(raw_data!B106,4)),MATCH(MID(raw_data!B106,4,3),{"Jan","Feb","Mar","Apr","May","Jun","Jul","Aug","Sep","Oct","Nov","Dec"},0),VALUE(LEFT(raw_data!B106,2)))))),"")</f>
        <v>45689</v>
      </c>
      <c r="C106" s="4" t="n">
        <f aca="false">IFERROR(IF(MID(raw_data!C106,3,1)="/",DATE(VALUE(RIGHT(raw_data!C106,4)),VALUE(LEFT(raw_data!C106,2)),VALUE(MID(raw_data!C106,4,2))),IF(MID(raw_data!C106,3,1)="-",DATE(VALUE(RIGHT(raw_data!C106,4)),VALUE(MID(raw_data!C106,4,2)),VALUE(LEFT(raw_data!C106,2))),IF(MID(raw_data!C106,5,1)="-",DATE(VALUE(LEFT(raw_data!C106,4)),VALUE(MID(raw_data!C106,6,2)),VALUE(RIGHT(raw_data!C106,2))),DATE(VALUE(RIGHT(raw_data!C106,4)),MATCH(MID(raw_data!C106,4,3),{"Jan","Feb","Mar","Apr","May","Jun","Jul","Aug","Sep","Oct","Nov","Dec"},0),VALUE(LEFT(raw_data!C106,2)))))),"")</f>
        <v>45696</v>
      </c>
      <c r="D106" s="3" t="str">
        <f aca="false">IF(TRIM(raw_data!B106)="","Missing",IF(B106="","Invalid/Unrecognized","Valid"))</f>
        <v>Valid</v>
      </c>
      <c r="E106" s="3" t="str">
        <f aca="false">IF(TRIM(raw_data!C106)="","Missing",IF(C106="","Invalid/Unrecognized","Valid"))</f>
        <v>Valid</v>
      </c>
      <c r="F106" s="5" t="n">
        <f aca="false">IF(OR(B106="",C106=""),"",C106-B106)</f>
        <v>7</v>
      </c>
      <c r="G106" s="3" t="str">
        <f aca="false">IF(F106="","N/A",IF(F106&lt;0,"Invalid - Ship Before Order","OK"))</f>
        <v>OK</v>
      </c>
      <c r="H106" s="3" t="str">
        <f aca="false">raw_data!D106</f>
        <v>CUST-1576</v>
      </c>
      <c r="I106" s="3" t="str">
        <f aca="false">PROPER(TRIM(raw_data!E106))</f>
        <v>Ananya Rao</v>
      </c>
      <c r="J106" s="3" t="str">
        <f aca="false">PROPER(TRIM(raw_data!F106))</f>
        <v>Consumer</v>
      </c>
      <c r="K106" s="3" t="str">
        <f aca="false">IF(TRIM(raw_data!G106)="","Unknown",PROPER(TRIM(raw_data!G106)))</f>
        <v>South</v>
      </c>
      <c r="L106" s="3" t="str">
        <f aca="false">IF(TRIM(raw_data!G106)="","Filled - Unknown","OK")</f>
        <v>OK</v>
      </c>
      <c r="M106" s="3" t="str">
        <f aca="false">PROPER(TRIM(raw_data!H106))</f>
        <v>Karnataka</v>
      </c>
      <c r="N106" s="3" t="str">
        <f aca="false">PROPER(TRIM(raw_data!I106))</f>
        <v>Bengaluru</v>
      </c>
      <c r="O106" s="3" t="str">
        <f aca="false">PROPER(TRIM(raw_data!J106))</f>
        <v>Office Supplies</v>
      </c>
      <c r="P106" s="3" t="str">
        <f aca="false">PROPER(TRIM(raw_data!K106))</f>
        <v>Labels</v>
      </c>
      <c r="Q106" s="3" t="str">
        <f aca="false">TRIM(raw_data!L106)</f>
        <v>Prime Labels 807</v>
      </c>
      <c r="R106" s="3" t="str">
        <f aca="false">IF(TRIM(raw_data!M106)="","Unknown",PROPER(TRIM(raw_data!M106)))</f>
        <v>Same Day</v>
      </c>
      <c r="S106" s="3" t="str">
        <f aca="false">IF(TRIM(raw_data!M106)="","Filled - Unknown","OK")</f>
        <v>OK</v>
      </c>
      <c r="T106" s="6" t="n">
        <f aca="false">raw_data!N106</f>
        <v>5</v>
      </c>
      <c r="U106" s="7" t="n">
        <f aca="false">raw_data!O106</f>
        <v>2112.54</v>
      </c>
      <c r="V106" s="8" t="n">
        <f aca="false">raw_data!P106</f>
        <v>0.25</v>
      </c>
      <c r="W106" s="8" t="n">
        <f aca="false">IF(raw_data!P106="",0,IF(ISTEXT(raw_data!P106),IF(RIGHT(raw_data!P106,1)="%",VALUE(LEFT(raw_data!P106,LEN(raw_data!P106)-1))/100,VALUE(raw_data!P106)),raw_data!P106))</f>
        <v>0.25</v>
      </c>
      <c r="X106" s="3" t="str">
        <f aca="false">IF(raw_data!P106="","Missing - Defaulted to 0",IF(W106&lt;0,"Negative - Invalid",IF(W106&gt;0.3,"Above Allowed Range - Invalid","Valid")))</f>
        <v>Valid</v>
      </c>
      <c r="Y106" s="7" t="n">
        <f aca="false">raw_data!Q106</f>
        <v>8260.46</v>
      </c>
      <c r="Z106" s="7" t="n">
        <f aca="false">raw_data!R106</f>
        <v>5619.95</v>
      </c>
      <c r="AA106" s="7" t="n">
        <f aca="false">raw_data!S106</f>
        <v>2302.08</v>
      </c>
      <c r="AB106" s="3" t="str">
        <f aca="false">PROPER(TRIM(raw_data!T106))</f>
        <v>Paid</v>
      </c>
      <c r="AC106" s="3" t="str">
        <f aca="false">PROPER(TRIM(raw_data!U106))</f>
        <v>Cancelled</v>
      </c>
      <c r="AD106" s="7" t="n">
        <f aca="false">T106*U106*(1-W106)</f>
        <v>7922.025</v>
      </c>
      <c r="AE106" s="7" t="n">
        <f aca="false">AD106-Z106</f>
        <v>2302.075</v>
      </c>
      <c r="AF106" s="8" t="n">
        <f aca="false">IF(AD106=0,0,AE106/AD106)</f>
        <v>0.290591736330042</v>
      </c>
      <c r="AG106" s="3" t="str">
        <f aca="false">IF(ABS(Y106-AD106)&gt;1,"Mismatch","OK")</f>
        <v>Mismatch</v>
      </c>
      <c r="AH106" s="3" t="str">
        <f aca="false">IF(ABS(AA106-AE106)&gt;1,"Mismatch","OK")</f>
        <v>OK</v>
      </c>
      <c r="AI106" s="6" t="n">
        <f aca="false">IF(B106="","",MONTH(B106))</f>
        <v>2</v>
      </c>
      <c r="AJ106" s="6" t="n">
        <f aca="false">IF(B106="","",YEAR(B106))</f>
        <v>2025</v>
      </c>
      <c r="AK106" s="3" t="str">
        <f aca="false">IF(COUNTIF(raw_data!$A$2:$A$913,A106)&gt;1,"Conflicting Duplicate - Flagged for Review","Unique")</f>
        <v>Unique</v>
      </c>
      <c r="AL106" s="3" t="str">
        <f aca="false">IF(AB106="Refunded","Yes","No")</f>
        <v>No</v>
      </c>
      <c r="AM106" s="3" t="str">
        <f aca="false">IF(OR(AC106&lt;&gt;"Completed",AB106="Failed"),"Excluded","Included")</f>
        <v>Excluded</v>
      </c>
      <c r="AN106" s="3" t="str">
        <f aca="false">IF(OR(D106="Invalid/Unrecognized",E106="Invalid/Unrecognized",G106="Invalid - Ship Before Order",X106="Negative - Invalid",X106="Above Allowed Range - Invalid",AG106="Mismatch",AH106="Mismatch",AK106="Conflicting Duplicate - Flagged for Review"),"Invalid",IF(OR(L106="Filled - Unknown",S106="Filled - Unknown",X106="Missing - Defaulted to 0",AL106="Yes",AC106="Cancelled",AC106="Returned"),"Warning","Clean"))</f>
        <v>Invalid</v>
      </c>
    </row>
    <row r="107" customFormat="false" ht="15" hidden="false" customHeight="false" outlineLevel="0" collapsed="false">
      <c r="A107" s="3" t="str">
        <f aca="false">raw_data!A107</f>
        <v>ORD-2024-10106</v>
      </c>
      <c r="B107" s="4" t="n">
        <f aca="false">IFERROR(IF(MID(raw_data!B107,3,1)="/",DATE(VALUE(RIGHT(raw_data!B107,4)),VALUE(LEFT(raw_data!B107,2)),VALUE(MID(raw_data!B107,4,2))),IF(MID(raw_data!B107,3,1)="-",DATE(VALUE(RIGHT(raw_data!B107,4)),VALUE(MID(raw_data!B107,4,2)),VALUE(LEFT(raw_data!B107,2))),IF(MID(raw_data!B107,5,1)="-",DATE(VALUE(LEFT(raw_data!B107,4)),VALUE(MID(raw_data!B107,6,2)),VALUE(RIGHT(raw_data!B107,2))),DATE(VALUE(RIGHT(raw_data!B107,4)),MATCH(MID(raw_data!B107,4,3),{"Jan","Feb","Mar","Apr","May","Jun","Jul","Aug","Sep","Oct","Nov","Dec"},0),VALUE(LEFT(raw_data!B107,2)))))),"")</f>
        <v>45467</v>
      </c>
      <c r="C107" s="4" t="n">
        <f aca="false">IFERROR(IF(MID(raw_data!C107,3,1)="/",DATE(VALUE(RIGHT(raw_data!C107,4)),VALUE(LEFT(raw_data!C107,2)),VALUE(MID(raw_data!C107,4,2))),IF(MID(raw_data!C107,3,1)="-",DATE(VALUE(RIGHT(raw_data!C107,4)),VALUE(MID(raw_data!C107,4,2)),VALUE(LEFT(raw_data!C107,2))),IF(MID(raw_data!C107,5,1)="-",DATE(VALUE(LEFT(raw_data!C107,4)),VALUE(MID(raw_data!C107,6,2)),VALUE(RIGHT(raw_data!C107,2))),DATE(VALUE(RIGHT(raw_data!C107,4)),MATCH(MID(raw_data!C107,4,3),{"Jan","Feb","Mar","Apr","May","Jun","Jul","Aug","Sep","Oct","Nov","Dec"},0),VALUE(LEFT(raw_data!C107,2)))))),"")</f>
        <v>45472</v>
      </c>
      <c r="D107" s="3" t="str">
        <f aca="false">IF(TRIM(raw_data!B107)="","Missing",IF(B107="","Invalid/Unrecognized","Valid"))</f>
        <v>Valid</v>
      </c>
      <c r="E107" s="3" t="str">
        <f aca="false">IF(TRIM(raw_data!C107)="","Missing",IF(C107="","Invalid/Unrecognized","Valid"))</f>
        <v>Valid</v>
      </c>
      <c r="F107" s="5" t="n">
        <f aca="false">IF(OR(B107="",C107=""),"",C107-B107)</f>
        <v>5</v>
      </c>
      <c r="G107" s="3" t="str">
        <f aca="false">IF(F107="","N/A",IF(F107&lt;0,"Invalid - Ship Before Order","OK"))</f>
        <v>OK</v>
      </c>
      <c r="H107" s="3" t="str">
        <f aca="false">raw_data!D107</f>
        <v>CUST-6540</v>
      </c>
      <c r="I107" s="3" t="str">
        <f aca="false">PROPER(TRIM(raw_data!E107))</f>
        <v>Mira Das</v>
      </c>
      <c r="J107" s="3" t="str">
        <f aca="false">PROPER(TRIM(raw_data!F107))</f>
        <v>Home Office</v>
      </c>
      <c r="K107" s="3" t="str">
        <f aca="false">IF(TRIM(raw_data!G107)="","Unknown",PROPER(TRIM(raw_data!G107)))</f>
        <v>East</v>
      </c>
      <c r="L107" s="3" t="str">
        <f aca="false">IF(TRIM(raw_data!G107)="","Filled - Unknown","OK")</f>
        <v>OK</v>
      </c>
      <c r="M107" s="3" t="str">
        <f aca="false">PROPER(TRIM(raw_data!H107))</f>
        <v>West Bengal</v>
      </c>
      <c r="N107" s="3" t="str">
        <f aca="false">PROPER(TRIM(raw_data!I107))</f>
        <v>Kolkata</v>
      </c>
      <c r="O107" s="3" t="str">
        <f aca="false">PROPER(TRIM(raw_data!J107))</f>
        <v>Furniture</v>
      </c>
      <c r="P107" s="3" t="str">
        <f aca="false">PROPER(TRIM(raw_data!K107))</f>
        <v>Tables</v>
      </c>
      <c r="Q107" s="3" t="str">
        <f aca="false">TRIM(raw_data!L107)</f>
        <v>Eco Tables 575</v>
      </c>
      <c r="R107" s="3" t="str">
        <f aca="false">IF(TRIM(raw_data!M107)="","Unknown",PROPER(TRIM(raw_data!M107)))</f>
        <v>Second Class</v>
      </c>
      <c r="S107" s="3" t="str">
        <f aca="false">IF(TRIM(raw_data!M107)="","Filled - Unknown","OK")</f>
        <v>OK</v>
      </c>
      <c r="T107" s="6" t="n">
        <f aca="false">raw_data!N107</f>
        <v>2</v>
      </c>
      <c r="U107" s="7" t="n">
        <f aca="false">raw_data!O107</f>
        <v>685</v>
      </c>
      <c r="V107" s="8" t="n">
        <f aca="false">raw_data!P107</f>
        <v>0.1</v>
      </c>
      <c r="W107" s="8" t="n">
        <f aca="false">IF(raw_data!P107="",0,IF(ISTEXT(raw_data!P107),IF(RIGHT(raw_data!P107,1)="%",VALUE(LEFT(raw_data!P107,LEN(raw_data!P107)-1))/100,VALUE(raw_data!P107)),raw_data!P107))</f>
        <v>0.1</v>
      </c>
      <c r="X107" s="3" t="str">
        <f aca="false">IF(raw_data!P107="","Missing - Defaulted to 0",IF(W107&lt;0,"Negative - Invalid",IF(W107&gt;0.3,"Above Allowed Range - Invalid","Valid")))</f>
        <v>Valid</v>
      </c>
      <c r="Y107" s="7" t="n">
        <f aca="false">raw_data!Q107</f>
        <v>1233</v>
      </c>
      <c r="Z107" s="7" t="n">
        <f aca="false">raw_data!R107</f>
        <v>1006.9</v>
      </c>
      <c r="AA107" s="7" t="n">
        <f aca="false">raw_data!S107</f>
        <v>226.1</v>
      </c>
      <c r="AB107" s="3" t="str">
        <f aca="false">PROPER(TRIM(raw_data!T107))</f>
        <v>Paid</v>
      </c>
      <c r="AC107" s="3" t="str">
        <f aca="false">PROPER(TRIM(raw_data!U107))</f>
        <v>Completed</v>
      </c>
      <c r="AD107" s="7" t="n">
        <f aca="false">T107*U107*(1-W107)</f>
        <v>1233</v>
      </c>
      <c r="AE107" s="7" t="n">
        <f aca="false">AD107-Z107</f>
        <v>226.1</v>
      </c>
      <c r="AF107" s="8" t="n">
        <f aca="false">IF(AD107=0,0,AE107/AD107)</f>
        <v>0.183373884833739</v>
      </c>
      <c r="AG107" s="3" t="str">
        <f aca="false">IF(ABS(Y107-AD107)&gt;1,"Mismatch","OK")</f>
        <v>OK</v>
      </c>
      <c r="AH107" s="3" t="str">
        <f aca="false">IF(ABS(AA107-AE107)&gt;1,"Mismatch","OK")</f>
        <v>OK</v>
      </c>
      <c r="AI107" s="6" t="n">
        <f aca="false">IF(B107="","",MONTH(B107))</f>
        <v>6</v>
      </c>
      <c r="AJ107" s="6" t="n">
        <f aca="false">IF(B107="","",YEAR(B107))</f>
        <v>2024</v>
      </c>
      <c r="AK107" s="3" t="str">
        <f aca="false">IF(COUNTIF(raw_data!$A$2:$A$913,A107)&gt;1,"Conflicting Duplicate - Flagged for Review","Unique")</f>
        <v>Unique</v>
      </c>
      <c r="AL107" s="3" t="str">
        <f aca="false">IF(AB107="Refunded","Yes","No")</f>
        <v>No</v>
      </c>
      <c r="AM107" s="3" t="str">
        <f aca="false">IF(OR(AC107&lt;&gt;"Completed",AB107="Failed"),"Excluded","Included")</f>
        <v>Included</v>
      </c>
      <c r="AN107" s="3" t="str">
        <f aca="false">IF(OR(D107="Invalid/Unrecognized",E107="Invalid/Unrecognized",G107="Invalid - Ship Before Order",X107="Negative - Invalid",X107="Above Allowed Range - Invalid",AG107="Mismatch",AH107="Mismatch",AK107="Conflicting Duplicate - Flagged for Review"),"Invalid",IF(OR(L107="Filled - Unknown",S107="Filled - Unknown",X107="Missing - Defaulted to 0",AL107="Yes",AC107="Cancelled",AC107="Returned"),"Warning","Clean"))</f>
        <v>Clean</v>
      </c>
    </row>
    <row r="108" customFormat="false" ht="15" hidden="false" customHeight="false" outlineLevel="0" collapsed="false">
      <c r="A108" s="3" t="str">
        <f aca="false">raw_data!A108</f>
        <v>ORD-2024-10107</v>
      </c>
      <c r="B108" s="4" t="n">
        <f aca="false">IFERROR(IF(MID(raw_data!B108,3,1)="/",DATE(VALUE(RIGHT(raw_data!B108,4)),VALUE(LEFT(raw_data!B108,2)),VALUE(MID(raw_data!B108,4,2))),IF(MID(raw_data!B108,3,1)="-",DATE(VALUE(RIGHT(raw_data!B108,4)),VALUE(MID(raw_data!B108,4,2)),VALUE(LEFT(raw_data!B108,2))),IF(MID(raw_data!B108,5,1)="-",DATE(VALUE(LEFT(raw_data!B108,4)),VALUE(MID(raw_data!B108,6,2)),VALUE(RIGHT(raw_data!B108,2))),DATE(VALUE(RIGHT(raw_data!B108,4)),MATCH(MID(raw_data!B108,4,3),{"Jan","Feb","Mar","Apr","May","Jun","Jul","Aug","Sep","Oct","Nov","Dec"},0),VALUE(LEFT(raw_data!B108,2)))))),"")</f>
        <v>45342</v>
      </c>
      <c r="C108" s="4" t="n">
        <f aca="false">IFERROR(IF(MID(raw_data!C108,3,1)="/",DATE(VALUE(RIGHT(raw_data!C108,4)),VALUE(LEFT(raw_data!C108,2)),VALUE(MID(raw_data!C108,4,2))),IF(MID(raw_data!C108,3,1)="-",DATE(VALUE(RIGHT(raw_data!C108,4)),VALUE(MID(raw_data!C108,4,2)),VALUE(LEFT(raw_data!C108,2))),IF(MID(raw_data!C108,5,1)="-",DATE(VALUE(LEFT(raw_data!C108,4)),VALUE(MID(raw_data!C108,6,2)),VALUE(RIGHT(raw_data!C108,2))),DATE(VALUE(RIGHT(raw_data!C108,4)),MATCH(MID(raw_data!C108,4,3),{"Jan","Feb","Mar","Apr","May","Jun","Jul","Aug","Sep","Oct","Nov","Dec"},0),VALUE(LEFT(raw_data!C108,2)))))),"")</f>
        <v>45350</v>
      </c>
      <c r="D108" s="3" t="str">
        <f aca="false">IF(TRIM(raw_data!B108)="","Missing",IF(B108="","Invalid/Unrecognized","Valid"))</f>
        <v>Valid</v>
      </c>
      <c r="E108" s="3" t="str">
        <f aca="false">IF(TRIM(raw_data!C108)="","Missing",IF(C108="","Invalid/Unrecognized","Valid"))</f>
        <v>Valid</v>
      </c>
      <c r="F108" s="5" t="n">
        <f aca="false">IF(OR(B108="",C108=""),"",C108-B108)</f>
        <v>8</v>
      </c>
      <c r="G108" s="3" t="str">
        <f aca="false">IF(F108="","N/A",IF(F108&lt;0,"Invalid - Ship Before Order","OK"))</f>
        <v>OK</v>
      </c>
      <c r="H108" s="3" t="str">
        <f aca="false">raw_data!D108</f>
        <v>CUST-4008</v>
      </c>
      <c r="I108" s="3" t="str">
        <f aca="false">PROPER(TRIM(raw_data!E108))</f>
        <v>Arjun Bose</v>
      </c>
      <c r="J108" s="3" t="str">
        <f aca="false">PROPER(TRIM(raw_data!F108))</f>
        <v>Home Office</v>
      </c>
      <c r="K108" s="3" t="str">
        <f aca="false">IF(TRIM(raw_data!G108)="","Unknown",PROPER(TRIM(raw_data!G108)))</f>
        <v>East</v>
      </c>
      <c r="L108" s="3" t="str">
        <f aca="false">IF(TRIM(raw_data!G108)="","Filled - Unknown","OK")</f>
        <v>OK</v>
      </c>
      <c r="M108" s="3" t="str">
        <f aca="false">PROPER(TRIM(raw_data!H108))</f>
        <v>West Bengal</v>
      </c>
      <c r="N108" s="3" t="str">
        <f aca="false">PROPER(TRIM(raw_data!I108))</f>
        <v>Kolkata</v>
      </c>
      <c r="O108" s="3" t="str">
        <f aca="false">PROPER(TRIM(raw_data!J108))</f>
        <v>Office Supplies</v>
      </c>
      <c r="P108" s="3" t="str">
        <f aca="false">PROPER(TRIM(raw_data!K108))</f>
        <v>Paper</v>
      </c>
      <c r="Q108" s="3" t="str">
        <f aca="false">TRIM(raw_data!L108)</f>
        <v>Eco Paper 918</v>
      </c>
      <c r="R108" s="3" t="str">
        <f aca="false">IF(TRIM(raw_data!M108)="","Unknown",PROPER(TRIM(raw_data!M108)))</f>
        <v>Standard Class</v>
      </c>
      <c r="S108" s="3" t="str">
        <f aca="false">IF(TRIM(raw_data!M108)="","Filled - Unknown","OK")</f>
        <v>OK</v>
      </c>
      <c r="T108" s="6" t="n">
        <f aca="false">raw_data!N108</f>
        <v>2</v>
      </c>
      <c r="U108" s="7" t="n">
        <f aca="false">raw_data!O108</f>
        <v>4004.04</v>
      </c>
      <c r="V108" s="8" t="n">
        <f aca="false">raw_data!P108</f>
        <v>0</v>
      </c>
      <c r="W108" s="8" t="n">
        <f aca="false">IF(raw_data!P108="",0,IF(ISTEXT(raw_data!P108),IF(RIGHT(raw_data!P108,1)="%",VALUE(LEFT(raw_data!P108,LEN(raw_data!P108)-1))/100,VALUE(raw_data!P108)),raw_data!P108))</f>
        <v>0</v>
      </c>
      <c r="X108" s="3" t="str">
        <f aca="false">IF(raw_data!P108="","Missing - Defaulted to 0",IF(W108&lt;0,"Negative - Invalid",IF(W108&gt;0.3,"Above Allowed Range - Invalid","Valid")))</f>
        <v>Missing - Defaulted to 0</v>
      </c>
      <c r="Y108" s="7" t="n">
        <f aca="false">raw_data!Q108</f>
        <v>7207.27</v>
      </c>
      <c r="Z108" s="7" t="n">
        <f aca="false">raw_data!R108</f>
        <v>5709.39</v>
      </c>
      <c r="AA108" s="7" t="n">
        <f aca="false">raw_data!S108</f>
        <v>1497.88</v>
      </c>
      <c r="AB108" s="3" t="str">
        <f aca="false">PROPER(TRIM(raw_data!T108))</f>
        <v>Paid</v>
      </c>
      <c r="AC108" s="3" t="str">
        <f aca="false">PROPER(TRIM(raw_data!U108))</f>
        <v>Cancelled</v>
      </c>
      <c r="AD108" s="7" t="n">
        <f aca="false">T108*U108*(1-W108)</f>
        <v>8008.08</v>
      </c>
      <c r="AE108" s="7" t="n">
        <f aca="false">AD108-Z108</f>
        <v>2298.69</v>
      </c>
      <c r="AF108" s="8" t="n">
        <f aca="false">IF(AD108=0,0,AE108/AD108)</f>
        <v>0.287046333203464</v>
      </c>
      <c r="AG108" s="3" t="str">
        <f aca="false">IF(ABS(Y108-AD108)&gt;1,"Mismatch","OK")</f>
        <v>Mismatch</v>
      </c>
      <c r="AH108" s="3" t="str">
        <f aca="false">IF(ABS(AA108-AE108)&gt;1,"Mismatch","OK")</f>
        <v>Mismatch</v>
      </c>
      <c r="AI108" s="6" t="n">
        <f aca="false">IF(B108="","",MONTH(B108))</f>
        <v>2</v>
      </c>
      <c r="AJ108" s="6" t="n">
        <f aca="false">IF(B108="","",YEAR(B108))</f>
        <v>2024</v>
      </c>
      <c r="AK108" s="3" t="str">
        <f aca="false">IF(COUNTIF(raw_data!$A$2:$A$913,A108)&gt;1,"Conflicting Duplicate - Flagged for Review","Unique")</f>
        <v>Unique</v>
      </c>
      <c r="AL108" s="3" t="str">
        <f aca="false">IF(AB108="Refunded","Yes","No")</f>
        <v>No</v>
      </c>
      <c r="AM108" s="3" t="str">
        <f aca="false">IF(OR(AC108&lt;&gt;"Completed",AB108="Failed"),"Excluded","Included")</f>
        <v>Excluded</v>
      </c>
      <c r="AN108" s="3" t="str">
        <f aca="false">IF(OR(D108="Invalid/Unrecognized",E108="Invalid/Unrecognized",G108="Invalid - Ship Before Order",X108="Negative - Invalid",X108="Above Allowed Range - Invalid",AG108="Mismatch",AH108="Mismatch",AK108="Conflicting Duplicate - Flagged for Review"),"Invalid",IF(OR(L108="Filled - Unknown",S108="Filled - Unknown",X108="Missing - Defaulted to 0",AL108="Yes",AC108="Cancelled",AC108="Returned"),"Warning","Clean"))</f>
        <v>Invalid</v>
      </c>
    </row>
    <row r="109" customFormat="false" ht="15" hidden="false" customHeight="false" outlineLevel="0" collapsed="false">
      <c r="A109" s="3" t="str">
        <f aca="false">raw_data!A109</f>
        <v>ORD-2024-10108</v>
      </c>
      <c r="B109" s="4" t="n">
        <f aca="false">IFERROR(IF(MID(raw_data!B109,3,1)="/",DATE(VALUE(RIGHT(raw_data!B109,4)),VALUE(LEFT(raw_data!B109,2)),VALUE(MID(raw_data!B109,4,2))),IF(MID(raw_data!B109,3,1)="-",DATE(VALUE(RIGHT(raw_data!B109,4)),VALUE(MID(raw_data!B109,4,2)),VALUE(LEFT(raw_data!B109,2))),IF(MID(raw_data!B109,5,1)="-",DATE(VALUE(LEFT(raw_data!B109,4)),VALUE(MID(raw_data!B109,6,2)),VALUE(RIGHT(raw_data!B109,2))),DATE(VALUE(RIGHT(raw_data!B109,4)),MATCH(MID(raw_data!B109,4,3),{"Jan","Feb","Mar","Apr","May","Jun","Jul","Aug","Sep","Oct","Nov","Dec"},0),VALUE(LEFT(raw_data!B109,2)))))),"")</f>
        <v>45594</v>
      </c>
      <c r="C109" s="4" t="n">
        <f aca="false">IFERROR(IF(MID(raw_data!C109,3,1)="/",DATE(VALUE(RIGHT(raw_data!C109,4)),VALUE(LEFT(raw_data!C109,2)),VALUE(MID(raw_data!C109,4,2))),IF(MID(raw_data!C109,3,1)="-",DATE(VALUE(RIGHT(raw_data!C109,4)),VALUE(MID(raw_data!C109,4,2)),VALUE(LEFT(raw_data!C109,2))),IF(MID(raw_data!C109,5,1)="-",DATE(VALUE(LEFT(raw_data!C109,4)),VALUE(MID(raw_data!C109,6,2)),VALUE(RIGHT(raw_data!C109,2))),DATE(VALUE(RIGHT(raw_data!C109,4)),MATCH(MID(raw_data!C109,4,3),{"Jan","Feb","Mar","Apr","May","Jun","Jul","Aug","Sep","Oct","Nov","Dec"},0),VALUE(LEFT(raw_data!C109,2)))))),"")</f>
        <v>45600</v>
      </c>
      <c r="D109" s="3" t="str">
        <f aca="false">IF(TRIM(raw_data!B109)="","Missing",IF(B109="","Invalid/Unrecognized","Valid"))</f>
        <v>Valid</v>
      </c>
      <c r="E109" s="3" t="str">
        <f aca="false">IF(TRIM(raw_data!C109)="","Missing",IF(C109="","Invalid/Unrecognized","Valid"))</f>
        <v>Valid</v>
      </c>
      <c r="F109" s="5" t="n">
        <f aca="false">IF(OR(B109="",C109=""),"",C109-B109)</f>
        <v>6</v>
      </c>
      <c r="G109" s="3" t="str">
        <f aca="false">IF(F109="","N/A",IF(F109&lt;0,"Invalid - Ship Before Order","OK"))</f>
        <v>OK</v>
      </c>
      <c r="H109" s="3" t="str">
        <f aca="false">raw_data!D109</f>
        <v>CUST-6604</v>
      </c>
      <c r="I109" s="3" t="str">
        <f aca="false">PROPER(TRIM(raw_data!E109))</f>
        <v>Rohan Mehta</v>
      </c>
      <c r="J109" s="3" t="str">
        <f aca="false">PROPER(TRIM(raw_data!F109))</f>
        <v>Home Office</v>
      </c>
      <c r="K109" s="3" t="str">
        <f aca="false">IF(TRIM(raw_data!G109)="","Unknown",PROPER(TRIM(raw_data!G109)))</f>
        <v>East</v>
      </c>
      <c r="L109" s="3" t="str">
        <f aca="false">IF(TRIM(raw_data!G109)="","Filled - Unknown","OK")</f>
        <v>OK</v>
      </c>
      <c r="M109" s="3" t="str">
        <f aca="false">PROPER(TRIM(raw_data!H109))</f>
        <v>West Bengal</v>
      </c>
      <c r="N109" s="3" t="str">
        <f aca="false">PROPER(TRIM(raw_data!I109))</f>
        <v>Kolkata</v>
      </c>
      <c r="O109" s="3" t="str">
        <f aca="false">PROPER(TRIM(raw_data!J109))</f>
        <v>Furniture</v>
      </c>
      <c r="P109" s="3" t="str">
        <f aca="false">PROPER(TRIM(raw_data!K109))</f>
        <v>Furnishings</v>
      </c>
      <c r="Q109" s="3" t="str">
        <f aca="false">TRIM(raw_data!L109)</f>
        <v>Prime Furnishings 952</v>
      </c>
      <c r="R109" s="3" t="str">
        <f aca="false">IF(TRIM(raw_data!M109)="","Unknown",PROPER(TRIM(raw_data!M109)))</f>
        <v>First Class</v>
      </c>
      <c r="S109" s="3" t="str">
        <f aca="false">IF(TRIM(raw_data!M109)="","Filled - Unknown","OK")</f>
        <v>OK</v>
      </c>
      <c r="T109" s="6" t="n">
        <f aca="false">raw_data!N109</f>
        <v>3</v>
      </c>
      <c r="U109" s="7" t="n">
        <f aca="false">raw_data!O109</f>
        <v>4302.89</v>
      </c>
      <c r="V109" s="8" t="n">
        <f aca="false">raw_data!P109</f>
        <v>0.05</v>
      </c>
      <c r="W109" s="8" t="n">
        <f aca="false">IF(raw_data!P109="",0,IF(ISTEXT(raw_data!P109),IF(RIGHT(raw_data!P109,1)="%",VALUE(LEFT(raw_data!P109,LEN(raw_data!P109)-1))/100,VALUE(raw_data!P109)),raw_data!P109))</f>
        <v>0.05</v>
      </c>
      <c r="X109" s="3" t="str">
        <f aca="false">IF(raw_data!P109="","Missing - Defaulted to 0",IF(W109&lt;0,"Negative - Invalid",IF(W109&gt;0.3,"Above Allowed Range - Invalid","Valid")))</f>
        <v>Valid</v>
      </c>
      <c r="Y109" s="7" t="n">
        <f aca="false">raw_data!Q109</f>
        <v>12263.24</v>
      </c>
      <c r="Z109" s="7" t="n">
        <f aca="false">raw_data!R109</f>
        <v>8925.57</v>
      </c>
      <c r="AA109" s="7" t="n">
        <f aca="false">raw_data!S109</f>
        <v>3337.67</v>
      </c>
      <c r="AB109" s="3" t="str">
        <f aca="false">PROPER(TRIM(raw_data!T109))</f>
        <v>Paid</v>
      </c>
      <c r="AC109" s="3" t="str">
        <f aca="false">PROPER(TRIM(raw_data!U109))</f>
        <v>Completed</v>
      </c>
      <c r="AD109" s="7" t="n">
        <f aca="false">T109*U109*(1-W109)</f>
        <v>12263.2365</v>
      </c>
      <c r="AE109" s="7" t="n">
        <f aca="false">AD109-Z109</f>
        <v>3337.6665</v>
      </c>
      <c r="AF109" s="8" t="n">
        <f aca="false">IF(AD109=0,0,AE109/AD109)</f>
        <v>0.272168485048788</v>
      </c>
      <c r="AG109" s="3" t="str">
        <f aca="false">IF(ABS(Y109-AD109)&gt;1,"Mismatch","OK")</f>
        <v>OK</v>
      </c>
      <c r="AH109" s="3" t="str">
        <f aca="false">IF(ABS(AA109-AE109)&gt;1,"Mismatch","OK")</f>
        <v>OK</v>
      </c>
      <c r="AI109" s="6" t="n">
        <f aca="false">IF(B109="","",MONTH(B109))</f>
        <v>10</v>
      </c>
      <c r="AJ109" s="6" t="n">
        <f aca="false">IF(B109="","",YEAR(B109))</f>
        <v>2024</v>
      </c>
      <c r="AK109" s="3" t="str">
        <f aca="false">IF(COUNTIF(raw_data!$A$2:$A$913,A109)&gt;1,"Conflicting Duplicate - Flagged for Review","Unique")</f>
        <v>Unique</v>
      </c>
      <c r="AL109" s="3" t="str">
        <f aca="false">IF(AB109="Refunded","Yes","No")</f>
        <v>No</v>
      </c>
      <c r="AM109" s="3" t="str">
        <f aca="false">IF(OR(AC109&lt;&gt;"Completed",AB109="Failed"),"Excluded","Included")</f>
        <v>Included</v>
      </c>
      <c r="AN109" s="3" t="str">
        <f aca="false">IF(OR(D109="Invalid/Unrecognized",E109="Invalid/Unrecognized",G109="Invalid - Ship Before Order",X109="Negative - Invalid",X109="Above Allowed Range - Invalid",AG109="Mismatch",AH109="Mismatch",AK109="Conflicting Duplicate - Flagged for Review"),"Invalid",IF(OR(L109="Filled - Unknown",S109="Filled - Unknown",X109="Missing - Defaulted to 0",AL109="Yes",AC109="Cancelled",AC109="Returned"),"Warning","Clean"))</f>
        <v>Clean</v>
      </c>
    </row>
    <row r="110" customFormat="false" ht="15" hidden="false" customHeight="false" outlineLevel="0" collapsed="false">
      <c r="A110" s="3" t="str">
        <f aca="false">raw_data!A110</f>
        <v>ORD-2024-10109</v>
      </c>
      <c r="B110" s="4" t="n">
        <f aca="false">IFERROR(IF(MID(raw_data!B110,3,1)="/",DATE(VALUE(RIGHT(raw_data!B110,4)),VALUE(LEFT(raw_data!B110,2)),VALUE(MID(raw_data!B110,4,2))),IF(MID(raw_data!B110,3,1)="-",DATE(VALUE(RIGHT(raw_data!B110,4)),VALUE(MID(raw_data!B110,4,2)),VALUE(LEFT(raw_data!B110,2))),IF(MID(raw_data!B110,5,1)="-",DATE(VALUE(LEFT(raw_data!B110,4)),VALUE(MID(raw_data!B110,6,2)),VALUE(RIGHT(raw_data!B110,2))),DATE(VALUE(RIGHT(raw_data!B110,4)),MATCH(MID(raw_data!B110,4,3),{"Jan","Feb","Mar","Apr","May","Jun","Jul","Aug","Sep","Oct","Nov","Dec"},0),VALUE(LEFT(raw_data!B110,2)))))),"")</f>
        <v>45519</v>
      </c>
      <c r="C110" s="4" t="n">
        <f aca="false">IFERROR(IF(MID(raw_data!C110,3,1)="/",DATE(VALUE(RIGHT(raw_data!C110,4)),VALUE(LEFT(raw_data!C110,2)),VALUE(MID(raw_data!C110,4,2))),IF(MID(raw_data!C110,3,1)="-",DATE(VALUE(RIGHT(raw_data!C110,4)),VALUE(MID(raw_data!C110,4,2)),VALUE(LEFT(raw_data!C110,2))),IF(MID(raw_data!C110,5,1)="-",DATE(VALUE(LEFT(raw_data!C110,4)),VALUE(MID(raw_data!C110,6,2)),VALUE(RIGHT(raw_data!C110,2))),DATE(VALUE(RIGHT(raw_data!C110,4)),MATCH(MID(raw_data!C110,4,3),{"Jan","Feb","Mar","Apr","May","Jun","Jul","Aug","Sep","Oct","Nov","Dec"},0),VALUE(LEFT(raw_data!C110,2)))))),"")</f>
        <v>45527</v>
      </c>
      <c r="D110" s="3" t="str">
        <f aca="false">IF(TRIM(raw_data!B110)="","Missing",IF(B110="","Invalid/Unrecognized","Valid"))</f>
        <v>Valid</v>
      </c>
      <c r="E110" s="3" t="str">
        <f aca="false">IF(TRIM(raw_data!C110)="","Missing",IF(C110="","Invalid/Unrecognized","Valid"))</f>
        <v>Valid</v>
      </c>
      <c r="F110" s="5" t="n">
        <f aca="false">IF(OR(B110="",C110=""),"",C110-B110)</f>
        <v>8</v>
      </c>
      <c r="G110" s="3" t="str">
        <f aca="false">IF(F110="","N/A",IF(F110&lt;0,"Invalid - Ship Before Order","OK"))</f>
        <v>OK</v>
      </c>
      <c r="H110" s="3" t="str">
        <f aca="false">raw_data!D110</f>
        <v>CUST-4337</v>
      </c>
      <c r="I110" s="3" t="str">
        <f aca="false">PROPER(TRIM(raw_data!E110))</f>
        <v>Aditi Sen</v>
      </c>
      <c r="J110" s="3" t="str">
        <f aca="false">PROPER(TRIM(raw_data!F110))</f>
        <v>Small Business</v>
      </c>
      <c r="K110" s="3" t="str">
        <f aca="false">IF(TRIM(raw_data!G110)="","Unknown",PROPER(TRIM(raw_data!G110)))</f>
        <v>East</v>
      </c>
      <c r="L110" s="3" t="str">
        <f aca="false">IF(TRIM(raw_data!G110)="","Filled - Unknown","OK")</f>
        <v>OK</v>
      </c>
      <c r="M110" s="3" t="str">
        <f aca="false">PROPER(TRIM(raw_data!H110))</f>
        <v>Odisha</v>
      </c>
      <c r="N110" s="3" t="str">
        <f aca="false">PROPER(TRIM(raw_data!I110))</f>
        <v>Bhubaneswar</v>
      </c>
      <c r="O110" s="3" t="str">
        <f aca="false">PROPER(TRIM(raw_data!J110))</f>
        <v>Furniture</v>
      </c>
      <c r="P110" s="3" t="str">
        <f aca="false">PROPER(TRIM(raw_data!K110))</f>
        <v>Bookcases</v>
      </c>
      <c r="Q110" s="3" t="str">
        <f aca="false">TRIM(raw_data!L110)</f>
        <v>Prime Bookcases 631</v>
      </c>
      <c r="R110" s="3" t="str">
        <f aca="false">IF(TRIM(raw_data!M110)="","Unknown",PROPER(TRIM(raw_data!M110)))</f>
        <v>Same Day</v>
      </c>
      <c r="S110" s="3" t="str">
        <f aca="false">IF(TRIM(raw_data!M110)="","Filled - Unknown","OK")</f>
        <v>OK</v>
      </c>
      <c r="T110" s="6" t="n">
        <f aca="false">raw_data!N110</f>
        <v>2</v>
      </c>
      <c r="U110" s="7" t="n">
        <f aca="false">raw_data!O110</f>
        <v>537.54</v>
      </c>
      <c r="V110" s="8" t="n">
        <f aca="false">raw_data!P110</f>
        <v>0.25</v>
      </c>
      <c r="W110" s="8" t="n">
        <f aca="false">IF(raw_data!P110="",0,IF(ISTEXT(raw_data!P110),IF(RIGHT(raw_data!P110,1)="%",VALUE(LEFT(raw_data!P110,LEN(raw_data!P110)-1))/100,VALUE(raw_data!P110)),raw_data!P110))</f>
        <v>0.25</v>
      </c>
      <c r="X110" s="3" t="str">
        <f aca="false">IF(raw_data!P110="","Missing - Defaulted to 0",IF(W110&lt;0,"Negative - Invalid",IF(W110&gt;0.3,"Above Allowed Range - Invalid","Valid")))</f>
        <v>Valid</v>
      </c>
      <c r="Y110" s="7" t="n">
        <f aca="false">raw_data!Q110</f>
        <v>806.31</v>
      </c>
      <c r="Z110" s="7" t="n">
        <f aca="false">raw_data!R110</f>
        <v>498.5</v>
      </c>
      <c r="AA110" s="7" t="n">
        <f aca="false">raw_data!S110</f>
        <v>307.81</v>
      </c>
      <c r="AB110" s="3" t="str">
        <f aca="false">PROPER(TRIM(raw_data!T110))</f>
        <v>Paid</v>
      </c>
      <c r="AC110" s="3" t="str">
        <f aca="false">PROPER(TRIM(raw_data!U110))</f>
        <v>Completed</v>
      </c>
      <c r="AD110" s="7" t="n">
        <f aca="false">T110*U110*(1-W110)</f>
        <v>806.31</v>
      </c>
      <c r="AE110" s="7" t="n">
        <f aca="false">AD110-Z110</f>
        <v>307.81</v>
      </c>
      <c r="AF110" s="8" t="n">
        <f aca="false">IF(AD110=0,0,AE110/AD110)</f>
        <v>0.381751435552083</v>
      </c>
      <c r="AG110" s="3" t="str">
        <f aca="false">IF(ABS(Y110-AD110)&gt;1,"Mismatch","OK")</f>
        <v>OK</v>
      </c>
      <c r="AH110" s="3" t="str">
        <f aca="false">IF(ABS(AA110-AE110)&gt;1,"Mismatch","OK")</f>
        <v>OK</v>
      </c>
      <c r="AI110" s="6" t="n">
        <f aca="false">IF(B110="","",MONTH(B110))</f>
        <v>8</v>
      </c>
      <c r="AJ110" s="6" t="n">
        <f aca="false">IF(B110="","",YEAR(B110))</f>
        <v>2024</v>
      </c>
      <c r="AK110" s="3" t="str">
        <f aca="false">IF(COUNTIF(raw_data!$A$2:$A$913,A110)&gt;1,"Conflicting Duplicate - Flagged for Review","Unique")</f>
        <v>Unique</v>
      </c>
      <c r="AL110" s="3" t="str">
        <f aca="false">IF(AB110="Refunded","Yes","No")</f>
        <v>No</v>
      </c>
      <c r="AM110" s="3" t="str">
        <f aca="false">IF(OR(AC110&lt;&gt;"Completed",AB110="Failed"),"Excluded","Included")</f>
        <v>Included</v>
      </c>
      <c r="AN110" s="3" t="str">
        <f aca="false">IF(OR(D110="Invalid/Unrecognized",E110="Invalid/Unrecognized",G110="Invalid - Ship Before Order",X110="Negative - Invalid",X110="Above Allowed Range - Invalid",AG110="Mismatch",AH110="Mismatch",AK110="Conflicting Duplicate - Flagged for Review"),"Invalid",IF(OR(L110="Filled - Unknown",S110="Filled - Unknown",X110="Missing - Defaulted to 0",AL110="Yes",AC110="Cancelled",AC110="Returned"),"Warning","Clean"))</f>
        <v>Clean</v>
      </c>
    </row>
    <row r="111" customFormat="false" ht="15" hidden="false" customHeight="false" outlineLevel="0" collapsed="false">
      <c r="A111" s="3" t="str">
        <f aca="false">raw_data!A111</f>
        <v>ORD-2025-10110</v>
      </c>
      <c r="B111" s="4" t="n">
        <f aca="false">IFERROR(IF(MID(raw_data!B111,3,1)="/",DATE(VALUE(RIGHT(raw_data!B111,4)),VALUE(LEFT(raw_data!B111,2)),VALUE(MID(raw_data!B111,4,2))),IF(MID(raw_data!B111,3,1)="-",DATE(VALUE(RIGHT(raw_data!B111,4)),VALUE(MID(raw_data!B111,4,2)),VALUE(LEFT(raw_data!B111,2))),IF(MID(raw_data!B111,5,1)="-",DATE(VALUE(LEFT(raw_data!B111,4)),VALUE(MID(raw_data!B111,6,2)),VALUE(RIGHT(raw_data!B111,2))),DATE(VALUE(RIGHT(raw_data!B111,4)),MATCH(MID(raw_data!B111,4,3),{"Jan","Feb","Mar","Apr","May","Jun","Jul","Aug","Sep","Oct","Nov","Dec"},0),VALUE(LEFT(raw_data!B111,2)))))),"")</f>
        <v>45892</v>
      </c>
      <c r="C111" s="4" t="n">
        <f aca="false">IFERROR(IF(MID(raw_data!C111,3,1)="/",DATE(VALUE(RIGHT(raw_data!C111,4)),VALUE(LEFT(raw_data!C111,2)),VALUE(MID(raw_data!C111,4,2))),IF(MID(raw_data!C111,3,1)="-",DATE(VALUE(RIGHT(raw_data!C111,4)),VALUE(MID(raw_data!C111,4,2)),VALUE(LEFT(raw_data!C111,2))),IF(MID(raw_data!C111,5,1)="-",DATE(VALUE(LEFT(raw_data!C111,4)),VALUE(MID(raw_data!C111,6,2)),VALUE(RIGHT(raw_data!C111,2))),DATE(VALUE(RIGHT(raw_data!C111,4)),MATCH(MID(raw_data!C111,4,3),{"Jan","Feb","Mar","Apr","May","Jun","Jul","Aug","Sep","Oct","Nov","Dec"},0),VALUE(LEFT(raw_data!C111,2)))))),"")</f>
        <v>45896</v>
      </c>
      <c r="D111" s="3" t="str">
        <f aca="false">IF(TRIM(raw_data!B111)="","Missing",IF(B111="","Invalid/Unrecognized","Valid"))</f>
        <v>Valid</v>
      </c>
      <c r="E111" s="3" t="str">
        <f aca="false">IF(TRIM(raw_data!C111)="","Missing",IF(C111="","Invalid/Unrecognized","Valid"))</f>
        <v>Valid</v>
      </c>
      <c r="F111" s="5" t="n">
        <f aca="false">IF(OR(B111="",C111=""),"",C111-B111)</f>
        <v>4</v>
      </c>
      <c r="G111" s="3" t="str">
        <f aca="false">IF(F111="","N/A",IF(F111&lt;0,"Invalid - Ship Before Order","OK"))</f>
        <v>OK</v>
      </c>
      <c r="H111" s="3" t="str">
        <f aca="false">raw_data!D111</f>
        <v>CUST-3740</v>
      </c>
      <c r="I111" s="3" t="str">
        <f aca="false">PROPER(TRIM(raw_data!E111))</f>
        <v>Sneha Kapoor</v>
      </c>
      <c r="J111" s="3" t="str">
        <f aca="false">PROPER(TRIM(raw_data!F111))</f>
        <v>Consumer</v>
      </c>
      <c r="K111" s="3" t="str">
        <f aca="false">IF(TRIM(raw_data!G111)="","Unknown",PROPER(TRIM(raw_data!G111)))</f>
        <v>North</v>
      </c>
      <c r="L111" s="3" t="str">
        <f aca="false">IF(TRIM(raw_data!G111)="","Filled - Unknown","OK")</f>
        <v>OK</v>
      </c>
      <c r="M111" s="3" t="str">
        <f aca="false">PROPER(TRIM(raw_data!H111))</f>
        <v>Delhi</v>
      </c>
      <c r="N111" s="3" t="str">
        <f aca="false">PROPER(TRIM(raw_data!I111))</f>
        <v>New Delhi</v>
      </c>
      <c r="O111" s="3" t="str">
        <f aca="false">PROPER(TRIM(raw_data!J111))</f>
        <v>Office Supplies</v>
      </c>
      <c r="P111" s="3" t="str">
        <f aca="false">PROPER(TRIM(raw_data!K111))</f>
        <v>Binders</v>
      </c>
      <c r="Q111" s="3" t="str">
        <f aca="false">TRIM(raw_data!L111)</f>
        <v>Classic Binders 660</v>
      </c>
      <c r="R111" s="3" t="str">
        <f aca="false">IF(TRIM(raw_data!M111)="","Unknown",PROPER(TRIM(raw_data!M111)))</f>
        <v>Second Class</v>
      </c>
      <c r="S111" s="3" t="str">
        <f aca="false">IF(TRIM(raw_data!M111)="","Filled - Unknown","OK")</f>
        <v>OK</v>
      </c>
      <c r="T111" s="6" t="n">
        <f aca="false">raw_data!N111</f>
        <v>1</v>
      </c>
      <c r="U111" s="7" t="n">
        <f aca="false">raw_data!O111</f>
        <v>2788.62</v>
      </c>
      <c r="V111" s="8" t="n">
        <f aca="false">raw_data!P111</f>
        <v>0.25</v>
      </c>
      <c r="W111" s="8" t="n">
        <f aca="false">IF(raw_data!P111="",0,IF(ISTEXT(raw_data!P111),IF(RIGHT(raw_data!P111,1)="%",VALUE(LEFT(raw_data!P111,LEN(raw_data!P111)-1))/100,VALUE(raw_data!P111)),raw_data!P111))</f>
        <v>0.25</v>
      </c>
      <c r="X111" s="3" t="str">
        <f aca="false">IF(raw_data!P111="","Missing - Defaulted to 0",IF(W111&lt;0,"Negative - Invalid",IF(W111&gt;0.3,"Above Allowed Range - Invalid","Valid")))</f>
        <v>Valid</v>
      </c>
      <c r="Y111" s="7" t="n">
        <f aca="false">raw_data!Q111</f>
        <v>2091.47</v>
      </c>
      <c r="Z111" s="7" t="n">
        <f aca="false">raw_data!R111</f>
        <v>1317.22</v>
      </c>
      <c r="AA111" s="7" t="n">
        <f aca="false">raw_data!S111</f>
        <v>774.25</v>
      </c>
      <c r="AB111" s="3" t="str">
        <f aca="false">PROPER(TRIM(raw_data!T111))</f>
        <v>Paid</v>
      </c>
      <c r="AC111" s="3" t="str">
        <f aca="false">PROPER(TRIM(raw_data!U111))</f>
        <v>Completed</v>
      </c>
      <c r="AD111" s="7" t="n">
        <f aca="false">T111*U111*(1-W111)</f>
        <v>2091.465</v>
      </c>
      <c r="AE111" s="7" t="n">
        <f aca="false">AD111-Z111</f>
        <v>774.245</v>
      </c>
      <c r="AF111" s="8" t="n">
        <f aca="false">IF(AD111=0,0,AE111/AD111)</f>
        <v>0.370192663993899</v>
      </c>
      <c r="AG111" s="3" t="str">
        <f aca="false">IF(ABS(Y111-AD111)&gt;1,"Mismatch","OK")</f>
        <v>OK</v>
      </c>
      <c r="AH111" s="3" t="str">
        <f aca="false">IF(ABS(AA111-AE111)&gt;1,"Mismatch","OK")</f>
        <v>OK</v>
      </c>
      <c r="AI111" s="6" t="n">
        <f aca="false">IF(B111="","",MONTH(B111))</f>
        <v>8</v>
      </c>
      <c r="AJ111" s="6" t="n">
        <f aca="false">IF(B111="","",YEAR(B111))</f>
        <v>2025</v>
      </c>
      <c r="AK111" s="3" t="str">
        <f aca="false">IF(COUNTIF(raw_data!$A$2:$A$913,A111)&gt;1,"Conflicting Duplicate - Flagged for Review","Unique")</f>
        <v>Unique</v>
      </c>
      <c r="AL111" s="3" t="str">
        <f aca="false">IF(AB111="Refunded","Yes","No")</f>
        <v>No</v>
      </c>
      <c r="AM111" s="3" t="str">
        <f aca="false">IF(OR(AC111&lt;&gt;"Completed",AB111="Failed"),"Excluded","Included")</f>
        <v>Included</v>
      </c>
      <c r="AN111" s="3" t="str">
        <f aca="false">IF(OR(D111="Invalid/Unrecognized",E111="Invalid/Unrecognized",G111="Invalid - Ship Before Order",X111="Negative - Invalid",X111="Above Allowed Range - Invalid",AG111="Mismatch",AH111="Mismatch",AK111="Conflicting Duplicate - Flagged for Review"),"Invalid",IF(OR(L111="Filled - Unknown",S111="Filled - Unknown",X111="Missing - Defaulted to 0",AL111="Yes",AC111="Cancelled",AC111="Returned"),"Warning","Clean"))</f>
        <v>Clean</v>
      </c>
    </row>
    <row r="112" customFormat="false" ht="15" hidden="false" customHeight="false" outlineLevel="0" collapsed="false">
      <c r="A112" s="3" t="str">
        <f aca="false">raw_data!A112</f>
        <v>ORD-2024-10111</v>
      </c>
      <c r="B112" s="4" t="n">
        <f aca="false">IFERROR(IF(MID(raw_data!B112,3,1)="/",DATE(VALUE(RIGHT(raw_data!B112,4)),VALUE(LEFT(raw_data!B112,2)),VALUE(MID(raw_data!B112,4,2))),IF(MID(raw_data!B112,3,1)="-",DATE(VALUE(RIGHT(raw_data!B112,4)),VALUE(MID(raw_data!B112,4,2)),VALUE(LEFT(raw_data!B112,2))),IF(MID(raw_data!B112,5,1)="-",DATE(VALUE(LEFT(raw_data!B112,4)),VALUE(MID(raw_data!B112,6,2)),VALUE(RIGHT(raw_data!B112,2))),DATE(VALUE(RIGHT(raw_data!B112,4)),MATCH(MID(raw_data!B112,4,3),{"Jan","Feb","Mar","Apr","May","Jun","Jul","Aug","Sep","Oct","Nov","Dec"},0),VALUE(LEFT(raw_data!B112,2)))))),"")</f>
        <v>45583</v>
      </c>
      <c r="C112" s="4" t="n">
        <f aca="false">IFERROR(IF(MID(raw_data!C112,3,1)="/",DATE(VALUE(RIGHT(raw_data!C112,4)),VALUE(LEFT(raw_data!C112,2)),VALUE(MID(raw_data!C112,4,2))),IF(MID(raw_data!C112,3,1)="-",DATE(VALUE(RIGHT(raw_data!C112,4)),VALUE(MID(raw_data!C112,4,2)),VALUE(LEFT(raw_data!C112,2))),IF(MID(raw_data!C112,5,1)="-",DATE(VALUE(LEFT(raw_data!C112,4)),VALUE(MID(raw_data!C112,6,2)),VALUE(RIGHT(raw_data!C112,2))),DATE(VALUE(RIGHT(raw_data!C112,4)),MATCH(MID(raw_data!C112,4,3),{"Jan","Feb","Mar","Apr","May","Jun","Jul","Aug","Sep","Oct","Nov","Dec"},0),VALUE(LEFT(raw_data!C112,2)))))),"")</f>
        <v>45589</v>
      </c>
      <c r="D112" s="3" t="str">
        <f aca="false">IF(TRIM(raw_data!B112)="","Missing",IF(B112="","Invalid/Unrecognized","Valid"))</f>
        <v>Valid</v>
      </c>
      <c r="E112" s="3" t="str">
        <f aca="false">IF(TRIM(raw_data!C112)="","Missing",IF(C112="","Invalid/Unrecognized","Valid"))</f>
        <v>Valid</v>
      </c>
      <c r="F112" s="5" t="n">
        <f aca="false">IF(OR(B112="",C112=""),"",C112-B112)</f>
        <v>6</v>
      </c>
      <c r="G112" s="3" t="str">
        <f aca="false">IF(F112="","N/A",IF(F112&lt;0,"Invalid - Ship Before Order","OK"))</f>
        <v>OK</v>
      </c>
      <c r="H112" s="3" t="str">
        <f aca="false">raw_data!D112</f>
        <v>CUST-7128</v>
      </c>
      <c r="I112" s="3" t="str">
        <f aca="false">PROPER(TRIM(raw_data!E112))</f>
        <v>Vikram Iyer</v>
      </c>
      <c r="J112" s="3" t="str">
        <f aca="false">PROPER(TRIM(raw_data!F112))</f>
        <v>Corporate</v>
      </c>
      <c r="K112" s="3" t="str">
        <f aca="false">IF(TRIM(raw_data!G112)="","Unknown",PROPER(TRIM(raw_data!G112)))</f>
        <v>South</v>
      </c>
      <c r="L112" s="3" t="str">
        <f aca="false">IF(TRIM(raw_data!G112)="","Filled - Unknown","OK")</f>
        <v>OK</v>
      </c>
      <c r="M112" s="3" t="str">
        <f aca="false">PROPER(TRIM(raw_data!H112))</f>
        <v>Kerala</v>
      </c>
      <c r="N112" s="3" t="str">
        <f aca="false">PROPER(TRIM(raw_data!I112))</f>
        <v>Kochi</v>
      </c>
      <c r="O112" s="3" t="str">
        <f aca="false">PROPER(TRIM(raw_data!J112))</f>
        <v>Office Supplies</v>
      </c>
      <c r="P112" s="3" t="str">
        <f aca="false">PROPER(TRIM(raw_data!K112))</f>
        <v>Labels</v>
      </c>
      <c r="Q112" s="3" t="str">
        <f aca="false">TRIM(raw_data!L112)</f>
        <v>Pro Labels 255</v>
      </c>
      <c r="R112" s="3" t="str">
        <f aca="false">IF(TRIM(raw_data!M112)="","Unknown",PROPER(TRIM(raw_data!M112)))</f>
        <v>First Class</v>
      </c>
      <c r="S112" s="3" t="str">
        <f aca="false">IF(TRIM(raw_data!M112)="","Filled - Unknown","OK")</f>
        <v>OK</v>
      </c>
      <c r="T112" s="6" t="n">
        <f aca="false">raw_data!N112</f>
        <v>2</v>
      </c>
      <c r="U112" s="7" t="n">
        <f aca="false">raw_data!O112</f>
        <v>2250.47</v>
      </c>
      <c r="V112" s="8" t="n">
        <f aca="false">raw_data!P112</f>
        <v>0</v>
      </c>
      <c r="W112" s="8" t="n">
        <f aca="false">IF(raw_data!P112="",0,IF(ISTEXT(raw_data!P112),IF(RIGHT(raw_data!P112,1)="%",VALUE(LEFT(raw_data!P112,LEN(raw_data!P112)-1))/100,VALUE(raw_data!P112)),raw_data!P112))</f>
        <v>0</v>
      </c>
      <c r="X112" s="3" t="str">
        <f aca="false">IF(raw_data!P112="","Missing - Defaulted to 0",IF(W112&lt;0,"Negative - Invalid",IF(W112&gt;0.3,"Above Allowed Range - Invalid","Valid")))</f>
        <v>Valid</v>
      </c>
      <c r="Y112" s="7" t="n">
        <f aca="false">raw_data!Q112</f>
        <v>4500.94</v>
      </c>
      <c r="Z112" s="7" t="n">
        <f aca="false">raw_data!R112</f>
        <v>2607.73</v>
      </c>
      <c r="AA112" s="7" t="n">
        <f aca="false">raw_data!S112</f>
        <v>1893.21</v>
      </c>
      <c r="AB112" s="3" t="str">
        <f aca="false">PROPER(TRIM(raw_data!T112))</f>
        <v>Refunded</v>
      </c>
      <c r="AC112" s="3" t="str">
        <f aca="false">PROPER(TRIM(raw_data!U112))</f>
        <v>Cancelled</v>
      </c>
      <c r="AD112" s="7" t="n">
        <f aca="false">T112*U112*(1-W112)</f>
        <v>4500.94</v>
      </c>
      <c r="AE112" s="7" t="n">
        <f aca="false">AD112-Z112</f>
        <v>1893.21</v>
      </c>
      <c r="AF112" s="8" t="n">
        <f aca="false">IF(AD112=0,0,AE112/AD112)</f>
        <v>0.420625469346403</v>
      </c>
      <c r="AG112" s="3" t="str">
        <f aca="false">IF(ABS(Y112-AD112)&gt;1,"Mismatch","OK")</f>
        <v>OK</v>
      </c>
      <c r="AH112" s="3" t="str">
        <f aca="false">IF(ABS(AA112-AE112)&gt;1,"Mismatch","OK")</f>
        <v>OK</v>
      </c>
      <c r="AI112" s="6" t="n">
        <f aca="false">IF(B112="","",MONTH(B112))</f>
        <v>10</v>
      </c>
      <c r="AJ112" s="6" t="n">
        <f aca="false">IF(B112="","",YEAR(B112))</f>
        <v>2024</v>
      </c>
      <c r="AK112" s="3" t="str">
        <f aca="false">IF(COUNTIF(raw_data!$A$2:$A$913,A112)&gt;1,"Conflicting Duplicate - Flagged for Review","Unique")</f>
        <v>Unique</v>
      </c>
      <c r="AL112" s="3" t="str">
        <f aca="false">IF(AB112="Refunded","Yes","No")</f>
        <v>Yes</v>
      </c>
      <c r="AM112" s="3" t="str">
        <f aca="false">IF(OR(AC112&lt;&gt;"Completed",AB112="Failed"),"Excluded","Included")</f>
        <v>Excluded</v>
      </c>
      <c r="AN112" s="3" t="str">
        <f aca="false">IF(OR(D112="Invalid/Unrecognized",E112="Invalid/Unrecognized",G112="Invalid - Ship Before Order",X112="Negative - Invalid",X112="Above Allowed Range - Invalid",AG112="Mismatch",AH112="Mismatch",AK112="Conflicting Duplicate - Flagged for Review"),"Invalid",IF(OR(L112="Filled - Unknown",S112="Filled - Unknown",X112="Missing - Defaulted to 0",AL112="Yes",AC112="Cancelled",AC112="Returned"),"Warning","Clean"))</f>
        <v>Warning</v>
      </c>
    </row>
    <row r="113" customFormat="false" ht="15" hidden="false" customHeight="false" outlineLevel="0" collapsed="false">
      <c r="A113" s="3" t="str">
        <f aca="false">raw_data!A113</f>
        <v>ORD-2025-10112</v>
      </c>
      <c r="B113" s="4" t="n">
        <f aca="false">IFERROR(IF(MID(raw_data!B113,3,1)="/",DATE(VALUE(RIGHT(raw_data!B113,4)),VALUE(LEFT(raw_data!B113,2)),VALUE(MID(raw_data!B113,4,2))),IF(MID(raw_data!B113,3,1)="-",DATE(VALUE(RIGHT(raw_data!B113,4)),VALUE(MID(raw_data!B113,4,2)),VALUE(LEFT(raw_data!B113,2))),IF(MID(raw_data!B113,5,1)="-",DATE(VALUE(LEFT(raw_data!B113,4)),VALUE(MID(raw_data!B113,6,2)),VALUE(RIGHT(raw_data!B113,2))),DATE(VALUE(RIGHT(raw_data!B113,4)),MATCH(MID(raw_data!B113,4,3),{"Jan","Feb","Mar","Apr","May","Jun","Jul","Aug","Sep","Oct","Nov","Dec"},0),VALUE(LEFT(raw_data!B113,2)))))),"")</f>
        <v>45835</v>
      </c>
      <c r="C113" s="4" t="n">
        <f aca="false">IFERROR(IF(MID(raw_data!C113,3,1)="/",DATE(VALUE(RIGHT(raw_data!C113,4)),VALUE(LEFT(raw_data!C113,2)),VALUE(MID(raw_data!C113,4,2))),IF(MID(raw_data!C113,3,1)="-",DATE(VALUE(RIGHT(raw_data!C113,4)),VALUE(MID(raw_data!C113,4,2)),VALUE(LEFT(raw_data!C113,2))),IF(MID(raw_data!C113,5,1)="-",DATE(VALUE(LEFT(raw_data!C113,4)),VALUE(MID(raw_data!C113,6,2)),VALUE(RIGHT(raw_data!C113,2))),DATE(VALUE(RIGHT(raw_data!C113,4)),MATCH(MID(raw_data!C113,4,3),{"Jan","Feb","Mar","Apr","May","Jun","Jul","Aug","Sep","Oct","Nov","Dec"},0),VALUE(LEFT(raw_data!C113,2)))))),"")</f>
        <v>45838</v>
      </c>
      <c r="D113" s="3" t="str">
        <f aca="false">IF(TRIM(raw_data!B113)="","Missing",IF(B113="","Invalid/Unrecognized","Valid"))</f>
        <v>Valid</v>
      </c>
      <c r="E113" s="3" t="str">
        <f aca="false">IF(TRIM(raw_data!C113)="","Missing",IF(C113="","Invalid/Unrecognized","Valid"))</f>
        <v>Valid</v>
      </c>
      <c r="F113" s="5" t="n">
        <f aca="false">IF(OR(B113="",C113=""),"",C113-B113)</f>
        <v>3</v>
      </c>
      <c r="G113" s="3" t="str">
        <f aca="false">IF(F113="","N/A",IF(F113&lt;0,"Invalid - Ship Before Order","OK"))</f>
        <v>OK</v>
      </c>
      <c r="H113" s="3" t="str">
        <f aca="false">raw_data!D113</f>
        <v>CUST-4743</v>
      </c>
      <c r="I113" s="3" t="str">
        <f aca="false">PROPER(TRIM(raw_data!E113))</f>
        <v>Neha Gupta</v>
      </c>
      <c r="J113" s="3" t="str">
        <f aca="false">PROPER(TRIM(raw_data!F113))</f>
        <v>Corporate</v>
      </c>
      <c r="K113" s="3" t="str">
        <f aca="false">IF(TRIM(raw_data!G113)="","Unknown",PROPER(TRIM(raw_data!G113)))</f>
        <v>East</v>
      </c>
      <c r="L113" s="3" t="str">
        <f aca="false">IF(TRIM(raw_data!G113)="","Filled - Unknown","OK")</f>
        <v>OK</v>
      </c>
      <c r="M113" s="3" t="str">
        <f aca="false">PROPER(TRIM(raw_data!H113))</f>
        <v>Bihar</v>
      </c>
      <c r="N113" s="3" t="str">
        <f aca="false">PROPER(TRIM(raw_data!I113))</f>
        <v>Patna</v>
      </c>
      <c r="O113" s="3" t="str">
        <f aca="false">PROPER(TRIM(raw_data!J113))</f>
        <v>Technology</v>
      </c>
      <c r="P113" s="3" t="str">
        <f aca="false">PROPER(TRIM(raw_data!K113))</f>
        <v>Accessories</v>
      </c>
      <c r="Q113" s="3" t="str">
        <f aca="false">TRIM(raw_data!L113)</f>
        <v>Basic Accessories 187</v>
      </c>
      <c r="R113" s="3" t="str">
        <f aca="false">IF(TRIM(raw_data!M113)="","Unknown",PROPER(TRIM(raw_data!M113)))</f>
        <v>First Class</v>
      </c>
      <c r="S113" s="3" t="str">
        <f aca="false">IF(TRIM(raw_data!M113)="","Filled - Unknown","OK")</f>
        <v>OK</v>
      </c>
      <c r="T113" s="6" t="n">
        <f aca="false">raw_data!N113</f>
        <v>1</v>
      </c>
      <c r="U113" s="7" t="n">
        <f aca="false">raw_data!O113</f>
        <v>1708.44</v>
      </c>
      <c r="V113" s="8" t="n">
        <f aca="false">raw_data!P113</f>
        <v>0.05</v>
      </c>
      <c r="W113" s="8" t="n">
        <f aca="false">IF(raw_data!P113="",0,IF(ISTEXT(raw_data!P113),IF(RIGHT(raw_data!P113,1)="%",VALUE(LEFT(raw_data!P113,LEN(raw_data!P113)-1))/100,VALUE(raw_data!P113)),raw_data!P113))</f>
        <v>0.05</v>
      </c>
      <c r="X113" s="3" t="str">
        <f aca="false">IF(raw_data!P113="","Missing - Defaulted to 0",IF(W113&lt;0,"Negative - Invalid",IF(W113&gt;0.3,"Above Allowed Range - Invalid","Valid")))</f>
        <v>Valid</v>
      </c>
      <c r="Y113" s="7" t="n">
        <f aca="false">raw_data!Q113</f>
        <v>1623.02</v>
      </c>
      <c r="Z113" s="7" t="n">
        <f aca="false">raw_data!R113</f>
        <v>1077.46</v>
      </c>
      <c r="AA113" s="7" t="n">
        <f aca="false">raw_data!S113</f>
        <v>545.56</v>
      </c>
      <c r="AB113" s="3" t="str">
        <f aca="false">PROPER(TRIM(raw_data!T113))</f>
        <v>Pending</v>
      </c>
      <c r="AC113" s="3" t="str">
        <f aca="false">PROPER(TRIM(raw_data!U113))</f>
        <v>Cancelled</v>
      </c>
      <c r="AD113" s="7" t="n">
        <f aca="false">T113*U113*(1-W113)</f>
        <v>1623.018</v>
      </c>
      <c r="AE113" s="7" t="n">
        <f aca="false">AD113-Z113</f>
        <v>545.558</v>
      </c>
      <c r="AF113" s="8" t="n">
        <f aca="false">IF(AD113=0,0,AE113/AD113)</f>
        <v>0.336137984914523</v>
      </c>
      <c r="AG113" s="3" t="str">
        <f aca="false">IF(ABS(Y113-AD113)&gt;1,"Mismatch","OK")</f>
        <v>OK</v>
      </c>
      <c r="AH113" s="3" t="str">
        <f aca="false">IF(ABS(AA113-AE113)&gt;1,"Mismatch","OK")</f>
        <v>OK</v>
      </c>
      <c r="AI113" s="6" t="n">
        <f aca="false">IF(B113="","",MONTH(B113))</f>
        <v>6</v>
      </c>
      <c r="AJ113" s="6" t="n">
        <f aca="false">IF(B113="","",YEAR(B113))</f>
        <v>2025</v>
      </c>
      <c r="AK113" s="3" t="str">
        <f aca="false">IF(COUNTIF(raw_data!$A$2:$A$913,A113)&gt;1,"Conflicting Duplicate - Flagged for Review","Unique")</f>
        <v>Unique</v>
      </c>
      <c r="AL113" s="3" t="str">
        <f aca="false">IF(AB113="Refunded","Yes","No")</f>
        <v>No</v>
      </c>
      <c r="AM113" s="3" t="str">
        <f aca="false">IF(OR(AC113&lt;&gt;"Completed",AB113="Failed"),"Excluded","Included")</f>
        <v>Excluded</v>
      </c>
      <c r="AN113" s="3" t="str">
        <f aca="false">IF(OR(D113="Invalid/Unrecognized",E113="Invalid/Unrecognized",G113="Invalid - Ship Before Order",X113="Negative - Invalid",X113="Above Allowed Range - Invalid",AG113="Mismatch",AH113="Mismatch",AK113="Conflicting Duplicate - Flagged for Review"),"Invalid",IF(OR(L113="Filled - Unknown",S113="Filled - Unknown",X113="Missing - Defaulted to 0",AL113="Yes",AC113="Cancelled",AC113="Returned"),"Warning","Clean"))</f>
        <v>Warning</v>
      </c>
    </row>
    <row r="114" customFormat="false" ht="15" hidden="false" customHeight="false" outlineLevel="0" collapsed="false">
      <c r="A114" s="3" t="str">
        <f aca="false">raw_data!A114</f>
        <v>ORD-2024-10113</v>
      </c>
      <c r="B114" s="4" t="n">
        <f aca="false">IFERROR(IF(MID(raw_data!B114,3,1)="/",DATE(VALUE(RIGHT(raw_data!B114,4)),VALUE(LEFT(raw_data!B114,2)),VALUE(MID(raw_data!B114,4,2))),IF(MID(raw_data!B114,3,1)="-",DATE(VALUE(RIGHT(raw_data!B114,4)),VALUE(MID(raw_data!B114,4,2)),VALUE(LEFT(raw_data!B114,2))),IF(MID(raw_data!B114,5,1)="-",DATE(VALUE(LEFT(raw_data!B114,4)),VALUE(MID(raw_data!B114,6,2)),VALUE(RIGHT(raw_data!B114,2))),DATE(VALUE(RIGHT(raw_data!B114,4)),MATCH(MID(raw_data!B114,4,3),{"Jan","Feb","Mar","Apr","May","Jun","Jul","Aug","Sep","Oct","Nov","Dec"},0),VALUE(LEFT(raw_data!B114,2)))))),"")</f>
        <v>45301</v>
      </c>
      <c r="C114" s="4" t="n">
        <f aca="false">IFERROR(IF(MID(raw_data!C114,3,1)="/",DATE(VALUE(RIGHT(raw_data!C114,4)),VALUE(LEFT(raw_data!C114,2)),VALUE(MID(raw_data!C114,4,2))),IF(MID(raw_data!C114,3,1)="-",DATE(VALUE(RIGHT(raw_data!C114,4)),VALUE(MID(raw_data!C114,4,2)),VALUE(LEFT(raw_data!C114,2))),IF(MID(raw_data!C114,5,1)="-",DATE(VALUE(LEFT(raw_data!C114,4)),VALUE(MID(raw_data!C114,6,2)),VALUE(RIGHT(raw_data!C114,2))),DATE(VALUE(RIGHT(raw_data!C114,4)),MATCH(MID(raw_data!C114,4,3),{"Jan","Feb","Mar","Apr","May","Jun","Jul","Aug","Sep","Oct","Nov","Dec"},0),VALUE(LEFT(raw_data!C114,2)))))),"")</f>
        <v>45305</v>
      </c>
      <c r="D114" s="3" t="str">
        <f aca="false">IF(TRIM(raw_data!B114)="","Missing",IF(B114="","Invalid/Unrecognized","Valid"))</f>
        <v>Valid</v>
      </c>
      <c r="E114" s="3" t="str">
        <f aca="false">IF(TRIM(raw_data!C114)="","Missing",IF(C114="","Invalid/Unrecognized","Valid"))</f>
        <v>Valid</v>
      </c>
      <c r="F114" s="5" t="n">
        <f aca="false">IF(OR(B114="",C114=""),"",C114-B114)</f>
        <v>4</v>
      </c>
      <c r="G114" s="3" t="str">
        <f aca="false">IF(F114="","N/A",IF(F114&lt;0,"Invalid - Ship Before Order","OK"))</f>
        <v>OK</v>
      </c>
      <c r="H114" s="3" t="str">
        <f aca="false">raw_data!D114</f>
        <v>CUST-5213</v>
      </c>
      <c r="I114" s="3" t="str">
        <f aca="false">PROPER(TRIM(raw_data!E114))</f>
        <v>Sneha Kapoor</v>
      </c>
      <c r="J114" s="3" t="str">
        <f aca="false">PROPER(TRIM(raw_data!F114))</f>
        <v>Consumer</v>
      </c>
      <c r="K114" s="3" t="str">
        <f aca="false">IF(TRIM(raw_data!G114)="","Unknown",PROPER(TRIM(raw_data!G114)))</f>
        <v>Unknown</v>
      </c>
      <c r="L114" s="3" t="str">
        <f aca="false">IF(TRIM(raw_data!G114)="","Filled - Unknown","OK")</f>
        <v>Filled - Unknown</v>
      </c>
      <c r="M114" s="3" t="str">
        <f aca="false">PROPER(TRIM(raw_data!H114))</f>
        <v>Gujarat</v>
      </c>
      <c r="N114" s="3" t="str">
        <f aca="false">PROPER(TRIM(raw_data!I114))</f>
        <v>Ahmedabad</v>
      </c>
      <c r="O114" s="3" t="str">
        <f aca="false">PROPER(TRIM(raw_data!J114))</f>
        <v>Technology</v>
      </c>
      <c r="P114" s="3" t="str">
        <f aca="false">PROPER(TRIM(raw_data!K114))</f>
        <v>Accessories</v>
      </c>
      <c r="Q114" s="3" t="str">
        <f aca="false">TRIM(raw_data!L114)</f>
        <v>Max Accessories 451</v>
      </c>
      <c r="R114" s="3" t="str">
        <f aca="false">IF(TRIM(raw_data!M114)="","Unknown",PROPER(TRIM(raw_data!M114)))</f>
        <v>Standard Class</v>
      </c>
      <c r="S114" s="3" t="str">
        <f aca="false">IF(TRIM(raw_data!M114)="","Filled - Unknown","OK")</f>
        <v>OK</v>
      </c>
      <c r="T114" s="6" t="n">
        <f aca="false">raw_data!N114</f>
        <v>3</v>
      </c>
      <c r="U114" s="7" t="n">
        <f aca="false">raw_data!O114</f>
        <v>3829.48</v>
      </c>
      <c r="V114" s="8" t="n">
        <f aca="false">raw_data!P114</f>
        <v>0.05</v>
      </c>
      <c r="W114" s="8" t="n">
        <f aca="false">IF(raw_data!P114="",0,IF(ISTEXT(raw_data!P114),IF(RIGHT(raw_data!P114,1)="%",VALUE(LEFT(raw_data!P114,LEN(raw_data!P114)-1))/100,VALUE(raw_data!P114)),raw_data!P114))</f>
        <v>0.05</v>
      </c>
      <c r="X114" s="3" t="str">
        <f aca="false">IF(raw_data!P114="","Missing - Defaulted to 0",IF(W114&lt;0,"Negative - Invalid",IF(W114&gt;0.3,"Above Allowed Range - Invalid","Valid")))</f>
        <v>Valid</v>
      </c>
      <c r="Y114" s="7" t="n">
        <f aca="false">raw_data!Q114</f>
        <v>10914.02</v>
      </c>
      <c r="Z114" s="7" t="n">
        <f aca="false">raw_data!R114</f>
        <v>6548.74</v>
      </c>
      <c r="AA114" s="7" t="n">
        <f aca="false">raw_data!S114</f>
        <v>4365.28</v>
      </c>
      <c r="AB114" s="3" t="str">
        <f aca="false">PROPER(TRIM(raw_data!T114))</f>
        <v>Paid</v>
      </c>
      <c r="AC114" s="3" t="str">
        <f aca="false">PROPER(TRIM(raw_data!U114))</f>
        <v>Completed</v>
      </c>
      <c r="AD114" s="7" t="n">
        <f aca="false">T114*U114*(1-W114)</f>
        <v>10914.018</v>
      </c>
      <c r="AE114" s="7" t="n">
        <f aca="false">AD114-Z114</f>
        <v>4365.278</v>
      </c>
      <c r="AF114" s="8" t="n">
        <f aca="false">IF(AD114=0,0,AE114/AD114)</f>
        <v>0.399969836956472</v>
      </c>
      <c r="AG114" s="3" t="str">
        <f aca="false">IF(ABS(Y114-AD114)&gt;1,"Mismatch","OK")</f>
        <v>OK</v>
      </c>
      <c r="AH114" s="3" t="str">
        <f aca="false">IF(ABS(AA114-AE114)&gt;1,"Mismatch","OK")</f>
        <v>OK</v>
      </c>
      <c r="AI114" s="6" t="n">
        <f aca="false">IF(B114="","",MONTH(B114))</f>
        <v>1</v>
      </c>
      <c r="AJ114" s="6" t="n">
        <f aca="false">IF(B114="","",YEAR(B114))</f>
        <v>2024</v>
      </c>
      <c r="AK114" s="3" t="str">
        <f aca="false">IF(COUNTIF(raw_data!$A$2:$A$913,A114)&gt;1,"Conflicting Duplicate - Flagged for Review","Unique")</f>
        <v>Unique</v>
      </c>
      <c r="AL114" s="3" t="str">
        <f aca="false">IF(AB114="Refunded","Yes","No")</f>
        <v>No</v>
      </c>
      <c r="AM114" s="3" t="str">
        <f aca="false">IF(OR(AC114&lt;&gt;"Completed",AB114="Failed"),"Excluded","Included")</f>
        <v>Included</v>
      </c>
      <c r="AN114" s="3" t="str">
        <f aca="false">IF(OR(D114="Invalid/Unrecognized",E114="Invalid/Unrecognized",G114="Invalid - Ship Before Order",X114="Negative - Invalid",X114="Above Allowed Range - Invalid",AG114="Mismatch",AH114="Mismatch",AK114="Conflicting Duplicate - Flagged for Review"),"Invalid",IF(OR(L114="Filled - Unknown",S114="Filled - Unknown",X114="Missing - Defaulted to 0",AL114="Yes",AC114="Cancelled",AC114="Returned"),"Warning","Clean"))</f>
        <v>Warning</v>
      </c>
    </row>
    <row r="115" customFormat="false" ht="15" hidden="false" customHeight="false" outlineLevel="0" collapsed="false">
      <c r="A115" s="3" t="str">
        <f aca="false">raw_data!A115</f>
        <v>ORD-2024-10114</v>
      </c>
      <c r="B115" s="4" t="n">
        <f aca="false">IFERROR(IF(MID(raw_data!B115,3,1)="/",DATE(VALUE(RIGHT(raw_data!B115,4)),VALUE(LEFT(raw_data!B115,2)),VALUE(MID(raw_data!B115,4,2))),IF(MID(raw_data!B115,3,1)="-",DATE(VALUE(RIGHT(raw_data!B115,4)),VALUE(MID(raw_data!B115,4,2)),VALUE(LEFT(raw_data!B115,2))),IF(MID(raw_data!B115,5,1)="-",DATE(VALUE(LEFT(raw_data!B115,4)),VALUE(MID(raw_data!B115,6,2)),VALUE(RIGHT(raw_data!B115,2))),DATE(VALUE(RIGHT(raw_data!B115,4)),MATCH(MID(raw_data!B115,4,3),{"Jan","Feb","Mar","Apr","May","Jun","Jul","Aug","Sep","Oct","Nov","Dec"},0),VALUE(LEFT(raw_data!B115,2)))))),"")</f>
        <v>45334</v>
      </c>
      <c r="C115" s="4" t="n">
        <f aca="false">IFERROR(IF(MID(raw_data!C115,3,1)="/",DATE(VALUE(RIGHT(raw_data!C115,4)),VALUE(LEFT(raw_data!C115,2)),VALUE(MID(raw_data!C115,4,2))),IF(MID(raw_data!C115,3,1)="-",DATE(VALUE(RIGHT(raw_data!C115,4)),VALUE(MID(raw_data!C115,4,2)),VALUE(LEFT(raw_data!C115,2))),IF(MID(raw_data!C115,5,1)="-",DATE(VALUE(LEFT(raw_data!C115,4)),VALUE(MID(raw_data!C115,6,2)),VALUE(RIGHT(raw_data!C115,2))),DATE(VALUE(RIGHT(raw_data!C115,4)),MATCH(MID(raw_data!C115,4,3),{"Jan","Feb","Mar","Apr","May","Jun","Jul","Aug","Sep","Oct","Nov","Dec"},0),VALUE(LEFT(raw_data!C115,2)))))),"")</f>
        <v>45334</v>
      </c>
      <c r="D115" s="3" t="str">
        <f aca="false">IF(TRIM(raw_data!B115)="","Missing",IF(B115="","Invalid/Unrecognized","Valid"))</f>
        <v>Valid</v>
      </c>
      <c r="E115" s="3" t="str">
        <f aca="false">IF(TRIM(raw_data!C115)="","Missing",IF(C115="","Invalid/Unrecognized","Valid"))</f>
        <v>Valid</v>
      </c>
      <c r="F115" s="5" t="n">
        <f aca="false">IF(OR(B115="",C115=""),"",C115-B115)</f>
        <v>0</v>
      </c>
      <c r="G115" s="3" t="str">
        <f aca="false">IF(F115="","N/A",IF(F115&lt;0,"Invalid - Ship Before Order","OK"))</f>
        <v>OK</v>
      </c>
      <c r="H115" s="3" t="str">
        <f aca="false">raw_data!D115</f>
        <v>CUST-4989</v>
      </c>
      <c r="I115" s="3" t="str">
        <f aca="false">PROPER(TRIM(raw_data!E115))</f>
        <v>Isha Nair</v>
      </c>
      <c r="J115" s="3" t="str">
        <f aca="false">PROPER(TRIM(raw_data!F115))</f>
        <v>Home Office</v>
      </c>
      <c r="K115" s="3" t="str">
        <f aca="false">IF(TRIM(raw_data!G115)="","Unknown",PROPER(TRIM(raw_data!G115)))</f>
        <v>South</v>
      </c>
      <c r="L115" s="3" t="str">
        <f aca="false">IF(TRIM(raw_data!G115)="","Filled - Unknown","OK")</f>
        <v>OK</v>
      </c>
      <c r="M115" s="3" t="str">
        <f aca="false">PROPER(TRIM(raw_data!H115))</f>
        <v>Tamil Nadu</v>
      </c>
      <c r="N115" s="3" t="str">
        <f aca="false">PROPER(TRIM(raw_data!I115))</f>
        <v>Chennai</v>
      </c>
      <c r="O115" s="3" t="str">
        <f aca="false">PROPER(TRIM(raw_data!J115))</f>
        <v>Furniture</v>
      </c>
      <c r="P115" s="3" t="str">
        <f aca="false">PROPER(TRIM(raw_data!K115))</f>
        <v>Tables</v>
      </c>
      <c r="Q115" s="3" t="str">
        <f aca="false">TRIM(raw_data!L115)</f>
        <v>Classic Tables 752</v>
      </c>
      <c r="R115" s="3" t="str">
        <f aca="false">IF(TRIM(raw_data!M115)="","Unknown",PROPER(TRIM(raw_data!M115)))</f>
        <v>Standard Class</v>
      </c>
      <c r="S115" s="3" t="str">
        <f aca="false">IF(TRIM(raw_data!M115)="","Filled - Unknown","OK")</f>
        <v>OK</v>
      </c>
      <c r="T115" s="6" t="n">
        <f aca="false">raw_data!N115</f>
        <v>3</v>
      </c>
      <c r="U115" s="7" t="n">
        <f aca="false">raw_data!O115</f>
        <v>1089.15</v>
      </c>
      <c r="V115" s="8" t="n">
        <f aca="false">raw_data!P115</f>
        <v>0.25</v>
      </c>
      <c r="W115" s="8" t="n">
        <f aca="false">IF(raw_data!P115="",0,IF(ISTEXT(raw_data!P115),IF(RIGHT(raw_data!P115,1)="%",VALUE(LEFT(raw_data!P115,LEN(raw_data!P115)-1))/100,VALUE(raw_data!P115)),raw_data!P115))</f>
        <v>0.25</v>
      </c>
      <c r="X115" s="3" t="str">
        <f aca="false">IF(raw_data!P115="","Missing - Defaulted to 0",IF(W115&lt;0,"Negative - Invalid",IF(W115&gt;0.3,"Above Allowed Range - Invalid","Valid")))</f>
        <v>Valid</v>
      </c>
      <c r="Y115" s="7" t="n">
        <f aca="false">raw_data!Q115</f>
        <v>2450.59</v>
      </c>
      <c r="Z115" s="7" t="n">
        <f aca="false">raw_data!R115</f>
        <v>1639.89</v>
      </c>
      <c r="AA115" s="7" t="n">
        <f aca="false">raw_data!S115</f>
        <v>810.7</v>
      </c>
      <c r="AB115" s="3" t="str">
        <f aca="false">PROPER(TRIM(raw_data!T115))</f>
        <v>Paid</v>
      </c>
      <c r="AC115" s="3" t="str">
        <f aca="false">PROPER(TRIM(raw_data!U115))</f>
        <v>Completed</v>
      </c>
      <c r="AD115" s="7" t="n">
        <f aca="false">T115*U115*(1-W115)</f>
        <v>2450.5875</v>
      </c>
      <c r="AE115" s="7" t="n">
        <f aca="false">AD115-Z115</f>
        <v>810.6975</v>
      </c>
      <c r="AF115" s="8" t="n">
        <f aca="false">IF(AD115=0,0,AE115/AD115)</f>
        <v>0.330817610062893</v>
      </c>
      <c r="AG115" s="3" t="str">
        <f aca="false">IF(ABS(Y115-AD115)&gt;1,"Mismatch","OK")</f>
        <v>OK</v>
      </c>
      <c r="AH115" s="3" t="str">
        <f aca="false">IF(ABS(AA115-AE115)&gt;1,"Mismatch","OK")</f>
        <v>OK</v>
      </c>
      <c r="AI115" s="6" t="n">
        <f aca="false">IF(B115="","",MONTH(B115))</f>
        <v>2</v>
      </c>
      <c r="AJ115" s="6" t="n">
        <f aca="false">IF(B115="","",YEAR(B115))</f>
        <v>2024</v>
      </c>
      <c r="AK115" s="3" t="str">
        <f aca="false">IF(COUNTIF(raw_data!$A$2:$A$913,A115)&gt;1,"Conflicting Duplicate - Flagged for Review","Unique")</f>
        <v>Unique</v>
      </c>
      <c r="AL115" s="3" t="str">
        <f aca="false">IF(AB115="Refunded","Yes","No")</f>
        <v>No</v>
      </c>
      <c r="AM115" s="3" t="str">
        <f aca="false">IF(OR(AC115&lt;&gt;"Completed",AB115="Failed"),"Excluded","Included")</f>
        <v>Included</v>
      </c>
      <c r="AN115" s="3" t="str">
        <f aca="false">IF(OR(D115="Invalid/Unrecognized",E115="Invalid/Unrecognized",G115="Invalid - Ship Before Order",X115="Negative - Invalid",X115="Above Allowed Range - Invalid",AG115="Mismatch",AH115="Mismatch",AK115="Conflicting Duplicate - Flagged for Review"),"Invalid",IF(OR(L115="Filled - Unknown",S115="Filled - Unknown",X115="Missing - Defaulted to 0",AL115="Yes",AC115="Cancelled",AC115="Returned"),"Warning","Clean"))</f>
        <v>Clean</v>
      </c>
    </row>
    <row r="116" customFormat="false" ht="15" hidden="false" customHeight="false" outlineLevel="0" collapsed="false">
      <c r="A116" s="3" t="str">
        <f aca="false">raw_data!A116</f>
        <v>ORD-2024-10115</v>
      </c>
      <c r="B116" s="4" t="n">
        <f aca="false">IFERROR(IF(MID(raw_data!B116,3,1)="/",DATE(VALUE(RIGHT(raw_data!B116,4)),VALUE(LEFT(raw_data!B116,2)),VALUE(MID(raw_data!B116,4,2))),IF(MID(raw_data!B116,3,1)="-",DATE(VALUE(RIGHT(raw_data!B116,4)),VALUE(MID(raw_data!B116,4,2)),VALUE(LEFT(raw_data!B116,2))),IF(MID(raw_data!B116,5,1)="-",DATE(VALUE(LEFT(raw_data!B116,4)),VALUE(MID(raw_data!B116,6,2)),VALUE(RIGHT(raw_data!B116,2))),DATE(VALUE(RIGHT(raw_data!B116,4)),MATCH(MID(raw_data!B116,4,3),{"Jan","Feb","Mar","Apr","May","Jun","Jul","Aug","Sep","Oct","Nov","Dec"},0),VALUE(LEFT(raw_data!B116,2)))))),"")</f>
        <v>45560</v>
      </c>
      <c r="C116" s="4" t="n">
        <f aca="false">IFERROR(IF(MID(raw_data!C116,3,1)="/",DATE(VALUE(RIGHT(raw_data!C116,4)),VALUE(LEFT(raw_data!C116,2)),VALUE(MID(raw_data!C116,4,2))),IF(MID(raw_data!C116,3,1)="-",DATE(VALUE(RIGHT(raw_data!C116,4)),VALUE(MID(raw_data!C116,4,2)),VALUE(LEFT(raw_data!C116,2))),IF(MID(raw_data!C116,5,1)="-",DATE(VALUE(LEFT(raw_data!C116,4)),VALUE(MID(raw_data!C116,6,2)),VALUE(RIGHT(raw_data!C116,2))),DATE(VALUE(RIGHT(raw_data!C116,4)),MATCH(MID(raw_data!C116,4,3),{"Jan","Feb","Mar","Apr","May","Jun","Jul","Aug","Sep","Oct","Nov","Dec"},0),VALUE(LEFT(raw_data!C116,2)))))),"")</f>
        <v>45565</v>
      </c>
      <c r="D116" s="3" t="str">
        <f aca="false">IF(TRIM(raw_data!B116)="","Missing",IF(B116="","Invalid/Unrecognized","Valid"))</f>
        <v>Valid</v>
      </c>
      <c r="E116" s="3" t="str">
        <f aca="false">IF(TRIM(raw_data!C116)="","Missing",IF(C116="","Invalid/Unrecognized","Valid"))</f>
        <v>Valid</v>
      </c>
      <c r="F116" s="5" t="n">
        <f aca="false">IF(OR(B116="",C116=""),"",C116-B116)</f>
        <v>5</v>
      </c>
      <c r="G116" s="3" t="str">
        <f aca="false">IF(F116="","N/A",IF(F116&lt;0,"Invalid - Ship Before Order","OK"))</f>
        <v>OK</v>
      </c>
      <c r="H116" s="3" t="str">
        <f aca="false">raw_data!D116</f>
        <v>CUST-2927</v>
      </c>
      <c r="I116" s="3" t="str">
        <f aca="false">PROPER(TRIM(raw_data!E116))</f>
        <v>Neha Gupta</v>
      </c>
      <c r="J116" s="3" t="str">
        <f aca="false">PROPER(TRIM(raw_data!F116))</f>
        <v>Small Business</v>
      </c>
      <c r="K116" s="3" t="str">
        <f aca="false">IF(TRIM(raw_data!G116)="","Unknown",PROPER(TRIM(raw_data!G116)))</f>
        <v>North</v>
      </c>
      <c r="L116" s="3" t="str">
        <f aca="false">IF(TRIM(raw_data!G116)="","Filled - Unknown","OK")</f>
        <v>OK</v>
      </c>
      <c r="M116" s="3" t="str">
        <f aca="false">PROPER(TRIM(raw_data!H116))</f>
        <v>Rajasthan</v>
      </c>
      <c r="N116" s="3" t="str">
        <f aca="false">PROPER(TRIM(raw_data!I116))</f>
        <v>Jaipur</v>
      </c>
      <c r="O116" s="3" t="str">
        <f aca="false">PROPER(TRIM(raw_data!J116))</f>
        <v>Technology</v>
      </c>
      <c r="P116" s="3" t="str">
        <f aca="false">PROPER(TRIM(raw_data!K116))</f>
        <v>Accessories</v>
      </c>
      <c r="Q116" s="3" t="str">
        <f aca="false">TRIM(raw_data!L116)</f>
        <v>Eco Accessories 452</v>
      </c>
      <c r="R116" s="3" t="str">
        <f aca="false">IF(TRIM(raw_data!M116)="","Unknown",PROPER(TRIM(raw_data!M116)))</f>
        <v>Second Class</v>
      </c>
      <c r="S116" s="3" t="str">
        <f aca="false">IF(TRIM(raw_data!M116)="","Filled - Unknown","OK")</f>
        <v>OK</v>
      </c>
      <c r="T116" s="6" t="n">
        <f aca="false">raw_data!N116</f>
        <v>1</v>
      </c>
      <c r="U116" s="7" t="n">
        <f aca="false">raw_data!O116</f>
        <v>4388.4</v>
      </c>
      <c r="V116" s="8" t="n">
        <f aca="false">raw_data!P116</f>
        <v>0.1</v>
      </c>
      <c r="W116" s="8" t="n">
        <f aca="false">IF(raw_data!P116="",0,IF(ISTEXT(raw_data!P116),IF(RIGHT(raw_data!P116,1)="%",VALUE(LEFT(raw_data!P116,LEN(raw_data!P116)-1))/100,VALUE(raw_data!P116)),raw_data!P116))</f>
        <v>0.1</v>
      </c>
      <c r="X116" s="3" t="str">
        <f aca="false">IF(raw_data!P116="","Missing - Defaulted to 0",IF(W116&lt;0,"Negative - Invalid",IF(W116&gt;0.3,"Above Allowed Range - Invalid","Valid")))</f>
        <v>Valid</v>
      </c>
      <c r="Y116" s="7" t="n">
        <f aca="false">raw_data!Q116</f>
        <v>3949.56</v>
      </c>
      <c r="Z116" s="7" t="n">
        <f aca="false">raw_data!R116</f>
        <v>3186.73</v>
      </c>
      <c r="AA116" s="7" t="n">
        <f aca="false">raw_data!S116</f>
        <v>762.83</v>
      </c>
      <c r="AB116" s="3" t="str">
        <f aca="false">PROPER(TRIM(raw_data!T116))</f>
        <v>Pending</v>
      </c>
      <c r="AC116" s="3" t="str">
        <f aca="false">PROPER(TRIM(raw_data!U116))</f>
        <v>Cancelled</v>
      </c>
      <c r="AD116" s="7" t="n">
        <f aca="false">T116*U116*(1-W116)</f>
        <v>3949.56</v>
      </c>
      <c r="AE116" s="7" t="n">
        <f aca="false">AD116-Z116</f>
        <v>762.83</v>
      </c>
      <c r="AF116" s="8" t="n">
        <f aca="false">IF(AD116=0,0,AE116/AD116)</f>
        <v>0.193143033654382</v>
      </c>
      <c r="AG116" s="3" t="str">
        <f aca="false">IF(ABS(Y116-AD116)&gt;1,"Mismatch","OK")</f>
        <v>OK</v>
      </c>
      <c r="AH116" s="3" t="str">
        <f aca="false">IF(ABS(AA116-AE116)&gt;1,"Mismatch","OK")</f>
        <v>OK</v>
      </c>
      <c r="AI116" s="6" t="n">
        <f aca="false">IF(B116="","",MONTH(B116))</f>
        <v>9</v>
      </c>
      <c r="AJ116" s="6" t="n">
        <f aca="false">IF(B116="","",YEAR(B116))</f>
        <v>2024</v>
      </c>
      <c r="AK116" s="3" t="str">
        <f aca="false">IF(COUNTIF(raw_data!$A$2:$A$913,A116)&gt;1,"Conflicting Duplicate - Flagged for Review","Unique")</f>
        <v>Unique</v>
      </c>
      <c r="AL116" s="3" t="str">
        <f aca="false">IF(AB116="Refunded","Yes","No")</f>
        <v>No</v>
      </c>
      <c r="AM116" s="3" t="str">
        <f aca="false">IF(OR(AC116&lt;&gt;"Completed",AB116="Failed"),"Excluded","Included")</f>
        <v>Excluded</v>
      </c>
      <c r="AN116" s="3" t="str">
        <f aca="false">IF(OR(D116="Invalid/Unrecognized",E116="Invalid/Unrecognized",G116="Invalid - Ship Before Order",X116="Negative - Invalid",X116="Above Allowed Range - Invalid",AG116="Mismatch",AH116="Mismatch",AK116="Conflicting Duplicate - Flagged for Review"),"Invalid",IF(OR(L116="Filled - Unknown",S116="Filled - Unknown",X116="Missing - Defaulted to 0",AL116="Yes",AC116="Cancelled",AC116="Returned"),"Warning","Clean"))</f>
        <v>Warning</v>
      </c>
    </row>
    <row r="117" customFormat="false" ht="15" hidden="false" customHeight="false" outlineLevel="0" collapsed="false">
      <c r="A117" s="3" t="str">
        <f aca="false">raw_data!A117</f>
        <v>ORD-2024-10116</v>
      </c>
      <c r="B117" s="4" t="n">
        <f aca="false">IFERROR(IF(MID(raw_data!B117,3,1)="/",DATE(VALUE(RIGHT(raw_data!B117,4)),VALUE(LEFT(raw_data!B117,2)),VALUE(MID(raw_data!B117,4,2))),IF(MID(raw_data!B117,3,1)="-",DATE(VALUE(RIGHT(raw_data!B117,4)),VALUE(MID(raw_data!B117,4,2)),VALUE(LEFT(raw_data!B117,2))),IF(MID(raw_data!B117,5,1)="-",DATE(VALUE(LEFT(raw_data!B117,4)),VALUE(MID(raw_data!B117,6,2)),VALUE(RIGHT(raw_data!B117,2))),DATE(VALUE(RIGHT(raw_data!B117,4)),MATCH(MID(raw_data!B117,4,3),{"Jan","Feb","Mar","Apr","May","Jun","Jul","Aug","Sep","Oct","Nov","Dec"},0),VALUE(LEFT(raw_data!B117,2)))))),"")</f>
        <v>45653</v>
      </c>
      <c r="C117" s="4" t="n">
        <f aca="false">IFERROR(IF(MID(raw_data!C117,3,1)="/",DATE(VALUE(RIGHT(raw_data!C117,4)),VALUE(LEFT(raw_data!C117,2)),VALUE(MID(raw_data!C117,4,2))),IF(MID(raw_data!C117,3,1)="-",DATE(VALUE(RIGHT(raw_data!C117,4)),VALUE(MID(raw_data!C117,4,2)),VALUE(LEFT(raw_data!C117,2))),IF(MID(raw_data!C117,5,1)="-",DATE(VALUE(LEFT(raw_data!C117,4)),VALUE(MID(raw_data!C117,6,2)),VALUE(RIGHT(raw_data!C117,2))),DATE(VALUE(RIGHT(raw_data!C117,4)),MATCH(MID(raw_data!C117,4,3),{"Jan","Feb","Mar","Apr","May","Jun","Jul","Aug","Sep","Oct","Nov","Dec"},0),VALUE(LEFT(raw_data!C117,2)))))),"")</f>
        <v>45658</v>
      </c>
      <c r="D117" s="3" t="str">
        <f aca="false">IF(TRIM(raw_data!B117)="","Missing",IF(B117="","Invalid/Unrecognized","Valid"))</f>
        <v>Valid</v>
      </c>
      <c r="E117" s="3" t="str">
        <f aca="false">IF(TRIM(raw_data!C117)="","Missing",IF(C117="","Invalid/Unrecognized","Valid"))</f>
        <v>Valid</v>
      </c>
      <c r="F117" s="5" t="n">
        <f aca="false">IF(OR(B117="",C117=""),"",C117-B117)</f>
        <v>5</v>
      </c>
      <c r="G117" s="3" t="str">
        <f aca="false">IF(F117="","N/A",IF(F117&lt;0,"Invalid - Ship Before Order","OK"))</f>
        <v>OK</v>
      </c>
      <c r="H117" s="3" t="str">
        <f aca="false">raw_data!D117</f>
        <v>CUST-7764</v>
      </c>
      <c r="I117" s="3" t="str">
        <f aca="false">PROPER(TRIM(raw_data!E117))</f>
        <v>Kabir Singh</v>
      </c>
      <c r="J117" s="3" t="str">
        <f aca="false">PROPER(TRIM(raw_data!F117))</f>
        <v>Corporate</v>
      </c>
      <c r="K117" s="3" t="str">
        <f aca="false">IF(TRIM(raw_data!G117)="","Unknown",PROPER(TRIM(raw_data!G117)))</f>
        <v>South</v>
      </c>
      <c r="L117" s="3" t="str">
        <f aca="false">IF(TRIM(raw_data!G117)="","Filled - Unknown","OK")</f>
        <v>OK</v>
      </c>
      <c r="M117" s="3" t="str">
        <f aca="false">PROPER(TRIM(raw_data!H117))</f>
        <v>Tamil Nadu</v>
      </c>
      <c r="N117" s="3" t="str">
        <f aca="false">PROPER(TRIM(raw_data!I117))</f>
        <v>Chennai</v>
      </c>
      <c r="O117" s="3" t="str">
        <f aca="false">PROPER(TRIM(raw_data!J117))</f>
        <v>Office Supplies</v>
      </c>
      <c r="P117" s="3" t="str">
        <f aca="false">PROPER(TRIM(raw_data!K117))</f>
        <v>Binders</v>
      </c>
      <c r="Q117" s="3" t="str">
        <f aca="false">TRIM(raw_data!L117)</f>
        <v>Classic Binders 203</v>
      </c>
      <c r="R117" s="3" t="str">
        <f aca="false">IF(TRIM(raw_data!M117)="","Unknown",PROPER(TRIM(raw_data!M117)))</f>
        <v>Same Day</v>
      </c>
      <c r="S117" s="3" t="str">
        <f aca="false">IF(TRIM(raw_data!M117)="","Filled - Unknown","OK")</f>
        <v>OK</v>
      </c>
      <c r="T117" s="6" t="n">
        <f aca="false">raw_data!N117</f>
        <v>2</v>
      </c>
      <c r="U117" s="7" t="n">
        <f aca="false">raw_data!O117</f>
        <v>446.34</v>
      </c>
      <c r="V117" s="8" t="n">
        <f aca="false">raw_data!P117</f>
        <v>0.15</v>
      </c>
      <c r="W117" s="8" t="n">
        <f aca="false">IF(raw_data!P117="",0,IF(ISTEXT(raw_data!P117),IF(RIGHT(raw_data!P117,1)="%",VALUE(LEFT(raw_data!P117,LEN(raw_data!P117)-1))/100,VALUE(raw_data!P117)),raw_data!P117))</f>
        <v>0.15</v>
      </c>
      <c r="X117" s="3" t="str">
        <f aca="false">IF(raw_data!P117="","Missing - Defaulted to 0",IF(W117&lt;0,"Negative - Invalid",IF(W117&gt;0.3,"Above Allowed Range - Invalid","Valid")))</f>
        <v>Valid</v>
      </c>
      <c r="Y117" s="7" t="n">
        <f aca="false">raw_data!Q117</f>
        <v>758.78</v>
      </c>
      <c r="Z117" s="7" t="n">
        <f aca="false">raw_data!R117</f>
        <v>490.74</v>
      </c>
      <c r="AA117" s="7" t="n">
        <f aca="false">raw_data!S117</f>
        <v>268.04</v>
      </c>
      <c r="AB117" s="3" t="str">
        <f aca="false">PROPER(TRIM(raw_data!T117))</f>
        <v>Paid</v>
      </c>
      <c r="AC117" s="3" t="str">
        <f aca="false">PROPER(TRIM(raw_data!U117))</f>
        <v>Cancelled</v>
      </c>
      <c r="AD117" s="7" t="n">
        <f aca="false">T117*U117*(1-W117)</f>
        <v>758.778</v>
      </c>
      <c r="AE117" s="7" t="n">
        <f aca="false">AD117-Z117</f>
        <v>268.038</v>
      </c>
      <c r="AF117" s="8" t="n">
        <f aca="false">IF(AD117=0,0,AE117/AD117)</f>
        <v>0.353249567067047</v>
      </c>
      <c r="AG117" s="3" t="str">
        <f aca="false">IF(ABS(Y117-AD117)&gt;1,"Mismatch","OK")</f>
        <v>OK</v>
      </c>
      <c r="AH117" s="3" t="str">
        <f aca="false">IF(ABS(AA117-AE117)&gt;1,"Mismatch","OK")</f>
        <v>OK</v>
      </c>
      <c r="AI117" s="6" t="n">
        <f aca="false">IF(B117="","",MONTH(B117))</f>
        <v>12</v>
      </c>
      <c r="AJ117" s="6" t="n">
        <f aca="false">IF(B117="","",YEAR(B117))</f>
        <v>2024</v>
      </c>
      <c r="AK117" s="3" t="str">
        <f aca="false">IF(COUNTIF(raw_data!$A$2:$A$913,A117)&gt;1,"Conflicting Duplicate - Flagged for Review","Unique")</f>
        <v>Unique</v>
      </c>
      <c r="AL117" s="3" t="str">
        <f aca="false">IF(AB117="Refunded","Yes","No")</f>
        <v>No</v>
      </c>
      <c r="AM117" s="3" t="str">
        <f aca="false">IF(OR(AC117&lt;&gt;"Completed",AB117="Failed"),"Excluded","Included")</f>
        <v>Excluded</v>
      </c>
      <c r="AN117" s="3" t="str">
        <f aca="false">IF(OR(D117="Invalid/Unrecognized",E117="Invalid/Unrecognized",G117="Invalid - Ship Before Order",X117="Negative - Invalid",X117="Above Allowed Range - Invalid",AG117="Mismatch",AH117="Mismatch",AK117="Conflicting Duplicate - Flagged for Review"),"Invalid",IF(OR(L117="Filled - Unknown",S117="Filled - Unknown",X117="Missing - Defaulted to 0",AL117="Yes",AC117="Cancelled",AC117="Returned"),"Warning","Clean"))</f>
        <v>Warning</v>
      </c>
    </row>
    <row r="118" customFormat="false" ht="15" hidden="false" customHeight="false" outlineLevel="0" collapsed="false">
      <c r="A118" s="3" t="str">
        <f aca="false">raw_data!A118</f>
        <v>ORD-2025-10117</v>
      </c>
      <c r="B118" s="4" t="n">
        <f aca="false">IFERROR(IF(MID(raw_data!B118,3,1)="/",DATE(VALUE(RIGHT(raw_data!B118,4)),VALUE(LEFT(raw_data!B118,2)),VALUE(MID(raw_data!B118,4,2))),IF(MID(raw_data!B118,3,1)="-",DATE(VALUE(RIGHT(raw_data!B118,4)),VALUE(MID(raw_data!B118,4,2)),VALUE(LEFT(raw_data!B118,2))),IF(MID(raw_data!B118,5,1)="-",DATE(VALUE(LEFT(raw_data!B118,4)),VALUE(MID(raw_data!B118,6,2)),VALUE(RIGHT(raw_data!B118,2))),DATE(VALUE(RIGHT(raw_data!B118,4)),MATCH(MID(raw_data!B118,4,3),{"Jan","Feb","Mar","Apr","May","Jun","Jul","Aug","Sep","Oct","Nov","Dec"},0),VALUE(LEFT(raw_data!B118,2)))))),"")</f>
        <v>45703</v>
      </c>
      <c r="C118" s="4" t="n">
        <f aca="false">IFERROR(IF(MID(raw_data!C118,3,1)="/",DATE(VALUE(RIGHT(raw_data!C118,4)),VALUE(LEFT(raw_data!C118,2)),VALUE(MID(raw_data!C118,4,2))),IF(MID(raw_data!C118,3,1)="-",DATE(VALUE(RIGHT(raw_data!C118,4)),VALUE(MID(raw_data!C118,4,2)),VALUE(LEFT(raw_data!C118,2))),IF(MID(raw_data!C118,5,1)="-",DATE(VALUE(LEFT(raw_data!C118,4)),VALUE(MID(raw_data!C118,6,2)),VALUE(RIGHT(raw_data!C118,2))),DATE(VALUE(RIGHT(raw_data!C118,4)),MATCH(MID(raw_data!C118,4,3),{"Jan","Feb","Mar","Apr","May","Jun","Jul","Aug","Sep","Oct","Nov","Dec"},0),VALUE(LEFT(raw_data!C118,2)))))),"")</f>
        <v>45707</v>
      </c>
      <c r="D118" s="3" t="str">
        <f aca="false">IF(TRIM(raw_data!B118)="","Missing",IF(B118="","Invalid/Unrecognized","Valid"))</f>
        <v>Valid</v>
      </c>
      <c r="E118" s="3" t="str">
        <f aca="false">IF(TRIM(raw_data!C118)="","Missing",IF(C118="","Invalid/Unrecognized","Valid"))</f>
        <v>Valid</v>
      </c>
      <c r="F118" s="5" t="n">
        <f aca="false">IF(OR(B118="",C118=""),"",C118-B118)</f>
        <v>4</v>
      </c>
      <c r="G118" s="3" t="str">
        <f aca="false">IF(F118="","N/A",IF(F118&lt;0,"Invalid - Ship Before Order","OK"))</f>
        <v>OK</v>
      </c>
      <c r="H118" s="3" t="str">
        <f aca="false">raw_data!D118</f>
        <v>CUST-3632</v>
      </c>
      <c r="I118" s="3" t="str">
        <f aca="false">PROPER(TRIM(raw_data!E118))</f>
        <v>Ananya Rao</v>
      </c>
      <c r="J118" s="3" t="str">
        <f aca="false">PROPER(TRIM(raw_data!F118))</f>
        <v>Small Business</v>
      </c>
      <c r="K118" s="3" t="str">
        <f aca="false">IF(TRIM(raw_data!G118)="","Unknown",PROPER(TRIM(raw_data!G118)))</f>
        <v>Unknown</v>
      </c>
      <c r="L118" s="3" t="str">
        <f aca="false">IF(TRIM(raw_data!G118)="","Filled - Unknown","OK")</f>
        <v>Filled - Unknown</v>
      </c>
      <c r="M118" s="3" t="str">
        <f aca="false">PROPER(TRIM(raw_data!H118))</f>
        <v>Madhya Pradesh</v>
      </c>
      <c r="N118" s="3" t="str">
        <f aca="false">PROPER(TRIM(raw_data!I118))</f>
        <v>Indore</v>
      </c>
      <c r="O118" s="3" t="str">
        <f aca="false">PROPER(TRIM(raw_data!J118))</f>
        <v>Office Supplies</v>
      </c>
      <c r="P118" s="3" t="str">
        <f aca="false">PROPER(TRIM(raw_data!K118))</f>
        <v>Binders</v>
      </c>
      <c r="Q118" s="3" t="str">
        <f aca="false">TRIM(raw_data!L118)</f>
        <v>Basic Binders 859</v>
      </c>
      <c r="R118" s="3" t="str">
        <f aca="false">IF(TRIM(raw_data!M118)="","Unknown",PROPER(TRIM(raw_data!M118)))</f>
        <v>First Class</v>
      </c>
      <c r="S118" s="3" t="str">
        <f aca="false">IF(TRIM(raw_data!M118)="","Filled - Unknown","OK")</f>
        <v>OK</v>
      </c>
      <c r="T118" s="6" t="n">
        <f aca="false">raw_data!N118</f>
        <v>9</v>
      </c>
      <c r="U118" s="7" t="n">
        <f aca="false">raw_data!O118</f>
        <v>531.99</v>
      </c>
      <c r="V118" s="8" t="n">
        <f aca="false">raw_data!P118</f>
        <v>0.25</v>
      </c>
      <c r="W118" s="8" t="n">
        <f aca="false">IF(raw_data!P118="",0,IF(ISTEXT(raw_data!P118),IF(RIGHT(raw_data!P118,1)="%",VALUE(LEFT(raw_data!P118,LEN(raw_data!P118)-1))/100,VALUE(raw_data!P118)),raw_data!P118))</f>
        <v>0.25</v>
      </c>
      <c r="X118" s="3" t="str">
        <f aca="false">IF(raw_data!P118="","Missing - Defaulted to 0",IF(W118&lt;0,"Negative - Invalid",IF(W118&gt;0.3,"Above Allowed Range - Invalid","Valid")))</f>
        <v>Valid</v>
      </c>
      <c r="Y118" s="7" t="n">
        <f aca="false">raw_data!Q118</f>
        <v>3590.93</v>
      </c>
      <c r="Z118" s="7" t="n">
        <f aca="false">raw_data!R118</f>
        <v>3061.39</v>
      </c>
      <c r="AA118" s="7" t="n">
        <f aca="false">raw_data!S118</f>
        <v>529.54</v>
      </c>
      <c r="AB118" s="3" t="str">
        <f aca="false">PROPER(TRIM(raw_data!T118))</f>
        <v>Failed</v>
      </c>
      <c r="AC118" s="3" t="str">
        <f aca="false">PROPER(TRIM(raw_data!U118))</f>
        <v>Cancelled</v>
      </c>
      <c r="AD118" s="7" t="n">
        <f aca="false">T118*U118*(1-W118)</f>
        <v>3590.9325</v>
      </c>
      <c r="AE118" s="7" t="n">
        <f aca="false">AD118-Z118</f>
        <v>529.5425</v>
      </c>
      <c r="AF118" s="8" t="n">
        <f aca="false">IF(AD118=0,0,AE118/AD118)</f>
        <v>0.147466570312864</v>
      </c>
      <c r="AG118" s="3" t="str">
        <f aca="false">IF(ABS(Y118-AD118)&gt;1,"Mismatch","OK")</f>
        <v>OK</v>
      </c>
      <c r="AH118" s="3" t="str">
        <f aca="false">IF(ABS(AA118-AE118)&gt;1,"Mismatch","OK")</f>
        <v>OK</v>
      </c>
      <c r="AI118" s="6" t="n">
        <f aca="false">IF(B118="","",MONTH(B118))</f>
        <v>2</v>
      </c>
      <c r="AJ118" s="6" t="n">
        <f aca="false">IF(B118="","",YEAR(B118))</f>
        <v>2025</v>
      </c>
      <c r="AK118" s="3" t="str">
        <f aca="false">IF(COUNTIF(raw_data!$A$2:$A$913,A118)&gt;1,"Conflicting Duplicate - Flagged for Review","Unique")</f>
        <v>Unique</v>
      </c>
      <c r="AL118" s="3" t="str">
        <f aca="false">IF(AB118="Refunded","Yes","No")</f>
        <v>No</v>
      </c>
      <c r="AM118" s="3" t="str">
        <f aca="false">IF(OR(AC118&lt;&gt;"Completed",AB118="Failed"),"Excluded","Included")</f>
        <v>Excluded</v>
      </c>
      <c r="AN118" s="3" t="str">
        <f aca="false">IF(OR(D118="Invalid/Unrecognized",E118="Invalid/Unrecognized",G118="Invalid - Ship Before Order",X118="Negative - Invalid",X118="Above Allowed Range - Invalid",AG118="Mismatch",AH118="Mismatch",AK118="Conflicting Duplicate - Flagged for Review"),"Invalid",IF(OR(L118="Filled - Unknown",S118="Filled - Unknown",X118="Missing - Defaulted to 0",AL118="Yes",AC118="Cancelled",AC118="Returned"),"Warning","Clean"))</f>
        <v>Warning</v>
      </c>
    </row>
    <row r="119" customFormat="false" ht="15" hidden="false" customHeight="false" outlineLevel="0" collapsed="false">
      <c r="A119" s="3" t="str">
        <f aca="false">raw_data!A119</f>
        <v>ORD-2024-10118</v>
      </c>
      <c r="B119" s="4" t="n">
        <f aca="false">IFERROR(IF(MID(raw_data!B119,3,1)="/",DATE(VALUE(RIGHT(raw_data!B119,4)),VALUE(LEFT(raw_data!B119,2)),VALUE(MID(raw_data!B119,4,2))),IF(MID(raw_data!B119,3,1)="-",DATE(VALUE(RIGHT(raw_data!B119,4)),VALUE(MID(raw_data!B119,4,2)),VALUE(LEFT(raw_data!B119,2))),IF(MID(raw_data!B119,5,1)="-",DATE(VALUE(LEFT(raw_data!B119,4)),VALUE(MID(raw_data!B119,6,2)),VALUE(RIGHT(raw_data!B119,2))),DATE(VALUE(RIGHT(raw_data!B119,4)),MATCH(MID(raw_data!B119,4,3),{"Jan","Feb","Mar","Apr","May","Jun","Jul","Aug","Sep","Oct","Nov","Dec"},0),VALUE(LEFT(raw_data!B119,2)))))),"")</f>
        <v>45337</v>
      </c>
      <c r="C119" s="4" t="n">
        <f aca="false">IFERROR(IF(MID(raw_data!C119,3,1)="/",DATE(VALUE(RIGHT(raw_data!C119,4)),VALUE(LEFT(raw_data!C119,2)),VALUE(MID(raw_data!C119,4,2))),IF(MID(raw_data!C119,3,1)="-",DATE(VALUE(RIGHT(raw_data!C119,4)),VALUE(MID(raw_data!C119,4,2)),VALUE(LEFT(raw_data!C119,2))),IF(MID(raw_data!C119,5,1)="-",DATE(VALUE(LEFT(raw_data!C119,4)),VALUE(MID(raw_data!C119,6,2)),VALUE(RIGHT(raw_data!C119,2))),DATE(VALUE(RIGHT(raw_data!C119,4)),MATCH(MID(raw_data!C119,4,3),{"Jan","Feb","Mar","Apr","May","Jun","Jul","Aug","Sep","Oct","Nov","Dec"},0),VALUE(LEFT(raw_data!C119,2)))))),"")</f>
        <v>45339</v>
      </c>
      <c r="D119" s="3" t="str">
        <f aca="false">IF(TRIM(raw_data!B119)="","Missing",IF(B119="","Invalid/Unrecognized","Valid"))</f>
        <v>Valid</v>
      </c>
      <c r="E119" s="3" t="str">
        <f aca="false">IF(TRIM(raw_data!C119)="","Missing",IF(C119="","Invalid/Unrecognized","Valid"))</f>
        <v>Valid</v>
      </c>
      <c r="F119" s="5" t="n">
        <f aca="false">IF(OR(B119="",C119=""),"",C119-B119)</f>
        <v>2</v>
      </c>
      <c r="G119" s="3" t="str">
        <f aca="false">IF(F119="","N/A",IF(F119&lt;0,"Invalid - Ship Before Order","OK"))</f>
        <v>OK</v>
      </c>
      <c r="H119" s="3" t="str">
        <f aca="false">raw_data!D119</f>
        <v>CUST-9608</v>
      </c>
      <c r="I119" s="3" t="str">
        <f aca="false">PROPER(TRIM(raw_data!E119))</f>
        <v>Mira Das</v>
      </c>
      <c r="J119" s="3" t="str">
        <f aca="false">PROPER(TRIM(raw_data!F119))</f>
        <v>Home Office</v>
      </c>
      <c r="K119" s="3" t="str">
        <f aca="false">IF(TRIM(raw_data!G119)="","Unknown",PROPER(TRIM(raw_data!G119)))</f>
        <v>South</v>
      </c>
      <c r="L119" s="3" t="str">
        <f aca="false">IF(TRIM(raw_data!G119)="","Filled - Unknown","OK")</f>
        <v>OK</v>
      </c>
      <c r="M119" s="3" t="str">
        <f aca="false">PROPER(TRIM(raw_data!H119))</f>
        <v>Tamil Nadu</v>
      </c>
      <c r="N119" s="3" t="str">
        <f aca="false">PROPER(TRIM(raw_data!I119))</f>
        <v>Chennai</v>
      </c>
      <c r="O119" s="3" t="str">
        <f aca="false">PROPER(TRIM(raw_data!J119))</f>
        <v>Technology</v>
      </c>
      <c r="P119" s="3" t="str">
        <f aca="false">PROPER(TRIM(raw_data!K119))</f>
        <v>Machines</v>
      </c>
      <c r="Q119" s="3" t="str">
        <f aca="false">TRIM(raw_data!L119)</f>
        <v>Elite Machines 705</v>
      </c>
      <c r="R119" s="3" t="str">
        <f aca="false">IF(TRIM(raw_data!M119)="","Unknown",PROPER(TRIM(raw_data!M119)))</f>
        <v>Standard Class</v>
      </c>
      <c r="S119" s="3" t="str">
        <f aca="false">IF(TRIM(raw_data!M119)="","Filled - Unknown","OK")</f>
        <v>OK</v>
      </c>
      <c r="T119" s="6" t="n">
        <f aca="false">raw_data!N119</f>
        <v>9</v>
      </c>
      <c r="U119" s="7" t="n">
        <f aca="false">raw_data!O119</f>
        <v>3324.55</v>
      </c>
      <c r="V119" s="8" t="str">
        <f aca="false">raw_data!P119</f>
        <v>70%</v>
      </c>
      <c r="W119" s="8" t="n">
        <f aca="false">IF(raw_data!P119="",0,IF(ISTEXT(raw_data!P119),IF(RIGHT(raw_data!P119,1)="%",VALUE(LEFT(raw_data!P119,LEN(raw_data!P119)-1))/100,VALUE(raw_data!P119)),raw_data!P119))</f>
        <v>0.7</v>
      </c>
      <c r="X119" s="3" t="str">
        <f aca="false">IF(raw_data!P119="","Missing - Defaulted to 0",IF(W119&lt;0,"Negative - Invalid",IF(W119&gt;0.3,"Above Allowed Range - Invalid","Valid")))</f>
        <v>Above Allowed Range - Invalid</v>
      </c>
      <c r="Y119" s="7" t="n">
        <f aca="false">raw_data!Q119</f>
        <v>25432.81</v>
      </c>
      <c r="Z119" s="7" t="n">
        <f aca="false">raw_data!R119</f>
        <v>20370.16</v>
      </c>
      <c r="AA119" s="7" t="n">
        <f aca="false">raw_data!S119</f>
        <v>5062.65</v>
      </c>
      <c r="AB119" s="3" t="str">
        <f aca="false">PROPER(TRIM(raw_data!T119))</f>
        <v>Paid</v>
      </c>
      <c r="AC119" s="3" t="str">
        <f aca="false">PROPER(TRIM(raw_data!U119))</f>
        <v>Completed</v>
      </c>
      <c r="AD119" s="7" t="n">
        <f aca="false">T119*U119*(1-W119)</f>
        <v>8976.285</v>
      </c>
      <c r="AE119" s="7" t="n">
        <f aca="false">AD119-Z119</f>
        <v>-11393.875</v>
      </c>
      <c r="AF119" s="8" t="n">
        <f aca="false">IF(AD119=0,0,AE119/AD119)</f>
        <v>-1.26933079776322</v>
      </c>
      <c r="AG119" s="3" t="str">
        <f aca="false">IF(ABS(Y119-AD119)&gt;1,"Mismatch","OK")</f>
        <v>Mismatch</v>
      </c>
      <c r="AH119" s="3" t="str">
        <f aca="false">IF(ABS(AA119-AE119)&gt;1,"Mismatch","OK")</f>
        <v>Mismatch</v>
      </c>
      <c r="AI119" s="6" t="n">
        <f aca="false">IF(B119="","",MONTH(B119))</f>
        <v>2</v>
      </c>
      <c r="AJ119" s="6" t="n">
        <f aca="false">IF(B119="","",YEAR(B119))</f>
        <v>2024</v>
      </c>
      <c r="AK119" s="3" t="str">
        <f aca="false">IF(COUNTIF(raw_data!$A$2:$A$913,A119)&gt;1,"Conflicting Duplicate - Flagged for Review","Unique")</f>
        <v>Unique</v>
      </c>
      <c r="AL119" s="3" t="str">
        <f aca="false">IF(AB119="Refunded","Yes","No")</f>
        <v>No</v>
      </c>
      <c r="AM119" s="3" t="str">
        <f aca="false">IF(OR(AC119&lt;&gt;"Completed",AB119="Failed"),"Excluded","Included")</f>
        <v>Included</v>
      </c>
      <c r="AN119" s="3" t="str">
        <f aca="false">IF(OR(D119="Invalid/Unrecognized",E119="Invalid/Unrecognized",G119="Invalid - Ship Before Order",X119="Negative - Invalid",X119="Above Allowed Range - Invalid",AG119="Mismatch",AH119="Mismatch",AK119="Conflicting Duplicate - Flagged for Review"),"Invalid",IF(OR(L119="Filled - Unknown",S119="Filled - Unknown",X119="Missing - Defaulted to 0",AL119="Yes",AC119="Cancelled",AC119="Returned"),"Warning","Clean"))</f>
        <v>Invalid</v>
      </c>
    </row>
    <row r="120" customFormat="false" ht="15" hidden="false" customHeight="false" outlineLevel="0" collapsed="false">
      <c r="A120" s="3" t="str">
        <f aca="false">raw_data!A120</f>
        <v>ORD-2024-10119</v>
      </c>
      <c r="B120" s="4" t="n">
        <f aca="false">IFERROR(IF(MID(raw_data!B120,3,1)="/",DATE(VALUE(RIGHT(raw_data!B120,4)),VALUE(LEFT(raw_data!B120,2)),VALUE(MID(raw_data!B120,4,2))),IF(MID(raw_data!B120,3,1)="-",DATE(VALUE(RIGHT(raw_data!B120,4)),VALUE(MID(raw_data!B120,4,2)),VALUE(LEFT(raw_data!B120,2))),IF(MID(raw_data!B120,5,1)="-",DATE(VALUE(LEFT(raw_data!B120,4)),VALUE(MID(raw_data!B120,6,2)),VALUE(RIGHT(raw_data!B120,2))),DATE(VALUE(RIGHT(raw_data!B120,4)),MATCH(MID(raw_data!B120,4,3),{"Jan","Feb","Mar","Apr","May","Jun","Jul","Aug","Sep","Oct","Nov","Dec"},0),VALUE(LEFT(raw_data!B120,2)))))),"")</f>
        <v>45453</v>
      </c>
      <c r="C120" s="4" t="n">
        <f aca="false">IFERROR(IF(MID(raw_data!C120,3,1)="/",DATE(VALUE(RIGHT(raw_data!C120,4)),VALUE(LEFT(raw_data!C120,2)),VALUE(MID(raw_data!C120,4,2))),IF(MID(raw_data!C120,3,1)="-",DATE(VALUE(RIGHT(raw_data!C120,4)),VALUE(MID(raw_data!C120,4,2)),VALUE(LEFT(raw_data!C120,2))),IF(MID(raw_data!C120,5,1)="-",DATE(VALUE(LEFT(raw_data!C120,4)),VALUE(MID(raw_data!C120,6,2)),VALUE(RIGHT(raw_data!C120,2))),DATE(VALUE(RIGHT(raw_data!C120,4)),MATCH(MID(raw_data!C120,4,3),{"Jan","Feb","Mar","Apr","May","Jun","Jul","Aug","Sep","Oct","Nov","Dec"},0),VALUE(LEFT(raw_data!C120,2)))))),"")</f>
        <v>45461</v>
      </c>
      <c r="D120" s="3" t="str">
        <f aca="false">IF(TRIM(raw_data!B120)="","Missing",IF(B120="","Invalid/Unrecognized","Valid"))</f>
        <v>Valid</v>
      </c>
      <c r="E120" s="3" t="str">
        <f aca="false">IF(TRIM(raw_data!C120)="","Missing",IF(C120="","Invalid/Unrecognized","Valid"))</f>
        <v>Valid</v>
      </c>
      <c r="F120" s="5" t="n">
        <f aca="false">IF(OR(B120="",C120=""),"",C120-B120)</f>
        <v>8</v>
      </c>
      <c r="G120" s="3" t="str">
        <f aca="false">IF(F120="","N/A",IF(F120&lt;0,"Invalid - Ship Before Order","OK"))</f>
        <v>OK</v>
      </c>
      <c r="H120" s="3" t="str">
        <f aca="false">raw_data!D120</f>
        <v>CUST-9135</v>
      </c>
      <c r="I120" s="3" t="str">
        <f aca="false">PROPER(TRIM(raw_data!E120))</f>
        <v>Vikram Iyer</v>
      </c>
      <c r="J120" s="3" t="str">
        <f aca="false">PROPER(TRIM(raw_data!F120))</f>
        <v>Home Office</v>
      </c>
      <c r="K120" s="3" t="str">
        <f aca="false">IF(TRIM(raw_data!G120)="","Unknown",PROPER(TRIM(raw_data!G120)))</f>
        <v>South</v>
      </c>
      <c r="L120" s="3" t="str">
        <f aca="false">IF(TRIM(raw_data!G120)="","Filled - Unknown","OK")</f>
        <v>OK</v>
      </c>
      <c r="M120" s="3" t="str">
        <f aca="false">PROPER(TRIM(raw_data!H120))</f>
        <v>Andhra Pradesh</v>
      </c>
      <c r="N120" s="3" t="str">
        <f aca="false">PROPER(TRIM(raw_data!I120))</f>
        <v>Vijayawada</v>
      </c>
      <c r="O120" s="3" t="str">
        <f aca="false">PROPER(TRIM(raw_data!J120))</f>
        <v>Technology</v>
      </c>
      <c r="P120" s="3" t="str">
        <f aca="false">PROPER(TRIM(raw_data!K120))</f>
        <v>Copiers</v>
      </c>
      <c r="Q120" s="3" t="str">
        <f aca="false">TRIM(raw_data!L120)</f>
        <v>Pro Copiers 208</v>
      </c>
      <c r="R120" s="3" t="str">
        <f aca="false">IF(TRIM(raw_data!M120)="","Unknown",PROPER(TRIM(raw_data!M120)))</f>
        <v>Same Day</v>
      </c>
      <c r="S120" s="3" t="str">
        <f aca="false">IF(TRIM(raw_data!M120)="","Filled - Unknown","OK")</f>
        <v>OK</v>
      </c>
      <c r="T120" s="6" t="n">
        <f aca="false">raw_data!N120</f>
        <v>5</v>
      </c>
      <c r="U120" s="7" t="n">
        <f aca="false">raw_data!O120</f>
        <v>1580.27</v>
      </c>
      <c r="V120" s="8" t="n">
        <f aca="false">raw_data!P120</f>
        <v>0.2</v>
      </c>
      <c r="W120" s="8" t="n">
        <f aca="false">IF(raw_data!P120="",0,IF(ISTEXT(raw_data!P120),IF(RIGHT(raw_data!P120,1)="%",VALUE(LEFT(raw_data!P120,LEN(raw_data!P120)-1))/100,VALUE(raw_data!P120)),raw_data!P120))</f>
        <v>0.2</v>
      </c>
      <c r="X120" s="3" t="str">
        <f aca="false">IF(raw_data!P120="","Missing - Defaulted to 0",IF(W120&lt;0,"Negative - Invalid",IF(W120&gt;0.3,"Above Allowed Range - Invalid","Valid")))</f>
        <v>Valid</v>
      </c>
      <c r="Y120" s="7" t="n">
        <f aca="false">raw_data!Q120</f>
        <v>6321.08</v>
      </c>
      <c r="Z120" s="7" t="n">
        <f aca="false">raw_data!R120</f>
        <v>4407.22</v>
      </c>
      <c r="AA120" s="7" t="n">
        <f aca="false">raw_data!S120</f>
        <v>1913.86</v>
      </c>
      <c r="AB120" s="3" t="str">
        <f aca="false">PROPER(TRIM(raw_data!T120))</f>
        <v>Paid</v>
      </c>
      <c r="AC120" s="3" t="str">
        <f aca="false">PROPER(TRIM(raw_data!U120))</f>
        <v>Completed</v>
      </c>
      <c r="AD120" s="7" t="n">
        <f aca="false">T120*U120*(1-W120)</f>
        <v>6321.08</v>
      </c>
      <c r="AE120" s="7" t="n">
        <f aca="false">AD120-Z120</f>
        <v>1913.86</v>
      </c>
      <c r="AF120" s="8" t="n">
        <f aca="false">IF(AD120=0,0,AE120/AD120)</f>
        <v>0.302774209470534</v>
      </c>
      <c r="AG120" s="3" t="str">
        <f aca="false">IF(ABS(Y120-AD120)&gt;1,"Mismatch","OK")</f>
        <v>OK</v>
      </c>
      <c r="AH120" s="3" t="str">
        <f aca="false">IF(ABS(AA120-AE120)&gt;1,"Mismatch","OK")</f>
        <v>OK</v>
      </c>
      <c r="AI120" s="6" t="n">
        <f aca="false">IF(B120="","",MONTH(B120))</f>
        <v>6</v>
      </c>
      <c r="AJ120" s="6" t="n">
        <f aca="false">IF(B120="","",YEAR(B120))</f>
        <v>2024</v>
      </c>
      <c r="AK120" s="3" t="str">
        <f aca="false">IF(COUNTIF(raw_data!$A$2:$A$913,A120)&gt;1,"Conflicting Duplicate - Flagged for Review","Unique")</f>
        <v>Unique</v>
      </c>
      <c r="AL120" s="3" t="str">
        <f aca="false">IF(AB120="Refunded","Yes","No")</f>
        <v>No</v>
      </c>
      <c r="AM120" s="3" t="str">
        <f aca="false">IF(OR(AC120&lt;&gt;"Completed",AB120="Failed"),"Excluded","Included")</f>
        <v>Included</v>
      </c>
      <c r="AN120" s="3" t="str">
        <f aca="false">IF(OR(D120="Invalid/Unrecognized",E120="Invalid/Unrecognized",G120="Invalid - Ship Before Order",X120="Negative - Invalid",X120="Above Allowed Range - Invalid",AG120="Mismatch",AH120="Mismatch",AK120="Conflicting Duplicate - Flagged for Review"),"Invalid",IF(OR(L120="Filled - Unknown",S120="Filled - Unknown",X120="Missing - Defaulted to 0",AL120="Yes",AC120="Cancelled",AC120="Returned"),"Warning","Clean"))</f>
        <v>Clean</v>
      </c>
    </row>
    <row r="121" customFormat="false" ht="15" hidden="false" customHeight="false" outlineLevel="0" collapsed="false">
      <c r="A121" s="3" t="str">
        <f aca="false">raw_data!A121</f>
        <v>ORD-2024-10120</v>
      </c>
      <c r="B121" s="4" t="n">
        <f aca="false">IFERROR(IF(MID(raw_data!B121,3,1)="/",DATE(VALUE(RIGHT(raw_data!B121,4)),VALUE(LEFT(raw_data!B121,2)),VALUE(MID(raw_data!B121,4,2))),IF(MID(raw_data!B121,3,1)="-",DATE(VALUE(RIGHT(raw_data!B121,4)),VALUE(MID(raw_data!B121,4,2)),VALUE(LEFT(raw_data!B121,2))),IF(MID(raw_data!B121,5,1)="-",DATE(VALUE(LEFT(raw_data!B121,4)),VALUE(MID(raw_data!B121,6,2)),VALUE(RIGHT(raw_data!B121,2))),DATE(VALUE(RIGHT(raw_data!B121,4)),MATCH(MID(raw_data!B121,4,3),{"Jan","Feb","Mar","Apr","May","Jun","Jul","Aug","Sep","Oct","Nov","Dec"},0),VALUE(LEFT(raw_data!B121,2)))))),"")</f>
        <v>45455</v>
      </c>
      <c r="C121" s="4" t="n">
        <f aca="false">IFERROR(IF(MID(raw_data!C121,3,1)="/",DATE(VALUE(RIGHT(raw_data!C121,4)),VALUE(LEFT(raw_data!C121,2)),VALUE(MID(raw_data!C121,4,2))),IF(MID(raw_data!C121,3,1)="-",DATE(VALUE(RIGHT(raw_data!C121,4)),VALUE(MID(raw_data!C121,4,2)),VALUE(LEFT(raw_data!C121,2))),IF(MID(raw_data!C121,5,1)="-",DATE(VALUE(LEFT(raw_data!C121,4)),VALUE(MID(raw_data!C121,6,2)),VALUE(RIGHT(raw_data!C121,2))),DATE(VALUE(RIGHT(raw_data!C121,4)),MATCH(MID(raw_data!C121,4,3),{"Jan","Feb","Mar","Apr","May","Jun","Jul","Aug","Sep","Oct","Nov","Dec"},0),VALUE(LEFT(raw_data!C121,2)))))),"")</f>
        <v>45462</v>
      </c>
      <c r="D121" s="3" t="str">
        <f aca="false">IF(TRIM(raw_data!B121)="","Missing",IF(B121="","Invalid/Unrecognized","Valid"))</f>
        <v>Valid</v>
      </c>
      <c r="E121" s="3" t="str">
        <f aca="false">IF(TRIM(raw_data!C121)="","Missing",IF(C121="","Invalid/Unrecognized","Valid"))</f>
        <v>Valid</v>
      </c>
      <c r="F121" s="5" t="n">
        <f aca="false">IF(OR(B121="",C121=""),"",C121-B121)</f>
        <v>7</v>
      </c>
      <c r="G121" s="3" t="str">
        <f aca="false">IF(F121="","N/A",IF(F121&lt;0,"Invalid - Ship Before Order","OK"))</f>
        <v>OK</v>
      </c>
      <c r="H121" s="3" t="str">
        <f aca="false">raw_data!D121</f>
        <v>CUST-7861</v>
      </c>
      <c r="I121" s="3" t="str">
        <f aca="false">PROPER(TRIM(raw_data!E121))</f>
        <v>Aditi Sen</v>
      </c>
      <c r="J121" s="3" t="str">
        <f aca="false">PROPER(TRIM(raw_data!F121))</f>
        <v>Small Business</v>
      </c>
      <c r="K121" s="3" t="str">
        <f aca="false">IF(TRIM(raw_data!G121)="","Unknown",PROPER(TRIM(raw_data!G121)))</f>
        <v>South</v>
      </c>
      <c r="L121" s="3" t="str">
        <f aca="false">IF(TRIM(raw_data!G121)="","Filled - Unknown","OK")</f>
        <v>OK</v>
      </c>
      <c r="M121" s="3" t="str">
        <f aca="false">PROPER(TRIM(raw_data!H121))</f>
        <v>Kerala</v>
      </c>
      <c r="N121" s="3" t="str">
        <f aca="false">PROPER(TRIM(raw_data!I121))</f>
        <v>Kochi</v>
      </c>
      <c r="O121" s="3" t="str">
        <f aca="false">PROPER(TRIM(raw_data!J121))</f>
        <v>Furniture</v>
      </c>
      <c r="P121" s="3" t="str">
        <f aca="false">PROPER(TRIM(raw_data!K121))</f>
        <v>Chairs</v>
      </c>
      <c r="Q121" s="3" t="str">
        <f aca="false">TRIM(raw_data!L121)</f>
        <v>Elite Chairs 921</v>
      </c>
      <c r="R121" s="3" t="str">
        <f aca="false">IF(TRIM(raw_data!M121)="","Unknown",PROPER(TRIM(raw_data!M121)))</f>
        <v>Standard Class</v>
      </c>
      <c r="S121" s="3" t="str">
        <f aca="false">IF(TRIM(raw_data!M121)="","Filled - Unknown","OK")</f>
        <v>OK</v>
      </c>
      <c r="T121" s="6" t="n">
        <f aca="false">raw_data!N121</f>
        <v>8</v>
      </c>
      <c r="U121" s="7" t="n">
        <f aca="false">raw_data!O121</f>
        <v>314.05</v>
      </c>
      <c r="V121" s="8" t="n">
        <f aca="false">raw_data!P121</f>
        <v>0.25</v>
      </c>
      <c r="W121" s="8" t="n">
        <f aca="false">IF(raw_data!P121="",0,IF(ISTEXT(raw_data!P121),IF(RIGHT(raw_data!P121,1)="%",VALUE(LEFT(raw_data!P121,LEN(raw_data!P121)-1))/100,VALUE(raw_data!P121)),raw_data!P121))</f>
        <v>0.25</v>
      </c>
      <c r="X121" s="3" t="str">
        <f aca="false">IF(raw_data!P121="","Missing - Defaulted to 0",IF(W121&lt;0,"Negative - Invalid",IF(W121&gt;0.3,"Above Allowed Range - Invalid","Valid")))</f>
        <v>Valid</v>
      </c>
      <c r="Y121" s="7" t="n">
        <f aca="false">raw_data!Q121</f>
        <v>1884.3</v>
      </c>
      <c r="Z121" s="7" t="n">
        <f aca="false">raw_data!R121</f>
        <v>1517.69</v>
      </c>
      <c r="AA121" s="7" t="n">
        <f aca="false">raw_data!S121</f>
        <v>366.61</v>
      </c>
      <c r="AB121" s="3" t="str">
        <f aca="false">PROPER(TRIM(raw_data!T121))</f>
        <v>Refunded</v>
      </c>
      <c r="AC121" s="3" t="str">
        <f aca="false">PROPER(TRIM(raw_data!U121))</f>
        <v>Returned</v>
      </c>
      <c r="AD121" s="7" t="n">
        <f aca="false">T121*U121*(1-W121)</f>
        <v>1884.3</v>
      </c>
      <c r="AE121" s="7" t="n">
        <f aca="false">AD121-Z121</f>
        <v>366.61</v>
      </c>
      <c r="AF121" s="8" t="n">
        <f aca="false">IF(AD121=0,0,AE121/AD121)</f>
        <v>0.194560314175025</v>
      </c>
      <c r="AG121" s="3" t="str">
        <f aca="false">IF(ABS(Y121-AD121)&gt;1,"Mismatch","OK")</f>
        <v>OK</v>
      </c>
      <c r="AH121" s="3" t="str">
        <f aca="false">IF(ABS(AA121-AE121)&gt;1,"Mismatch","OK")</f>
        <v>OK</v>
      </c>
      <c r="AI121" s="6" t="n">
        <f aca="false">IF(B121="","",MONTH(B121))</f>
        <v>6</v>
      </c>
      <c r="AJ121" s="6" t="n">
        <f aca="false">IF(B121="","",YEAR(B121))</f>
        <v>2024</v>
      </c>
      <c r="AK121" s="3" t="str">
        <f aca="false">IF(COUNTIF(raw_data!$A$2:$A$913,A121)&gt;1,"Conflicting Duplicate - Flagged for Review","Unique")</f>
        <v>Unique</v>
      </c>
      <c r="AL121" s="3" t="str">
        <f aca="false">IF(AB121="Refunded","Yes","No")</f>
        <v>Yes</v>
      </c>
      <c r="AM121" s="3" t="str">
        <f aca="false">IF(OR(AC121&lt;&gt;"Completed",AB121="Failed"),"Excluded","Included")</f>
        <v>Excluded</v>
      </c>
      <c r="AN121" s="3" t="str">
        <f aca="false">IF(OR(D121="Invalid/Unrecognized",E121="Invalid/Unrecognized",G121="Invalid - Ship Before Order",X121="Negative - Invalid",X121="Above Allowed Range - Invalid",AG121="Mismatch",AH121="Mismatch",AK121="Conflicting Duplicate - Flagged for Review"),"Invalid",IF(OR(L121="Filled - Unknown",S121="Filled - Unknown",X121="Missing - Defaulted to 0",AL121="Yes",AC121="Cancelled",AC121="Returned"),"Warning","Clean"))</f>
        <v>Warning</v>
      </c>
    </row>
    <row r="122" customFormat="false" ht="15" hidden="false" customHeight="false" outlineLevel="0" collapsed="false">
      <c r="A122" s="3" t="str">
        <f aca="false">raw_data!A122</f>
        <v>ORD-2024-10121</v>
      </c>
      <c r="B122" s="4" t="n">
        <f aca="false">IFERROR(IF(MID(raw_data!B122,3,1)="/",DATE(VALUE(RIGHT(raw_data!B122,4)),VALUE(LEFT(raw_data!B122,2)),VALUE(MID(raw_data!B122,4,2))),IF(MID(raw_data!B122,3,1)="-",DATE(VALUE(RIGHT(raw_data!B122,4)),VALUE(MID(raw_data!B122,4,2)),VALUE(LEFT(raw_data!B122,2))),IF(MID(raw_data!B122,5,1)="-",DATE(VALUE(LEFT(raw_data!B122,4)),VALUE(MID(raw_data!B122,6,2)),VALUE(RIGHT(raw_data!B122,2))),DATE(VALUE(RIGHT(raw_data!B122,4)),MATCH(MID(raw_data!B122,4,3),{"Jan","Feb","Mar","Apr","May","Jun","Jul","Aug","Sep","Oct","Nov","Dec"},0),VALUE(LEFT(raw_data!B122,2)))))),"")</f>
        <v>45514</v>
      </c>
      <c r="C122" s="4" t="n">
        <f aca="false">IFERROR(IF(MID(raw_data!C122,3,1)="/",DATE(VALUE(RIGHT(raw_data!C122,4)),VALUE(LEFT(raw_data!C122,2)),VALUE(MID(raw_data!C122,4,2))),IF(MID(raw_data!C122,3,1)="-",DATE(VALUE(RIGHT(raw_data!C122,4)),VALUE(MID(raw_data!C122,4,2)),VALUE(LEFT(raw_data!C122,2))),IF(MID(raw_data!C122,5,1)="-",DATE(VALUE(LEFT(raw_data!C122,4)),VALUE(MID(raw_data!C122,6,2)),VALUE(RIGHT(raw_data!C122,2))),DATE(VALUE(RIGHT(raw_data!C122,4)),MATCH(MID(raw_data!C122,4,3),{"Jan","Feb","Mar","Apr","May","Jun","Jul","Aug","Sep","Oct","Nov","Dec"},0),VALUE(LEFT(raw_data!C122,2)))))),"")</f>
        <v>45522</v>
      </c>
      <c r="D122" s="3" t="str">
        <f aca="false">IF(TRIM(raw_data!B122)="","Missing",IF(B122="","Invalid/Unrecognized","Valid"))</f>
        <v>Valid</v>
      </c>
      <c r="E122" s="3" t="str">
        <f aca="false">IF(TRIM(raw_data!C122)="","Missing",IF(C122="","Invalid/Unrecognized","Valid"))</f>
        <v>Valid</v>
      </c>
      <c r="F122" s="5" t="n">
        <f aca="false">IF(OR(B122="",C122=""),"",C122-B122)</f>
        <v>8</v>
      </c>
      <c r="G122" s="3" t="str">
        <f aca="false">IF(F122="","N/A",IF(F122&lt;0,"Invalid - Ship Before Order","OK"))</f>
        <v>OK</v>
      </c>
      <c r="H122" s="3" t="str">
        <f aca="false">raw_data!D122</f>
        <v>CUST-6096</v>
      </c>
      <c r="I122" s="3" t="str">
        <f aca="false">PROPER(TRIM(raw_data!E122))</f>
        <v>Sneha Kapoor</v>
      </c>
      <c r="J122" s="3" t="str">
        <f aca="false">PROPER(TRIM(raw_data!F122))</f>
        <v>Small Business</v>
      </c>
      <c r="K122" s="3" t="str">
        <f aca="false">IF(TRIM(raw_data!G122)="","Unknown",PROPER(TRIM(raw_data!G122)))</f>
        <v>East</v>
      </c>
      <c r="L122" s="3" t="str">
        <f aca="false">IF(TRIM(raw_data!G122)="","Filled - Unknown","OK")</f>
        <v>OK</v>
      </c>
      <c r="M122" s="3" t="str">
        <f aca="false">PROPER(TRIM(raw_data!H122))</f>
        <v>Bihar</v>
      </c>
      <c r="N122" s="3" t="str">
        <f aca="false">PROPER(TRIM(raw_data!I122))</f>
        <v>Patna</v>
      </c>
      <c r="O122" s="3" t="str">
        <f aca="false">PROPER(TRIM(raw_data!J122))</f>
        <v>Technology</v>
      </c>
      <c r="P122" s="3" t="str">
        <f aca="false">PROPER(TRIM(raw_data!K122))</f>
        <v>Phones</v>
      </c>
      <c r="Q122" s="3" t="str">
        <f aca="false">TRIM(raw_data!L122)</f>
        <v>Prime Phones 540</v>
      </c>
      <c r="R122" s="3" t="str">
        <f aca="false">IF(TRIM(raw_data!M122)="","Unknown",PROPER(TRIM(raw_data!M122)))</f>
        <v>Standard Class</v>
      </c>
      <c r="S122" s="3" t="str">
        <f aca="false">IF(TRIM(raw_data!M122)="","Filled - Unknown","OK")</f>
        <v>OK</v>
      </c>
      <c r="T122" s="6" t="n">
        <f aca="false">raw_data!N122</f>
        <v>1</v>
      </c>
      <c r="U122" s="7" t="n">
        <f aca="false">raw_data!O122</f>
        <v>1823.67</v>
      </c>
      <c r="V122" s="8" t="n">
        <f aca="false">raw_data!P122</f>
        <v>0.2</v>
      </c>
      <c r="W122" s="8" t="n">
        <f aca="false">IF(raw_data!P122="",0,IF(ISTEXT(raw_data!P122),IF(RIGHT(raw_data!P122,1)="%",VALUE(LEFT(raw_data!P122,LEN(raw_data!P122)-1))/100,VALUE(raw_data!P122)),raw_data!P122))</f>
        <v>0.2</v>
      </c>
      <c r="X122" s="3" t="str">
        <f aca="false">IF(raw_data!P122="","Missing - Defaulted to 0",IF(W122&lt;0,"Negative - Invalid",IF(W122&gt;0.3,"Above Allowed Range - Invalid","Valid")))</f>
        <v>Valid</v>
      </c>
      <c r="Y122" s="7" t="n">
        <f aca="false">raw_data!Q122</f>
        <v>1458.94</v>
      </c>
      <c r="Z122" s="7" t="n">
        <f aca="false">raw_data!R122</f>
        <v>893.2</v>
      </c>
      <c r="AA122" s="7" t="n">
        <f aca="false">raw_data!S122</f>
        <v>565.74</v>
      </c>
      <c r="AB122" s="3" t="str">
        <f aca="false">PROPER(TRIM(raw_data!T122))</f>
        <v>Paid</v>
      </c>
      <c r="AC122" s="3" t="str">
        <f aca="false">PROPER(TRIM(raw_data!U122))</f>
        <v>Returned</v>
      </c>
      <c r="AD122" s="7" t="n">
        <f aca="false">T122*U122*(1-W122)</f>
        <v>1458.936</v>
      </c>
      <c r="AE122" s="7" t="n">
        <f aca="false">AD122-Z122</f>
        <v>565.736</v>
      </c>
      <c r="AF122" s="8" t="n">
        <f aca="false">IF(AD122=0,0,AE122/AD122)</f>
        <v>0.387773007177834</v>
      </c>
      <c r="AG122" s="3" t="str">
        <f aca="false">IF(ABS(Y122-AD122)&gt;1,"Mismatch","OK")</f>
        <v>OK</v>
      </c>
      <c r="AH122" s="3" t="str">
        <f aca="false">IF(ABS(AA122-AE122)&gt;1,"Mismatch","OK")</f>
        <v>OK</v>
      </c>
      <c r="AI122" s="6" t="n">
        <f aca="false">IF(B122="","",MONTH(B122))</f>
        <v>8</v>
      </c>
      <c r="AJ122" s="6" t="n">
        <f aca="false">IF(B122="","",YEAR(B122))</f>
        <v>2024</v>
      </c>
      <c r="AK122" s="3" t="str">
        <f aca="false">IF(COUNTIF(raw_data!$A$2:$A$913,A122)&gt;1,"Conflicting Duplicate - Flagged for Review","Unique")</f>
        <v>Unique</v>
      </c>
      <c r="AL122" s="3" t="str">
        <f aca="false">IF(AB122="Refunded","Yes","No")</f>
        <v>No</v>
      </c>
      <c r="AM122" s="3" t="str">
        <f aca="false">IF(OR(AC122&lt;&gt;"Completed",AB122="Failed"),"Excluded","Included")</f>
        <v>Excluded</v>
      </c>
      <c r="AN122" s="3" t="str">
        <f aca="false">IF(OR(D122="Invalid/Unrecognized",E122="Invalid/Unrecognized",G122="Invalid - Ship Before Order",X122="Negative - Invalid",X122="Above Allowed Range - Invalid",AG122="Mismatch",AH122="Mismatch",AK122="Conflicting Duplicate - Flagged for Review"),"Invalid",IF(OR(L122="Filled - Unknown",S122="Filled - Unknown",X122="Missing - Defaulted to 0",AL122="Yes",AC122="Cancelled",AC122="Returned"),"Warning","Clean"))</f>
        <v>Warning</v>
      </c>
    </row>
    <row r="123" customFormat="false" ht="15" hidden="false" customHeight="false" outlineLevel="0" collapsed="false">
      <c r="A123" s="3" t="str">
        <f aca="false">raw_data!A123</f>
        <v>ORD-2025-10122</v>
      </c>
      <c r="B123" s="4" t="n">
        <f aca="false">IFERROR(IF(MID(raw_data!B123,3,1)="/",DATE(VALUE(RIGHT(raw_data!B123,4)),VALUE(LEFT(raw_data!B123,2)),VALUE(MID(raw_data!B123,4,2))),IF(MID(raw_data!B123,3,1)="-",DATE(VALUE(RIGHT(raw_data!B123,4)),VALUE(MID(raw_data!B123,4,2)),VALUE(LEFT(raw_data!B123,2))),IF(MID(raw_data!B123,5,1)="-",DATE(VALUE(LEFT(raw_data!B123,4)),VALUE(MID(raw_data!B123,6,2)),VALUE(RIGHT(raw_data!B123,2))),DATE(VALUE(RIGHT(raw_data!B123,4)),MATCH(MID(raw_data!B123,4,3),{"Jan","Feb","Mar","Apr","May","Jun","Jul","Aug","Sep","Oct","Nov","Dec"},0),VALUE(LEFT(raw_data!B123,2)))))),"")</f>
        <v>45891</v>
      </c>
      <c r="C123" s="4" t="n">
        <f aca="false">IFERROR(IF(MID(raw_data!C123,3,1)="/",DATE(VALUE(RIGHT(raw_data!C123,4)),VALUE(LEFT(raw_data!C123,2)),VALUE(MID(raw_data!C123,4,2))),IF(MID(raw_data!C123,3,1)="-",DATE(VALUE(RIGHT(raw_data!C123,4)),VALUE(MID(raw_data!C123,4,2)),VALUE(LEFT(raw_data!C123,2))),IF(MID(raw_data!C123,5,1)="-",DATE(VALUE(LEFT(raw_data!C123,4)),VALUE(MID(raw_data!C123,6,2)),VALUE(RIGHT(raw_data!C123,2))),DATE(VALUE(RIGHT(raw_data!C123,4)),MATCH(MID(raw_data!C123,4,3),{"Jan","Feb","Mar","Apr","May","Jun","Jul","Aug","Sep","Oct","Nov","Dec"},0),VALUE(LEFT(raw_data!C123,2)))))),"")</f>
        <v>45895</v>
      </c>
      <c r="D123" s="3" t="str">
        <f aca="false">IF(TRIM(raw_data!B123)="","Missing",IF(B123="","Invalid/Unrecognized","Valid"))</f>
        <v>Valid</v>
      </c>
      <c r="E123" s="3" t="str">
        <f aca="false">IF(TRIM(raw_data!C123)="","Missing",IF(C123="","Invalid/Unrecognized","Valid"))</f>
        <v>Valid</v>
      </c>
      <c r="F123" s="5" t="n">
        <f aca="false">IF(OR(B123="",C123=""),"",C123-B123)</f>
        <v>4</v>
      </c>
      <c r="G123" s="3" t="str">
        <f aca="false">IF(F123="","N/A",IF(F123&lt;0,"Invalid - Ship Before Order","OK"))</f>
        <v>OK</v>
      </c>
      <c r="H123" s="3" t="str">
        <f aca="false">raw_data!D123</f>
        <v>CUST-2044</v>
      </c>
      <c r="I123" s="3" t="str">
        <f aca="false">PROPER(TRIM(raw_data!E123))</f>
        <v>Kabir Singh</v>
      </c>
      <c r="J123" s="3" t="str">
        <f aca="false">PROPER(TRIM(raw_data!F123))</f>
        <v>Small Business</v>
      </c>
      <c r="K123" s="3" t="str">
        <f aca="false">IF(TRIM(raw_data!G123)="","Unknown",PROPER(TRIM(raw_data!G123)))</f>
        <v>South</v>
      </c>
      <c r="L123" s="3" t="str">
        <f aca="false">IF(TRIM(raw_data!G123)="","Filled - Unknown","OK")</f>
        <v>OK</v>
      </c>
      <c r="M123" s="3" t="str">
        <f aca="false">PROPER(TRIM(raw_data!H123))</f>
        <v>Andhra Pradesh</v>
      </c>
      <c r="N123" s="3" t="str">
        <f aca="false">PROPER(TRIM(raw_data!I123))</f>
        <v>Vijayawada</v>
      </c>
      <c r="O123" s="3" t="str">
        <f aca="false">PROPER(TRIM(raw_data!J123))</f>
        <v>Technology</v>
      </c>
      <c r="P123" s="3" t="str">
        <f aca="false">PROPER(TRIM(raw_data!K123))</f>
        <v>Machines</v>
      </c>
      <c r="Q123" s="3" t="str">
        <f aca="false">TRIM(raw_data!L123)</f>
        <v>Max Machines 948</v>
      </c>
      <c r="R123" s="3" t="str">
        <f aca="false">IF(TRIM(raw_data!M123)="","Unknown",PROPER(TRIM(raw_data!M123)))</f>
        <v>Second Class</v>
      </c>
      <c r="S123" s="3" t="str">
        <f aca="false">IF(TRIM(raw_data!M123)="","Filled - Unknown","OK")</f>
        <v>OK</v>
      </c>
      <c r="T123" s="6" t="n">
        <f aca="false">raw_data!N123</f>
        <v>5</v>
      </c>
      <c r="U123" s="7" t="n">
        <f aca="false">raw_data!O123</f>
        <v>3482.92</v>
      </c>
      <c r="V123" s="8" t="n">
        <f aca="false">raw_data!P123</f>
        <v>0</v>
      </c>
      <c r="W123" s="8" t="n">
        <f aca="false">IF(raw_data!P123="",0,IF(ISTEXT(raw_data!P123),IF(RIGHT(raw_data!P123,1)="%",VALUE(LEFT(raw_data!P123,LEN(raw_data!P123)-1))/100,VALUE(raw_data!P123)),raw_data!P123))</f>
        <v>0</v>
      </c>
      <c r="X123" s="3" t="str">
        <f aca="false">IF(raw_data!P123="","Missing - Defaulted to 0",IF(W123&lt;0,"Negative - Invalid",IF(W123&gt;0.3,"Above Allowed Range - Invalid","Valid")))</f>
        <v>Valid</v>
      </c>
      <c r="Y123" s="7" t="n">
        <f aca="false">raw_data!Q123</f>
        <v>17414.6</v>
      </c>
      <c r="Z123" s="7" t="n">
        <f aca="false">raw_data!R123</f>
        <v>11760.91</v>
      </c>
      <c r="AA123" s="7" t="n">
        <f aca="false">raw_data!S123</f>
        <v>5653.69</v>
      </c>
      <c r="AB123" s="3" t="str">
        <f aca="false">PROPER(TRIM(raw_data!T123))</f>
        <v>Refunded</v>
      </c>
      <c r="AC123" s="3" t="str">
        <f aca="false">PROPER(TRIM(raw_data!U123))</f>
        <v>Cancelled</v>
      </c>
      <c r="AD123" s="7" t="n">
        <f aca="false">T123*U123*(1-W123)</f>
        <v>17414.6</v>
      </c>
      <c r="AE123" s="7" t="n">
        <f aca="false">AD123-Z123</f>
        <v>5653.69</v>
      </c>
      <c r="AF123" s="8" t="n">
        <f aca="false">IF(AD123=0,0,AE123/AD123)</f>
        <v>0.32465230323981</v>
      </c>
      <c r="AG123" s="3" t="str">
        <f aca="false">IF(ABS(Y123-AD123)&gt;1,"Mismatch","OK")</f>
        <v>OK</v>
      </c>
      <c r="AH123" s="3" t="str">
        <f aca="false">IF(ABS(AA123-AE123)&gt;1,"Mismatch","OK")</f>
        <v>OK</v>
      </c>
      <c r="AI123" s="6" t="n">
        <f aca="false">IF(B123="","",MONTH(B123))</f>
        <v>8</v>
      </c>
      <c r="AJ123" s="6" t="n">
        <f aca="false">IF(B123="","",YEAR(B123))</f>
        <v>2025</v>
      </c>
      <c r="AK123" s="3" t="str">
        <f aca="false">IF(COUNTIF(raw_data!$A$2:$A$913,A123)&gt;1,"Conflicting Duplicate - Flagged for Review","Unique")</f>
        <v>Unique</v>
      </c>
      <c r="AL123" s="3" t="str">
        <f aca="false">IF(AB123="Refunded","Yes","No")</f>
        <v>Yes</v>
      </c>
      <c r="AM123" s="3" t="str">
        <f aca="false">IF(OR(AC123&lt;&gt;"Completed",AB123="Failed"),"Excluded","Included")</f>
        <v>Excluded</v>
      </c>
      <c r="AN123" s="3" t="str">
        <f aca="false">IF(OR(D123="Invalid/Unrecognized",E123="Invalid/Unrecognized",G123="Invalid - Ship Before Order",X123="Negative - Invalid",X123="Above Allowed Range - Invalid",AG123="Mismatch",AH123="Mismatch",AK123="Conflicting Duplicate - Flagged for Review"),"Invalid",IF(OR(L123="Filled - Unknown",S123="Filled - Unknown",X123="Missing - Defaulted to 0",AL123="Yes",AC123="Cancelled",AC123="Returned"),"Warning","Clean"))</f>
        <v>Warning</v>
      </c>
    </row>
    <row r="124" customFormat="false" ht="15" hidden="false" customHeight="false" outlineLevel="0" collapsed="false">
      <c r="A124" s="3" t="str">
        <f aca="false">raw_data!A124</f>
        <v>ORD-2024-10123</v>
      </c>
      <c r="B124" s="4" t="n">
        <f aca="false">IFERROR(IF(MID(raw_data!B124,3,1)="/",DATE(VALUE(RIGHT(raw_data!B124,4)),VALUE(LEFT(raw_data!B124,2)),VALUE(MID(raw_data!B124,4,2))),IF(MID(raw_data!B124,3,1)="-",DATE(VALUE(RIGHT(raw_data!B124,4)),VALUE(MID(raw_data!B124,4,2)),VALUE(LEFT(raw_data!B124,2))),IF(MID(raw_data!B124,5,1)="-",DATE(VALUE(LEFT(raw_data!B124,4)),VALUE(MID(raw_data!B124,6,2)),VALUE(RIGHT(raw_data!B124,2))),DATE(VALUE(RIGHT(raw_data!B124,4)),MATCH(MID(raw_data!B124,4,3),{"Jan","Feb","Mar","Apr","May","Jun","Jul","Aug","Sep","Oct","Nov","Dec"},0),VALUE(LEFT(raw_data!B124,2)))))),"")</f>
        <v>45626</v>
      </c>
      <c r="C124" s="4" t="n">
        <f aca="false">IFERROR(IF(MID(raw_data!C124,3,1)="/",DATE(VALUE(RIGHT(raw_data!C124,4)),VALUE(LEFT(raw_data!C124,2)),VALUE(MID(raw_data!C124,4,2))),IF(MID(raw_data!C124,3,1)="-",DATE(VALUE(RIGHT(raw_data!C124,4)),VALUE(MID(raw_data!C124,4,2)),VALUE(LEFT(raw_data!C124,2))),IF(MID(raw_data!C124,5,1)="-",DATE(VALUE(LEFT(raw_data!C124,4)),VALUE(MID(raw_data!C124,6,2)),VALUE(RIGHT(raw_data!C124,2))),DATE(VALUE(RIGHT(raw_data!C124,4)),MATCH(MID(raw_data!C124,4,3),{"Jan","Feb","Mar","Apr","May","Jun","Jul","Aug","Sep","Oct","Nov","Dec"},0),VALUE(LEFT(raw_data!C124,2)))))),"")</f>
        <v>45630</v>
      </c>
      <c r="D124" s="3" t="str">
        <f aca="false">IF(TRIM(raw_data!B124)="","Missing",IF(B124="","Invalid/Unrecognized","Valid"))</f>
        <v>Valid</v>
      </c>
      <c r="E124" s="3" t="str">
        <f aca="false">IF(TRIM(raw_data!C124)="","Missing",IF(C124="","Invalid/Unrecognized","Valid"))</f>
        <v>Valid</v>
      </c>
      <c r="F124" s="5" t="n">
        <f aca="false">IF(OR(B124="",C124=""),"",C124-B124)</f>
        <v>4</v>
      </c>
      <c r="G124" s="3" t="str">
        <f aca="false">IF(F124="","N/A",IF(F124&lt;0,"Invalid - Ship Before Order","OK"))</f>
        <v>OK</v>
      </c>
      <c r="H124" s="3" t="str">
        <f aca="false">raw_data!D124</f>
        <v>CUST-1721</v>
      </c>
      <c r="I124" s="3" t="str">
        <f aca="false">PROPER(TRIM(raw_data!E124))</f>
        <v>Ananya Rao</v>
      </c>
      <c r="J124" s="3" t="str">
        <f aca="false">PROPER(TRIM(raw_data!F124))</f>
        <v>Small Business</v>
      </c>
      <c r="K124" s="3" t="str">
        <f aca="false">IF(TRIM(raw_data!G124)="","Unknown",PROPER(TRIM(raw_data!G124)))</f>
        <v>East</v>
      </c>
      <c r="L124" s="3" t="str">
        <f aca="false">IF(TRIM(raw_data!G124)="","Filled - Unknown","OK")</f>
        <v>OK</v>
      </c>
      <c r="M124" s="3" t="str">
        <f aca="false">PROPER(TRIM(raw_data!H124))</f>
        <v>Assam</v>
      </c>
      <c r="N124" s="3" t="str">
        <f aca="false">PROPER(TRIM(raw_data!I124))</f>
        <v>Guwahati</v>
      </c>
      <c r="O124" s="3" t="str">
        <f aca="false">PROPER(TRIM(raw_data!J124))</f>
        <v>Furniture</v>
      </c>
      <c r="P124" s="3" t="str">
        <f aca="false">PROPER(TRIM(raw_data!K124))</f>
        <v>Chairs</v>
      </c>
      <c r="Q124" s="3" t="str">
        <f aca="false">TRIM(raw_data!L124)</f>
        <v>Max Chairs 786</v>
      </c>
      <c r="R124" s="3" t="str">
        <f aca="false">IF(TRIM(raw_data!M124)="","Unknown",PROPER(TRIM(raw_data!M124)))</f>
        <v>Second Class</v>
      </c>
      <c r="S124" s="3" t="str">
        <f aca="false">IF(TRIM(raw_data!M124)="","Filled - Unknown","OK")</f>
        <v>OK</v>
      </c>
      <c r="T124" s="6" t="n">
        <f aca="false">raw_data!N124</f>
        <v>3</v>
      </c>
      <c r="U124" s="7" t="n">
        <f aca="false">raw_data!O124</f>
        <v>170.35</v>
      </c>
      <c r="V124" s="8" t="n">
        <f aca="false">raw_data!P124</f>
        <v>0</v>
      </c>
      <c r="W124" s="8" t="n">
        <f aca="false">IF(raw_data!P124="",0,IF(ISTEXT(raw_data!P124),IF(RIGHT(raw_data!P124,1)="%",VALUE(LEFT(raw_data!P124,LEN(raw_data!P124)-1))/100,VALUE(raw_data!P124)),raw_data!P124))</f>
        <v>0</v>
      </c>
      <c r="X124" s="3" t="str">
        <f aca="false">IF(raw_data!P124="","Missing - Defaulted to 0",IF(W124&lt;0,"Negative - Invalid",IF(W124&gt;0.3,"Above Allowed Range - Invalid","Valid")))</f>
        <v>Valid</v>
      </c>
      <c r="Y124" s="7" t="n">
        <f aca="false">raw_data!Q124</f>
        <v>511.05</v>
      </c>
      <c r="Z124" s="7" t="n">
        <f aca="false">raw_data!R124</f>
        <v>367.18</v>
      </c>
      <c r="AA124" s="7" t="n">
        <f aca="false">raw_data!S124</f>
        <v>143.87</v>
      </c>
      <c r="AB124" s="3" t="str">
        <f aca="false">PROPER(TRIM(raw_data!T124))</f>
        <v>Paid</v>
      </c>
      <c r="AC124" s="3" t="str">
        <f aca="false">PROPER(TRIM(raw_data!U124))</f>
        <v>Completed</v>
      </c>
      <c r="AD124" s="7" t="n">
        <f aca="false">T124*U124*(1-W124)</f>
        <v>511.05</v>
      </c>
      <c r="AE124" s="7" t="n">
        <f aca="false">AD124-Z124</f>
        <v>143.87</v>
      </c>
      <c r="AF124" s="8" t="n">
        <f aca="false">IF(AD124=0,0,AE124/AD124)</f>
        <v>0.281518442422464</v>
      </c>
      <c r="AG124" s="3" t="str">
        <f aca="false">IF(ABS(Y124-AD124)&gt;1,"Mismatch","OK")</f>
        <v>OK</v>
      </c>
      <c r="AH124" s="3" t="str">
        <f aca="false">IF(ABS(AA124-AE124)&gt;1,"Mismatch","OK")</f>
        <v>OK</v>
      </c>
      <c r="AI124" s="6" t="n">
        <f aca="false">IF(B124="","",MONTH(B124))</f>
        <v>11</v>
      </c>
      <c r="AJ124" s="6" t="n">
        <f aca="false">IF(B124="","",YEAR(B124))</f>
        <v>2024</v>
      </c>
      <c r="AK124" s="3" t="str">
        <f aca="false">IF(COUNTIF(raw_data!$A$2:$A$913,A124)&gt;1,"Conflicting Duplicate - Flagged for Review","Unique")</f>
        <v>Unique</v>
      </c>
      <c r="AL124" s="3" t="str">
        <f aca="false">IF(AB124="Refunded","Yes","No")</f>
        <v>No</v>
      </c>
      <c r="AM124" s="3" t="str">
        <f aca="false">IF(OR(AC124&lt;&gt;"Completed",AB124="Failed"),"Excluded","Included")</f>
        <v>Included</v>
      </c>
      <c r="AN124" s="3" t="str">
        <f aca="false">IF(OR(D124="Invalid/Unrecognized",E124="Invalid/Unrecognized",G124="Invalid - Ship Before Order",X124="Negative - Invalid",X124="Above Allowed Range - Invalid",AG124="Mismatch",AH124="Mismatch",AK124="Conflicting Duplicate - Flagged for Review"),"Invalid",IF(OR(L124="Filled - Unknown",S124="Filled - Unknown",X124="Missing - Defaulted to 0",AL124="Yes",AC124="Cancelled",AC124="Returned"),"Warning","Clean"))</f>
        <v>Clean</v>
      </c>
    </row>
    <row r="125" customFormat="false" ht="15" hidden="false" customHeight="false" outlineLevel="0" collapsed="false">
      <c r="A125" s="3" t="str">
        <f aca="false">raw_data!A125</f>
        <v>ORD-2024-10124</v>
      </c>
      <c r="B125" s="4" t="n">
        <f aca="false">IFERROR(IF(MID(raw_data!B125,3,1)="/",DATE(VALUE(RIGHT(raw_data!B125,4)),VALUE(LEFT(raw_data!B125,2)),VALUE(MID(raw_data!B125,4,2))),IF(MID(raw_data!B125,3,1)="-",DATE(VALUE(RIGHT(raw_data!B125,4)),VALUE(MID(raw_data!B125,4,2)),VALUE(LEFT(raw_data!B125,2))),IF(MID(raw_data!B125,5,1)="-",DATE(VALUE(LEFT(raw_data!B125,4)),VALUE(MID(raw_data!B125,6,2)),VALUE(RIGHT(raw_data!B125,2))),DATE(VALUE(RIGHT(raw_data!B125,4)),MATCH(MID(raw_data!B125,4,3),{"Jan","Feb","Mar","Apr","May","Jun","Jul","Aug","Sep","Oct","Nov","Dec"},0),VALUE(LEFT(raw_data!B125,2)))))),"")</f>
        <v>45436</v>
      </c>
      <c r="C125" s="4" t="n">
        <f aca="false">IFERROR(IF(MID(raw_data!C125,3,1)="/",DATE(VALUE(RIGHT(raw_data!C125,4)),VALUE(LEFT(raw_data!C125,2)),VALUE(MID(raw_data!C125,4,2))),IF(MID(raw_data!C125,3,1)="-",DATE(VALUE(RIGHT(raw_data!C125,4)),VALUE(MID(raw_data!C125,4,2)),VALUE(LEFT(raw_data!C125,2))),IF(MID(raw_data!C125,5,1)="-",DATE(VALUE(LEFT(raw_data!C125,4)),VALUE(MID(raw_data!C125,6,2)),VALUE(RIGHT(raw_data!C125,2))),DATE(VALUE(RIGHT(raw_data!C125,4)),MATCH(MID(raw_data!C125,4,3),{"Jan","Feb","Mar","Apr","May","Jun","Jul","Aug","Sep","Oct","Nov","Dec"},0),VALUE(LEFT(raw_data!C125,2)))))),"")</f>
        <v>45437</v>
      </c>
      <c r="D125" s="3" t="str">
        <f aca="false">IF(TRIM(raw_data!B125)="","Missing",IF(B125="","Invalid/Unrecognized","Valid"))</f>
        <v>Valid</v>
      </c>
      <c r="E125" s="3" t="str">
        <f aca="false">IF(TRIM(raw_data!C125)="","Missing",IF(C125="","Invalid/Unrecognized","Valid"))</f>
        <v>Valid</v>
      </c>
      <c r="F125" s="5" t="n">
        <f aca="false">IF(OR(B125="",C125=""),"",C125-B125)</f>
        <v>1</v>
      </c>
      <c r="G125" s="3" t="str">
        <f aca="false">IF(F125="","N/A",IF(F125&lt;0,"Invalid - Ship Before Order","OK"))</f>
        <v>OK</v>
      </c>
      <c r="H125" s="3" t="str">
        <f aca="false">raw_data!D125</f>
        <v>CUST-1007</v>
      </c>
      <c r="I125" s="3" t="str">
        <f aca="false">PROPER(TRIM(raw_data!E125))</f>
        <v>Sneha Kapoor</v>
      </c>
      <c r="J125" s="3" t="str">
        <f aca="false">PROPER(TRIM(raw_data!F125))</f>
        <v>Small Business</v>
      </c>
      <c r="K125" s="3" t="str">
        <f aca="false">IF(TRIM(raw_data!G125)="","Unknown",PROPER(TRIM(raw_data!G125)))</f>
        <v>North</v>
      </c>
      <c r="L125" s="3" t="str">
        <f aca="false">IF(TRIM(raw_data!G125)="","Filled - Unknown","OK")</f>
        <v>OK</v>
      </c>
      <c r="M125" s="3" t="str">
        <f aca="false">PROPER(TRIM(raw_data!H125))</f>
        <v>Punjab</v>
      </c>
      <c r="N125" s="3" t="str">
        <f aca="false">PROPER(TRIM(raw_data!I125))</f>
        <v>Ludhiana</v>
      </c>
      <c r="O125" s="3" t="str">
        <f aca="false">PROPER(TRIM(raw_data!J125))</f>
        <v>Technology</v>
      </c>
      <c r="P125" s="3" t="str">
        <f aca="false">PROPER(TRIM(raw_data!K125))</f>
        <v>Copiers</v>
      </c>
      <c r="Q125" s="3" t="str">
        <f aca="false">TRIM(raw_data!L125)</f>
        <v>Max Copiers 970</v>
      </c>
      <c r="R125" s="3" t="str">
        <f aca="false">IF(TRIM(raw_data!M125)="","Unknown",PROPER(TRIM(raw_data!M125)))</f>
        <v>Same Day</v>
      </c>
      <c r="S125" s="3" t="str">
        <f aca="false">IF(TRIM(raw_data!M125)="","Filled - Unknown","OK")</f>
        <v>OK</v>
      </c>
      <c r="T125" s="6" t="n">
        <f aca="false">raw_data!N125</f>
        <v>1</v>
      </c>
      <c r="U125" s="7" t="n">
        <f aca="false">raw_data!O125</f>
        <v>634.13</v>
      </c>
      <c r="V125" s="8" t="n">
        <f aca="false">raw_data!P125</f>
        <v>0</v>
      </c>
      <c r="W125" s="8" t="n">
        <f aca="false">IF(raw_data!P125="",0,IF(ISTEXT(raw_data!P125),IF(RIGHT(raw_data!P125,1)="%",VALUE(LEFT(raw_data!P125,LEN(raw_data!P125)-1))/100,VALUE(raw_data!P125)),raw_data!P125))</f>
        <v>0</v>
      </c>
      <c r="X125" s="3" t="str">
        <f aca="false">IF(raw_data!P125="","Missing - Defaulted to 0",IF(W125&lt;0,"Negative - Invalid",IF(W125&gt;0.3,"Above Allowed Range - Invalid","Valid")))</f>
        <v>Valid</v>
      </c>
      <c r="Y125" s="7" t="n">
        <f aca="false">raw_data!Q125</f>
        <v>634.13</v>
      </c>
      <c r="Z125" s="7" t="n">
        <f aca="false">raw_data!R125</f>
        <v>453.35</v>
      </c>
      <c r="AA125" s="7" t="n">
        <f aca="false">raw_data!S125</f>
        <v>180.78</v>
      </c>
      <c r="AB125" s="3" t="str">
        <f aca="false">PROPER(TRIM(raw_data!T125))</f>
        <v>Refunded</v>
      </c>
      <c r="AC125" s="3" t="str">
        <f aca="false">PROPER(TRIM(raw_data!U125))</f>
        <v>Cancelled</v>
      </c>
      <c r="AD125" s="7" t="n">
        <f aca="false">T125*U125*(1-W125)</f>
        <v>634.13</v>
      </c>
      <c r="AE125" s="7" t="n">
        <f aca="false">AD125-Z125</f>
        <v>180.78</v>
      </c>
      <c r="AF125" s="8" t="n">
        <f aca="false">IF(AD125=0,0,AE125/AD125)</f>
        <v>0.28508350022866</v>
      </c>
      <c r="AG125" s="3" t="str">
        <f aca="false">IF(ABS(Y125-AD125)&gt;1,"Mismatch","OK")</f>
        <v>OK</v>
      </c>
      <c r="AH125" s="3" t="str">
        <f aca="false">IF(ABS(AA125-AE125)&gt;1,"Mismatch","OK")</f>
        <v>OK</v>
      </c>
      <c r="AI125" s="6" t="n">
        <f aca="false">IF(B125="","",MONTH(B125))</f>
        <v>5</v>
      </c>
      <c r="AJ125" s="6" t="n">
        <f aca="false">IF(B125="","",YEAR(B125))</f>
        <v>2024</v>
      </c>
      <c r="AK125" s="3" t="str">
        <f aca="false">IF(COUNTIF(raw_data!$A$2:$A$913,A125)&gt;1,"Conflicting Duplicate - Flagged for Review","Unique")</f>
        <v>Conflicting Duplicate - Flagged for Review</v>
      </c>
      <c r="AL125" s="3" t="str">
        <f aca="false">IF(AB125="Refunded","Yes","No")</f>
        <v>Yes</v>
      </c>
      <c r="AM125" s="3" t="str">
        <f aca="false">IF(OR(AC125&lt;&gt;"Completed",AB125="Failed"),"Excluded","Included")</f>
        <v>Excluded</v>
      </c>
      <c r="AN125" s="3" t="str">
        <f aca="false">IF(OR(D125="Invalid/Unrecognized",E125="Invalid/Unrecognized",G125="Invalid - Ship Before Order",X125="Negative - Invalid",X125="Above Allowed Range - Invalid",AG125="Mismatch",AH125="Mismatch",AK125="Conflicting Duplicate - Flagged for Review"),"Invalid",IF(OR(L125="Filled - Unknown",S125="Filled - Unknown",X125="Missing - Defaulted to 0",AL125="Yes",AC125="Cancelled",AC125="Returned"),"Warning","Clean"))</f>
        <v>Invalid</v>
      </c>
    </row>
    <row r="126" customFormat="false" ht="15" hidden="false" customHeight="false" outlineLevel="0" collapsed="false">
      <c r="A126" s="3" t="str">
        <f aca="false">raw_data!A126</f>
        <v>ORD-2024-10125</v>
      </c>
      <c r="B126" s="4" t="n">
        <f aca="false">IFERROR(IF(MID(raw_data!B126,3,1)="/",DATE(VALUE(RIGHT(raw_data!B126,4)),VALUE(LEFT(raw_data!B126,2)),VALUE(MID(raw_data!B126,4,2))),IF(MID(raw_data!B126,3,1)="-",DATE(VALUE(RIGHT(raw_data!B126,4)),VALUE(MID(raw_data!B126,4,2)),VALUE(LEFT(raw_data!B126,2))),IF(MID(raw_data!B126,5,1)="-",DATE(VALUE(LEFT(raw_data!B126,4)),VALUE(MID(raw_data!B126,6,2)),VALUE(RIGHT(raw_data!B126,2))),DATE(VALUE(RIGHT(raw_data!B126,4)),MATCH(MID(raw_data!B126,4,3),{"Jan","Feb","Mar","Apr","May","Jun","Jul","Aug","Sep","Oct","Nov","Dec"},0),VALUE(LEFT(raw_data!B126,2)))))),"")</f>
        <v>45494</v>
      </c>
      <c r="C126" s="4" t="n">
        <f aca="false">IFERROR(IF(MID(raw_data!C126,3,1)="/",DATE(VALUE(RIGHT(raw_data!C126,4)),VALUE(LEFT(raw_data!C126,2)),VALUE(MID(raw_data!C126,4,2))),IF(MID(raw_data!C126,3,1)="-",DATE(VALUE(RIGHT(raw_data!C126,4)),VALUE(MID(raw_data!C126,4,2)),VALUE(LEFT(raw_data!C126,2))),IF(MID(raw_data!C126,5,1)="-",DATE(VALUE(LEFT(raw_data!C126,4)),VALUE(MID(raw_data!C126,6,2)),VALUE(RIGHT(raw_data!C126,2))),DATE(VALUE(RIGHT(raw_data!C126,4)),MATCH(MID(raw_data!C126,4,3),{"Jan","Feb","Mar","Apr","May","Jun","Jul","Aug","Sep","Oct","Nov","Dec"},0),VALUE(LEFT(raw_data!C126,2)))))),"")</f>
        <v>45497</v>
      </c>
      <c r="D126" s="3" t="str">
        <f aca="false">IF(TRIM(raw_data!B126)="","Missing",IF(B126="","Invalid/Unrecognized","Valid"))</f>
        <v>Valid</v>
      </c>
      <c r="E126" s="3" t="str">
        <f aca="false">IF(TRIM(raw_data!C126)="","Missing",IF(C126="","Invalid/Unrecognized","Valid"))</f>
        <v>Valid</v>
      </c>
      <c r="F126" s="5" t="n">
        <f aca="false">IF(OR(B126="",C126=""),"",C126-B126)</f>
        <v>3</v>
      </c>
      <c r="G126" s="3" t="str">
        <f aca="false">IF(F126="","N/A",IF(F126&lt;0,"Invalid - Ship Before Order","OK"))</f>
        <v>OK</v>
      </c>
      <c r="H126" s="3" t="str">
        <f aca="false">raw_data!D126</f>
        <v>CUST-4450</v>
      </c>
      <c r="I126" s="3" t="str">
        <f aca="false">PROPER(TRIM(raw_data!E126))</f>
        <v>Isha Nair</v>
      </c>
      <c r="J126" s="3" t="str">
        <f aca="false">PROPER(TRIM(raw_data!F126))</f>
        <v>Corporate</v>
      </c>
      <c r="K126" s="3" t="str">
        <f aca="false">IF(TRIM(raw_data!G126)="","Unknown",PROPER(TRIM(raw_data!G126)))</f>
        <v>South</v>
      </c>
      <c r="L126" s="3" t="str">
        <f aca="false">IF(TRIM(raw_data!G126)="","Filled - Unknown","OK")</f>
        <v>OK</v>
      </c>
      <c r="M126" s="3" t="str">
        <f aca="false">PROPER(TRIM(raw_data!H126))</f>
        <v>Karnataka</v>
      </c>
      <c r="N126" s="3" t="str">
        <f aca="false">PROPER(TRIM(raw_data!I126))</f>
        <v>Bengaluru</v>
      </c>
      <c r="O126" s="3" t="str">
        <f aca="false">PROPER(TRIM(raw_data!J126))</f>
        <v>Technology</v>
      </c>
      <c r="P126" s="3" t="str">
        <f aca="false">PROPER(TRIM(raw_data!K126))</f>
        <v>Copiers</v>
      </c>
      <c r="Q126" s="3" t="str">
        <f aca="false">TRIM(raw_data!L126)</f>
        <v>Pro Copiers 769</v>
      </c>
      <c r="R126" s="3" t="str">
        <f aca="false">IF(TRIM(raw_data!M126)="","Unknown",PROPER(TRIM(raw_data!M126)))</f>
        <v>Standard Class</v>
      </c>
      <c r="S126" s="3" t="str">
        <f aca="false">IF(TRIM(raw_data!M126)="","Filled - Unknown","OK")</f>
        <v>OK</v>
      </c>
      <c r="T126" s="6" t="n">
        <f aca="false">raw_data!N126</f>
        <v>9</v>
      </c>
      <c r="U126" s="7" t="n">
        <f aca="false">raw_data!O126</f>
        <v>465.06</v>
      </c>
      <c r="V126" s="8" t="n">
        <f aca="false">raw_data!P126</f>
        <v>-0.15</v>
      </c>
      <c r="W126" s="8" t="n">
        <f aca="false">IF(raw_data!P126="",0,IF(ISTEXT(raw_data!P126),IF(RIGHT(raw_data!P126,1)="%",VALUE(LEFT(raw_data!P126,LEN(raw_data!P126)-1))/100,VALUE(raw_data!P126)),raw_data!P126))</f>
        <v>-0.15</v>
      </c>
      <c r="X126" s="3" t="str">
        <f aca="false">IF(raw_data!P126="","Missing - Defaulted to 0",IF(W126&lt;0,"Negative - Invalid",IF(W126&gt;0.3,"Above Allowed Range - Invalid","Valid")))</f>
        <v>Negative - Invalid</v>
      </c>
      <c r="Y126" s="7" t="n">
        <f aca="false">raw_data!Q126</f>
        <v>4185.54</v>
      </c>
      <c r="Z126" s="7" t="n">
        <f aca="false">raw_data!R126</f>
        <v>3443.74</v>
      </c>
      <c r="AA126" s="7" t="n">
        <f aca="false">raw_data!S126</f>
        <v>741.8</v>
      </c>
      <c r="AB126" s="3" t="str">
        <f aca="false">PROPER(TRIM(raw_data!T126))</f>
        <v>Paid</v>
      </c>
      <c r="AC126" s="3" t="str">
        <f aca="false">PROPER(TRIM(raw_data!U126))</f>
        <v>Completed</v>
      </c>
      <c r="AD126" s="7" t="n">
        <f aca="false">T126*U126*(1-W126)</f>
        <v>4813.371</v>
      </c>
      <c r="AE126" s="7" t="n">
        <f aca="false">AD126-Z126</f>
        <v>1369.631</v>
      </c>
      <c r="AF126" s="8" t="n">
        <f aca="false">IF(AD126=0,0,AE126/AD126)</f>
        <v>0.284547150011915</v>
      </c>
      <c r="AG126" s="3" t="str">
        <f aca="false">IF(ABS(Y126-AD126)&gt;1,"Mismatch","OK")</f>
        <v>Mismatch</v>
      </c>
      <c r="AH126" s="3" t="str">
        <f aca="false">IF(ABS(AA126-AE126)&gt;1,"Mismatch","OK")</f>
        <v>Mismatch</v>
      </c>
      <c r="AI126" s="6" t="n">
        <f aca="false">IF(B126="","",MONTH(B126))</f>
        <v>7</v>
      </c>
      <c r="AJ126" s="6" t="n">
        <f aca="false">IF(B126="","",YEAR(B126))</f>
        <v>2024</v>
      </c>
      <c r="AK126" s="3" t="str">
        <f aca="false">IF(COUNTIF(raw_data!$A$2:$A$913,A126)&gt;1,"Conflicting Duplicate - Flagged for Review","Unique")</f>
        <v>Unique</v>
      </c>
      <c r="AL126" s="3" t="str">
        <f aca="false">IF(AB126="Refunded","Yes","No")</f>
        <v>No</v>
      </c>
      <c r="AM126" s="3" t="str">
        <f aca="false">IF(OR(AC126&lt;&gt;"Completed",AB126="Failed"),"Excluded","Included")</f>
        <v>Included</v>
      </c>
      <c r="AN126" s="3" t="str">
        <f aca="false">IF(OR(D126="Invalid/Unrecognized",E126="Invalid/Unrecognized",G126="Invalid - Ship Before Order",X126="Negative - Invalid",X126="Above Allowed Range - Invalid",AG126="Mismatch",AH126="Mismatch",AK126="Conflicting Duplicate - Flagged for Review"),"Invalid",IF(OR(L126="Filled - Unknown",S126="Filled - Unknown",X126="Missing - Defaulted to 0",AL126="Yes",AC126="Cancelled",AC126="Returned"),"Warning","Clean"))</f>
        <v>Invalid</v>
      </c>
    </row>
    <row r="127" customFormat="false" ht="15" hidden="false" customHeight="false" outlineLevel="0" collapsed="false">
      <c r="A127" s="3" t="str">
        <f aca="false">raw_data!A127</f>
        <v>ORD-2025-10126</v>
      </c>
      <c r="B127" s="4" t="n">
        <f aca="false">IFERROR(IF(MID(raw_data!B127,3,1)="/",DATE(VALUE(RIGHT(raw_data!B127,4)),VALUE(LEFT(raw_data!B127,2)),VALUE(MID(raw_data!B127,4,2))),IF(MID(raw_data!B127,3,1)="-",DATE(VALUE(RIGHT(raw_data!B127,4)),VALUE(MID(raw_data!B127,4,2)),VALUE(LEFT(raw_data!B127,2))),IF(MID(raw_data!B127,5,1)="-",DATE(VALUE(LEFT(raw_data!B127,4)),VALUE(MID(raw_data!B127,6,2)),VALUE(RIGHT(raw_data!B127,2))),DATE(VALUE(RIGHT(raw_data!B127,4)),MATCH(MID(raw_data!B127,4,3),{"Jan","Feb","Mar","Apr","May","Jun","Jul","Aug","Sep","Oct","Nov","Dec"},0),VALUE(LEFT(raw_data!B127,2)))))),"")</f>
        <v>45855</v>
      </c>
      <c r="C127" s="4" t="n">
        <f aca="false">IFERROR(IF(MID(raw_data!C127,3,1)="/",DATE(VALUE(RIGHT(raw_data!C127,4)),VALUE(LEFT(raw_data!C127,2)),VALUE(MID(raw_data!C127,4,2))),IF(MID(raw_data!C127,3,1)="-",DATE(VALUE(RIGHT(raw_data!C127,4)),VALUE(MID(raw_data!C127,4,2)),VALUE(LEFT(raw_data!C127,2))),IF(MID(raw_data!C127,5,1)="-",DATE(VALUE(LEFT(raw_data!C127,4)),VALUE(MID(raw_data!C127,6,2)),VALUE(RIGHT(raw_data!C127,2))),DATE(VALUE(RIGHT(raw_data!C127,4)),MATCH(MID(raw_data!C127,4,3),{"Jan","Feb","Mar","Apr","May","Jun","Jul","Aug","Sep","Oct","Nov","Dec"},0),VALUE(LEFT(raw_data!C127,2)))))),"")</f>
        <v>45856</v>
      </c>
      <c r="D127" s="3" t="str">
        <f aca="false">IF(TRIM(raw_data!B127)="","Missing",IF(B127="","Invalid/Unrecognized","Valid"))</f>
        <v>Valid</v>
      </c>
      <c r="E127" s="3" t="str">
        <f aca="false">IF(TRIM(raw_data!C127)="","Missing",IF(C127="","Invalid/Unrecognized","Valid"))</f>
        <v>Valid</v>
      </c>
      <c r="F127" s="5" t="n">
        <f aca="false">IF(OR(B127="",C127=""),"",C127-B127)</f>
        <v>1</v>
      </c>
      <c r="G127" s="3" t="str">
        <f aca="false">IF(F127="","N/A",IF(F127&lt;0,"Invalid - Ship Before Order","OK"))</f>
        <v>OK</v>
      </c>
      <c r="H127" s="3" t="str">
        <f aca="false">raw_data!D127</f>
        <v>CUST-7924</v>
      </c>
      <c r="I127" s="3" t="str">
        <f aca="false">PROPER(TRIM(raw_data!E127))</f>
        <v>Neha Gupta</v>
      </c>
      <c r="J127" s="3" t="str">
        <f aca="false">PROPER(TRIM(raw_data!F127))</f>
        <v>Small Business</v>
      </c>
      <c r="K127" s="3" t="str">
        <f aca="false">IF(TRIM(raw_data!G127)="","Unknown",PROPER(TRIM(raw_data!G127)))</f>
        <v>West</v>
      </c>
      <c r="L127" s="3" t="str">
        <f aca="false">IF(TRIM(raw_data!G127)="","Filled - Unknown","OK")</f>
        <v>OK</v>
      </c>
      <c r="M127" s="3" t="str">
        <f aca="false">PROPER(TRIM(raw_data!H127))</f>
        <v>Rajasthan</v>
      </c>
      <c r="N127" s="3" t="str">
        <f aca="false">PROPER(TRIM(raw_data!I127))</f>
        <v>Udaipur</v>
      </c>
      <c r="O127" s="3" t="str">
        <f aca="false">PROPER(TRIM(raw_data!J127))</f>
        <v>Furniture</v>
      </c>
      <c r="P127" s="3" t="str">
        <f aca="false">PROPER(TRIM(raw_data!K127))</f>
        <v>Tables</v>
      </c>
      <c r="Q127" s="3" t="str">
        <f aca="false">TRIM(raw_data!L127)</f>
        <v>Basic Tables 753</v>
      </c>
      <c r="R127" s="3" t="str">
        <f aca="false">IF(TRIM(raw_data!M127)="","Unknown",PROPER(TRIM(raw_data!M127)))</f>
        <v>Same Day</v>
      </c>
      <c r="S127" s="3" t="str">
        <f aca="false">IF(TRIM(raw_data!M127)="","Filled - Unknown","OK")</f>
        <v>OK</v>
      </c>
      <c r="T127" s="6" t="n">
        <f aca="false">raw_data!N127</f>
        <v>6</v>
      </c>
      <c r="U127" s="7" t="n">
        <f aca="false">raw_data!O127</f>
        <v>3235.27</v>
      </c>
      <c r="V127" s="8" t="n">
        <f aca="false">raw_data!P127</f>
        <v>0.25</v>
      </c>
      <c r="W127" s="8" t="n">
        <f aca="false">IF(raw_data!P127="",0,IF(ISTEXT(raw_data!P127),IF(RIGHT(raw_data!P127,1)="%",VALUE(LEFT(raw_data!P127,LEN(raw_data!P127)-1))/100,VALUE(raw_data!P127)),raw_data!P127))</f>
        <v>0.25</v>
      </c>
      <c r="X127" s="3" t="str">
        <f aca="false">IF(raw_data!P127="","Missing - Defaulted to 0",IF(W127&lt;0,"Negative - Invalid",IF(W127&gt;0.3,"Above Allowed Range - Invalid","Valid")))</f>
        <v>Valid</v>
      </c>
      <c r="Y127" s="7" t="n">
        <f aca="false">raw_data!Q127</f>
        <v>14558.72</v>
      </c>
      <c r="Z127" s="7" t="n">
        <f aca="false">raw_data!R127</f>
        <v>9591.48</v>
      </c>
      <c r="AA127" s="7" t="n">
        <f aca="false">raw_data!S127</f>
        <v>4967.24</v>
      </c>
      <c r="AB127" s="3" t="str">
        <f aca="false">PROPER(TRIM(raw_data!T127))</f>
        <v>Refunded</v>
      </c>
      <c r="AC127" s="3" t="str">
        <f aca="false">PROPER(TRIM(raw_data!U127))</f>
        <v>Returned</v>
      </c>
      <c r="AD127" s="7" t="n">
        <f aca="false">T127*U127*(1-W127)</f>
        <v>14558.715</v>
      </c>
      <c r="AE127" s="7" t="n">
        <f aca="false">AD127-Z127</f>
        <v>4967.235</v>
      </c>
      <c r="AF127" s="8" t="n">
        <f aca="false">IF(AD127=0,0,AE127/AD127)</f>
        <v>0.341186361571059</v>
      </c>
      <c r="AG127" s="3" t="str">
        <f aca="false">IF(ABS(Y127-AD127)&gt;1,"Mismatch","OK")</f>
        <v>OK</v>
      </c>
      <c r="AH127" s="3" t="str">
        <f aca="false">IF(ABS(AA127-AE127)&gt;1,"Mismatch","OK")</f>
        <v>OK</v>
      </c>
      <c r="AI127" s="6" t="n">
        <f aca="false">IF(B127="","",MONTH(B127))</f>
        <v>7</v>
      </c>
      <c r="AJ127" s="6" t="n">
        <f aca="false">IF(B127="","",YEAR(B127))</f>
        <v>2025</v>
      </c>
      <c r="AK127" s="3" t="str">
        <f aca="false">IF(COUNTIF(raw_data!$A$2:$A$913,A127)&gt;1,"Conflicting Duplicate - Flagged for Review","Unique")</f>
        <v>Unique</v>
      </c>
      <c r="AL127" s="3" t="str">
        <f aca="false">IF(AB127="Refunded","Yes","No")</f>
        <v>Yes</v>
      </c>
      <c r="AM127" s="3" t="str">
        <f aca="false">IF(OR(AC127&lt;&gt;"Completed",AB127="Failed"),"Excluded","Included")</f>
        <v>Excluded</v>
      </c>
      <c r="AN127" s="3" t="str">
        <f aca="false">IF(OR(D127="Invalid/Unrecognized",E127="Invalid/Unrecognized",G127="Invalid - Ship Before Order",X127="Negative - Invalid",X127="Above Allowed Range - Invalid",AG127="Mismatch",AH127="Mismatch",AK127="Conflicting Duplicate - Flagged for Review"),"Invalid",IF(OR(L127="Filled - Unknown",S127="Filled - Unknown",X127="Missing - Defaulted to 0",AL127="Yes",AC127="Cancelled",AC127="Returned"),"Warning","Clean"))</f>
        <v>Warning</v>
      </c>
    </row>
    <row r="128" customFormat="false" ht="15" hidden="false" customHeight="false" outlineLevel="0" collapsed="false">
      <c r="A128" s="3" t="str">
        <f aca="false">raw_data!A128</f>
        <v>ORD-2025-10127</v>
      </c>
      <c r="B128" s="4" t="n">
        <f aca="false">IFERROR(IF(MID(raw_data!B128,3,1)="/",DATE(VALUE(RIGHT(raw_data!B128,4)),VALUE(LEFT(raw_data!B128,2)),VALUE(MID(raw_data!B128,4,2))),IF(MID(raw_data!B128,3,1)="-",DATE(VALUE(RIGHT(raw_data!B128,4)),VALUE(MID(raw_data!B128,4,2)),VALUE(LEFT(raw_data!B128,2))),IF(MID(raw_data!B128,5,1)="-",DATE(VALUE(LEFT(raw_data!B128,4)),VALUE(MID(raw_data!B128,6,2)),VALUE(RIGHT(raw_data!B128,2))),DATE(VALUE(RIGHT(raw_data!B128,4)),MATCH(MID(raw_data!B128,4,3),{"Jan","Feb","Mar","Apr","May","Jun","Jul","Aug","Sep","Oct","Nov","Dec"},0),VALUE(LEFT(raw_data!B128,2)))))),"")</f>
        <v>45924</v>
      </c>
      <c r="C128" s="4" t="n">
        <f aca="false">IFERROR(IF(MID(raw_data!C128,3,1)="/",DATE(VALUE(RIGHT(raw_data!C128,4)),VALUE(LEFT(raw_data!C128,2)),VALUE(MID(raw_data!C128,4,2))),IF(MID(raw_data!C128,3,1)="-",DATE(VALUE(RIGHT(raw_data!C128,4)),VALUE(MID(raw_data!C128,4,2)),VALUE(LEFT(raw_data!C128,2))),IF(MID(raw_data!C128,5,1)="-",DATE(VALUE(LEFT(raw_data!C128,4)),VALUE(MID(raw_data!C128,6,2)),VALUE(RIGHT(raw_data!C128,2))),DATE(VALUE(RIGHT(raw_data!C128,4)),MATCH(MID(raw_data!C128,4,3),{"Jan","Feb","Mar","Apr","May","Jun","Jul","Aug","Sep","Oct","Nov","Dec"},0),VALUE(LEFT(raw_data!C128,2)))))),"")</f>
        <v>45926</v>
      </c>
      <c r="D128" s="3" t="str">
        <f aca="false">IF(TRIM(raw_data!B128)="","Missing",IF(B128="","Invalid/Unrecognized","Valid"))</f>
        <v>Valid</v>
      </c>
      <c r="E128" s="3" t="str">
        <f aca="false">IF(TRIM(raw_data!C128)="","Missing",IF(C128="","Invalid/Unrecognized","Valid"))</f>
        <v>Valid</v>
      </c>
      <c r="F128" s="5" t="n">
        <f aca="false">IF(OR(B128="",C128=""),"",C128-B128)</f>
        <v>2</v>
      </c>
      <c r="G128" s="3" t="str">
        <f aca="false">IF(F128="","N/A",IF(F128&lt;0,"Invalid - Ship Before Order","OK"))</f>
        <v>OK</v>
      </c>
      <c r="H128" s="3" t="str">
        <f aca="false">raw_data!D128</f>
        <v>CUST-1715</v>
      </c>
      <c r="I128" s="3" t="str">
        <f aca="false">PROPER(TRIM(raw_data!E128))</f>
        <v>Priya Menon</v>
      </c>
      <c r="J128" s="3" t="str">
        <f aca="false">PROPER(TRIM(raw_data!F128))</f>
        <v>Corporate</v>
      </c>
      <c r="K128" s="3" t="str">
        <f aca="false">IF(TRIM(raw_data!G128)="","Unknown",PROPER(TRIM(raw_data!G128)))</f>
        <v>North</v>
      </c>
      <c r="L128" s="3" t="str">
        <f aca="false">IF(TRIM(raw_data!G128)="","Filled - Unknown","OK")</f>
        <v>OK</v>
      </c>
      <c r="M128" s="3" t="str">
        <f aca="false">PROPER(TRIM(raw_data!H128))</f>
        <v>Delhi</v>
      </c>
      <c r="N128" s="3" t="str">
        <f aca="false">PROPER(TRIM(raw_data!I128))</f>
        <v>New Delhi</v>
      </c>
      <c r="O128" s="3" t="str">
        <f aca="false">PROPER(TRIM(raw_data!J128))</f>
        <v>Technology</v>
      </c>
      <c r="P128" s="3" t="str">
        <f aca="false">PROPER(TRIM(raw_data!K128))</f>
        <v>Copiers</v>
      </c>
      <c r="Q128" s="3" t="str">
        <f aca="false">TRIM(raw_data!L128)</f>
        <v>Prime Copiers 651</v>
      </c>
      <c r="R128" s="3" t="str">
        <f aca="false">IF(TRIM(raw_data!M128)="","Unknown",PROPER(TRIM(raw_data!M128)))</f>
        <v>Standard Class</v>
      </c>
      <c r="S128" s="3" t="str">
        <f aca="false">IF(TRIM(raw_data!M128)="","Filled - Unknown","OK")</f>
        <v>OK</v>
      </c>
      <c r="T128" s="6" t="n">
        <f aca="false">raw_data!N128</f>
        <v>3</v>
      </c>
      <c r="U128" s="7" t="n">
        <f aca="false">raw_data!O128</f>
        <v>1593.86</v>
      </c>
      <c r="V128" s="8" t="n">
        <f aca="false">raw_data!P128</f>
        <v>0.1</v>
      </c>
      <c r="W128" s="8" t="n">
        <f aca="false">IF(raw_data!P128="",0,IF(ISTEXT(raw_data!P128),IF(RIGHT(raw_data!P128,1)="%",VALUE(LEFT(raw_data!P128,LEN(raw_data!P128)-1))/100,VALUE(raw_data!P128)),raw_data!P128))</f>
        <v>0.1</v>
      </c>
      <c r="X128" s="3" t="str">
        <f aca="false">IF(raw_data!P128="","Missing - Defaulted to 0",IF(W128&lt;0,"Negative - Invalid",IF(W128&gt;0.3,"Above Allowed Range - Invalid","Valid")))</f>
        <v>Valid</v>
      </c>
      <c r="Y128" s="7" t="n">
        <f aca="false">raw_data!Q128</f>
        <v>4303.42</v>
      </c>
      <c r="Z128" s="7" t="n">
        <f aca="false">raw_data!R128</f>
        <v>2568.57</v>
      </c>
      <c r="AA128" s="7" t="n">
        <f aca="false">raw_data!S128</f>
        <v>1734.85</v>
      </c>
      <c r="AB128" s="3" t="str">
        <f aca="false">PROPER(TRIM(raw_data!T128))</f>
        <v>Paid</v>
      </c>
      <c r="AC128" s="3" t="str">
        <f aca="false">PROPER(TRIM(raw_data!U128))</f>
        <v>Completed</v>
      </c>
      <c r="AD128" s="7" t="n">
        <f aca="false">T128*U128*(1-W128)</f>
        <v>4303.422</v>
      </c>
      <c r="AE128" s="7" t="n">
        <f aca="false">AD128-Z128</f>
        <v>1734.852</v>
      </c>
      <c r="AF128" s="8" t="n">
        <f aca="false">IF(AD128=0,0,AE128/AD128)</f>
        <v>0.403133134514812</v>
      </c>
      <c r="AG128" s="3" t="str">
        <f aca="false">IF(ABS(Y128-AD128)&gt;1,"Mismatch","OK")</f>
        <v>OK</v>
      </c>
      <c r="AH128" s="3" t="str">
        <f aca="false">IF(ABS(AA128-AE128)&gt;1,"Mismatch","OK")</f>
        <v>OK</v>
      </c>
      <c r="AI128" s="6" t="n">
        <f aca="false">IF(B128="","",MONTH(B128))</f>
        <v>9</v>
      </c>
      <c r="AJ128" s="6" t="n">
        <f aca="false">IF(B128="","",YEAR(B128))</f>
        <v>2025</v>
      </c>
      <c r="AK128" s="3" t="str">
        <f aca="false">IF(COUNTIF(raw_data!$A$2:$A$913,A128)&gt;1,"Conflicting Duplicate - Flagged for Review","Unique")</f>
        <v>Unique</v>
      </c>
      <c r="AL128" s="3" t="str">
        <f aca="false">IF(AB128="Refunded","Yes","No")</f>
        <v>No</v>
      </c>
      <c r="AM128" s="3" t="str">
        <f aca="false">IF(OR(AC128&lt;&gt;"Completed",AB128="Failed"),"Excluded","Included")</f>
        <v>Included</v>
      </c>
      <c r="AN128" s="3" t="str">
        <f aca="false">IF(OR(D128="Invalid/Unrecognized",E128="Invalid/Unrecognized",G128="Invalid - Ship Before Order",X128="Negative - Invalid",X128="Above Allowed Range - Invalid",AG128="Mismatch",AH128="Mismatch",AK128="Conflicting Duplicate - Flagged for Review"),"Invalid",IF(OR(L128="Filled - Unknown",S128="Filled - Unknown",X128="Missing - Defaulted to 0",AL128="Yes",AC128="Cancelled",AC128="Returned"),"Warning","Clean"))</f>
        <v>Clean</v>
      </c>
    </row>
    <row r="129" customFormat="false" ht="15" hidden="false" customHeight="false" outlineLevel="0" collapsed="false">
      <c r="A129" s="3" t="str">
        <f aca="false">raw_data!A129</f>
        <v>ORD-2025-10128</v>
      </c>
      <c r="B129" s="4" t="n">
        <f aca="false">IFERROR(IF(MID(raw_data!B129,3,1)="/",DATE(VALUE(RIGHT(raw_data!B129,4)),VALUE(LEFT(raw_data!B129,2)),VALUE(MID(raw_data!B129,4,2))),IF(MID(raw_data!B129,3,1)="-",DATE(VALUE(RIGHT(raw_data!B129,4)),VALUE(MID(raw_data!B129,4,2)),VALUE(LEFT(raw_data!B129,2))),IF(MID(raw_data!B129,5,1)="-",DATE(VALUE(LEFT(raw_data!B129,4)),VALUE(MID(raw_data!B129,6,2)),VALUE(RIGHT(raw_data!B129,2))),DATE(VALUE(RIGHT(raw_data!B129,4)),MATCH(MID(raw_data!B129,4,3),{"Jan","Feb","Mar","Apr","May","Jun","Jul","Aug","Sep","Oct","Nov","Dec"},0),VALUE(LEFT(raw_data!B129,2)))))),"")</f>
        <v>45687</v>
      </c>
      <c r="C129" s="4" t="n">
        <f aca="false">IFERROR(IF(MID(raw_data!C129,3,1)="/",DATE(VALUE(RIGHT(raw_data!C129,4)),VALUE(LEFT(raw_data!C129,2)),VALUE(MID(raw_data!C129,4,2))),IF(MID(raw_data!C129,3,1)="-",DATE(VALUE(RIGHT(raw_data!C129,4)),VALUE(MID(raw_data!C129,4,2)),VALUE(LEFT(raw_data!C129,2))),IF(MID(raw_data!C129,5,1)="-",DATE(VALUE(LEFT(raw_data!C129,4)),VALUE(MID(raw_data!C129,6,2)),VALUE(RIGHT(raw_data!C129,2))),DATE(VALUE(RIGHT(raw_data!C129,4)),MATCH(MID(raw_data!C129,4,3),{"Jan","Feb","Mar","Apr","May","Jun","Jul","Aug","Sep","Oct","Nov","Dec"},0),VALUE(LEFT(raw_data!C129,2)))))),"")</f>
        <v>45683</v>
      </c>
      <c r="D129" s="3" t="str">
        <f aca="false">IF(TRIM(raw_data!B129)="","Missing",IF(B129="","Invalid/Unrecognized","Valid"))</f>
        <v>Valid</v>
      </c>
      <c r="E129" s="3" t="str">
        <f aca="false">IF(TRIM(raw_data!C129)="","Missing",IF(C129="","Invalid/Unrecognized","Valid"))</f>
        <v>Valid</v>
      </c>
      <c r="F129" s="5" t="n">
        <f aca="false">IF(OR(B129="",C129=""),"",C129-B129)</f>
        <v>-4</v>
      </c>
      <c r="G129" s="3" t="str">
        <f aca="false">IF(F129="","N/A",IF(F129&lt;0,"Invalid - Ship Before Order","OK"))</f>
        <v>Invalid - Ship Before Order</v>
      </c>
      <c r="H129" s="3" t="str">
        <f aca="false">raw_data!D129</f>
        <v>CUST-6802</v>
      </c>
      <c r="I129" s="3" t="str">
        <f aca="false">PROPER(TRIM(raw_data!E129))</f>
        <v>Priya Menon</v>
      </c>
      <c r="J129" s="3" t="str">
        <f aca="false">PROPER(TRIM(raw_data!F129))</f>
        <v>Corporate</v>
      </c>
      <c r="K129" s="3" t="str">
        <f aca="false">IF(TRIM(raw_data!G129)="","Unknown",PROPER(TRIM(raw_data!G129)))</f>
        <v>West</v>
      </c>
      <c r="L129" s="3" t="str">
        <f aca="false">IF(TRIM(raw_data!G129)="","Filled - Unknown","OK")</f>
        <v>OK</v>
      </c>
      <c r="M129" s="3" t="str">
        <f aca="false">PROPER(TRIM(raw_data!H129))</f>
        <v>Madhya Pradesh</v>
      </c>
      <c r="N129" s="3" t="str">
        <f aca="false">PROPER(TRIM(raw_data!I129))</f>
        <v>Indore</v>
      </c>
      <c r="O129" s="3" t="str">
        <f aca="false">PROPER(TRIM(raw_data!J129))</f>
        <v>Office Supplies</v>
      </c>
      <c r="P129" s="3" t="str">
        <f aca="false">PROPER(TRIM(raw_data!K129))</f>
        <v>Storage</v>
      </c>
      <c r="Q129" s="3" t="str">
        <f aca="false">TRIM(raw_data!L129)</f>
        <v>Basic Storage 321</v>
      </c>
      <c r="R129" s="3" t="str">
        <f aca="false">IF(TRIM(raw_data!M129)="","Unknown",PROPER(TRIM(raw_data!M129)))</f>
        <v>Second Class</v>
      </c>
      <c r="S129" s="3" t="str">
        <f aca="false">IF(TRIM(raw_data!M129)="","Filled - Unknown","OK")</f>
        <v>OK</v>
      </c>
      <c r="T129" s="6" t="n">
        <f aca="false">raw_data!N129</f>
        <v>2</v>
      </c>
      <c r="U129" s="7" t="n">
        <f aca="false">raw_data!O129</f>
        <v>3039.3</v>
      </c>
      <c r="V129" s="8" t="n">
        <f aca="false">raw_data!P129</f>
        <v>0.05</v>
      </c>
      <c r="W129" s="8" t="n">
        <f aca="false">IF(raw_data!P129="",0,IF(ISTEXT(raw_data!P129),IF(RIGHT(raw_data!P129,1)="%",VALUE(LEFT(raw_data!P129,LEN(raw_data!P129)-1))/100,VALUE(raw_data!P129)),raw_data!P129))</f>
        <v>0.05</v>
      </c>
      <c r="X129" s="3" t="str">
        <f aca="false">IF(raw_data!P129="","Missing - Defaulted to 0",IF(W129&lt;0,"Negative - Invalid",IF(W129&gt;0.3,"Above Allowed Range - Invalid","Valid")))</f>
        <v>Valid</v>
      </c>
      <c r="Y129" s="7" t="n">
        <f aca="false">raw_data!Q129</f>
        <v>5774.67</v>
      </c>
      <c r="Z129" s="7" t="n">
        <f aca="false">raw_data!R129</f>
        <v>3518.36</v>
      </c>
      <c r="AA129" s="7" t="n">
        <f aca="false">raw_data!S129</f>
        <v>2256.31</v>
      </c>
      <c r="AB129" s="3" t="str">
        <f aca="false">PROPER(TRIM(raw_data!T129))</f>
        <v>Paid</v>
      </c>
      <c r="AC129" s="3" t="str">
        <f aca="false">PROPER(TRIM(raw_data!U129))</f>
        <v>Completed</v>
      </c>
      <c r="AD129" s="7" t="n">
        <f aca="false">T129*U129*(1-W129)</f>
        <v>5774.67</v>
      </c>
      <c r="AE129" s="7" t="n">
        <f aca="false">AD129-Z129</f>
        <v>2256.31</v>
      </c>
      <c r="AF129" s="8" t="n">
        <f aca="false">IF(AD129=0,0,AE129/AD129)</f>
        <v>0.390725357466314</v>
      </c>
      <c r="AG129" s="3" t="str">
        <f aca="false">IF(ABS(Y129-AD129)&gt;1,"Mismatch","OK")</f>
        <v>OK</v>
      </c>
      <c r="AH129" s="3" t="str">
        <f aca="false">IF(ABS(AA129-AE129)&gt;1,"Mismatch","OK")</f>
        <v>OK</v>
      </c>
      <c r="AI129" s="6" t="n">
        <f aca="false">IF(B129="","",MONTH(B129))</f>
        <v>1</v>
      </c>
      <c r="AJ129" s="6" t="n">
        <f aca="false">IF(B129="","",YEAR(B129))</f>
        <v>2025</v>
      </c>
      <c r="AK129" s="3" t="str">
        <f aca="false">IF(COUNTIF(raw_data!$A$2:$A$913,A129)&gt;1,"Conflicting Duplicate - Flagged for Review","Unique")</f>
        <v>Unique</v>
      </c>
      <c r="AL129" s="3" t="str">
        <f aca="false">IF(AB129="Refunded","Yes","No")</f>
        <v>No</v>
      </c>
      <c r="AM129" s="3" t="str">
        <f aca="false">IF(OR(AC129&lt;&gt;"Completed",AB129="Failed"),"Excluded","Included")</f>
        <v>Included</v>
      </c>
      <c r="AN129" s="3" t="str">
        <f aca="false">IF(OR(D129="Invalid/Unrecognized",E129="Invalid/Unrecognized",G129="Invalid - Ship Before Order",X129="Negative - Invalid",X129="Above Allowed Range - Invalid",AG129="Mismatch",AH129="Mismatch",AK129="Conflicting Duplicate - Flagged for Review"),"Invalid",IF(OR(L129="Filled - Unknown",S129="Filled - Unknown",X129="Missing - Defaulted to 0",AL129="Yes",AC129="Cancelled",AC129="Returned"),"Warning","Clean"))</f>
        <v>Invalid</v>
      </c>
    </row>
    <row r="130" customFormat="false" ht="15" hidden="false" customHeight="false" outlineLevel="0" collapsed="false">
      <c r="A130" s="3" t="str">
        <f aca="false">raw_data!A130</f>
        <v>ORD-2024-10129</v>
      </c>
      <c r="B130" s="4" t="n">
        <f aca="false">IFERROR(IF(MID(raw_data!B130,3,1)="/",DATE(VALUE(RIGHT(raw_data!B130,4)),VALUE(LEFT(raw_data!B130,2)),VALUE(MID(raw_data!B130,4,2))),IF(MID(raw_data!B130,3,1)="-",DATE(VALUE(RIGHT(raw_data!B130,4)),VALUE(MID(raw_data!B130,4,2)),VALUE(LEFT(raw_data!B130,2))),IF(MID(raw_data!B130,5,1)="-",DATE(VALUE(LEFT(raw_data!B130,4)),VALUE(MID(raw_data!B130,6,2)),VALUE(RIGHT(raw_data!B130,2))),DATE(VALUE(RIGHT(raw_data!B130,4)),MATCH(MID(raw_data!B130,4,3),{"Jan","Feb","Mar","Apr","May","Jun","Jul","Aug","Sep","Oct","Nov","Dec"},0),VALUE(LEFT(raw_data!B130,2)))))),"")</f>
        <v>45639</v>
      </c>
      <c r="C130" s="4" t="n">
        <f aca="false">IFERROR(IF(MID(raw_data!C130,3,1)="/",DATE(VALUE(RIGHT(raw_data!C130,4)),VALUE(LEFT(raw_data!C130,2)),VALUE(MID(raw_data!C130,4,2))),IF(MID(raw_data!C130,3,1)="-",DATE(VALUE(RIGHT(raw_data!C130,4)),VALUE(MID(raw_data!C130,4,2)),VALUE(LEFT(raw_data!C130,2))),IF(MID(raw_data!C130,5,1)="-",DATE(VALUE(LEFT(raw_data!C130,4)),VALUE(MID(raw_data!C130,6,2)),VALUE(RIGHT(raw_data!C130,2))),DATE(VALUE(RIGHT(raw_data!C130,4)),MATCH(MID(raw_data!C130,4,3),{"Jan","Feb","Mar","Apr","May","Jun","Jul","Aug","Sep","Oct","Nov","Dec"},0),VALUE(LEFT(raw_data!C130,2)))))),"")</f>
        <v>45642</v>
      </c>
      <c r="D130" s="3" t="str">
        <f aca="false">IF(TRIM(raw_data!B130)="","Missing",IF(B130="","Invalid/Unrecognized","Valid"))</f>
        <v>Valid</v>
      </c>
      <c r="E130" s="3" t="str">
        <f aca="false">IF(TRIM(raw_data!C130)="","Missing",IF(C130="","Invalid/Unrecognized","Valid"))</f>
        <v>Valid</v>
      </c>
      <c r="F130" s="5" t="n">
        <f aca="false">IF(OR(B130="",C130=""),"",C130-B130)</f>
        <v>3</v>
      </c>
      <c r="G130" s="3" t="str">
        <f aca="false">IF(F130="","N/A",IF(F130&lt;0,"Invalid - Ship Before Order","OK"))</f>
        <v>OK</v>
      </c>
      <c r="H130" s="3" t="str">
        <f aca="false">raw_data!D130</f>
        <v>CUST-9328</v>
      </c>
      <c r="I130" s="3" t="str">
        <f aca="false">PROPER(TRIM(raw_data!E130))</f>
        <v>Neha Gupta</v>
      </c>
      <c r="J130" s="3" t="str">
        <f aca="false">PROPER(TRIM(raw_data!F130))</f>
        <v>Small Business</v>
      </c>
      <c r="K130" s="3" t="str">
        <f aca="false">IF(TRIM(raw_data!G130)="","Unknown",PROPER(TRIM(raw_data!G130)))</f>
        <v>East</v>
      </c>
      <c r="L130" s="3" t="str">
        <f aca="false">IF(TRIM(raw_data!G130)="","Filled - Unknown","OK")</f>
        <v>OK</v>
      </c>
      <c r="M130" s="3" t="str">
        <f aca="false">PROPER(TRIM(raw_data!H130))</f>
        <v>Odisha</v>
      </c>
      <c r="N130" s="3" t="str">
        <f aca="false">PROPER(TRIM(raw_data!I130))</f>
        <v>Bhubaneswar</v>
      </c>
      <c r="O130" s="3" t="str">
        <f aca="false">PROPER(TRIM(raw_data!J130))</f>
        <v>Furniture</v>
      </c>
      <c r="P130" s="3" t="str">
        <f aca="false">PROPER(TRIM(raw_data!K130))</f>
        <v>Furnishings</v>
      </c>
      <c r="Q130" s="3" t="str">
        <f aca="false">TRIM(raw_data!L130)</f>
        <v>Prime Furnishings 710</v>
      </c>
      <c r="R130" s="3" t="str">
        <f aca="false">IF(TRIM(raw_data!M130)="","Unknown",PROPER(TRIM(raw_data!M130)))</f>
        <v>Standard Class</v>
      </c>
      <c r="S130" s="3" t="str">
        <f aca="false">IF(TRIM(raw_data!M130)="","Filled - Unknown","OK")</f>
        <v>OK</v>
      </c>
      <c r="T130" s="6" t="n">
        <f aca="false">raw_data!N130</f>
        <v>5</v>
      </c>
      <c r="U130" s="7" t="n">
        <f aca="false">raw_data!O130</f>
        <v>923.45</v>
      </c>
      <c r="V130" s="8" t="n">
        <f aca="false">raw_data!P130</f>
        <v>0.05</v>
      </c>
      <c r="W130" s="8" t="n">
        <f aca="false">IF(raw_data!P130="",0,IF(ISTEXT(raw_data!P130),IF(RIGHT(raw_data!P130,1)="%",VALUE(LEFT(raw_data!P130,LEN(raw_data!P130)-1))/100,VALUE(raw_data!P130)),raw_data!P130))</f>
        <v>0.05</v>
      </c>
      <c r="X130" s="3" t="str">
        <f aca="false">IF(raw_data!P130="","Missing - Defaulted to 0",IF(W130&lt;0,"Negative - Invalid",IF(W130&gt;0.3,"Above Allowed Range - Invalid","Valid")))</f>
        <v>Valid</v>
      </c>
      <c r="Y130" s="7" t="n">
        <f aca="false">raw_data!Q130</f>
        <v>4386.39</v>
      </c>
      <c r="Z130" s="7" t="n">
        <f aca="false">raw_data!R130</f>
        <v>3366.88</v>
      </c>
      <c r="AA130" s="7" t="n">
        <f aca="false">raw_data!S130</f>
        <v>1019.51</v>
      </c>
      <c r="AB130" s="3" t="str">
        <f aca="false">PROPER(TRIM(raw_data!T130))</f>
        <v>Paid</v>
      </c>
      <c r="AC130" s="3" t="str">
        <f aca="false">PROPER(TRIM(raw_data!U130))</f>
        <v>Returned</v>
      </c>
      <c r="AD130" s="7" t="n">
        <f aca="false">T130*U130*(1-W130)</f>
        <v>4386.3875</v>
      </c>
      <c r="AE130" s="7" t="n">
        <f aca="false">AD130-Z130</f>
        <v>1019.5075</v>
      </c>
      <c r="AF130" s="8" t="n">
        <f aca="false">IF(AD130=0,0,AE130/AD130)</f>
        <v>0.232425315820821</v>
      </c>
      <c r="AG130" s="3" t="str">
        <f aca="false">IF(ABS(Y130-AD130)&gt;1,"Mismatch","OK")</f>
        <v>OK</v>
      </c>
      <c r="AH130" s="3" t="str">
        <f aca="false">IF(ABS(AA130-AE130)&gt;1,"Mismatch","OK")</f>
        <v>OK</v>
      </c>
      <c r="AI130" s="6" t="n">
        <f aca="false">IF(B130="","",MONTH(B130))</f>
        <v>12</v>
      </c>
      <c r="AJ130" s="6" t="n">
        <f aca="false">IF(B130="","",YEAR(B130))</f>
        <v>2024</v>
      </c>
      <c r="AK130" s="3" t="str">
        <f aca="false">IF(COUNTIF(raw_data!$A$2:$A$913,A130)&gt;1,"Conflicting Duplicate - Flagged for Review","Unique")</f>
        <v>Unique</v>
      </c>
      <c r="AL130" s="3" t="str">
        <f aca="false">IF(AB130="Refunded","Yes","No")</f>
        <v>No</v>
      </c>
      <c r="AM130" s="3" t="str">
        <f aca="false">IF(OR(AC130&lt;&gt;"Completed",AB130="Failed"),"Excluded","Included")</f>
        <v>Excluded</v>
      </c>
      <c r="AN130" s="3" t="str">
        <f aca="false">IF(OR(D130="Invalid/Unrecognized",E130="Invalid/Unrecognized",G130="Invalid - Ship Before Order",X130="Negative - Invalid",X130="Above Allowed Range - Invalid",AG130="Mismatch",AH130="Mismatch",AK130="Conflicting Duplicate - Flagged for Review"),"Invalid",IF(OR(L130="Filled - Unknown",S130="Filled - Unknown",X130="Missing - Defaulted to 0",AL130="Yes",AC130="Cancelled",AC130="Returned"),"Warning","Clean"))</f>
        <v>Warning</v>
      </c>
    </row>
    <row r="131" customFormat="false" ht="15" hidden="false" customHeight="false" outlineLevel="0" collapsed="false">
      <c r="A131" s="3" t="str">
        <f aca="false">raw_data!A131</f>
        <v>ORD-2024-10130</v>
      </c>
      <c r="B131" s="4" t="n">
        <f aca="false">IFERROR(IF(MID(raw_data!B131,3,1)="/",DATE(VALUE(RIGHT(raw_data!B131,4)),VALUE(LEFT(raw_data!B131,2)),VALUE(MID(raw_data!B131,4,2))),IF(MID(raw_data!B131,3,1)="-",DATE(VALUE(RIGHT(raw_data!B131,4)),VALUE(MID(raw_data!B131,4,2)),VALUE(LEFT(raw_data!B131,2))),IF(MID(raw_data!B131,5,1)="-",DATE(VALUE(LEFT(raw_data!B131,4)),VALUE(MID(raw_data!B131,6,2)),VALUE(RIGHT(raw_data!B131,2))),DATE(VALUE(RIGHT(raw_data!B131,4)),MATCH(MID(raw_data!B131,4,3),{"Jan","Feb","Mar","Apr","May","Jun","Jul","Aug","Sep","Oct","Nov","Dec"},0),VALUE(LEFT(raw_data!B131,2)))))),"")</f>
        <v>45492</v>
      </c>
      <c r="C131" s="4" t="n">
        <f aca="false">IFERROR(IF(MID(raw_data!C131,3,1)="/",DATE(VALUE(RIGHT(raw_data!C131,4)),VALUE(LEFT(raw_data!C131,2)),VALUE(MID(raw_data!C131,4,2))),IF(MID(raw_data!C131,3,1)="-",DATE(VALUE(RIGHT(raw_data!C131,4)),VALUE(MID(raw_data!C131,4,2)),VALUE(LEFT(raw_data!C131,2))),IF(MID(raw_data!C131,5,1)="-",DATE(VALUE(LEFT(raw_data!C131,4)),VALUE(MID(raw_data!C131,6,2)),VALUE(RIGHT(raw_data!C131,2))),DATE(VALUE(RIGHT(raw_data!C131,4)),MATCH(MID(raw_data!C131,4,3),{"Jan","Feb","Mar","Apr","May","Jun","Jul","Aug","Sep","Oct","Nov","Dec"},0),VALUE(LEFT(raw_data!C131,2)))))),"")</f>
        <v>45498</v>
      </c>
      <c r="D131" s="3" t="str">
        <f aca="false">IF(TRIM(raw_data!B131)="","Missing",IF(B131="","Invalid/Unrecognized","Valid"))</f>
        <v>Valid</v>
      </c>
      <c r="E131" s="3" t="str">
        <f aca="false">IF(TRIM(raw_data!C131)="","Missing",IF(C131="","Invalid/Unrecognized","Valid"))</f>
        <v>Valid</v>
      </c>
      <c r="F131" s="5" t="n">
        <f aca="false">IF(OR(B131="",C131=""),"",C131-B131)</f>
        <v>6</v>
      </c>
      <c r="G131" s="3" t="str">
        <f aca="false">IF(F131="","N/A",IF(F131&lt;0,"Invalid - Ship Before Order","OK"))</f>
        <v>OK</v>
      </c>
      <c r="H131" s="3" t="str">
        <f aca="false">raw_data!D131</f>
        <v>CUST-2588</v>
      </c>
      <c r="I131" s="3" t="str">
        <f aca="false">PROPER(TRIM(raw_data!E131))</f>
        <v>Isha Nair</v>
      </c>
      <c r="J131" s="3" t="str">
        <f aca="false">PROPER(TRIM(raw_data!F131))</f>
        <v>Small Business</v>
      </c>
      <c r="K131" s="3" t="str">
        <f aca="false">IF(TRIM(raw_data!G131)="","Unknown",PROPER(TRIM(raw_data!G131)))</f>
        <v>West</v>
      </c>
      <c r="L131" s="3" t="str">
        <f aca="false">IF(TRIM(raw_data!G131)="","Filled - Unknown","OK")</f>
        <v>OK</v>
      </c>
      <c r="M131" s="3" t="str">
        <f aca="false">PROPER(TRIM(raw_data!H131))</f>
        <v>Goa</v>
      </c>
      <c r="N131" s="3" t="str">
        <f aca="false">PROPER(TRIM(raw_data!I131))</f>
        <v>Panaji</v>
      </c>
      <c r="O131" s="3" t="str">
        <f aca="false">PROPER(TRIM(raw_data!J131))</f>
        <v>Office Supplies</v>
      </c>
      <c r="P131" s="3" t="str">
        <f aca="false">PROPER(TRIM(raw_data!K131))</f>
        <v>Binders</v>
      </c>
      <c r="Q131" s="3" t="str">
        <f aca="false">TRIM(raw_data!L131)</f>
        <v>Elite Binders 723</v>
      </c>
      <c r="R131" s="3" t="str">
        <f aca="false">IF(TRIM(raw_data!M131)="","Unknown",PROPER(TRIM(raw_data!M131)))</f>
        <v>Standard Class</v>
      </c>
      <c r="S131" s="3" t="str">
        <f aca="false">IF(TRIM(raw_data!M131)="","Filled - Unknown","OK")</f>
        <v>OK</v>
      </c>
      <c r="T131" s="6" t="n">
        <f aca="false">raw_data!N131</f>
        <v>7</v>
      </c>
      <c r="U131" s="7" t="n">
        <f aca="false">raw_data!O131</f>
        <v>2741.29</v>
      </c>
      <c r="V131" s="8" t="n">
        <f aca="false">raw_data!P131</f>
        <v>0.05</v>
      </c>
      <c r="W131" s="8" t="n">
        <f aca="false">IF(raw_data!P131="",0,IF(ISTEXT(raw_data!P131),IF(RIGHT(raw_data!P131,1)="%",VALUE(LEFT(raw_data!P131,LEN(raw_data!P131)-1))/100,VALUE(raw_data!P131)),raw_data!P131))</f>
        <v>0.05</v>
      </c>
      <c r="X131" s="3" t="str">
        <f aca="false">IF(raw_data!P131="","Missing - Defaulted to 0",IF(W131&lt;0,"Negative - Invalid",IF(W131&gt;0.3,"Above Allowed Range - Invalid","Valid")))</f>
        <v>Valid</v>
      </c>
      <c r="Y131" s="7" t="n">
        <f aca="false">raw_data!Q131</f>
        <v>18229.58</v>
      </c>
      <c r="Z131" s="7" t="n">
        <f aca="false">raw_data!R131</f>
        <v>15139.15</v>
      </c>
      <c r="AA131" s="7" t="n">
        <f aca="false">raw_data!S131</f>
        <v>3090.43</v>
      </c>
      <c r="AB131" s="3" t="str">
        <f aca="false">PROPER(TRIM(raw_data!T131))</f>
        <v>Paid</v>
      </c>
      <c r="AC131" s="3" t="str">
        <f aca="false">PROPER(TRIM(raw_data!U131))</f>
        <v>Completed</v>
      </c>
      <c r="AD131" s="7" t="n">
        <f aca="false">T131*U131*(1-W131)</f>
        <v>18229.5785</v>
      </c>
      <c r="AE131" s="7" t="n">
        <f aca="false">AD131-Z131</f>
        <v>3090.4285</v>
      </c>
      <c r="AF131" s="8" t="n">
        <f aca="false">IF(AD131=0,0,AE131/AD131)</f>
        <v>0.169528247732113</v>
      </c>
      <c r="AG131" s="3" t="str">
        <f aca="false">IF(ABS(Y131-AD131)&gt;1,"Mismatch","OK")</f>
        <v>OK</v>
      </c>
      <c r="AH131" s="3" t="str">
        <f aca="false">IF(ABS(AA131-AE131)&gt;1,"Mismatch","OK")</f>
        <v>OK</v>
      </c>
      <c r="AI131" s="6" t="n">
        <f aca="false">IF(B131="","",MONTH(B131))</f>
        <v>7</v>
      </c>
      <c r="AJ131" s="6" t="n">
        <f aca="false">IF(B131="","",YEAR(B131))</f>
        <v>2024</v>
      </c>
      <c r="AK131" s="3" t="str">
        <f aca="false">IF(COUNTIF(raw_data!$A$2:$A$913,A131)&gt;1,"Conflicting Duplicate - Flagged for Review","Unique")</f>
        <v>Unique</v>
      </c>
      <c r="AL131" s="3" t="str">
        <f aca="false">IF(AB131="Refunded","Yes","No")</f>
        <v>No</v>
      </c>
      <c r="AM131" s="3" t="str">
        <f aca="false">IF(OR(AC131&lt;&gt;"Completed",AB131="Failed"),"Excluded","Included")</f>
        <v>Included</v>
      </c>
      <c r="AN131" s="3" t="str">
        <f aca="false">IF(OR(D131="Invalid/Unrecognized",E131="Invalid/Unrecognized",G131="Invalid - Ship Before Order",X131="Negative - Invalid",X131="Above Allowed Range - Invalid",AG131="Mismatch",AH131="Mismatch",AK131="Conflicting Duplicate - Flagged for Review"),"Invalid",IF(OR(L131="Filled - Unknown",S131="Filled - Unknown",X131="Missing - Defaulted to 0",AL131="Yes",AC131="Cancelled",AC131="Returned"),"Warning","Clean"))</f>
        <v>Clean</v>
      </c>
    </row>
    <row r="132" customFormat="false" ht="15" hidden="false" customHeight="false" outlineLevel="0" collapsed="false">
      <c r="A132" s="3" t="str">
        <f aca="false">raw_data!A132</f>
        <v>ORD-2024-10131</v>
      </c>
      <c r="B132" s="4" t="n">
        <f aca="false">IFERROR(IF(MID(raw_data!B132,3,1)="/",DATE(VALUE(RIGHT(raw_data!B132,4)),VALUE(LEFT(raw_data!B132,2)),VALUE(MID(raw_data!B132,4,2))),IF(MID(raw_data!B132,3,1)="-",DATE(VALUE(RIGHT(raw_data!B132,4)),VALUE(MID(raw_data!B132,4,2)),VALUE(LEFT(raw_data!B132,2))),IF(MID(raw_data!B132,5,1)="-",DATE(VALUE(LEFT(raw_data!B132,4)),VALUE(MID(raw_data!B132,6,2)),VALUE(RIGHT(raw_data!B132,2))),DATE(VALUE(RIGHT(raw_data!B132,4)),MATCH(MID(raw_data!B132,4,3),{"Jan","Feb","Mar","Apr","May","Jun","Jul","Aug","Sep","Oct","Nov","Dec"},0),VALUE(LEFT(raw_data!B132,2)))))),"")</f>
        <v>45318</v>
      </c>
      <c r="C132" s="4" t="n">
        <f aca="false">IFERROR(IF(MID(raw_data!C132,3,1)="/",DATE(VALUE(RIGHT(raw_data!C132,4)),VALUE(LEFT(raw_data!C132,2)),VALUE(MID(raw_data!C132,4,2))),IF(MID(raw_data!C132,3,1)="-",DATE(VALUE(RIGHT(raw_data!C132,4)),VALUE(MID(raw_data!C132,4,2)),VALUE(LEFT(raw_data!C132,2))),IF(MID(raw_data!C132,5,1)="-",DATE(VALUE(LEFT(raw_data!C132,4)),VALUE(MID(raw_data!C132,6,2)),VALUE(RIGHT(raw_data!C132,2))),DATE(VALUE(RIGHT(raw_data!C132,4)),MATCH(MID(raw_data!C132,4,3),{"Jan","Feb","Mar","Apr","May","Jun","Jul","Aug","Sep","Oct","Nov","Dec"},0),VALUE(LEFT(raw_data!C132,2)))))),"")</f>
        <v>45324</v>
      </c>
      <c r="D132" s="3" t="str">
        <f aca="false">IF(TRIM(raw_data!B132)="","Missing",IF(B132="","Invalid/Unrecognized","Valid"))</f>
        <v>Valid</v>
      </c>
      <c r="E132" s="3" t="str">
        <f aca="false">IF(TRIM(raw_data!C132)="","Missing",IF(C132="","Invalid/Unrecognized","Valid"))</f>
        <v>Valid</v>
      </c>
      <c r="F132" s="5" t="n">
        <f aca="false">IF(OR(B132="",C132=""),"",C132-B132)</f>
        <v>6</v>
      </c>
      <c r="G132" s="3" t="str">
        <f aca="false">IF(F132="","N/A",IF(F132&lt;0,"Invalid - Ship Before Order","OK"))</f>
        <v>OK</v>
      </c>
      <c r="H132" s="3" t="str">
        <f aca="false">raw_data!D132</f>
        <v>CUST-5435</v>
      </c>
      <c r="I132" s="3" t="str">
        <f aca="false">PROPER(TRIM(raw_data!E132))</f>
        <v>Arjun Bose</v>
      </c>
      <c r="J132" s="3" t="str">
        <f aca="false">PROPER(TRIM(raw_data!F132))</f>
        <v>Consumer</v>
      </c>
      <c r="K132" s="3" t="str">
        <f aca="false">IF(TRIM(raw_data!G132)="","Unknown",PROPER(TRIM(raw_data!G132)))</f>
        <v>West</v>
      </c>
      <c r="L132" s="3" t="str">
        <f aca="false">IF(TRIM(raw_data!G132)="","Filled - Unknown","OK")</f>
        <v>OK</v>
      </c>
      <c r="M132" s="3" t="str">
        <f aca="false">PROPER(TRIM(raw_data!H132))</f>
        <v>Gujarat</v>
      </c>
      <c r="N132" s="3" t="str">
        <f aca="false">PROPER(TRIM(raw_data!I132))</f>
        <v>Ahmedabad</v>
      </c>
      <c r="O132" s="3" t="str">
        <f aca="false">PROPER(TRIM(raw_data!J132))</f>
        <v>Office Supplies</v>
      </c>
      <c r="P132" s="3" t="str">
        <f aca="false">PROPER(TRIM(raw_data!K132))</f>
        <v>Labels</v>
      </c>
      <c r="Q132" s="3" t="str">
        <f aca="false">TRIM(raw_data!L132)</f>
        <v>Smart Labels 878</v>
      </c>
      <c r="R132" s="3" t="str">
        <f aca="false">IF(TRIM(raw_data!M132)="","Unknown",PROPER(TRIM(raw_data!M132)))</f>
        <v>Same Day</v>
      </c>
      <c r="S132" s="3" t="str">
        <f aca="false">IF(TRIM(raw_data!M132)="","Filled - Unknown","OK")</f>
        <v>OK</v>
      </c>
      <c r="T132" s="6" t="n">
        <f aca="false">raw_data!N132</f>
        <v>5</v>
      </c>
      <c r="U132" s="7" t="n">
        <f aca="false">raw_data!O132</f>
        <v>218.42</v>
      </c>
      <c r="V132" s="8" t="n">
        <f aca="false">raw_data!P132</f>
        <v>0.2</v>
      </c>
      <c r="W132" s="8" t="n">
        <f aca="false">IF(raw_data!P132="",0,IF(ISTEXT(raw_data!P132),IF(RIGHT(raw_data!P132,1)="%",VALUE(LEFT(raw_data!P132,LEN(raw_data!P132)-1))/100,VALUE(raw_data!P132)),raw_data!P132))</f>
        <v>0.2</v>
      </c>
      <c r="X132" s="3" t="str">
        <f aca="false">IF(raw_data!P132="","Missing - Defaulted to 0",IF(W132&lt;0,"Negative - Invalid",IF(W132&gt;0.3,"Above Allowed Range - Invalid","Valid")))</f>
        <v>Valid</v>
      </c>
      <c r="Y132" s="7" t="n">
        <f aca="false">raw_data!Q132</f>
        <v>873.68</v>
      </c>
      <c r="Z132" s="7" t="n">
        <f aca="false">raw_data!R132</f>
        <v>661.72</v>
      </c>
      <c r="AA132" s="7" t="n">
        <f aca="false">raw_data!S132</f>
        <v>211.96</v>
      </c>
      <c r="AB132" s="3" t="str">
        <f aca="false">PROPER(TRIM(raw_data!T132))</f>
        <v>Pending</v>
      </c>
      <c r="AC132" s="3" t="str">
        <f aca="false">PROPER(TRIM(raw_data!U132))</f>
        <v>Cancelled</v>
      </c>
      <c r="AD132" s="7" t="n">
        <f aca="false">T132*U132*(1-W132)</f>
        <v>873.68</v>
      </c>
      <c r="AE132" s="7" t="n">
        <f aca="false">AD132-Z132</f>
        <v>211.96</v>
      </c>
      <c r="AF132" s="8" t="n">
        <f aca="false">IF(AD132=0,0,AE132/AD132)</f>
        <v>0.242605988462595</v>
      </c>
      <c r="AG132" s="3" t="str">
        <f aca="false">IF(ABS(Y132-AD132)&gt;1,"Mismatch","OK")</f>
        <v>OK</v>
      </c>
      <c r="AH132" s="3" t="str">
        <f aca="false">IF(ABS(AA132-AE132)&gt;1,"Mismatch","OK")</f>
        <v>OK</v>
      </c>
      <c r="AI132" s="6" t="n">
        <f aca="false">IF(B132="","",MONTH(B132))</f>
        <v>1</v>
      </c>
      <c r="AJ132" s="6" t="n">
        <f aca="false">IF(B132="","",YEAR(B132))</f>
        <v>2024</v>
      </c>
      <c r="AK132" s="3" t="str">
        <f aca="false">IF(COUNTIF(raw_data!$A$2:$A$913,A132)&gt;1,"Conflicting Duplicate - Flagged for Review","Unique")</f>
        <v>Unique</v>
      </c>
      <c r="AL132" s="3" t="str">
        <f aca="false">IF(AB132="Refunded","Yes","No")</f>
        <v>No</v>
      </c>
      <c r="AM132" s="3" t="str">
        <f aca="false">IF(OR(AC132&lt;&gt;"Completed",AB132="Failed"),"Excluded","Included")</f>
        <v>Excluded</v>
      </c>
      <c r="AN132" s="3" t="str">
        <f aca="false">IF(OR(D132="Invalid/Unrecognized",E132="Invalid/Unrecognized",G132="Invalid - Ship Before Order",X132="Negative - Invalid",X132="Above Allowed Range - Invalid",AG132="Mismatch",AH132="Mismatch",AK132="Conflicting Duplicate - Flagged for Review"),"Invalid",IF(OR(L132="Filled - Unknown",S132="Filled - Unknown",X132="Missing - Defaulted to 0",AL132="Yes",AC132="Cancelled",AC132="Returned"),"Warning","Clean"))</f>
        <v>Warning</v>
      </c>
    </row>
    <row r="133" customFormat="false" ht="15" hidden="false" customHeight="false" outlineLevel="0" collapsed="false">
      <c r="A133" s="3" t="str">
        <f aca="false">raw_data!A133</f>
        <v>ORD-2025-10132</v>
      </c>
      <c r="B133" s="4" t="n">
        <f aca="false">IFERROR(IF(MID(raw_data!B133,3,1)="/",DATE(VALUE(RIGHT(raw_data!B133,4)),VALUE(LEFT(raw_data!B133,2)),VALUE(MID(raw_data!B133,4,2))),IF(MID(raw_data!B133,3,1)="-",DATE(VALUE(RIGHT(raw_data!B133,4)),VALUE(MID(raw_data!B133,4,2)),VALUE(LEFT(raw_data!B133,2))),IF(MID(raw_data!B133,5,1)="-",DATE(VALUE(LEFT(raw_data!B133,4)),VALUE(MID(raw_data!B133,6,2)),VALUE(RIGHT(raw_data!B133,2))),DATE(VALUE(RIGHT(raw_data!B133,4)),MATCH(MID(raw_data!B133,4,3),{"Jan","Feb","Mar","Apr","May","Jun","Jul","Aug","Sep","Oct","Nov","Dec"},0),VALUE(LEFT(raw_data!B133,2)))))),"")</f>
        <v>45929</v>
      </c>
      <c r="C133" s="4" t="n">
        <f aca="false">IFERROR(IF(MID(raw_data!C133,3,1)="/",DATE(VALUE(RIGHT(raw_data!C133,4)),VALUE(LEFT(raw_data!C133,2)),VALUE(MID(raw_data!C133,4,2))),IF(MID(raw_data!C133,3,1)="-",DATE(VALUE(RIGHT(raw_data!C133,4)),VALUE(MID(raw_data!C133,4,2)),VALUE(LEFT(raw_data!C133,2))),IF(MID(raw_data!C133,5,1)="-",DATE(VALUE(LEFT(raw_data!C133,4)),VALUE(MID(raw_data!C133,6,2)),VALUE(RIGHT(raw_data!C133,2))),DATE(VALUE(RIGHT(raw_data!C133,4)),MATCH(MID(raw_data!C133,4,3),{"Jan","Feb","Mar","Apr","May","Jun","Jul","Aug","Sep","Oct","Nov","Dec"},0),VALUE(LEFT(raw_data!C133,2)))))),"")</f>
        <v>45934</v>
      </c>
      <c r="D133" s="3" t="str">
        <f aca="false">IF(TRIM(raw_data!B133)="","Missing",IF(B133="","Invalid/Unrecognized","Valid"))</f>
        <v>Valid</v>
      </c>
      <c r="E133" s="3" t="str">
        <f aca="false">IF(TRIM(raw_data!C133)="","Missing",IF(C133="","Invalid/Unrecognized","Valid"))</f>
        <v>Valid</v>
      </c>
      <c r="F133" s="5" t="n">
        <f aca="false">IF(OR(B133="",C133=""),"",C133-B133)</f>
        <v>5</v>
      </c>
      <c r="G133" s="3" t="str">
        <f aca="false">IF(F133="","N/A",IF(F133&lt;0,"Invalid - Ship Before Order","OK"))</f>
        <v>OK</v>
      </c>
      <c r="H133" s="3" t="str">
        <f aca="false">raw_data!D133</f>
        <v>CUST-7637</v>
      </c>
      <c r="I133" s="3" t="str">
        <f aca="false">PROPER(TRIM(raw_data!E133))</f>
        <v>Ananya Rao</v>
      </c>
      <c r="J133" s="3" t="str">
        <f aca="false">PROPER(TRIM(raw_data!F133))</f>
        <v>Home Office</v>
      </c>
      <c r="K133" s="3" t="str">
        <f aca="false">IF(TRIM(raw_data!G133)="","Unknown",PROPER(TRIM(raw_data!G133)))</f>
        <v>East</v>
      </c>
      <c r="L133" s="3" t="str">
        <f aca="false">IF(TRIM(raw_data!G133)="","Filled - Unknown","OK")</f>
        <v>OK</v>
      </c>
      <c r="M133" s="3" t="str">
        <f aca="false">PROPER(TRIM(raw_data!H133))</f>
        <v>Jharkhand</v>
      </c>
      <c r="N133" s="3" t="str">
        <f aca="false">PROPER(TRIM(raw_data!I133))</f>
        <v>Ranchi</v>
      </c>
      <c r="O133" s="3" t="str">
        <f aca="false">PROPER(TRIM(raw_data!J133))</f>
        <v>Office Supplies</v>
      </c>
      <c r="P133" s="3" t="str">
        <f aca="false">PROPER(TRIM(raw_data!K133))</f>
        <v>Paper</v>
      </c>
      <c r="Q133" s="3" t="str">
        <f aca="false">TRIM(raw_data!L133)</f>
        <v>Pro Paper 934</v>
      </c>
      <c r="R133" s="3" t="str">
        <f aca="false">IF(TRIM(raw_data!M133)="","Unknown",PROPER(TRIM(raw_data!M133)))</f>
        <v>Same Day</v>
      </c>
      <c r="S133" s="3" t="str">
        <f aca="false">IF(TRIM(raw_data!M133)="","Filled - Unknown","OK")</f>
        <v>OK</v>
      </c>
      <c r="T133" s="6" t="n">
        <f aca="false">raw_data!N133</f>
        <v>9</v>
      </c>
      <c r="U133" s="7" t="n">
        <f aca="false">raw_data!O133</f>
        <v>373.91</v>
      </c>
      <c r="V133" s="8" t="n">
        <f aca="false">raw_data!P133</f>
        <v>0.2</v>
      </c>
      <c r="W133" s="8" t="n">
        <f aca="false">IF(raw_data!P133="",0,IF(ISTEXT(raw_data!P133),IF(RIGHT(raw_data!P133,1)="%",VALUE(LEFT(raw_data!P133,LEN(raw_data!P133)-1))/100,VALUE(raw_data!P133)),raw_data!P133))</f>
        <v>0.2</v>
      </c>
      <c r="X133" s="3" t="str">
        <f aca="false">IF(raw_data!P133="","Missing - Defaulted to 0",IF(W133&lt;0,"Negative - Invalid",IF(W133&gt;0.3,"Above Allowed Range - Invalid","Valid")))</f>
        <v>Valid</v>
      </c>
      <c r="Y133" s="7" t="n">
        <f aca="false">raw_data!Q133</f>
        <v>2692.15</v>
      </c>
      <c r="Z133" s="7" t="n">
        <f aca="false">raw_data!R133</f>
        <v>2044.49</v>
      </c>
      <c r="AA133" s="7" t="n">
        <f aca="false">raw_data!S133</f>
        <v>647.66</v>
      </c>
      <c r="AB133" s="3" t="str">
        <f aca="false">PROPER(TRIM(raw_data!T133))</f>
        <v>Paid</v>
      </c>
      <c r="AC133" s="3" t="str">
        <f aca="false">PROPER(TRIM(raw_data!U133))</f>
        <v>Completed</v>
      </c>
      <c r="AD133" s="7" t="n">
        <f aca="false">T133*U133*(1-W133)</f>
        <v>2692.152</v>
      </c>
      <c r="AE133" s="7" t="n">
        <f aca="false">AD133-Z133</f>
        <v>647.662</v>
      </c>
      <c r="AF133" s="8" t="n">
        <f aca="false">IF(AD133=0,0,AE133/AD133)</f>
        <v>0.240574083484142</v>
      </c>
      <c r="AG133" s="3" t="str">
        <f aca="false">IF(ABS(Y133-AD133)&gt;1,"Mismatch","OK")</f>
        <v>OK</v>
      </c>
      <c r="AH133" s="3" t="str">
        <f aca="false">IF(ABS(AA133-AE133)&gt;1,"Mismatch","OK")</f>
        <v>OK</v>
      </c>
      <c r="AI133" s="6" t="n">
        <f aca="false">IF(B133="","",MONTH(B133))</f>
        <v>9</v>
      </c>
      <c r="AJ133" s="6" t="n">
        <f aca="false">IF(B133="","",YEAR(B133))</f>
        <v>2025</v>
      </c>
      <c r="AK133" s="3" t="str">
        <f aca="false">IF(COUNTIF(raw_data!$A$2:$A$913,A133)&gt;1,"Conflicting Duplicate - Flagged for Review","Unique")</f>
        <v>Unique</v>
      </c>
      <c r="AL133" s="3" t="str">
        <f aca="false">IF(AB133="Refunded","Yes","No")</f>
        <v>No</v>
      </c>
      <c r="AM133" s="3" t="str">
        <f aca="false">IF(OR(AC133&lt;&gt;"Completed",AB133="Failed"),"Excluded","Included")</f>
        <v>Included</v>
      </c>
      <c r="AN133" s="3" t="str">
        <f aca="false">IF(OR(D133="Invalid/Unrecognized",E133="Invalid/Unrecognized",G133="Invalid - Ship Before Order",X133="Negative - Invalid",X133="Above Allowed Range - Invalid",AG133="Mismatch",AH133="Mismatch",AK133="Conflicting Duplicate - Flagged for Review"),"Invalid",IF(OR(L133="Filled - Unknown",S133="Filled - Unknown",X133="Missing - Defaulted to 0",AL133="Yes",AC133="Cancelled",AC133="Returned"),"Warning","Clean"))</f>
        <v>Clean</v>
      </c>
    </row>
    <row r="134" customFormat="false" ht="15" hidden="false" customHeight="false" outlineLevel="0" collapsed="false">
      <c r="A134" s="3" t="str">
        <f aca="false">raw_data!A134</f>
        <v>ORD-2024-10133</v>
      </c>
      <c r="B134" s="4" t="n">
        <f aca="false">IFERROR(IF(MID(raw_data!B134,3,1)="/",DATE(VALUE(RIGHT(raw_data!B134,4)),VALUE(LEFT(raw_data!B134,2)),VALUE(MID(raw_data!B134,4,2))),IF(MID(raw_data!B134,3,1)="-",DATE(VALUE(RIGHT(raw_data!B134,4)),VALUE(MID(raw_data!B134,4,2)),VALUE(LEFT(raw_data!B134,2))),IF(MID(raw_data!B134,5,1)="-",DATE(VALUE(LEFT(raw_data!B134,4)),VALUE(MID(raw_data!B134,6,2)),VALUE(RIGHT(raw_data!B134,2))),DATE(VALUE(RIGHT(raw_data!B134,4)),MATCH(MID(raw_data!B134,4,3),{"Jan","Feb","Mar","Apr","May","Jun","Jul","Aug","Sep","Oct","Nov","Dec"},0),VALUE(LEFT(raw_data!B134,2)))))),"")</f>
        <v>45600</v>
      </c>
      <c r="C134" s="4" t="n">
        <f aca="false">IFERROR(IF(MID(raw_data!C134,3,1)="/",DATE(VALUE(RIGHT(raw_data!C134,4)),VALUE(LEFT(raw_data!C134,2)),VALUE(MID(raw_data!C134,4,2))),IF(MID(raw_data!C134,3,1)="-",DATE(VALUE(RIGHT(raw_data!C134,4)),VALUE(MID(raw_data!C134,4,2)),VALUE(LEFT(raw_data!C134,2))),IF(MID(raw_data!C134,5,1)="-",DATE(VALUE(LEFT(raw_data!C134,4)),VALUE(MID(raw_data!C134,6,2)),VALUE(RIGHT(raw_data!C134,2))),DATE(VALUE(RIGHT(raw_data!C134,4)),MATCH(MID(raw_data!C134,4,3),{"Jan","Feb","Mar","Apr","May","Jun","Jul","Aug","Sep","Oct","Nov","Dec"},0),VALUE(LEFT(raw_data!C134,2)))))),"")</f>
        <v>45600</v>
      </c>
      <c r="D134" s="3" t="str">
        <f aca="false">IF(TRIM(raw_data!B134)="","Missing",IF(B134="","Invalid/Unrecognized","Valid"))</f>
        <v>Valid</v>
      </c>
      <c r="E134" s="3" t="str">
        <f aca="false">IF(TRIM(raw_data!C134)="","Missing",IF(C134="","Invalid/Unrecognized","Valid"))</f>
        <v>Valid</v>
      </c>
      <c r="F134" s="5" t="n">
        <f aca="false">IF(OR(B134="",C134=""),"",C134-B134)</f>
        <v>0</v>
      </c>
      <c r="G134" s="3" t="str">
        <f aca="false">IF(F134="","N/A",IF(F134&lt;0,"Invalid - Ship Before Order","OK"))</f>
        <v>OK</v>
      </c>
      <c r="H134" s="3" t="str">
        <f aca="false">raw_data!D134</f>
        <v>CUST-3602</v>
      </c>
      <c r="I134" s="3" t="str">
        <f aca="false">PROPER(TRIM(raw_data!E134))</f>
        <v>Kabir Singh</v>
      </c>
      <c r="J134" s="3" t="str">
        <f aca="false">PROPER(TRIM(raw_data!F134))</f>
        <v>Corporate</v>
      </c>
      <c r="K134" s="3" t="str">
        <f aca="false">IF(TRIM(raw_data!G134)="","Unknown",PROPER(TRIM(raw_data!G134)))</f>
        <v>East</v>
      </c>
      <c r="L134" s="3" t="str">
        <f aca="false">IF(TRIM(raw_data!G134)="","Filled - Unknown","OK")</f>
        <v>OK</v>
      </c>
      <c r="M134" s="3" t="str">
        <f aca="false">PROPER(TRIM(raw_data!H134))</f>
        <v>Assam</v>
      </c>
      <c r="N134" s="3" t="str">
        <f aca="false">PROPER(TRIM(raw_data!I134))</f>
        <v>Guwahati</v>
      </c>
      <c r="O134" s="3" t="str">
        <f aca="false">PROPER(TRIM(raw_data!J134))</f>
        <v>Technology</v>
      </c>
      <c r="P134" s="3" t="str">
        <f aca="false">PROPER(TRIM(raw_data!K134))</f>
        <v>Machines</v>
      </c>
      <c r="Q134" s="3" t="str">
        <f aca="false">TRIM(raw_data!L134)</f>
        <v>Classic Machines 886</v>
      </c>
      <c r="R134" s="3" t="str">
        <f aca="false">IF(TRIM(raw_data!M134)="","Unknown",PROPER(TRIM(raw_data!M134)))</f>
        <v>First Class</v>
      </c>
      <c r="S134" s="3" t="str">
        <f aca="false">IF(TRIM(raw_data!M134)="","Filled - Unknown","OK")</f>
        <v>OK</v>
      </c>
      <c r="T134" s="6" t="n">
        <f aca="false">raw_data!N134</f>
        <v>2</v>
      </c>
      <c r="U134" s="7" t="n">
        <f aca="false">raw_data!O134</f>
        <v>533.08</v>
      </c>
      <c r="V134" s="8" t="n">
        <f aca="false">raw_data!P134</f>
        <v>0</v>
      </c>
      <c r="W134" s="8" t="n">
        <f aca="false">IF(raw_data!P134="",0,IF(ISTEXT(raw_data!P134),IF(RIGHT(raw_data!P134,1)="%",VALUE(LEFT(raw_data!P134,LEN(raw_data!P134)-1))/100,VALUE(raw_data!P134)),raw_data!P134))</f>
        <v>0</v>
      </c>
      <c r="X134" s="3" t="str">
        <f aca="false">IF(raw_data!P134="","Missing - Defaulted to 0",IF(W134&lt;0,"Negative - Invalid",IF(W134&gt;0.3,"Above Allowed Range - Invalid","Valid")))</f>
        <v>Valid</v>
      </c>
      <c r="Y134" s="7" t="n">
        <f aca="false">raw_data!Q134</f>
        <v>1066.16</v>
      </c>
      <c r="Z134" s="7" t="n">
        <f aca="false">raw_data!R134</f>
        <v>656.3</v>
      </c>
      <c r="AA134" s="7" t="n">
        <f aca="false">raw_data!S134</f>
        <v>409.86</v>
      </c>
      <c r="AB134" s="3" t="str">
        <f aca="false">PROPER(TRIM(raw_data!T134))</f>
        <v>Failed</v>
      </c>
      <c r="AC134" s="3" t="str">
        <f aca="false">PROPER(TRIM(raw_data!U134))</f>
        <v>Cancelled</v>
      </c>
      <c r="AD134" s="7" t="n">
        <f aca="false">T134*U134*(1-W134)</f>
        <v>1066.16</v>
      </c>
      <c r="AE134" s="7" t="n">
        <f aca="false">AD134-Z134</f>
        <v>409.86</v>
      </c>
      <c r="AF134" s="8" t="n">
        <f aca="false">IF(AD134=0,0,AE134/AD134)</f>
        <v>0.384426352517446</v>
      </c>
      <c r="AG134" s="3" t="str">
        <f aca="false">IF(ABS(Y134-AD134)&gt;1,"Mismatch","OK")</f>
        <v>OK</v>
      </c>
      <c r="AH134" s="3" t="str">
        <f aca="false">IF(ABS(AA134-AE134)&gt;1,"Mismatch","OK")</f>
        <v>OK</v>
      </c>
      <c r="AI134" s="6" t="n">
        <f aca="false">IF(B134="","",MONTH(B134))</f>
        <v>11</v>
      </c>
      <c r="AJ134" s="6" t="n">
        <f aca="false">IF(B134="","",YEAR(B134))</f>
        <v>2024</v>
      </c>
      <c r="AK134" s="3" t="str">
        <f aca="false">IF(COUNTIF(raw_data!$A$2:$A$913,A134)&gt;1,"Conflicting Duplicate - Flagged for Review","Unique")</f>
        <v>Unique</v>
      </c>
      <c r="AL134" s="3" t="str">
        <f aca="false">IF(AB134="Refunded","Yes","No")</f>
        <v>No</v>
      </c>
      <c r="AM134" s="3" t="str">
        <f aca="false">IF(OR(AC134&lt;&gt;"Completed",AB134="Failed"),"Excluded","Included")</f>
        <v>Excluded</v>
      </c>
      <c r="AN134" s="3" t="str">
        <f aca="false">IF(OR(D134="Invalid/Unrecognized",E134="Invalid/Unrecognized",G134="Invalid - Ship Before Order",X134="Negative - Invalid",X134="Above Allowed Range - Invalid",AG134="Mismatch",AH134="Mismatch",AK134="Conflicting Duplicate - Flagged for Review"),"Invalid",IF(OR(L134="Filled - Unknown",S134="Filled - Unknown",X134="Missing - Defaulted to 0",AL134="Yes",AC134="Cancelled",AC134="Returned"),"Warning","Clean"))</f>
        <v>Warning</v>
      </c>
    </row>
    <row r="135" customFormat="false" ht="15" hidden="false" customHeight="false" outlineLevel="0" collapsed="false">
      <c r="A135" s="3" t="str">
        <f aca="false">raw_data!A135</f>
        <v>ORD-2024-10134</v>
      </c>
      <c r="B135" s="4" t="n">
        <f aca="false">IFERROR(IF(MID(raw_data!B135,3,1)="/",DATE(VALUE(RIGHT(raw_data!B135,4)),VALUE(LEFT(raw_data!B135,2)),VALUE(MID(raw_data!B135,4,2))),IF(MID(raw_data!B135,3,1)="-",DATE(VALUE(RIGHT(raw_data!B135,4)),VALUE(MID(raw_data!B135,4,2)),VALUE(LEFT(raw_data!B135,2))),IF(MID(raw_data!B135,5,1)="-",DATE(VALUE(LEFT(raw_data!B135,4)),VALUE(MID(raw_data!B135,6,2)),VALUE(RIGHT(raw_data!B135,2))),DATE(VALUE(RIGHT(raw_data!B135,4)),MATCH(MID(raw_data!B135,4,3),{"Jan","Feb","Mar","Apr","May","Jun","Jul","Aug","Sep","Oct","Nov","Dec"},0),VALUE(LEFT(raw_data!B135,2)))))),"")</f>
        <v>45639</v>
      </c>
      <c r="C135" s="4" t="n">
        <f aca="false">IFERROR(IF(MID(raw_data!C135,3,1)="/",DATE(VALUE(RIGHT(raw_data!C135,4)),VALUE(LEFT(raw_data!C135,2)),VALUE(MID(raw_data!C135,4,2))),IF(MID(raw_data!C135,3,1)="-",DATE(VALUE(RIGHT(raw_data!C135,4)),VALUE(MID(raw_data!C135,4,2)),VALUE(LEFT(raw_data!C135,2))),IF(MID(raw_data!C135,5,1)="-",DATE(VALUE(LEFT(raw_data!C135,4)),VALUE(MID(raw_data!C135,6,2)),VALUE(RIGHT(raw_data!C135,2))),DATE(VALUE(RIGHT(raw_data!C135,4)),MATCH(MID(raw_data!C135,4,3),{"Jan","Feb","Mar","Apr","May","Jun","Jul","Aug","Sep","Oct","Nov","Dec"},0),VALUE(LEFT(raw_data!C135,2)))))),"")</f>
        <v>45644</v>
      </c>
      <c r="D135" s="3" t="str">
        <f aca="false">IF(TRIM(raw_data!B135)="","Missing",IF(B135="","Invalid/Unrecognized","Valid"))</f>
        <v>Valid</v>
      </c>
      <c r="E135" s="3" t="str">
        <f aca="false">IF(TRIM(raw_data!C135)="","Missing",IF(C135="","Invalid/Unrecognized","Valid"))</f>
        <v>Valid</v>
      </c>
      <c r="F135" s="5" t="n">
        <f aca="false">IF(OR(B135="",C135=""),"",C135-B135)</f>
        <v>5</v>
      </c>
      <c r="G135" s="3" t="str">
        <f aca="false">IF(F135="","N/A",IF(F135&lt;0,"Invalid - Ship Before Order","OK"))</f>
        <v>OK</v>
      </c>
      <c r="H135" s="3" t="str">
        <f aca="false">raw_data!D135</f>
        <v>CUST-9441</v>
      </c>
      <c r="I135" s="3" t="str">
        <f aca="false">PROPER(TRIM(raw_data!E135))</f>
        <v>Karan Malhotra</v>
      </c>
      <c r="J135" s="3" t="str">
        <f aca="false">PROPER(TRIM(raw_data!F135))</f>
        <v>Consumer</v>
      </c>
      <c r="K135" s="3" t="str">
        <f aca="false">IF(TRIM(raw_data!G135)="","Unknown",PROPER(TRIM(raw_data!G135)))</f>
        <v>West</v>
      </c>
      <c r="L135" s="3" t="str">
        <f aca="false">IF(TRIM(raw_data!G135)="","Filled - Unknown","OK")</f>
        <v>OK</v>
      </c>
      <c r="M135" s="3" t="str">
        <f aca="false">PROPER(TRIM(raw_data!H135))</f>
        <v>Goa</v>
      </c>
      <c r="N135" s="3" t="str">
        <f aca="false">PROPER(TRIM(raw_data!I135))</f>
        <v>Panaji</v>
      </c>
      <c r="O135" s="3" t="str">
        <f aca="false">PROPER(TRIM(raw_data!J135))</f>
        <v>Technology</v>
      </c>
      <c r="P135" s="3" t="str">
        <f aca="false">PROPER(TRIM(raw_data!K135))</f>
        <v>Phones</v>
      </c>
      <c r="Q135" s="3" t="str">
        <f aca="false">TRIM(raw_data!L135)</f>
        <v>Prime Phones 419</v>
      </c>
      <c r="R135" s="3" t="str">
        <f aca="false">IF(TRIM(raw_data!M135)="","Unknown",PROPER(TRIM(raw_data!M135)))</f>
        <v>Second Class</v>
      </c>
      <c r="S135" s="3" t="str">
        <f aca="false">IF(TRIM(raw_data!M135)="","Filled - Unknown","OK")</f>
        <v>OK</v>
      </c>
      <c r="T135" s="6" t="n">
        <f aca="false">raw_data!N135</f>
        <v>8</v>
      </c>
      <c r="U135" s="7" t="n">
        <f aca="false">raw_data!O135</f>
        <v>3372.15</v>
      </c>
      <c r="V135" s="8" t="n">
        <f aca="false">raw_data!P135</f>
        <v>0.15</v>
      </c>
      <c r="W135" s="8" t="n">
        <f aca="false">IF(raw_data!P135="",0,IF(ISTEXT(raw_data!P135),IF(RIGHT(raw_data!P135,1)="%",VALUE(LEFT(raw_data!P135,LEN(raw_data!P135)-1))/100,VALUE(raw_data!P135)),raw_data!P135))</f>
        <v>0.15</v>
      </c>
      <c r="X135" s="3" t="str">
        <f aca="false">IF(raw_data!P135="","Missing - Defaulted to 0",IF(W135&lt;0,"Negative - Invalid",IF(W135&gt;0.3,"Above Allowed Range - Invalid","Valid")))</f>
        <v>Valid</v>
      </c>
      <c r="Y135" s="7" t="n">
        <f aca="false">raw_data!Q135</f>
        <v>22930.62</v>
      </c>
      <c r="Z135" s="7" t="n">
        <f aca="false">raw_data!R135</f>
        <v>16875.55</v>
      </c>
      <c r="AA135" s="7" t="n">
        <f aca="false">raw_data!S135</f>
        <v>6055.07</v>
      </c>
      <c r="AB135" s="3" t="str">
        <f aca="false">PROPER(TRIM(raw_data!T135))</f>
        <v>Paid</v>
      </c>
      <c r="AC135" s="3" t="str">
        <f aca="false">PROPER(TRIM(raw_data!U135))</f>
        <v>Completed</v>
      </c>
      <c r="AD135" s="7" t="n">
        <f aca="false">T135*U135*(1-W135)</f>
        <v>22930.62</v>
      </c>
      <c r="AE135" s="7" t="n">
        <f aca="false">AD135-Z135</f>
        <v>6055.07</v>
      </c>
      <c r="AF135" s="8" t="n">
        <f aca="false">IF(AD135=0,0,AE135/AD135)</f>
        <v>0.264060457152925</v>
      </c>
      <c r="AG135" s="3" t="str">
        <f aca="false">IF(ABS(Y135-AD135)&gt;1,"Mismatch","OK")</f>
        <v>OK</v>
      </c>
      <c r="AH135" s="3" t="str">
        <f aca="false">IF(ABS(AA135-AE135)&gt;1,"Mismatch","OK")</f>
        <v>OK</v>
      </c>
      <c r="AI135" s="6" t="n">
        <f aca="false">IF(B135="","",MONTH(B135))</f>
        <v>12</v>
      </c>
      <c r="AJ135" s="6" t="n">
        <f aca="false">IF(B135="","",YEAR(B135))</f>
        <v>2024</v>
      </c>
      <c r="AK135" s="3" t="str">
        <f aca="false">IF(COUNTIF(raw_data!$A$2:$A$913,A135)&gt;1,"Conflicting Duplicate - Flagged for Review","Unique")</f>
        <v>Unique</v>
      </c>
      <c r="AL135" s="3" t="str">
        <f aca="false">IF(AB135="Refunded","Yes","No")</f>
        <v>No</v>
      </c>
      <c r="AM135" s="3" t="str">
        <f aca="false">IF(OR(AC135&lt;&gt;"Completed",AB135="Failed"),"Excluded","Included")</f>
        <v>Included</v>
      </c>
      <c r="AN135" s="3" t="str">
        <f aca="false">IF(OR(D135="Invalid/Unrecognized",E135="Invalid/Unrecognized",G135="Invalid - Ship Before Order",X135="Negative - Invalid",X135="Above Allowed Range - Invalid",AG135="Mismatch",AH135="Mismatch",AK135="Conflicting Duplicate - Flagged for Review"),"Invalid",IF(OR(L135="Filled - Unknown",S135="Filled - Unknown",X135="Missing - Defaulted to 0",AL135="Yes",AC135="Cancelled",AC135="Returned"),"Warning","Clean"))</f>
        <v>Clean</v>
      </c>
    </row>
    <row r="136" customFormat="false" ht="15" hidden="false" customHeight="false" outlineLevel="0" collapsed="false">
      <c r="A136" s="3" t="str">
        <f aca="false">raw_data!A136</f>
        <v>ORD-2025-10135</v>
      </c>
      <c r="B136" s="4" t="n">
        <f aca="false">IFERROR(IF(MID(raw_data!B136,3,1)="/",DATE(VALUE(RIGHT(raw_data!B136,4)),VALUE(LEFT(raw_data!B136,2)),VALUE(MID(raw_data!B136,4,2))),IF(MID(raw_data!B136,3,1)="-",DATE(VALUE(RIGHT(raw_data!B136,4)),VALUE(MID(raw_data!B136,4,2)),VALUE(LEFT(raw_data!B136,2))),IF(MID(raw_data!B136,5,1)="-",DATE(VALUE(LEFT(raw_data!B136,4)),VALUE(MID(raw_data!B136,6,2)),VALUE(RIGHT(raw_data!B136,2))),DATE(VALUE(RIGHT(raw_data!B136,4)),MATCH(MID(raw_data!B136,4,3),{"Jan","Feb","Mar","Apr","May","Jun","Jul","Aug","Sep","Oct","Nov","Dec"},0),VALUE(LEFT(raw_data!B136,2)))))),"")</f>
        <v>45852</v>
      </c>
      <c r="C136" s="4" t="n">
        <f aca="false">IFERROR(IF(MID(raw_data!C136,3,1)="/",DATE(VALUE(RIGHT(raw_data!C136,4)),VALUE(LEFT(raw_data!C136,2)),VALUE(MID(raw_data!C136,4,2))),IF(MID(raw_data!C136,3,1)="-",DATE(VALUE(RIGHT(raw_data!C136,4)),VALUE(MID(raw_data!C136,4,2)),VALUE(LEFT(raw_data!C136,2))),IF(MID(raw_data!C136,5,1)="-",DATE(VALUE(LEFT(raw_data!C136,4)),VALUE(MID(raw_data!C136,6,2)),VALUE(RIGHT(raw_data!C136,2))),DATE(VALUE(RIGHT(raw_data!C136,4)),MATCH(MID(raw_data!C136,4,3),{"Jan","Feb","Mar","Apr","May","Jun","Jul","Aug","Sep","Oct","Nov","Dec"},0),VALUE(LEFT(raw_data!C136,2)))))),"")</f>
        <v>45852</v>
      </c>
      <c r="D136" s="3" t="str">
        <f aca="false">IF(TRIM(raw_data!B136)="","Missing",IF(B136="","Invalid/Unrecognized","Valid"))</f>
        <v>Valid</v>
      </c>
      <c r="E136" s="3" t="str">
        <f aca="false">IF(TRIM(raw_data!C136)="","Missing",IF(C136="","Invalid/Unrecognized","Valid"))</f>
        <v>Valid</v>
      </c>
      <c r="F136" s="5" t="n">
        <f aca="false">IF(OR(B136="",C136=""),"",C136-B136)</f>
        <v>0</v>
      </c>
      <c r="G136" s="3" t="str">
        <f aca="false">IF(F136="","N/A",IF(F136&lt;0,"Invalid - Ship Before Order","OK"))</f>
        <v>OK</v>
      </c>
      <c r="H136" s="3" t="str">
        <f aca="false">raw_data!D136</f>
        <v>CUST-7361</v>
      </c>
      <c r="I136" s="3" t="str">
        <f aca="false">PROPER(TRIM(raw_data!E136))</f>
        <v>Vikram Iyer</v>
      </c>
      <c r="J136" s="3" t="str">
        <f aca="false">PROPER(TRIM(raw_data!F136))</f>
        <v>Home Office</v>
      </c>
      <c r="K136" s="3" t="str">
        <f aca="false">IF(TRIM(raw_data!G136)="","Unknown",PROPER(TRIM(raw_data!G136)))</f>
        <v>East</v>
      </c>
      <c r="L136" s="3" t="str">
        <f aca="false">IF(TRIM(raw_data!G136)="","Filled - Unknown","OK")</f>
        <v>OK</v>
      </c>
      <c r="M136" s="3" t="str">
        <f aca="false">PROPER(TRIM(raw_data!H136))</f>
        <v>West Bengal</v>
      </c>
      <c r="N136" s="3" t="str">
        <f aca="false">PROPER(TRIM(raw_data!I136))</f>
        <v>Kolkata</v>
      </c>
      <c r="O136" s="3" t="str">
        <f aca="false">PROPER(TRIM(raw_data!J136))</f>
        <v>Furniture</v>
      </c>
      <c r="P136" s="3" t="str">
        <f aca="false">PROPER(TRIM(raw_data!K136))</f>
        <v>Bookcases</v>
      </c>
      <c r="Q136" s="3" t="str">
        <f aca="false">TRIM(raw_data!L136)</f>
        <v>Elite Bookcases 266</v>
      </c>
      <c r="R136" s="3" t="str">
        <f aca="false">IF(TRIM(raw_data!M136)="","Unknown",PROPER(TRIM(raw_data!M136)))</f>
        <v>Unknown</v>
      </c>
      <c r="S136" s="3" t="str">
        <f aca="false">IF(TRIM(raw_data!M136)="","Filled - Unknown","OK")</f>
        <v>Filled - Unknown</v>
      </c>
      <c r="T136" s="6" t="n">
        <f aca="false">raw_data!N136</f>
        <v>5</v>
      </c>
      <c r="U136" s="7" t="n">
        <f aca="false">raw_data!O136</f>
        <v>383.1</v>
      </c>
      <c r="V136" s="8" t="n">
        <f aca="false">raw_data!P136</f>
        <v>0.25</v>
      </c>
      <c r="W136" s="8" t="n">
        <f aca="false">IF(raw_data!P136="",0,IF(ISTEXT(raw_data!P136),IF(RIGHT(raw_data!P136,1)="%",VALUE(LEFT(raw_data!P136,LEN(raw_data!P136)-1))/100,VALUE(raw_data!P136)),raw_data!P136))</f>
        <v>0.25</v>
      </c>
      <c r="X136" s="3" t="str">
        <f aca="false">IF(raw_data!P136="","Missing - Defaulted to 0",IF(W136&lt;0,"Negative - Invalid",IF(W136&gt;0.3,"Above Allowed Range - Invalid","Valid")))</f>
        <v>Valid</v>
      </c>
      <c r="Y136" s="7" t="n">
        <f aca="false">raw_data!Q136</f>
        <v>1436.62</v>
      </c>
      <c r="Z136" s="7" t="n">
        <f aca="false">raw_data!R136</f>
        <v>912.52</v>
      </c>
      <c r="AA136" s="7" t="n">
        <f aca="false">raw_data!S136</f>
        <v>524.1</v>
      </c>
      <c r="AB136" s="3" t="str">
        <f aca="false">PROPER(TRIM(raw_data!T136))</f>
        <v>Pending</v>
      </c>
      <c r="AC136" s="3" t="str">
        <f aca="false">PROPER(TRIM(raw_data!U136))</f>
        <v>Cancelled</v>
      </c>
      <c r="AD136" s="7" t="n">
        <f aca="false">T136*U136*(1-W136)</f>
        <v>1436.625</v>
      </c>
      <c r="AE136" s="7" t="n">
        <f aca="false">AD136-Z136</f>
        <v>524.105</v>
      </c>
      <c r="AF136" s="8" t="n">
        <f aca="false">IF(AD136=0,0,AE136/AD136)</f>
        <v>0.364816845036109</v>
      </c>
      <c r="AG136" s="3" t="str">
        <f aca="false">IF(ABS(Y136-AD136)&gt;1,"Mismatch","OK")</f>
        <v>OK</v>
      </c>
      <c r="AH136" s="3" t="str">
        <f aca="false">IF(ABS(AA136-AE136)&gt;1,"Mismatch","OK")</f>
        <v>OK</v>
      </c>
      <c r="AI136" s="6" t="n">
        <f aca="false">IF(B136="","",MONTH(B136))</f>
        <v>7</v>
      </c>
      <c r="AJ136" s="6" t="n">
        <f aca="false">IF(B136="","",YEAR(B136))</f>
        <v>2025</v>
      </c>
      <c r="AK136" s="3" t="str">
        <f aca="false">IF(COUNTIF(raw_data!$A$2:$A$913,A136)&gt;1,"Conflicting Duplicate - Flagged for Review","Unique")</f>
        <v>Unique</v>
      </c>
      <c r="AL136" s="3" t="str">
        <f aca="false">IF(AB136="Refunded","Yes","No")</f>
        <v>No</v>
      </c>
      <c r="AM136" s="3" t="str">
        <f aca="false">IF(OR(AC136&lt;&gt;"Completed",AB136="Failed"),"Excluded","Included")</f>
        <v>Excluded</v>
      </c>
      <c r="AN136" s="3" t="str">
        <f aca="false">IF(OR(D136="Invalid/Unrecognized",E136="Invalid/Unrecognized",G136="Invalid - Ship Before Order",X136="Negative - Invalid",X136="Above Allowed Range - Invalid",AG136="Mismatch",AH136="Mismatch",AK136="Conflicting Duplicate - Flagged for Review"),"Invalid",IF(OR(L136="Filled - Unknown",S136="Filled - Unknown",X136="Missing - Defaulted to 0",AL136="Yes",AC136="Cancelled",AC136="Returned"),"Warning","Clean"))</f>
        <v>Warning</v>
      </c>
    </row>
    <row r="137" customFormat="false" ht="15" hidden="false" customHeight="false" outlineLevel="0" collapsed="false">
      <c r="A137" s="3" t="str">
        <f aca="false">raw_data!A137</f>
        <v>ORD-2025-10136</v>
      </c>
      <c r="B137" s="4" t="n">
        <f aca="false">IFERROR(IF(MID(raw_data!B137,3,1)="/",DATE(VALUE(RIGHT(raw_data!B137,4)),VALUE(LEFT(raw_data!B137,2)),VALUE(MID(raw_data!B137,4,2))),IF(MID(raw_data!B137,3,1)="-",DATE(VALUE(RIGHT(raw_data!B137,4)),VALUE(MID(raw_data!B137,4,2)),VALUE(LEFT(raw_data!B137,2))),IF(MID(raw_data!B137,5,1)="-",DATE(VALUE(LEFT(raw_data!B137,4)),VALUE(MID(raw_data!B137,6,2)),VALUE(RIGHT(raw_data!B137,2))),DATE(VALUE(RIGHT(raw_data!B137,4)),MATCH(MID(raw_data!B137,4,3),{"Jan","Feb","Mar","Apr","May","Jun","Jul","Aug","Sep","Oct","Nov","Dec"},0),VALUE(LEFT(raw_data!B137,2)))))),"")</f>
        <v>45893</v>
      </c>
      <c r="C137" s="4" t="n">
        <f aca="false">IFERROR(IF(MID(raw_data!C137,3,1)="/",DATE(VALUE(RIGHT(raw_data!C137,4)),VALUE(LEFT(raw_data!C137,2)),VALUE(MID(raw_data!C137,4,2))),IF(MID(raw_data!C137,3,1)="-",DATE(VALUE(RIGHT(raw_data!C137,4)),VALUE(MID(raw_data!C137,4,2)),VALUE(LEFT(raw_data!C137,2))),IF(MID(raw_data!C137,5,1)="-",DATE(VALUE(LEFT(raw_data!C137,4)),VALUE(MID(raw_data!C137,6,2)),VALUE(RIGHT(raw_data!C137,2))),DATE(VALUE(RIGHT(raw_data!C137,4)),MATCH(MID(raw_data!C137,4,3),{"Jan","Feb","Mar","Apr","May","Jun","Jul","Aug","Sep","Oct","Nov","Dec"},0),VALUE(LEFT(raw_data!C137,2)))))),"")</f>
        <v>45893</v>
      </c>
      <c r="D137" s="3" t="str">
        <f aca="false">IF(TRIM(raw_data!B137)="","Missing",IF(B137="","Invalid/Unrecognized","Valid"))</f>
        <v>Valid</v>
      </c>
      <c r="E137" s="3" t="str">
        <f aca="false">IF(TRIM(raw_data!C137)="","Missing",IF(C137="","Invalid/Unrecognized","Valid"))</f>
        <v>Valid</v>
      </c>
      <c r="F137" s="5" t="n">
        <f aca="false">IF(OR(B137="",C137=""),"",C137-B137)</f>
        <v>0</v>
      </c>
      <c r="G137" s="3" t="str">
        <f aca="false">IF(F137="","N/A",IF(F137&lt;0,"Invalid - Ship Before Order","OK"))</f>
        <v>OK</v>
      </c>
      <c r="H137" s="3" t="str">
        <f aca="false">raw_data!D137</f>
        <v>CUST-1148</v>
      </c>
      <c r="I137" s="3" t="str">
        <f aca="false">PROPER(TRIM(raw_data!E137))</f>
        <v>Diya Patel</v>
      </c>
      <c r="J137" s="3" t="str">
        <f aca="false">PROPER(TRIM(raw_data!F137))</f>
        <v>Small Business</v>
      </c>
      <c r="K137" s="3" t="str">
        <f aca="false">IF(TRIM(raw_data!G137)="","Unknown",PROPER(TRIM(raw_data!G137)))</f>
        <v>South</v>
      </c>
      <c r="L137" s="3" t="str">
        <f aca="false">IF(TRIM(raw_data!G137)="","Filled - Unknown","OK")</f>
        <v>OK</v>
      </c>
      <c r="M137" s="3" t="str">
        <f aca="false">PROPER(TRIM(raw_data!H137))</f>
        <v>Kerala</v>
      </c>
      <c r="N137" s="3" t="str">
        <f aca="false">PROPER(TRIM(raw_data!I137))</f>
        <v>Kochi</v>
      </c>
      <c r="O137" s="3" t="str">
        <f aca="false">PROPER(TRIM(raw_data!J137))</f>
        <v>Furniture</v>
      </c>
      <c r="P137" s="3" t="str">
        <f aca="false">PROPER(TRIM(raw_data!K137))</f>
        <v>Bookcases</v>
      </c>
      <c r="Q137" s="3" t="str">
        <f aca="false">TRIM(raw_data!L137)</f>
        <v>Prime Bookcases 954</v>
      </c>
      <c r="R137" s="3" t="str">
        <f aca="false">IF(TRIM(raw_data!M137)="","Unknown",PROPER(TRIM(raw_data!M137)))</f>
        <v>Standard Class</v>
      </c>
      <c r="S137" s="3" t="str">
        <f aca="false">IF(TRIM(raw_data!M137)="","Filled - Unknown","OK")</f>
        <v>OK</v>
      </c>
      <c r="T137" s="6" t="n">
        <f aca="false">raw_data!N137</f>
        <v>1</v>
      </c>
      <c r="U137" s="7" t="n">
        <f aca="false">raw_data!O137</f>
        <v>3424.78</v>
      </c>
      <c r="V137" s="8" t="n">
        <f aca="false">raw_data!P137</f>
        <v>0</v>
      </c>
      <c r="W137" s="8" t="n">
        <f aca="false">IF(raw_data!P137="",0,IF(ISTEXT(raw_data!P137),IF(RIGHT(raw_data!P137,1)="%",VALUE(LEFT(raw_data!P137,LEN(raw_data!P137)-1))/100,VALUE(raw_data!P137)),raw_data!P137))</f>
        <v>0</v>
      </c>
      <c r="X137" s="3" t="str">
        <f aca="false">IF(raw_data!P137="","Missing - Defaulted to 0",IF(W137&lt;0,"Negative - Invalid",IF(W137&gt;0.3,"Above Allowed Range - Invalid","Valid")))</f>
        <v>Valid</v>
      </c>
      <c r="Y137" s="7" t="n">
        <f aca="false">raw_data!Q137</f>
        <v>3424.78</v>
      </c>
      <c r="Z137" s="7" t="n">
        <f aca="false">raw_data!R137</f>
        <v>1951.45</v>
      </c>
      <c r="AA137" s="7" t="n">
        <f aca="false">raw_data!S137</f>
        <v>1473.33</v>
      </c>
      <c r="AB137" s="3" t="str">
        <f aca="false">PROPER(TRIM(raw_data!T137))</f>
        <v>Paid</v>
      </c>
      <c r="AC137" s="3" t="str">
        <f aca="false">PROPER(TRIM(raw_data!U137))</f>
        <v>Completed</v>
      </c>
      <c r="AD137" s="7" t="n">
        <f aca="false">T137*U137*(1-W137)</f>
        <v>3424.78</v>
      </c>
      <c r="AE137" s="7" t="n">
        <f aca="false">AD137-Z137</f>
        <v>1473.33</v>
      </c>
      <c r="AF137" s="8" t="n">
        <f aca="false">IF(AD137=0,0,AE137/AD137)</f>
        <v>0.430196976156133</v>
      </c>
      <c r="AG137" s="3" t="str">
        <f aca="false">IF(ABS(Y137-AD137)&gt;1,"Mismatch","OK")</f>
        <v>OK</v>
      </c>
      <c r="AH137" s="3" t="str">
        <f aca="false">IF(ABS(AA137-AE137)&gt;1,"Mismatch","OK")</f>
        <v>OK</v>
      </c>
      <c r="AI137" s="6" t="n">
        <f aca="false">IF(B137="","",MONTH(B137))</f>
        <v>8</v>
      </c>
      <c r="AJ137" s="6" t="n">
        <f aca="false">IF(B137="","",YEAR(B137))</f>
        <v>2025</v>
      </c>
      <c r="AK137" s="3" t="str">
        <f aca="false">IF(COUNTIF(raw_data!$A$2:$A$913,A137)&gt;1,"Conflicting Duplicate - Flagged for Review","Unique")</f>
        <v>Unique</v>
      </c>
      <c r="AL137" s="3" t="str">
        <f aca="false">IF(AB137="Refunded","Yes","No")</f>
        <v>No</v>
      </c>
      <c r="AM137" s="3" t="str">
        <f aca="false">IF(OR(AC137&lt;&gt;"Completed",AB137="Failed"),"Excluded","Included")</f>
        <v>Included</v>
      </c>
      <c r="AN137" s="3" t="str">
        <f aca="false">IF(OR(D137="Invalid/Unrecognized",E137="Invalid/Unrecognized",G137="Invalid - Ship Before Order",X137="Negative - Invalid",X137="Above Allowed Range - Invalid",AG137="Mismatch",AH137="Mismatch",AK137="Conflicting Duplicate - Flagged for Review"),"Invalid",IF(OR(L137="Filled - Unknown",S137="Filled - Unknown",X137="Missing - Defaulted to 0",AL137="Yes",AC137="Cancelled",AC137="Returned"),"Warning","Clean"))</f>
        <v>Clean</v>
      </c>
    </row>
    <row r="138" customFormat="false" ht="15" hidden="false" customHeight="false" outlineLevel="0" collapsed="false">
      <c r="A138" s="3" t="str">
        <f aca="false">raw_data!A138</f>
        <v>ORD-2025-10137</v>
      </c>
      <c r="B138" s="4" t="n">
        <f aca="false">IFERROR(IF(MID(raw_data!B138,3,1)="/",DATE(VALUE(RIGHT(raw_data!B138,4)),VALUE(LEFT(raw_data!B138,2)),VALUE(MID(raw_data!B138,4,2))),IF(MID(raw_data!B138,3,1)="-",DATE(VALUE(RIGHT(raw_data!B138,4)),VALUE(MID(raw_data!B138,4,2)),VALUE(LEFT(raw_data!B138,2))),IF(MID(raw_data!B138,5,1)="-",DATE(VALUE(LEFT(raw_data!B138,4)),VALUE(MID(raw_data!B138,6,2)),VALUE(RIGHT(raw_data!B138,2))),DATE(VALUE(RIGHT(raw_data!B138,4)),MATCH(MID(raw_data!B138,4,3),{"Jan","Feb","Mar","Apr","May","Jun","Jul","Aug","Sep","Oct","Nov","Dec"},0),VALUE(LEFT(raw_data!B138,2)))))),"")</f>
        <v>45697</v>
      </c>
      <c r="C138" s="4" t="n">
        <f aca="false">IFERROR(IF(MID(raw_data!C138,3,1)="/",DATE(VALUE(RIGHT(raw_data!C138,4)),VALUE(LEFT(raw_data!C138,2)),VALUE(MID(raw_data!C138,4,2))),IF(MID(raw_data!C138,3,1)="-",DATE(VALUE(RIGHT(raw_data!C138,4)),VALUE(MID(raw_data!C138,4,2)),VALUE(LEFT(raw_data!C138,2))),IF(MID(raw_data!C138,5,1)="-",DATE(VALUE(LEFT(raw_data!C138,4)),VALUE(MID(raw_data!C138,6,2)),VALUE(RIGHT(raw_data!C138,2))),DATE(VALUE(RIGHT(raw_data!C138,4)),MATCH(MID(raw_data!C138,4,3),{"Jan","Feb","Mar","Apr","May","Jun","Jul","Aug","Sep","Oct","Nov","Dec"},0),VALUE(LEFT(raw_data!C138,2)))))),"")</f>
        <v>45703</v>
      </c>
      <c r="D138" s="3" t="str">
        <f aca="false">IF(TRIM(raw_data!B138)="","Missing",IF(B138="","Invalid/Unrecognized","Valid"))</f>
        <v>Valid</v>
      </c>
      <c r="E138" s="3" t="str">
        <f aca="false">IF(TRIM(raw_data!C138)="","Missing",IF(C138="","Invalid/Unrecognized","Valid"))</f>
        <v>Valid</v>
      </c>
      <c r="F138" s="5" t="n">
        <f aca="false">IF(OR(B138="",C138=""),"",C138-B138)</f>
        <v>6</v>
      </c>
      <c r="G138" s="3" t="str">
        <f aca="false">IF(F138="","N/A",IF(F138&lt;0,"Invalid - Ship Before Order","OK"))</f>
        <v>OK</v>
      </c>
      <c r="H138" s="3" t="str">
        <f aca="false">raw_data!D138</f>
        <v>CUST-3350</v>
      </c>
      <c r="I138" s="3" t="str">
        <f aca="false">PROPER(TRIM(raw_data!E138))</f>
        <v>Mira Das</v>
      </c>
      <c r="J138" s="3" t="str">
        <f aca="false">PROPER(TRIM(raw_data!F138))</f>
        <v>Home Office</v>
      </c>
      <c r="K138" s="3" t="str">
        <f aca="false">IF(TRIM(raw_data!G138)="","Unknown",PROPER(TRIM(raw_data!G138)))</f>
        <v>East</v>
      </c>
      <c r="L138" s="3" t="str">
        <f aca="false">IF(TRIM(raw_data!G138)="","Filled - Unknown","OK")</f>
        <v>OK</v>
      </c>
      <c r="M138" s="3" t="str">
        <f aca="false">PROPER(TRIM(raw_data!H138))</f>
        <v>Jharkhand</v>
      </c>
      <c r="N138" s="3" t="str">
        <f aca="false">PROPER(TRIM(raw_data!I138))</f>
        <v>Ranchi</v>
      </c>
      <c r="O138" s="3" t="str">
        <f aca="false">PROPER(TRIM(raw_data!J138))</f>
        <v>Office Supplies</v>
      </c>
      <c r="P138" s="3" t="str">
        <f aca="false">PROPER(TRIM(raw_data!K138))</f>
        <v>Binders</v>
      </c>
      <c r="Q138" s="3" t="str">
        <f aca="false">TRIM(raw_data!L138)</f>
        <v>Max Binders 362</v>
      </c>
      <c r="R138" s="3" t="str">
        <f aca="false">IF(TRIM(raw_data!M138)="","Unknown",PROPER(TRIM(raw_data!M138)))</f>
        <v>Standard Class</v>
      </c>
      <c r="S138" s="3" t="str">
        <f aca="false">IF(TRIM(raw_data!M138)="","Filled - Unknown","OK")</f>
        <v>OK</v>
      </c>
      <c r="T138" s="6" t="n">
        <f aca="false">raw_data!N138</f>
        <v>9</v>
      </c>
      <c r="U138" s="7" t="n">
        <f aca="false">raw_data!O138</f>
        <v>4330.33</v>
      </c>
      <c r="V138" s="8" t="n">
        <f aca="false">raw_data!P138</f>
        <v>0.2</v>
      </c>
      <c r="W138" s="8" t="n">
        <f aca="false">IF(raw_data!P138="",0,IF(ISTEXT(raw_data!P138),IF(RIGHT(raw_data!P138,1)="%",VALUE(LEFT(raw_data!P138,LEN(raw_data!P138)-1))/100,VALUE(raw_data!P138)),raw_data!P138))</f>
        <v>0.2</v>
      </c>
      <c r="X138" s="3" t="str">
        <f aca="false">IF(raw_data!P138="","Missing - Defaulted to 0",IF(W138&lt;0,"Negative - Invalid",IF(W138&gt;0.3,"Above Allowed Range - Invalid","Valid")))</f>
        <v>Valid</v>
      </c>
      <c r="Y138" s="7" t="n">
        <f aca="false">raw_data!Q138</f>
        <v>31178.38</v>
      </c>
      <c r="Z138" s="7" t="n">
        <f aca="false">raw_data!R138</f>
        <v>21421.09</v>
      </c>
      <c r="AA138" s="7" t="n">
        <f aca="false">raw_data!S138</f>
        <v>9757.29</v>
      </c>
      <c r="AB138" s="3" t="str">
        <f aca="false">PROPER(TRIM(raw_data!T138))</f>
        <v>Paid</v>
      </c>
      <c r="AC138" s="3" t="str">
        <f aca="false">PROPER(TRIM(raw_data!U138))</f>
        <v>Completed</v>
      </c>
      <c r="AD138" s="7" t="n">
        <f aca="false">T138*U138*(1-W138)</f>
        <v>31178.376</v>
      </c>
      <c r="AE138" s="7" t="n">
        <f aca="false">AD138-Z138</f>
        <v>9757.286</v>
      </c>
      <c r="AF138" s="8" t="n">
        <f aca="false">IF(AD138=0,0,AE138/AD138)</f>
        <v>0.312950424358216</v>
      </c>
      <c r="AG138" s="3" t="str">
        <f aca="false">IF(ABS(Y138-AD138)&gt;1,"Mismatch","OK")</f>
        <v>OK</v>
      </c>
      <c r="AH138" s="3" t="str">
        <f aca="false">IF(ABS(AA138-AE138)&gt;1,"Mismatch","OK")</f>
        <v>OK</v>
      </c>
      <c r="AI138" s="6" t="n">
        <f aca="false">IF(B138="","",MONTH(B138))</f>
        <v>2</v>
      </c>
      <c r="AJ138" s="6" t="n">
        <f aca="false">IF(B138="","",YEAR(B138))</f>
        <v>2025</v>
      </c>
      <c r="AK138" s="3" t="str">
        <f aca="false">IF(COUNTIF(raw_data!$A$2:$A$913,A138)&gt;1,"Conflicting Duplicate - Flagged for Review","Unique")</f>
        <v>Unique</v>
      </c>
      <c r="AL138" s="3" t="str">
        <f aca="false">IF(AB138="Refunded","Yes","No")</f>
        <v>No</v>
      </c>
      <c r="AM138" s="3" t="str">
        <f aca="false">IF(OR(AC138&lt;&gt;"Completed",AB138="Failed"),"Excluded","Included")</f>
        <v>Included</v>
      </c>
      <c r="AN138" s="3" t="str">
        <f aca="false">IF(OR(D138="Invalid/Unrecognized",E138="Invalid/Unrecognized",G138="Invalid - Ship Before Order",X138="Negative - Invalid",X138="Above Allowed Range - Invalid",AG138="Mismatch",AH138="Mismatch",AK138="Conflicting Duplicate - Flagged for Review"),"Invalid",IF(OR(L138="Filled - Unknown",S138="Filled - Unknown",X138="Missing - Defaulted to 0",AL138="Yes",AC138="Cancelled",AC138="Returned"),"Warning","Clean"))</f>
        <v>Clean</v>
      </c>
    </row>
    <row r="139" customFormat="false" ht="15" hidden="false" customHeight="false" outlineLevel="0" collapsed="false">
      <c r="A139" s="3" t="str">
        <f aca="false">raw_data!A139</f>
        <v>ORD-2025-10138</v>
      </c>
      <c r="B139" s="4" t="n">
        <f aca="false">IFERROR(IF(MID(raw_data!B139,3,1)="/",DATE(VALUE(RIGHT(raw_data!B139,4)),VALUE(LEFT(raw_data!B139,2)),VALUE(MID(raw_data!B139,4,2))),IF(MID(raw_data!B139,3,1)="-",DATE(VALUE(RIGHT(raw_data!B139,4)),VALUE(MID(raw_data!B139,4,2)),VALUE(LEFT(raw_data!B139,2))),IF(MID(raw_data!B139,5,1)="-",DATE(VALUE(LEFT(raw_data!B139,4)),VALUE(MID(raw_data!B139,6,2)),VALUE(RIGHT(raw_data!B139,2))),DATE(VALUE(RIGHT(raw_data!B139,4)),MATCH(MID(raw_data!B139,4,3),{"Jan","Feb","Mar","Apr","May","Jun","Jul","Aug","Sep","Oct","Nov","Dec"},0),VALUE(LEFT(raw_data!B139,2)))))),"")</f>
        <v>45666</v>
      </c>
      <c r="C139" s="4" t="n">
        <f aca="false">IFERROR(IF(MID(raw_data!C139,3,1)="/",DATE(VALUE(RIGHT(raw_data!C139,4)),VALUE(LEFT(raw_data!C139,2)),VALUE(MID(raw_data!C139,4,2))),IF(MID(raw_data!C139,3,1)="-",DATE(VALUE(RIGHT(raw_data!C139,4)),VALUE(MID(raw_data!C139,4,2)),VALUE(LEFT(raw_data!C139,2))),IF(MID(raw_data!C139,5,1)="-",DATE(VALUE(LEFT(raw_data!C139,4)),VALUE(MID(raw_data!C139,6,2)),VALUE(RIGHT(raw_data!C139,2))),DATE(VALUE(RIGHT(raw_data!C139,4)),MATCH(MID(raw_data!C139,4,3),{"Jan","Feb","Mar","Apr","May","Jun","Jul","Aug","Sep","Oct","Nov","Dec"},0),VALUE(LEFT(raw_data!C139,2)))))),"")</f>
        <v>45666</v>
      </c>
      <c r="D139" s="3" t="str">
        <f aca="false">IF(TRIM(raw_data!B139)="","Missing",IF(B139="","Invalid/Unrecognized","Valid"))</f>
        <v>Valid</v>
      </c>
      <c r="E139" s="3" t="str">
        <f aca="false">IF(TRIM(raw_data!C139)="","Missing",IF(C139="","Invalid/Unrecognized","Valid"))</f>
        <v>Valid</v>
      </c>
      <c r="F139" s="5" t="n">
        <f aca="false">IF(OR(B139="",C139=""),"",C139-B139)</f>
        <v>0</v>
      </c>
      <c r="G139" s="3" t="str">
        <f aca="false">IF(F139="","N/A",IF(F139&lt;0,"Invalid - Ship Before Order","OK"))</f>
        <v>OK</v>
      </c>
      <c r="H139" s="3" t="str">
        <f aca="false">raw_data!D139</f>
        <v>CUST-7932</v>
      </c>
      <c r="I139" s="3" t="str">
        <f aca="false">PROPER(TRIM(raw_data!E139))</f>
        <v>Sneha Kapoor</v>
      </c>
      <c r="J139" s="3" t="str">
        <f aca="false">PROPER(TRIM(raw_data!F139))</f>
        <v>Small Business</v>
      </c>
      <c r="K139" s="3" t="str">
        <f aca="false">IF(TRIM(raw_data!G139)="","Unknown",PROPER(TRIM(raw_data!G139)))</f>
        <v>North</v>
      </c>
      <c r="L139" s="3" t="str">
        <f aca="false">IF(TRIM(raw_data!G139)="","Filled - Unknown","OK")</f>
        <v>OK</v>
      </c>
      <c r="M139" s="3" t="str">
        <f aca="false">PROPER(TRIM(raw_data!H139))</f>
        <v>Rajasthan</v>
      </c>
      <c r="N139" s="3" t="str">
        <f aca="false">PROPER(TRIM(raw_data!I139))</f>
        <v>Jaipur</v>
      </c>
      <c r="O139" s="3" t="str">
        <f aca="false">PROPER(TRIM(raw_data!J139))</f>
        <v>Furniture</v>
      </c>
      <c r="P139" s="3" t="str">
        <f aca="false">PROPER(TRIM(raw_data!K139))</f>
        <v>Chairs</v>
      </c>
      <c r="Q139" s="3" t="str">
        <f aca="false">TRIM(raw_data!L139)</f>
        <v>Prime Chairs 261</v>
      </c>
      <c r="R139" s="3" t="str">
        <f aca="false">IF(TRIM(raw_data!M139)="","Unknown",PROPER(TRIM(raw_data!M139)))</f>
        <v>Same Day</v>
      </c>
      <c r="S139" s="3" t="str">
        <f aca="false">IF(TRIM(raw_data!M139)="","Filled - Unknown","OK")</f>
        <v>OK</v>
      </c>
      <c r="T139" s="6" t="n">
        <f aca="false">raw_data!N139</f>
        <v>8</v>
      </c>
      <c r="U139" s="7" t="n">
        <f aca="false">raw_data!O139</f>
        <v>2667.07</v>
      </c>
      <c r="V139" s="8" t="n">
        <f aca="false">raw_data!P139</f>
        <v>0.1</v>
      </c>
      <c r="W139" s="8" t="n">
        <f aca="false">IF(raw_data!P139="",0,IF(ISTEXT(raw_data!P139),IF(RIGHT(raw_data!P139,1)="%",VALUE(LEFT(raw_data!P139,LEN(raw_data!P139)-1))/100,VALUE(raw_data!P139)),raw_data!P139))</f>
        <v>0.1</v>
      </c>
      <c r="X139" s="3" t="str">
        <f aca="false">IF(raw_data!P139="","Missing - Defaulted to 0",IF(W139&lt;0,"Negative - Invalid",IF(W139&gt;0.3,"Above Allowed Range - Invalid","Valid")))</f>
        <v>Valid</v>
      </c>
      <c r="Y139" s="7" t="n">
        <f aca="false">raw_data!Q139</f>
        <v>19202.9</v>
      </c>
      <c r="Z139" s="7" t="n">
        <f aca="false">raw_data!R139</f>
        <v>15526.62</v>
      </c>
      <c r="AA139" s="7" t="n">
        <f aca="false">raw_data!S139</f>
        <v>3676.28</v>
      </c>
      <c r="AB139" s="3" t="str">
        <f aca="false">PROPER(TRIM(raw_data!T139))</f>
        <v>Paid</v>
      </c>
      <c r="AC139" s="3" t="str">
        <f aca="false">PROPER(TRIM(raw_data!U139))</f>
        <v>Completed</v>
      </c>
      <c r="AD139" s="7" t="n">
        <f aca="false">T139*U139*(1-W139)</f>
        <v>19202.904</v>
      </c>
      <c r="AE139" s="7" t="n">
        <f aca="false">AD139-Z139</f>
        <v>3676.284</v>
      </c>
      <c r="AF139" s="8" t="n">
        <f aca="false">IF(AD139=0,0,AE139/AD139)</f>
        <v>0.191444169069428</v>
      </c>
      <c r="AG139" s="3" t="str">
        <f aca="false">IF(ABS(Y139-AD139)&gt;1,"Mismatch","OK")</f>
        <v>OK</v>
      </c>
      <c r="AH139" s="3" t="str">
        <f aca="false">IF(ABS(AA139-AE139)&gt;1,"Mismatch","OK")</f>
        <v>OK</v>
      </c>
      <c r="AI139" s="6" t="n">
        <f aca="false">IF(B139="","",MONTH(B139))</f>
        <v>1</v>
      </c>
      <c r="AJ139" s="6" t="n">
        <f aca="false">IF(B139="","",YEAR(B139))</f>
        <v>2025</v>
      </c>
      <c r="AK139" s="3" t="str">
        <f aca="false">IF(COUNTIF(raw_data!$A$2:$A$913,A139)&gt;1,"Conflicting Duplicate - Flagged for Review","Unique")</f>
        <v>Unique</v>
      </c>
      <c r="AL139" s="3" t="str">
        <f aca="false">IF(AB139="Refunded","Yes","No")</f>
        <v>No</v>
      </c>
      <c r="AM139" s="3" t="str">
        <f aca="false">IF(OR(AC139&lt;&gt;"Completed",AB139="Failed"),"Excluded","Included")</f>
        <v>Included</v>
      </c>
      <c r="AN139" s="3" t="str">
        <f aca="false">IF(OR(D139="Invalid/Unrecognized",E139="Invalid/Unrecognized",G139="Invalid - Ship Before Order",X139="Negative - Invalid",X139="Above Allowed Range - Invalid",AG139="Mismatch",AH139="Mismatch",AK139="Conflicting Duplicate - Flagged for Review"),"Invalid",IF(OR(L139="Filled - Unknown",S139="Filled - Unknown",X139="Missing - Defaulted to 0",AL139="Yes",AC139="Cancelled",AC139="Returned"),"Warning","Clean"))</f>
        <v>Clean</v>
      </c>
    </row>
    <row r="140" customFormat="false" ht="15" hidden="false" customHeight="false" outlineLevel="0" collapsed="false">
      <c r="A140" s="3" t="str">
        <f aca="false">raw_data!A140</f>
        <v>ORD-2024-10139</v>
      </c>
      <c r="B140" s="4" t="n">
        <f aca="false">IFERROR(IF(MID(raw_data!B140,3,1)="/",DATE(VALUE(RIGHT(raw_data!B140,4)),VALUE(LEFT(raw_data!B140,2)),VALUE(MID(raw_data!B140,4,2))),IF(MID(raw_data!B140,3,1)="-",DATE(VALUE(RIGHT(raw_data!B140,4)),VALUE(MID(raw_data!B140,4,2)),VALUE(LEFT(raw_data!B140,2))),IF(MID(raw_data!B140,5,1)="-",DATE(VALUE(LEFT(raw_data!B140,4)),VALUE(MID(raw_data!B140,6,2)),VALUE(RIGHT(raw_data!B140,2))),DATE(VALUE(RIGHT(raw_data!B140,4)),MATCH(MID(raw_data!B140,4,3),{"Jan","Feb","Mar","Apr","May","Jun","Jul","Aug","Sep","Oct","Nov","Dec"},0),VALUE(LEFT(raw_data!B140,2)))))),"")</f>
        <v>45311</v>
      </c>
      <c r="C140" s="4" t="n">
        <f aca="false">IFERROR(IF(MID(raw_data!C140,3,1)="/",DATE(VALUE(RIGHT(raw_data!C140,4)),VALUE(LEFT(raw_data!C140,2)),VALUE(MID(raw_data!C140,4,2))),IF(MID(raw_data!C140,3,1)="-",DATE(VALUE(RIGHT(raw_data!C140,4)),VALUE(MID(raw_data!C140,4,2)),VALUE(LEFT(raw_data!C140,2))),IF(MID(raw_data!C140,5,1)="-",DATE(VALUE(LEFT(raw_data!C140,4)),VALUE(MID(raw_data!C140,6,2)),VALUE(RIGHT(raw_data!C140,2))),DATE(VALUE(RIGHT(raw_data!C140,4)),MATCH(MID(raw_data!C140,4,3),{"Jan","Feb","Mar","Apr","May","Jun","Jul","Aug","Sep","Oct","Nov","Dec"},0),VALUE(LEFT(raw_data!C140,2)))))),"")</f>
        <v>45317</v>
      </c>
      <c r="D140" s="3" t="str">
        <f aca="false">IF(TRIM(raw_data!B140)="","Missing",IF(B140="","Invalid/Unrecognized","Valid"))</f>
        <v>Valid</v>
      </c>
      <c r="E140" s="3" t="str">
        <f aca="false">IF(TRIM(raw_data!C140)="","Missing",IF(C140="","Invalid/Unrecognized","Valid"))</f>
        <v>Valid</v>
      </c>
      <c r="F140" s="5" t="n">
        <f aca="false">IF(OR(B140="",C140=""),"",C140-B140)</f>
        <v>6</v>
      </c>
      <c r="G140" s="3" t="str">
        <f aca="false">IF(F140="","N/A",IF(F140&lt;0,"Invalid - Ship Before Order","OK"))</f>
        <v>OK</v>
      </c>
      <c r="H140" s="3" t="str">
        <f aca="false">raw_data!D140</f>
        <v>CUST-7173</v>
      </c>
      <c r="I140" s="3" t="str">
        <f aca="false">PROPER(TRIM(raw_data!E140))</f>
        <v>Diya Patel</v>
      </c>
      <c r="J140" s="3" t="str">
        <f aca="false">PROPER(TRIM(raw_data!F140))</f>
        <v>Home Office</v>
      </c>
      <c r="K140" s="3" t="str">
        <f aca="false">IF(TRIM(raw_data!G140)="","Unknown",PROPER(TRIM(raw_data!G140)))</f>
        <v>East</v>
      </c>
      <c r="L140" s="3" t="str">
        <f aca="false">IF(TRIM(raw_data!G140)="","Filled - Unknown","OK")</f>
        <v>OK</v>
      </c>
      <c r="M140" s="3" t="str">
        <f aca="false">PROPER(TRIM(raw_data!H140))</f>
        <v>Jharkhand</v>
      </c>
      <c r="N140" s="3" t="str">
        <f aca="false">PROPER(TRIM(raw_data!I140))</f>
        <v>Ranchi</v>
      </c>
      <c r="O140" s="3" t="str">
        <f aca="false">PROPER(TRIM(raw_data!J140))</f>
        <v>Technology</v>
      </c>
      <c r="P140" s="3" t="str">
        <f aca="false">PROPER(TRIM(raw_data!K140))</f>
        <v>Machines</v>
      </c>
      <c r="Q140" s="3" t="str">
        <f aca="false">TRIM(raw_data!L140)</f>
        <v>Basic Machines 185</v>
      </c>
      <c r="R140" s="3" t="str">
        <f aca="false">IF(TRIM(raw_data!M140)="","Unknown",PROPER(TRIM(raw_data!M140)))</f>
        <v>Standard Class</v>
      </c>
      <c r="S140" s="3" t="str">
        <f aca="false">IF(TRIM(raw_data!M140)="","Filled - Unknown","OK")</f>
        <v>OK</v>
      </c>
      <c r="T140" s="6" t="n">
        <f aca="false">raw_data!N140</f>
        <v>8</v>
      </c>
      <c r="U140" s="7" t="n">
        <f aca="false">raw_data!O140</f>
        <v>4003.05</v>
      </c>
      <c r="V140" s="8" t="n">
        <f aca="false">raw_data!P140</f>
        <v>0.25</v>
      </c>
      <c r="W140" s="8" t="n">
        <f aca="false">IF(raw_data!P140="",0,IF(ISTEXT(raw_data!P140),IF(RIGHT(raw_data!P140,1)="%",VALUE(LEFT(raw_data!P140,LEN(raw_data!P140)-1))/100,VALUE(raw_data!P140)),raw_data!P140))</f>
        <v>0.25</v>
      </c>
      <c r="X140" s="3" t="str">
        <f aca="false">IF(raw_data!P140="","Missing - Defaulted to 0",IF(W140&lt;0,"Negative - Invalid",IF(W140&gt;0.3,"Above Allowed Range - Invalid","Valid")))</f>
        <v>Valid</v>
      </c>
      <c r="Y140" s="7" t="n">
        <f aca="false">raw_data!Q140</f>
        <v>24018.3</v>
      </c>
      <c r="Z140" s="7" t="n">
        <f aca="false">raw_data!R140</f>
        <v>14070.78</v>
      </c>
      <c r="AA140" s="7" t="n">
        <f aca="false">raw_data!S140</f>
        <v>9947.52</v>
      </c>
      <c r="AB140" s="3" t="str">
        <f aca="false">PROPER(TRIM(raw_data!T140))</f>
        <v>Paid</v>
      </c>
      <c r="AC140" s="3" t="str">
        <f aca="false">PROPER(TRIM(raw_data!U140))</f>
        <v>Completed</v>
      </c>
      <c r="AD140" s="7" t="n">
        <f aca="false">T140*U140*(1-W140)</f>
        <v>24018.3</v>
      </c>
      <c r="AE140" s="7" t="n">
        <f aca="false">AD140-Z140</f>
        <v>9947.52</v>
      </c>
      <c r="AF140" s="8" t="n">
        <f aca="false">IF(AD140=0,0,AE140/AD140)</f>
        <v>0.414164199797654</v>
      </c>
      <c r="AG140" s="3" t="str">
        <f aca="false">IF(ABS(Y140-AD140)&gt;1,"Mismatch","OK")</f>
        <v>OK</v>
      </c>
      <c r="AH140" s="3" t="str">
        <f aca="false">IF(ABS(AA140-AE140)&gt;1,"Mismatch","OK")</f>
        <v>OK</v>
      </c>
      <c r="AI140" s="6" t="n">
        <f aca="false">IF(B140="","",MONTH(B140))</f>
        <v>1</v>
      </c>
      <c r="AJ140" s="6" t="n">
        <f aca="false">IF(B140="","",YEAR(B140))</f>
        <v>2024</v>
      </c>
      <c r="AK140" s="3" t="str">
        <f aca="false">IF(COUNTIF(raw_data!$A$2:$A$913,A140)&gt;1,"Conflicting Duplicate - Flagged for Review","Unique")</f>
        <v>Unique</v>
      </c>
      <c r="AL140" s="3" t="str">
        <f aca="false">IF(AB140="Refunded","Yes","No")</f>
        <v>No</v>
      </c>
      <c r="AM140" s="3" t="str">
        <f aca="false">IF(OR(AC140&lt;&gt;"Completed",AB140="Failed"),"Excluded","Included")</f>
        <v>Included</v>
      </c>
      <c r="AN140" s="3" t="str">
        <f aca="false">IF(OR(D140="Invalid/Unrecognized",E140="Invalid/Unrecognized",G140="Invalid - Ship Before Order",X140="Negative - Invalid",X140="Above Allowed Range - Invalid",AG140="Mismatch",AH140="Mismatch",AK140="Conflicting Duplicate - Flagged for Review"),"Invalid",IF(OR(L140="Filled - Unknown",S140="Filled - Unknown",X140="Missing - Defaulted to 0",AL140="Yes",AC140="Cancelled",AC140="Returned"),"Warning","Clean"))</f>
        <v>Clean</v>
      </c>
    </row>
    <row r="141" customFormat="false" ht="15" hidden="false" customHeight="false" outlineLevel="0" collapsed="false">
      <c r="A141" s="3" t="str">
        <f aca="false">raw_data!A141</f>
        <v>ORD-2025-10140</v>
      </c>
      <c r="B141" s="4" t="n">
        <f aca="false">IFERROR(IF(MID(raw_data!B141,3,1)="/",DATE(VALUE(RIGHT(raw_data!B141,4)),VALUE(LEFT(raw_data!B141,2)),VALUE(MID(raw_data!B141,4,2))),IF(MID(raw_data!B141,3,1)="-",DATE(VALUE(RIGHT(raw_data!B141,4)),VALUE(MID(raw_data!B141,4,2)),VALUE(LEFT(raw_data!B141,2))),IF(MID(raw_data!B141,5,1)="-",DATE(VALUE(LEFT(raw_data!B141,4)),VALUE(MID(raw_data!B141,6,2)),VALUE(RIGHT(raw_data!B141,2))),DATE(VALUE(RIGHT(raw_data!B141,4)),MATCH(MID(raw_data!B141,4,3),{"Jan","Feb","Mar","Apr","May","Jun","Jul","Aug","Sep","Oct","Nov","Dec"},0),VALUE(LEFT(raw_data!B141,2)))))),"")</f>
        <v>45718</v>
      </c>
      <c r="C141" s="4" t="n">
        <f aca="false">IFERROR(IF(MID(raw_data!C141,3,1)="/",DATE(VALUE(RIGHT(raw_data!C141,4)),VALUE(LEFT(raw_data!C141,2)),VALUE(MID(raw_data!C141,4,2))),IF(MID(raw_data!C141,3,1)="-",DATE(VALUE(RIGHT(raw_data!C141,4)),VALUE(MID(raw_data!C141,4,2)),VALUE(LEFT(raw_data!C141,2))),IF(MID(raw_data!C141,5,1)="-",DATE(VALUE(LEFT(raw_data!C141,4)),VALUE(MID(raw_data!C141,6,2)),VALUE(RIGHT(raw_data!C141,2))),DATE(VALUE(RIGHT(raw_data!C141,4)),MATCH(MID(raw_data!C141,4,3),{"Jan","Feb","Mar","Apr","May","Jun","Jul","Aug","Sep","Oct","Nov","Dec"},0),VALUE(LEFT(raw_data!C141,2)))))),"")</f>
        <v>45723</v>
      </c>
      <c r="D141" s="3" t="str">
        <f aca="false">IF(TRIM(raw_data!B141)="","Missing",IF(B141="","Invalid/Unrecognized","Valid"))</f>
        <v>Valid</v>
      </c>
      <c r="E141" s="3" t="str">
        <f aca="false">IF(TRIM(raw_data!C141)="","Missing",IF(C141="","Invalid/Unrecognized","Valid"))</f>
        <v>Valid</v>
      </c>
      <c r="F141" s="5" t="n">
        <f aca="false">IF(OR(B141="",C141=""),"",C141-B141)</f>
        <v>5</v>
      </c>
      <c r="G141" s="3" t="str">
        <f aca="false">IF(F141="","N/A",IF(F141&lt;0,"Invalid - Ship Before Order","OK"))</f>
        <v>OK</v>
      </c>
      <c r="H141" s="3" t="str">
        <f aca="false">raw_data!D141</f>
        <v>CUST-4225</v>
      </c>
      <c r="I141" s="3" t="str">
        <f aca="false">PROPER(TRIM(raw_data!E141))</f>
        <v>Neha Gupta</v>
      </c>
      <c r="J141" s="3" t="str">
        <f aca="false">PROPER(TRIM(raw_data!F141))</f>
        <v>Home Office</v>
      </c>
      <c r="K141" s="3" t="str">
        <f aca="false">IF(TRIM(raw_data!G141)="","Unknown",PROPER(TRIM(raw_data!G141)))</f>
        <v>South</v>
      </c>
      <c r="L141" s="3" t="str">
        <f aca="false">IF(TRIM(raw_data!G141)="","Filled - Unknown","OK")</f>
        <v>OK</v>
      </c>
      <c r="M141" s="3" t="str">
        <f aca="false">PROPER(TRIM(raw_data!H141))</f>
        <v>Karnataka</v>
      </c>
      <c r="N141" s="3" t="str">
        <f aca="false">PROPER(TRIM(raw_data!I141))</f>
        <v>Bengaluru</v>
      </c>
      <c r="O141" s="3" t="str">
        <f aca="false">PROPER(TRIM(raw_data!J141))</f>
        <v>Office Supplies</v>
      </c>
      <c r="P141" s="3" t="str">
        <f aca="false">PROPER(TRIM(raw_data!K141))</f>
        <v>Labels</v>
      </c>
      <c r="Q141" s="3" t="str">
        <f aca="false">TRIM(raw_data!L141)</f>
        <v>Basic Labels 509</v>
      </c>
      <c r="R141" s="3" t="str">
        <f aca="false">IF(TRIM(raw_data!M141)="","Unknown",PROPER(TRIM(raw_data!M141)))</f>
        <v>Standard Class</v>
      </c>
      <c r="S141" s="3" t="str">
        <f aca="false">IF(TRIM(raw_data!M141)="","Filled - Unknown","OK")</f>
        <v>OK</v>
      </c>
      <c r="T141" s="6" t="n">
        <f aca="false">raw_data!N141</f>
        <v>8</v>
      </c>
      <c r="U141" s="7" t="n">
        <f aca="false">raw_data!O141</f>
        <v>1287.63</v>
      </c>
      <c r="V141" s="8" t="n">
        <f aca="false">raw_data!P141</f>
        <v>0</v>
      </c>
      <c r="W141" s="8" t="n">
        <f aca="false">IF(raw_data!P141="",0,IF(ISTEXT(raw_data!P141),IF(RIGHT(raw_data!P141,1)="%",VALUE(LEFT(raw_data!P141,LEN(raw_data!P141)-1))/100,VALUE(raw_data!P141)),raw_data!P141))</f>
        <v>0</v>
      </c>
      <c r="X141" s="3" t="str">
        <f aca="false">IF(raw_data!P141="","Missing - Defaulted to 0",IF(W141&lt;0,"Negative - Invalid",IF(W141&gt;0.3,"Above Allowed Range - Invalid","Valid")))</f>
        <v>Valid</v>
      </c>
      <c r="Y141" s="7" t="n">
        <f aca="false">raw_data!Q141</f>
        <v>10301.04</v>
      </c>
      <c r="Z141" s="7" t="n">
        <f aca="false">raw_data!R141</f>
        <v>6564.06</v>
      </c>
      <c r="AA141" s="7" t="n">
        <f aca="false">raw_data!S141</f>
        <v>3736.98</v>
      </c>
      <c r="AB141" s="3" t="str">
        <f aca="false">PROPER(TRIM(raw_data!T141))</f>
        <v>Paid</v>
      </c>
      <c r="AC141" s="3" t="str">
        <f aca="false">PROPER(TRIM(raw_data!U141))</f>
        <v>Completed</v>
      </c>
      <c r="AD141" s="7" t="n">
        <f aca="false">T141*U141*(1-W141)</f>
        <v>10301.04</v>
      </c>
      <c r="AE141" s="7" t="n">
        <f aca="false">AD141-Z141</f>
        <v>3736.98</v>
      </c>
      <c r="AF141" s="8" t="n">
        <f aca="false">IF(AD141=0,0,AE141/AD141)</f>
        <v>0.362776962326134</v>
      </c>
      <c r="AG141" s="3" t="str">
        <f aca="false">IF(ABS(Y141-AD141)&gt;1,"Mismatch","OK")</f>
        <v>OK</v>
      </c>
      <c r="AH141" s="3" t="str">
        <f aca="false">IF(ABS(AA141-AE141)&gt;1,"Mismatch","OK")</f>
        <v>OK</v>
      </c>
      <c r="AI141" s="6" t="n">
        <f aca="false">IF(B141="","",MONTH(B141))</f>
        <v>3</v>
      </c>
      <c r="AJ141" s="6" t="n">
        <f aca="false">IF(B141="","",YEAR(B141))</f>
        <v>2025</v>
      </c>
      <c r="AK141" s="3" t="str">
        <f aca="false">IF(COUNTIF(raw_data!$A$2:$A$913,A141)&gt;1,"Conflicting Duplicate - Flagged for Review","Unique")</f>
        <v>Unique</v>
      </c>
      <c r="AL141" s="3" t="str">
        <f aca="false">IF(AB141="Refunded","Yes","No")</f>
        <v>No</v>
      </c>
      <c r="AM141" s="3" t="str">
        <f aca="false">IF(OR(AC141&lt;&gt;"Completed",AB141="Failed"),"Excluded","Included")</f>
        <v>Included</v>
      </c>
      <c r="AN141" s="3" t="str">
        <f aca="false">IF(OR(D141="Invalid/Unrecognized",E141="Invalid/Unrecognized",G141="Invalid - Ship Before Order",X141="Negative - Invalid",X141="Above Allowed Range - Invalid",AG141="Mismatch",AH141="Mismatch",AK141="Conflicting Duplicate - Flagged for Review"),"Invalid",IF(OR(L141="Filled - Unknown",S141="Filled - Unknown",X141="Missing - Defaulted to 0",AL141="Yes",AC141="Cancelled",AC141="Returned"),"Warning","Clean"))</f>
        <v>Clean</v>
      </c>
    </row>
    <row r="142" customFormat="false" ht="15" hidden="false" customHeight="false" outlineLevel="0" collapsed="false">
      <c r="A142" s="3" t="str">
        <f aca="false">raw_data!A142</f>
        <v>ORD-2024-10141</v>
      </c>
      <c r="B142" s="4" t="n">
        <f aca="false">IFERROR(IF(MID(raw_data!B142,3,1)="/",DATE(VALUE(RIGHT(raw_data!B142,4)),VALUE(LEFT(raw_data!B142,2)),VALUE(MID(raw_data!B142,4,2))),IF(MID(raw_data!B142,3,1)="-",DATE(VALUE(RIGHT(raw_data!B142,4)),VALUE(MID(raw_data!B142,4,2)),VALUE(LEFT(raw_data!B142,2))),IF(MID(raw_data!B142,5,1)="-",DATE(VALUE(LEFT(raw_data!B142,4)),VALUE(MID(raw_data!B142,6,2)),VALUE(RIGHT(raw_data!B142,2))),DATE(VALUE(RIGHT(raw_data!B142,4)),MATCH(MID(raw_data!B142,4,3),{"Jan","Feb","Mar","Apr","May","Jun","Jul","Aug","Sep","Oct","Nov","Dec"},0),VALUE(LEFT(raw_data!B142,2)))))),"")</f>
        <v>45443</v>
      </c>
      <c r="C142" s="4" t="n">
        <f aca="false">IFERROR(IF(MID(raw_data!C142,3,1)="/",DATE(VALUE(RIGHT(raw_data!C142,4)),VALUE(LEFT(raw_data!C142,2)),VALUE(MID(raw_data!C142,4,2))),IF(MID(raw_data!C142,3,1)="-",DATE(VALUE(RIGHT(raw_data!C142,4)),VALUE(MID(raw_data!C142,4,2)),VALUE(LEFT(raw_data!C142,2))),IF(MID(raw_data!C142,5,1)="-",DATE(VALUE(LEFT(raw_data!C142,4)),VALUE(MID(raw_data!C142,6,2)),VALUE(RIGHT(raw_data!C142,2))),DATE(VALUE(RIGHT(raw_data!C142,4)),MATCH(MID(raw_data!C142,4,3),{"Jan","Feb","Mar","Apr","May","Jun","Jul","Aug","Sep","Oct","Nov","Dec"},0),VALUE(LEFT(raw_data!C142,2)))))),"")</f>
        <v>45444</v>
      </c>
      <c r="D142" s="3" t="str">
        <f aca="false">IF(TRIM(raw_data!B142)="","Missing",IF(B142="","Invalid/Unrecognized","Valid"))</f>
        <v>Valid</v>
      </c>
      <c r="E142" s="3" t="str">
        <f aca="false">IF(TRIM(raw_data!C142)="","Missing",IF(C142="","Invalid/Unrecognized","Valid"))</f>
        <v>Valid</v>
      </c>
      <c r="F142" s="5" t="n">
        <f aca="false">IF(OR(B142="",C142=""),"",C142-B142)</f>
        <v>1</v>
      </c>
      <c r="G142" s="3" t="str">
        <f aca="false">IF(F142="","N/A",IF(F142&lt;0,"Invalid - Ship Before Order","OK"))</f>
        <v>OK</v>
      </c>
      <c r="H142" s="3" t="str">
        <f aca="false">raw_data!D142</f>
        <v>CUST-2149</v>
      </c>
      <c r="I142" s="3" t="str">
        <f aca="false">PROPER(TRIM(raw_data!E142))</f>
        <v>Mira Das</v>
      </c>
      <c r="J142" s="3" t="str">
        <f aca="false">PROPER(TRIM(raw_data!F142))</f>
        <v>Corporate</v>
      </c>
      <c r="K142" s="3" t="str">
        <f aca="false">IF(TRIM(raw_data!G142)="","Unknown",PROPER(TRIM(raw_data!G142)))</f>
        <v>South</v>
      </c>
      <c r="L142" s="3" t="str">
        <f aca="false">IF(TRIM(raw_data!G142)="","Filled - Unknown","OK")</f>
        <v>OK</v>
      </c>
      <c r="M142" s="3" t="str">
        <f aca="false">PROPER(TRIM(raw_data!H142))</f>
        <v>Karnataka</v>
      </c>
      <c r="N142" s="3" t="str">
        <f aca="false">PROPER(TRIM(raw_data!I142))</f>
        <v>Bengaluru</v>
      </c>
      <c r="O142" s="3" t="str">
        <f aca="false">PROPER(TRIM(raw_data!J142))</f>
        <v>Furniture</v>
      </c>
      <c r="P142" s="3" t="str">
        <f aca="false">PROPER(TRIM(raw_data!K142))</f>
        <v>Bookcases</v>
      </c>
      <c r="Q142" s="3" t="str">
        <f aca="false">TRIM(raw_data!L142)</f>
        <v>Elite Bookcases 696</v>
      </c>
      <c r="R142" s="3" t="str">
        <f aca="false">IF(TRIM(raw_data!M142)="","Unknown",PROPER(TRIM(raw_data!M142)))</f>
        <v>Same Day</v>
      </c>
      <c r="S142" s="3" t="str">
        <f aca="false">IF(TRIM(raw_data!M142)="","Filled - Unknown","OK")</f>
        <v>OK</v>
      </c>
      <c r="T142" s="6" t="n">
        <f aca="false">raw_data!N142</f>
        <v>3</v>
      </c>
      <c r="U142" s="7" t="n">
        <f aca="false">raw_data!O142</f>
        <v>2914.55</v>
      </c>
      <c r="V142" s="8" t="n">
        <f aca="false">raw_data!P142</f>
        <v>0</v>
      </c>
      <c r="W142" s="8" t="n">
        <f aca="false">IF(raw_data!P142="",0,IF(ISTEXT(raw_data!P142),IF(RIGHT(raw_data!P142,1)="%",VALUE(LEFT(raw_data!P142,LEN(raw_data!P142)-1))/100,VALUE(raw_data!P142)),raw_data!P142))</f>
        <v>0</v>
      </c>
      <c r="X142" s="3" t="str">
        <f aca="false">IF(raw_data!P142="","Missing - Defaulted to 0",IF(W142&lt;0,"Negative - Invalid",IF(W142&gt;0.3,"Above Allowed Range - Invalid","Valid")))</f>
        <v>Valid</v>
      </c>
      <c r="Y142" s="7" t="n">
        <f aca="false">raw_data!Q142</f>
        <v>8743.65</v>
      </c>
      <c r="Z142" s="7" t="n">
        <f aca="false">raw_data!R142</f>
        <v>6603.76</v>
      </c>
      <c r="AA142" s="7" t="n">
        <f aca="false">raw_data!S142</f>
        <v>2139.89</v>
      </c>
      <c r="AB142" s="3" t="str">
        <f aca="false">PROPER(TRIM(raw_data!T142))</f>
        <v>Paid</v>
      </c>
      <c r="AC142" s="3" t="str">
        <f aca="false">PROPER(TRIM(raw_data!U142))</f>
        <v>Completed</v>
      </c>
      <c r="AD142" s="7" t="n">
        <f aca="false">T142*U142*(1-W142)</f>
        <v>8743.65</v>
      </c>
      <c r="AE142" s="7" t="n">
        <f aca="false">AD142-Z142</f>
        <v>2139.89</v>
      </c>
      <c r="AF142" s="8" t="n">
        <f aca="false">IF(AD142=0,0,AE142/AD142)</f>
        <v>0.244736465892391</v>
      </c>
      <c r="AG142" s="3" t="str">
        <f aca="false">IF(ABS(Y142-AD142)&gt;1,"Mismatch","OK")</f>
        <v>OK</v>
      </c>
      <c r="AH142" s="3" t="str">
        <f aca="false">IF(ABS(AA142-AE142)&gt;1,"Mismatch","OK")</f>
        <v>OK</v>
      </c>
      <c r="AI142" s="6" t="n">
        <f aca="false">IF(B142="","",MONTH(B142))</f>
        <v>5</v>
      </c>
      <c r="AJ142" s="6" t="n">
        <f aca="false">IF(B142="","",YEAR(B142))</f>
        <v>2024</v>
      </c>
      <c r="AK142" s="3" t="str">
        <f aca="false">IF(COUNTIF(raw_data!$A$2:$A$913,A142)&gt;1,"Conflicting Duplicate - Flagged for Review","Unique")</f>
        <v>Unique</v>
      </c>
      <c r="AL142" s="3" t="str">
        <f aca="false">IF(AB142="Refunded","Yes","No")</f>
        <v>No</v>
      </c>
      <c r="AM142" s="3" t="str">
        <f aca="false">IF(OR(AC142&lt;&gt;"Completed",AB142="Failed"),"Excluded","Included")</f>
        <v>Included</v>
      </c>
      <c r="AN142" s="3" t="str">
        <f aca="false">IF(OR(D142="Invalid/Unrecognized",E142="Invalid/Unrecognized",G142="Invalid - Ship Before Order",X142="Negative - Invalid",X142="Above Allowed Range - Invalid",AG142="Mismatch",AH142="Mismatch",AK142="Conflicting Duplicate - Flagged for Review"),"Invalid",IF(OR(L142="Filled - Unknown",S142="Filled - Unknown",X142="Missing - Defaulted to 0",AL142="Yes",AC142="Cancelled",AC142="Returned"),"Warning","Clean"))</f>
        <v>Clean</v>
      </c>
    </row>
    <row r="143" customFormat="false" ht="15" hidden="false" customHeight="false" outlineLevel="0" collapsed="false">
      <c r="A143" s="3" t="str">
        <f aca="false">raw_data!A143</f>
        <v>ORD-2024-10142</v>
      </c>
      <c r="B143" s="4" t="n">
        <f aca="false">IFERROR(IF(MID(raw_data!B143,3,1)="/",DATE(VALUE(RIGHT(raw_data!B143,4)),VALUE(LEFT(raw_data!B143,2)),VALUE(MID(raw_data!B143,4,2))),IF(MID(raw_data!B143,3,1)="-",DATE(VALUE(RIGHT(raw_data!B143,4)),VALUE(MID(raw_data!B143,4,2)),VALUE(LEFT(raw_data!B143,2))),IF(MID(raw_data!B143,5,1)="-",DATE(VALUE(LEFT(raw_data!B143,4)),VALUE(MID(raw_data!B143,6,2)),VALUE(RIGHT(raw_data!B143,2))),DATE(VALUE(RIGHT(raw_data!B143,4)),MATCH(MID(raw_data!B143,4,3),{"Jan","Feb","Mar","Apr","May","Jun","Jul","Aug","Sep","Oct","Nov","Dec"},0),VALUE(LEFT(raw_data!B143,2)))))),"")</f>
        <v>45374</v>
      </c>
      <c r="C143" s="4" t="n">
        <f aca="false">IFERROR(IF(MID(raw_data!C143,3,1)="/",DATE(VALUE(RIGHT(raw_data!C143,4)),VALUE(LEFT(raw_data!C143,2)),VALUE(MID(raw_data!C143,4,2))),IF(MID(raw_data!C143,3,1)="-",DATE(VALUE(RIGHT(raw_data!C143,4)),VALUE(MID(raw_data!C143,4,2)),VALUE(LEFT(raw_data!C143,2))),IF(MID(raw_data!C143,5,1)="-",DATE(VALUE(LEFT(raw_data!C143,4)),VALUE(MID(raw_data!C143,6,2)),VALUE(RIGHT(raw_data!C143,2))),DATE(VALUE(RIGHT(raw_data!C143,4)),MATCH(MID(raw_data!C143,4,3),{"Jan","Feb","Mar","Apr","May","Jun","Jul","Aug","Sep","Oct","Nov","Dec"},0),VALUE(LEFT(raw_data!C143,2)))))),"")</f>
        <v>45380</v>
      </c>
      <c r="D143" s="3" t="str">
        <f aca="false">IF(TRIM(raw_data!B143)="","Missing",IF(B143="","Invalid/Unrecognized","Valid"))</f>
        <v>Valid</v>
      </c>
      <c r="E143" s="3" t="str">
        <f aca="false">IF(TRIM(raw_data!C143)="","Missing",IF(C143="","Invalid/Unrecognized","Valid"))</f>
        <v>Valid</v>
      </c>
      <c r="F143" s="5" t="n">
        <f aca="false">IF(OR(B143="",C143=""),"",C143-B143)</f>
        <v>6</v>
      </c>
      <c r="G143" s="3" t="str">
        <f aca="false">IF(F143="","N/A",IF(F143&lt;0,"Invalid - Ship Before Order","OK"))</f>
        <v>OK</v>
      </c>
      <c r="H143" s="3" t="str">
        <f aca="false">raw_data!D143</f>
        <v>CUST-3314</v>
      </c>
      <c r="I143" s="3" t="str">
        <f aca="false">PROPER(TRIM(raw_data!E143))</f>
        <v>Priya Menon</v>
      </c>
      <c r="J143" s="3" t="str">
        <f aca="false">PROPER(TRIM(raw_data!F143))</f>
        <v>Corporate</v>
      </c>
      <c r="K143" s="3" t="str">
        <f aca="false">IF(TRIM(raw_data!G143)="","Unknown",PROPER(TRIM(raw_data!G143)))</f>
        <v>North</v>
      </c>
      <c r="L143" s="3" t="str">
        <f aca="false">IF(TRIM(raw_data!G143)="","Filled - Unknown","OK")</f>
        <v>OK</v>
      </c>
      <c r="M143" s="3" t="str">
        <f aca="false">PROPER(TRIM(raw_data!H143))</f>
        <v>Delhi</v>
      </c>
      <c r="N143" s="3" t="str">
        <f aca="false">PROPER(TRIM(raw_data!I143))</f>
        <v>New Delhi</v>
      </c>
      <c r="O143" s="3" t="str">
        <f aca="false">PROPER(TRIM(raw_data!J143))</f>
        <v>Furniture</v>
      </c>
      <c r="P143" s="3" t="str">
        <f aca="false">PROPER(TRIM(raw_data!K143))</f>
        <v>Bookcases</v>
      </c>
      <c r="Q143" s="3" t="str">
        <f aca="false">TRIM(raw_data!L143)</f>
        <v>Elite Bookcases 772</v>
      </c>
      <c r="R143" s="3" t="str">
        <f aca="false">IF(TRIM(raw_data!M143)="","Unknown",PROPER(TRIM(raw_data!M143)))</f>
        <v>Same Day</v>
      </c>
      <c r="S143" s="3" t="str">
        <f aca="false">IF(TRIM(raw_data!M143)="","Filled - Unknown","OK")</f>
        <v>OK</v>
      </c>
      <c r="T143" s="6" t="n">
        <f aca="false">raw_data!N143</f>
        <v>7</v>
      </c>
      <c r="U143" s="7" t="n">
        <f aca="false">raw_data!O143</f>
        <v>634.29</v>
      </c>
      <c r="V143" s="8" t="n">
        <f aca="false">raw_data!P143</f>
        <v>0.1</v>
      </c>
      <c r="W143" s="8" t="n">
        <f aca="false">IF(raw_data!P143="",0,IF(ISTEXT(raw_data!P143),IF(RIGHT(raw_data!P143,1)="%",VALUE(LEFT(raw_data!P143,LEN(raw_data!P143)-1))/100,VALUE(raw_data!P143)),raw_data!P143))</f>
        <v>0.1</v>
      </c>
      <c r="X143" s="3" t="str">
        <f aca="false">IF(raw_data!P143="","Missing - Defaulted to 0",IF(W143&lt;0,"Negative - Invalid",IF(W143&gt;0.3,"Above Allowed Range - Invalid","Valid")))</f>
        <v>Valid</v>
      </c>
      <c r="Y143" s="7" t="n">
        <f aca="false">raw_data!Q143</f>
        <v>3996.03</v>
      </c>
      <c r="Z143" s="7" t="n">
        <f aca="false">raw_data!R143</f>
        <v>2859.51</v>
      </c>
      <c r="AA143" s="7" t="n">
        <f aca="false">raw_data!S143</f>
        <v>1136.52</v>
      </c>
      <c r="AB143" s="3" t="str">
        <f aca="false">PROPER(TRIM(raw_data!T143))</f>
        <v>Paid</v>
      </c>
      <c r="AC143" s="3" t="str">
        <f aca="false">PROPER(TRIM(raw_data!U143))</f>
        <v>Returned</v>
      </c>
      <c r="AD143" s="7" t="n">
        <f aca="false">T143*U143*(1-W143)</f>
        <v>3996.027</v>
      </c>
      <c r="AE143" s="7" t="n">
        <f aca="false">AD143-Z143</f>
        <v>1136.517</v>
      </c>
      <c r="AF143" s="8" t="n">
        <f aca="false">IF(AD143=0,0,AE143/AD143)</f>
        <v>0.284411741962704</v>
      </c>
      <c r="AG143" s="3" t="str">
        <f aca="false">IF(ABS(Y143-AD143)&gt;1,"Mismatch","OK")</f>
        <v>OK</v>
      </c>
      <c r="AH143" s="3" t="str">
        <f aca="false">IF(ABS(AA143-AE143)&gt;1,"Mismatch","OK")</f>
        <v>OK</v>
      </c>
      <c r="AI143" s="6" t="n">
        <f aca="false">IF(B143="","",MONTH(B143))</f>
        <v>3</v>
      </c>
      <c r="AJ143" s="6" t="n">
        <f aca="false">IF(B143="","",YEAR(B143))</f>
        <v>2024</v>
      </c>
      <c r="AK143" s="3" t="str">
        <f aca="false">IF(COUNTIF(raw_data!$A$2:$A$913,A143)&gt;1,"Conflicting Duplicate - Flagged for Review","Unique")</f>
        <v>Unique</v>
      </c>
      <c r="AL143" s="3" t="str">
        <f aca="false">IF(AB143="Refunded","Yes","No")</f>
        <v>No</v>
      </c>
      <c r="AM143" s="3" t="str">
        <f aca="false">IF(OR(AC143&lt;&gt;"Completed",AB143="Failed"),"Excluded","Included")</f>
        <v>Excluded</v>
      </c>
      <c r="AN143" s="3" t="str">
        <f aca="false">IF(OR(D143="Invalid/Unrecognized",E143="Invalid/Unrecognized",G143="Invalid - Ship Before Order",X143="Negative - Invalid",X143="Above Allowed Range - Invalid",AG143="Mismatch",AH143="Mismatch",AK143="Conflicting Duplicate - Flagged for Review"),"Invalid",IF(OR(L143="Filled - Unknown",S143="Filled - Unknown",X143="Missing - Defaulted to 0",AL143="Yes",AC143="Cancelled",AC143="Returned"),"Warning","Clean"))</f>
        <v>Warning</v>
      </c>
    </row>
    <row r="144" customFormat="false" ht="15" hidden="false" customHeight="false" outlineLevel="0" collapsed="false">
      <c r="A144" s="3" t="str">
        <f aca="false">raw_data!A144</f>
        <v>ORD-2024-10143</v>
      </c>
      <c r="B144" s="4" t="n">
        <f aca="false">IFERROR(IF(MID(raw_data!B144,3,1)="/",DATE(VALUE(RIGHT(raw_data!B144,4)),VALUE(LEFT(raw_data!B144,2)),VALUE(MID(raw_data!B144,4,2))),IF(MID(raw_data!B144,3,1)="-",DATE(VALUE(RIGHT(raw_data!B144,4)),VALUE(MID(raw_data!B144,4,2)),VALUE(LEFT(raw_data!B144,2))),IF(MID(raw_data!B144,5,1)="-",DATE(VALUE(LEFT(raw_data!B144,4)),VALUE(MID(raw_data!B144,6,2)),VALUE(RIGHT(raw_data!B144,2))),DATE(VALUE(RIGHT(raw_data!B144,4)),MATCH(MID(raw_data!B144,4,3),{"Jan","Feb","Mar","Apr","May","Jun","Jul","Aug","Sep","Oct","Nov","Dec"},0),VALUE(LEFT(raw_data!B144,2)))))),"")</f>
        <v>45381</v>
      </c>
      <c r="C144" s="4" t="n">
        <f aca="false">IFERROR(IF(MID(raw_data!C144,3,1)="/",DATE(VALUE(RIGHT(raw_data!C144,4)),VALUE(LEFT(raw_data!C144,2)),VALUE(MID(raw_data!C144,4,2))),IF(MID(raw_data!C144,3,1)="-",DATE(VALUE(RIGHT(raw_data!C144,4)),VALUE(MID(raw_data!C144,4,2)),VALUE(LEFT(raw_data!C144,2))),IF(MID(raw_data!C144,5,1)="-",DATE(VALUE(LEFT(raw_data!C144,4)),VALUE(MID(raw_data!C144,6,2)),VALUE(RIGHT(raw_data!C144,2))),DATE(VALUE(RIGHT(raw_data!C144,4)),MATCH(MID(raw_data!C144,4,3),{"Jan","Feb","Mar","Apr","May","Jun","Jul","Aug","Sep","Oct","Nov","Dec"},0),VALUE(LEFT(raw_data!C144,2)))))),"")</f>
        <v>45377</v>
      </c>
      <c r="D144" s="3" t="str">
        <f aca="false">IF(TRIM(raw_data!B144)="","Missing",IF(B144="","Invalid/Unrecognized","Valid"))</f>
        <v>Valid</v>
      </c>
      <c r="E144" s="3" t="str">
        <f aca="false">IF(TRIM(raw_data!C144)="","Missing",IF(C144="","Invalid/Unrecognized","Valid"))</f>
        <v>Valid</v>
      </c>
      <c r="F144" s="5" t="n">
        <f aca="false">IF(OR(B144="",C144=""),"",C144-B144)</f>
        <v>-4</v>
      </c>
      <c r="G144" s="3" t="str">
        <f aca="false">IF(F144="","N/A",IF(F144&lt;0,"Invalid - Ship Before Order","OK"))</f>
        <v>Invalid - Ship Before Order</v>
      </c>
      <c r="H144" s="3" t="str">
        <f aca="false">raw_data!D144</f>
        <v>CUST-8944</v>
      </c>
      <c r="I144" s="3" t="str">
        <f aca="false">PROPER(TRIM(raw_data!E144))</f>
        <v>Aditi Sen</v>
      </c>
      <c r="J144" s="3" t="str">
        <f aca="false">PROPER(TRIM(raw_data!F144))</f>
        <v>Home Office</v>
      </c>
      <c r="K144" s="3" t="str">
        <f aca="false">IF(TRIM(raw_data!G144)="","Unknown",PROPER(TRIM(raw_data!G144)))</f>
        <v>North</v>
      </c>
      <c r="L144" s="3" t="str">
        <f aca="false">IF(TRIM(raw_data!G144)="","Filled - Unknown","OK")</f>
        <v>OK</v>
      </c>
      <c r="M144" s="3" t="str">
        <f aca="false">PROPER(TRIM(raw_data!H144))</f>
        <v>Rajasthan</v>
      </c>
      <c r="N144" s="3" t="str">
        <f aca="false">PROPER(TRIM(raw_data!I144))</f>
        <v>Jaipur</v>
      </c>
      <c r="O144" s="3" t="str">
        <f aca="false">PROPER(TRIM(raw_data!J144))</f>
        <v>Technology</v>
      </c>
      <c r="P144" s="3" t="str">
        <f aca="false">PROPER(TRIM(raw_data!K144))</f>
        <v>Phones</v>
      </c>
      <c r="Q144" s="3" t="str">
        <f aca="false">TRIM(raw_data!L144)</f>
        <v>Classic Phones 142</v>
      </c>
      <c r="R144" s="3" t="str">
        <f aca="false">IF(TRIM(raw_data!M144)="","Unknown",PROPER(TRIM(raw_data!M144)))</f>
        <v>Second Class</v>
      </c>
      <c r="S144" s="3" t="str">
        <f aca="false">IF(TRIM(raw_data!M144)="","Filled - Unknown","OK")</f>
        <v>OK</v>
      </c>
      <c r="T144" s="6" t="n">
        <f aca="false">raw_data!N144</f>
        <v>5</v>
      </c>
      <c r="U144" s="7" t="n">
        <f aca="false">raw_data!O144</f>
        <v>907.54</v>
      </c>
      <c r="V144" s="8" t="n">
        <f aca="false">raw_data!P144</f>
        <v>0.15</v>
      </c>
      <c r="W144" s="8" t="n">
        <f aca="false">IF(raw_data!P144="",0,IF(ISTEXT(raw_data!P144),IF(RIGHT(raw_data!P144,1)="%",VALUE(LEFT(raw_data!P144,LEN(raw_data!P144)-1))/100,VALUE(raw_data!P144)),raw_data!P144))</f>
        <v>0.15</v>
      </c>
      <c r="X144" s="3" t="str">
        <f aca="false">IF(raw_data!P144="","Missing - Defaulted to 0",IF(W144&lt;0,"Negative - Invalid",IF(W144&gt;0.3,"Above Allowed Range - Invalid","Valid")))</f>
        <v>Valid</v>
      </c>
      <c r="Y144" s="7" t="n">
        <f aca="false">raw_data!Q144</f>
        <v>3857.04</v>
      </c>
      <c r="Z144" s="7" t="n">
        <f aca="false">raw_data!R144</f>
        <v>2769.26</v>
      </c>
      <c r="AA144" s="7" t="n">
        <f aca="false">raw_data!S144</f>
        <v>1087.78</v>
      </c>
      <c r="AB144" s="3" t="str">
        <f aca="false">PROPER(TRIM(raw_data!T144))</f>
        <v>Paid</v>
      </c>
      <c r="AC144" s="3" t="str">
        <f aca="false">PROPER(TRIM(raw_data!U144))</f>
        <v>Completed</v>
      </c>
      <c r="AD144" s="7" t="n">
        <f aca="false">T144*U144*(1-W144)</f>
        <v>3857.045</v>
      </c>
      <c r="AE144" s="7" t="n">
        <f aca="false">AD144-Z144</f>
        <v>1087.785</v>
      </c>
      <c r="AF144" s="8" t="n">
        <f aca="false">IF(AD144=0,0,AE144/AD144)</f>
        <v>0.282025488424428</v>
      </c>
      <c r="AG144" s="3" t="str">
        <f aca="false">IF(ABS(Y144-AD144)&gt;1,"Mismatch","OK")</f>
        <v>OK</v>
      </c>
      <c r="AH144" s="3" t="str">
        <f aca="false">IF(ABS(AA144-AE144)&gt;1,"Mismatch","OK")</f>
        <v>OK</v>
      </c>
      <c r="AI144" s="6" t="n">
        <f aca="false">IF(B144="","",MONTH(B144))</f>
        <v>3</v>
      </c>
      <c r="AJ144" s="6" t="n">
        <f aca="false">IF(B144="","",YEAR(B144))</f>
        <v>2024</v>
      </c>
      <c r="AK144" s="3" t="str">
        <f aca="false">IF(COUNTIF(raw_data!$A$2:$A$913,A144)&gt;1,"Conflicting Duplicate - Flagged for Review","Unique")</f>
        <v>Conflicting Duplicate - Flagged for Review</v>
      </c>
      <c r="AL144" s="3" t="str">
        <f aca="false">IF(AB144="Refunded","Yes","No")</f>
        <v>No</v>
      </c>
      <c r="AM144" s="3" t="str">
        <f aca="false">IF(OR(AC144&lt;&gt;"Completed",AB144="Failed"),"Excluded","Included")</f>
        <v>Included</v>
      </c>
      <c r="AN144" s="3" t="str">
        <f aca="false">IF(OR(D144="Invalid/Unrecognized",E144="Invalid/Unrecognized",G144="Invalid - Ship Before Order",X144="Negative - Invalid",X144="Above Allowed Range - Invalid",AG144="Mismatch",AH144="Mismatch",AK144="Conflicting Duplicate - Flagged for Review"),"Invalid",IF(OR(L144="Filled - Unknown",S144="Filled - Unknown",X144="Missing - Defaulted to 0",AL144="Yes",AC144="Cancelled",AC144="Returned"),"Warning","Clean"))</f>
        <v>Invalid</v>
      </c>
    </row>
    <row r="145" customFormat="false" ht="15" hidden="false" customHeight="false" outlineLevel="0" collapsed="false">
      <c r="A145" s="3" t="str">
        <f aca="false">raw_data!A145</f>
        <v>ORD-2024-10144</v>
      </c>
      <c r="B145" s="4" t="n">
        <f aca="false">IFERROR(IF(MID(raw_data!B145,3,1)="/",DATE(VALUE(RIGHT(raw_data!B145,4)),VALUE(LEFT(raw_data!B145,2)),VALUE(MID(raw_data!B145,4,2))),IF(MID(raw_data!B145,3,1)="-",DATE(VALUE(RIGHT(raw_data!B145,4)),VALUE(MID(raw_data!B145,4,2)),VALUE(LEFT(raw_data!B145,2))),IF(MID(raw_data!B145,5,1)="-",DATE(VALUE(LEFT(raw_data!B145,4)),VALUE(MID(raw_data!B145,6,2)),VALUE(RIGHT(raw_data!B145,2))),DATE(VALUE(RIGHT(raw_data!B145,4)),MATCH(MID(raw_data!B145,4,3),{"Jan","Feb","Mar","Apr","May","Jun","Jul","Aug","Sep","Oct","Nov","Dec"},0),VALUE(LEFT(raw_data!B145,2)))))),"")</f>
        <v>45375</v>
      </c>
      <c r="C145" s="4" t="n">
        <f aca="false">IFERROR(IF(MID(raw_data!C145,3,1)="/",DATE(VALUE(RIGHT(raw_data!C145,4)),VALUE(LEFT(raw_data!C145,2)),VALUE(MID(raw_data!C145,4,2))),IF(MID(raw_data!C145,3,1)="-",DATE(VALUE(RIGHT(raw_data!C145,4)),VALUE(MID(raw_data!C145,4,2)),VALUE(LEFT(raw_data!C145,2))),IF(MID(raw_data!C145,5,1)="-",DATE(VALUE(LEFT(raw_data!C145,4)),VALUE(MID(raw_data!C145,6,2)),VALUE(RIGHT(raw_data!C145,2))),DATE(VALUE(RIGHT(raw_data!C145,4)),MATCH(MID(raw_data!C145,4,3),{"Jan","Feb","Mar","Apr","May","Jun","Jul","Aug","Sep","Oct","Nov","Dec"},0),VALUE(LEFT(raw_data!C145,2)))))),"")</f>
        <v>45377</v>
      </c>
      <c r="D145" s="3" t="str">
        <f aca="false">IF(TRIM(raw_data!B145)="","Missing",IF(B145="","Invalid/Unrecognized","Valid"))</f>
        <v>Valid</v>
      </c>
      <c r="E145" s="3" t="str">
        <f aca="false">IF(TRIM(raw_data!C145)="","Missing",IF(C145="","Invalid/Unrecognized","Valid"))</f>
        <v>Valid</v>
      </c>
      <c r="F145" s="5" t="n">
        <f aca="false">IF(OR(B145="",C145=""),"",C145-B145)</f>
        <v>2</v>
      </c>
      <c r="G145" s="3" t="str">
        <f aca="false">IF(F145="","N/A",IF(F145&lt;0,"Invalid - Ship Before Order","OK"))</f>
        <v>OK</v>
      </c>
      <c r="H145" s="3" t="str">
        <f aca="false">raw_data!D145</f>
        <v>CUST-3144</v>
      </c>
      <c r="I145" s="3" t="str">
        <f aca="false">PROPER(TRIM(raw_data!E145))</f>
        <v>Priya Menon</v>
      </c>
      <c r="J145" s="3" t="str">
        <f aca="false">PROPER(TRIM(raw_data!F145))</f>
        <v>Consumer</v>
      </c>
      <c r="K145" s="3" t="str">
        <f aca="false">IF(TRIM(raw_data!G145)="","Unknown",PROPER(TRIM(raw_data!G145)))</f>
        <v>West</v>
      </c>
      <c r="L145" s="3" t="str">
        <f aca="false">IF(TRIM(raw_data!G145)="","Filled - Unknown","OK")</f>
        <v>OK</v>
      </c>
      <c r="M145" s="3" t="str">
        <f aca="false">PROPER(TRIM(raw_data!H145))</f>
        <v>Gujarat</v>
      </c>
      <c r="N145" s="3" t="str">
        <f aca="false">PROPER(TRIM(raw_data!I145))</f>
        <v>Ahmedabad</v>
      </c>
      <c r="O145" s="3" t="str">
        <f aca="false">PROPER(TRIM(raw_data!J145))</f>
        <v>Office Supplies</v>
      </c>
      <c r="P145" s="3" t="str">
        <f aca="false">PROPER(TRIM(raw_data!K145))</f>
        <v>Paper</v>
      </c>
      <c r="Q145" s="3" t="str">
        <f aca="false">TRIM(raw_data!L145)</f>
        <v>Pro Paper 575</v>
      </c>
      <c r="R145" s="3" t="str">
        <f aca="false">IF(TRIM(raw_data!M145)="","Unknown",PROPER(TRIM(raw_data!M145)))</f>
        <v>Second Class</v>
      </c>
      <c r="S145" s="3" t="str">
        <f aca="false">IF(TRIM(raw_data!M145)="","Filled - Unknown","OK")</f>
        <v>OK</v>
      </c>
      <c r="T145" s="6" t="n">
        <f aca="false">raw_data!N145</f>
        <v>1</v>
      </c>
      <c r="U145" s="7" t="n">
        <f aca="false">raw_data!O145</f>
        <v>3409.5</v>
      </c>
      <c r="V145" s="8" t="n">
        <f aca="false">raw_data!P145</f>
        <v>0.1</v>
      </c>
      <c r="W145" s="8" t="n">
        <f aca="false">IF(raw_data!P145="",0,IF(ISTEXT(raw_data!P145),IF(RIGHT(raw_data!P145,1)="%",VALUE(LEFT(raw_data!P145,LEN(raw_data!P145)-1))/100,VALUE(raw_data!P145)),raw_data!P145))</f>
        <v>0.1</v>
      </c>
      <c r="X145" s="3" t="str">
        <f aca="false">IF(raw_data!P145="","Missing - Defaulted to 0",IF(W145&lt;0,"Negative - Invalid",IF(W145&gt;0.3,"Above Allowed Range - Invalid","Valid")))</f>
        <v>Valid</v>
      </c>
      <c r="Y145" s="7" t="n">
        <f aca="false">raw_data!Q145</f>
        <v>3068.55</v>
      </c>
      <c r="Z145" s="7" t="n">
        <f aca="false">raw_data!R145</f>
        <v>1916.16</v>
      </c>
      <c r="AA145" s="7" t="n">
        <f aca="false">raw_data!S145</f>
        <v>1152.39</v>
      </c>
      <c r="AB145" s="3" t="str">
        <f aca="false">PROPER(TRIM(raw_data!T145))</f>
        <v>Paid</v>
      </c>
      <c r="AC145" s="3" t="str">
        <f aca="false">PROPER(TRIM(raw_data!U145))</f>
        <v>Returned</v>
      </c>
      <c r="AD145" s="7" t="n">
        <f aca="false">T145*U145*(1-W145)</f>
        <v>3068.55</v>
      </c>
      <c r="AE145" s="7" t="n">
        <f aca="false">AD145-Z145</f>
        <v>1152.39</v>
      </c>
      <c r="AF145" s="8" t="n">
        <f aca="false">IF(AD145=0,0,AE145/AD145)</f>
        <v>0.375548711932346</v>
      </c>
      <c r="AG145" s="3" t="str">
        <f aca="false">IF(ABS(Y145-AD145)&gt;1,"Mismatch","OK")</f>
        <v>OK</v>
      </c>
      <c r="AH145" s="3" t="str">
        <f aca="false">IF(ABS(AA145-AE145)&gt;1,"Mismatch","OK")</f>
        <v>OK</v>
      </c>
      <c r="AI145" s="6" t="n">
        <f aca="false">IF(B145="","",MONTH(B145))</f>
        <v>3</v>
      </c>
      <c r="AJ145" s="6" t="n">
        <f aca="false">IF(B145="","",YEAR(B145))</f>
        <v>2024</v>
      </c>
      <c r="AK145" s="3" t="str">
        <f aca="false">IF(COUNTIF(raw_data!$A$2:$A$913,A145)&gt;1,"Conflicting Duplicate - Flagged for Review","Unique")</f>
        <v>Unique</v>
      </c>
      <c r="AL145" s="3" t="str">
        <f aca="false">IF(AB145="Refunded","Yes","No")</f>
        <v>No</v>
      </c>
      <c r="AM145" s="3" t="str">
        <f aca="false">IF(OR(AC145&lt;&gt;"Completed",AB145="Failed"),"Excluded","Included")</f>
        <v>Excluded</v>
      </c>
      <c r="AN145" s="3" t="str">
        <f aca="false">IF(OR(D145="Invalid/Unrecognized",E145="Invalid/Unrecognized",G145="Invalid - Ship Before Order",X145="Negative - Invalid",X145="Above Allowed Range - Invalid",AG145="Mismatch",AH145="Mismatch",AK145="Conflicting Duplicate - Flagged for Review"),"Invalid",IF(OR(L145="Filled - Unknown",S145="Filled - Unknown",X145="Missing - Defaulted to 0",AL145="Yes",AC145="Cancelled",AC145="Returned"),"Warning","Clean"))</f>
        <v>Warning</v>
      </c>
    </row>
    <row r="146" customFormat="false" ht="15" hidden="false" customHeight="false" outlineLevel="0" collapsed="false">
      <c r="A146" s="3" t="str">
        <f aca="false">raw_data!A146</f>
        <v>ORD-2024-10145</v>
      </c>
      <c r="B146" s="4" t="n">
        <f aca="false">IFERROR(IF(MID(raw_data!B146,3,1)="/",DATE(VALUE(RIGHT(raw_data!B146,4)),VALUE(LEFT(raw_data!B146,2)),VALUE(MID(raw_data!B146,4,2))),IF(MID(raw_data!B146,3,1)="-",DATE(VALUE(RIGHT(raw_data!B146,4)),VALUE(MID(raw_data!B146,4,2)),VALUE(LEFT(raw_data!B146,2))),IF(MID(raw_data!B146,5,1)="-",DATE(VALUE(LEFT(raw_data!B146,4)),VALUE(MID(raw_data!B146,6,2)),VALUE(RIGHT(raw_data!B146,2))),DATE(VALUE(RIGHT(raw_data!B146,4)),MATCH(MID(raw_data!B146,4,3),{"Jan","Feb","Mar","Apr","May","Jun","Jul","Aug","Sep","Oct","Nov","Dec"},0),VALUE(LEFT(raw_data!B146,2)))))),"")</f>
        <v>45450</v>
      </c>
      <c r="C146" s="4" t="n">
        <f aca="false">IFERROR(IF(MID(raw_data!C146,3,1)="/",DATE(VALUE(RIGHT(raw_data!C146,4)),VALUE(LEFT(raw_data!C146,2)),VALUE(MID(raw_data!C146,4,2))),IF(MID(raw_data!C146,3,1)="-",DATE(VALUE(RIGHT(raw_data!C146,4)),VALUE(MID(raw_data!C146,4,2)),VALUE(LEFT(raw_data!C146,2))),IF(MID(raw_data!C146,5,1)="-",DATE(VALUE(LEFT(raw_data!C146,4)),VALUE(MID(raw_data!C146,6,2)),VALUE(RIGHT(raw_data!C146,2))),DATE(VALUE(RIGHT(raw_data!C146,4)),MATCH(MID(raw_data!C146,4,3),{"Jan","Feb","Mar","Apr","May","Jun","Jul","Aug","Sep","Oct","Nov","Dec"},0),VALUE(LEFT(raw_data!C146,2)))))),"")</f>
        <v>45458</v>
      </c>
      <c r="D146" s="3" t="str">
        <f aca="false">IF(TRIM(raw_data!B146)="","Missing",IF(B146="","Invalid/Unrecognized","Valid"))</f>
        <v>Valid</v>
      </c>
      <c r="E146" s="3" t="str">
        <f aca="false">IF(TRIM(raw_data!C146)="","Missing",IF(C146="","Invalid/Unrecognized","Valid"))</f>
        <v>Valid</v>
      </c>
      <c r="F146" s="5" t="n">
        <f aca="false">IF(OR(B146="",C146=""),"",C146-B146)</f>
        <v>8</v>
      </c>
      <c r="G146" s="3" t="str">
        <f aca="false">IF(F146="","N/A",IF(F146&lt;0,"Invalid - Ship Before Order","OK"))</f>
        <v>OK</v>
      </c>
      <c r="H146" s="3" t="str">
        <f aca="false">raw_data!D146</f>
        <v>CUST-6747</v>
      </c>
      <c r="I146" s="3" t="str">
        <f aca="false">PROPER(TRIM(raw_data!E146))</f>
        <v>Kabir Singh</v>
      </c>
      <c r="J146" s="3" t="str">
        <f aca="false">PROPER(TRIM(raw_data!F146))</f>
        <v>Small Business</v>
      </c>
      <c r="K146" s="3" t="str">
        <f aca="false">IF(TRIM(raw_data!G146)="","Unknown",PROPER(TRIM(raw_data!G146)))</f>
        <v>South</v>
      </c>
      <c r="L146" s="3" t="str">
        <f aca="false">IF(TRIM(raw_data!G146)="","Filled - Unknown","OK")</f>
        <v>OK</v>
      </c>
      <c r="M146" s="3" t="str">
        <f aca="false">PROPER(TRIM(raw_data!H146))</f>
        <v>Telangana</v>
      </c>
      <c r="N146" s="3" t="str">
        <f aca="false">PROPER(TRIM(raw_data!I146))</f>
        <v>Hyderabad</v>
      </c>
      <c r="O146" s="3" t="str">
        <f aca="false">PROPER(TRIM(raw_data!J146))</f>
        <v>Technology</v>
      </c>
      <c r="P146" s="3" t="str">
        <f aca="false">PROPER(TRIM(raw_data!K146))</f>
        <v>Accessories</v>
      </c>
      <c r="Q146" s="3" t="str">
        <f aca="false">TRIM(raw_data!L146)</f>
        <v>Elite Accessories 905</v>
      </c>
      <c r="R146" s="3" t="str">
        <f aca="false">IF(TRIM(raw_data!M146)="","Unknown",PROPER(TRIM(raw_data!M146)))</f>
        <v>First Class</v>
      </c>
      <c r="S146" s="3" t="str">
        <f aca="false">IF(TRIM(raw_data!M146)="","Filled - Unknown","OK")</f>
        <v>OK</v>
      </c>
      <c r="T146" s="6" t="n">
        <f aca="false">raw_data!N146</f>
        <v>7</v>
      </c>
      <c r="U146" s="7" t="n">
        <f aca="false">raw_data!O146</f>
        <v>2147.99</v>
      </c>
      <c r="V146" s="8" t="n">
        <f aca="false">raw_data!P146</f>
        <v>0.25</v>
      </c>
      <c r="W146" s="8" t="n">
        <f aca="false">IF(raw_data!P146="",0,IF(ISTEXT(raw_data!P146),IF(RIGHT(raw_data!P146,1)="%",VALUE(LEFT(raw_data!P146,LEN(raw_data!P146)-1))/100,VALUE(raw_data!P146)),raw_data!P146))</f>
        <v>0.25</v>
      </c>
      <c r="X146" s="3" t="str">
        <f aca="false">IF(raw_data!P146="","Missing - Defaulted to 0",IF(W146&lt;0,"Negative - Invalid",IF(W146&gt;0.3,"Above Allowed Range - Invalid","Valid")))</f>
        <v>Valid</v>
      </c>
      <c r="Y146" s="7" t="n">
        <f aca="false">raw_data!Q146</f>
        <v>11276.95</v>
      </c>
      <c r="Z146" s="7" t="n">
        <f aca="false">raw_data!R146</f>
        <v>6908.76</v>
      </c>
      <c r="AA146" s="7" t="n">
        <f aca="false">raw_data!S146</f>
        <v>4368.19</v>
      </c>
      <c r="AB146" s="3" t="str">
        <f aca="false">PROPER(TRIM(raw_data!T146))</f>
        <v>Refunded</v>
      </c>
      <c r="AC146" s="3" t="str">
        <f aca="false">PROPER(TRIM(raw_data!U146))</f>
        <v>Returned</v>
      </c>
      <c r="AD146" s="7" t="n">
        <f aca="false">T146*U146*(1-W146)</f>
        <v>11276.9475</v>
      </c>
      <c r="AE146" s="7" t="n">
        <f aca="false">AD146-Z146</f>
        <v>4368.1875</v>
      </c>
      <c r="AF146" s="8" t="n">
        <f aca="false">IF(AD146=0,0,AE146/AD146)</f>
        <v>0.387355487821505</v>
      </c>
      <c r="AG146" s="3" t="str">
        <f aca="false">IF(ABS(Y146-AD146)&gt;1,"Mismatch","OK")</f>
        <v>OK</v>
      </c>
      <c r="AH146" s="3" t="str">
        <f aca="false">IF(ABS(AA146-AE146)&gt;1,"Mismatch","OK")</f>
        <v>OK</v>
      </c>
      <c r="AI146" s="6" t="n">
        <f aca="false">IF(B146="","",MONTH(B146))</f>
        <v>6</v>
      </c>
      <c r="AJ146" s="6" t="n">
        <f aca="false">IF(B146="","",YEAR(B146))</f>
        <v>2024</v>
      </c>
      <c r="AK146" s="3" t="str">
        <f aca="false">IF(COUNTIF(raw_data!$A$2:$A$913,A146)&gt;1,"Conflicting Duplicate - Flagged for Review","Unique")</f>
        <v>Unique</v>
      </c>
      <c r="AL146" s="3" t="str">
        <f aca="false">IF(AB146="Refunded","Yes","No")</f>
        <v>Yes</v>
      </c>
      <c r="AM146" s="3" t="str">
        <f aca="false">IF(OR(AC146&lt;&gt;"Completed",AB146="Failed"),"Excluded","Included")</f>
        <v>Excluded</v>
      </c>
      <c r="AN146" s="3" t="str">
        <f aca="false">IF(OR(D146="Invalid/Unrecognized",E146="Invalid/Unrecognized",G146="Invalid - Ship Before Order",X146="Negative - Invalid",X146="Above Allowed Range - Invalid",AG146="Mismatch",AH146="Mismatch",AK146="Conflicting Duplicate - Flagged for Review"),"Invalid",IF(OR(L146="Filled - Unknown",S146="Filled - Unknown",X146="Missing - Defaulted to 0",AL146="Yes",AC146="Cancelled",AC146="Returned"),"Warning","Clean"))</f>
        <v>Warning</v>
      </c>
    </row>
    <row r="147" customFormat="false" ht="15" hidden="false" customHeight="false" outlineLevel="0" collapsed="false">
      <c r="A147" s="3" t="str">
        <f aca="false">raw_data!A147</f>
        <v>ORD-2025-10146</v>
      </c>
      <c r="B147" s="4" t="n">
        <f aca="false">IFERROR(IF(MID(raw_data!B147,3,1)="/",DATE(VALUE(RIGHT(raw_data!B147,4)),VALUE(LEFT(raw_data!B147,2)),VALUE(MID(raw_data!B147,4,2))),IF(MID(raw_data!B147,3,1)="-",DATE(VALUE(RIGHT(raw_data!B147,4)),VALUE(MID(raw_data!B147,4,2)),VALUE(LEFT(raw_data!B147,2))),IF(MID(raw_data!B147,5,1)="-",DATE(VALUE(LEFT(raw_data!B147,4)),VALUE(MID(raw_data!B147,6,2)),VALUE(RIGHT(raw_data!B147,2))),DATE(VALUE(RIGHT(raw_data!B147,4)),MATCH(MID(raw_data!B147,4,3),{"Jan","Feb","Mar","Apr","May","Jun","Jul","Aug","Sep","Oct","Nov","Dec"},0),VALUE(LEFT(raw_data!B147,2)))))),"")</f>
        <v>45758</v>
      </c>
      <c r="C147" s="4" t="n">
        <f aca="false">IFERROR(IF(MID(raw_data!C147,3,1)="/",DATE(VALUE(RIGHT(raw_data!C147,4)),VALUE(LEFT(raw_data!C147,2)),VALUE(MID(raw_data!C147,4,2))),IF(MID(raw_data!C147,3,1)="-",DATE(VALUE(RIGHT(raw_data!C147,4)),VALUE(MID(raw_data!C147,4,2)),VALUE(LEFT(raw_data!C147,2))),IF(MID(raw_data!C147,5,1)="-",DATE(VALUE(LEFT(raw_data!C147,4)),VALUE(MID(raw_data!C147,6,2)),VALUE(RIGHT(raw_data!C147,2))),DATE(VALUE(RIGHT(raw_data!C147,4)),MATCH(MID(raw_data!C147,4,3),{"Jan","Feb","Mar","Apr","May","Jun","Jul","Aug","Sep","Oct","Nov","Dec"},0),VALUE(LEFT(raw_data!C147,2)))))),"")</f>
        <v>45760</v>
      </c>
      <c r="D147" s="3" t="str">
        <f aca="false">IF(TRIM(raw_data!B147)="","Missing",IF(B147="","Invalid/Unrecognized","Valid"))</f>
        <v>Valid</v>
      </c>
      <c r="E147" s="3" t="str">
        <f aca="false">IF(TRIM(raw_data!C147)="","Missing",IF(C147="","Invalid/Unrecognized","Valid"))</f>
        <v>Valid</v>
      </c>
      <c r="F147" s="5" t="n">
        <f aca="false">IF(OR(B147="",C147=""),"",C147-B147)</f>
        <v>2</v>
      </c>
      <c r="G147" s="3" t="str">
        <f aca="false">IF(F147="","N/A",IF(F147&lt;0,"Invalid - Ship Before Order","OK"))</f>
        <v>OK</v>
      </c>
      <c r="H147" s="3" t="str">
        <f aca="false">raw_data!D147</f>
        <v>CUST-6161</v>
      </c>
      <c r="I147" s="3" t="str">
        <f aca="false">PROPER(TRIM(raw_data!E147))</f>
        <v>Mira Das</v>
      </c>
      <c r="J147" s="3" t="str">
        <f aca="false">PROPER(TRIM(raw_data!F147))</f>
        <v>Small Business</v>
      </c>
      <c r="K147" s="3" t="str">
        <f aca="false">IF(TRIM(raw_data!G147)="","Unknown",PROPER(TRIM(raw_data!G147)))</f>
        <v>West</v>
      </c>
      <c r="L147" s="3" t="str">
        <f aca="false">IF(TRIM(raw_data!G147)="","Filled - Unknown","OK")</f>
        <v>OK</v>
      </c>
      <c r="M147" s="3" t="str">
        <f aca="false">PROPER(TRIM(raw_data!H147))</f>
        <v>Goa</v>
      </c>
      <c r="N147" s="3" t="str">
        <f aca="false">PROPER(TRIM(raw_data!I147))</f>
        <v>Panaji</v>
      </c>
      <c r="O147" s="3" t="str">
        <f aca="false">PROPER(TRIM(raw_data!J147))</f>
        <v>Office Supplies</v>
      </c>
      <c r="P147" s="3" t="str">
        <f aca="false">PROPER(TRIM(raw_data!K147))</f>
        <v>Paper</v>
      </c>
      <c r="Q147" s="3" t="str">
        <f aca="false">TRIM(raw_data!L147)</f>
        <v>Smart Paper 899</v>
      </c>
      <c r="R147" s="3" t="str">
        <f aca="false">IF(TRIM(raw_data!M147)="","Unknown",PROPER(TRIM(raw_data!M147)))</f>
        <v>Standard Class</v>
      </c>
      <c r="S147" s="3" t="str">
        <f aca="false">IF(TRIM(raw_data!M147)="","Filled - Unknown","OK")</f>
        <v>OK</v>
      </c>
      <c r="T147" s="6" t="n">
        <f aca="false">raw_data!N147</f>
        <v>4</v>
      </c>
      <c r="U147" s="7" t="n">
        <f aca="false">raw_data!O147</f>
        <v>4182.15</v>
      </c>
      <c r="V147" s="8" t="n">
        <f aca="false">raw_data!P147</f>
        <v>0.1</v>
      </c>
      <c r="W147" s="8" t="n">
        <f aca="false">IF(raw_data!P147="",0,IF(ISTEXT(raw_data!P147),IF(RIGHT(raw_data!P147,1)="%",VALUE(LEFT(raw_data!P147,LEN(raw_data!P147)-1))/100,VALUE(raw_data!P147)),raw_data!P147))</f>
        <v>0.1</v>
      </c>
      <c r="X147" s="3" t="str">
        <f aca="false">IF(raw_data!P147="","Missing - Defaulted to 0",IF(W147&lt;0,"Negative - Invalid",IF(W147&gt;0.3,"Above Allowed Range - Invalid","Valid")))</f>
        <v>Valid</v>
      </c>
      <c r="Y147" s="7" t="n">
        <f aca="false">raw_data!Q147</f>
        <v>15055.74</v>
      </c>
      <c r="Z147" s="7" t="n">
        <f aca="false">raw_data!R147</f>
        <v>9808.83</v>
      </c>
      <c r="AA147" s="7" t="n">
        <f aca="false">raw_data!S147</f>
        <v>5246.91</v>
      </c>
      <c r="AB147" s="3" t="str">
        <f aca="false">PROPER(TRIM(raw_data!T147))</f>
        <v>Paid</v>
      </c>
      <c r="AC147" s="3" t="str">
        <f aca="false">PROPER(TRIM(raw_data!U147))</f>
        <v>Completed</v>
      </c>
      <c r="AD147" s="7" t="n">
        <f aca="false">T147*U147*(1-W147)</f>
        <v>15055.74</v>
      </c>
      <c r="AE147" s="7" t="n">
        <f aca="false">AD147-Z147</f>
        <v>5246.91</v>
      </c>
      <c r="AF147" s="8" t="n">
        <f aca="false">IF(AD147=0,0,AE147/AD147)</f>
        <v>0.348498977798501</v>
      </c>
      <c r="AG147" s="3" t="str">
        <f aca="false">IF(ABS(Y147-AD147)&gt;1,"Mismatch","OK")</f>
        <v>OK</v>
      </c>
      <c r="AH147" s="3" t="str">
        <f aca="false">IF(ABS(AA147-AE147)&gt;1,"Mismatch","OK")</f>
        <v>OK</v>
      </c>
      <c r="AI147" s="6" t="n">
        <f aca="false">IF(B147="","",MONTH(B147))</f>
        <v>4</v>
      </c>
      <c r="AJ147" s="6" t="n">
        <f aca="false">IF(B147="","",YEAR(B147))</f>
        <v>2025</v>
      </c>
      <c r="AK147" s="3" t="str">
        <f aca="false">IF(COUNTIF(raw_data!$A$2:$A$913,A147)&gt;1,"Conflicting Duplicate - Flagged for Review","Unique")</f>
        <v>Unique</v>
      </c>
      <c r="AL147" s="3" t="str">
        <f aca="false">IF(AB147="Refunded","Yes","No")</f>
        <v>No</v>
      </c>
      <c r="AM147" s="3" t="str">
        <f aca="false">IF(OR(AC147&lt;&gt;"Completed",AB147="Failed"),"Excluded","Included")</f>
        <v>Included</v>
      </c>
      <c r="AN147" s="3" t="str">
        <f aca="false">IF(OR(D147="Invalid/Unrecognized",E147="Invalid/Unrecognized",G147="Invalid - Ship Before Order",X147="Negative - Invalid",X147="Above Allowed Range - Invalid",AG147="Mismatch",AH147="Mismatch",AK147="Conflicting Duplicate - Flagged for Review"),"Invalid",IF(OR(L147="Filled - Unknown",S147="Filled - Unknown",X147="Missing - Defaulted to 0",AL147="Yes",AC147="Cancelled",AC147="Returned"),"Warning","Clean"))</f>
        <v>Clean</v>
      </c>
    </row>
    <row r="148" customFormat="false" ht="15" hidden="false" customHeight="false" outlineLevel="0" collapsed="false">
      <c r="A148" s="3" t="str">
        <f aca="false">raw_data!A148</f>
        <v>ORD-2025-10147</v>
      </c>
      <c r="B148" s="4" t="n">
        <f aca="false">IFERROR(IF(MID(raw_data!B148,3,1)="/",DATE(VALUE(RIGHT(raw_data!B148,4)),VALUE(LEFT(raw_data!B148,2)),VALUE(MID(raw_data!B148,4,2))),IF(MID(raw_data!B148,3,1)="-",DATE(VALUE(RIGHT(raw_data!B148,4)),VALUE(MID(raw_data!B148,4,2)),VALUE(LEFT(raw_data!B148,2))),IF(MID(raw_data!B148,5,1)="-",DATE(VALUE(LEFT(raw_data!B148,4)),VALUE(MID(raw_data!B148,6,2)),VALUE(RIGHT(raw_data!B148,2))),DATE(VALUE(RIGHT(raw_data!B148,4)),MATCH(MID(raw_data!B148,4,3),{"Jan","Feb","Mar","Apr","May","Jun","Jul","Aug","Sep","Oct","Nov","Dec"},0),VALUE(LEFT(raw_data!B148,2)))))),"")</f>
        <v>45868</v>
      </c>
      <c r="C148" s="4" t="n">
        <f aca="false">IFERROR(IF(MID(raw_data!C148,3,1)="/",DATE(VALUE(RIGHT(raw_data!C148,4)),VALUE(LEFT(raw_data!C148,2)),VALUE(MID(raw_data!C148,4,2))),IF(MID(raw_data!C148,3,1)="-",DATE(VALUE(RIGHT(raw_data!C148,4)),VALUE(MID(raw_data!C148,4,2)),VALUE(LEFT(raw_data!C148,2))),IF(MID(raw_data!C148,5,1)="-",DATE(VALUE(LEFT(raw_data!C148,4)),VALUE(MID(raw_data!C148,6,2)),VALUE(RIGHT(raw_data!C148,2))),DATE(VALUE(RIGHT(raw_data!C148,4)),MATCH(MID(raw_data!C148,4,3),{"Jan","Feb","Mar","Apr","May","Jun","Jul","Aug","Sep","Oct","Nov","Dec"},0),VALUE(LEFT(raw_data!C148,2)))))),"")</f>
        <v>45870</v>
      </c>
      <c r="D148" s="3" t="str">
        <f aca="false">IF(TRIM(raw_data!B148)="","Missing",IF(B148="","Invalid/Unrecognized","Valid"))</f>
        <v>Valid</v>
      </c>
      <c r="E148" s="3" t="str">
        <f aca="false">IF(TRIM(raw_data!C148)="","Missing",IF(C148="","Invalid/Unrecognized","Valid"))</f>
        <v>Valid</v>
      </c>
      <c r="F148" s="5" t="n">
        <f aca="false">IF(OR(B148="",C148=""),"",C148-B148)</f>
        <v>2</v>
      </c>
      <c r="G148" s="3" t="str">
        <f aca="false">IF(F148="","N/A",IF(F148&lt;0,"Invalid - Ship Before Order","OK"))</f>
        <v>OK</v>
      </c>
      <c r="H148" s="3" t="str">
        <f aca="false">raw_data!D148</f>
        <v>CUST-1460</v>
      </c>
      <c r="I148" s="3" t="str">
        <f aca="false">PROPER(TRIM(raw_data!E148))</f>
        <v>Sneha Kapoor</v>
      </c>
      <c r="J148" s="3" t="str">
        <f aca="false">PROPER(TRIM(raw_data!F148))</f>
        <v>Small Business</v>
      </c>
      <c r="K148" s="3" t="str">
        <f aca="false">IF(TRIM(raw_data!G148)="","Unknown",PROPER(TRIM(raw_data!G148)))</f>
        <v>South</v>
      </c>
      <c r="L148" s="3" t="str">
        <f aca="false">IF(TRIM(raw_data!G148)="","Filled - Unknown","OK")</f>
        <v>OK</v>
      </c>
      <c r="M148" s="3" t="str">
        <f aca="false">PROPER(TRIM(raw_data!H148))</f>
        <v>Tamil Nadu</v>
      </c>
      <c r="N148" s="3" t="str">
        <f aca="false">PROPER(TRIM(raw_data!I148))</f>
        <v>Chennai</v>
      </c>
      <c r="O148" s="3" t="str">
        <f aca="false">PROPER(TRIM(raw_data!J148))</f>
        <v>Office Supplies</v>
      </c>
      <c r="P148" s="3" t="str">
        <f aca="false">PROPER(TRIM(raw_data!K148))</f>
        <v>Storage</v>
      </c>
      <c r="Q148" s="3" t="str">
        <f aca="false">TRIM(raw_data!L148)</f>
        <v>Classic Storage 423</v>
      </c>
      <c r="R148" s="3" t="str">
        <f aca="false">IF(TRIM(raw_data!M148)="","Unknown",PROPER(TRIM(raw_data!M148)))</f>
        <v>Same Day</v>
      </c>
      <c r="S148" s="3" t="str">
        <f aca="false">IF(TRIM(raw_data!M148)="","Filled - Unknown","OK")</f>
        <v>OK</v>
      </c>
      <c r="T148" s="6" t="n">
        <f aca="false">raw_data!N148</f>
        <v>9</v>
      </c>
      <c r="U148" s="7" t="n">
        <f aca="false">raw_data!O148</f>
        <v>3165.43</v>
      </c>
      <c r="V148" s="8" t="n">
        <f aca="false">raw_data!P148</f>
        <v>0.1</v>
      </c>
      <c r="W148" s="8" t="n">
        <f aca="false">IF(raw_data!P148="",0,IF(ISTEXT(raw_data!P148),IF(RIGHT(raw_data!P148,1)="%",VALUE(LEFT(raw_data!P148,LEN(raw_data!P148)-1))/100,VALUE(raw_data!P148)),raw_data!P148))</f>
        <v>0.1</v>
      </c>
      <c r="X148" s="3" t="str">
        <f aca="false">IF(raw_data!P148="","Missing - Defaulted to 0",IF(W148&lt;0,"Negative - Invalid",IF(W148&gt;0.3,"Above Allowed Range - Invalid","Valid")))</f>
        <v>Valid</v>
      </c>
      <c r="Y148" s="7" t="n">
        <f aca="false">raw_data!Q148</f>
        <v>25639.98</v>
      </c>
      <c r="Z148" s="7" t="n">
        <f aca="false">raw_data!R148</f>
        <v>21635.08</v>
      </c>
      <c r="AA148" s="7" t="n">
        <f aca="false">raw_data!S148</f>
        <v>4004.9</v>
      </c>
      <c r="AB148" s="3" t="str">
        <f aca="false">PROPER(TRIM(raw_data!T148))</f>
        <v>Paid</v>
      </c>
      <c r="AC148" s="3" t="str">
        <f aca="false">PROPER(TRIM(raw_data!U148))</f>
        <v>Completed</v>
      </c>
      <c r="AD148" s="7" t="n">
        <f aca="false">T148*U148*(1-W148)</f>
        <v>25639.983</v>
      </c>
      <c r="AE148" s="7" t="n">
        <f aca="false">AD148-Z148</f>
        <v>4004.903</v>
      </c>
      <c r="AF148" s="8" t="n">
        <f aca="false">IF(AD148=0,0,AE148/AD148)</f>
        <v>0.156197568461726</v>
      </c>
      <c r="AG148" s="3" t="str">
        <f aca="false">IF(ABS(Y148-AD148)&gt;1,"Mismatch","OK")</f>
        <v>OK</v>
      </c>
      <c r="AH148" s="3" t="str">
        <f aca="false">IF(ABS(AA148-AE148)&gt;1,"Mismatch","OK")</f>
        <v>OK</v>
      </c>
      <c r="AI148" s="6" t="n">
        <f aca="false">IF(B148="","",MONTH(B148))</f>
        <v>7</v>
      </c>
      <c r="AJ148" s="6" t="n">
        <f aca="false">IF(B148="","",YEAR(B148))</f>
        <v>2025</v>
      </c>
      <c r="AK148" s="3" t="str">
        <f aca="false">IF(COUNTIF(raw_data!$A$2:$A$913,A148)&gt;1,"Conflicting Duplicate - Flagged for Review","Unique")</f>
        <v>Unique</v>
      </c>
      <c r="AL148" s="3" t="str">
        <f aca="false">IF(AB148="Refunded","Yes","No")</f>
        <v>No</v>
      </c>
      <c r="AM148" s="3" t="str">
        <f aca="false">IF(OR(AC148&lt;&gt;"Completed",AB148="Failed"),"Excluded","Included")</f>
        <v>Included</v>
      </c>
      <c r="AN148" s="3" t="str">
        <f aca="false">IF(OR(D148="Invalid/Unrecognized",E148="Invalid/Unrecognized",G148="Invalid - Ship Before Order",X148="Negative - Invalid",X148="Above Allowed Range - Invalid",AG148="Mismatch",AH148="Mismatch",AK148="Conflicting Duplicate - Flagged for Review"),"Invalid",IF(OR(L148="Filled - Unknown",S148="Filled - Unknown",X148="Missing - Defaulted to 0",AL148="Yes",AC148="Cancelled",AC148="Returned"),"Warning","Clean"))</f>
        <v>Clean</v>
      </c>
    </row>
    <row r="149" customFormat="false" ht="15" hidden="false" customHeight="false" outlineLevel="0" collapsed="false">
      <c r="A149" s="3" t="str">
        <f aca="false">raw_data!A149</f>
        <v>ORD-2024-10148</v>
      </c>
      <c r="B149" s="4" t="n">
        <f aca="false">IFERROR(IF(MID(raw_data!B149,3,1)="/",DATE(VALUE(RIGHT(raw_data!B149,4)),VALUE(LEFT(raw_data!B149,2)),VALUE(MID(raw_data!B149,4,2))),IF(MID(raw_data!B149,3,1)="-",DATE(VALUE(RIGHT(raw_data!B149,4)),VALUE(MID(raw_data!B149,4,2)),VALUE(LEFT(raw_data!B149,2))),IF(MID(raw_data!B149,5,1)="-",DATE(VALUE(LEFT(raw_data!B149,4)),VALUE(MID(raw_data!B149,6,2)),VALUE(RIGHT(raw_data!B149,2))),DATE(VALUE(RIGHT(raw_data!B149,4)),MATCH(MID(raw_data!B149,4,3),{"Jan","Feb","Mar","Apr","May","Jun","Jul","Aug","Sep","Oct","Nov","Dec"},0),VALUE(LEFT(raw_data!B149,2)))))),"")</f>
        <v>45649</v>
      </c>
      <c r="C149" s="4" t="n">
        <f aca="false">IFERROR(IF(MID(raw_data!C149,3,1)="/",DATE(VALUE(RIGHT(raw_data!C149,4)),VALUE(LEFT(raw_data!C149,2)),VALUE(MID(raw_data!C149,4,2))),IF(MID(raw_data!C149,3,1)="-",DATE(VALUE(RIGHT(raw_data!C149,4)),VALUE(MID(raw_data!C149,4,2)),VALUE(LEFT(raw_data!C149,2))),IF(MID(raw_data!C149,5,1)="-",DATE(VALUE(LEFT(raw_data!C149,4)),VALUE(MID(raw_data!C149,6,2)),VALUE(RIGHT(raw_data!C149,2))),DATE(VALUE(RIGHT(raw_data!C149,4)),MATCH(MID(raw_data!C149,4,3),{"Jan","Feb","Mar","Apr","May","Jun","Jul","Aug","Sep","Oct","Nov","Dec"},0),VALUE(LEFT(raw_data!C149,2)))))),"")</f>
        <v>45656</v>
      </c>
      <c r="D149" s="3" t="str">
        <f aca="false">IF(TRIM(raw_data!B149)="","Missing",IF(B149="","Invalid/Unrecognized","Valid"))</f>
        <v>Valid</v>
      </c>
      <c r="E149" s="3" t="str">
        <f aca="false">IF(TRIM(raw_data!C149)="","Missing",IF(C149="","Invalid/Unrecognized","Valid"))</f>
        <v>Valid</v>
      </c>
      <c r="F149" s="5" t="n">
        <f aca="false">IF(OR(B149="",C149=""),"",C149-B149)</f>
        <v>7</v>
      </c>
      <c r="G149" s="3" t="str">
        <f aca="false">IF(F149="","N/A",IF(F149&lt;0,"Invalid - Ship Before Order","OK"))</f>
        <v>OK</v>
      </c>
      <c r="H149" s="3" t="str">
        <f aca="false">raw_data!D149</f>
        <v>CUST-2692</v>
      </c>
      <c r="I149" s="3" t="str">
        <f aca="false">PROPER(TRIM(raw_data!E149))</f>
        <v>Priya Menon</v>
      </c>
      <c r="J149" s="3" t="str">
        <f aca="false">PROPER(TRIM(raw_data!F149))</f>
        <v>Home Office</v>
      </c>
      <c r="K149" s="3" t="str">
        <f aca="false">IF(TRIM(raw_data!G149)="","Unknown",PROPER(TRIM(raw_data!G149)))</f>
        <v>West</v>
      </c>
      <c r="L149" s="3" t="str">
        <f aca="false">IF(TRIM(raw_data!G149)="","Filled - Unknown","OK")</f>
        <v>OK</v>
      </c>
      <c r="M149" s="3" t="str">
        <f aca="false">PROPER(TRIM(raw_data!H149))</f>
        <v>Goa</v>
      </c>
      <c r="N149" s="3" t="str">
        <f aca="false">PROPER(TRIM(raw_data!I149))</f>
        <v>Panaji</v>
      </c>
      <c r="O149" s="3" t="str">
        <f aca="false">PROPER(TRIM(raw_data!J149))</f>
        <v>Furniture</v>
      </c>
      <c r="P149" s="3" t="str">
        <f aca="false">PROPER(TRIM(raw_data!K149))</f>
        <v>Furnishings</v>
      </c>
      <c r="Q149" s="3" t="str">
        <f aca="false">TRIM(raw_data!L149)</f>
        <v>Classic Furnishings 743</v>
      </c>
      <c r="R149" s="3" t="str">
        <f aca="false">IF(TRIM(raw_data!M149)="","Unknown",PROPER(TRIM(raw_data!M149)))</f>
        <v>First Class</v>
      </c>
      <c r="S149" s="3" t="str">
        <f aca="false">IF(TRIM(raw_data!M149)="","Filled - Unknown","OK")</f>
        <v>OK</v>
      </c>
      <c r="T149" s="6" t="n">
        <f aca="false">raw_data!N149</f>
        <v>8</v>
      </c>
      <c r="U149" s="7" t="n">
        <f aca="false">raw_data!O149</f>
        <v>386.1</v>
      </c>
      <c r="V149" s="8" t="n">
        <f aca="false">raw_data!P149</f>
        <v>0.1</v>
      </c>
      <c r="W149" s="8" t="n">
        <f aca="false">IF(raw_data!P149="",0,IF(ISTEXT(raw_data!P149),IF(RIGHT(raw_data!P149,1)="%",VALUE(LEFT(raw_data!P149,LEN(raw_data!P149)-1))/100,VALUE(raw_data!P149)),raw_data!P149))</f>
        <v>0.1</v>
      </c>
      <c r="X149" s="3" t="str">
        <f aca="false">IF(raw_data!P149="","Missing - Defaulted to 0",IF(W149&lt;0,"Negative - Invalid",IF(W149&gt;0.3,"Above Allowed Range - Invalid","Valid")))</f>
        <v>Valid</v>
      </c>
      <c r="Y149" s="7" t="n">
        <f aca="false">raw_data!Q149</f>
        <v>2779.92</v>
      </c>
      <c r="Z149" s="7" t="n">
        <f aca="false">raw_data!R149</f>
        <v>1744.05</v>
      </c>
      <c r="AA149" s="7" t="n">
        <f aca="false">raw_data!S149</f>
        <v>1035.87</v>
      </c>
      <c r="AB149" s="3" t="str">
        <f aca="false">PROPER(TRIM(raw_data!T149))</f>
        <v>Paid</v>
      </c>
      <c r="AC149" s="3" t="str">
        <f aca="false">PROPER(TRIM(raw_data!U149))</f>
        <v>Completed</v>
      </c>
      <c r="AD149" s="7" t="n">
        <f aca="false">T149*U149*(1-W149)</f>
        <v>2779.92</v>
      </c>
      <c r="AE149" s="7" t="n">
        <f aca="false">AD149-Z149</f>
        <v>1035.87</v>
      </c>
      <c r="AF149" s="8" t="n">
        <f aca="false">IF(AD149=0,0,AE149/AD149)</f>
        <v>0.372625830959164</v>
      </c>
      <c r="AG149" s="3" t="str">
        <f aca="false">IF(ABS(Y149-AD149)&gt;1,"Mismatch","OK")</f>
        <v>OK</v>
      </c>
      <c r="AH149" s="3" t="str">
        <f aca="false">IF(ABS(AA149-AE149)&gt;1,"Mismatch","OK")</f>
        <v>OK</v>
      </c>
      <c r="AI149" s="6" t="n">
        <f aca="false">IF(B149="","",MONTH(B149))</f>
        <v>12</v>
      </c>
      <c r="AJ149" s="6" t="n">
        <f aca="false">IF(B149="","",YEAR(B149))</f>
        <v>2024</v>
      </c>
      <c r="AK149" s="3" t="str">
        <f aca="false">IF(COUNTIF(raw_data!$A$2:$A$913,A149)&gt;1,"Conflicting Duplicate - Flagged for Review","Unique")</f>
        <v>Unique</v>
      </c>
      <c r="AL149" s="3" t="str">
        <f aca="false">IF(AB149="Refunded","Yes","No")</f>
        <v>No</v>
      </c>
      <c r="AM149" s="3" t="str">
        <f aca="false">IF(OR(AC149&lt;&gt;"Completed",AB149="Failed"),"Excluded","Included")</f>
        <v>Included</v>
      </c>
      <c r="AN149" s="3" t="str">
        <f aca="false">IF(OR(D149="Invalid/Unrecognized",E149="Invalid/Unrecognized",G149="Invalid - Ship Before Order",X149="Negative - Invalid",X149="Above Allowed Range - Invalid",AG149="Mismatch",AH149="Mismatch",AK149="Conflicting Duplicate - Flagged for Review"),"Invalid",IF(OR(L149="Filled - Unknown",S149="Filled - Unknown",X149="Missing - Defaulted to 0",AL149="Yes",AC149="Cancelled",AC149="Returned"),"Warning","Clean"))</f>
        <v>Clean</v>
      </c>
    </row>
    <row r="150" customFormat="false" ht="15" hidden="false" customHeight="false" outlineLevel="0" collapsed="false">
      <c r="A150" s="3" t="str">
        <f aca="false">raw_data!A150</f>
        <v>ORD-2025-10149</v>
      </c>
      <c r="B150" s="4" t="n">
        <f aca="false">IFERROR(IF(MID(raw_data!B150,3,1)="/",DATE(VALUE(RIGHT(raw_data!B150,4)),VALUE(LEFT(raw_data!B150,2)),VALUE(MID(raw_data!B150,4,2))),IF(MID(raw_data!B150,3,1)="-",DATE(VALUE(RIGHT(raw_data!B150,4)),VALUE(MID(raw_data!B150,4,2)),VALUE(LEFT(raw_data!B150,2))),IF(MID(raw_data!B150,5,1)="-",DATE(VALUE(LEFT(raw_data!B150,4)),VALUE(MID(raw_data!B150,6,2)),VALUE(RIGHT(raw_data!B150,2))),DATE(VALUE(RIGHT(raw_data!B150,4)),MATCH(MID(raw_data!B150,4,3),{"Jan","Feb","Mar","Apr","May","Jun","Jul","Aug","Sep","Oct","Nov","Dec"},0),VALUE(LEFT(raw_data!B150,2)))))),"")</f>
        <v>45697</v>
      </c>
      <c r="C150" s="4" t="n">
        <f aca="false">IFERROR(IF(MID(raw_data!C150,3,1)="/",DATE(VALUE(RIGHT(raw_data!C150,4)),VALUE(LEFT(raw_data!C150,2)),VALUE(MID(raw_data!C150,4,2))),IF(MID(raw_data!C150,3,1)="-",DATE(VALUE(RIGHT(raw_data!C150,4)),VALUE(MID(raw_data!C150,4,2)),VALUE(LEFT(raw_data!C150,2))),IF(MID(raw_data!C150,5,1)="-",DATE(VALUE(LEFT(raw_data!C150,4)),VALUE(MID(raw_data!C150,6,2)),VALUE(RIGHT(raw_data!C150,2))),DATE(VALUE(RIGHT(raw_data!C150,4)),MATCH(MID(raw_data!C150,4,3),{"Jan","Feb","Mar","Apr","May","Jun","Jul","Aug","Sep","Oct","Nov","Dec"},0),VALUE(LEFT(raw_data!C150,2)))))),"")</f>
        <v>45701</v>
      </c>
      <c r="D150" s="3" t="str">
        <f aca="false">IF(TRIM(raw_data!B150)="","Missing",IF(B150="","Invalid/Unrecognized","Valid"))</f>
        <v>Valid</v>
      </c>
      <c r="E150" s="3" t="str">
        <f aca="false">IF(TRIM(raw_data!C150)="","Missing",IF(C150="","Invalid/Unrecognized","Valid"))</f>
        <v>Valid</v>
      </c>
      <c r="F150" s="5" t="n">
        <f aca="false">IF(OR(B150="",C150=""),"",C150-B150)</f>
        <v>4</v>
      </c>
      <c r="G150" s="3" t="str">
        <f aca="false">IF(F150="","N/A",IF(F150&lt;0,"Invalid - Ship Before Order","OK"))</f>
        <v>OK</v>
      </c>
      <c r="H150" s="3" t="str">
        <f aca="false">raw_data!D150</f>
        <v>CUST-2822</v>
      </c>
      <c r="I150" s="3" t="str">
        <f aca="false">PROPER(TRIM(raw_data!E150))</f>
        <v>Mira Das</v>
      </c>
      <c r="J150" s="3" t="str">
        <f aca="false">PROPER(TRIM(raw_data!F150))</f>
        <v>Home Office</v>
      </c>
      <c r="K150" s="3" t="str">
        <f aca="false">IF(TRIM(raw_data!G150)="","Unknown",PROPER(TRIM(raw_data!G150)))</f>
        <v>West</v>
      </c>
      <c r="L150" s="3" t="str">
        <f aca="false">IF(TRIM(raw_data!G150)="","Filled - Unknown","OK")</f>
        <v>OK</v>
      </c>
      <c r="M150" s="3" t="str">
        <f aca="false">PROPER(TRIM(raw_data!H150))</f>
        <v>Madhya Pradesh</v>
      </c>
      <c r="N150" s="3" t="str">
        <f aca="false">PROPER(TRIM(raw_data!I150))</f>
        <v>Indore</v>
      </c>
      <c r="O150" s="3" t="str">
        <f aca="false">PROPER(TRIM(raw_data!J150))</f>
        <v>Technology</v>
      </c>
      <c r="P150" s="3" t="str">
        <f aca="false">PROPER(TRIM(raw_data!K150))</f>
        <v>Phones</v>
      </c>
      <c r="Q150" s="3" t="str">
        <f aca="false">TRIM(raw_data!L150)</f>
        <v>Smart Phones 336</v>
      </c>
      <c r="R150" s="3" t="str">
        <f aca="false">IF(TRIM(raw_data!M150)="","Unknown",PROPER(TRIM(raw_data!M150)))</f>
        <v>Unknown</v>
      </c>
      <c r="S150" s="3" t="str">
        <f aca="false">IF(TRIM(raw_data!M150)="","Filled - Unknown","OK")</f>
        <v>Filled - Unknown</v>
      </c>
      <c r="T150" s="6" t="n">
        <f aca="false">raw_data!N150</f>
        <v>8</v>
      </c>
      <c r="U150" s="7" t="n">
        <f aca="false">raw_data!O150</f>
        <v>1696.07</v>
      </c>
      <c r="V150" s="8" t="n">
        <f aca="false">raw_data!P150</f>
        <v>0.25</v>
      </c>
      <c r="W150" s="8" t="n">
        <f aca="false">IF(raw_data!P150="",0,IF(ISTEXT(raw_data!P150),IF(RIGHT(raw_data!P150,1)="%",VALUE(LEFT(raw_data!P150,LEN(raw_data!P150)-1))/100,VALUE(raw_data!P150)),raw_data!P150))</f>
        <v>0.25</v>
      </c>
      <c r="X150" s="3" t="str">
        <f aca="false">IF(raw_data!P150="","Missing - Defaulted to 0",IF(W150&lt;0,"Negative - Invalid",IF(W150&gt;0.3,"Above Allowed Range - Invalid","Valid")))</f>
        <v>Valid</v>
      </c>
      <c r="Y150" s="7" t="n">
        <f aca="false">raw_data!Q150</f>
        <v>10176.42</v>
      </c>
      <c r="Z150" s="7" t="n">
        <f aca="false">raw_data!R150</f>
        <v>7604.47</v>
      </c>
      <c r="AA150" s="7" t="n">
        <f aca="false">raw_data!S150</f>
        <v>2571.95</v>
      </c>
      <c r="AB150" s="3" t="str">
        <f aca="false">PROPER(TRIM(raw_data!T150))</f>
        <v>Paid</v>
      </c>
      <c r="AC150" s="3" t="str">
        <f aca="false">PROPER(TRIM(raw_data!U150))</f>
        <v>Completed</v>
      </c>
      <c r="AD150" s="7" t="n">
        <f aca="false">T150*U150*(1-W150)</f>
        <v>10176.42</v>
      </c>
      <c r="AE150" s="7" t="n">
        <f aca="false">AD150-Z150</f>
        <v>2571.95</v>
      </c>
      <c r="AF150" s="8" t="n">
        <f aca="false">IF(AD150=0,0,AE150/AD150)</f>
        <v>0.252736227474888</v>
      </c>
      <c r="AG150" s="3" t="str">
        <f aca="false">IF(ABS(Y150-AD150)&gt;1,"Mismatch","OK")</f>
        <v>OK</v>
      </c>
      <c r="AH150" s="3" t="str">
        <f aca="false">IF(ABS(AA150-AE150)&gt;1,"Mismatch","OK")</f>
        <v>OK</v>
      </c>
      <c r="AI150" s="6" t="n">
        <f aca="false">IF(B150="","",MONTH(B150))</f>
        <v>2</v>
      </c>
      <c r="AJ150" s="6" t="n">
        <f aca="false">IF(B150="","",YEAR(B150))</f>
        <v>2025</v>
      </c>
      <c r="AK150" s="3" t="str">
        <f aca="false">IF(COUNTIF(raw_data!$A$2:$A$913,A150)&gt;1,"Conflicting Duplicate - Flagged for Review","Unique")</f>
        <v>Unique</v>
      </c>
      <c r="AL150" s="3" t="str">
        <f aca="false">IF(AB150="Refunded","Yes","No")</f>
        <v>No</v>
      </c>
      <c r="AM150" s="3" t="str">
        <f aca="false">IF(OR(AC150&lt;&gt;"Completed",AB150="Failed"),"Excluded","Included")</f>
        <v>Included</v>
      </c>
      <c r="AN150" s="3" t="str">
        <f aca="false">IF(OR(D150="Invalid/Unrecognized",E150="Invalid/Unrecognized",G150="Invalid - Ship Before Order",X150="Negative - Invalid",X150="Above Allowed Range - Invalid",AG150="Mismatch",AH150="Mismatch",AK150="Conflicting Duplicate - Flagged for Review"),"Invalid",IF(OR(L150="Filled - Unknown",S150="Filled - Unknown",X150="Missing - Defaulted to 0",AL150="Yes",AC150="Cancelled",AC150="Returned"),"Warning","Clean"))</f>
        <v>Warning</v>
      </c>
    </row>
    <row r="151" customFormat="false" ht="15" hidden="false" customHeight="false" outlineLevel="0" collapsed="false">
      <c r="A151" s="3" t="str">
        <f aca="false">raw_data!A151</f>
        <v>ORD-2024-10150</v>
      </c>
      <c r="B151" s="4" t="n">
        <f aca="false">IFERROR(IF(MID(raw_data!B151,3,1)="/",DATE(VALUE(RIGHT(raw_data!B151,4)),VALUE(LEFT(raw_data!B151,2)),VALUE(MID(raw_data!B151,4,2))),IF(MID(raw_data!B151,3,1)="-",DATE(VALUE(RIGHT(raw_data!B151,4)),VALUE(MID(raw_data!B151,4,2)),VALUE(LEFT(raw_data!B151,2))),IF(MID(raw_data!B151,5,1)="-",DATE(VALUE(LEFT(raw_data!B151,4)),VALUE(MID(raw_data!B151,6,2)),VALUE(RIGHT(raw_data!B151,2))),DATE(VALUE(RIGHT(raw_data!B151,4)),MATCH(MID(raw_data!B151,4,3),{"Jan","Feb","Mar","Apr","May","Jun","Jul","Aug","Sep","Oct","Nov","Dec"},0),VALUE(LEFT(raw_data!B151,2)))))),"")</f>
        <v>45321</v>
      </c>
      <c r="C151" s="4" t="n">
        <f aca="false">IFERROR(IF(MID(raw_data!C151,3,1)="/",DATE(VALUE(RIGHT(raw_data!C151,4)),VALUE(LEFT(raw_data!C151,2)),VALUE(MID(raw_data!C151,4,2))),IF(MID(raw_data!C151,3,1)="-",DATE(VALUE(RIGHT(raw_data!C151,4)),VALUE(MID(raw_data!C151,4,2)),VALUE(LEFT(raw_data!C151,2))),IF(MID(raw_data!C151,5,1)="-",DATE(VALUE(LEFT(raw_data!C151,4)),VALUE(MID(raw_data!C151,6,2)),VALUE(RIGHT(raw_data!C151,2))),DATE(VALUE(RIGHT(raw_data!C151,4)),MATCH(MID(raw_data!C151,4,3),{"Jan","Feb","Mar","Apr","May","Jun","Jul","Aug","Sep","Oct","Nov","Dec"},0),VALUE(LEFT(raw_data!C151,2)))))),"")</f>
        <v>45321</v>
      </c>
      <c r="D151" s="3" t="str">
        <f aca="false">IF(TRIM(raw_data!B151)="","Missing",IF(B151="","Invalid/Unrecognized","Valid"))</f>
        <v>Valid</v>
      </c>
      <c r="E151" s="3" t="str">
        <f aca="false">IF(TRIM(raw_data!C151)="","Missing",IF(C151="","Invalid/Unrecognized","Valid"))</f>
        <v>Valid</v>
      </c>
      <c r="F151" s="5" t="n">
        <f aca="false">IF(OR(B151="",C151=""),"",C151-B151)</f>
        <v>0</v>
      </c>
      <c r="G151" s="3" t="str">
        <f aca="false">IF(F151="","N/A",IF(F151&lt;0,"Invalid - Ship Before Order","OK"))</f>
        <v>OK</v>
      </c>
      <c r="H151" s="3" t="str">
        <f aca="false">raw_data!D151</f>
        <v>CUST-5876</v>
      </c>
      <c r="I151" s="3" t="str">
        <f aca="false">PROPER(TRIM(raw_data!E151))</f>
        <v>Aarav Sharma</v>
      </c>
      <c r="J151" s="3" t="str">
        <f aca="false">PROPER(TRIM(raw_data!F151))</f>
        <v>Small Business</v>
      </c>
      <c r="K151" s="3" t="str">
        <f aca="false">IF(TRIM(raw_data!G151)="","Unknown",PROPER(TRIM(raw_data!G151)))</f>
        <v>West</v>
      </c>
      <c r="L151" s="3" t="str">
        <f aca="false">IF(TRIM(raw_data!G151)="","Filled - Unknown","OK")</f>
        <v>OK</v>
      </c>
      <c r="M151" s="3" t="str">
        <f aca="false">PROPER(TRIM(raw_data!H151))</f>
        <v>Rajasthan</v>
      </c>
      <c r="N151" s="3" t="str">
        <f aca="false">PROPER(TRIM(raw_data!I151))</f>
        <v>Udaipur</v>
      </c>
      <c r="O151" s="3" t="str">
        <f aca="false">PROPER(TRIM(raw_data!J151))</f>
        <v>Technology</v>
      </c>
      <c r="P151" s="3" t="str">
        <f aca="false">PROPER(TRIM(raw_data!K151))</f>
        <v>Copiers</v>
      </c>
      <c r="Q151" s="3" t="str">
        <f aca="false">TRIM(raw_data!L151)</f>
        <v>Eco Copiers 381</v>
      </c>
      <c r="R151" s="3" t="str">
        <f aca="false">IF(TRIM(raw_data!M151)="","Unknown",PROPER(TRIM(raw_data!M151)))</f>
        <v>Same Day</v>
      </c>
      <c r="S151" s="3" t="str">
        <f aca="false">IF(TRIM(raw_data!M151)="","Filled - Unknown","OK")</f>
        <v>OK</v>
      </c>
      <c r="T151" s="6" t="n">
        <f aca="false">raw_data!N151</f>
        <v>7</v>
      </c>
      <c r="U151" s="7" t="n">
        <f aca="false">raw_data!O151</f>
        <v>2527.61</v>
      </c>
      <c r="V151" s="8" t="n">
        <f aca="false">raw_data!P151</f>
        <v>0.25</v>
      </c>
      <c r="W151" s="8" t="n">
        <f aca="false">IF(raw_data!P151="",0,IF(ISTEXT(raw_data!P151),IF(RIGHT(raw_data!P151,1)="%",VALUE(LEFT(raw_data!P151,LEN(raw_data!P151)-1))/100,VALUE(raw_data!P151)),raw_data!P151))</f>
        <v>0.25</v>
      </c>
      <c r="X151" s="3" t="str">
        <f aca="false">IF(raw_data!P151="","Missing - Defaulted to 0",IF(W151&lt;0,"Negative - Invalid",IF(W151&gt;0.3,"Above Allowed Range - Invalid","Valid")))</f>
        <v>Valid</v>
      </c>
      <c r="Y151" s="7" t="n">
        <f aca="false">raw_data!Q151</f>
        <v>13269.95</v>
      </c>
      <c r="Z151" s="7" t="n">
        <f aca="false">raw_data!R151</f>
        <v>8977.1</v>
      </c>
      <c r="AA151" s="7" t="n">
        <f aca="false">raw_data!S151</f>
        <v>4292.85</v>
      </c>
      <c r="AB151" s="3" t="str">
        <f aca="false">PROPER(TRIM(raw_data!T151))</f>
        <v>Paid</v>
      </c>
      <c r="AC151" s="3" t="str">
        <f aca="false">PROPER(TRIM(raw_data!U151))</f>
        <v>Completed</v>
      </c>
      <c r="AD151" s="7" t="n">
        <f aca="false">T151*U151*(1-W151)</f>
        <v>13269.9525</v>
      </c>
      <c r="AE151" s="7" t="n">
        <f aca="false">AD151-Z151</f>
        <v>4292.8525</v>
      </c>
      <c r="AF151" s="8" t="n">
        <f aca="false">IF(AD151=0,0,AE151/AD151)</f>
        <v>0.323501723159898</v>
      </c>
      <c r="AG151" s="3" t="str">
        <f aca="false">IF(ABS(Y151-AD151)&gt;1,"Mismatch","OK")</f>
        <v>OK</v>
      </c>
      <c r="AH151" s="3" t="str">
        <f aca="false">IF(ABS(AA151-AE151)&gt;1,"Mismatch","OK")</f>
        <v>OK</v>
      </c>
      <c r="AI151" s="6" t="n">
        <f aca="false">IF(B151="","",MONTH(B151))</f>
        <v>1</v>
      </c>
      <c r="AJ151" s="6" t="n">
        <f aca="false">IF(B151="","",YEAR(B151))</f>
        <v>2024</v>
      </c>
      <c r="AK151" s="3" t="str">
        <f aca="false">IF(COUNTIF(raw_data!$A$2:$A$913,A151)&gt;1,"Conflicting Duplicate - Flagged for Review","Unique")</f>
        <v>Unique</v>
      </c>
      <c r="AL151" s="3" t="str">
        <f aca="false">IF(AB151="Refunded","Yes","No")</f>
        <v>No</v>
      </c>
      <c r="AM151" s="3" t="str">
        <f aca="false">IF(OR(AC151&lt;&gt;"Completed",AB151="Failed"),"Excluded","Included")</f>
        <v>Included</v>
      </c>
      <c r="AN151" s="3" t="str">
        <f aca="false">IF(OR(D151="Invalid/Unrecognized",E151="Invalid/Unrecognized",G151="Invalid - Ship Before Order",X151="Negative - Invalid",X151="Above Allowed Range - Invalid",AG151="Mismatch",AH151="Mismatch",AK151="Conflicting Duplicate - Flagged for Review"),"Invalid",IF(OR(L151="Filled - Unknown",S151="Filled - Unknown",X151="Missing - Defaulted to 0",AL151="Yes",AC151="Cancelled",AC151="Returned"),"Warning","Clean"))</f>
        <v>Clean</v>
      </c>
    </row>
    <row r="152" customFormat="false" ht="15" hidden="false" customHeight="false" outlineLevel="0" collapsed="false">
      <c r="A152" s="3" t="str">
        <f aca="false">raw_data!A152</f>
        <v>ORD-2024-10151</v>
      </c>
      <c r="B152" s="4" t="n">
        <f aca="false">IFERROR(IF(MID(raw_data!B152,3,1)="/",DATE(VALUE(RIGHT(raw_data!B152,4)),VALUE(LEFT(raw_data!B152,2)),VALUE(MID(raw_data!B152,4,2))),IF(MID(raw_data!B152,3,1)="-",DATE(VALUE(RIGHT(raw_data!B152,4)),VALUE(MID(raw_data!B152,4,2)),VALUE(LEFT(raw_data!B152,2))),IF(MID(raw_data!B152,5,1)="-",DATE(VALUE(LEFT(raw_data!B152,4)),VALUE(MID(raw_data!B152,6,2)),VALUE(RIGHT(raw_data!B152,2))),DATE(VALUE(RIGHT(raw_data!B152,4)),MATCH(MID(raw_data!B152,4,3),{"Jan","Feb","Mar","Apr","May","Jun","Jul","Aug","Sep","Oct","Nov","Dec"},0),VALUE(LEFT(raw_data!B152,2)))))),"")</f>
        <v>45355</v>
      </c>
      <c r="C152" s="4" t="n">
        <f aca="false">IFERROR(IF(MID(raw_data!C152,3,1)="/",DATE(VALUE(RIGHT(raw_data!C152,4)),VALUE(LEFT(raw_data!C152,2)),VALUE(MID(raw_data!C152,4,2))),IF(MID(raw_data!C152,3,1)="-",DATE(VALUE(RIGHT(raw_data!C152,4)),VALUE(MID(raw_data!C152,4,2)),VALUE(LEFT(raw_data!C152,2))),IF(MID(raw_data!C152,5,1)="-",DATE(VALUE(LEFT(raw_data!C152,4)),VALUE(MID(raw_data!C152,6,2)),VALUE(RIGHT(raw_data!C152,2))),DATE(VALUE(RIGHT(raw_data!C152,4)),MATCH(MID(raw_data!C152,4,3),{"Jan","Feb","Mar","Apr","May","Jun","Jul","Aug","Sep","Oct","Nov","Dec"},0),VALUE(LEFT(raw_data!C152,2)))))),"")</f>
        <v>45363</v>
      </c>
      <c r="D152" s="3" t="str">
        <f aca="false">IF(TRIM(raw_data!B152)="","Missing",IF(B152="","Invalid/Unrecognized","Valid"))</f>
        <v>Valid</v>
      </c>
      <c r="E152" s="3" t="str">
        <f aca="false">IF(TRIM(raw_data!C152)="","Missing",IF(C152="","Invalid/Unrecognized","Valid"))</f>
        <v>Valid</v>
      </c>
      <c r="F152" s="5" t="n">
        <f aca="false">IF(OR(B152="",C152=""),"",C152-B152)</f>
        <v>8</v>
      </c>
      <c r="G152" s="3" t="str">
        <f aca="false">IF(F152="","N/A",IF(F152&lt;0,"Invalid - Ship Before Order","OK"))</f>
        <v>OK</v>
      </c>
      <c r="H152" s="3" t="str">
        <f aca="false">raw_data!D152</f>
        <v>CUST-4661</v>
      </c>
      <c r="I152" s="3" t="str">
        <f aca="false">PROPER(TRIM(raw_data!E152))</f>
        <v>Arjun Bose</v>
      </c>
      <c r="J152" s="3" t="str">
        <f aca="false">PROPER(TRIM(raw_data!F152))</f>
        <v>Consumer</v>
      </c>
      <c r="K152" s="3" t="str">
        <f aca="false">IF(TRIM(raw_data!G152)="","Unknown",PROPER(TRIM(raw_data!G152)))</f>
        <v>Unknown</v>
      </c>
      <c r="L152" s="3" t="str">
        <f aca="false">IF(TRIM(raw_data!G152)="","Filled - Unknown","OK")</f>
        <v>Filled - Unknown</v>
      </c>
      <c r="M152" s="3" t="str">
        <f aca="false">PROPER(TRIM(raw_data!H152))</f>
        <v>Gujarat</v>
      </c>
      <c r="N152" s="3" t="str">
        <f aca="false">PROPER(TRIM(raw_data!I152))</f>
        <v>Ahmedabad</v>
      </c>
      <c r="O152" s="3" t="str">
        <f aca="false">PROPER(TRIM(raw_data!J152))</f>
        <v>Furniture</v>
      </c>
      <c r="P152" s="3" t="str">
        <f aca="false">PROPER(TRIM(raw_data!K152))</f>
        <v>Bookcases</v>
      </c>
      <c r="Q152" s="3" t="str">
        <f aca="false">TRIM(raw_data!L152)</f>
        <v>Max Bookcases 595</v>
      </c>
      <c r="R152" s="3" t="str">
        <f aca="false">IF(TRIM(raw_data!M152)="","Unknown",PROPER(TRIM(raw_data!M152)))</f>
        <v>First Class</v>
      </c>
      <c r="S152" s="3" t="str">
        <f aca="false">IF(TRIM(raw_data!M152)="","Filled - Unknown","OK")</f>
        <v>OK</v>
      </c>
      <c r="T152" s="6" t="n">
        <f aca="false">raw_data!N152</f>
        <v>1</v>
      </c>
      <c r="U152" s="7" t="n">
        <f aca="false">raw_data!O152</f>
        <v>1554.12</v>
      </c>
      <c r="V152" s="8" t="n">
        <f aca="false">raw_data!P152</f>
        <v>0.1</v>
      </c>
      <c r="W152" s="8" t="n">
        <f aca="false">IF(raw_data!P152="",0,IF(ISTEXT(raw_data!P152),IF(RIGHT(raw_data!P152,1)="%",VALUE(LEFT(raw_data!P152,LEN(raw_data!P152)-1))/100,VALUE(raw_data!P152)),raw_data!P152))</f>
        <v>0.1</v>
      </c>
      <c r="X152" s="3" t="str">
        <f aca="false">IF(raw_data!P152="","Missing - Defaulted to 0",IF(W152&lt;0,"Negative - Invalid",IF(W152&gt;0.3,"Above Allowed Range - Invalid","Valid")))</f>
        <v>Valid</v>
      </c>
      <c r="Y152" s="7" t="n">
        <f aca="false">raw_data!Q152</f>
        <v>1398.71</v>
      </c>
      <c r="Z152" s="7" t="n">
        <f aca="false">raw_data!R152</f>
        <v>1056.92</v>
      </c>
      <c r="AA152" s="7" t="n">
        <f aca="false">raw_data!S152</f>
        <v>341.79</v>
      </c>
      <c r="AB152" s="3" t="str">
        <f aca="false">PROPER(TRIM(raw_data!T152))</f>
        <v>Paid</v>
      </c>
      <c r="AC152" s="3" t="str">
        <f aca="false">PROPER(TRIM(raw_data!U152))</f>
        <v>Completed</v>
      </c>
      <c r="AD152" s="7" t="n">
        <f aca="false">T152*U152*(1-W152)</f>
        <v>1398.708</v>
      </c>
      <c r="AE152" s="7" t="n">
        <f aca="false">AD152-Z152</f>
        <v>341.788</v>
      </c>
      <c r="AF152" s="8" t="n">
        <f aca="false">IF(AD152=0,0,AE152/AD152)</f>
        <v>0.244359794896433</v>
      </c>
      <c r="AG152" s="3" t="str">
        <f aca="false">IF(ABS(Y152-AD152)&gt;1,"Mismatch","OK")</f>
        <v>OK</v>
      </c>
      <c r="AH152" s="3" t="str">
        <f aca="false">IF(ABS(AA152-AE152)&gt;1,"Mismatch","OK")</f>
        <v>OK</v>
      </c>
      <c r="AI152" s="6" t="n">
        <f aca="false">IF(B152="","",MONTH(B152))</f>
        <v>3</v>
      </c>
      <c r="AJ152" s="6" t="n">
        <f aca="false">IF(B152="","",YEAR(B152))</f>
        <v>2024</v>
      </c>
      <c r="AK152" s="3" t="str">
        <f aca="false">IF(COUNTIF(raw_data!$A$2:$A$913,A152)&gt;1,"Conflicting Duplicate - Flagged for Review","Unique")</f>
        <v>Unique</v>
      </c>
      <c r="AL152" s="3" t="str">
        <f aca="false">IF(AB152="Refunded","Yes","No")</f>
        <v>No</v>
      </c>
      <c r="AM152" s="3" t="str">
        <f aca="false">IF(OR(AC152&lt;&gt;"Completed",AB152="Failed"),"Excluded","Included")</f>
        <v>Included</v>
      </c>
      <c r="AN152" s="3" t="str">
        <f aca="false">IF(OR(D152="Invalid/Unrecognized",E152="Invalid/Unrecognized",G152="Invalid - Ship Before Order",X152="Negative - Invalid",X152="Above Allowed Range - Invalid",AG152="Mismatch",AH152="Mismatch",AK152="Conflicting Duplicate - Flagged for Review"),"Invalid",IF(OR(L152="Filled - Unknown",S152="Filled - Unknown",X152="Missing - Defaulted to 0",AL152="Yes",AC152="Cancelled",AC152="Returned"),"Warning","Clean"))</f>
        <v>Warning</v>
      </c>
    </row>
    <row r="153" customFormat="false" ht="15" hidden="false" customHeight="false" outlineLevel="0" collapsed="false">
      <c r="A153" s="3" t="str">
        <f aca="false">raw_data!A153</f>
        <v>ORD-2024-10152</v>
      </c>
      <c r="B153" s="4" t="n">
        <f aca="false">IFERROR(IF(MID(raw_data!B153,3,1)="/",DATE(VALUE(RIGHT(raw_data!B153,4)),VALUE(LEFT(raw_data!B153,2)),VALUE(MID(raw_data!B153,4,2))),IF(MID(raw_data!B153,3,1)="-",DATE(VALUE(RIGHT(raw_data!B153,4)),VALUE(MID(raw_data!B153,4,2)),VALUE(LEFT(raw_data!B153,2))),IF(MID(raw_data!B153,5,1)="-",DATE(VALUE(LEFT(raw_data!B153,4)),VALUE(MID(raw_data!B153,6,2)),VALUE(RIGHT(raw_data!B153,2))),DATE(VALUE(RIGHT(raw_data!B153,4)),MATCH(MID(raw_data!B153,4,3),{"Jan","Feb","Mar","Apr","May","Jun","Jul","Aug","Sep","Oct","Nov","Dec"},0),VALUE(LEFT(raw_data!B153,2)))))),"")</f>
        <v>45470</v>
      </c>
      <c r="C153" s="4" t="n">
        <f aca="false">IFERROR(IF(MID(raw_data!C153,3,1)="/",DATE(VALUE(RIGHT(raw_data!C153,4)),VALUE(LEFT(raw_data!C153,2)),VALUE(MID(raw_data!C153,4,2))),IF(MID(raw_data!C153,3,1)="-",DATE(VALUE(RIGHT(raw_data!C153,4)),VALUE(MID(raw_data!C153,4,2)),VALUE(LEFT(raw_data!C153,2))),IF(MID(raw_data!C153,5,1)="-",DATE(VALUE(LEFT(raw_data!C153,4)),VALUE(MID(raw_data!C153,6,2)),VALUE(RIGHT(raw_data!C153,2))),DATE(VALUE(RIGHT(raw_data!C153,4)),MATCH(MID(raw_data!C153,4,3),{"Jan","Feb","Mar","Apr","May","Jun","Jul","Aug","Sep","Oct","Nov","Dec"},0),VALUE(LEFT(raw_data!C153,2)))))),"")</f>
        <v>45470</v>
      </c>
      <c r="D153" s="3" t="str">
        <f aca="false">IF(TRIM(raw_data!B153)="","Missing",IF(B153="","Invalid/Unrecognized","Valid"))</f>
        <v>Valid</v>
      </c>
      <c r="E153" s="3" t="str">
        <f aca="false">IF(TRIM(raw_data!C153)="","Missing",IF(C153="","Invalid/Unrecognized","Valid"))</f>
        <v>Valid</v>
      </c>
      <c r="F153" s="5" t="n">
        <f aca="false">IF(OR(B153="",C153=""),"",C153-B153)</f>
        <v>0</v>
      </c>
      <c r="G153" s="3" t="str">
        <f aca="false">IF(F153="","N/A",IF(F153&lt;0,"Invalid - Ship Before Order","OK"))</f>
        <v>OK</v>
      </c>
      <c r="H153" s="3" t="str">
        <f aca="false">raw_data!D153</f>
        <v>CUST-6011</v>
      </c>
      <c r="I153" s="3" t="str">
        <f aca="false">PROPER(TRIM(raw_data!E153))</f>
        <v>Neha Gupta</v>
      </c>
      <c r="J153" s="3" t="str">
        <f aca="false">PROPER(TRIM(raw_data!F153))</f>
        <v>Home Office</v>
      </c>
      <c r="K153" s="3" t="str">
        <f aca="false">IF(TRIM(raw_data!G153)="","Unknown",PROPER(TRIM(raw_data!G153)))</f>
        <v>Unknown</v>
      </c>
      <c r="L153" s="3" t="str">
        <f aca="false">IF(TRIM(raw_data!G153)="","Filled - Unknown","OK")</f>
        <v>Filled - Unknown</v>
      </c>
      <c r="M153" s="3" t="str">
        <f aca="false">PROPER(TRIM(raw_data!H153))</f>
        <v>Madhya Pradesh</v>
      </c>
      <c r="N153" s="3" t="str">
        <f aca="false">PROPER(TRIM(raw_data!I153))</f>
        <v>Indore</v>
      </c>
      <c r="O153" s="3" t="str">
        <f aca="false">PROPER(TRIM(raw_data!J153))</f>
        <v>Technology</v>
      </c>
      <c r="P153" s="3" t="str">
        <f aca="false">PROPER(TRIM(raw_data!K153))</f>
        <v>Copiers</v>
      </c>
      <c r="Q153" s="3" t="str">
        <f aca="false">TRIM(raw_data!L153)</f>
        <v>Max Copiers 992</v>
      </c>
      <c r="R153" s="3" t="str">
        <f aca="false">IF(TRIM(raw_data!M153)="","Unknown",PROPER(TRIM(raw_data!M153)))</f>
        <v>Standard Class</v>
      </c>
      <c r="S153" s="3" t="str">
        <f aca="false">IF(TRIM(raw_data!M153)="","Filled - Unknown","OK")</f>
        <v>OK</v>
      </c>
      <c r="T153" s="6" t="n">
        <f aca="false">raw_data!N153</f>
        <v>2</v>
      </c>
      <c r="U153" s="7" t="n">
        <f aca="false">raw_data!O153</f>
        <v>3859.11</v>
      </c>
      <c r="V153" s="8" t="n">
        <f aca="false">raw_data!P153</f>
        <v>0</v>
      </c>
      <c r="W153" s="8" t="n">
        <f aca="false">IF(raw_data!P153="",0,IF(ISTEXT(raw_data!P153),IF(RIGHT(raw_data!P153,1)="%",VALUE(LEFT(raw_data!P153,LEN(raw_data!P153)-1))/100,VALUE(raw_data!P153)),raw_data!P153))</f>
        <v>0</v>
      </c>
      <c r="X153" s="3" t="str">
        <f aca="false">IF(raw_data!P153="","Missing - Defaulted to 0",IF(W153&lt;0,"Negative - Invalid",IF(W153&gt;0.3,"Above Allowed Range - Invalid","Valid")))</f>
        <v>Valid</v>
      </c>
      <c r="Y153" s="7" t="n">
        <f aca="false">raw_data!Q153</f>
        <v>7718.22</v>
      </c>
      <c r="Z153" s="7" t="n">
        <f aca="false">raw_data!R153</f>
        <v>5355.93</v>
      </c>
      <c r="AA153" s="7" t="n">
        <f aca="false">raw_data!S153</f>
        <v>2362.29</v>
      </c>
      <c r="AB153" s="3" t="str">
        <f aca="false">PROPER(TRIM(raw_data!T153))</f>
        <v>Pending</v>
      </c>
      <c r="AC153" s="3" t="str">
        <f aca="false">PROPER(TRIM(raw_data!U153))</f>
        <v>Returned</v>
      </c>
      <c r="AD153" s="7" t="n">
        <f aca="false">T153*U153*(1-W153)</f>
        <v>7718.22</v>
      </c>
      <c r="AE153" s="7" t="n">
        <f aca="false">AD153-Z153</f>
        <v>2362.29</v>
      </c>
      <c r="AF153" s="8" t="n">
        <f aca="false">IF(AD153=0,0,AE153/AD153)</f>
        <v>0.306066683769056</v>
      </c>
      <c r="AG153" s="3" t="str">
        <f aca="false">IF(ABS(Y153-AD153)&gt;1,"Mismatch","OK")</f>
        <v>OK</v>
      </c>
      <c r="AH153" s="3" t="str">
        <f aca="false">IF(ABS(AA153-AE153)&gt;1,"Mismatch","OK")</f>
        <v>OK</v>
      </c>
      <c r="AI153" s="6" t="n">
        <f aca="false">IF(B153="","",MONTH(B153))</f>
        <v>6</v>
      </c>
      <c r="AJ153" s="6" t="n">
        <f aca="false">IF(B153="","",YEAR(B153))</f>
        <v>2024</v>
      </c>
      <c r="AK153" s="3" t="str">
        <f aca="false">IF(COUNTIF(raw_data!$A$2:$A$913,A153)&gt;1,"Conflicting Duplicate - Flagged for Review","Unique")</f>
        <v>Unique</v>
      </c>
      <c r="AL153" s="3" t="str">
        <f aca="false">IF(AB153="Refunded","Yes","No")</f>
        <v>No</v>
      </c>
      <c r="AM153" s="3" t="str">
        <f aca="false">IF(OR(AC153&lt;&gt;"Completed",AB153="Failed"),"Excluded","Included")</f>
        <v>Excluded</v>
      </c>
      <c r="AN153" s="3" t="str">
        <f aca="false">IF(OR(D153="Invalid/Unrecognized",E153="Invalid/Unrecognized",G153="Invalid - Ship Before Order",X153="Negative - Invalid",X153="Above Allowed Range - Invalid",AG153="Mismatch",AH153="Mismatch",AK153="Conflicting Duplicate - Flagged for Review"),"Invalid",IF(OR(L153="Filled - Unknown",S153="Filled - Unknown",X153="Missing - Defaulted to 0",AL153="Yes",AC153="Cancelled",AC153="Returned"),"Warning","Clean"))</f>
        <v>Warning</v>
      </c>
    </row>
    <row r="154" customFormat="false" ht="15" hidden="false" customHeight="false" outlineLevel="0" collapsed="false">
      <c r="A154" s="3" t="str">
        <f aca="false">raw_data!A154</f>
        <v>ORD-2024-10153</v>
      </c>
      <c r="B154" s="4" t="n">
        <f aca="false">IFERROR(IF(MID(raw_data!B154,3,1)="/",DATE(VALUE(RIGHT(raw_data!B154,4)),VALUE(LEFT(raw_data!B154,2)),VALUE(MID(raw_data!B154,4,2))),IF(MID(raw_data!B154,3,1)="-",DATE(VALUE(RIGHT(raw_data!B154,4)),VALUE(MID(raw_data!B154,4,2)),VALUE(LEFT(raw_data!B154,2))),IF(MID(raw_data!B154,5,1)="-",DATE(VALUE(LEFT(raw_data!B154,4)),VALUE(MID(raw_data!B154,6,2)),VALUE(RIGHT(raw_data!B154,2))),DATE(VALUE(RIGHT(raw_data!B154,4)),MATCH(MID(raw_data!B154,4,3),{"Jan","Feb","Mar","Apr","May","Jun","Jul","Aug","Sep","Oct","Nov","Dec"},0),VALUE(LEFT(raw_data!B154,2)))))),"")</f>
        <v>45457</v>
      </c>
      <c r="C154" s="4" t="n">
        <f aca="false">IFERROR(IF(MID(raw_data!C154,3,1)="/",DATE(VALUE(RIGHT(raw_data!C154,4)),VALUE(LEFT(raw_data!C154,2)),VALUE(MID(raw_data!C154,4,2))),IF(MID(raw_data!C154,3,1)="-",DATE(VALUE(RIGHT(raw_data!C154,4)),VALUE(MID(raw_data!C154,4,2)),VALUE(LEFT(raw_data!C154,2))),IF(MID(raw_data!C154,5,1)="-",DATE(VALUE(LEFT(raw_data!C154,4)),VALUE(MID(raw_data!C154,6,2)),VALUE(RIGHT(raw_data!C154,2))),DATE(VALUE(RIGHT(raw_data!C154,4)),MATCH(MID(raw_data!C154,4,3),{"Jan","Feb","Mar","Apr","May","Jun","Jul","Aug","Sep","Oct","Nov","Dec"},0),VALUE(LEFT(raw_data!C154,2)))))),"")</f>
        <v>45460</v>
      </c>
      <c r="D154" s="3" t="str">
        <f aca="false">IF(TRIM(raw_data!B154)="","Missing",IF(B154="","Invalid/Unrecognized","Valid"))</f>
        <v>Valid</v>
      </c>
      <c r="E154" s="3" t="str">
        <f aca="false">IF(TRIM(raw_data!C154)="","Missing",IF(C154="","Invalid/Unrecognized","Valid"))</f>
        <v>Valid</v>
      </c>
      <c r="F154" s="5" t="n">
        <f aca="false">IF(OR(B154="",C154=""),"",C154-B154)</f>
        <v>3</v>
      </c>
      <c r="G154" s="3" t="str">
        <f aca="false">IF(F154="","N/A",IF(F154&lt;0,"Invalid - Ship Before Order","OK"))</f>
        <v>OK</v>
      </c>
      <c r="H154" s="3" t="str">
        <f aca="false">raw_data!D154</f>
        <v>CUST-6160</v>
      </c>
      <c r="I154" s="3" t="str">
        <f aca="false">PROPER(TRIM(raw_data!E154))</f>
        <v>Kabir Singh</v>
      </c>
      <c r="J154" s="3" t="str">
        <f aca="false">PROPER(TRIM(raw_data!F154))</f>
        <v>Small Business</v>
      </c>
      <c r="K154" s="3" t="str">
        <f aca="false">IF(TRIM(raw_data!G154)="","Unknown",PROPER(TRIM(raw_data!G154)))</f>
        <v>South</v>
      </c>
      <c r="L154" s="3" t="str">
        <f aca="false">IF(TRIM(raw_data!G154)="","Filled - Unknown","OK")</f>
        <v>OK</v>
      </c>
      <c r="M154" s="3" t="str">
        <f aca="false">PROPER(TRIM(raw_data!H154))</f>
        <v>Kerala</v>
      </c>
      <c r="N154" s="3" t="str">
        <f aca="false">PROPER(TRIM(raw_data!I154))</f>
        <v>Kochi</v>
      </c>
      <c r="O154" s="3" t="str">
        <f aca="false">PROPER(TRIM(raw_data!J154))</f>
        <v>Furniture</v>
      </c>
      <c r="P154" s="3" t="str">
        <f aca="false">PROPER(TRIM(raw_data!K154))</f>
        <v>Tables</v>
      </c>
      <c r="Q154" s="3" t="str">
        <f aca="false">TRIM(raw_data!L154)</f>
        <v>Pro Tables 407</v>
      </c>
      <c r="R154" s="3" t="str">
        <f aca="false">IF(TRIM(raw_data!M154)="","Unknown",PROPER(TRIM(raw_data!M154)))</f>
        <v>Second Class</v>
      </c>
      <c r="S154" s="3" t="str">
        <f aca="false">IF(TRIM(raw_data!M154)="","Filled - Unknown","OK")</f>
        <v>OK</v>
      </c>
      <c r="T154" s="6" t="n">
        <f aca="false">raw_data!N154</f>
        <v>6</v>
      </c>
      <c r="U154" s="7" t="n">
        <f aca="false">raw_data!O154</f>
        <v>1088.04</v>
      </c>
      <c r="V154" s="8" t="n">
        <f aca="false">raw_data!P154</f>
        <v>0.1</v>
      </c>
      <c r="W154" s="8" t="n">
        <f aca="false">IF(raw_data!P154="",0,IF(ISTEXT(raw_data!P154),IF(RIGHT(raw_data!P154,1)="%",VALUE(LEFT(raw_data!P154,LEN(raw_data!P154)-1))/100,VALUE(raw_data!P154)),raw_data!P154))</f>
        <v>0.1</v>
      </c>
      <c r="X154" s="3" t="str">
        <f aca="false">IF(raw_data!P154="","Missing - Defaulted to 0",IF(W154&lt;0,"Negative - Invalid",IF(W154&gt;0.3,"Above Allowed Range - Invalid","Valid")))</f>
        <v>Valid</v>
      </c>
      <c r="Y154" s="7" t="n">
        <f aca="false">raw_data!Q154</f>
        <v>5875.42</v>
      </c>
      <c r="Z154" s="7" t="n">
        <f aca="false">raw_data!R154</f>
        <v>4380.55</v>
      </c>
      <c r="AA154" s="7" t="n">
        <f aca="false">raw_data!S154</f>
        <v>1494.87</v>
      </c>
      <c r="AB154" s="3" t="str">
        <f aca="false">PROPER(TRIM(raw_data!T154))</f>
        <v>Pending</v>
      </c>
      <c r="AC154" s="3" t="str">
        <f aca="false">PROPER(TRIM(raw_data!U154))</f>
        <v>Returned</v>
      </c>
      <c r="AD154" s="7" t="n">
        <f aca="false">T154*U154*(1-W154)</f>
        <v>5875.416</v>
      </c>
      <c r="AE154" s="7" t="n">
        <f aca="false">AD154-Z154</f>
        <v>1494.866</v>
      </c>
      <c r="AF154" s="8" t="n">
        <f aca="false">IF(AD154=0,0,AE154/AD154)</f>
        <v>0.254427260980329</v>
      </c>
      <c r="AG154" s="3" t="str">
        <f aca="false">IF(ABS(Y154-AD154)&gt;1,"Mismatch","OK")</f>
        <v>OK</v>
      </c>
      <c r="AH154" s="3" t="str">
        <f aca="false">IF(ABS(AA154-AE154)&gt;1,"Mismatch","OK")</f>
        <v>OK</v>
      </c>
      <c r="AI154" s="6" t="n">
        <f aca="false">IF(B154="","",MONTH(B154))</f>
        <v>6</v>
      </c>
      <c r="AJ154" s="6" t="n">
        <f aca="false">IF(B154="","",YEAR(B154))</f>
        <v>2024</v>
      </c>
      <c r="AK154" s="3" t="str">
        <f aca="false">IF(COUNTIF(raw_data!$A$2:$A$913,A154)&gt;1,"Conflicting Duplicate - Flagged for Review","Unique")</f>
        <v>Unique</v>
      </c>
      <c r="AL154" s="3" t="str">
        <f aca="false">IF(AB154="Refunded","Yes","No")</f>
        <v>No</v>
      </c>
      <c r="AM154" s="3" t="str">
        <f aca="false">IF(OR(AC154&lt;&gt;"Completed",AB154="Failed"),"Excluded","Included")</f>
        <v>Excluded</v>
      </c>
      <c r="AN154" s="3" t="str">
        <f aca="false">IF(OR(D154="Invalid/Unrecognized",E154="Invalid/Unrecognized",G154="Invalid - Ship Before Order",X154="Negative - Invalid",X154="Above Allowed Range - Invalid",AG154="Mismatch",AH154="Mismatch",AK154="Conflicting Duplicate - Flagged for Review"),"Invalid",IF(OR(L154="Filled - Unknown",S154="Filled - Unknown",X154="Missing - Defaulted to 0",AL154="Yes",AC154="Cancelled",AC154="Returned"),"Warning","Clean"))</f>
        <v>Warning</v>
      </c>
    </row>
    <row r="155" customFormat="false" ht="15" hidden="false" customHeight="false" outlineLevel="0" collapsed="false">
      <c r="A155" s="3" t="str">
        <f aca="false">raw_data!A155</f>
        <v>ORD-2025-10154</v>
      </c>
      <c r="B155" s="4" t="n">
        <f aca="false">IFERROR(IF(MID(raw_data!B155,3,1)="/",DATE(VALUE(RIGHT(raw_data!B155,4)),VALUE(LEFT(raw_data!B155,2)),VALUE(MID(raw_data!B155,4,2))),IF(MID(raw_data!B155,3,1)="-",DATE(VALUE(RIGHT(raw_data!B155,4)),VALUE(MID(raw_data!B155,4,2)),VALUE(LEFT(raw_data!B155,2))),IF(MID(raw_data!B155,5,1)="-",DATE(VALUE(LEFT(raw_data!B155,4)),VALUE(MID(raw_data!B155,6,2)),VALUE(RIGHT(raw_data!B155,2))),DATE(VALUE(RIGHT(raw_data!B155,4)),MATCH(MID(raw_data!B155,4,3),{"Jan","Feb","Mar","Apr","May","Jun","Jul","Aug","Sep","Oct","Nov","Dec"},0),VALUE(LEFT(raw_data!B155,2)))))),"")</f>
        <v>45923</v>
      </c>
      <c r="C155" s="4" t="n">
        <f aca="false">IFERROR(IF(MID(raw_data!C155,3,1)="/",DATE(VALUE(RIGHT(raw_data!C155,4)),VALUE(LEFT(raw_data!C155,2)),VALUE(MID(raw_data!C155,4,2))),IF(MID(raw_data!C155,3,1)="-",DATE(VALUE(RIGHT(raw_data!C155,4)),VALUE(MID(raw_data!C155,4,2)),VALUE(LEFT(raw_data!C155,2))),IF(MID(raw_data!C155,5,1)="-",DATE(VALUE(LEFT(raw_data!C155,4)),VALUE(MID(raw_data!C155,6,2)),VALUE(RIGHT(raw_data!C155,2))),DATE(VALUE(RIGHT(raw_data!C155,4)),MATCH(MID(raw_data!C155,4,3),{"Jan","Feb","Mar","Apr","May","Jun","Jul","Aug","Sep","Oct","Nov","Dec"},0),VALUE(LEFT(raw_data!C155,2)))))),"")</f>
        <v>45925</v>
      </c>
      <c r="D155" s="3" t="str">
        <f aca="false">IF(TRIM(raw_data!B155)="","Missing",IF(B155="","Invalid/Unrecognized","Valid"))</f>
        <v>Valid</v>
      </c>
      <c r="E155" s="3" t="str">
        <f aca="false">IF(TRIM(raw_data!C155)="","Missing",IF(C155="","Invalid/Unrecognized","Valid"))</f>
        <v>Valid</v>
      </c>
      <c r="F155" s="5" t="n">
        <f aca="false">IF(OR(B155="",C155=""),"",C155-B155)</f>
        <v>2</v>
      </c>
      <c r="G155" s="3" t="str">
        <f aca="false">IF(F155="","N/A",IF(F155&lt;0,"Invalid - Ship Before Order","OK"))</f>
        <v>OK</v>
      </c>
      <c r="H155" s="3" t="str">
        <f aca="false">raw_data!D155</f>
        <v>CUST-6971</v>
      </c>
      <c r="I155" s="3" t="str">
        <f aca="false">PROPER(TRIM(raw_data!E155))</f>
        <v>Aditi Sen</v>
      </c>
      <c r="J155" s="3" t="str">
        <f aca="false">PROPER(TRIM(raw_data!F155))</f>
        <v>Consumer</v>
      </c>
      <c r="K155" s="3" t="str">
        <f aca="false">IF(TRIM(raw_data!G155)="","Unknown",PROPER(TRIM(raw_data!G155)))</f>
        <v>East</v>
      </c>
      <c r="L155" s="3" t="str">
        <f aca="false">IF(TRIM(raw_data!G155)="","Filled - Unknown","OK")</f>
        <v>OK</v>
      </c>
      <c r="M155" s="3" t="str">
        <f aca="false">PROPER(TRIM(raw_data!H155))</f>
        <v>Odisha</v>
      </c>
      <c r="N155" s="3" t="str">
        <f aca="false">PROPER(TRIM(raw_data!I155))</f>
        <v>Bhubaneswar</v>
      </c>
      <c r="O155" s="3" t="str">
        <f aca="false">PROPER(TRIM(raw_data!J155))</f>
        <v>Office Supplies</v>
      </c>
      <c r="P155" s="3" t="str">
        <f aca="false">PROPER(TRIM(raw_data!K155))</f>
        <v>Labels</v>
      </c>
      <c r="Q155" s="3" t="str">
        <f aca="false">TRIM(raw_data!L155)</f>
        <v>Prime Labels 559</v>
      </c>
      <c r="R155" s="3" t="str">
        <f aca="false">IF(TRIM(raw_data!M155)="","Unknown",PROPER(TRIM(raw_data!M155)))</f>
        <v>Standard Class</v>
      </c>
      <c r="S155" s="3" t="str">
        <f aca="false">IF(TRIM(raw_data!M155)="","Filled - Unknown","OK")</f>
        <v>OK</v>
      </c>
      <c r="T155" s="6" t="n">
        <f aca="false">raw_data!N155</f>
        <v>7</v>
      </c>
      <c r="U155" s="7" t="n">
        <f aca="false">raw_data!O155</f>
        <v>3280.31</v>
      </c>
      <c r="V155" s="8" t="n">
        <f aca="false">raw_data!P155</f>
        <v>0</v>
      </c>
      <c r="W155" s="8" t="n">
        <f aca="false">IF(raw_data!P155="",0,IF(ISTEXT(raw_data!P155),IF(RIGHT(raw_data!P155,1)="%",VALUE(LEFT(raw_data!P155,LEN(raw_data!P155)-1))/100,VALUE(raw_data!P155)),raw_data!P155))</f>
        <v>0</v>
      </c>
      <c r="X155" s="3" t="str">
        <f aca="false">IF(raw_data!P155="","Missing - Defaulted to 0",IF(W155&lt;0,"Negative - Invalid",IF(W155&gt;0.3,"Above Allowed Range - Invalid","Valid")))</f>
        <v>Valid</v>
      </c>
      <c r="Y155" s="7" t="n">
        <f aca="false">raw_data!Q155</f>
        <v>22962.17</v>
      </c>
      <c r="Z155" s="7" t="n">
        <f aca="false">raw_data!R155</f>
        <v>15716.5</v>
      </c>
      <c r="AA155" s="7" t="n">
        <f aca="false">raw_data!S155</f>
        <v>7245.67</v>
      </c>
      <c r="AB155" s="3" t="str">
        <f aca="false">PROPER(TRIM(raw_data!T155))</f>
        <v>Refunded</v>
      </c>
      <c r="AC155" s="3" t="str">
        <f aca="false">PROPER(TRIM(raw_data!U155))</f>
        <v>Returned</v>
      </c>
      <c r="AD155" s="7" t="n">
        <f aca="false">T155*U155*(1-W155)</f>
        <v>22962.17</v>
      </c>
      <c r="AE155" s="7" t="n">
        <f aca="false">AD155-Z155</f>
        <v>7245.67</v>
      </c>
      <c r="AF155" s="8" t="n">
        <f aca="false">IF(AD155=0,0,AE155/AD155)</f>
        <v>0.315548138525235</v>
      </c>
      <c r="AG155" s="3" t="str">
        <f aca="false">IF(ABS(Y155-AD155)&gt;1,"Mismatch","OK")</f>
        <v>OK</v>
      </c>
      <c r="AH155" s="3" t="str">
        <f aca="false">IF(ABS(AA155-AE155)&gt;1,"Mismatch","OK")</f>
        <v>OK</v>
      </c>
      <c r="AI155" s="6" t="n">
        <f aca="false">IF(B155="","",MONTH(B155))</f>
        <v>9</v>
      </c>
      <c r="AJ155" s="6" t="n">
        <f aca="false">IF(B155="","",YEAR(B155))</f>
        <v>2025</v>
      </c>
      <c r="AK155" s="3" t="str">
        <f aca="false">IF(COUNTIF(raw_data!$A$2:$A$913,A155)&gt;1,"Conflicting Duplicate - Flagged for Review","Unique")</f>
        <v>Unique</v>
      </c>
      <c r="AL155" s="3" t="str">
        <f aca="false">IF(AB155="Refunded","Yes","No")</f>
        <v>Yes</v>
      </c>
      <c r="AM155" s="3" t="str">
        <f aca="false">IF(OR(AC155&lt;&gt;"Completed",AB155="Failed"),"Excluded","Included")</f>
        <v>Excluded</v>
      </c>
      <c r="AN155" s="3" t="str">
        <f aca="false">IF(OR(D155="Invalid/Unrecognized",E155="Invalid/Unrecognized",G155="Invalid - Ship Before Order",X155="Negative - Invalid",X155="Above Allowed Range - Invalid",AG155="Mismatch",AH155="Mismatch",AK155="Conflicting Duplicate - Flagged for Review"),"Invalid",IF(OR(L155="Filled - Unknown",S155="Filled - Unknown",X155="Missing - Defaulted to 0",AL155="Yes",AC155="Cancelled",AC155="Returned"),"Warning","Clean"))</f>
        <v>Warning</v>
      </c>
    </row>
    <row r="156" customFormat="false" ht="15" hidden="false" customHeight="false" outlineLevel="0" collapsed="false">
      <c r="A156" s="3" t="str">
        <f aca="false">raw_data!A156</f>
        <v>ORD-2024-10155</v>
      </c>
      <c r="B156" s="4" t="n">
        <f aca="false">IFERROR(IF(MID(raw_data!B156,3,1)="/",DATE(VALUE(RIGHT(raw_data!B156,4)),VALUE(LEFT(raw_data!B156,2)),VALUE(MID(raw_data!B156,4,2))),IF(MID(raw_data!B156,3,1)="-",DATE(VALUE(RIGHT(raw_data!B156,4)),VALUE(MID(raw_data!B156,4,2)),VALUE(LEFT(raw_data!B156,2))),IF(MID(raw_data!B156,5,1)="-",DATE(VALUE(LEFT(raw_data!B156,4)),VALUE(MID(raw_data!B156,6,2)),VALUE(RIGHT(raw_data!B156,2))),DATE(VALUE(RIGHT(raw_data!B156,4)),MATCH(MID(raw_data!B156,4,3),{"Jan","Feb","Mar","Apr","May","Jun","Jul","Aug","Sep","Oct","Nov","Dec"},0),VALUE(LEFT(raw_data!B156,2)))))),"")</f>
        <v>45334</v>
      </c>
      <c r="C156" s="4" t="n">
        <f aca="false">IFERROR(IF(MID(raw_data!C156,3,1)="/",DATE(VALUE(RIGHT(raw_data!C156,4)),VALUE(LEFT(raw_data!C156,2)),VALUE(MID(raw_data!C156,4,2))),IF(MID(raw_data!C156,3,1)="-",DATE(VALUE(RIGHT(raw_data!C156,4)),VALUE(MID(raw_data!C156,4,2)),VALUE(LEFT(raw_data!C156,2))),IF(MID(raw_data!C156,5,1)="-",DATE(VALUE(LEFT(raw_data!C156,4)),VALUE(MID(raw_data!C156,6,2)),VALUE(RIGHT(raw_data!C156,2))),DATE(VALUE(RIGHT(raw_data!C156,4)),MATCH(MID(raw_data!C156,4,3),{"Jan","Feb","Mar","Apr","May","Jun","Jul","Aug","Sep","Oct","Nov","Dec"},0),VALUE(LEFT(raw_data!C156,2)))))),"")</f>
        <v>45333</v>
      </c>
      <c r="D156" s="3" t="str">
        <f aca="false">IF(TRIM(raw_data!B156)="","Missing",IF(B156="","Invalid/Unrecognized","Valid"))</f>
        <v>Valid</v>
      </c>
      <c r="E156" s="3" t="str">
        <f aca="false">IF(TRIM(raw_data!C156)="","Missing",IF(C156="","Invalid/Unrecognized","Valid"))</f>
        <v>Valid</v>
      </c>
      <c r="F156" s="5" t="n">
        <f aca="false">IF(OR(B156="",C156=""),"",C156-B156)</f>
        <v>-1</v>
      </c>
      <c r="G156" s="3" t="str">
        <f aca="false">IF(F156="","N/A",IF(F156&lt;0,"Invalid - Ship Before Order","OK"))</f>
        <v>Invalid - Ship Before Order</v>
      </c>
      <c r="H156" s="3" t="str">
        <f aca="false">raw_data!D156</f>
        <v>CUST-7764</v>
      </c>
      <c r="I156" s="3" t="str">
        <f aca="false">PROPER(TRIM(raw_data!E156))</f>
        <v>Priya Menon</v>
      </c>
      <c r="J156" s="3" t="str">
        <f aca="false">PROPER(TRIM(raw_data!F156))</f>
        <v>Consumer</v>
      </c>
      <c r="K156" s="3" t="str">
        <f aca="false">IF(TRIM(raw_data!G156)="","Unknown",PROPER(TRIM(raw_data!G156)))</f>
        <v>South</v>
      </c>
      <c r="L156" s="3" t="str">
        <f aca="false">IF(TRIM(raw_data!G156)="","Filled - Unknown","OK")</f>
        <v>OK</v>
      </c>
      <c r="M156" s="3" t="str">
        <f aca="false">PROPER(TRIM(raw_data!H156))</f>
        <v>Tamil Nadu</v>
      </c>
      <c r="N156" s="3" t="str">
        <f aca="false">PROPER(TRIM(raw_data!I156))</f>
        <v>Chennai</v>
      </c>
      <c r="O156" s="3" t="str">
        <f aca="false">PROPER(TRIM(raw_data!J156))</f>
        <v>Furniture</v>
      </c>
      <c r="P156" s="3" t="str">
        <f aca="false">PROPER(TRIM(raw_data!K156))</f>
        <v>Bookcases</v>
      </c>
      <c r="Q156" s="3" t="str">
        <f aca="false">TRIM(raw_data!L156)</f>
        <v>Classic Bookcases 847</v>
      </c>
      <c r="R156" s="3" t="str">
        <f aca="false">IF(TRIM(raw_data!M156)="","Unknown",PROPER(TRIM(raw_data!M156)))</f>
        <v>Same Day</v>
      </c>
      <c r="S156" s="3" t="str">
        <f aca="false">IF(TRIM(raw_data!M156)="","Filled - Unknown","OK")</f>
        <v>OK</v>
      </c>
      <c r="T156" s="6" t="n">
        <f aca="false">raw_data!N156</f>
        <v>1</v>
      </c>
      <c r="U156" s="7" t="n">
        <f aca="false">raw_data!O156</f>
        <v>2599.12</v>
      </c>
      <c r="V156" s="8" t="n">
        <f aca="false">raw_data!P156</f>
        <v>0.15</v>
      </c>
      <c r="W156" s="8" t="n">
        <f aca="false">IF(raw_data!P156="",0,IF(ISTEXT(raw_data!P156),IF(RIGHT(raw_data!P156,1)="%",VALUE(LEFT(raw_data!P156,LEN(raw_data!P156)-1))/100,VALUE(raw_data!P156)),raw_data!P156))</f>
        <v>0.15</v>
      </c>
      <c r="X156" s="3" t="str">
        <f aca="false">IF(raw_data!P156="","Missing - Defaulted to 0",IF(W156&lt;0,"Negative - Invalid",IF(W156&gt;0.3,"Above Allowed Range - Invalid","Valid")))</f>
        <v>Valid</v>
      </c>
      <c r="Y156" s="7" t="n">
        <f aca="false">raw_data!Q156</f>
        <v>2209.25</v>
      </c>
      <c r="Z156" s="7" t="n">
        <f aca="false">raw_data!R156</f>
        <v>1523.78</v>
      </c>
      <c r="AA156" s="7" t="n">
        <f aca="false">raw_data!S156</f>
        <v>685.47</v>
      </c>
      <c r="AB156" s="3" t="str">
        <f aca="false">PROPER(TRIM(raw_data!T156))</f>
        <v>Paid</v>
      </c>
      <c r="AC156" s="3" t="str">
        <f aca="false">PROPER(TRIM(raw_data!U156))</f>
        <v>Completed</v>
      </c>
      <c r="AD156" s="7" t="n">
        <f aca="false">T156*U156*(1-W156)</f>
        <v>2209.252</v>
      </c>
      <c r="AE156" s="7" t="n">
        <f aca="false">AD156-Z156</f>
        <v>685.472</v>
      </c>
      <c r="AF156" s="8" t="n">
        <f aca="false">IF(AD156=0,0,AE156/AD156)</f>
        <v>0.310273341384324</v>
      </c>
      <c r="AG156" s="3" t="str">
        <f aca="false">IF(ABS(Y156-AD156)&gt;1,"Mismatch","OK")</f>
        <v>OK</v>
      </c>
      <c r="AH156" s="3" t="str">
        <f aca="false">IF(ABS(AA156-AE156)&gt;1,"Mismatch","OK")</f>
        <v>OK</v>
      </c>
      <c r="AI156" s="6" t="n">
        <f aca="false">IF(B156="","",MONTH(B156))</f>
        <v>2</v>
      </c>
      <c r="AJ156" s="6" t="n">
        <f aca="false">IF(B156="","",YEAR(B156))</f>
        <v>2024</v>
      </c>
      <c r="AK156" s="3" t="str">
        <f aca="false">IF(COUNTIF(raw_data!$A$2:$A$913,A156)&gt;1,"Conflicting Duplicate - Flagged for Review","Unique")</f>
        <v>Unique</v>
      </c>
      <c r="AL156" s="3" t="str">
        <f aca="false">IF(AB156="Refunded","Yes","No")</f>
        <v>No</v>
      </c>
      <c r="AM156" s="3" t="str">
        <f aca="false">IF(OR(AC156&lt;&gt;"Completed",AB156="Failed"),"Excluded","Included")</f>
        <v>Included</v>
      </c>
      <c r="AN156" s="3" t="str">
        <f aca="false">IF(OR(D156="Invalid/Unrecognized",E156="Invalid/Unrecognized",G156="Invalid - Ship Before Order",X156="Negative - Invalid",X156="Above Allowed Range - Invalid",AG156="Mismatch",AH156="Mismatch",AK156="Conflicting Duplicate - Flagged for Review"),"Invalid",IF(OR(L156="Filled - Unknown",S156="Filled - Unknown",X156="Missing - Defaulted to 0",AL156="Yes",AC156="Cancelled",AC156="Returned"),"Warning","Clean"))</f>
        <v>Invalid</v>
      </c>
    </row>
    <row r="157" customFormat="false" ht="15" hidden="false" customHeight="false" outlineLevel="0" collapsed="false">
      <c r="A157" s="3" t="str">
        <f aca="false">raw_data!A157</f>
        <v>ORD-2025-10156</v>
      </c>
      <c r="B157" s="4" t="n">
        <f aca="false">IFERROR(IF(MID(raw_data!B157,3,1)="/",DATE(VALUE(RIGHT(raw_data!B157,4)),VALUE(LEFT(raw_data!B157,2)),VALUE(MID(raw_data!B157,4,2))),IF(MID(raw_data!B157,3,1)="-",DATE(VALUE(RIGHT(raw_data!B157,4)),VALUE(MID(raw_data!B157,4,2)),VALUE(LEFT(raw_data!B157,2))),IF(MID(raw_data!B157,5,1)="-",DATE(VALUE(LEFT(raw_data!B157,4)),VALUE(MID(raw_data!B157,6,2)),VALUE(RIGHT(raw_data!B157,2))),DATE(VALUE(RIGHT(raw_data!B157,4)),MATCH(MID(raw_data!B157,4,3),{"Jan","Feb","Mar","Apr","May","Jun","Jul","Aug","Sep","Oct","Nov","Dec"},0),VALUE(LEFT(raw_data!B157,2)))))),"")</f>
        <v>45683</v>
      </c>
      <c r="C157" s="4" t="n">
        <f aca="false">IFERROR(IF(MID(raw_data!C157,3,1)="/",DATE(VALUE(RIGHT(raw_data!C157,4)),VALUE(LEFT(raw_data!C157,2)),VALUE(MID(raw_data!C157,4,2))),IF(MID(raw_data!C157,3,1)="-",DATE(VALUE(RIGHT(raw_data!C157,4)),VALUE(MID(raw_data!C157,4,2)),VALUE(LEFT(raw_data!C157,2))),IF(MID(raw_data!C157,5,1)="-",DATE(VALUE(LEFT(raw_data!C157,4)),VALUE(MID(raw_data!C157,6,2)),VALUE(RIGHT(raw_data!C157,2))),DATE(VALUE(RIGHT(raw_data!C157,4)),MATCH(MID(raw_data!C157,4,3),{"Jan","Feb","Mar","Apr","May","Jun","Jul","Aug","Sep","Oct","Nov","Dec"},0),VALUE(LEFT(raw_data!C157,2)))))),"")</f>
        <v>45691</v>
      </c>
      <c r="D157" s="3" t="str">
        <f aca="false">IF(TRIM(raw_data!B157)="","Missing",IF(B157="","Invalid/Unrecognized","Valid"))</f>
        <v>Valid</v>
      </c>
      <c r="E157" s="3" t="str">
        <f aca="false">IF(TRIM(raw_data!C157)="","Missing",IF(C157="","Invalid/Unrecognized","Valid"))</f>
        <v>Valid</v>
      </c>
      <c r="F157" s="5" t="n">
        <f aca="false">IF(OR(B157="",C157=""),"",C157-B157)</f>
        <v>8</v>
      </c>
      <c r="G157" s="3" t="str">
        <f aca="false">IF(F157="","N/A",IF(F157&lt;0,"Invalid - Ship Before Order","OK"))</f>
        <v>OK</v>
      </c>
      <c r="H157" s="3" t="str">
        <f aca="false">raw_data!D157</f>
        <v>CUST-8327</v>
      </c>
      <c r="I157" s="3" t="str">
        <f aca="false">PROPER(TRIM(raw_data!E157))</f>
        <v>Karan Malhotra</v>
      </c>
      <c r="J157" s="3" t="str">
        <f aca="false">PROPER(TRIM(raw_data!F157))</f>
        <v>Corporate</v>
      </c>
      <c r="K157" s="3" t="str">
        <f aca="false">IF(TRIM(raw_data!G157)="","Unknown",PROPER(TRIM(raw_data!G157)))</f>
        <v>West</v>
      </c>
      <c r="L157" s="3" t="str">
        <f aca="false">IF(TRIM(raw_data!G157)="","Filled - Unknown","OK")</f>
        <v>OK</v>
      </c>
      <c r="M157" s="3" t="str">
        <f aca="false">PROPER(TRIM(raw_data!H157))</f>
        <v>Rajasthan</v>
      </c>
      <c r="N157" s="3" t="str">
        <f aca="false">PROPER(TRIM(raw_data!I157))</f>
        <v>Udaipur</v>
      </c>
      <c r="O157" s="3" t="str">
        <f aca="false">PROPER(TRIM(raw_data!J157))</f>
        <v>Furniture</v>
      </c>
      <c r="P157" s="3" t="str">
        <f aca="false">PROPER(TRIM(raw_data!K157))</f>
        <v>Furnishings</v>
      </c>
      <c r="Q157" s="3" t="str">
        <f aca="false">TRIM(raw_data!L157)</f>
        <v>Classic Furnishings 655</v>
      </c>
      <c r="R157" s="3" t="str">
        <f aca="false">IF(TRIM(raw_data!M157)="","Unknown",PROPER(TRIM(raw_data!M157)))</f>
        <v>Same Day</v>
      </c>
      <c r="S157" s="3" t="str">
        <f aca="false">IF(TRIM(raw_data!M157)="","Filled - Unknown","OK")</f>
        <v>OK</v>
      </c>
      <c r="T157" s="6" t="n">
        <f aca="false">raw_data!N157</f>
        <v>3</v>
      </c>
      <c r="U157" s="7" t="n">
        <f aca="false">raw_data!O157</f>
        <v>2859.32</v>
      </c>
      <c r="V157" s="8" t="n">
        <f aca="false">raw_data!P157</f>
        <v>0.1</v>
      </c>
      <c r="W157" s="8" t="n">
        <f aca="false">IF(raw_data!P157="",0,IF(ISTEXT(raw_data!P157),IF(RIGHT(raw_data!P157,1)="%",VALUE(LEFT(raw_data!P157,LEN(raw_data!P157)-1))/100,VALUE(raw_data!P157)),raw_data!P157))</f>
        <v>0.1</v>
      </c>
      <c r="X157" s="3" t="str">
        <f aca="false">IF(raw_data!P157="","Missing - Defaulted to 0",IF(W157&lt;0,"Negative - Invalid",IF(W157&gt;0.3,"Above Allowed Range - Invalid","Valid")))</f>
        <v>Valid</v>
      </c>
      <c r="Y157" s="7" t="n">
        <f aca="false">raw_data!Q157</f>
        <v>7720.16</v>
      </c>
      <c r="Z157" s="7" t="n">
        <f aca="false">raw_data!R157</f>
        <v>5881</v>
      </c>
      <c r="AA157" s="7" t="n">
        <f aca="false">raw_data!S157</f>
        <v>1839.16</v>
      </c>
      <c r="AB157" s="3" t="str">
        <f aca="false">PROPER(TRIM(raw_data!T157))</f>
        <v>Refunded</v>
      </c>
      <c r="AC157" s="3" t="str">
        <f aca="false">PROPER(TRIM(raw_data!U157))</f>
        <v>Returned</v>
      </c>
      <c r="AD157" s="7" t="n">
        <f aca="false">T157*U157*(1-W157)</f>
        <v>7720.164</v>
      </c>
      <c r="AE157" s="7" t="n">
        <f aca="false">AD157-Z157</f>
        <v>1839.164</v>
      </c>
      <c r="AF157" s="8" t="n">
        <f aca="false">IF(AD157=0,0,AE157/AD157)</f>
        <v>0.238228617941277</v>
      </c>
      <c r="AG157" s="3" t="str">
        <f aca="false">IF(ABS(Y157-AD157)&gt;1,"Mismatch","OK")</f>
        <v>OK</v>
      </c>
      <c r="AH157" s="3" t="str">
        <f aca="false">IF(ABS(AA157-AE157)&gt;1,"Mismatch","OK")</f>
        <v>OK</v>
      </c>
      <c r="AI157" s="6" t="n">
        <f aca="false">IF(B157="","",MONTH(B157))</f>
        <v>1</v>
      </c>
      <c r="AJ157" s="6" t="n">
        <f aca="false">IF(B157="","",YEAR(B157))</f>
        <v>2025</v>
      </c>
      <c r="AK157" s="3" t="str">
        <f aca="false">IF(COUNTIF(raw_data!$A$2:$A$913,A157)&gt;1,"Conflicting Duplicate - Flagged for Review","Unique")</f>
        <v>Unique</v>
      </c>
      <c r="AL157" s="3" t="str">
        <f aca="false">IF(AB157="Refunded","Yes","No")</f>
        <v>Yes</v>
      </c>
      <c r="AM157" s="3" t="str">
        <f aca="false">IF(OR(AC157&lt;&gt;"Completed",AB157="Failed"),"Excluded","Included")</f>
        <v>Excluded</v>
      </c>
      <c r="AN157" s="3" t="str">
        <f aca="false">IF(OR(D157="Invalid/Unrecognized",E157="Invalid/Unrecognized",G157="Invalid - Ship Before Order",X157="Negative - Invalid",X157="Above Allowed Range - Invalid",AG157="Mismatch",AH157="Mismatch",AK157="Conflicting Duplicate - Flagged for Review"),"Invalid",IF(OR(L157="Filled - Unknown",S157="Filled - Unknown",X157="Missing - Defaulted to 0",AL157="Yes",AC157="Cancelled",AC157="Returned"),"Warning","Clean"))</f>
        <v>Warning</v>
      </c>
    </row>
    <row r="158" customFormat="false" ht="15" hidden="false" customHeight="false" outlineLevel="0" collapsed="false">
      <c r="A158" s="3" t="str">
        <f aca="false">raw_data!A158</f>
        <v>ORD-2025-10157</v>
      </c>
      <c r="B158" s="4" t="n">
        <f aca="false">IFERROR(IF(MID(raw_data!B158,3,1)="/",DATE(VALUE(RIGHT(raw_data!B158,4)),VALUE(LEFT(raw_data!B158,2)),VALUE(MID(raw_data!B158,4,2))),IF(MID(raw_data!B158,3,1)="-",DATE(VALUE(RIGHT(raw_data!B158,4)),VALUE(MID(raw_data!B158,4,2)),VALUE(LEFT(raw_data!B158,2))),IF(MID(raw_data!B158,5,1)="-",DATE(VALUE(LEFT(raw_data!B158,4)),VALUE(MID(raw_data!B158,6,2)),VALUE(RIGHT(raw_data!B158,2))),DATE(VALUE(RIGHT(raw_data!B158,4)),MATCH(MID(raw_data!B158,4,3),{"Jan","Feb","Mar","Apr","May","Jun","Jul","Aug","Sep","Oct","Nov","Dec"},0),VALUE(LEFT(raw_data!B158,2)))))),"")</f>
        <v>45743</v>
      </c>
      <c r="C158" s="4" t="n">
        <f aca="false">IFERROR(IF(MID(raw_data!C158,3,1)="/",DATE(VALUE(RIGHT(raw_data!C158,4)),VALUE(LEFT(raw_data!C158,2)),VALUE(MID(raw_data!C158,4,2))),IF(MID(raw_data!C158,3,1)="-",DATE(VALUE(RIGHT(raw_data!C158,4)),VALUE(MID(raw_data!C158,4,2)),VALUE(LEFT(raw_data!C158,2))),IF(MID(raw_data!C158,5,1)="-",DATE(VALUE(LEFT(raw_data!C158,4)),VALUE(MID(raw_data!C158,6,2)),VALUE(RIGHT(raw_data!C158,2))),DATE(VALUE(RIGHT(raw_data!C158,4)),MATCH(MID(raw_data!C158,4,3),{"Jan","Feb","Mar","Apr","May","Jun","Jul","Aug","Sep","Oct","Nov","Dec"},0),VALUE(LEFT(raw_data!C158,2)))))),"")</f>
        <v>45743</v>
      </c>
      <c r="D158" s="3" t="str">
        <f aca="false">IF(TRIM(raw_data!B158)="","Missing",IF(B158="","Invalid/Unrecognized","Valid"))</f>
        <v>Valid</v>
      </c>
      <c r="E158" s="3" t="str">
        <f aca="false">IF(TRIM(raw_data!C158)="","Missing",IF(C158="","Invalid/Unrecognized","Valid"))</f>
        <v>Valid</v>
      </c>
      <c r="F158" s="5" t="n">
        <f aca="false">IF(OR(B158="",C158=""),"",C158-B158)</f>
        <v>0</v>
      </c>
      <c r="G158" s="3" t="str">
        <f aca="false">IF(F158="","N/A",IF(F158&lt;0,"Invalid - Ship Before Order","OK"))</f>
        <v>OK</v>
      </c>
      <c r="H158" s="3" t="str">
        <f aca="false">raw_data!D158</f>
        <v>CUST-4058</v>
      </c>
      <c r="I158" s="3" t="str">
        <f aca="false">PROPER(TRIM(raw_data!E158))</f>
        <v>Vikram Iyer</v>
      </c>
      <c r="J158" s="3" t="str">
        <f aca="false">PROPER(TRIM(raw_data!F158))</f>
        <v>Small Business</v>
      </c>
      <c r="K158" s="3" t="str">
        <f aca="false">IF(TRIM(raw_data!G158)="","Unknown",PROPER(TRIM(raw_data!G158)))</f>
        <v>East</v>
      </c>
      <c r="L158" s="3" t="str">
        <f aca="false">IF(TRIM(raw_data!G158)="","Filled - Unknown","OK")</f>
        <v>OK</v>
      </c>
      <c r="M158" s="3" t="str">
        <f aca="false">PROPER(TRIM(raw_data!H158))</f>
        <v>Bihar</v>
      </c>
      <c r="N158" s="3" t="str">
        <f aca="false">PROPER(TRIM(raw_data!I158))</f>
        <v>Patna</v>
      </c>
      <c r="O158" s="3" t="str">
        <f aca="false">PROPER(TRIM(raw_data!J158))</f>
        <v>Technology</v>
      </c>
      <c r="P158" s="3" t="str">
        <f aca="false">PROPER(TRIM(raw_data!K158))</f>
        <v>Machines</v>
      </c>
      <c r="Q158" s="3" t="str">
        <f aca="false">TRIM(raw_data!L158)</f>
        <v>Eco Machines 657</v>
      </c>
      <c r="R158" s="3" t="str">
        <f aca="false">IF(TRIM(raw_data!M158)="","Unknown",PROPER(TRIM(raw_data!M158)))</f>
        <v>Second Class</v>
      </c>
      <c r="S158" s="3" t="str">
        <f aca="false">IF(TRIM(raw_data!M158)="","Filled - Unknown","OK")</f>
        <v>OK</v>
      </c>
      <c r="T158" s="6" t="n">
        <f aca="false">raw_data!N158</f>
        <v>7</v>
      </c>
      <c r="U158" s="7" t="n">
        <f aca="false">raw_data!O158</f>
        <v>2305.37</v>
      </c>
      <c r="V158" s="8" t="n">
        <f aca="false">raw_data!P158</f>
        <v>0.25</v>
      </c>
      <c r="W158" s="8" t="n">
        <f aca="false">IF(raw_data!P158="",0,IF(ISTEXT(raw_data!P158),IF(RIGHT(raw_data!P158,1)="%",VALUE(LEFT(raw_data!P158,LEN(raw_data!P158)-1))/100,VALUE(raw_data!P158)),raw_data!P158))</f>
        <v>0.25</v>
      </c>
      <c r="X158" s="3" t="str">
        <f aca="false">IF(raw_data!P158="","Missing - Defaulted to 0",IF(W158&lt;0,"Negative - Invalid",IF(W158&gt;0.3,"Above Allowed Range - Invalid","Valid")))</f>
        <v>Valid</v>
      </c>
      <c r="Y158" s="7" t="n">
        <f aca="false">raw_data!Q158</f>
        <v>12103.19</v>
      </c>
      <c r="Z158" s="7" t="n">
        <f aca="false">raw_data!R158</f>
        <v>6717.87</v>
      </c>
      <c r="AA158" s="7" t="n">
        <f aca="false">raw_data!S158</f>
        <v>5385.32</v>
      </c>
      <c r="AB158" s="3" t="str">
        <f aca="false">PROPER(TRIM(raw_data!T158))</f>
        <v>Paid</v>
      </c>
      <c r="AC158" s="3" t="str">
        <f aca="false">PROPER(TRIM(raw_data!U158))</f>
        <v>Completed</v>
      </c>
      <c r="AD158" s="7" t="n">
        <f aca="false">T158*U158*(1-W158)</f>
        <v>12103.1925</v>
      </c>
      <c r="AE158" s="7" t="n">
        <f aca="false">AD158-Z158</f>
        <v>5385.3225</v>
      </c>
      <c r="AF158" s="8" t="n">
        <f aca="false">IF(AD158=0,0,AE158/AD158)</f>
        <v>0.44495057812226</v>
      </c>
      <c r="AG158" s="3" t="str">
        <f aca="false">IF(ABS(Y158-AD158)&gt;1,"Mismatch","OK")</f>
        <v>OK</v>
      </c>
      <c r="AH158" s="3" t="str">
        <f aca="false">IF(ABS(AA158-AE158)&gt;1,"Mismatch","OK")</f>
        <v>OK</v>
      </c>
      <c r="AI158" s="6" t="n">
        <f aca="false">IF(B158="","",MONTH(B158))</f>
        <v>3</v>
      </c>
      <c r="AJ158" s="6" t="n">
        <f aca="false">IF(B158="","",YEAR(B158))</f>
        <v>2025</v>
      </c>
      <c r="AK158" s="3" t="str">
        <f aca="false">IF(COUNTIF(raw_data!$A$2:$A$913,A158)&gt;1,"Conflicting Duplicate - Flagged for Review","Unique")</f>
        <v>Unique</v>
      </c>
      <c r="AL158" s="3" t="str">
        <f aca="false">IF(AB158="Refunded","Yes","No")</f>
        <v>No</v>
      </c>
      <c r="AM158" s="3" t="str">
        <f aca="false">IF(OR(AC158&lt;&gt;"Completed",AB158="Failed"),"Excluded","Included")</f>
        <v>Included</v>
      </c>
      <c r="AN158" s="3" t="str">
        <f aca="false">IF(OR(D158="Invalid/Unrecognized",E158="Invalid/Unrecognized",G158="Invalid - Ship Before Order",X158="Negative - Invalid",X158="Above Allowed Range - Invalid",AG158="Mismatch",AH158="Mismatch",AK158="Conflicting Duplicate - Flagged for Review"),"Invalid",IF(OR(L158="Filled - Unknown",S158="Filled - Unknown",X158="Missing - Defaulted to 0",AL158="Yes",AC158="Cancelled",AC158="Returned"),"Warning","Clean"))</f>
        <v>Clean</v>
      </c>
    </row>
    <row r="159" customFormat="false" ht="15" hidden="false" customHeight="false" outlineLevel="0" collapsed="false">
      <c r="A159" s="3" t="str">
        <f aca="false">raw_data!A159</f>
        <v>ORD-2024-10158</v>
      </c>
      <c r="B159" s="4" t="n">
        <f aca="false">IFERROR(IF(MID(raw_data!B159,3,1)="/",DATE(VALUE(RIGHT(raw_data!B159,4)),VALUE(LEFT(raw_data!B159,2)),VALUE(MID(raw_data!B159,4,2))),IF(MID(raw_data!B159,3,1)="-",DATE(VALUE(RIGHT(raw_data!B159,4)),VALUE(MID(raw_data!B159,4,2)),VALUE(LEFT(raw_data!B159,2))),IF(MID(raw_data!B159,5,1)="-",DATE(VALUE(LEFT(raw_data!B159,4)),VALUE(MID(raw_data!B159,6,2)),VALUE(RIGHT(raw_data!B159,2))),DATE(VALUE(RIGHT(raw_data!B159,4)),MATCH(MID(raw_data!B159,4,3),{"Jan","Feb","Mar","Apr","May","Jun","Jul","Aug","Sep","Oct","Nov","Dec"},0),VALUE(LEFT(raw_data!B159,2)))))),"")</f>
        <v>45587</v>
      </c>
      <c r="C159" s="4" t="n">
        <f aca="false">IFERROR(IF(MID(raw_data!C159,3,1)="/",DATE(VALUE(RIGHT(raw_data!C159,4)),VALUE(LEFT(raw_data!C159,2)),VALUE(MID(raw_data!C159,4,2))),IF(MID(raw_data!C159,3,1)="-",DATE(VALUE(RIGHT(raw_data!C159,4)),VALUE(MID(raw_data!C159,4,2)),VALUE(LEFT(raw_data!C159,2))),IF(MID(raw_data!C159,5,1)="-",DATE(VALUE(LEFT(raw_data!C159,4)),VALUE(MID(raw_data!C159,6,2)),VALUE(RIGHT(raw_data!C159,2))),DATE(VALUE(RIGHT(raw_data!C159,4)),MATCH(MID(raw_data!C159,4,3),{"Jan","Feb","Mar","Apr","May","Jun","Jul","Aug","Sep","Oct","Nov","Dec"},0),VALUE(LEFT(raw_data!C159,2)))))),"")</f>
        <v>45589</v>
      </c>
      <c r="D159" s="3" t="str">
        <f aca="false">IF(TRIM(raw_data!B159)="","Missing",IF(B159="","Invalid/Unrecognized","Valid"))</f>
        <v>Valid</v>
      </c>
      <c r="E159" s="3" t="str">
        <f aca="false">IF(TRIM(raw_data!C159)="","Missing",IF(C159="","Invalid/Unrecognized","Valid"))</f>
        <v>Valid</v>
      </c>
      <c r="F159" s="5" t="n">
        <f aca="false">IF(OR(B159="",C159=""),"",C159-B159)</f>
        <v>2</v>
      </c>
      <c r="G159" s="3" t="str">
        <f aca="false">IF(F159="","N/A",IF(F159&lt;0,"Invalid - Ship Before Order","OK"))</f>
        <v>OK</v>
      </c>
      <c r="H159" s="3" t="str">
        <f aca="false">raw_data!D159</f>
        <v>CUST-1142</v>
      </c>
      <c r="I159" s="3" t="str">
        <f aca="false">PROPER(TRIM(raw_data!E159))</f>
        <v>Rohan Mehta</v>
      </c>
      <c r="J159" s="3" t="str">
        <f aca="false">PROPER(TRIM(raw_data!F159))</f>
        <v>Small Business</v>
      </c>
      <c r="K159" s="3" t="str">
        <f aca="false">IF(TRIM(raw_data!G159)="","Unknown",PROPER(TRIM(raw_data!G159)))</f>
        <v>South</v>
      </c>
      <c r="L159" s="3" t="str">
        <f aca="false">IF(TRIM(raw_data!G159)="","Filled - Unknown","OK")</f>
        <v>OK</v>
      </c>
      <c r="M159" s="3" t="str">
        <f aca="false">PROPER(TRIM(raw_data!H159))</f>
        <v>Andhra Pradesh</v>
      </c>
      <c r="N159" s="3" t="str">
        <f aca="false">PROPER(TRIM(raw_data!I159))</f>
        <v>Vijayawada</v>
      </c>
      <c r="O159" s="3" t="str">
        <f aca="false">PROPER(TRIM(raw_data!J159))</f>
        <v>Furniture</v>
      </c>
      <c r="P159" s="3" t="str">
        <f aca="false">PROPER(TRIM(raw_data!K159))</f>
        <v>Bookcases</v>
      </c>
      <c r="Q159" s="3" t="str">
        <f aca="false">TRIM(raw_data!L159)</f>
        <v>Pro Bookcases 430</v>
      </c>
      <c r="R159" s="3" t="str">
        <f aca="false">IF(TRIM(raw_data!M159)="","Unknown",PROPER(TRIM(raw_data!M159)))</f>
        <v>Standard Class</v>
      </c>
      <c r="S159" s="3" t="str">
        <f aca="false">IF(TRIM(raw_data!M159)="","Filled - Unknown","OK")</f>
        <v>OK</v>
      </c>
      <c r="T159" s="6" t="n">
        <f aca="false">raw_data!N159</f>
        <v>3</v>
      </c>
      <c r="U159" s="7" t="n">
        <f aca="false">raw_data!O159</f>
        <v>915.84</v>
      </c>
      <c r="V159" s="8" t="n">
        <f aca="false">raw_data!P159</f>
        <v>0.15</v>
      </c>
      <c r="W159" s="8" t="n">
        <f aca="false">IF(raw_data!P159="",0,IF(ISTEXT(raw_data!P159),IF(RIGHT(raw_data!P159,1)="%",VALUE(LEFT(raw_data!P159,LEN(raw_data!P159)-1))/100,VALUE(raw_data!P159)),raw_data!P159))</f>
        <v>0.15</v>
      </c>
      <c r="X159" s="3" t="str">
        <f aca="false">IF(raw_data!P159="","Missing - Defaulted to 0",IF(W159&lt;0,"Negative - Invalid",IF(W159&gt;0.3,"Above Allowed Range - Invalid","Valid")))</f>
        <v>Valid</v>
      </c>
      <c r="Y159" s="7" t="n">
        <f aca="false">raw_data!Q159</f>
        <v>2335.39</v>
      </c>
      <c r="Z159" s="7" t="n">
        <f aca="false">raw_data!R159</f>
        <v>1466.15</v>
      </c>
      <c r="AA159" s="7" t="n">
        <f aca="false">raw_data!S159</f>
        <v>869.24</v>
      </c>
      <c r="AB159" s="3" t="str">
        <f aca="false">PROPER(TRIM(raw_data!T159))</f>
        <v>Paid</v>
      </c>
      <c r="AC159" s="3" t="str">
        <f aca="false">PROPER(TRIM(raw_data!U159))</f>
        <v>Completed</v>
      </c>
      <c r="AD159" s="7" t="n">
        <f aca="false">T159*U159*(1-W159)</f>
        <v>2335.392</v>
      </c>
      <c r="AE159" s="7" t="n">
        <f aca="false">AD159-Z159</f>
        <v>869.242</v>
      </c>
      <c r="AF159" s="8" t="n">
        <f aca="false">IF(AD159=0,0,AE159/AD159)</f>
        <v>0.372203895534454</v>
      </c>
      <c r="AG159" s="3" t="str">
        <f aca="false">IF(ABS(Y159-AD159)&gt;1,"Mismatch","OK")</f>
        <v>OK</v>
      </c>
      <c r="AH159" s="3" t="str">
        <f aca="false">IF(ABS(AA159-AE159)&gt;1,"Mismatch","OK")</f>
        <v>OK</v>
      </c>
      <c r="AI159" s="6" t="n">
        <f aca="false">IF(B159="","",MONTH(B159))</f>
        <v>10</v>
      </c>
      <c r="AJ159" s="6" t="n">
        <f aca="false">IF(B159="","",YEAR(B159))</f>
        <v>2024</v>
      </c>
      <c r="AK159" s="3" t="str">
        <f aca="false">IF(COUNTIF(raw_data!$A$2:$A$913,A159)&gt;1,"Conflicting Duplicate - Flagged for Review","Unique")</f>
        <v>Unique</v>
      </c>
      <c r="AL159" s="3" t="str">
        <f aca="false">IF(AB159="Refunded","Yes","No")</f>
        <v>No</v>
      </c>
      <c r="AM159" s="3" t="str">
        <f aca="false">IF(OR(AC159&lt;&gt;"Completed",AB159="Failed"),"Excluded","Included")</f>
        <v>Included</v>
      </c>
      <c r="AN159" s="3" t="str">
        <f aca="false">IF(OR(D159="Invalid/Unrecognized",E159="Invalid/Unrecognized",G159="Invalid - Ship Before Order",X159="Negative - Invalid",X159="Above Allowed Range - Invalid",AG159="Mismatch",AH159="Mismatch",AK159="Conflicting Duplicate - Flagged for Review"),"Invalid",IF(OR(L159="Filled - Unknown",S159="Filled - Unknown",X159="Missing - Defaulted to 0",AL159="Yes",AC159="Cancelled",AC159="Returned"),"Warning","Clean"))</f>
        <v>Clean</v>
      </c>
    </row>
    <row r="160" customFormat="false" ht="15" hidden="false" customHeight="false" outlineLevel="0" collapsed="false">
      <c r="A160" s="3" t="str">
        <f aca="false">raw_data!A160</f>
        <v>ORD-2024-10159</v>
      </c>
      <c r="B160" s="4" t="n">
        <f aca="false">IFERROR(IF(MID(raw_data!B160,3,1)="/",DATE(VALUE(RIGHT(raw_data!B160,4)),VALUE(LEFT(raw_data!B160,2)),VALUE(MID(raw_data!B160,4,2))),IF(MID(raw_data!B160,3,1)="-",DATE(VALUE(RIGHT(raw_data!B160,4)),VALUE(MID(raw_data!B160,4,2)),VALUE(LEFT(raw_data!B160,2))),IF(MID(raw_data!B160,5,1)="-",DATE(VALUE(LEFT(raw_data!B160,4)),VALUE(MID(raw_data!B160,6,2)),VALUE(RIGHT(raw_data!B160,2))),DATE(VALUE(RIGHT(raw_data!B160,4)),MATCH(MID(raw_data!B160,4,3),{"Jan","Feb","Mar","Apr","May","Jun","Jul","Aug","Sep","Oct","Nov","Dec"},0),VALUE(LEFT(raw_data!B160,2)))))),"")</f>
        <v>45544</v>
      </c>
      <c r="C160" s="4" t="n">
        <f aca="false">IFERROR(IF(MID(raw_data!C160,3,1)="/",DATE(VALUE(RIGHT(raw_data!C160,4)),VALUE(LEFT(raw_data!C160,2)),VALUE(MID(raw_data!C160,4,2))),IF(MID(raw_data!C160,3,1)="-",DATE(VALUE(RIGHT(raw_data!C160,4)),VALUE(MID(raw_data!C160,4,2)),VALUE(LEFT(raw_data!C160,2))),IF(MID(raw_data!C160,5,1)="-",DATE(VALUE(LEFT(raw_data!C160,4)),VALUE(MID(raw_data!C160,6,2)),VALUE(RIGHT(raw_data!C160,2))),DATE(VALUE(RIGHT(raw_data!C160,4)),MATCH(MID(raw_data!C160,4,3),{"Jan","Feb","Mar","Apr","May","Jun","Jul","Aug","Sep","Oct","Nov","Dec"},0),VALUE(LEFT(raw_data!C160,2)))))),"")</f>
        <v>45546</v>
      </c>
      <c r="D160" s="3" t="str">
        <f aca="false">IF(TRIM(raw_data!B160)="","Missing",IF(B160="","Invalid/Unrecognized","Valid"))</f>
        <v>Valid</v>
      </c>
      <c r="E160" s="3" t="str">
        <f aca="false">IF(TRIM(raw_data!C160)="","Missing",IF(C160="","Invalid/Unrecognized","Valid"))</f>
        <v>Valid</v>
      </c>
      <c r="F160" s="5" t="n">
        <f aca="false">IF(OR(B160="",C160=""),"",C160-B160)</f>
        <v>2</v>
      </c>
      <c r="G160" s="3" t="str">
        <f aca="false">IF(F160="","N/A",IF(F160&lt;0,"Invalid - Ship Before Order","OK"))</f>
        <v>OK</v>
      </c>
      <c r="H160" s="3" t="str">
        <f aca="false">raw_data!D160</f>
        <v>CUST-2324</v>
      </c>
      <c r="I160" s="3" t="str">
        <f aca="false">PROPER(TRIM(raw_data!E160))</f>
        <v>Neha Gupta</v>
      </c>
      <c r="J160" s="3" t="str">
        <f aca="false">PROPER(TRIM(raw_data!F160))</f>
        <v>Home Office</v>
      </c>
      <c r="K160" s="3" t="str">
        <f aca="false">IF(TRIM(raw_data!G160)="","Unknown",PROPER(TRIM(raw_data!G160)))</f>
        <v>South</v>
      </c>
      <c r="L160" s="3" t="str">
        <f aca="false">IF(TRIM(raw_data!G160)="","Filled - Unknown","OK")</f>
        <v>OK</v>
      </c>
      <c r="M160" s="3" t="str">
        <f aca="false">PROPER(TRIM(raw_data!H160))</f>
        <v>Telangana</v>
      </c>
      <c r="N160" s="3" t="str">
        <f aca="false">PROPER(TRIM(raw_data!I160))</f>
        <v>Hyderabad</v>
      </c>
      <c r="O160" s="3" t="str">
        <f aca="false">PROPER(TRIM(raw_data!J160))</f>
        <v>Furniture</v>
      </c>
      <c r="P160" s="3" t="str">
        <f aca="false">PROPER(TRIM(raw_data!K160))</f>
        <v>Bookcases</v>
      </c>
      <c r="Q160" s="3" t="str">
        <f aca="false">TRIM(raw_data!L160)</f>
        <v>Max Bookcases 881</v>
      </c>
      <c r="R160" s="3" t="str">
        <f aca="false">IF(TRIM(raw_data!M160)="","Unknown",PROPER(TRIM(raw_data!M160)))</f>
        <v>First Class</v>
      </c>
      <c r="S160" s="3" t="str">
        <f aca="false">IF(TRIM(raw_data!M160)="","Filled - Unknown","OK")</f>
        <v>OK</v>
      </c>
      <c r="T160" s="6" t="n">
        <f aca="false">raw_data!N160</f>
        <v>1</v>
      </c>
      <c r="U160" s="7" t="n">
        <f aca="false">raw_data!O160</f>
        <v>4199.54</v>
      </c>
      <c r="V160" s="8" t="n">
        <f aca="false">raw_data!P160</f>
        <v>0.05</v>
      </c>
      <c r="W160" s="8" t="n">
        <f aca="false">IF(raw_data!P160="",0,IF(ISTEXT(raw_data!P160),IF(RIGHT(raw_data!P160,1)="%",VALUE(LEFT(raw_data!P160,LEN(raw_data!P160)-1))/100,VALUE(raw_data!P160)),raw_data!P160))</f>
        <v>0.05</v>
      </c>
      <c r="X160" s="3" t="str">
        <f aca="false">IF(raw_data!P160="","Missing - Defaulted to 0",IF(W160&lt;0,"Negative - Invalid",IF(W160&gt;0.3,"Above Allowed Range - Invalid","Valid")))</f>
        <v>Valid</v>
      </c>
      <c r="Y160" s="7" t="n">
        <f aca="false">raw_data!Q160</f>
        <v>3989.56</v>
      </c>
      <c r="Z160" s="7" t="n">
        <f aca="false">raw_data!R160</f>
        <v>2381.38</v>
      </c>
      <c r="AA160" s="7" t="n">
        <f aca="false">raw_data!S160</f>
        <v>1608.18</v>
      </c>
      <c r="AB160" s="3" t="str">
        <f aca="false">PROPER(TRIM(raw_data!T160))</f>
        <v>Paid</v>
      </c>
      <c r="AC160" s="3" t="str">
        <f aca="false">PROPER(TRIM(raw_data!U160))</f>
        <v>Completed</v>
      </c>
      <c r="AD160" s="7" t="n">
        <f aca="false">T160*U160*(1-W160)</f>
        <v>3989.563</v>
      </c>
      <c r="AE160" s="7" t="n">
        <f aca="false">AD160-Z160</f>
        <v>1608.183</v>
      </c>
      <c r="AF160" s="8" t="n">
        <f aca="false">IF(AD160=0,0,AE160/AD160)</f>
        <v>0.403097532235987</v>
      </c>
      <c r="AG160" s="3" t="str">
        <f aca="false">IF(ABS(Y160-AD160)&gt;1,"Mismatch","OK")</f>
        <v>OK</v>
      </c>
      <c r="AH160" s="3" t="str">
        <f aca="false">IF(ABS(AA160-AE160)&gt;1,"Mismatch","OK")</f>
        <v>OK</v>
      </c>
      <c r="AI160" s="6" t="n">
        <f aca="false">IF(B160="","",MONTH(B160))</f>
        <v>9</v>
      </c>
      <c r="AJ160" s="6" t="n">
        <f aca="false">IF(B160="","",YEAR(B160))</f>
        <v>2024</v>
      </c>
      <c r="AK160" s="3" t="str">
        <f aca="false">IF(COUNTIF(raw_data!$A$2:$A$913,A160)&gt;1,"Conflicting Duplicate - Flagged for Review","Unique")</f>
        <v>Unique</v>
      </c>
      <c r="AL160" s="3" t="str">
        <f aca="false">IF(AB160="Refunded","Yes","No")</f>
        <v>No</v>
      </c>
      <c r="AM160" s="3" t="str">
        <f aca="false">IF(OR(AC160&lt;&gt;"Completed",AB160="Failed"),"Excluded","Included")</f>
        <v>Included</v>
      </c>
      <c r="AN160" s="3" t="str">
        <f aca="false">IF(OR(D160="Invalid/Unrecognized",E160="Invalid/Unrecognized",G160="Invalid - Ship Before Order",X160="Negative - Invalid",X160="Above Allowed Range - Invalid",AG160="Mismatch",AH160="Mismatch",AK160="Conflicting Duplicate - Flagged for Review"),"Invalid",IF(OR(L160="Filled - Unknown",S160="Filled - Unknown",X160="Missing - Defaulted to 0",AL160="Yes",AC160="Cancelled",AC160="Returned"),"Warning","Clean"))</f>
        <v>Clean</v>
      </c>
    </row>
    <row r="161" customFormat="false" ht="15" hidden="false" customHeight="false" outlineLevel="0" collapsed="false">
      <c r="A161" s="3" t="str">
        <f aca="false">raw_data!A161</f>
        <v>ORD-2025-10160</v>
      </c>
      <c r="B161" s="4" t="n">
        <f aca="false">IFERROR(IF(MID(raw_data!B161,3,1)="/",DATE(VALUE(RIGHT(raw_data!B161,4)),VALUE(LEFT(raw_data!B161,2)),VALUE(MID(raw_data!B161,4,2))),IF(MID(raw_data!B161,3,1)="-",DATE(VALUE(RIGHT(raw_data!B161,4)),VALUE(MID(raw_data!B161,4,2)),VALUE(LEFT(raw_data!B161,2))),IF(MID(raw_data!B161,5,1)="-",DATE(VALUE(LEFT(raw_data!B161,4)),VALUE(MID(raw_data!B161,6,2)),VALUE(RIGHT(raw_data!B161,2))),DATE(VALUE(RIGHT(raw_data!B161,4)),MATCH(MID(raw_data!B161,4,3),{"Jan","Feb","Mar","Apr","May","Jun","Jul","Aug","Sep","Oct","Nov","Dec"},0),VALUE(LEFT(raw_data!B161,2)))))),"")</f>
        <v>45687</v>
      </c>
      <c r="C161" s="4" t="n">
        <f aca="false">IFERROR(IF(MID(raw_data!C161,3,1)="/",DATE(VALUE(RIGHT(raw_data!C161,4)),VALUE(LEFT(raw_data!C161,2)),VALUE(MID(raw_data!C161,4,2))),IF(MID(raw_data!C161,3,1)="-",DATE(VALUE(RIGHT(raw_data!C161,4)),VALUE(MID(raw_data!C161,4,2)),VALUE(LEFT(raw_data!C161,2))),IF(MID(raw_data!C161,5,1)="-",DATE(VALUE(LEFT(raw_data!C161,4)),VALUE(MID(raw_data!C161,6,2)),VALUE(RIGHT(raw_data!C161,2))),DATE(VALUE(RIGHT(raw_data!C161,4)),MATCH(MID(raw_data!C161,4,3),{"Jan","Feb","Mar","Apr","May","Jun","Jul","Aug","Sep","Oct","Nov","Dec"},0),VALUE(LEFT(raw_data!C161,2)))))),"")</f>
        <v>45692</v>
      </c>
      <c r="D161" s="3" t="str">
        <f aca="false">IF(TRIM(raw_data!B161)="","Missing",IF(B161="","Invalid/Unrecognized","Valid"))</f>
        <v>Valid</v>
      </c>
      <c r="E161" s="3" t="str">
        <f aca="false">IF(TRIM(raw_data!C161)="","Missing",IF(C161="","Invalid/Unrecognized","Valid"))</f>
        <v>Valid</v>
      </c>
      <c r="F161" s="5" t="n">
        <f aca="false">IF(OR(B161="",C161=""),"",C161-B161)</f>
        <v>5</v>
      </c>
      <c r="G161" s="3" t="str">
        <f aca="false">IF(F161="","N/A",IF(F161&lt;0,"Invalid - Ship Before Order","OK"))</f>
        <v>OK</v>
      </c>
      <c r="H161" s="3" t="str">
        <f aca="false">raw_data!D161</f>
        <v>CUST-7717</v>
      </c>
      <c r="I161" s="3" t="str">
        <f aca="false">PROPER(TRIM(raw_data!E161))</f>
        <v>Priya Menon</v>
      </c>
      <c r="J161" s="3" t="str">
        <f aca="false">PROPER(TRIM(raw_data!F161))</f>
        <v>Corporate</v>
      </c>
      <c r="K161" s="3" t="str">
        <f aca="false">IF(TRIM(raw_data!G161)="","Unknown",PROPER(TRIM(raw_data!G161)))</f>
        <v>North</v>
      </c>
      <c r="L161" s="3" t="str">
        <f aca="false">IF(TRIM(raw_data!G161)="","Filled - Unknown","OK")</f>
        <v>OK</v>
      </c>
      <c r="M161" s="3" t="str">
        <f aca="false">PROPER(TRIM(raw_data!H161))</f>
        <v>Haryana</v>
      </c>
      <c r="N161" s="3" t="str">
        <f aca="false">PROPER(TRIM(raw_data!I161))</f>
        <v>Gurugram</v>
      </c>
      <c r="O161" s="3" t="str">
        <f aca="false">PROPER(TRIM(raw_data!J161))</f>
        <v>Furniture</v>
      </c>
      <c r="P161" s="3" t="str">
        <f aca="false">PROPER(TRIM(raw_data!K161))</f>
        <v>Chairs</v>
      </c>
      <c r="Q161" s="3" t="str">
        <f aca="false">TRIM(raw_data!L161)</f>
        <v>Elite Chairs 998</v>
      </c>
      <c r="R161" s="3" t="str">
        <f aca="false">IF(TRIM(raw_data!M161)="","Unknown",PROPER(TRIM(raw_data!M161)))</f>
        <v>Same Day</v>
      </c>
      <c r="S161" s="3" t="str">
        <f aca="false">IF(TRIM(raw_data!M161)="","Filled - Unknown","OK")</f>
        <v>OK</v>
      </c>
      <c r="T161" s="6" t="n">
        <f aca="false">raw_data!N161</f>
        <v>9</v>
      </c>
      <c r="U161" s="7" t="n">
        <f aca="false">raw_data!O161</f>
        <v>4430.5</v>
      </c>
      <c r="V161" s="8" t="n">
        <f aca="false">raw_data!P161</f>
        <v>0.15</v>
      </c>
      <c r="W161" s="8" t="n">
        <f aca="false">IF(raw_data!P161="",0,IF(ISTEXT(raw_data!P161),IF(RIGHT(raw_data!P161,1)="%",VALUE(LEFT(raw_data!P161,LEN(raw_data!P161)-1))/100,VALUE(raw_data!P161)),raw_data!P161))</f>
        <v>0.15</v>
      </c>
      <c r="X161" s="3" t="str">
        <f aca="false">IF(raw_data!P161="","Missing - Defaulted to 0",IF(W161&lt;0,"Negative - Invalid",IF(W161&gt;0.3,"Above Allowed Range - Invalid","Valid")))</f>
        <v>Valid</v>
      </c>
      <c r="Y161" s="7" t="n">
        <f aca="false">raw_data!Q161</f>
        <v>33893.32</v>
      </c>
      <c r="Z161" s="7" t="n">
        <f aca="false">raw_data!R161</f>
        <v>25750.35</v>
      </c>
      <c r="AA161" s="7" t="n">
        <f aca="false">raw_data!S161</f>
        <v>8142.97</v>
      </c>
      <c r="AB161" s="3" t="str">
        <f aca="false">PROPER(TRIM(raw_data!T161))</f>
        <v>Pending</v>
      </c>
      <c r="AC161" s="3" t="str">
        <f aca="false">PROPER(TRIM(raw_data!U161))</f>
        <v>Cancelled</v>
      </c>
      <c r="AD161" s="7" t="n">
        <f aca="false">T161*U161*(1-W161)</f>
        <v>33893.325</v>
      </c>
      <c r="AE161" s="7" t="n">
        <f aca="false">AD161-Z161</f>
        <v>8142.975</v>
      </c>
      <c r="AF161" s="8" t="n">
        <f aca="false">IF(AD161=0,0,AE161/AD161)</f>
        <v>0.240253058677483</v>
      </c>
      <c r="AG161" s="3" t="str">
        <f aca="false">IF(ABS(Y161-AD161)&gt;1,"Mismatch","OK")</f>
        <v>OK</v>
      </c>
      <c r="AH161" s="3" t="str">
        <f aca="false">IF(ABS(AA161-AE161)&gt;1,"Mismatch","OK")</f>
        <v>OK</v>
      </c>
      <c r="AI161" s="6" t="n">
        <f aca="false">IF(B161="","",MONTH(B161))</f>
        <v>1</v>
      </c>
      <c r="AJ161" s="6" t="n">
        <f aca="false">IF(B161="","",YEAR(B161))</f>
        <v>2025</v>
      </c>
      <c r="AK161" s="3" t="str">
        <f aca="false">IF(COUNTIF(raw_data!$A$2:$A$913,A161)&gt;1,"Conflicting Duplicate - Flagged for Review","Unique")</f>
        <v>Unique</v>
      </c>
      <c r="AL161" s="3" t="str">
        <f aca="false">IF(AB161="Refunded","Yes","No")</f>
        <v>No</v>
      </c>
      <c r="AM161" s="3" t="str">
        <f aca="false">IF(OR(AC161&lt;&gt;"Completed",AB161="Failed"),"Excluded","Included")</f>
        <v>Excluded</v>
      </c>
      <c r="AN161" s="3" t="str">
        <f aca="false">IF(OR(D161="Invalid/Unrecognized",E161="Invalid/Unrecognized",G161="Invalid - Ship Before Order",X161="Negative - Invalid",X161="Above Allowed Range - Invalid",AG161="Mismatch",AH161="Mismatch",AK161="Conflicting Duplicate - Flagged for Review"),"Invalid",IF(OR(L161="Filled - Unknown",S161="Filled - Unknown",X161="Missing - Defaulted to 0",AL161="Yes",AC161="Cancelled",AC161="Returned"),"Warning","Clean"))</f>
        <v>Warning</v>
      </c>
    </row>
    <row r="162" customFormat="false" ht="15" hidden="false" customHeight="false" outlineLevel="0" collapsed="false">
      <c r="A162" s="3" t="str">
        <f aca="false">raw_data!A162</f>
        <v>ORD-2025-10161</v>
      </c>
      <c r="B162" s="4" t="n">
        <f aca="false">IFERROR(IF(MID(raw_data!B162,3,1)="/",DATE(VALUE(RIGHT(raw_data!B162,4)),VALUE(LEFT(raw_data!B162,2)),VALUE(MID(raw_data!B162,4,2))),IF(MID(raw_data!B162,3,1)="-",DATE(VALUE(RIGHT(raw_data!B162,4)),VALUE(MID(raw_data!B162,4,2)),VALUE(LEFT(raw_data!B162,2))),IF(MID(raw_data!B162,5,1)="-",DATE(VALUE(LEFT(raw_data!B162,4)),VALUE(MID(raw_data!B162,6,2)),VALUE(RIGHT(raw_data!B162,2))),DATE(VALUE(RIGHT(raw_data!B162,4)),MATCH(MID(raw_data!B162,4,3),{"Jan","Feb","Mar","Apr","May","Jun","Jul","Aug","Sep","Oct","Nov","Dec"},0),VALUE(LEFT(raw_data!B162,2)))))),"")</f>
        <v>45938</v>
      </c>
      <c r="C162" s="4" t="n">
        <f aca="false">IFERROR(IF(MID(raw_data!C162,3,1)="/",DATE(VALUE(RIGHT(raw_data!C162,4)),VALUE(LEFT(raw_data!C162,2)),VALUE(MID(raw_data!C162,4,2))),IF(MID(raw_data!C162,3,1)="-",DATE(VALUE(RIGHT(raw_data!C162,4)),VALUE(MID(raw_data!C162,4,2)),VALUE(LEFT(raw_data!C162,2))),IF(MID(raw_data!C162,5,1)="-",DATE(VALUE(LEFT(raw_data!C162,4)),VALUE(MID(raw_data!C162,6,2)),VALUE(RIGHT(raw_data!C162,2))),DATE(VALUE(RIGHT(raw_data!C162,4)),MATCH(MID(raw_data!C162,4,3),{"Jan","Feb","Mar","Apr","May","Jun","Jul","Aug","Sep","Oct","Nov","Dec"},0),VALUE(LEFT(raw_data!C162,2)))))),"")</f>
        <v>45936</v>
      </c>
      <c r="D162" s="3" t="str">
        <f aca="false">IF(TRIM(raw_data!B162)="","Missing",IF(B162="","Invalid/Unrecognized","Valid"))</f>
        <v>Valid</v>
      </c>
      <c r="E162" s="3" t="str">
        <f aca="false">IF(TRIM(raw_data!C162)="","Missing",IF(C162="","Invalid/Unrecognized","Valid"))</f>
        <v>Valid</v>
      </c>
      <c r="F162" s="5" t="n">
        <f aca="false">IF(OR(B162="",C162=""),"",C162-B162)</f>
        <v>-2</v>
      </c>
      <c r="G162" s="3" t="str">
        <f aca="false">IF(F162="","N/A",IF(F162&lt;0,"Invalid - Ship Before Order","OK"))</f>
        <v>Invalid - Ship Before Order</v>
      </c>
      <c r="H162" s="3" t="str">
        <f aca="false">raw_data!D162</f>
        <v>CUST-4932</v>
      </c>
      <c r="I162" s="3" t="str">
        <f aca="false">PROPER(TRIM(raw_data!E162))</f>
        <v>Vikram Iyer</v>
      </c>
      <c r="J162" s="3" t="str">
        <f aca="false">PROPER(TRIM(raw_data!F162))</f>
        <v>Small Business</v>
      </c>
      <c r="K162" s="3" t="str">
        <f aca="false">IF(TRIM(raw_data!G162)="","Unknown",PROPER(TRIM(raw_data!G162)))</f>
        <v>West</v>
      </c>
      <c r="L162" s="3" t="str">
        <f aca="false">IF(TRIM(raw_data!G162)="","Filled - Unknown","OK")</f>
        <v>OK</v>
      </c>
      <c r="M162" s="3" t="str">
        <f aca="false">PROPER(TRIM(raw_data!H162))</f>
        <v>Maharashtra</v>
      </c>
      <c r="N162" s="3" t="str">
        <f aca="false">PROPER(TRIM(raw_data!I162))</f>
        <v>Mumbai</v>
      </c>
      <c r="O162" s="3" t="str">
        <f aca="false">PROPER(TRIM(raw_data!J162))</f>
        <v>Office Supplies</v>
      </c>
      <c r="P162" s="3" t="str">
        <f aca="false">PROPER(TRIM(raw_data!K162))</f>
        <v>Paper</v>
      </c>
      <c r="Q162" s="3" t="str">
        <f aca="false">TRIM(raw_data!L162)</f>
        <v>Max Paper 113</v>
      </c>
      <c r="R162" s="3" t="str">
        <f aca="false">IF(TRIM(raw_data!M162)="","Unknown",PROPER(TRIM(raw_data!M162)))</f>
        <v>Second Class</v>
      </c>
      <c r="S162" s="3" t="str">
        <f aca="false">IF(TRIM(raw_data!M162)="","Filled - Unknown","OK")</f>
        <v>OK</v>
      </c>
      <c r="T162" s="6" t="n">
        <f aca="false">raw_data!N162</f>
        <v>4</v>
      </c>
      <c r="U162" s="7" t="n">
        <f aca="false">raw_data!O162</f>
        <v>1260.42</v>
      </c>
      <c r="V162" s="8" t="n">
        <f aca="false">raw_data!P162</f>
        <v>0.05</v>
      </c>
      <c r="W162" s="8" t="n">
        <f aca="false">IF(raw_data!P162="",0,IF(ISTEXT(raw_data!P162),IF(RIGHT(raw_data!P162,1)="%",VALUE(LEFT(raw_data!P162,LEN(raw_data!P162)-1))/100,VALUE(raw_data!P162)),raw_data!P162))</f>
        <v>0.05</v>
      </c>
      <c r="X162" s="3" t="str">
        <f aca="false">IF(raw_data!P162="","Missing - Defaulted to 0",IF(W162&lt;0,"Negative - Invalid",IF(W162&gt;0.3,"Above Allowed Range - Invalid","Valid")))</f>
        <v>Valid</v>
      </c>
      <c r="Y162" s="7" t="n">
        <f aca="false">raw_data!Q162</f>
        <v>4789.6</v>
      </c>
      <c r="Z162" s="7" t="n">
        <f aca="false">raw_data!R162</f>
        <v>4037.64</v>
      </c>
      <c r="AA162" s="7" t="n">
        <f aca="false">raw_data!S162</f>
        <v>751.96</v>
      </c>
      <c r="AB162" s="3" t="str">
        <f aca="false">PROPER(TRIM(raw_data!T162))</f>
        <v>Pending</v>
      </c>
      <c r="AC162" s="3" t="str">
        <f aca="false">PROPER(TRIM(raw_data!U162))</f>
        <v>Cancelled</v>
      </c>
      <c r="AD162" s="7" t="n">
        <f aca="false">T162*U162*(1-W162)</f>
        <v>4789.596</v>
      </c>
      <c r="AE162" s="7" t="n">
        <f aca="false">AD162-Z162</f>
        <v>751.956000000001</v>
      </c>
      <c r="AF162" s="8" t="n">
        <f aca="false">IF(AD162=0,0,AE162/AD162)</f>
        <v>0.156997792715711</v>
      </c>
      <c r="AG162" s="3" t="str">
        <f aca="false">IF(ABS(Y162-AD162)&gt;1,"Mismatch","OK")</f>
        <v>OK</v>
      </c>
      <c r="AH162" s="3" t="str">
        <f aca="false">IF(ABS(AA162-AE162)&gt;1,"Mismatch","OK")</f>
        <v>OK</v>
      </c>
      <c r="AI162" s="6" t="n">
        <f aca="false">IF(B162="","",MONTH(B162))</f>
        <v>10</v>
      </c>
      <c r="AJ162" s="6" t="n">
        <f aca="false">IF(B162="","",YEAR(B162))</f>
        <v>2025</v>
      </c>
      <c r="AK162" s="3" t="str">
        <f aca="false">IF(COUNTIF(raw_data!$A$2:$A$913,A162)&gt;1,"Conflicting Duplicate - Flagged for Review","Unique")</f>
        <v>Unique</v>
      </c>
      <c r="AL162" s="3" t="str">
        <f aca="false">IF(AB162="Refunded","Yes","No")</f>
        <v>No</v>
      </c>
      <c r="AM162" s="3" t="str">
        <f aca="false">IF(OR(AC162&lt;&gt;"Completed",AB162="Failed"),"Excluded","Included")</f>
        <v>Excluded</v>
      </c>
      <c r="AN162" s="3" t="str">
        <f aca="false">IF(OR(D162="Invalid/Unrecognized",E162="Invalid/Unrecognized",G162="Invalid - Ship Before Order",X162="Negative - Invalid",X162="Above Allowed Range - Invalid",AG162="Mismatch",AH162="Mismatch",AK162="Conflicting Duplicate - Flagged for Review"),"Invalid",IF(OR(L162="Filled - Unknown",S162="Filled - Unknown",X162="Missing - Defaulted to 0",AL162="Yes",AC162="Cancelled",AC162="Returned"),"Warning","Clean"))</f>
        <v>Invalid</v>
      </c>
    </row>
    <row r="163" customFormat="false" ht="15" hidden="false" customHeight="false" outlineLevel="0" collapsed="false">
      <c r="A163" s="3" t="str">
        <f aca="false">raw_data!A163</f>
        <v>ORD-2025-10162</v>
      </c>
      <c r="B163" s="4" t="n">
        <f aca="false">IFERROR(IF(MID(raw_data!B163,3,1)="/",DATE(VALUE(RIGHT(raw_data!B163,4)),VALUE(LEFT(raw_data!B163,2)),VALUE(MID(raw_data!B163,4,2))),IF(MID(raw_data!B163,3,1)="-",DATE(VALUE(RIGHT(raw_data!B163,4)),VALUE(MID(raw_data!B163,4,2)),VALUE(LEFT(raw_data!B163,2))),IF(MID(raw_data!B163,5,1)="-",DATE(VALUE(LEFT(raw_data!B163,4)),VALUE(MID(raw_data!B163,6,2)),VALUE(RIGHT(raw_data!B163,2))),DATE(VALUE(RIGHT(raw_data!B163,4)),MATCH(MID(raw_data!B163,4,3),{"Jan","Feb","Mar","Apr","May","Jun","Jul","Aug","Sep","Oct","Nov","Dec"},0),VALUE(LEFT(raw_data!B163,2)))))),"")</f>
        <v>45862</v>
      </c>
      <c r="C163" s="4" t="n">
        <f aca="false">IFERROR(IF(MID(raw_data!C163,3,1)="/",DATE(VALUE(RIGHT(raw_data!C163,4)),VALUE(LEFT(raw_data!C163,2)),VALUE(MID(raw_data!C163,4,2))),IF(MID(raw_data!C163,3,1)="-",DATE(VALUE(RIGHT(raw_data!C163,4)),VALUE(MID(raw_data!C163,4,2)),VALUE(LEFT(raw_data!C163,2))),IF(MID(raw_data!C163,5,1)="-",DATE(VALUE(LEFT(raw_data!C163,4)),VALUE(MID(raw_data!C163,6,2)),VALUE(RIGHT(raw_data!C163,2))),DATE(VALUE(RIGHT(raw_data!C163,4)),MATCH(MID(raw_data!C163,4,3),{"Jan","Feb","Mar","Apr","May","Jun","Jul","Aug","Sep","Oct","Nov","Dec"},0),VALUE(LEFT(raw_data!C163,2)))))),"")</f>
        <v>45868</v>
      </c>
      <c r="D163" s="3" t="str">
        <f aca="false">IF(TRIM(raw_data!B163)="","Missing",IF(B163="","Invalid/Unrecognized","Valid"))</f>
        <v>Valid</v>
      </c>
      <c r="E163" s="3" t="str">
        <f aca="false">IF(TRIM(raw_data!C163)="","Missing",IF(C163="","Invalid/Unrecognized","Valid"))</f>
        <v>Valid</v>
      </c>
      <c r="F163" s="5" t="n">
        <f aca="false">IF(OR(B163="",C163=""),"",C163-B163)</f>
        <v>6</v>
      </c>
      <c r="G163" s="3" t="str">
        <f aca="false">IF(F163="","N/A",IF(F163&lt;0,"Invalid - Ship Before Order","OK"))</f>
        <v>OK</v>
      </c>
      <c r="H163" s="3" t="str">
        <f aca="false">raw_data!D163</f>
        <v>CUST-2367</v>
      </c>
      <c r="I163" s="3" t="str">
        <f aca="false">PROPER(TRIM(raw_data!E163))</f>
        <v>Arjun Bose</v>
      </c>
      <c r="J163" s="3" t="str">
        <f aca="false">PROPER(TRIM(raw_data!F163))</f>
        <v>Consumer</v>
      </c>
      <c r="K163" s="3" t="str">
        <f aca="false">IF(TRIM(raw_data!G163)="","Unknown",PROPER(TRIM(raw_data!G163)))</f>
        <v>West</v>
      </c>
      <c r="L163" s="3" t="str">
        <f aca="false">IF(TRIM(raw_data!G163)="","Filled - Unknown","OK")</f>
        <v>OK</v>
      </c>
      <c r="M163" s="3" t="str">
        <f aca="false">PROPER(TRIM(raw_data!H163))</f>
        <v>Rajasthan</v>
      </c>
      <c r="N163" s="3" t="str">
        <f aca="false">PROPER(TRIM(raw_data!I163))</f>
        <v>Udaipur</v>
      </c>
      <c r="O163" s="3" t="str">
        <f aca="false">PROPER(TRIM(raw_data!J163))</f>
        <v>Office Supplies</v>
      </c>
      <c r="P163" s="3" t="str">
        <f aca="false">PROPER(TRIM(raw_data!K163))</f>
        <v>Binders</v>
      </c>
      <c r="Q163" s="3" t="str">
        <f aca="false">TRIM(raw_data!L163)</f>
        <v>Smart Binders 267</v>
      </c>
      <c r="R163" s="3" t="str">
        <f aca="false">IF(TRIM(raw_data!M163)="","Unknown",PROPER(TRIM(raw_data!M163)))</f>
        <v>Standard Class</v>
      </c>
      <c r="S163" s="3" t="str">
        <f aca="false">IF(TRIM(raw_data!M163)="","Filled - Unknown","OK")</f>
        <v>OK</v>
      </c>
      <c r="T163" s="6" t="n">
        <f aca="false">raw_data!N163</f>
        <v>1</v>
      </c>
      <c r="U163" s="7" t="n">
        <f aca="false">raw_data!O163</f>
        <v>1643.41</v>
      </c>
      <c r="V163" s="8" t="n">
        <f aca="false">raw_data!P163</f>
        <v>0</v>
      </c>
      <c r="W163" s="8" t="n">
        <f aca="false">IF(raw_data!P163="",0,IF(ISTEXT(raw_data!P163),IF(RIGHT(raw_data!P163,1)="%",VALUE(LEFT(raw_data!P163,LEN(raw_data!P163)-1))/100,VALUE(raw_data!P163)),raw_data!P163))</f>
        <v>0</v>
      </c>
      <c r="X163" s="3" t="str">
        <f aca="false">IF(raw_data!P163="","Missing - Defaulted to 0",IF(W163&lt;0,"Negative - Invalid",IF(W163&gt;0.3,"Above Allowed Range - Invalid","Valid")))</f>
        <v>Valid</v>
      </c>
      <c r="Y163" s="7" t="n">
        <f aca="false">raw_data!Q163</f>
        <v>1643.41</v>
      </c>
      <c r="Z163" s="7" t="n">
        <f aca="false">raw_data!R163</f>
        <v>907.4</v>
      </c>
      <c r="AA163" s="7" t="n">
        <f aca="false">raw_data!S163</f>
        <v>736.01</v>
      </c>
      <c r="AB163" s="3" t="str">
        <f aca="false">PROPER(TRIM(raw_data!T163))</f>
        <v>Pending</v>
      </c>
      <c r="AC163" s="3" t="str">
        <f aca="false">PROPER(TRIM(raw_data!U163))</f>
        <v>Cancelled</v>
      </c>
      <c r="AD163" s="7" t="n">
        <f aca="false">T163*U163*(1-W163)</f>
        <v>1643.41</v>
      </c>
      <c r="AE163" s="7" t="n">
        <f aca="false">AD163-Z163</f>
        <v>736.01</v>
      </c>
      <c r="AF163" s="8" t="n">
        <f aca="false">IF(AD163=0,0,AE163/AD163)</f>
        <v>0.447855373887222</v>
      </c>
      <c r="AG163" s="3" t="str">
        <f aca="false">IF(ABS(Y163-AD163)&gt;1,"Mismatch","OK")</f>
        <v>OK</v>
      </c>
      <c r="AH163" s="3" t="str">
        <f aca="false">IF(ABS(AA163-AE163)&gt;1,"Mismatch","OK")</f>
        <v>OK</v>
      </c>
      <c r="AI163" s="6" t="n">
        <f aca="false">IF(B163="","",MONTH(B163))</f>
        <v>7</v>
      </c>
      <c r="AJ163" s="6" t="n">
        <f aca="false">IF(B163="","",YEAR(B163))</f>
        <v>2025</v>
      </c>
      <c r="AK163" s="3" t="str">
        <f aca="false">IF(COUNTIF(raw_data!$A$2:$A$913,A163)&gt;1,"Conflicting Duplicate - Flagged for Review","Unique")</f>
        <v>Unique</v>
      </c>
      <c r="AL163" s="3" t="str">
        <f aca="false">IF(AB163="Refunded","Yes","No")</f>
        <v>No</v>
      </c>
      <c r="AM163" s="3" t="str">
        <f aca="false">IF(OR(AC163&lt;&gt;"Completed",AB163="Failed"),"Excluded","Included")</f>
        <v>Excluded</v>
      </c>
      <c r="AN163" s="3" t="str">
        <f aca="false">IF(OR(D163="Invalid/Unrecognized",E163="Invalid/Unrecognized",G163="Invalid - Ship Before Order",X163="Negative - Invalid",X163="Above Allowed Range - Invalid",AG163="Mismatch",AH163="Mismatch",AK163="Conflicting Duplicate - Flagged for Review"),"Invalid",IF(OR(L163="Filled - Unknown",S163="Filled - Unknown",X163="Missing - Defaulted to 0",AL163="Yes",AC163="Cancelled",AC163="Returned"),"Warning","Clean"))</f>
        <v>Warning</v>
      </c>
    </row>
    <row r="164" customFormat="false" ht="15" hidden="false" customHeight="false" outlineLevel="0" collapsed="false">
      <c r="A164" s="3" t="str">
        <f aca="false">raw_data!A164</f>
        <v>ORD-2024-10163</v>
      </c>
      <c r="B164" s="4" t="n">
        <f aca="false">IFERROR(IF(MID(raw_data!B164,3,1)="/",DATE(VALUE(RIGHT(raw_data!B164,4)),VALUE(LEFT(raw_data!B164,2)),VALUE(MID(raw_data!B164,4,2))),IF(MID(raw_data!B164,3,1)="-",DATE(VALUE(RIGHT(raw_data!B164,4)),VALUE(MID(raw_data!B164,4,2)),VALUE(LEFT(raw_data!B164,2))),IF(MID(raw_data!B164,5,1)="-",DATE(VALUE(LEFT(raw_data!B164,4)),VALUE(MID(raw_data!B164,6,2)),VALUE(RIGHT(raw_data!B164,2))),DATE(VALUE(RIGHT(raw_data!B164,4)),MATCH(MID(raw_data!B164,4,3),{"Jan","Feb","Mar","Apr","May","Jun","Jul","Aug","Sep","Oct","Nov","Dec"},0),VALUE(LEFT(raw_data!B164,2)))))),"")</f>
        <v>45360</v>
      </c>
      <c r="C164" s="4" t="n">
        <f aca="false">IFERROR(IF(MID(raw_data!C164,3,1)="/",DATE(VALUE(RIGHT(raw_data!C164,4)),VALUE(LEFT(raw_data!C164,2)),VALUE(MID(raw_data!C164,4,2))),IF(MID(raw_data!C164,3,1)="-",DATE(VALUE(RIGHT(raw_data!C164,4)),VALUE(MID(raw_data!C164,4,2)),VALUE(LEFT(raw_data!C164,2))),IF(MID(raw_data!C164,5,1)="-",DATE(VALUE(LEFT(raw_data!C164,4)),VALUE(MID(raw_data!C164,6,2)),VALUE(RIGHT(raw_data!C164,2))),DATE(VALUE(RIGHT(raw_data!C164,4)),MATCH(MID(raw_data!C164,4,3),{"Jan","Feb","Mar","Apr","May","Jun","Jul","Aug","Sep","Oct","Nov","Dec"},0),VALUE(LEFT(raw_data!C164,2)))))),"")</f>
        <v>45365</v>
      </c>
      <c r="D164" s="3" t="str">
        <f aca="false">IF(TRIM(raw_data!B164)="","Missing",IF(B164="","Invalid/Unrecognized","Valid"))</f>
        <v>Valid</v>
      </c>
      <c r="E164" s="3" t="str">
        <f aca="false">IF(TRIM(raw_data!C164)="","Missing",IF(C164="","Invalid/Unrecognized","Valid"))</f>
        <v>Valid</v>
      </c>
      <c r="F164" s="5" t="n">
        <f aca="false">IF(OR(B164="",C164=""),"",C164-B164)</f>
        <v>5</v>
      </c>
      <c r="G164" s="3" t="str">
        <f aca="false">IF(F164="","N/A",IF(F164&lt;0,"Invalid - Ship Before Order","OK"))</f>
        <v>OK</v>
      </c>
      <c r="H164" s="3" t="str">
        <f aca="false">raw_data!D164</f>
        <v>CUST-4830</v>
      </c>
      <c r="I164" s="3" t="str">
        <f aca="false">PROPER(TRIM(raw_data!E164))</f>
        <v>Neha Gupta</v>
      </c>
      <c r="J164" s="3" t="str">
        <f aca="false">PROPER(TRIM(raw_data!F164))</f>
        <v>Small Business</v>
      </c>
      <c r="K164" s="3" t="str">
        <f aca="false">IF(TRIM(raw_data!G164)="","Unknown",PROPER(TRIM(raw_data!G164)))</f>
        <v>West</v>
      </c>
      <c r="L164" s="3" t="str">
        <f aca="false">IF(TRIM(raw_data!G164)="","Filled - Unknown","OK")</f>
        <v>OK</v>
      </c>
      <c r="M164" s="3" t="str">
        <f aca="false">PROPER(TRIM(raw_data!H164))</f>
        <v>Goa</v>
      </c>
      <c r="N164" s="3" t="str">
        <f aca="false">PROPER(TRIM(raw_data!I164))</f>
        <v>Panaji</v>
      </c>
      <c r="O164" s="3" t="str">
        <f aca="false">PROPER(TRIM(raw_data!J164))</f>
        <v>Furniture</v>
      </c>
      <c r="P164" s="3" t="str">
        <f aca="false">PROPER(TRIM(raw_data!K164))</f>
        <v>Furnishings</v>
      </c>
      <c r="Q164" s="3" t="str">
        <f aca="false">TRIM(raw_data!L164)</f>
        <v>Pro Furnishings 108</v>
      </c>
      <c r="R164" s="3" t="str">
        <f aca="false">IF(TRIM(raw_data!M164)="","Unknown",PROPER(TRIM(raw_data!M164)))</f>
        <v>Second Class</v>
      </c>
      <c r="S164" s="3" t="str">
        <f aca="false">IF(TRIM(raw_data!M164)="","Filled - Unknown","OK")</f>
        <v>OK</v>
      </c>
      <c r="T164" s="6" t="n">
        <f aca="false">raw_data!N164</f>
        <v>8</v>
      </c>
      <c r="U164" s="7" t="n">
        <f aca="false">raw_data!O164</f>
        <v>4472.84</v>
      </c>
      <c r="V164" s="8" t="n">
        <f aca="false">raw_data!P164</f>
        <v>0</v>
      </c>
      <c r="W164" s="8" t="n">
        <f aca="false">IF(raw_data!P164="",0,IF(ISTEXT(raw_data!P164),IF(RIGHT(raw_data!P164,1)="%",VALUE(LEFT(raw_data!P164,LEN(raw_data!P164)-1))/100,VALUE(raw_data!P164)),raw_data!P164))</f>
        <v>0</v>
      </c>
      <c r="X164" s="3" t="str">
        <f aca="false">IF(raw_data!P164="","Missing - Defaulted to 0",IF(W164&lt;0,"Negative - Invalid",IF(W164&gt;0.3,"Above Allowed Range - Invalid","Valid")))</f>
        <v>Valid</v>
      </c>
      <c r="Y164" s="7" t="n">
        <f aca="false">raw_data!Q164</f>
        <v>35997.62</v>
      </c>
      <c r="Z164" s="7" t="n">
        <f aca="false">raw_data!R164</f>
        <v>26424.41</v>
      </c>
      <c r="AA164" s="7" t="n">
        <f aca="false">raw_data!S164</f>
        <v>9358.31</v>
      </c>
      <c r="AB164" s="3" t="str">
        <f aca="false">PROPER(TRIM(raw_data!T164))</f>
        <v>Pending</v>
      </c>
      <c r="AC164" s="3" t="str">
        <f aca="false">PROPER(TRIM(raw_data!U164))</f>
        <v>Returned</v>
      </c>
      <c r="AD164" s="7" t="n">
        <f aca="false">T164*U164*(1-W164)</f>
        <v>35782.72</v>
      </c>
      <c r="AE164" s="7" t="n">
        <f aca="false">AD164-Z164</f>
        <v>9358.31</v>
      </c>
      <c r="AF164" s="8" t="n">
        <f aca="false">IF(AD164=0,0,AE164/AD164)</f>
        <v>0.261531543717191</v>
      </c>
      <c r="AG164" s="3" t="str">
        <f aca="false">IF(ABS(Y164-AD164)&gt;1,"Mismatch","OK")</f>
        <v>Mismatch</v>
      </c>
      <c r="AH164" s="3" t="str">
        <f aca="false">IF(ABS(AA164-AE164)&gt;1,"Mismatch","OK")</f>
        <v>OK</v>
      </c>
      <c r="AI164" s="6" t="n">
        <f aca="false">IF(B164="","",MONTH(B164))</f>
        <v>3</v>
      </c>
      <c r="AJ164" s="6" t="n">
        <f aca="false">IF(B164="","",YEAR(B164))</f>
        <v>2024</v>
      </c>
      <c r="AK164" s="3" t="str">
        <f aca="false">IF(COUNTIF(raw_data!$A$2:$A$913,A164)&gt;1,"Conflicting Duplicate - Flagged for Review","Unique")</f>
        <v>Unique</v>
      </c>
      <c r="AL164" s="3" t="str">
        <f aca="false">IF(AB164="Refunded","Yes","No")</f>
        <v>No</v>
      </c>
      <c r="AM164" s="3" t="str">
        <f aca="false">IF(OR(AC164&lt;&gt;"Completed",AB164="Failed"),"Excluded","Included")</f>
        <v>Excluded</v>
      </c>
      <c r="AN164" s="3" t="str">
        <f aca="false">IF(OR(D164="Invalid/Unrecognized",E164="Invalid/Unrecognized",G164="Invalid - Ship Before Order",X164="Negative - Invalid",X164="Above Allowed Range - Invalid",AG164="Mismatch",AH164="Mismatch",AK164="Conflicting Duplicate - Flagged for Review"),"Invalid",IF(OR(L164="Filled - Unknown",S164="Filled - Unknown",X164="Missing - Defaulted to 0",AL164="Yes",AC164="Cancelled",AC164="Returned"),"Warning","Clean"))</f>
        <v>Invalid</v>
      </c>
    </row>
    <row r="165" customFormat="false" ht="15" hidden="false" customHeight="false" outlineLevel="0" collapsed="false">
      <c r="A165" s="3" t="str">
        <f aca="false">raw_data!A165</f>
        <v>ORD-2025-10164</v>
      </c>
      <c r="B165" s="4" t="n">
        <f aca="false">IFERROR(IF(MID(raw_data!B165,3,1)="/",DATE(VALUE(RIGHT(raw_data!B165,4)),VALUE(LEFT(raw_data!B165,2)),VALUE(MID(raw_data!B165,4,2))),IF(MID(raw_data!B165,3,1)="-",DATE(VALUE(RIGHT(raw_data!B165,4)),VALUE(MID(raw_data!B165,4,2)),VALUE(LEFT(raw_data!B165,2))),IF(MID(raw_data!B165,5,1)="-",DATE(VALUE(LEFT(raw_data!B165,4)),VALUE(MID(raw_data!B165,6,2)),VALUE(RIGHT(raw_data!B165,2))),DATE(VALUE(RIGHT(raw_data!B165,4)),MATCH(MID(raw_data!B165,4,3),{"Jan","Feb","Mar","Apr","May","Jun","Jul","Aug","Sep","Oct","Nov","Dec"},0),VALUE(LEFT(raw_data!B165,2)))))),"")</f>
        <v>45921</v>
      </c>
      <c r="C165" s="4" t="n">
        <f aca="false">IFERROR(IF(MID(raw_data!C165,3,1)="/",DATE(VALUE(RIGHT(raw_data!C165,4)),VALUE(LEFT(raw_data!C165,2)),VALUE(MID(raw_data!C165,4,2))),IF(MID(raw_data!C165,3,1)="-",DATE(VALUE(RIGHT(raw_data!C165,4)),VALUE(MID(raw_data!C165,4,2)),VALUE(LEFT(raw_data!C165,2))),IF(MID(raw_data!C165,5,1)="-",DATE(VALUE(LEFT(raw_data!C165,4)),VALUE(MID(raw_data!C165,6,2)),VALUE(RIGHT(raw_data!C165,2))),DATE(VALUE(RIGHT(raw_data!C165,4)),MATCH(MID(raw_data!C165,4,3),{"Jan","Feb","Mar","Apr","May","Jun","Jul","Aug","Sep","Oct","Nov","Dec"},0),VALUE(LEFT(raw_data!C165,2)))))),"")</f>
        <v>45926</v>
      </c>
      <c r="D165" s="3" t="str">
        <f aca="false">IF(TRIM(raw_data!B165)="","Missing",IF(B165="","Invalid/Unrecognized","Valid"))</f>
        <v>Valid</v>
      </c>
      <c r="E165" s="3" t="str">
        <f aca="false">IF(TRIM(raw_data!C165)="","Missing",IF(C165="","Invalid/Unrecognized","Valid"))</f>
        <v>Valid</v>
      </c>
      <c r="F165" s="5" t="n">
        <f aca="false">IF(OR(B165="",C165=""),"",C165-B165)</f>
        <v>5</v>
      </c>
      <c r="G165" s="3" t="str">
        <f aca="false">IF(F165="","N/A",IF(F165&lt;0,"Invalid - Ship Before Order","OK"))</f>
        <v>OK</v>
      </c>
      <c r="H165" s="3" t="str">
        <f aca="false">raw_data!D165</f>
        <v>CUST-2548</v>
      </c>
      <c r="I165" s="3" t="str">
        <f aca="false">PROPER(TRIM(raw_data!E165))</f>
        <v>Rohan Mehta</v>
      </c>
      <c r="J165" s="3" t="str">
        <f aca="false">PROPER(TRIM(raw_data!F165))</f>
        <v>Home Office</v>
      </c>
      <c r="K165" s="3" t="str">
        <f aca="false">IF(TRIM(raw_data!G165)="","Unknown",PROPER(TRIM(raw_data!G165)))</f>
        <v>West</v>
      </c>
      <c r="L165" s="3" t="str">
        <f aca="false">IF(TRIM(raw_data!G165)="","Filled - Unknown","OK")</f>
        <v>OK</v>
      </c>
      <c r="M165" s="3" t="str">
        <f aca="false">PROPER(TRIM(raw_data!H165))</f>
        <v>Gujarat</v>
      </c>
      <c r="N165" s="3" t="str">
        <f aca="false">PROPER(TRIM(raw_data!I165))</f>
        <v>Ahmedabad</v>
      </c>
      <c r="O165" s="3" t="str">
        <f aca="false">PROPER(TRIM(raw_data!J165))</f>
        <v>Furniture</v>
      </c>
      <c r="P165" s="3" t="str">
        <f aca="false">PROPER(TRIM(raw_data!K165))</f>
        <v>Tables</v>
      </c>
      <c r="Q165" s="3" t="str">
        <f aca="false">TRIM(raw_data!L165)</f>
        <v>Elite Tables 389</v>
      </c>
      <c r="R165" s="3" t="str">
        <f aca="false">IF(TRIM(raw_data!M165)="","Unknown",PROPER(TRIM(raw_data!M165)))</f>
        <v>Unknown</v>
      </c>
      <c r="S165" s="3" t="str">
        <f aca="false">IF(TRIM(raw_data!M165)="","Filled - Unknown","OK")</f>
        <v>Filled - Unknown</v>
      </c>
      <c r="T165" s="6" t="n">
        <f aca="false">raw_data!N165</f>
        <v>6</v>
      </c>
      <c r="U165" s="7" t="n">
        <f aca="false">raw_data!O165</f>
        <v>2903.58</v>
      </c>
      <c r="V165" s="8" t="n">
        <f aca="false">raw_data!P165</f>
        <v>0.1</v>
      </c>
      <c r="W165" s="8" t="n">
        <f aca="false">IF(raw_data!P165="",0,IF(ISTEXT(raw_data!P165),IF(RIGHT(raw_data!P165,1)="%",VALUE(LEFT(raw_data!P165,LEN(raw_data!P165)-1))/100,VALUE(raw_data!P165)),raw_data!P165))</f>
        <v>0.1</v>
      </c>
      <c r="X165" s="3" t="str">
        <f aca="false">IF(raw_data!P165="","Missing - Defaulted to 0",IF(W165&lt;0,"Negative - Invalid",IF(W165&gt;0.3,"Above Allowed Range - Invalid","Valid")))</f>
        <v>Valid</v>
      </c>
      <c r="Y165" s="7" t="n">
        <f aca="false">raw_data!Q165</f>
        <v>15679.33</v>
      </c>
      <c r="Z165" s="7" t="n">
        <f aca="false">raw_data!R165</f>
        <v>12477.82</v>
      </c>
      <c r="AA165" s="7" t="n">
        <f aca="false">raw_data!S165</f>
        <v>3201.51</v>
      </c>
      <c r="AB165" s="3" t="str">
        <f aca="false">PROPER(TRIM(raw_data!T165))</f>
        <v>Pending</v>
      </c>
      <c r="AC165" s="3" t="str">
        <f aca="false">PROPER(TRIM(raw_data!U165))</f>
        <v>Returned</v>
      </c>
      <c r="AD165" s="7" t="n">
        <f aca="false">T165*U165*(1-W165)</f>
        <v>15679.332</v>
      </c>
      <c r="AE165" s="7" t="n">
        <f aca="false">AD165-Z165</f>
        <v>3201.512</v>
      </c>
      <c r="AF165" s="8" t="n">
        <f aca="false">IF(AD165=0,0,AE165/AD165)</f>
        <v>0.204186759997173</v>
      </c>
      <c r="AG165" s="3" t="str">
        <f aca="false">IF(ABS(Y165-AD165)&gt;1,"Mismatch","OK")</f>
        <v>OK</v>
      </c>
      <c r="AH165" s="3" t="str">
        <f aca="false">IF(ABS(AA165-AE165)&gt;1,"Mismatch","OK")</f>
        <v>OK</v>
      </c>
      <c r="AI165" s="6" t="n">
        <f aca="false">IF(B165="","",MONTH(B165))</f>
        <v>9</v>
      </c>
      <c r="AJ165" s="6" t="n">
        <f aca="false">IF(B165="","",YEAR(B165))</f>
        <v>2025</v>
      </c>
      <c r="AK165" s="3" t="str">
        <f aca="false">IF(COUNTIF(raw_data!$A$2:$A$913,A165)&gt;1,"Conflicting Duplicate - Flagged for Review","Unique")</f>
        <v>Unique</v>
      </c>
      <c r="AL165" s="3" t="str">
        <f aca="false">IF(AB165="Refunded","Yes","No")</f>
        <v>No</v>
      </c>
      <c r="AM165" s="3" t="str">
        <f aca="false">IF(OR(AC165&lt;&gt;"Completed",AB165="Failed"),"Excluded","Included")</f>
        <v>Excluded</v>
      </c>
      <c r="AN165" s="3" t="str">
        <f aca="false">IF(OR(D165="Invalid/Unrecognized",E165="Invalid/Unrecognized",G165="Invalid - Ship Before Order",X165="Negative - Invalid",X165="Above Allowed Range - Invalid",AG165="Mismatch",AH165="Mismatch",AK165="Conflicting Duplicate - Flagged for Review"),"Invalid",IF(OR(L165="Filled - Unknown",S165="Filled - Unknown",X165="Missing - Defaulted to 0",AL165="Yes",AC165="Cancelled",AC165="Returned"),"Warning","Clean"))</f>
        <v>Warning</v>
      </c>
    </row>
    <row r="166" customFormat="false" ht="15" hidden="false" customHeight="false" outlineLevel="0" collapsed="false">
      <c r="A166" s="3" t="str">
        <f aca="false">raw_data!A166</f>
        <v>ORD-2025-10165</v>
      </c>
      <c r="B166" s="4" t="n">
        <f aca="false">IFERROR(IF(MID(raw_data!B166,3,1)="/",DATE(VALUE(RIGHT(raw_data!B166,4)),VALUE(LEFT(raw_data!B166,2)),VALUE(MID(raw_data!B166,4,2))),IF(MID(raw_data!B166,3,1)="-",DATE(VALUE(RIGHT(raw_data!B166,4)),VALUE(MID(raw_data!B166,4,2)),VALUE(LEFT(raw_data!B166,2))),IF(MID(raw_data!B166,5,1)="-",DATE(VALUE(LEFT(raw_data!B166,4)),VALUE(MID(raw_data!B166,6,2)),VALUE(RIGHT(raw_data!B166,2))),DATE(VALUE(RIGHT(raw_data!B166,4)),MATCH(MID(raw_data!B166,4,3),{"Jan","Feb","Mar","Apr","May","Jun","Jul","Aug","Sep","Oct","Nov","Dec"},0),VALUE(LEFT(raw_data!B166,2)))))),"")</f>
        <v>45909</v>
      </c>
      <c r="C166" s="4" t="n">
        <f aca="false">IFERROR(IF(MID(raw_data!C166,3,1)="/",DATE(VALUE(RIGHT(raw_data!C166,4)),VALUE(LEFT(raw_data!C166,2)),VALUE(MID(raw_data!C166,4,2))),IF(MID(raw_data!C166,3,1)="-",DATE(VALUE(RIGHT(raw_data!C166,4)),VALUE(MID(raw_data!C166,4,2)),VALUE(LEFT(raw_data!C166,2))),IF(MID(raw_data!C166,5,1)="-",DATE(VALUE(LEFT(raw_data!C166,4)),VALUE(MID(raw_data!C166,6,2)),VALUE(RIGHT(raw_data!C166,2))),DATE(VALUE(RIGHT(raw_data!C166,4)),MATCH(MID(raw_data!C166,4,3),{"Jan","Feb","Mar","Apr","May","Jun","Jul","Aug","Sep","Oct","Nov","Dec"},0),VALUE(LEFT(raw_data!C166,2)))))),"")</f>
        <v>45914</v>
      </c>
      <c r="D166" s="3" t="str">
        <f aca="false">IF(TRIM(raw_data!B166)="","Missing",IF(B166="","Invalid/Unrecognized","Valid"))</f>
        <v>Valid</v>
      </c>
      <c r="E166" s="3" t="str">
        <f aca="false">IF(TRIM(raw_data!C166)="","Missing",IF(C166="","Invalid/Unrecognized","Valid"))</f>
        <v>Valid</v>
      </c>
      <c r="F166" s="5" t="n">
        <f aca="false">IF(OR(B166="",C166=""),"",C166-B166)</f>
        <v>5</v>
      </c>
      <c r="G166" s="3" t="str">
        <f aca="false">IF(F166="","N/A",IF(F166&lt;0,"Invalid - Ship Before Order","OK"))</f>
        <v>OK</v>
      </c>
      <c r="H166" s="3" t="str">
        <f aca="false">raw_data!D166</f>
        <v>CUST-3833</v>
      </c>
      <c r="I166" s="3" t="str">
        <f aca="false">PROPER(TRIM(raw_data!E166))</f>
        <v>Rahul Verma</v>
      </c>
      <c r="J166" s="3" t="str">
        <f aca="false">PROPER(TRIM(raw_data!F166))</f>
        <v>Small Business</v>
      </c>
      <c r="K166" s="3" t="str">
        <f aca="false">IF(TRIM(raw_data!G166)="","Unknown",PROPER(TRIM(raw_data!G166)))</f>
        <v>East</v>
      </c>
      <c r="L166" s="3" t="str">
        <f aca="false">IF(TRIM(raw_data!G166)="","Filled - Unknown","OK")</f>
        <v>OK</v>
      </c>
      <c r="M166" s="3" t="str">
        <f aca="false">PROPER(TRIM(raw_data!H166))</f>
        <v>West Bengal</v>
      </c>
      <c r="N166" s="3" t="str">
        <f aca="false">PROPER(TRIM(raw_data!I166))</f>
        <v>Kolkata</v>
      </c>
      <c r="O166" s="3" t="str">
        <f aca="false">PROPER(TRIM(raw_data!J166))</f>
        <v>Furniture</v>
      </c>
      <c r="P166" s="3" t="str">
        <f aca="false">PROPER(TRIM(raw_data!K166))</f>
        <v>Bookcases</v>
      </c>
      <c r="Q166" s="3" t="str">
        <f aca="false">TRIM(raw_data!L166)</f>
        <v>Pro Bookcases 595</v>
      </c>
      <c r="R166" s="3" t="str">
        <f aca="false">IF(TRIM(raw_data!M166)="","Unknown",PROPER(TRIM(raw_data!M166)))</f>
        <v>Second Class</v>
      </c>
      <c r="S166" s="3" t="str">
        <f aca="false">IF(TRIM(raw_data!M166)="","Filled - Unknown","OK")</f>
        <v>OK</v>
      </c>
      <c r="T166" s="6" t="n">
        <f aca="false">raw_data!N166</f>
        <v>1</v>
      </c>
      <c r="U166" s="7" t="n">
        <f aca="false">raw_data!O166</f>
        <v>3154.42</v>
      </c>
      <c r="V166" s="8" t="n">
        <f aca="false">raw_data!P166</f>
        <v>0.25</v>
      </c>
      <c r="W166" s="8" t="n">
        <f aca="false">IF(raw_data!P166="",0,IF(ISTEXT(raw_data!P166),IF(RIGHT(raw_data!P166,1)="%",VALUE(LEFT(raw_data!P166,LEN(raw_data!P166)-1))/100,VALUE(raw_data!P166)),raw_data!P166))</f>
        <v>0.25</v>
      </c>
      <c r="X166" s="3" t="str">
        <f aca="false">IF(raw_data!P166="","Missing - Defaulted to 0",IF(W166&lt;0,"Negative - Invalid",IF(W166&gt;0.3,"Above Allowed Range - Invalid","Valid")))</f>
        <v>Valid</v>
      </c>
      <c r="Y166" s="7" t="n">
        <f aca="false">raw_data!Q166</f>
        <v>2365.82</v>
      </c>
      <c r="Z166" s="7" t="n">
        <f aca="false">raw_data!R166</f>
        <v>1547.99</v>
      </c>
      <c r="AA166" s="7" t="n">
        <f aca="false">raw_data!S166</f>
        <v>817.83</v>
      </c>
      <c r="AB166" s="3" t="str">
        <f aca="false">PROPER(TRIM(raw_data!T166))</f>
        <v>Paid</v>
      </c>
      <c r="AC166" s="3" t="str">
        <f aca="false">PROPER(TRIM(raw_data!U166))</f>
        <v>Completed</v>
      </c>
      <c r="AD166" s="7" t="n">
        <f aca="false">T166*U166*(1-W166)</f>
        <v>2365.815</v>
      </c>
      <c r="AE166" s="7" t="n">
        <f aca="false">AD166-Z166</f>
        <v>817.825</v>
      </c>
      <c r="AF166" s="8" t="n">
        <f aca="false">IF(AD166=0,0,AE166/AD166)</f>
        <v>0.345684256799454</v>
      </c>
      <c r="AG166" s="3" t="str">
        <f aca="false">IF(ABS(Y166-AD166)&gt;1,"Mismatch","OK")</f>
        <v>OK</v>
      </c>
      <c r="AH166" s="3" t="str">
        <f aca="false">IF(ABS(AA166-AE166)&gt;1,"Mismatch","OK")</f>
        <v>OK</v>
      </c>
      <c r="AI166" s="6" t="n">
        <f aca="false">IF(B166="","",MONTH(B166))</f>
        <v>9</v>
      </c>
      <c r="AJ166" s="6" t="n">
        <f aca="false">IF(B166="","",YEAR(B166))</f>
        <v>2025</v>
      </c>
      <c r="AK166" s="3" t="str">
        <f aca="false">IF(COUNTIF(raw_data!$A$2:$A$913,A166)&gt;1,"Conflicting Duplicate - Flagged for Review","Unique")</f>
        <v>Unique</v>
      </c>
      <c r="AL166" s="3" t="str">
        <f aca="false">IF(AB166="Refunded","Yes","No")</f>
        <v>No</v>
      </c>
      <c r="AM166" s="3" t="str">
        <f aca="false">IF(OR(AC166&lt;&gt;"Completed",AB166="Failed"),"Excluded","Included")</f>
        <v>Included</v>
      </c>
      <c r="AN166" s="3" t="str">
        <f aca="false">IF(OR(D166="Invalid/Unrecognized",E166="Invalid/Unrecognized",G166="Invalid - Ship Before Order",X166="Negative - Invalid",X166="Above Allowed Range - Invalid",AG166="Mismatch",AH166="Mismatch",AK166="Conflicting Duplicate - Flagged for Review"),"Invalid",IF(OR(L166="Filled - Unknown",S166="Filled - Unknown",X166="Missing - Defaulted to 0",AL166="Yes",AC166="Cancelled",AC166="Returned"),"Warning","Clean"))</f>
        <v>Clean</v>
      </c>
    </row>
    <row r="167" customFormat="false" ht="15" hidden="false" customHeight="false" outlineLevel="0" collapsed="false">
      <c r="A167" s="3" t="str">
        <f aca="false">raw_data!A167</f>
        <v>ORD-2024-10166</v>
      </c>
      <c r="B167" s="4" t="n">
        <f aca="false">IFERROR(IF(MID(raw_data!B167,3,1)="/",DATE(VALUE(RIGHT(raw_data!B167,4)),VALUE(LEFT(raw_data!B167,2)),VALUE(MID(raw_data!B167,4,2))),IF(MID(raw_data!B167,3,1)="-",DATE(VALUE(RIGHT(raw_data!B167,4)),VALUE(MID(raw_data!B167,4,2)),VALUE(LEFT(raw_data!B167,2))),IF(MID(raw_data!B167,5,1)="-",DATE(VALUE(LEFT(raw_data!B167,4)),VALUE(MID(raw_data!B167,6,2)),VALUE(RIGHT(raw_data!B167,2))),DATE(VALUE(RIGHT(raw_data!B167,4)),MATCH(MID(raw_data!B167,4,3),{"Jan","Feb","Mar","Apr","May","Jun","Jul","Aug","Sep","Oct","Nov","Dec"},0),VALUE(LEFT(raw_data!B167,2)))))),"")</f>
        <v>45618</v>
      </c>
      <c r="C167" s="4" t="n">
        <f aca="false">IFERROR(IF(MID(raw_data!C167,3,1)="/",DATE(VALUE(RIGHT(raw_data!C167,4)),VALUE(LEFT(raw_data!C167,2)),VALUE(MID(raw_data!C167,4,2))),IF(MID(raw_data!C167,3,1)="-",DATE(VALUE(RIGHT(raw_data!C167,4)),VALUE(MID(raw_data!C167,4,2)),VALUE(LEFT(raw_data!C167,2))),IF(MID(raw_data!C167,5,1)="-",DATE(VALUE(LEFT(raw_data!C167,4)),VALUE(MID(raw_data!C167,6,2)),VALUE(RIGHT(raw_data!C167,2))),DATE(VALUE(RIGHT(raw_data!C167,4)),MATCH(MID(raw_data!C167,4,3),{"Jan","Feb","Mar","Apr","May","Jun","Jul","Aug","Sep","Oct","Nov","Dec"},0),VALUE(LEFT(raw_data!C167,2)))))),"")</f>
        <v>45625</v>
      </c>
      <c r="D167" s="3" t="str">
        <f aca="false">IF(TRIM(raw_data!B167)="","Missing",IF(B167="","Invalid/Unrecognized","Valid"))</f>
        <v>Valid</v>
      </c>
      <c r="E167" s="3" t="str">
        <f aca="false">IF(TRIM(raw_data!C167)="","Missing",IF(C167="","Invalid/Unrecognized","Valid"))</f>
        <v>Valid</v>
      </c>
      <c r="F167" s="5" t="n">
        <f aca="false">IF(OR(B167="",C167=""),"",C167-B167)</f>
        <v>7</v>
      </c>
      <c r="G167" s="3" t="str">
        <f aca="false">IF(F167="","N/A",IF(F167&lt;0,"Invalid - Ship Before Order","OK"))</f>
        <v>OK</v>
      </c>
      <c r="H167" s="3" t="str">
        <f aca="false">raw_data!D167</f>
        <v>CUST-4598</v>
      </c>
      <c r="I167" s="3" t="str">
        <f aca="false">PROPER(TRIM(raw_data!E167))</f>
        <v>Mira Das</v>
      </c>
      <c r="J167" s="3" t="str">
        <f aca="false">PROPER(TRIM(raw_data!F167))</f>
        <v>Home Office</v>
      </c>
      <c r="K167" s="3" t="str">
        <f aca="false">IF(TRIM(raw_data!G167)="","Unknown",PROPER(TRIM(raw_data!G167)))</f>
        <v>East</v>
      </c>
      <c r="L167" s="3" t="str">
        <f aca="false">IF(TRIM(raw_data!G167)="","Filled - Unknown","OK")</f>
        <v>OK</v>
      </c>
      <c r="M167" s="3" t="str">
        <f aca="false">PROPER(TRIM(raw_data!H167))</f>
        <v>Bihar</v>
      </c>
      <c r="N167" s="3" t="str">
        <f aca="false">PROPER(TRIM(raw_data!I167))</f>
        <v>Patna</v>
      </c>
      <c r="O167" s="3" t="str">
        <f aca="false">PROPER(TRIM(raw_data!J167))</f>
        <v>Furniture</v>
      </c>
      <c r="P167" s="3" t="str">
        <f aca="false">PROPER(TRIM(raw_data!K167))</f>
        <v>Chairs</v>
      </c>
      <c r="Q167" s="3" t="str">
        <f aca="false">TRIM(raw_data!L167)</f>
        <v>Max Chairs 148</v>
      </c>
      <c r="R167" s="3" t="str">
        <f aca="false">IF(TRIM(raw_data!M167)="","Unknown",PROPER(TRIM(raw_data!M167)))</f>
        <v>Standard Class</v>
      </c>
      <c r="S167" s="3" t="str">
        <f aca="false">IF(TRIM(raw_data!M167)="","Filled - Unknown","OK")</f>
        <v>OK</v>
      </c>
      <c r="T167" s="6" t="n">
        <f aca="false">raw_data!N167</f>
        <v>4</v>
      </c>
      <c r="U167" s="7" t="n">
        <f aca="false">raw_data!O167</f>
        <v>3422.99</v>
      </c>
      <c r="V167" s="8" t="n">
        <f aca="false">raw_data!P167</f>
        <v>0.25</v>
      </c>
      <c r="W167" s="8" t="n">
        <f aca="false">IF(raw_data!P167="",0,IF(ISTEXT(raw_data!P167),IF(RIGHT(raw_data!P167,1)="%",VALUE(LEFT(raw_data!P167,LEN(raw_data!P167)-1))/100,VALUE(raw_data!P167)),raw_data!P167))</f>
        <v>0.25</v>
      </c>
      <c r="X167" s="3" t="str">
        <f aca="false">IF(raw_data!P167="","Missing - Defaulted to 0",IF(W167&lt;0,"Negative - Invalid",IF(W167&gt;0.3,"Above Allowed Range - Invalid","Valid")))</f>
        <v>Valid</v>
      </c>
      <c r="Y167" s="7" t="n">
        <f aca="false">raw_data!Q167</f>
        <v>10268.97</v>
      </c>
      <c r="Z167" s="7" t="n">
        <f aca="false">raw_data!R167</f>
        <v>6470.92</v>
      </c>
      <c r="AA167" s="7" t="n">
        <f aca="false">raw_data!S167</f>
        <v>3798.05</v>
      </c>
      <c r="AB167" s="3" t="str">
        <f aca="false">PROPER(TRIM(raw_data!T167))</f>
        <v>Paid</v>
      </c>
      <c r="AC167" s="3" t="str">
        <f aca="false">PROPER(TRIM(raw_data!U167))</f>
        <v>Completed</v>
      </c>
      <c r="AD167" s="7" t="n">
        <f aca="false">T167*U167*(1-W167)</f>
        <v>10268.97</v>
      </c>
      <c r="AE167" s="7" t="n">
        <f aca="false">AD167-Z167</f>
        <v>3798.05</v>
      </c>
      <c r="AF167" s="8" t="n">
        <f aca="false">IF(AD167=0,0,AE167/AD167)</f>
        <v>0.369856957416372</v>
      </c>
      <c r="AG167" s="3" t="str">
        <f aca="false">IF(ABS(Y167-AD167)&gt;1,"Mismatch","OK")</f>
        <v>OK</v>
      </c>
      <c r="AH167" s="3" t="str">
        <f aca="false">IF(ABS(AA167-AE167)&gt;1,"Mismatch","OK")</f>
        <v>OK</v>
      </c>
      <c r="AI167" s="6" t="n">
        <f aca="false">IF(B167="","",MONTH(B167))</f>
        <v>11</v>
      </c>
      <c r="AJ167" s="6" t="n">
        <f aca="false">IF(B167="","",YEAR(B167))</f>
        <v>2024</v>
      </c>
      <c r="AK167" s="3" t="str">
        <f aca="false">IF(COUNTIF(raw_data!$A$2:$A$913,A167)&gt;1,"Conflicting Duplicate - Flagged for Review","Unique")</f>
        <v>Unique</v>
      </c>
      <c r="AL167" s="3" t="str">
        <f aca="false">IF(AB167="Refunded","Yes","No")</f>
        <v>No</v>
      </c>
      <c r="AM167" s="3" t="str">
        <f aca="false">IF(OR(AC167&lt;&gt;"Completed",AB167="Failed"),"Excluded","Included")</f>
        <v>Included</v>
      </c>
      <c r="AN167" s="3" t="str">
        <f aca="false">IF(OR(D167="Invalid/Unrecognized",E167="Invalid/Unrecognized",G167="Invalid - Ship Before Order",X167="Negative - Invalid",X167="Above Allowed Range - Invalid",AG167="Mismatch",AH167="Mismatch",AK167="Conflicting Duplicate - Flagged for Review"),"Invalid",IF(OR(L167="Filled - Unknown",S167="Filled - Unknown",X167="Missing - Defaulted to 0",AL167="Yes",AC167="Cancelled",AC167="Returned"),"Warning","Clean"))</f>
        <v>Clean</v>
      </c>
    </row>
    <row r="168" customFormat="false" ht="15" hidden="false" customHeight="false" outlineLevel="0" collapsed="false">
      <c r="A168" s="3" t="str">
        <f aca="false">raw_data!A168</f>
        <v>ORD-2025-10167</v>
      </c>
      <c r="B168" s="4" t="n">
        <f aca="false">IFERROR(IF(MID(raw_data!B168,3,1)="/",DATE(VALUE(RIGHT(raw_data!B168,4)),VALUE(LEFT(raw_data!B168,2)),VALUE(MID(raw_data!B168,4,2))),IF(MID(raw_data!B168,3,1)="-",DATE(VALUE(RIGHT(raw_data!B168,4)),VALUE(MID(raw_data!B168,4,2)),VALUE(LEFT(raw_data!B168,2))),IF(MID(raw_data!B168,5,1)="-",DATE(VALUE(LEFT(raw_data!B168,4)),VALUE(MID(raw_data!B168,6,2)),VALUE(RIGHT(raw_data!B168,2))),DATE(VALUE(RIGHT(raw_data!B168,4)),MATCH(MID(raw_data!B168,4,3),{"Jan","Feb","Mar","Apr","May","Jun","Jul","Aug","Sep","Oct","Nov","Dec"},0),VALUE(LEFT(raw_data!B168,2)))))),"")</f>
        <v>45708</v>
      </c>
      <c r="C168" s="4" t="n">
        <f aca="false">IFERROR(IF(MID(raw_data!C168,3,1)="/",DATE(VALUE(RIGHT(raw_data!C168,4)),VALUE(LEFT(raw_data!C168,2)),VALUE(MID(raw_data!C168,4,2))),IF(MID(raw_data!C168,3,1)="-",DATE(VALUE(RIGHT(raw_data!C168,4)),VALUE(MID(raw_data!C168,4,2)),VALUE(LEFT(raw_data!C168,2))),IF(MID(raw_data!C168,5,1)="-",DATE(VALUE(LEFT(raw_data!C168,4)),VALUE(MID(raw_data!C168,6,2)),VALUE(RIGHT(raw_data!C168,2))),DATE(VALUE(RIGHT(raw_data!C168,4)),MATCH(MID(raw_data!C168,4,3),{"Jan","Feb","Mar","Apr","May","Jun","Jul","Aug","Sep","Oct","Nov","Dec"},0),VALUE(LEFT(raw_data!C168,2)))))),"")</f>
        <v>45714</v>
      </c>
      <c r="D168" s="3" t="str">
        <f aca="false">IF(TRIM(raw_data!B168)="","Missing",IF(B168="","Invalid/Unrecognized","Valid"))</f>
        <v>Valid</v>
      </c>
      <c r="E168" s="3" t="str">
        <f aca="false">IF(TRIM(raw_data!C168)="","Missing",IF(C168="","Invalid/Unrecognized","Valid"))</f>
        <v>Valid</v>
      </c>
      <c r="F168" s="5" t="n">
        <f aca="false">IF(OR(B168="",C168=""),"",C168-B168)</f>
        <v>6</v>
      </c>
      <c r="G168" s="3" t="str">
        <f aca="false">IF(F168="","N/A",IF(F168&lt;0,"Invalid - Ship Before Order","OK"))</f>
        <v>OK</v>
      </c>
      <c r="H168" s="3" t="str">
        <f aca="false">raw_data!D168</f>
        <v>CUST-7215</v>
      </c>
      <c r="I168" s="3" t="str">
        <f aca="false">PROPER(TRIM(raw_data!E168))</f>
        <v>Karan Malhotra</v>
      </c>
      <c r="J168" s="3" t="str">
        <f aca="false">PROPER(TRIM(raw_data!F168))</f>
        <v>Small Business</v>
      </c>
      <c r="K168" s="3" t="str">
        <f aca="false">IF(TRIM(raw_data!G168)="","Unknown",PROPER(TRIM(raw_data!G168)))</f>
        <v>West</v>
      </c>
      <c r="L168" s="3" t="str">
        <f aca="false">IF(TRIM(raw_data!G168)="","Filled - Unknown","OK")</f>
        <v>OK</v>
      </c>
      <c r="M168" s="3" t="str">
        <f aca="false">PROPER(TRIM(raw_data!H168))</f>
        <v>Gujarat</v>
      </c>
      <c r="N168" s="3" t="str">
        <f aca="false">PROPER(TRIM(raw_data!I168))</f>
        <v>Ahmedabad</v>
      </c>
      <c r="O168" s="3" t="str">
        <f aca="false">PROPER(TRIM(raw_data!J168))</f>
        <v>Office Supplies</v>
      </c>
      <c r="P168" s="3" t="str">
        <f aca="false">PROPER(TRIM(raw_data!K168))</f>
        <v>Labels</v>
      </c>
      <c r="Q168" s="3" t="str">
        <f aca="false">TRIM(raw_data!L168)</f>
        <v>Basic Labels 671</v>
      </c>
      <c r="R168" s="3" t="str">
        <f aca="false">IF(TRIM(raw_data!M168)="","Unknown",PROPER(TRIM(raw_data!M168)))</f>
        <v>First Class</v>
      </c>
      <c r="S168" s="3" t="str">
        <f aca="false">IF(TRIM(raw_data!M168)="","Filled - Unknown","OK")</f>
        <v>OK</v>
      </c>
      <c r="T168" s="6" t="n">
        <f aca="false">raw_data!N168</f>
        <v>1</v>
      </c>
      <c r="U168" s="7" t="n">
        <f aca="false">raw_data!O168</f>
        <v>2557.85</v>
      </c>
      <c r="V168" s="8" t="n">
        <f aca="false">raw_data!P168</f>
        <v>0.2</v>
      </c>
      <c r="W168" s="8" t="n">
        <f aca="false">IF(raw_data!P168="",0,IF(ISTEXT(raw_data!P168),IF(RIGHT(raw_data!P168,1)="%",VALUE(LEFT(raw_data!P168,LEN(raw_data!P168)-1))/100,VALUE(raw_data!P168)),raw_data!P168))</f>
        <v>0.2</v>
      </c>
      <c r="X168" s="3" t="str">
        <f aca="false">IF(raw_data!P168="","Missing - Defaulted to 0",IF(W168&lt;0,"Negative - Invalid",IF(W168&gt;0.3,"Above Allowed Range - Invalid","Valid")))</f>
        <v>Valid</v>
      </c>
      <c r="Y168" s="7" t="n">
        <f aca="false">raw_data!Q168</f>
        <v>2046.28</v>
      </c>
      <c r="Z168" s="7" t="n">
        <f aca="false">raw_data!R168</f>
        <v>1449.54</v>
      </c>
      <c r="AA168" s="7" t="n">
        <f aca="false">raw_data!S168</f>
        <v>596.74</v>
      </c>
      <c r="AB168" s="3" t="str">
        <f aca="false">PROPER(TRIM(raw_data!T168))</f>
        <v>Paid</v>
      </c>
      <c r="AC168" s="3" t="str">
        <f aca="false">PROPER(TRIM(raw_data!U168))</f>
        <v>Completed</v>
      </c>
      <c r="AD168" s="7" t="n">
        <f aca="false">T168*U168*(1-W168)</f>
        <v>2046.28</v>
      </c>
      <c r="AE168" s="7" t="n">
        <f aca="false">AD168-Z168</f>
        <v>596.74</v>
      </c>
      <c r="AF168" s="8" t="n">
        <f aca="false">IF(AD168=0,0,AE168/AD168)</f>
        <v>0.291621869929824</v>
      </c>
      <c r="AG168" s="3" t="str">
        <f aca="false">IF(ABS(Y168-AD168)&gt;1,"Mismatch","OK")</f>
        <v>OK</v>
      </c>
      <c r="AH168" s="3" t="str">
        <f aca="false">IF(ABS(AA168-AE168)&gt;1,"Mismatch","OK")</f>
        <v>OK</v>
      </c>
      <c r="AI168" s="6" t="n">
        <f aca="false">IF(B168="","",MONTH(B168))</f>
        <v>2</v>
      </c>
      <c r="AJ168" s="6" t="n">
        <f aca="false">IF(B168="","",YEAR(B168))</f>
        <v>2025</v>
      </c>
      <c r="AK168" s="3" t="str">
        <f aca="false">IF(COUNTIF(raw_data!$A$2:$A$913,A168)&gt;1,"Conflicting Duplicate - Flagged for Review","Unique")</f>
        <v>Unique</v>
      </c>
      <c r="AL168" s="3" t="str">
        <f aca="false">IF(AB168="Refunded","Yes","No")</f>
        <v>No</v>
      </c>
      <c r="AM168" s="3" t="str">
        <f aca="false">IF(OR(AC168&lt;&gt;"Completed",AB168="Failed"),"Excluded","Included")</f>
        <v>Included</v>
      </c>
      <c r="AN168" s="3" t="str">
        <f aca="false">IF(OR(D168="Invalid/Unrecognized",E168="Invalid/Unrecognized",G168="Invalid - Ship Before Order",X168="Negative - Invalid",X168="Above Allowed Range - Invalid",AG168="Mismatch",AH168="Mismatch",AK168="Conflicting Duplicate - Flagged for Review"),"Invalid",IF(OR(L168="Filled - Unknown",S168="Filled - Unknown",X168="Missing - Defaulted to 0",AL168="Yes",AC168="Cancelled",AC168="Returned"),"Warning","Clean"))</f>
        <v>Clean</v>
      </c>
    </row>
    <row r="169" customFormat="false" ht="15" hidden="false" customHeight="false" outlineLevel="0" collapsed="false">
      <c r="A169" s="3" t="str">
        <f aca="false">raw_data!A169</f>
        <v>ORD-2025-10168</v>
      </c>
      <c r="B169" s="4" t="n">
        <f aca="false">IFERROR(IF(MID(raw_data!B169,3,1)="/",DATE(VALUE(RIGHT(raw_data!B169,4)),VALUE(LEFT(raw_data!B169,2)),VALUE(MID(raw_data!B169,4,2))),IF(MID(raw_data!B169,3,1)="-",DATE(VALUE(RIGHT(raw_data!B169,4)),VALUE(MID(raw_data!B169,4,2)),VALUE(LEFT(raw_data!B169,2))),IF(MID(raw_data!B169,5,1)="-",DATE(VALUE(LEFT(raw_data!B169,4)),VALUE(MID(raw_data!B169,6,2)),VALUE(RIGHT(raw_data!B169,2))),DATE(VALUE(RIGHT(raw_data!B169,4)),MATCH(MID(raw_data!B169,4,3),{"Jan","Feb","Mar","Apr","May","Jun","Jul","Aug","Sep","Oct","Nov","Dec"},0),VALUE(LEFT(raw_data!B169,2)))))),"")</f>
        <v>45887</v>
      </c>
      <c r="C169" s="4" t="n">
        <f aca="false">IFERROR(IF(MID(raw_data!C169,3,1)="/",DATE(VALUE(RIGHT(raw_data!C169,4)),VALUE(LEFT(raw_data!C169,2)),VALUE(MID(raw_data!C169,4,2))),IF(MID(raw_data!C169,3,1)="-",DATE(VALUE(RIGHT(raw_data!C169,4)),VALUE(MID(raw_data!C169,4,2)),VALUE(LEFT(raw_data!C169,2))),IF(MID(raw_data!C169,5,1)="-",DATE(VALUE(LEFT(raw_data!C169,4)),VALUE(MID(raw_data!C169,6,2)),VALUE(RIGHT(raw_data!C169,2))),DATE(VALUE(RIGHT(raw_data!C169,4)),MATCH(MID(raw_data!C169,4,3),{"Jan","Feb","Mar","Apr","May","Jun","Jul","Aug","Sep","Oct","Nov","Dec"},0),VALUE(LEFT(raw_data!C169,2)))))),"")</f>
        <v>45887</v>
      </c>
      <c r="D169" s="3" t="str">
        <f aca="false">IF(TRIM(raw_data!B169)="","Missing",IF(B169="","Invalid/Unrecognized","Valid"))</f>
        <v>Valid</v>
      </c>
      <c r="E169" s="3" t="str">
        <f aca="false">IF(TRIM(raw_data!C169)="","Missing",IF(C169="","Invalid/Unrecognized","Valid"))</f>
        <v>Valid</v>
      </c>
      <c r="F169" s="5" t="n">
        <f aca="false">IF(OR(B169="",C169=""),"",C169-B169)</f>
        <v>0</v>
      </c>
      <c r="G169" s="3" t="str">
        <f aca="false">IF(F169="","N/A",IF(F169&lt;0,"Invalid - Ship Before Order","OK"))</f>
        <v>OK</v>
      </c>
      <c r="H169" s="3" t="str">
        <f aca="false">raw_data!D169</f>
        <v>CUST-7770</v>
      </c>
      <c r="I169" s="3" t="str">
        <f aca="false">PROPER(TRIM(raw_data!E169))</f>
        <v>Arjun Bose</v>
      </c>
      <c r="J169" s="3" t="str">
        <f aca="false">PROPER(TRIM(raw_data!F169))</f>
        <v>Home Office</v>
      </c>
      <c r="K169" s="3" t="str">
        <f aca="false">IF(TRIM(raw_data!G169)="","Unknown",PROPER(TRIM(raw_data!G169)))</f>
        <v>South</v>
      </c>
      <c r="L169" s="3" t="str">
        <f aca="false">IF(TRIM(raw_data!G169)="","Filled - Unknown","OK")</f>
        <v>OK</v>
      </c>
      <c r="M169" s="3" t="str">
        <f aca="false">PROPER(TRIM(raw_data!H169))</f>
        <v>Karnataka</v>
      </c>
      <c r="N169" s="3" t="str">
        <f aca="false">PROPER(TRIM(raw_data!I169))</f>
        <v>Bengaluru</v>
      </c>
      <c r="O169" s="3" t="str">
        <f aca="false">PROPER(TRIM(raw_data!J169))</f>
        <v>Office Supplies</v>
      </c>
      <c r="P169" s="3" t="str">
        <f aca="false">PROPER(TRIM(raw_data!K169))</f>
        <v>Storage</v>
      </c>
      <c r="Q169" s="3" t="str">
        <f aca="false">TRIM(raw_data!L169)</f>
        <v>Elite Storage 628</v>
      </c>
      <c r="R169" s="3" t="str">
        <f aca="false">IF(TRIM(raw_data!M169)="","Unknown",PROPER(TRIM(raw_data!M169)))</f>
        <v>First Class</v>
      </c>
      <c r="S169" s="3" t="str">
        <f aca="false">IF(TRIM(raw_data!M169)="","Filled - Unknown","OK")</f>
        <v>OK</v>
      </c>
      <c r="T169" s="6" t="n">
        <f aca="false">raw_data!N169</f>
        <v>9</v>
      </c>
      <c r="U169" s="7" t="n">
        <f aca="false">raw_data!O169</f>
        <v>3030.93</v>
      </c>
      <c r="V169" s="8" t="n">
        <f aca="false">raw_data!P169</f>
        <v>0.15</v>
      </c>
      <c r="W169" s="8" t="n">
        <f aca="false">IF(raw_data!P169="",0,IF(ISTEXT(raw_data!P169),IF(RIGHT(raw_data!P169,1)="%",VALUE(LEFT(raw_data!P169,LEN(raw_data!P169)-1))/100,VALUE(raw_data!P169)),raw_data!P169))</f>
        <v>0.15</v>
      </c>
      <c r="X169" s="3" t="str">
        <f aca="false">IF(raw_data!P169="","Missing - Defaulted to 0",IF(W169&lt;0,"Negative - Invalid",IF(W169&gt;0.3,"Above Allowed Range - Invalid","Valid")))</f>
        <v>Valid</v>
      </c>
      <c r="Y169" s="7" t="n">
        <f aca="false">raw_data!Q169</f>
        <v>23186.61</v>
      </c>
      <c r="Z169" s="7" t="n">
        <f aca="false">raw_data!R169</f>
        <v>17906.54</v>
      </c>
      <c r="AA169" s="7" t="n">
        <f aca="false">raw_data!S169</f>
        <v>5280.07</v>
      </c>
      <c r="AB169" s="3" t="str">
        <f aca="false">PROPER(TRIM(raw_data!T169))</f>
        <v>Paid</v>
      </c>
      <c r="AC169" s="3" t="str">
        <f aca="false">PROPER(TRIM(raw_data!U169))</f>
        <v>Returned</v>
      </c>
      <c r="AD169" s="7" t="n">
        <f aca="false">T169*U169*(1-W169)</f>
        <v>23186.6145</v>
      </c>
      <c r="AE169" s="7" t="n">
        <f aca="false">AD169-Z169</f>
        <v>5280.0745</v>
      </c>
      <c r="AF169" s="8" t="n">
        <f aca="false">IF(AD169=0,0,AE169/AD169)</f>
        <v>0.22772080417346</v>
      </c>
      <c r="AG169" s="3" t="str">
        <f aca="false">IF(ABS(Y169-AD169)&gt;1,"Mismatch","OK")</f>
        <v>OK</v>
      </c>
      <c r="AH169" s="3" t="str">
        <f aca="false">IF(ABS(AA169-AE169)&gt;1,"Mismatch","OK")</f>
        <v>OK</v>
      </c>
      <c r="AI169" s="6" t="n">
        <f aca="false">IF(B169="","",MONTH(B169))</f>
        <v>8</v>
      </c>
      <c r="AJ169" s="6" t="n">
        <f aca="false">IF(B169="","",YEAR(B169))</f>
        <v>2025</v>
      </c>
      <c r="AK169" s="3" t="str">
        <f aca="false">IF(COUNTIF(raw_data!$A$2:$A$913,A169)&gt;1,"Conflicting Duplicate - Flagged for Review","Unique")</f>
        <v>Unique</v>
      </c>
      <c r="AL169" s="3" t="str">
        <f aca="false">IF(AB169="Refunded","Yes","No")</f>
        <v>No</v>
      </c>
      <c r="AM169" s="3" t="str">
        <f aca="false">IF(OR(AC169&lt;&gt;"Completed",AB169="Failed"),"Excluded","Included")</f>
        <v>Excluded</v>
      </c>
      <c r="AN169" s="3" t="str">
        <f aca="false">IF(OR(D169="Invalid/Unrecognized",E169="Invalid/Unrecognized",G169="Invalid - Ship Before Order",X169="Negative - Invalid",X169="Above Allowed Range - Invalid",AG169="Mismatch",AH169="Mismatch",AK169="Conflicting Duplicate - Flagged for Review"),"Invalid",IF(OR(L169="Filled - Unknown",S169="Filled - Unknown",X169="Missing - Defaulted to 0",AL169="Yes",AC169="Cancelled",AC169="Returned"),"Warning","Clean"))</f>
        <v>Warning</v>
      </c>
    </row>
    <row r="170" customFormat="false" ht="15" hidden="false" customHeight="false" outlineLevel="0" collapsed="false">
      <c r="A170" s="3" t="str">
        <f aca="false">raw_data!A170</f>
        <v>ORD-2025-10169</v>
      </c>
      <c r="B170" s="4" t="n">
        <f aca="false">IFERROR(IF(MID(raw_data!B170,3,1)="/",DATE(VALUE(RIGHT(raw_data!B170,4)),VALUE(LEFT(raw_data!B170,2)),VALUE(MID(raw_data!B170,4,2))),IF(MID(raw_data!B170,3,1)="-",DATE(VALUE(RIGHT(raw_data!B170,4)),VALUE(MID(raw_data!B170,4,2)),VALUE(LEFT(raw_data!B170,2))),IF(MID(raw_data!B170,5,1)="-",DATE(VALUE(LEFT(raw_data!B170,4)),VALUE(MID(raw_data!B170,6,2)),VALUE(RIGHT(raw_data!B170,2))),DATE(VALUE(RIGHT(raw_data!B170,4)),MATCH(MID(raw_data!B170,4,3),{"Jan","Feb","Mar","Apr","May","Jun","Jul","Aug","Sep","Oct","Nov","Dec"},0),VALUE(LEFT(raw_data!B170,2)))))),"")</f>
        <v>45677</v>
      </c>
      <c r="C170" s="4" t="n">
        <f aca="false">IFERROR(IF(MID(raw_data!C170,3,1)="/",DATE(VALUE(RIGHT(raw_data!C170,4)),VALUE(LEFT(raw_data!C170,2)),VALUE(MID(raw_data!C170,4,2))),IF(MID(raw_data!C170,3,1)="-",DATE(VALUE(RIGHT(raw_data!C170,4)),VALUE(MID(raw_data!C170,4,2)),VALUE(LEFT(raw_data!C170,2))),IF(MID(raw_data!C170,5,1)="-",DATE(VALUE(LEFT(raw_data!C170,4)),VALUE(MID(raw_data!C170,6,2)),VALUE(RIGHT(raw_data!C170,2))),DATE(VALUE(RIGHT(raw_data!C170,4)),MATCH(MID(raw_data!C170,4,3),{"Jan","Feb","Mar","Apr","May","Jun","Jul","Aug","Sep","Oct","Nov","Dec"},0),VALUE(LEFT(raw_data!C170,2)))))),"")</f>
        <v>45680</v>
      </c>
      <c r="D170" s="3" t="str">
        <f aca="false">IF(TRIM(raw_data!B170)="","Missing",IF(B170="","Invalid/Unrecognized","Valid"))</f>
        <v>Valid</v>
      </c>
      <c r="E170" s="3" t="str">
        <f aca="false">IF(TRIM(raw_data!C170)="","Missing",IF(C170="","Invalid/Unrecognized","Valid"))</f>
        <v>Valid</v>
      </c>
      <c r="F170" s="5" t="n">
        <f aca="false">IF(OR(B170="",C170=""),"",C170-B170)</f>
        <v>3</v>
      </c>
      <c r="G170" s="3" t="str">
        <f aca="false">IF(F170="","N/A",IF(F170&lt;0,"Invalid - Ship Before Order","OK"))</f>
        <v>OK</v>
      </c>
      <c r="H170" s="3" t="str">
        <f aca="false">raw_data!D170</f>
        <v>CUST-9756</v>
      </c>
      <c r="I170" s="3" t="str">
        <f aca="false">PROPER(TRIM(raw_data!E170))</f>
        <v>Kabir Singh</v>
      </c>
      <c r="J170" s="3" t="str">
        <f aca="false">PROPER(TRIM(raw_data!F170))</f>
        <v>Consumer</v>
      </c>
      <c r="K170" s="3" t="str">
        <f aca="false">IF(TRIM(raw_data!G170)="","Unknown",PROPER(TRIM(raw_data!G170)))</f>
        <v>West</v>
      </c>
      <c r="L170" s="3" t="str">
        <f aca="false">IF(TRIM(raw_data!G170)="","Filled - Unknown","OK")</f>
        <v>OK</v>
      </c>
      <c r="M170" s="3" t="str">
        <f aca="false">PROPER(TRIM(raw_data!H170))</f>
        <v>Maharashtra</v>
      </c>
      <c r="N170" s="3" t="str">
        <f aca="false">PROPER(TRIM(raw_data!I170))</f>
        <v>Mumbai</v>
      </c>
      <c r="O170" s="3" t="str">
        <f aca="false">PROPER(TRIM(raw_data!J170))</f>
        <v>Technology</v>
      </c>
      <c r="P170" s="3" t="str">
        <f aca="false">PROPER(TRIM(raw_data!K170))</f>
        <v>Accessories</v>
      </c>
      <c r="Q170" s="3" t="str">
        <f aca="false">TRIM(raw_data!L170)</f>
        <v>Eco Accessories 590</v>
      </c>
      <c r="R170" s="3" t="str">
        <f aca="false">IF(TRIM(raw_data!M170)="","Unknown",PROPER(TRIM(raw_data!M170)))</f>
        <v>Same Day</v>
      </c>
      <c r="S170" s="3" t="str">
        <f aca="false">IF(TRIM(raw_data!M170)="","Filled - Unknown","OK")</f>
        <v>OK</v>
      </c>
      <c r="T170" s="6" t="n">
        <f aca="false">raw_data!N170</f>
        <v>5</v>
      </c>
      <c r="U170" s="7" t="n">
        <f aca="false">raw_data!O170</f>
        <v>639.27</v>
      </c>
      <c r="V170" s="8" t="n">
        <f aca="false">raw_data!P170</f>
        <v>0.2</v>
      </c>
      <c r="W170" s="8" t="n">
        <f aca="false">IF(raw_data!P170="",0,IF(ISTEXT(raw_data!P170),IF(RIGHT(raw_data!P170,1)="%",VALUE(LEFT(raw_data!P170,LEN(raw_data!P170)-1))/100,VALUE(raw_data!P170)),raw_data!P170))</f>
        <v>0.2</v>
      </c>
      <c r="X170" s="3" t="str">
        <f aca="false">IF(raw_data!P170="","Missing - Defaulted to 0",IF(W170&lt;0,"Negative - Invalid",IF(W170&gt;0.3,"Above Allowed Range - Invalid","Valid")))</f>
        <v>Valid</v>
      </c>
      <c r="Y170" s="7" t="n">
        <f aca="false">raw_data!Q170</f>
        <v>2557.08</v>
      </c>
      <c r="Z170" s="7" t="n">
        <f aca="false">raw_data!R170</f>
        <v>2025.69</v>
      </c>
      <c r="AA170" s="7" t="n">
        <f aca="false">raw_data!S170</f>
        <v>531.39</v>
      </c>
      <c r="AB170" s="3" t="str">
        <f aca="false">PROPER(TRIM(raw_data!T170))</f>
        <v>Paid</v>
      </c>
      <c r="AC170" s="3" t="str">
        <f aca="false">PROPER(TRIM(raw_data!U170))</f>
        <v>Cancelled</v>
      </c>
      <c r="AD170" s="7" t="n">
        <f aca="false">T170*U170*(1-W170)</f>
        <v>2557.08</v>
      </c>
      <c r="AE170" s="7" t="n">
        <f aca="false">AD170-Z170</f>
        <v>531.39</v>
      </c>
      <c r="AF170" s="8" t="n">
        <f aca="false">IF(AD170=0,0,AE170/AD170)</f>
        <v>0.207811253460979</v>
      </c>
      <c r="AG170" s="3" t="str">
        <f aca="false">IF(ABS(Y170-AD170)&gt;1,"Mismatch","OK")</f>
        <v>OK</v>
      </c>
      <c r="AH170" s="3" t="str">
        <f aca="false">IF(ABS(AA170-AE170)&gt;1,"Mismatch","OK")</f>
        <v>OK</v>
      </c>
      <c r="AI170" s="6" t="n">
        <f aca="false">IF(B170="","",MONTH(B170))</f>
        <v>1</v>
      </c>
      <c r="AJ170" s="6" t="n">
        <f aca="false">IF(B170="","",YEAR(B170))</f>
        <v>2025</v>
      </c>
      <c r="AK170" s="3" t="str">
        <f aca="false">IF(COUNTIF(raw_data!$A$2:$A$913,A170)&gt;1,"Conflicting Duplicate - Flagged for Review","Unique")</f>
        <v>Unique</v>
      </c>
      <c r="AL170" s="3" t="str">
        <f aca="false">IF(AB170="Refunded","Yes","No")</f>
        <v>No</v>
      </c>
      <c r="AM170" s="3" t="str">
        <f aca="false">IF(OR(AC170&lt;&gt;"Completed",AB170="Failed"),"Excluded","Included")</f>
        <v>Excluded</v>
      </c>
      <c r="AN170" s="3" t="str">
        <f aca="false">IF(OR(D170="Invalid/Unrecognized",E170="Invalid/Unrecognized",G170="Invalid - Ship Before Order",X170="Negative - Invalid",X170="Above Allowed Range - Invalid",AG170="Mismatch",AH170="Mismatch",AK170="Conflicting Duplicate - Flagged for Review"),"Invalid",IF(OR(L170="Filled - Unknown",S170="Filled - Unknown",X170="Missing - Defaulted to 0",AL170="Yes",AC170="Cancelled",AC170="Returned"),"Warning","Clean"))</f>
        <v>Warning</v>
      </c>
    </row>
    <row r="171" customFormat="false" ht="15" hidden="false" customHeight="false" outlineLevel="0" collapsed="false">
      <c r="A171" s="3" t="str">
        <f aca="false">raw_data!A171</f>
        <v>ORD-2025-10170</v>
      </c>
      <c r="B171" s="4" t="n">
        <f aca="false">IFERROR(IF(MID(raw_data!B171,3,1)="/",DATE(VALUE(RIGHT(raw_data!B171,4)),VALUE(LEFT(raw_data!B171,2)),VALUE(MID(raw_data!B171,4,2))),IF(MID(raw_data!B171,3,1)="-",DATE(VALUE(RIGHT(raw_data!B171,4)),VALUE(MID(raw_data!B171,4,2)),VALUE(LEFT(raw_data!B171,2))),IF(MID(raw_data!B171,5,1)="-",DATE(VALUE(LEFT(raw_data!B171,4)),VALUE(MID(raw_data!B171,6,2)),VALUE(RIGHT(raw_data!B171,2))),DATE(VALUE(RIGHT(raw_data!B171,4)),MATCH(MID(raw_data!B171,4,3),{"Jan","Feb","Mar","Apr","May","Jun","Jul","Aug","Sep","Oct","Nov","Dec"},0),VALUE(LEFT(raw_data!B171,2)))))),"")</f>
        <v>45913</v>
      </c>
      <c r="C171" s="4" t="n">
        <f aca="false">IFERROR(IF(MID(raw_data!C171,3,1)="/",DATE(VALUE(RIGHT(raw_data!C171,4)),VALUE(LEFT(raw_data!C171,2)),VALUE(MID(raw_data!C171,4,2))),IF(MID(raw_data!C171,3,1)="-",DATE(VALUE(RIGHT(raw_data!C171,4)),VALUE(MID(raw_data!C171,4,2)),VALUE(LEFT(raw_data!C171,2))),IF(MID(raw_data!C171,5,1)="-",DATE(VALUE(LEFT(raw_data!C171,4)),VALUE(MID(raw_data!C171,6,2)),VALUE(RIGHT(raw_data!C171,2))),DATE(VALUE(RIGHT(raw_data!C171,4)),MATCH(MID(raw_data!C171,4,3),{"Jan","Feb","Mar","Apr","May","Jun","Jul","Aug","Sep","Oct","Nov","Dec"},0),VALUE(LEFT(raw_data!C171,2)))))),"")</f>
        <v>45913</v>
      </c>
      <c r="D171" s="3" t="str">
        <f aca="false">IF(TRIM(raw_data!B171)="","Missing",IF(B171="","Invalid/Unrecognized","Valid"))</f>
        <v>Valid</v>
      </c>
      <c r="E171" s="3" t="str">
        <f aca="false">IF(TRIM(raw_data!C171)="","Missing",IF(C171="","Invalid/Unrecognized","Valid"))</f>
        <v>Valid</v>
      </c>
      <c r="F171" s="5" t="n">
        <f aca="false">IF(OR(B171="",C171=""),"",C171-B171)</f>
        <v>0</v>
      </c>
      <c r="G171" s="3" t="str">
        <f aca="false">IF(F171="","N/A",IF(F171&lt;0,"Invalid - Ship Before Order","OK"))</f>
        <v>OK</v>
      </c>
      <c r="H171" s="3" t="str">
        <f aca="false">raw_data!D171</f>
        <v>CUST-2261</v>
      </c>
      <c r="I171" s="3" t="str">
        <f aca="false">PROPER(TRIM(raw_data!E171))</f>
        <v>Diya Patel</v>
      </c>
      <c r="J171" s="3" t="str">
        <f aca="false">PROPER(TRIM(raw_data!F171))</f>
        <v>Consumer</v>
      </c>
      <c r="K171" s="3" t="str">
        <f aca="false">IF(TRIM(raw_data!G171)="","Unknown",PROPER(TRIM(raw_data!G171)))</f>
        <v>East</v>
      </c>
      <c r="L171" s="3" t="str">
        <f aca="false">IF(TRIM(raw_data!G171)="","Filled - Unknown","OK")</f>
        <v>OK</v>
      </c>
      <c r="M171" s="3" t="str">
        <f aca="false">PROPER(TRIM(raw_data!H171))</f>
        <v>Assam</v>
      </c>
      <c r="N171" s="3" t="str">
        <f aca="false">PROPER(TRIM(raw_data!I171))</f>
        <v>Guwahati</v>
      </c>
      <c r="O171" s="3" t="str">
        <f aca="false">PROPER(TRIM(raw_data!J171))</f>
        <v>Office Supplies</v>
      </c>
      <c r="P171" s="3" t="str">
        <f aca="false">PROPER(TRIM(raw_data!K171))</f>
        <v>Art</v>
      </c>
      <c r="Q171" s="3" t="str">
        <f aca="false">TRIM(raw_data!L171)</f>
        <v>Pro Art 734</v>
      </c>
      <c r="R171" s="3" t="str">
        <f aca="false">IF(TRIM(raw_data!M171)="","Unknown",PROPER(TRIM(raw_data!M171)))</f>
        <v>Standard Class</v>
      </c>
      <c r="S171" s="3" t="str">
        <f aca="false">IF(TRIM(raw_data!M171)="","Filled - Unknown","OK")</f>
        <v>OK</v>
      </c>
      <c r="T171" s="6" t="n">
        <f aca="false">raw_data!N171</f>
        <v>8</v>
      </c>
      <c r="U171" s="7" t="n">
        <f aca="false">raw_data!O171</f>
        <v>733.9</v>
      </c>
      <c r="V171" s="8" t="n">
        <f aca="false">raw_data!P171</f>
        <v>0.05</v>
      </c>
      <c r="W171" s="8" t="n">
        <f aca="false">IF(raw_data!P171="",0,IF(ISTEXT(raw_data!P171),IF(RIGHT(raw_data!P171,1)="%",VALUE(LEFT(raw_data!P171,LEN(raw_data!P171)-1))/100,VALUE(raw_data!P171)),raw_data!P171))</f>
        <v>0.05</v>
      </c>
      <c r="X171" s="3" t="str">
        <f aca="false">IF(raw_data!P171="","Missing - Defaulted to 0",IF(W171&lt;0,"Negative - Invalid",IF(W171&gt;0.3,"Above Allowed Range - Invalid","Valid")))</f>
        <v>Valid</v>
      </c>
      <c r="Y171" s="7" t="n">
        <f aca="false">raw_data!Q171</f>
        <v>5577.64</v>
      </c>
      <c r="Z171" s="7" t="n">
        <f aca="false">raw_data!R171</f>
        <v>3541.29</v>
      </c>
      <c r="AA171" s="7" t="n">
        <f aca="false">raw_data!S171</f>
        <v>2036.35</v>
      </c>
      <c r="AB171" s="3" t="str">
        <f aca="false">PROPER(TRIM(raw_data!T171))</f>
        <v>Pending</v>
      </c>
      <c r="AC171" s="3" t="str">
        <f aca="false">PROPER(TRIM(raw_data!U171))</f>
        <v>Returned</v>
      </c>
      <c r="AD171" s="7" t="n">
        <f aca="false">T171*U171*(1-W171)</f>
        <v>5577.64</v>
      </c>
      <c r="AE171" s="7" t="n">
        <f aca="false">AD171-Z171</f>
        <v>2036.35</v>
      </c>
      <c r="AF171" s="8" t="n">
        <f aca="false">IF(AD171=0,0,AE171/AD171)</f>
        <v>0.365091687523756</v>
      </c>
      <c r="AG171" s="3" t="str">
        <f aca="false">IF(ABS(Y171-AD171)&gt;1,"Mismatch","OK")</f>
        <v>OK</v>
      </c>
      <c r="AH171" s="3" t="str">
        <f aca="false">IF(ABS(AA171-AE171)&gt;1,"Mismatch","OK")</f>
        <v>OK</v>
      </c>
      <c r="AI171" s="6" t="n">
        <f aca="false">IF(B171="","",MONTH(B171))</f>
        <v>9</v>
      </c>
      <c r="AJ171" s="6" t="n">
        <f aca="false">IF(B171="","",YEAR(B171))</f>
        <v>2025</v>
      </c>
      <c r="AK171" s="3" t="str">
        <f aca="false">IF(COUNTIF(raw_data!$A$2:$A$913,A171)&gt;1,"Conflicting Duplicate - Flagged for Review","Unique")</f>
        <v>Unique</v>
      </c>
      <c r="AL171" s="3" t="str">
        <f aca="false">IF(AB171="Refunded","Yes","No")</f>
        <v>No</v>
      </c>
      <c r="AM171" s="3" t="str">
        <f aca="false">IF(OR(AC171&lt;&gt;"Completed",AB171="Failed"),"Excluded","Included")</f>
        <v>Excluded</v>
      </c>
      <c r="AN171" s="3" t="str">
        <f aca="false">IF(OR(D171="Invalid/Unrecognized",E171="Invalid/Unrecognized",G171="Invalid - Ship Before Order",X171="Negative - Invalid",X171="Above Allowed Range - Invalid",AG171="Mismatch",AH171="Mismatch",AK171="Conflicting Duplicate - Flagged for Review"),"Invalid",IF(OR(L171="Filled - Unknown",S171="Filled - Unknown",X171="Missing - Defaulted to 0",AL171="Yes",AC171="Cancelled",AC171="Returned"),"Warning","Clean"))</f>
        <v>Warning</v>
      </c>
    </row>
    <row r="172" customFormat="false" ht="15" hidden="false" customHeight="false" outlineLevel="0" collapsed="false">
      <c r="A172" s="3" t="str">
        <f aca="false">raw_data!A172</f>
        <v>ORD-2025-10171</v>
      </c>
      <c r="B172" s="4" t="n">
        <f aca="false">IFERROR(IF(MID(raw_data!B172,3,1)="/",DATE(VALUE(RIGHT(raw_data!B172,4)),VALUE(LEFT(raw_data!B172,2)),VALUE(MID(raw_data!B172,4,2))),IF(MID(raw_data!B172,3,1)="-",DATE(VALUE(RIGHT(raw_data!B172,4)),VALUE(MID(raw_data!B172,4,2)),VALUE(LEFT(raw_data!B172,2))),IF(MID(raw_data!B172,5,1)="-",DATE(VALUE(LEFT(raw_data!B172,4)),VALUE(MID(raw_data!B172,6,2)),VALUE(RIGHT(raw_data!B172,2))),DATE(VALUE(RIGHT(raw_data!B172,4)),MATCH(MID(raw_data!B172,4,3),{"Jan","Feb","Mar","Apr","May","Jun","Jul","Aug","Sep","Oct","Nov","Dec"},0),VALUE(LEFT(raw_data!B172,2)))))),"")</f>
        <v>45907</v>
      </c>
      <c r="C172" s="4" t="n">
        <f aca="false">IFERROR(IF(MID(raw_data!C172,3,1)="/",DATE(VALUE(RIGHT(raw_data!C172,4)),VALUE(LEFT(raw_data!C172,2)),VALUE(MID(raw_data!C172,4,2))),IF(MID(raw_data!C172,3,1)="-",DATE(VALUE(RIGHT(raw_data!C172,4)),VALUE(MID(raw_data!C172,4,2)),VALUE(LEFT(raw_data!C172,2))),IF(MID(raw_data!C172,5,1)="-",DATE(VALUE(LEFT(raw_data!C172,4)),VALUE(MID(raw_data!C172,6,2)),VALUE(RIGHT(raw_data!C172,2))),DATE(VALUE(RIGHT(raw_data!C172,4)),MATCH(MID(raw_data!C172,4,3),{"Jan","Feb","Mar","Apr","May","Jun","Jul","Aug","Sep","Oct","Nov","Dec"},0),VALUE(LEFT(raw_data!C172,2)))))),"")</f>
        <v>45915</v>
      </c>
      <c r="D172" s="3" t="str">
        <f aca="false">IF(TRIM(raw_data!B172)="","Missing",IF(B172="","Invalid/Unrecognized","Valid"))</f>
        <v>Valid</v>
      </c>
      <c r="E172" s="3" t="str">
        <f aca="false">IF(TRIM(raw_data!C172)="","Missing",IF(C172="","Invalid/Unrecognized","Valid"))</f>
        <v>Valid</v>
      </c>
      <c r="F172" s="5" t="n">
        <f aca="false">IF(OR(B172="",C172=""),"",C172-B172)</f>
        <v>8</v>
      </c>
      <c r="G172" s="3" t="str">
        <f aca="false">IF(F172="","N/A",IF(F172&lt;0,"Invalid - Ship Before Order","OK"))</f>
        <v>OK</v>
      </c>
      <c r="H172" s="3" t="str">
        <f aca="false">raw_data!D172</f>
        <v>CUST-3734</v>
      </c>
      <c r="I172" s="3" t="str">
        <f aca="false">PROPER(TRIM(raw_data!E172))</f>
        <v>Rohan Mehta</v>
      </c>
      <c r="J172" s="3" t="str">
        <f aca="false">PROPER(TRIM(raw_data!F172))</f>
        <v>Corporate</v>
      </c>
      <c r="K172" s="3" t="str">
        <f aca="false">IF(TRIM(raw_data!G172)="","Unknown",PROPER(TRIM(raw_data!G172)))</f>
        <v>East</v>
      </c>
      <c r="L172" s="3" t="str">
        <f aca="false">IF(TRIM(raw_data!G172)="","Filled - Unknown","OK")</f>
        <v>OK</v>
      </c>
      <c r="M172" s="3" t="str">
        <f aca="false">PROPER(TRIM(raw_data!H172))</f>
        <v>Bihar</v>
      </c>
      <c r="N172" s="3" t="str">
        <f aca="false">PROPER(TRIM(raw_data!I172))</f>
        <v>Patna</v>
      </c>
      <c r="O172" s="3" t="str">
        <f aca="false">PROPER(TRIM(raw_data!J172))</f>
        <v>Technology</v>
      </c>
      <c r="P172" s="3" t="str">
        <f aca="false">PROPER(TRIM(raw_data!K172))</f>
        <v>Copiers</v>
      </c>
      <c r="Q172" s="3" t="str">
        <f aca="false">TRIM(raw_data!L172)</f>
        <v>Eco Copiers 102</v>
      </c>
      <c r="R172" s="3" t="str">
        <f aca="false">IF(TRIM(raw_data!M172)="","Unknown",PROPER(TRIM(raw_data!M172)))</f>
        <v>Standard Class</v>
      </c>
      <c r="S172" s="3" t="str">
        <f aca="false">IF(TRIM(raw_data!M172)="","Filled - Unknown","OK")</f>
        <v>OK</v>
      </c>
      <c r="T172" s="6" t="n">
        <f aca="false">raw_data!N172</f>
        <v>3</v>
      </c>
      <c r="U172" s="7" t="n">
        <f aca="false">raw_data!O172</f>
        <v>1711.32</v>
      </c>
      <c r="V172" s="8" t="n">
        <f aca="false">raw_data!P172</f>
        <v>0</v>
      </c>
      <c r="W172" s="8" t="n">
        <f aca="false">IF(raw_data!P172="",0,IF(ISTEXT(raw_data!P172),IF(RIGHT(raw_data!P172,1)="%",VALUE(LEFT(raw_data!P172,LEN(raw_data!P172)-1))/100,VALUE(raw_data!P172)),raw_data!P172))</f>
        <v>0</v>
      </c>
      <c r="X172" s="3" t="str">
        <f aca="false">IF(raw_data!P172="","Missing - Defaulted to 0",IF(W172&lt;0,"Negative - Invalid",IF(W172&gt;0.3,"Above Allowed Range - Invalid","Valid")))</f>
        <v>Valid</v>
      </c>
      <c r="Y172" s="7" t="n">
        <f aca="false">raw_data!Q172</f>
        <v>5133.96</v>
      </c>
      <c r="Z172" s="7" t="n">
        <f aca="false">raw_data!R172</f>
        <v>3930</v>
      </c>
      <c r="AA172" s="7" t="n">
        <f aca="false">raw_data!S172</f>
        <v>1203.96</v>
      </c>
      <c r="AB172" s="3" t="str">
        <f aca="false">PROPER(TRIM(raw_data!T172))</f>
        <v>Paid</v>
      </c>
      <c r="AC172" s="3" t="str">
        <f aca="false">PROPER(TRIM(raw_data!U172))</f>
        <v>Completed</v>
      </c>
      <c r="AD172" s="7" t="n">
        <f aca="false">T172*U172*(1-W172)</f>
        <v>5133.96</v>
      </c>
      <c r="AE172" s="7" t="n">
        <f aca="false">AD172-Z172</f>
        <v>1203.96</v>
      </c>
      <c r="AF172" s="8" t="n">
        <f aca="false">IF(AD172=0,0,AE172/AD172)</f>
        <v>0.234509033962088</v>
      </c>
      <c r="AG172" s="3" t="str">
        <f aca="false">IF(ABS(Y172-AD172)&gt;1,"Mismatch","OK")</f>
        <v>OK</v>
      </c>
      <c r="AH172" s="3" t="str">
        <f aca="false">IF(ABS(AA172-AE172)&gt;1,"Mismatch","OK")</f>
        <v>OK</v>
      </c>
      <c r="AI172" s="6" t="n">
        <f aca="false">IF(B172="","",MONTH(B172))</f>
        <v>9</v>
      </c>
      <c r="AJ172" s="6" t="n">
        <f aca="false">IF(B172="","",YEAR(B172))</f>
        <v>2025</v>
      </c>
      <c r="AK172" s="3" t="str">
        <f aca="false">IF(COUNTIF(raw_data!$A$2:$A$913,A172)&gt;1,"Conflicting Duplicate - Flagged for Review","Unique")</f>
        <v>Conflicting Duplicate - Flagged for Review</v>
      </c>
      <c r="AL172" s="3" t="str">
        <f aca="false">IF(AB172="Refunded","Yes","No")</f>
        <v>No</v>
      </c>
      <c r="AM172" s="3" t="str">
        <f aca="false">IF(OR(AC172&lt;&gt;"Completed",AB172="Failed"),"Excluded","Included")</f>
        <v>Included</v>
      </c>
      <c r="AN172" s="3" t="str">
        <f aca="false">IF(OR(D172="Invalid/Unrecognized",E172="Invalid/Unrecognized",G172="Invalid - Ship Before Order",X172="Negative - Invalid",X172="Above Allowed Range - Invalid",AG172="Mismatch",AH172="Mismatch",AK172="Conflicting Duplicate - Flagged for Review"),"Invalid",IF(OR(L172="Filled - Unknown",S172="Filled - Unknown",X172="Missing - Defaulted to 0",AL172="Yes",AC172="Cancelled",AC172="Returned"),"Warning","Clean"))</f>
        <v>Invalid</v>
      </c>
    </row>
    <row r="173" customFormat="false" ht="15" hidden="false" customHeight="false" outlineLevel="0" collapsed="false">
      <c r="A173" s="3" t="str">
        <f aca="false">raw_data!A173</f>
        <v>ORD-2025-10172</v>
      </c>
      <c r="B173" s="4" t="n">
        <f aca="false">IFERROR(IF(MID(raw_data!B173,3,1)="/",DATE(VALUE(RIGHT(raw_data!B173,4)),VALUE(LEFT(raw_data!B173,2)),VALUE(MID(raw_data!B173,4,2))),IF(MID(raw_data!B173,3,1)="-",DATE(VALUE(RIGHT(raw_data!B173,4)),VALUE(MID(raw_data!B173,4,2)),VALUE(LEFT(raw_data!B173,2))),IF(MID(raw_data!B173,5,1)="-",DATE(VALUE(LEFT(raw_data!B173,4)),VALUE(MID(raw_data!B173,6,2)),VALUE(RIGHT(raw_data!B173,2))),DATE(VALUE(RIGHT(raw_data!B173,4)),MATCH(MID(raw_data!B173,4,3),{"Jan","Feb","Mar","Apr","May","Jun","Jul","Aug","Sep","Oct","Nov","Dec"},0),VALUE(LEFT(raw_data!B173,2)))))),"")</f>
        <v>45711</v>
      </c>
      <c r="C173" s="4" t="n">
        <f aca="false">IFERROR(IF(MID(raw_data!C173,3,1)="/",DATE(VALUE(RIGHT(raw_data!C173,4)),VALUE(LEFT(raw_data!C173,2)),VALUE(MID(raw_data!C173,4,2))),IF(MID(raw_data!C173,3,1)="-",DATE(VALUE(RIGHT(raw_data!C173,4)),VALUE(MID(raw_data!C173,4,2)),VALUE(LEFT(raw_data!C173,2))),IF(MID(raw_data!C173,5,1)="-",DATE(VALUE(LEFT(raw_data!C173,4)),VALUE(MID(raw_data!C173,6,2)),VALUE(RIGHT(raw_data!C173,2))),DATE(VALUE(RIGHT(raw_data!C173,4)),MATCH(MID(raw_data!C173,4,3),{"Jan","Feb","Mar","Apr","May","Jun","Jul","Aug","Sep","Oct","Nov","Dec"},0),VALUE(LEFT(raw_data!C173,2)))))),"")</f>
        <v>45713</v>
      </c>
      <c r="D173" s="3" t="str">
        <f aca="false">IF(TRIM(raw_data!B173)="","Missing",IF(B173="","Invalid/Unrecognized","Valid"))</f>
        <v>Valid</v>
      </c>
      <c r="E173" s="3" t="str">
        <f aca="false">IF(TRIM(raw_data!C173)="","Missing",IF(C173="","Invalid/Unrecognized","Valid"))</f>
        <v>Valid</v>
      </c>
      <c r="F173" s="5" t="n">
        <f aca="false">IF(OR(B173="",C173=""),"",C173-B173)</f>
        <v>2</v>
      </c>
      <c r="G173" s="3" t="str">
        <f aca="false">IF(F173="","N/A",IF(F173&lt;0,"Invalid - Ship Before Order","OK"))</f>
        <v>OK</v>
      </c>
      <c r="H173" s="3" t="str">
        <f aca="false">raw_data!D173</f>
        <v>CUST-3436</v>
      </c>
      <c r="I173" s="3" t="str">
        <f aca="false">PROPER(TRIM(raw_data!E173))</f>
        <v>Karan Malhotra</v>
      </c>
      <c r="J173" s="3" t="str">
        <f aca="false">PROPER(TRIM(raw_data!F173))</f>
        <v>Corporate</v>
      </c>
      <c r="K173" s="3" t="str">
        <f aca="false">IF(TRIM(raw_data!G173)="","Unknown",PROPER(TRIM(raw_data!G173)))</f>
        <v>East</v>
      </c>
      <c r="L173" s="3" t="str">
        <f aca="false">IF(TRIM(raw_data!G173)="","Filled - Unknown","OK")</f>
        <v>OK</v>
      </c>
      <c r="M173" s="3" t="str">
        <f aca="false">PROPER(TRIM(raw_data!H173))</f>
        <v>Bihar</v>
      </c>
      <c r="N173" s="3" t="str">
        <f aca="false">PROPER(TRIM(raw_data!I173))</f>
        <v>Patna</v>
      </c>
      <c r="O173" s="3" t="str">
        <f aca="false">PROPER(TRIM(raw_data!J173))</f>
        <v>Office Supplies</v>
      </c>
      <c r="P173" s="3" t="str">
        <f aca="false">PROPER(TRIM(raw_data!K173))</f>
        <v>Labels</v>
      </c>
      <c r="Q173" s="3" t="str">
        <f aca="false">TRIM(raw_data!L173)</f>
        <v>Basic Labels 876</v>
      </c>
      <c r="R173" s="3" t="str">
        <f aca="false">IF(TRIM(raw_data!M173)="","Unknown",PROPER(TRIM(raw_data!M173)))</f>
        <v>Same Day</v>
      </c>
      <c r="S173" s="3" t="str">
        <f aca="false">IF(TRIM(raw_data!M173)="","Filled - Unknown","OK")</f>
        <v>OK</v>
      </c>
      <c r="T173" s="6" t="n">
        <f aca="false">raw_data!N173</f>
        <v>5</v>
      </c>
      <c r="U173" s="7" t="n">
        <f aca="false">raw_data!O173</f>
        <v>4246.27</v>
      </c>
      <c r="V173" s="8" t="n">
        <f aca="false">raw_data!P173</f>
        <v>0.25</v>
      </c>
      <c r="W173" s="8" t="n">
        <f aca="false">IF(raw_data!P173="",0,IF(ISTEXT(raw_data!P173),IF(RIGHT(raw_data!P173,1)="%",VALUE(LEFT(raw_data!P173,LEN(raw_data!P173)-1))/100,VALUE(raw_data!P173)),raw_data!P173))</f>
        <v>0.25</v>
      </c>
      <c r="X173" s="3" t="str">
        <f aca="false">IF(raw_data!P173="","Missing - Defaulted to 0",IF(W173&lt;0,"Negative - Invalid",IF(W173&gt;0.3,"Above Allowed Range - Invalid","Valid")))</f>
        <v>Valid</v>
      </c>
      <c r="Y173" s="7" t="n">
        <f aca="false">raw_data!Q173</f>
        <v>15923.51</v>
      </c>
      <c r="Z173" s="7" t="n">
        <f aca="false">raw_data!R173</f>
        <v>11291.8</v>
      </c>
      <c r="AA173" s="7" t="n">
        <f aca="false">raw_data!S173</f>
        <v>4631.71</v>
      </c>
      <c r="AB173" s="3" t="str">
        <f aca="false">PROPER(TRIM(raw_data!T173))</f>
        <v>Paid</v>
      </c>
      <c r="AC173" s="3" t="str">
        <f aca="false">PROPER(TRIM(raw_data!U173))</f>
        <v>Completed</v>
      </c>
      <c r="AD173" s="7" t="n">
        <f aca="false">T173*U173*(1-W173)</f>
        <v>15923.5125</v>
      </c>
      <c r="AE173" s="7" t="n">
        <f aca="false">AD173-Z173</f>
        <v>4631.7125</v>
      </c>
      <c r="AF173" s="8" t="n">
        <f aca="false">IF(AD173=0,0,AE173/AD173)</f>
        <v>0.290872538329719</v>
      </c>
      <c r="AG173" s="3" t="str">
        <f aca="false">IF(ABS(Y173-AD173)&gt;1,"Mismatch","OK")</f>
        <v>OK</v>
      </c>
      <c r="AH173" s="3" t="str">
        <f aca="false">IF(ABS(AA173-AE173)&gt;1,"Mismatch","OK")</f>
        <v>OK</v>
      </c>
      <c r="AI173" s="6" t="n">
        <f aca="false">IF(B173="","",MONTH(B173))</f>
        <v>2</v>
      </c>
      <c r="AJ173" s="6" t="n">
        <f aca="false">IF(B173="","",YEAR(B173))</f>
        <v>2025</v>
      </c>
      <c r="AK173" s="3" t="str">
        <f aca="false">IF(COUNTIF(raw_data!$A$2:$A$913,A173)&gt;1,"Conflicting Duplicate - Flagged for Review","Unique")</f>
        <v>Unique</v>
      </c>
      <c r="AL173" s="3" t="str">
        <f aca="false">IF(AB173="Refunded","Yes","No")</f>
        <v>No</v>
      </c>
      <c r="AM173" s="3" t="str">
        <f aca="false">IF(OR(AC173&lt;&gt;"Completed",AB173="Failed"),"Excluded","Included")</f>
        <v>Included</v>
      </c>
      <c r="AN173" s="3" t="str">
        <f aca="false">IF(OR(D173="Invalid/Unrecognized",E173="Invalid/Unrecognized",G173="Invalid - Ship Before Order",X173="Negative - Invalid",X173="Above Allowed Range - Invalid",AG173="Mismatch",AH173="Mismatch",AK173="Conflicting Duplicate - Flagged for Review"),"Invalid",IF(OR(L173="Filled - Unknown",S173="Filled - Unknown",X173="Missing - Defaulted to 0",AL173="Yes",AC173="Cancelled",AC173="Returned"),"Warning","Clean"))</f>
        <v>Clean</v>
      </c>
    </row>
    <row r="174" customFormat="false" ht="15" hidden="false" customHeight="false" outlineLevel="0" collapsed="false">
      <c r="A174" s="3" t="str">
        <f aca="false">raw_data!A174</f>
        <v>ORD-2025-10173</v>
      </c>
      <c r="B174" s="4" t="n">
        <f aca="false">IFERROR(IF(MID(raw_data!B174,3,1)="/",DATE(VALUE(RIGHT(raw_data!B174,4)),VALUE(LEFT(raw_data!B174,2)),VALUE(MID(raw_data!B174,4,2))),IF(MID(raw_data!B174,3,1)="-",DATE(VALUE(RIGHT(raw_data!B174,4)),VALUE(MID(raw_data!B174,4,2)),VALUE(LEFT(raw_data!B174,2))),IF(MID(raw_data!B174,5,1)="-",DATE(VALUE(LEFT(raw_data!B174,4)),VALUE(MID(raw_data!B174,6,2)),VALUE(RIGHT(raw_data!B174,2))),DATE(VALUE(RIGHT(raw_data!B174,4)),MATCH(MID(raw_data!B174,4,3),{"Jan","Feb","Mar","Apr","May","Jun","Jul","Aug","Sep","Oct","Nov","Dec"},0),VALUE(LEFT(raw_data!B174,2)))))),"")</f>
        <v>45871</v>
      </c>
      <c r="C174" s="4" t="n">
        <f aca="false">IFERROR(IF(MID(raw_data!C174,3,1)="/",DATE(VALUE(RIGHT(raw_data!C174,4)),VALUE(LEFT(raw_data!C174,2)),VALUE(MID(raw_data!C174,4,2))),IF(MID(raw_data!C174,3,1)="-",DATE(VALUE(RIGHT(raw_data!C174,4)),VALUE(MID(raw_data!C174,4,2)),VALUE(LEFT(raw_data!C174,2))),IF(MID(raw_data!C174,5,1)="-",DATE(VALUE(LEFT(raw_data!C174,4)),VALUE(MID(raw_data!C174,6,2)),VALUE(RIGHT(raw_data!C174,2))),DATE(VALUE(RIGHT(raw_data!C174,4)),MATCH(MID(raw_data!C174,4,3),{"Jan","Feb","Mar","Apr","May","Jun","Jul","Aug","Sep","Oct","Nov","Dec"},0),VALUE(LEFT(raw_data!C174,2)))))),"")</f>
        <v>45879</v>
      </c>
      <c r="D174" s="3" t="str">
        <f aca="false">IF(TRIM(raw_data!B174)="","Missing",IF(B174="","Invalid/Unrecognized","Valid"))</f>
        <v>Valid</v>
      </c>
      <c r="E174" s="3" t="str">
        <f aca="false">IF(TRIM(raw_data!C174)="","Missing",IF(C174="","Invalid/Unrecognized","Valid"))</f>
        <v>Valid</v>
      </c>
      <c r="F174" s="5" t="n">
        <f aca="false">IF(OR(B174="",C174=""),"",C174-B174)</f>
        <v>8</v>
      </c>
      <c r="G174" s="3" t="str">
        <f aca="false">IF(F174="","N/A",IF(F174&lt;0,"Invalid - Ship Before Order","OK"))</f>
        <v>OK</v>
      </c>
      <c r="H174" s="3" t="str">
        <f aca="false">raw_data!D174</f>
        <v>CUST-4845</v>
      </c>
      <c r="I174" s="3" t="str">
        <f aca="false">PROPER(TRIM(raw_data!E174))</f>
        <v>Karan Malhotra</v>
      </c>
      <c r="J174" s="3" t="str">
        <f aca="false">PROPER(TRIM(raw_data!F174))</f>
        <v>Corporate</v>
      </c>
      <c r="K174" s="3" t="str">
        <f aca="false">IF(TRIM(raw_data!G174)="","Unknown",PROPER(TRIM(raw_data!G174)))</f>
        <v>North</v>
      </c>
      <c r="L174" s="3" t="str">
        <f aca="false">IF(TRIM(raw_data!G174)="","Filled - Unknown","OK")</f>
        <v>OK</v>
      </c>
      <c r="M174" s="3" t="str">
        <f aca="false">PROPER(TRIM(raw_data!H174))</f>
        <v>Delhi</v>
      </c>
      <c r="N174" s="3" t="str">
        <f aca="false">PROPER(TRIM(raw_data!I174))</f>
        <v>New Delhi</v>
      </c>
      <c r="O174" s="3" t="str">
        <f aca="false">PROPER(TRIM(raw_data!J174))</f>
        <v>Furniture</v>
      </c>
      <c r="P174" s="3" t="str">
        <f aca="false">PROPER(TRIM(raw_data!K174))</f>
        <v>Furnishings</v>
      </c>
      <c r="Q174" s="3" t="str">
        <f aca="false">TRIM(raw_data!L174)</f>
        <v>Prime Furnishings 381</v>
      </c>
      <c r="R174" s="3" t="str">
        <f aca="false">IF(TRIM(raw_data!M174)="","Unknown",PROPER(TRIM(raw_data!M174)))</f>
        <v>Same Day</v>
      </c>
      <c r="S174" s="3" t="str">
        <f aca="false">IF(TRIM(raw_data!M174)="","Filled - Unknown","OK")</f>
        <v>OK</v>
      </c>
      <c r="T174" s="6" t="n">
        <f aca="false">raw_data!N174</f>
        <v>9</v>
      </c>
      <c r="U174" s="7" t="n">
        <f aca="false">raw_data!O174</f>
        <v>2962.62</v>
      </c>
      <c r="V174" s="8" t="n">
        <f aca="false">raw_data!P174</f>
        <v>0.1</v>
      </c>
      <c r="W174" s="8" t="n">
        <f aca="false">IF(raw_data!P174="",0,IF(ISTEXT(raw_data!P174),IF(RIGHT(raw_data!P174,1)="%",VALUE(LEFT(raw_data!P174,LEN(raw_data!P174)-1))/100,VALUE(raw_data!P174)),raw_data!P174))</f>
        <v>0.1</v>
      </c>
      <c r="X174" s="3" t="str">
        <f aca="false">IF(raw_data!P174="","Missing - Defaulted to 0",IF(W174&lt;0,"Negative - Invalid",IF(W174&gt;0.3,"Above Allowed Range - Invalid","Valid")))</f>
        <v>Valid</v>
      </c>
      <c r="Y174" s="7" t="n">
        <f aca="false">raw_data!Q174</f>
        <v>23997.22</v>
      </c>
      <c r="Z174" s="7" t="n">
        <f aca="false">raw_data!R174</f>
        <v>16134.63</v>
      </c>
      <c r="AA174" s="7" t="n">
        <f aca="false">raw_data!S174</f>
        <v>7862.59</v>
      </c>
      <c r="AB174" s="3" t="str">
        <f aca="false">PROPER(TRIM(raw_data!T174))</f>
        <v>Refunded</v>
      </c>
      <c r="AC174" s="3" t="str">
        <f aca="false">PROPER(TRIM(raw_data!U174))</f>
        <v>Returned</v>
      </c>
      <c r="AD174" s="7" t="n">
        <f aca="false">T174*U174*(1-W174)</f>
        <v>23997.222</v>
      </c>
      <c r="AE174" s="7" t="n">
        <f aca="false">AD174-Z174</f>
        <v>7862.592</v>
      </c>
      <c r="AF174" s="8" t="n">
        <f aca="false">IF(AD174=0,0,AE174/AD174)</f>
        <v>0.327645925015821</v>
      </c>
      <c r="AG174" s="3" t="str">
        <f aca="false">IF(ABS(Y174-AD174)&gt;1,"Mismatch","OK")</f>
        <v>OK</v>
      </c>
      <c r="AH174" s="3" t="str">
        <f aca="false">IF(ABS(AA174-AE174)&gt;1,"Mismatch","OK")</f>
        <v>OK</v>
      </c>
      <c r="AI174" s="6" t="n">
        <f aca="false">IF(B174="","",MONTH(B174))</f>
        <v>8</v>
      </c>
      <c r="AJ174" s="6" t="n">
        <f aca="false">IF(B174="","",YEAR(B174))</f>
        <v>2025</v>
      </c>
      <c r="AK174" s="3" t="str">
        <f aca="false">IF(COUNTIF(raw_data!$A$2:$A$913,A174)&gt;1,"Conflicting Duplicate - Flagged for Review","Unique")</f>
        <v>Unique</v>
      </c>
      <c r="AL174" s="3" t="str">
        <f aca="false">IF(AB174="Refunded","Yes","No")</f>
        <v>Yes</v>
      </c>
      <c r="AM174" s="3" t="str">
        <f aca="false">IF(OR(AC174&lt;&gt;"Completed",AB174="Failed"),"Excluded","Included")</f>
        <v>Excluded</v>
      </c>
      <c r="AN174" s="3" t="str">
        <f aca="false">IF(OR(D174="Invalid/Unrecognized",E174="Invalid/Unrecognized",G174="Invalid - Ship Before Order",X174="Negative - Invalid",X174="Above Allowed Range - Invalid",AG174="Mismatch",AH174="Mismatch",AK174="Conflicting Duplicate - Flagged for Review"),"Invalid",IF(OR(L174="Filled - Unknown",S174="Filled - Unknown",X174="Missing - Defaulted to 0",AL174="Yes",AC174="Cancelled",AC174="Returned"),"Warning","Clean"))</f>
        <v>Warning</v>
      </c>
    </row>
    <row r="175" customFormat="false" ht="15" hidden="false" customHeight="false" outlineLevel="0" collapsed="false">
      <c r="A175" s="3" t="str">
        <f aca="false">raw_data!A175</f>
        <v>ORD-2024-10174</v>
      </c>
      <c r="B175" s="4" t="n">
        <f aca="false">IFERROR(IF(MID(raw_data!B175,3,1)="/",DATE(VALUE(RIGHT(raw_data!B175,4)),VALUE(LEFT(raw_data!B175,2)),VALUE(MID(raw_data!B175,4,2))),IF(MID(raw_data!B175,3,1)="-",DATE(VALUE(RIGHT(raw_data!B175,4)),VALUE(MID(raw_data!B175,4,2)),VALUE(LEFT(raw_data!B175,2))),IF(MID(raw_data!B175,5,1)="-",DATE(VALUE(LEFT(raw_data!B175,4)),VALUE(MID(raw_data!B175,6,2)),VALUE(RIGHT(raw_data!B175,2))),DATE(VALUE(RIGHT(raw_data!B175,4)),MATCH(MID(raw_data!B175,4,3),{"Jan","Feb","Mar","Apr","May","Jun","Jul","Aug","Sep","Oct","Nov","Dec"},0),VALUE(LEFT(raw_data!B175,2)))))),"")</f>
        <v>45414</v>
      </c>
      <c r="C175" s="4" t="n">
        <f aca="false">IFERROR(IF(MID(raw_data!C175,3,1)="/",DATE(VALUE(RIGHT(raw_data!C175,4)),VALUE(LEFT(raw_data!C175,2)),VALUE(MID(raw_data!C175,4,2))),IF(MID(raw_data!C175,3,1)="-",DATE(VALUE(RIGHT(raw_data!C175,4)),VALUE(MID(raw_data!C175,4,2)),VALUE(LEFT(raw_data!C175,2))),IF(MID(raw_data!C175,5,1)="-",DATE(VALUE(LEFT(raw_data!C175,4)),VALUE(MID(raw_data!C175,6,2)),VALUE(RIGHT(raw_data!C175,2))),DATE(VALUE(RIGHT(raw_data!C175,4)),MATCH(MID(raw_data!C175,4,3),{"Jan","Feb","Mar","Apr","May","Jun","Jul","Aug","Sep","Oct","Nov","Dec"},0),VALUE(LEFT(raw_data!C175,2)))))),"")</f>
        <v>45420</v>
      </c>
      <c r="D175" s="3" t="str">
        <f aca="false">IF(TRIM(raw_data!B175)="","Missing",IF(B175="","Invalid/Unrecognized","Valid"))</f>
        <v>Valid</v>
      </c>
      <c r="E175" s="3" t="str">
        <f aca="false">IF(TRIM(raw_data!C175)="","Missing",IF(C175="","Invalid/Unrecognized","Valid"))</f>
        <v>Valid</v>
      </c>
      <c r="F175" s="5" t="n">
        <f aca="false">IF(OR(B175="",C175=""),"",C175-B175)</f>
        <v>6</v>
      </c>
      <c r="G175" s="3" t="str">
        <f aca="false">IF(F175="","N/A",IF(F175&lt;0,"Invalid - Ship Before Order","OK"))</f>
        <v>OK</v>
      </c>
      <c r="H175" s="3" t="str">
        <f aca="false">raw_data!D175</f>
        <v>CUST-6153</v>
      </c>
      <c r="I175" s="3" t="str">
        <f aca="false">PROPER(TRIM(raw_data!E175))</f>
        <v>Priya Menon</v>
      </c>
      <c r="J175" s="3" t="str">
        <f aca="false">PROPER(TRIM(raw_data!F175))</f>
        <v>Home Office</v>
      </c>
      <c r="K175" s="3" t="str">
        <f aca="false">IF(TRIM(raw_data!G175)="","Unknown",PROPER(TRIM(raw_data!G175)))</f>
        <v>North</v>
      </c>
      <c r="L175" s="3" t="str">
        <f aca="false">IF(TRIM(raw_data!G175)="","Filled - Unknown","OK")</f>
        <v>OK</v>
      </c>
      <c r="M175" s="3" t="str">
        <f aca="false">PROPER(TRIM(raw_data!H175))</f>
        <v>Punjab</v>
      </c>
      <c r="N175" s="3" t="str">
        <f aca="false">PROPER(TRIM(raw_data!I175))</f>
        <v>Ludhiana</v>
      </c>
      <c r="O175" s="3" t="str">
        <f aca="false">PROPER(TRIM(raw_data!J175))</f>
        <v>Technology</v>
      </c>
      <c r="P175" s="3" t="str">
        <f aca="false">PROPER(TRIM(raw_data!K175))</f>
        <v>Copiers</v>
      </c>
      <c r="Q175" s="3" t="str">
        <f aca="false">TRIM(raw_data!L175)</f>
        <v>Prime Copiers 440</v>
      </c>
      <c r="R175" s="3" t="str">
        <f aca="false">IF(TRIM(raw_data!M175)="","Unknown",PROPER(TRIM(raw_data!M175)))</f>
        <v>Second Class</v>
      </c>
      <c r="S175" s="3" t="str">
        <f aca="false">IF(TRIM(raw_data!M175)="","Filled - Unknown","OK")</f>
        <v>OK</v>
      </c>
      <c r="T175" s="6" t="n">
        <f aca="false">raw_data!N175</f>
        <v>1</v>
      </c>
      <c r="U175" s="7" t="n">
        <f aca="false">raw_data!O175</f>
        <v>2312.25</v>
      </c>
      <c r="V175" s="8" t="n">
        <f aca="false">raw_data!P175</f>
        <v>0.25</v>
      </c>
      <c r="W175" s="8" t="n">
        <f aca="false">IF(raw_data!P175="",0,IF(ISTEXT(raw_data!P175),IF(RIGHT(raw_data!P175,1)="%",VALUE(LEFT(raw_data!P175,LEN(raw_data!P175)-1))/100,VALUE(raw_data!P175)),raw_data!P175))</f>
        <v>0.25</v>
      </c>
      <c r="X175" s="3" t="str">
        <f aca="false">IF(raw_data!P175="","Missing - Defaulted to 0",IF(W175&lt;0,"Negative - Invalid",IF(W175&gt;0.3,"Above Allowed Range - Invalid","Valid")))</f>
        <v>Valid</v>
      </c>
      <c r="Y175" s="7" t="n">
        <f aca="false">raw_data!Q175</f>
        <v>1734.19</v>
      </c>
      <c r="Z175" s="7" t="n">
        <f aca="false">raw_data!R175</f>
        <v>1386.07</v>
      </c>
      <c r="AA175" s="7" t="n">
        <f aca="false">raw_data!S175</f>
        <v>348.12</v>
      </c>
      <c r="AB175" s="3" t="str">
        <f aca="false">PROPER(TRIM(raw_data!T175))</f>
        <v>Paid</v>
      </c>
      <c r="AC175" s="3" t="str">
        <f aca="false">PROPER(TRIM(raw_data!U175))</f>
        <v>Completed</v>
      </c>
      <c r="AD175" s="7" t="n">
        <f aca="false">T175*U175*(1-W175)</f>
        <v>1734.1875</v>
      </c>
      <c r="AE175" s="7" t="n">
        <f aca="false">AD175-Z175</f>
        <v>348.1175</v>
      </c>
      <c r="AF175" s="8" t="n">
        <f aca="false">IF(AD175=0,0,AE175/AD175)</f>
        <v>0.200738097812376</v>
      </c>
      <c r="AG175" s="3" t="str">
        <f aca="false">IF(ABS(Y175-AD175)&gt;1,"Mismatch","OK")</f>
        <v>OK</v>
      </c>
      <c r="AH175" s="3" t="str">
        <f aca="false">IF(ABS(AA175-AE175)&gt;1,"Mismatch","OK")</f>
        <v>OK</v>
      </c>
      <c r="AI175" s="6" t="n">
        <f aca="false">IF(B175="","",MONTH(B175))</f>
        <v>5</v>
      </c>
      <c r="AJ175" s="6" t="n">
        <f aca="false">IF(B175="","",YEAR(B175))</f>
        <v>2024</v>
      </c>
      <c r="AK175" s="3" t="str">
        <f aca="false">IF(COUNTIF(raw_data!$A$2:$A$913,A175)&gt;1,"Conflicting Duplicate - Flagged for Review","Unique")</f>
        <v>Unique</v>
      </c>
      <c r="AL175" s="3" t="str">
        <f aca="false">IF(AB175="Refunded","Yes","No")</f>
        <v>No</v>
      </c>
      <c r="AM175" s="3" t="str">
        <f aca="false">IF(OR(AC175&lt;&gt;"Completed",AB175="Failed"),"Excluded","Included")</f>
        <v>Included</v>
      </c>
      <c r="AN175" s="3" t="str">
        <f aca="false">IF(OR(D175="Invalid/Unrecognized",E175="Invalid/Unrecognized",G175="Invalid - Ship Before Order",X175="Negative - Invalid",X175="Above Allowed Range - Invalid",AG175="Mismatch",AH175="Mismatch",AK175="Conflicting Duplicate - Flagged for Review"),"Invalid",IF(OR(L175="Filled - Unknown",S175="Filled - Unknown",X175="Missing - Defaulted to 0",AL175="Yes",AC175="Cancelled",AC175="Returned"),"Warning","Clean"))</f>
        <v>Clean</v>
      </c>
    </row>
    <row r="176" customFormat="false" ht="15" hidden="false" customHeight="false" outlineLevel="0" collapsed="false">
      <c r="A176" s="3" t="str">
        <f aca="false">raw_data!A176</f>
        <v>ORD-2025-10175</v>
      </c>
      <c r="B176" s="4" t="n">
        <f aca="false">IFERROR(IF(MID(raw_data!B176,3,1)="/",DATE(VALUE(RIGHT(raw_data!B176,4)),VALUE(LEFT(raw_data!B176,2)),VALUE(MID(raw_data!B176,4,2))),IF(MID(raw_data!B176,3,1)="-",DATE(VALUE(RIGHT(raw_data!B176,4)),VALUE(MID(raw_data!B176,4,2)),VALUE(LEFT(raw_data!B176,2))),IF(MID(raw_data!B176,5,1)="-",DATE(VALUE(LEFT(raw_data!B176,4)),VALUE(MID(raw_data!B176,6,2)),VALUE(RIGHT(raw_data!B176,2))),DATE(VALUE(RIGHT(raw_data!B176,4)),MATCH(MID(raw_data!B176,4,3),{"Jan","Feb","Mar","Apr","May","Jun","Jul","Aug","Sep","Oct","Nov","Dec"},0),VALUE(LEFT(raw_data!B176,2)))))),"")</f>
        <v>45928</v>
      </c>
      <c r="C176" s="4" t="n">
        <f aca="false">IFERROR(IF(MID(raw_data!C176,3,1)="/",DATE(VALUE(RIGHT(raw_data!C176,4)),VALUE(LEFT(raw_data!C176,2)),VALUE(MID(raw_data!C176,4,2))),IF(MID(raw_data!C176,3,1)="-",DATE(VALUE(RIGHT(raw_data!C176,4)),VALUE(MID(raw_data!C176,4,2)),VALUE(LEFT(raw_data!C176,2))),IF(MID(raw_data!C176,5,1)="-",DATE(VALUE(LEFT(raw_data!C176,4)),VALUE(MID(raw_data!C176,6,2)),VALUE(RIGHT(raw_data!C176,2))),DATE(VALUE(RIGHT(raw_data!C176,4)),MATCH(MID(raw_data!C176,4,3),{"Jan","Feb","Mar","Apr","May","Jun","Jul","Aug","Sep","Oct","Nov","Dec"},0),VALUE(LEFT(raw_data!C176,2)))))),"")</f>
        <v>45934</v>
      </c>
      <c r="D176" s="3" t="str">
        <f aca="false">IF(TRIM(raw_data!B176)="","Missing",IF(B176="","Invalid/Unrecognized","Valid"))</f>
        <v>Valid</v>
      </c>
      <c r="E176" s="3" t="str">
        <f aca="false">IF(TRIM(raw_data!C176)="","Missing",IF(C176="","Invalid/Unrecognized","Valid"))</f>
        <v>Valid</v>
      </c>
      <c r="F176" s="5" t="n">
        <f aca="false">IF(OR(B176="",C176=""),"",C176-B176)</f>
        <v>6</v>
      </c>
      <c r="G176" s="3" t="str">
        <f aca="false">IF(F176="","N/A",IF(F176&lt;0,"Invalid - Ship Before Order","OK"))</f>
        <v>OK</v>
      </c>
      <c r="H176" s="3" t="str">
        <f aca="false">raw_data!D176</f>
        <v>CUST-5475</v>
      </c>
      <c r="I176" s="3" t="str">
        <f aca="false">PROPER(TRIM(raw_data!E176))</f>
        <v>Karan Malhotra</v>
      </c>
      <c r="J176" s="3" t="str">
        <f aca="false">PROPER(TRIM(raw_data!F176))</f>
        <v>Small Business</v>
      </c>
      <c r="K176" s="3" t="str">
        <f aca="false">IF(TRIM(raw_data!G176)="","Unknown",PROPER(TRIM(raw_data!G176)))</f>
        <v>South</v>
      </c>
      <c r="L176" s="3" t="str">
        <f aca="false">IF(TRIM(raw_data!G176)="","Filled - Unknown","OK")</f>
        <v>OK</v>
      </c>
      <c r="M176" s="3" t="str">
        <f aca="false">PROPER(TRIM(raw_data!H176))</f>
        <v>Karnataka</v>
      </c>
      <c r="N176" s="3" t="str">
        <f aca="false">PROPER(TRIM(raw_data!I176))</f>
        <v>Bengaluru</v>
      </c>
      <c r="O176" s="3" t="str">
        <f aca="false">PROPER(TRIM(raw_data!J176))</f>
        <v>Furniture</v>
      </c>
      <c r="P176" s="3" t="str">
        <f aca="false">PROPER(TRIM(raw_data!K176))</f>
        <v>Bookcases</v>
      </c>
      <c r="Q176" s="3" t="str">
        <f aca="false">TRIM(raw_data!L176)</f>
        <v>Pro Bookcases 319</v>
      </c>
      <c r="R176" s="3" t="str">
        <f aca="false">IF(TRIM(raw_data!M176)="","Unknown",PROPER(TRIM(raw_data!M176)))</f>
        <v>First Class</v>
      </c>
      <c r="S176" s="3" t="str">
        <f aca="false">IF(TRIM(raw_data!M176)="","Filled - Unknown","OK")</f>
        <v>OK</v>
      </c>
      <c r="T176" s="6" t="n">
        <f aca="false">raw_data!N176</f>
        <v>6</v>
      </c>
      <c r="U176" s="7" t="n">
        <f aca="false">raw_data!O176</f>
        <v>1620.53</v>
      </c>
      <c r="V176" s="8" t="n">
        <f aca="false">raw_data!P176</f>
        <v>0.15</v>
      </c>
      <c r="W176" s="8" t="n">
        <f aca="false">IF(raw_data!P176="",0,IF(ISTEXT(raw_data!P176),IF(RIGHT(raw_data!P176,1)="%",VALUE(LEFT(raw_data!P176,LEN(raw_data!P176)-1))/100,VALUE(raw_data!P176)),raw_data!P176))</f>
        <v>0.15</v>
      </c>
      <c r="X176" s="3" t="str">
        <f aca="false">IF(raw_data!P176="","Missing - Defaulted to 0",IF(W176&lt;0,"Negative - Invalid",IF(W176&gt;0.3,"Above Allowed Range - Invalid","Valid")))</f>
        <v>Valid</v>
      </c>
      <c r="Y176" s="7" t="n">
        <f aca="false">raw_data!Q176</f>
        <v>8264.7</v>
      </c>
      <c r="Z176" s="7" t="n">
        <f aca="false">raw_data!R176</f>
        <v>4768.75</v>
      </c>
      <c r="AA176" s="7" t="n">
        <f aca="false">raw_data!S176</f>
        <v>3495.95</v>
      </c>
      <c r="AB176" s="3" t="str">
        <f aca="false">PROPER(TRIM(raw_data!T176))</f>
        <v>Pending</v>
      </c>
      <c r="AC176" s="3" t="str">
        <f aca="false">PROPER(TRIM(raw_data!U176))</f>
        <v>Returned</v>
      </c>
      <c r="AD176" s="7" t="n">
        <f aca="false">T176*U176*(1-W176)</f>
        <v>8264.703</v>
      </c>
      <c r="AE176" s="7" t="n">
        <f aca="false">AD176-Z176</f>
        <v>3495.953</v>
      </c>
      <c r="AF176" s="8" t="n">
        <f aca="false">IF(AD176=0,0,AE176/AD176)</f>
        <v>0.422998019408562</v>
      </c>
      <c r="AG176" s="3" t="str">
        <f aca="false">IF(ABS(Y176-AD176)&gt;1,"Mismatch","OK")</f>
        <v>OK</v>
      </c>
      <c r="AH176" s="3" t="str">
        <f aca="false">IF(ABS(AA176-AE176)&gt;1,"Mismatch","OK")</f>
        <v>OK</v>
      </c>
      <c r="AI176" s="6" t="n">
        <f aca="false">IF(B176="","",MONTH(B176))</f>
        <v>9</v>
      </c>
      <c r="AJ176" s="6" t="n">
        <f aca="false">IF(B176="","",YEAR(B176))</f>
        <v>2025</v>
      </c>
      <c r="AK176" s="3" t="str">
        <f aca="false">IF(COUNTIF(raw_data!$A$2:$A$913,A176)&gt;1,"Conflicting Duplicate - Flagged for Review","Unique")</f>
        <v>Unique</v>
      </c>
      <c r="AL176" s="3" t="str">
        <f aca="false">IF(AB176="Refunded","Yes","No")</f>
        <v>No</v>
      </c>
      <c r="AM176" s="3" t="str">
        <f aca="false">IF(OR(AC176&lt;&gt;"Completed",AB176="Failed"),"Excluded","Included")</f>
        <v>Excluded</v>
      </c>
      <c r="AN176" s="3" t="str">
        <f aca="false">IF(OR(D176="Invalid/Unrecognized",E176="Invalid/Unrecognized",G176="Invalid - Ship Before Order",X176="Negative - Invalid",X176="Above Allowed Range - Invalid",AG176="Mismatch",AH176="Mismatch",AK176="Conflicting Duplicate - Flagged for Review"),"Invalid",IF(OR(L176="Filled - Unknown",S176="Filled - Unknown",X176="Missing - Defaulted to 0",AL176="Yes",AC176="Cancelled",AC176="Returned"),"Warning","Clean"))</f>
        <v>Warning</v>
      </c>
    </row>
    <row r="177" customFormat="false" ht="15" hidden="false" customHeight="false" outlineLevel="0" collapsed="false">
      <c r="A177" s="3" t="str">
        <f aca="false">raw_data!A177</f>
        <v>ORD-2024-10176</v>
      </c>
      <c r="B177" s="4" t="n">
        <f aca="false">IFERROR(IF(MID(raw_data!B177,3,1)="/",DATE(VALUE(RIGHT(raw_data!B177,4)),VALUE(LEFT(raw_data!B177,2)),VALUE(MID(raw_data!B177,4,2))),IF(MID(raw_data!B177,3,1)="-",DATE(VALUE(RIGHT(raw_data!B177,4)),VALUE(MID(raw_data!B177,4,2)),VALUE(LEFT(raw_data!B177,2))),IF(MID(raw_data!B177,5,1)="-",DATE(VALUE(LEFT(raw_data!B177,4)),VALUE(MID(raw_data!B177,6,2)),VALUE(RIGHT(raw_data!B177,2))),DATE(VALUE(RIGHT(raw_data!B177,4)),MATCH(MID(raw_data!B177,4,3),{"Jan","Feb","Mar","Apr","May","Jun","Jul","Aug","Sep","Oct","Nov","Dec"},0),VALUE(LEFT(raw_data!B177,2)))))),"")</f>
        <v>45318</v>
      </c>
      <c r="C177" s="4" t="n">
        <f aca="false">IFERROR(IF(MID(raw_data!C177,3,1)="/",DATE(VALUE(RIGHT(raw_data!C177,4)),VALUE(LEFT(raw_data!C177,2)),VALUE(MID(raw_data!C177,4,2))),IF(MID(raw_data!C177,3,1)="-",DATE(VALUE(RIGHT(raw_data!C177,4)),VALUE(MID(raw_data!C177,4,2)),VALUE(LEFT(raw_data!C177,2))),IF(MID(raw_data!C177,5,1)="-",DATE(VALUE(LEFT(raw_data!C177,4)),VALUE(MID(raw_data!C177,6,2)),VALUE(RIGHT(raw_data!C177,2))),DATE(VALUE(RIGHT(raw_data!C177,4)),MATCH(MID(raw_data!C177,4,3),{"Jan","Feb","Mar","Apr","May","Jun","Jul","Aug","Sep","Oct","Nov","Dec"},0),VALUE(LEFT(raw_data!C177,2)))))),"")</f>
        <v>45325</v>
      </c>
      <c r="D177" s="3" t="str">
        <f aca="false">IF(TRIM(raw_data!B177)="","Missing",IF(B177="","Invalid/Unrecognized","Valid"))</f>
        <v>Valid</v>
      </c>
      <c r="E177" s="3" t="str">
        <f aca="false">IF(TRIM(raw_data!C177)="","Missing",IF(C177="","Invalid/Unrecognized","Valid"))</f>
        <v>Valid</v>
      </c>
      <c r="F177" s="5" t="n">
        <f aca="false">IF(OR(B177="",C177=""),"",C177-B177)</f>
        <v>7</v>
      </c>
      <c r="G177" s="3" t="str">
        <f aca="false">IF(F177="","N/A",IF(F177&lt;0,"Invalid - Ship Before Order","OK"))</f>
        <v>OK</v>
      </c>
      <c r="H177" s="3" t="str">
        <f aca="false">raw_data!D177</f>
        <v>CUST-5580</v>
      </c>
      <c r="I177" s="3" t="str">
        <f aca="false">PROPER(TRIM(raw_data!E177))</f>
        <v>Arjun Bose</v>
      </c>
      <c r="J177" s="3" t="str">
        <f aca="false">PROPER(TRIM(raw_data!F177))</f>
        <v>Small Business</v>
      </c>
      <c r="K177" s="3" t="str">
        <f aca="false">IF(TRIM(raw_data!G177)="","Unknown",PROPER(TRIM(raw_data!G177)))</f>
        <v>East</v>
      </c>
      <c r="L177" s="3" t="str">
        <f aca="false">IF(TRIM(raw_data!G177)="","Filled - Unknown","OK")</f>
        <v>OK</v>
      </c>
      <c r="M177" s="3" t="str">
        <f aca="false">PROPER(TRIM(raw_data!H177))</f>
        <v>Bihar</v>
      </c>
      <c r="N177" s="3" t="str">
        <f aca="false">PROPER(TRIM(raw_data!I177))</f>
        <v>Patna</v>
      </c>
      <c r="O177" s="3" t="str">
        <f aca="false">PROPER(TRIM(raw_data!J177))</f>
        <v>Technology</v>
      </c>
      <c r="P177" s="3" t="str">
        <f aca="false">PROPER(TRIM(raw_data!K177))</f>
        <v>Machines</v>
      </c>
      <c r="Q177" s="3" t="str">
        <f aca="false">TRIM(raw_data!L177)</f>
        <v>Basic Machines 584</v>
      </c>
      <c r="R177" s="3" t="str">
        <f aca="false">IF(TRIM(raw_data!M177)="","Unknown",PROPER(TRIM(raw_data!M177)))</f>
        <v>Same Day</v>
      </c>
      <c r="S177" s="3" t="str">
        <f aca="false">IF(TRIM(raw_data!M177)="","Filled - Unknown","OK")</f>
        <v>OK</v>
      </c>
      <c r="T177" s="6" t="n">
        <f aca="false">raw_data!N177</f>
        <v>7</v>
      </c>
      <c r="U177" s="7" t="n">
        <f aca="false">raw_data!O177</f>
        <v>2673.42</v>
      </c>
      <c r="V177" s="8" t="n">
        <f aca="false">raw_data!P177</f>
        <v>0.15</v>
      </c>
      <c r="W177" s="8" t="n">
        <f aca="false">IF(raw_data!P177="",0,IF(ISTEXT(raw_data!P177),IF(RIGHT(raw_data!P177,1)="%",VALUE(LEFT(raw_data!P177,LEN(raw_data!P177)-1))/100,VALUE(raw_data!P177)),raw_data!P177))</f>
        <v>0.15</v>
      </c>
      <c r="X177" s="3" t="str">
        <f aca="false">IF(raw_data!P177="","Missing - Defaulted to 0",IF(W177&lt;0,"Negative - Invalid",IF(W177&gt;0.3,"Above Allowed Range - Invalid","Valid")))</f>
        <v>Valid</v>
      </c>
      <c r="Y177" s="7" t="n">
        <f aca="false">raw_data!Q177</f>
        <v>15906.85</v>
      </c>
      <c r="Z177" s="7" t="n">
        <f aca="false">raw_data!R177</f>
        <v>11014.46</v>
      </c>
      <c r="AA177" s="7" t="n">
        <f aca="false">raw_data!S177</f>
        <v>4892.39</v>
      </c>
      <c r="AB177" s="3" t="str">
        <f aca="false">PROPER(TRIM(raw_data!T177))</f>
        <v>Paid</v>
      </c>
      <c r="AC177" s="3" t="str">
        <f aca="false">PROPER(TRIM(raw_data!U177))</f>
        <v>Returned</v>
      </c>
      <c r="AD177" s="7" t="n">
        <f aca="false">T177*U177*(1-W177)</f>
        <v>15906.849</v>
      </c>
      <c r="AE177" s="7" t="n">
        <f aca="false">AD177-Z177</f>
        <v>4892.389</v>
      </c>
      <c r="AF177" s="8" t="n">
        <f aca="false">IF(AD177=0,0,AE177/AD177)</f>
        <v>0.307564936336543</v>
      </c>
      <c r="AG177" s="3" t="str">
        <f aca="false">IF(ABS(Y177-AD177)&gt;1,"Mismatch","OK")</f>
        <v>OK</v>
      </c>
      <c r="AH177" s="3" t="str">
        <f aca="false">IF(ABS(AA177-AE177)&gt;1,"Mismatch","OK")</f>
        <v>OK</v>
      </c>
      <c r="AI177" s="6" t="n">
        <f aca="false">IF(B177="","",MONTH(B177))</f>
        <v>1</v>
      </c>
      <c r="AJ177" s="6" t="n">
        <f aca="false">IF(B177="","",YEAR(B177))</f>
        <v>2024</v>
      </c>
      <c r="AK177" s="3" t="str">
        <f aca="false">IF(COUNTIF(raw_data!$A$2:$A$913,A177)&gt;1,"Conflicting Duplicate - Flagged for Review","Unique")</f>
        <v>Unique</v>
      </c>
      <c r="AL177" s="3" t="str">
        <f aca="false">IF(AB177="Refunded","Yes","No")</f>
        <v>No</v>
      </c>
      <c r="AM177" s="3" t="str">
        <f aca="false">IF(OR(AC177&lt;&gt;"Completed",AB177="Failed"),"Excluded","Included")</f>
        <v>Excluded</v>
      </c>
      <c r="AN177" s="3" t="str">
        <f aca="false">IF(OR(D177="Invalid/Unrecognized",E177="Invalid/Unrecognized",G177="Invalid - Ship Before Order",X177="Negative - Invalid",X177="Above Allowed Range - Invalid",AG177="Mismatch",AH177="Mismatch",AK177="Conflicting Duplicate - Flagged for Review"),"Invalid",IF(OR(L177="Filled - Unknown",S177="Filled - Unknown",X177="Missing - Defaulted to 0",AL177="Yes",AC177="Cancelled",AC177="Returned"),"Warning","Clean"))</f>
        <v>Warning</v>
      </c>
    </row>
    <row r="178" customFormat="false" ht="15" hidden="false" customHeight="false" outlineLevel="0" collapsed="false">
      <c r="A178" s="3" t="str">
        <f aca="false">raw_data!A178</f>
        <v>ORD-2025-10177</v>
      </c>
      <c r="B178" s="4" t="n">
        <f aca="false">IFERROR(IF(MID(raw_data!B178,3,1)="/",DATE(VALUE(RIGHT(raw_data!B178,4)),VALUE(LEFT(raw_data!B178,2)),VALUE(MID(raw_data!B178,4,2))),IF(MID(raw_data!B178,3,1)="-",DATE(VALUE(RIGHT(raw_data!B178,4)),VALUE(MID(raw_data!B178,4,2)),VALUE(LEFT(raw_data!B178,2))),IF(MID(raw_data!B178,5,1)="-",DATE(VALUE(LEFT(raw_data!B178,4)),VALUE(MID(raw_data!B178,6,2)),VALUE(RIGHT(raw_data!B178,2))),DATE(VALUE(RIGHT(raw_data!B178,4)),MATCH(MID(raw_data!B178,4,3),{"Jan","Feb","Mar","Apr","May","Jun","Jul","Aug","Sep","Oct","Nov","Dec"},0),VALUE(LEFT(raw_data!B178,2)))))),"")</f>
        <v>45734</v>
      </c>
      <c r="C178" s="4" t="n">
        <f aca="false">IFERROR(IF(MID(raw_data!C178,3,1)="/",DATE(VALUE(RIGHT(raw_data!C178,4)),VALUE(LEFT(raw_data!C178,2)),VALUE(MID(raw_data!C178,4,2))),IF(MID(raw_data!C178,3,1)="-",DATE(VALUE(RIGHT(raw_data!C178,4)),VALUE(MID(raw_data!C178,4,2)),VALUE(LEFT(raw_data!C178,2))),IF(MID(raw_data!C178,5,1)="-",DATE(VALUE(LEFT(raw_data!C178,4)),VALUE(MID(raw_data!C178,6,2)),VALUE(RIGHT(raw_data!C178,2))),DATE(VALUE(RIGHT(raw_data!C178,4)),MATCH(MID(raw_data!C178,4,3),{"Jan","Feb","Mar","Apr","May","Jun","Jul","Aug","Sep","Oct","Nov","Dec"},0),VALUE(LEFT(raw_data!C178,2)))))),"")</f>
        <v>45742</v>
      </c>
      <c r="D178" s="3" t="str">
        <f aca="false">IF(TRIM(raw_data!B178)="","Missing",IF(B178="","Invalid/Unrecognized","Valid"))</f>
        <v>Valid</v>
      </c>
      <c r="E178" s="3" t="str">
        <f aca="false">IF(TRIM(raw_data!C178)="","Missing",IF(C178="","Invalid/Unrecognized","Valid"))</f>
        <v>Valid</v>
      </c>
      <c r="F178" s="5" t="n">
        <f aca="false">IF(OR(B178="",C178=""),"",C178-B178)</f>
        <v>8</v>
      </c>
      <c r="G178" s="3" t="str">
        <f aca="false">IF(F178="","N/A",IF(F178&lt;0,"Invalid - Ship Before Order","OK"))</f>
        <v>OK</v>
      </c>
      <c r="H178" s="3" t="str">
        <f aca="false">raw_data!D178</f>
        <v>CUST-3027</v>
      </c>
      <c r="I178" s="3" t="str">
        <f aca="false">PROPER(TRIM(raw_data!E178))</f>
        <v>Vikram Iyer</v>
      </c>
      <c r="J178" s="3" t="str">
        <f aca="false">PROPER(TRIM(raw_data!F178))</f>
        <v>Corporate</v>
      </c>
      <c r="K178" s="3" t="str">
        <f aca="false">IF(TRIM(raw_data!G178)="","Unknown",PROPER(TRIM(raw_data!G178)))</f>
        <v>East</v>
      </c>
      <c r="L178" s="3" t="str">
        <f aca="false">IF(TRIM(raw_data!G178)="","Filled - Unknown","OK")</f>
        <v>OK</v>
      </c>
      <c r="M178" s="3" t="str">
        <f aca="false">PROPER(TRIM(raw_data!H178))</f>
        <v>Jharkhand</v>
      </c>
      <c r="N178" s="3" t="str">
        <f aca="false">PROPER(TRIM(raw_data!I178))</f>
        <v>Ranchi</v>
      </c>
      <c r="O178" s="3" t="str">
        <f aca="false">PROPER(TRIM(raw_data!J178))</f>
        <v>Furniture</v>
      </c>
      <c r="P178" s="3" t="str">
        <f aca="false">PROPER(TRIM(raw_data!K178))</f>
        <v>Bookcases</v>
      </c>
      <c r="Q178" s="3" t="str">
        <f aca="false">TRIM(raw_data!L178)</f>
        <v>Pro Bookcases 612</v>
      </c>
      <c r="R178" s="3" t="str">
        <f aca="false">IF(TRIM(raw_data!M178)="","Unknown",PROPER(TRIM(raw_data!M178)))</f>
        <v>Standard Class</v>
      </c>
      <c r="S178" s="3" t="str">
        <f aca="false">IF(TRIM(raw_data!M178)="","Filled - Unknown","OK")</f>
        <v>OK</v>
      </c>
      <c r="T178" s="6" t="n">
        <f aca="false">raw_data!N178</f>
        <v>8</v>
      </c>
      <c r="U178" s="7" t="n">
        <f aca="false">raw_data!O178</f>
        <v>3563.09</v>
      </c>
      <c r="V178" s="8" t="n">
        <f aca="false">raw_data!P178</f>
        <v>0.15</v>
      </c>
      <c r="W178" s="8" t="n">
        <f aca="false">IF(raw_data!P178="",0,IF(ISTEXT(raw_data!P178),IF(RIGHT(raw_data!P178,1)="%",VALUE(LEFT(raw_data!P178,LEN(raw_data!P178)-1))/100,VALUE(raw_data!P178)),raw_data!P178))</f>
        <v>0.15</v>
      </c>
      <c r="X178" s="3" t="str">
        <f aca="false">IF(raw_data!P178="","Missing - Defaulted to 0",IF(W178&lt;0,"Negative - Invalid",IF(W178&gt;0.3,"Above Allowed Range - Invalid","Valid")))</f>
        <v>Valid</v>
      </c>
      <c r="Y178" s="7" t="n">
        <f aca="false">raw_data!Q178</f>
        <v>24229.01</v>
      </c>
      <c r="Z178" s="7" t="n">
        <f aca="false">raw_data!R178</f>
        <v>13910.64</v>
      </c>
      <c r="AA178" s="7" t="n">
        <f aca="false">raw_data!S178</f>
        <v>10318.37</v>
      </c>
      <c r="AB178" s="3" t="str">
        <f aca="false">PROPER(TRIM(raw_data!T178))</f>
        <v>Paid</v>
      </c>
      <c r="AC178" s="3" t="str">
        <f aca="false">PROPER(TRIM(raw_data!U178))</f>
        <v>Completed</v>
      </c>
      <c r="AD178" s="7" t="n">
        <f aca="false">T178*U178*(1-W178)</f>
        <v>24229.012</v>
      </c>
      <c r="AE178" s="7" t="n">
        <f aca="false">AD178-Z178</f>
        <v>10318.372</v>
      </c>
      <c r="AF178" s="8" t="n">
        <f aca="false">IF(AD178=0,0,AE178/AD178)</f>
        <v>0.425868458854203</v>
      </c>
      <c r="AG178" s="3" t="str">
        <f aca="false">IF(ABS(Y178-AD178)&gt;1,"Mismatch","OK")</f>
        <v>OK</v>
      </c>
      <c r="AH178" s="3" t="str">
        <f aca="false">IF(ABS(AA178-AE178)&gt;1,"Mismatch","OK")</f>
        <v>OK</v>
      </c>
      <c r="AI178" s="6" t="n">
        <f aca="false">IF(B178="","",MONTH(B178))</f>
        <v>3</v>
      </c>
      <c r="AJ178" s="6" t="n">
        <f aca="false">IF(B178="","",YEAR(B178))</f>
        <v>2025</v>
      </c>
      <c r="AK178" s="3" t="str">
        <f aca="false">IF(COUNTIF(raw_data!$A$2:$A$913,A178)&gt;1,"Conflicting Duplicate - Flagged for Review","Unique")</f>
        <v>Unique</v>
      </c>
      <c r="AL178" s="3" t="str">
        <f aca="false">IF(AB178="Refunded","Yes","No")</f>
        <v>No</v>
      </c>
      <c r="AM178" s="3" t="str">
        <f aca="false">IF(OR(AC178&lt;&gt;"Completed",AB178="Failed"),"Excluded","Included")</f>
        <v>Included</v>
      </c>
      <c r="AN178" s="3" t="str">
        <f aca="false">IF(OR(D178="Invalid/Unrecognized",E178="Invalid/Unrecognized",G178="Invalid - Ship Before Order",X178="Negative - Invalid",X178="Above Allowed Range - Invalid",AG178="Mismatch",AH178="Mismatch",AK178="Conflicting Duplicate - Flagged for Review"),"Invalid",IF(OR(L178="Filled - Unknown",S178="Filled - Unknown",X178="Missing - Defaulted to 0",AL178="Yes",AC178="Cancelled",AC178="Returned"),"Warning","Clean"))</f>
        <v>Clean</v>
      </c>
    </row>
    <row r="179" customFormat="false" ht="15" hidden="false" customHeight="false" outlineLevel="0" collapsed="false">
      <c r="A179" s="3" t="str">
        <f aca="false">raw_data!A179</f>
        <v>ORD-2024-10178</v>
      </c>
      <c r="B179" s="4" t="n">
        <f aca="false">IFERROR(IF(MID(raw_data!B179,3,1)="/",DATE(VALUE(RIGHT(raw_data!B179,4)),VALUE(LEFT(raw_data!B179,2)),VALUE(MID(raw_data!B179,4,2))),IF(MID(raw_data!B179,3,1)="-",DATE(VALUE(RIGHT(raw_data!B179,4)),VALUE(MID(raw_data!B179,4,2)),VALUE(LEFT(raw_data!B179,2))),IF(MID(raw_data!B179,5,1)="-",DATE(VALUE(LEFT(raw_data!B179,4)),VALUE(MID(raw_data!B179,6,2)),VALUE(RIGHT(raw_data!B179,2))),DATE(VALUE(RIGHT(raw_data!B179,4)),MATCH(MID(raw_data!B179,4,3),{"Jan","Feb","Mar","Apr","May","Jun","Jul","Aug","Sep","Oct","Nov","Dec"},0),VALUE(LEFT(raw_data!B179,2)))))),"")</f>
        <v>45444</v>
      </c>
      <c r="C179" s="4" t="n">
        <f aca="false">IFERROR(IF(MID(raw_data!C179,3,1)="/",DATE(VALUE(RIGHT(raw_data!C179,4)),VALUE(LEFT(raw_data!C179,2)),VALUE(MID(raw_data!C179,4,2))),IF(MID(raw_data!C179,3,1)="-",DATE(VALUE(RIGHT(raw_data!C179,4)),VALUE(MID(raw_data!C179,4,2)),VALUE(LEFT(raw_data!C179,2))),IF(MID(raw_data!C179,5,1)="-",DATE(VALUE(LEFT(raw_data!C179,4)),VALUE(MID(raw_data!C179,6,2)),VALUE(RIGHT(raw_data!C179,2))),DATE(VALUE(RIGHT(raw_data!C179,4)),MATCH(MID(raw_data!C179,4,3),{"Jan","Feb","Mar","Apr","May","Jun","Jul","Aug","Sep","Oct","Nov","Dec"},0),VALUE(LEFT(raw_data!C179,2)))))),"")</f>
        <v>45446</v>
      </c>
      <c r="D179" s="3" t="str">
        <f aca="false">IF(TRIM(raw_data!B179)="","Missing",IF(B179="","Invalid/Unrecognized","Valid"))</f>
        <v>Valid</v>
      </c>
      <c r="E179" s="3" t="str">
        <f aca="false">IF(TRIM(raw_data!C179)="","Missing",IF(C179="","Invalid/Unrecognized","Valid"))</f>
        <v>Valid</v>
      </c>
      <c r="F179" s="5" t="n">
        <f aca="false">IF(OR(B179="",C179=""),"",C179-B179)</f>
        <v>2</v>
      </c>
      <c r="G179" s="3" t="str">
        <f aca="false">IF(F179="","N/A",IF(F179&lt;0,"Invalid - Ship Before Order","OK"))</f>
        <v>OK</v>
      </c>
      <c r="H179" s="3" t="str">
        <f aca="false">raw_data!D179</f>
        <v>CUST-4399</v>
      </c>
      <c r="I179" s="3" t="str">
        <f aca="false">PROPER(TRIM(raw_data!E179))</f>
        <v>Sneha Kapoor</v>
      </c>
      <c r="J179" s="3" t="str">
        <f aca="false">PROPER(TRIM(raw_data!F179))</f>
        <v>Home Office</v>
      </c>
      <c r="K179" s="3" t="str">
        <f aca="false">IF(TRIM(raw_data!G179)="","Unknown",PROPER(TRIM(raw_data!G179)))</f>
        <v>Unknown</v>
      </c>
      <c r="L179" s="3" t="str">
        <f aca="false">IF(TRIM(raw_data!G179)="","Filled - Unknown","OK")</f>
        <v>Filled - Unknown</v>
      </c>
      <c r="M179" s="3" t="str">
        <f aca="false">PROPER(TRIM(raw_data!H179))</f>
        <v>Bihar</v>
      </c>
      <c r="N179" s="3" t="str">
        <f aca="false">PROPER(TRIM(raw_data!I179))</f>
        <v>Patna</v>
      </c>
      <c r="O179" s="3" t="str">
        <f aca="false">PROPER(TRIM(raw_data!J179))</f>
        <v>Office Supplies</v>
      </c>
      <c r="P179" s="3" t="str">
        <f aca="false">PROPER(TRIM(raw_data!K179))</f>
        <v>Art</v>
      </c>
      <c r="Q179" s="3" t="str">
        <f aca="false">TRIM(raw_data!L179)</f>
        <v>Classic Art 573</v>
      </c>
      <c r="R179" s="3" t="str">
        <f aca="false">IF(TRIM(raw_data!M179)="","Unknown",PROPER(TRIM(raw_data!M179)))</f>
        <v>Same Day</v>
      </c>
      <c r="S179" s="3" t="str">
        <f aca="false">IF(TRIM(raw_data!M179)="","Filled - Unknown","OK")</f>
        <v>OK</v>
      </c>
      <c r="T179" s="6" t="n">
        <f aca="false">raw_data!N179</f>
        <v>8</v>
      </c>
      <c r="U179" s="7" t="n">
        <f aca="false">raw_data!O179</f>
        <v>3879.95</v>
      </c>
      <c r="V179" s="8" t="n">
        <f aca="false">raw_data!P179</f>
        <v>0</v>
      </c>
      <c r="W179" s="8" t="n">
        <f aca="false">IF(raw_data!P179="",0,IF(ISTEXT(raw_data!P179),IF(RIGHT(raw_data!P179,1)="%",VALUE(LEFT(raw_data!P179,LEN(raw_data!P179)-1))/100,VALUE(raw_data!P179)),raw_data!P179))</f>
        <v>0</v>
      </c>
      <c r="X179" s="3" t="str">
        <f aca="false">IF(raw_data!P179="","Missing - Defaulted to 0",IF(W179&lt;0,"Negative - Invalid",IF(W179&gt;0.3,"Above Allowed Range - Invalid","Valid")))</f>
        <v>Valid</v>
      </c>
      <c r="Y179" s="7" t="n">
        <f aca="false">raw_data!Q179</f>
        <v>31039.6</v>
      </c>
      <c r="Z179" s="7" t="n">
        <f aca="false">raw_data!R179</f>
        <v>20866.72</v>
      </c>
      <c r="AA179" s="7" t="n">
        <f aca="false">raw_data!S179</f>
        <v>10172.88</v>
      </c>
      <c r="AB179" s="3" t="str">
        <f aca="false">PROPER(TRIM(raw_data!T179))</f>
        <v>Paid</v>
      </c>
      <c r="AC179" s="3" t="str">
        <f aca="false">PROPER(TRIM(raw_data!U179))</f>
        <v>Completed</v>
      </c>
      <c r="AD179" s="7" t="n">
        <f aca="false">T179*U179*(1-W179)</f>
        <v>31039.6</v>
      </c>
      <c r="AE179" s="7" t="n">
        <f aca="false">AD179-Z179</f>
        <v>10172.88</v>
      </c>
      <c r="AF179" s="8" t="n">
        <f aca="false">IF(AD179=0,0,AE179/AD179)</f>
        <v>0.327738759520097</v>
      </c>
      <c r="AG179" s="3" t="str">
        <f aca="false">IF(ABS(Y179-AD179)&gt;1,"Mismatch","OK")</f>
        <v>OK</v>
      </c>
      <c r="AH179" s="3" t="str">
        <f aca="false">IF(ABS(AA179-AE179)&gt;1,"Mismatch","OK")</f>
        <v>OK</v>
      </c>
      <c r="AI179" s="6" t="n">
        <f aca="false">IF(B179="","",MONTH(B179))</f>
        <v>6</v>
      </c>
      <c r="AJ179" s="6" t="n">
        <f aca="false">IF(B179="","",YEAR(B179))</f>
        <v>2024</v>
      </c>
      <c r="AK179" s="3" t="str">
        <f aca="false">IF(COUNTIF(raw_data!$A$2:$A$913,A179)&gt;1,"Conflicting Duplicate - Flagged for Review","Unique")</f>
        <v>Unique</v>
      </c>
      <c r="AL179" s="3" t="str">
        <f aca="false">IF(AB179="Refunded","Yes","No")</f>
        <v>No</v>
      </c>
      <c r="AM179" s="3" t="str">
        <f aca="false">IF(OR(AC179&lt;&gt;"Completed",AB179="Failed"),"Excluded","Included")</f>
        <v>Included</v>
      </c>
      <c r="AN179" s="3" t="str">
        <f aca="false">IF(OR(D179="Invalid/Unrecognized",E179="Invalid/Unrecognized",G179="Invalid - Ship Before Order",X179="Negative - Invalid",X179="Above Allowed Range - Invalid",AG179="Mismatch",AH179="Mismatch",AK179="Conflicting Duplicate - Flagged for Review"),"Invalid",IF(OR(L179="Filled - Unknown",S179="Filled - Unknown",X179="Missing - Defaulted to 0",AL179="Yes",AC179="Cancelled",AC179="Returned"),"Warning","Clean"))</f>
        <v>Warning</v>
      </c>
    </row>
    <row r="180" customFormat="false" ht="15" hidden="false" customHeight="false" outlineLevel="0" collapsed="false">
      <c r="A180" s="3" t="str">
        <f aca="false">raw_data!A180</f>
        <v>ORD-2024-10179</v>
      </c>
      <c r="B180" s="4" t="n">
        <f aca="false">IFERROR(IF(MID(raw_data!B180,3,1)="/",DATE(VALUE(RIGHT(raw_data!B180,4)),VALUE(LEFT(raw_data!B180,2)),VALUE(MID(raw_data!B180,4,2))),IF(MID(raw_data!B180,3,1)="-",DATE(VALUE(RIGHT(raw_data!B180,4)),VALUE(MID(raw_data!B180,4,2)),VALUE(LEFT(raw_data!B180,2))),IF(MID(raw_data!B180,5,1)="-",DATE(VALUE(LEFT(raw_data!B180,4)),VALUE(MID(raw_data!B180,6,2)),VALUE(RIGHT(raw_data!B180,2))),DATE(VALUE(RIGHT(raw_data!B180,4)),MATCH(MID(raw_data!B180,4,3),{"Jan","Feb","Mar","Apr","May","Jun","Jul","Aug","Sep","Oct","Nov","Dec"},0),VALUE(LEFT(raw_data!B180,2)))))),"")</f>
        <v>45565</v>
      </c>
      <c r="C180" s="4" t="n">
        <f aca="false">IFERROR(IF(MID(raw_data!C180,3,1)="/",DATE(VALUE(RIGHT(raw_data!C180,4)),VALUE(LEFT(raw_data!C180,2)),VALUE(MID(raw_data!C180,4,2))),IF(MID(raw_data!C180,3,1)="-",DATE(VALUE(RIGHT(raw_data!C180,4)),VALUE(MID(raw_data!C180,4,2)),VALUE(LEFT(raw_data!C180,2))),IF(MID(raw_data!C180,5,1)="-",DATE(VALUE(LEFT(raw_data!C180,4)),VALUE(MID(raw_data!C180,6,2)),VALUE(RIGHT(raw_data!C180,2))),DATE(VALUE(RIGHT(raw_data!C180,4)),MATCH(MID(raw_data!C180,4,3),{"Jan","Feb","Mar","Apr","May","Jun","Jul","Aug","Sep","Oct","Nov","Dec"},0),VALUE(LEFT(raw_data!C180,2)))))),"")</f>
        <v>45565</v>
      </c>
      <c r="D180" s="3" t="str">
        <f aca="false">IF(TRIM(raw_data!B180)="","Missing",IF(B180="","Invalid/Unrecognized","Valid"))</f>
        <v>Valid</v>
      </c>
      <c r="E180" s="3" t="str">
        <f aca="false">IF(TRIM(raw_data!C180)="","Missing",IF(C180="","Invalid/Unrecognized","Valid"))</f>
        <v>Valid</v>
      </c>
      <c r="F180" s="5" t="n">
        <f aca="false">IF(OR(B180="",C180=""),"",C180-B180)</f>
        <v>0</v>
      </c>
      <c r="G180" s="3" t="str">
        <f aca="false">IF(F180="","N/A",IF(F180&lt;0,"Invalid - Ship Before Order","OK"))</f>
        <v>OK</v>
      </c>
      <c r="H180" s="3" t="str">
        <f aca="false">raw_data!D180</f>
        <v>CUST-3092</v>
      </c>
      <c r="I180" s="3" t="str">
        <f aca="false">PROPER(TRIM(raw_data!E180))</f>
        <v>Isha Nair</v>
      </c>
      <c r="J180" s="3" t="str">
        <f aca="false">PROPER(TRIM(raw_data!F180))</f>
        <v>Corporate</v>
      </c>
      <c r="K180" s="3" t="str">
        <f aca="false">IF(TRIM(raw_data!G180)="","Unknown",PROPER(TRIM(raw_data!G180)))</f>
        <v>South</v>
      </c>
      <c r="L180" s="3" t="str">
        <f aca="false">IF(TRIM(raw_data!G180)="","Filled - Unknown","OK")</f>
        <v>OK</v>
      </c>
      <c r="M180" s="3" t="str">
        <f aca="false">PROPER(TRIM(raw_data!H180))</f>
        <v>Telangana</v>
      </c>
      <c r="N180" s="3" t="str">
        <f aca="false">PROPER(TRIM(raw_data!I180))</f>
        <v>Hyderabad</v>
      </c>
      <c r="O180" s="3" t="str">
        <f aca="false">PROPER(TRIM(raw_data!J180))</f>
        <v>Office Supplies</v>
      </c>
      <c r="P180" s="3" t="str">
        <f aca="false">PROPER(TRIM(raw_data!K180))</f>
        <v>Art</v>
      </c>
      <c r="Q180" s="3" t="str">
        <f aca="false">TRIM(raw_data!L180)</f>
        <v>Eco Art 854</v>
      </c>
      <c r="R180" s="3" t="str">
        <f aca="false">IF(TRIM(raw_data!M180)="","Unknown",PROPER(TRIM(raw_data!M180)))</f>
        <v>Standard Class</v>
      </c>
      <c r="S180" s="3" t="str">
        <f aca="false">IF(TRIM(raw_data!M180)="","Filled - Unknown","OK")</f>
        <v>OK</v>
      </c>
      <c r="T180" s="6" t="n">
        <f aca="false">raw_data!N180</f>
        <v>4</v>
      </c>
      <c r="U180" s="7" t="n">
        <f aca="false">raw_data!O180</f>
        <v>3281.74</v>
      </c>
      <c r="V180" s="8" t="n">
        <f aca="false">raw_data!P180</f>
        <v>0</v>
      </c>
      <c r="W180" s="8" t="n">
        <f aca="false">IF(raw_data!P180="",0,IF(ISTEXT(raw_data!P180),IF(RIGHT(raw_data!P180,1)="%",VALUE(LEFT(raw_data!P180,LEN(raw_data!P180)-1))/100,VALUE(raw_data!P180)),raw_data!P180))</f>
        <v>0</v>
      </c>
      <c r="X180" s="3" t="str">
        <f aca="false">IF(raw_data!P180="","Missing - Defaulted to 0",IF(W180&lt;0,"Negative - Invalid",IF(W180&gt;0.3,"Above Allowed Range - Invalid","Valid")))</f>
        <v>Valid</v>
      </c>
      <c r="Y180" s="7" t="n">
        <f aca="false">raw_data!Q180</f>
        <v>13126.96</v>
      </c>
      <c r="Z180" s="7" t="n">
        <f aca="false">raw_data!R180</f>
        <v>10732.44</v>
      </c>
      <c r="AA180" s="7" t="n">
        <f aca="false">raw_data!S180</f>
        <v>2394.52</v>
      </c>
      <c r="AB180" s="3" t="str">
        <f aca="false">PROPER(TRIM(raw_data!T180))</f>
        <v>Paid</v>
      </c>
      <c r="AC180" s="3" t="str">
        <f aca="false">PROPER(TRIM(raw_data!U180))</f>
        <v>Completed</v>
      </c>
      <c r="AD180" s="7" t="n">
        <f aca="false">T180*U180*(1-W180)</f>
        <v>13126.96</v>
      </c>
      <c r="AE180" s="7" t="n">
        <f aca="false">AD180-Z180</f>
        <v>2394.52</v>
      </c>
      <c r="AF180" s="8" t="n">
        <f aca="false">IF(AD180=0,0,AE180/AD180)</f>
        <v>0.182412378799052</v>
      </c>
      <c r="AG180" s="3" t="str">
        <f aca="false">IF(ABS(Y180-AD180)&gt;1,"Mismatch","OK")</f>
        <v>OK</v>
      </c>
      <c r="AH180" s="3" t="str">
        <f aca="false">IF(ABS(AA180-AE180)&gt;1,"Mismatch","OK")</f>
        <v>OK</v>
      </c>
      <c r="AI180" s="6" t="n">
        <f aca="false">IF(B180="","",MONTH(B180))</f>
        <v>9</v>
      </c>
      <c r="AJ180" s="6" t="n">
        <f aca="false">IF(B180="","",YEAR(B180))</f>
        <v>2024</v>
      </c>
      <c r="AK180" s="3" t="str">
        <f aca="false">IF(COUNTIF(raw_data!$A$2:$A$913,A180)&gt;1,"Conflicting Duplicate - Flagged for Review","Unique")</f>
        <v>Unique</v>
      </c>
      <c r="AL180" s="3" t="str">
        <f aca="false">IF(AB180="Refunded","Yes","No")</f>
        <v>No</v>
      </c>
      <c r="AM180" s="3" t="str">
        <f aca="false">IF(OR(AC180&lt;&gt;"Completed",AB180="Failed"),"Excluded","Included")</f>
        <v>Included</v>
      </c>
      <c r="AN180" s="3" t="str">
        <f aca="false">IF(OR(D180="Invalid/Unrecognized",E180="Invalid/Unrecognized",G180="Invalid - Ship Before Order",X180="Negative - Invalid",X180="Above Allowed Range - Invalid",AG180="Mismatch",AH180="Mismatch",AK180="Conflicting Duplicate - Flagged for Review"),"Invalid",IF(OR(L180="Filled - Unknown",S180="Filled - Unknown",X180="Missing - Defaulted to 0",AL180="Yes",AC180="Cancelled",AC180="Returned"),"Warning","Clean"))</f>
        <v>Clean</v>
      </c>
    </row>
    <row r="181" customFormat="false" ht="15" hidden="false" customHeight="false" outlineLevel="0" collapsed="false">
      <c r="A181" s="3" t="str">
        <f aca="false">raw_data!A181</f>
        <v>ORD-2024-10180</v>
      </c>
      <c r="B181" s="4" t="n">
        <f aca="false">IFERROR(IF(MID(raw_data!B181,3,1)="/",DATE(VALUE(RIGHT(raw_data!B181,4)),VALUE(LEFT(raw_data!B181,2)),VALUE(MID(raw_data!B181,4,2))),IF(MID(raw_data!B181,3,1)="-",DATE(VALUE(RIGHT(raw_data!B181,4)),VALUE(MID(raw_data!B181,4,2)),VALUE(LEFT(raw_data!B181,2))),IF(MID(raw_data!B181,5,1)="-",DATE(VALUE(LEFT(raw_data!B181,4)),VALUE(MID(raw_data!B181,6,2)),VALUE(RIGHT(raw_data!B181,2))),DATE(VALUE(RIGHT(raw_data!B181,4)),MATCH(MID(raw_data!B181,4,3),{"Jan","Feb","Mar","Apr","May","Jun","Jul","Aug","Sep","Oct","Nov","Dec"},0),VALUE(LEFT(raw_data!B181,2)))))),"")</f>
        <v>45366</v>
      </c>
      <c r="C181" s="4" t="n">
        <f aca="false">IFERROR(IF(MID(raw_data!C181,3,1)="/",DATE(VALUE(RIGHT(raw_data!C181,4)),VALUE(LEFT(raw_data!C181,2)),VALUE(MID(raw_data!C181,4,2))),IF(MID(raw_data!C181,3,1)="-",DATE(VALUE(RIGHT(raw_data!C181,4)),VALUE(MID(raw_data!C181,4,2)),VALUE(LEFT(raw_data!C181,2))),IF(MID(raw_data!C181,5,1)="-",DATE(VALUE(LEFT(raw_data!C181,4)),VALUE(MID(raw_data!C181,6,2)),VALUE(RIGHT(raw_data!C181,2))),DATE(VALUE(RIGHT(raw_data!C181,4)),MATCH(MID(raw_data!C181,4,3),{"Jan","Feb","Mar","Apr","May","Jun","Jul","Aug","Sep","Oct","Nov","Dec"},0),VALUE(LEFT(raw_data!C181,2)))))),"")</f>
        <v>45370</v>
      </c>
      <c r="D181" s="3" t="str">
        <f aca="false">IF(TRIM(raw_data!B181)="","Missing",IF(B181="","Invalid/Unrecognized","Valid"))</f>
        <v>Valid</v>
      </c>
      <c r="E181" s="3" t="str">
        <f aca="false">IF(TRIM(raw_data!C181)="","Missing",IF(C181="","Invalid/Unrecognized","Valid"))</f>
        <v>Valid</v>
      </c>
      <c r="F181" s="5" t="n">
        <f aca="false">IF(OR(B181="",C181=""),"",C181-B181)</f>
        <v>4</v>
      </c>
      <c r="G181" s="3" t="str">
        <f aca="false">IF(F181="","N/A",IF(F181&lt;0,"Invalid - Ship Before Order","OK"))</f>
        <v>OK</v>
      </c>
      <c r="H181" s="3" t="str">
        <f aca="false">raw_data!D181</f>
        <v>CUST-1778</v>
      </c>
      <c r="I181" s="3" t="str">
        <f aca="false">PROPER(TRIM(raw_data!E181))</f>
        <v>Ananya Rao</v>
      </c>
      <c r="J181" s="3" t="str">
        <f aca="false">PROPER(TRIM(raw_data!F181))</f>
        <v>Small Business</v>
      </c>
      <c r="K181" s="3" t="str">
        <f aca="false">IF(TRIM(raw_data!G181)="","Unknown",PROPER(TRIM(raw_data!G181)))</f>
        <v>South</v>
      </c>
      <c r="L181" s="3" t="str">
        <f aca="false">IF(TRIM(raw_data!G181)="","Filled - Unknown","OK")</f>
        <v>OK</v>
      </c>
      <c r="M181" s="3" t="str">
        <f aca="false">PROPER(TRIM(raw_data!H181))</f>
        <v>Tamil Nadu</v>
      </c>
      <c r="N181" s="3" t="str">
        <f aca="false">PROPER(TRIM(raw_data!I181))</f>
        <v>Chennai</v>
      </c>
      <c r="O181" s="3" t="str">
        <f aca="false">PROPER(TRIM(raw_data!J181))</f>
        <v>Furniture</v>
      </c>
      <c r="P181" s="3" t="str">
        <f aca="false">PROPER(TRIM(raw_data!K181))</f>
        <v>Furnishings</v>
      </c>
      <c r="Q181" s="3" t="str">
        <f aca="false">TRIM(raw_data!L181)</f>
        <v>Classic Furnishings 996</v>
      </c>
      <c r="R181" s="3" t="str">
        <f aca="false">IF(TRIM(raw_data!M181)="","Unknown",PROPER(TRIM(raw_data!M181)))</f>
        <v>Standard Class</v>
      </c>
      <c r="S181" s="3" t="str">
        <f aca="false">IF(TRIM(raw_data!M181)="","Filled - Unknown","OK")</f>
        <v>OK</v>
      </c>
      <c r="T181" s="6" t="n">
        <f aca="false">raw_data!N181</f>
        <v>4</v>
      </c>
      <c r="U181" s="7" t="n">
        <f aca="false">raw_data!O181</f>
        <v>3186.3</v>
      </c>
      <c r="V181" s="8" t="n">
        <f aca="false">raw_data!P181</f>
        <v>0.25</v>
      </c>
      <c r="W181" s="8" t="n">
        <f aca="false">IF(raw_data!P181="",0,IF(ISTEXT(raw_data!P181),IF(RIGHT(raw_data!P181,1)="%",VALUE(LEFT(raw_data!P181,LEN(raw_data!P181)-1))/100,VALUE(raw_data!P181)),raw_data!P181))</f>
        <v>0.25</v>
      </c>
      <c r="X181" s="3" t="str">
        <f aca="false">IF(raw_data!P181="","Missing - Defaulted to 0",IF(W181&lt;0,"Negative - Invalid",IF(W181&gt;0.3,"Above Allowed Range - Invalid","Valid")))</f>
        <v>Valid</v>
      </c>
      <c r="Y181" s="7" t="n">
        <f aca="false">raw_data!Q181</f>
        <v>9558.9</v>
      </c>
      <c r="Z181" s="7" t="n">
        <f aca="false">raw_data!R181</f>
        <v>5516.76</v>
      </c>
      <c r="AA181" s="7" t="n">
        <f aca="false">raw_data!S181</f>
        <v>4042.14</v>
      </c>
      <c r="AB181" s="3" t="str">
        <f aca="false">PROPER(TRIM(raw_data!T181))</f>
        <v>Refunded</v>
      </c>
      <c r="AC181" s="3" t="str">
        <f aca="false">PROPER(TRIM(raw_data!U181))</f>
        <v>Returned</v>
      </c>
      <c r="AD181" s="7" t="n">
        <f aca="false">T181*U181*(1-W181)</f>
        <v>9558.9</v>
      </c>
      <c r="AE181" s="7" t="n">
        <f aca="false">AD181-Z181</f>
        <v>4042.14</v>
      </c>
      <c r="AF181" s="8" t="n">
        <f aca="false">IF(AD181=0,0,AE181/AD181)</f>
        <v>0.422866647836048</v>
      </c>
      <c r="AG181" s="3" t="str">
        <f aca="false">IF(ABS(Y181-AD181)&gt;1,"Mismatch","OK")</f>
        <v>OK</v>
      </c>
      <c r="AH181" s="3" t="str">
        <f aca="false">IF(ABS(AA181-AE181)&gt;1,"Mismatch","OK")</f>
        <v>OK</v>
      </c>
      <c r="AI181" s="6" t="n">
        <f aca="false">IF(B181="","",MONTH(B181))</f>
        <v>3</v>
      </c>
      <c r="AJ181" s="6" t="n">
        <f aca="false">IF(B181="","",YEAR(B181))</f>
        <v>2024</v>
      </c>
      <c r="AK181" s="3" t="str">
        <f aca="false">IF(COUNTIF(raw_data!$A$2:$A$913,A181)&gt;1,"Conflicting Duplicate - Flagged for Review","Unique")</f>
        <v>Unique</v>
      </c>
      <c r="AL181" s="3" t="str">
        <f aca="false">IF(AB181="Refunded","Yes","No")</f>
        <v>Yes</v>
      </c>
      <c r="AM181" s="3" t="str">
        <f aca="false">IF(OR(AC181&lt;&gt;"Completed",AB181="Failed"),"Excluded","Included")</f>
        <v>Excluded</v>
      </c>
      <c r="AN181" s="3" t="str">
        <f aca="false">IF(OR(D181="Invalid/Unrecognized",E181="Invalid/Unrecognized",G181="Invalid - Ship Before Order",X181="Negative - Invalid",X181="Above Allowed Range - Invalid",AG181="Mismatch",AH181="Mismatch",AK181="Conflicting Duplicate - Flagged for Review"),"Invalid",IF(OR(L181="Filled - Unknown",S181="Filled - Unknown",X181="Missing - Defaulted to 0",AL181="Yes",AC181="Cancelled",AC181="Returned"),"Warning","Clean"))</f>
        <v>Warning</v>
      </c>
    </row>
    <row r="182" customFormat="false" ht="15" hidden="false" customHeight="false" outlineLevel="0" collapsed="false">
      <c r="A182" s="3" t="str">
        <f aca="false">raw_data!A182</f>
        <v>ORD-2024-10181</v>
      </c>
      <c r="B182" s="4" t="n">
        <f aca="false">IFERROR(IF(MID(raw_data!B182,3,1)="/",DATE(VALUE(RIGHT(raw_data!B182,4)),VALUE(LEFT(raw_data!B182,2)),VALUE(MID(raw_data!B182,4,2))),IF(MID(raw_data!B182,3,1)="-",DATE(VALUE(RIGHT(raw_data!B182,4)),VALUE(MID(raw_data!B182,4,2)),VALUE(LEFT(raw_data!B182,2))),IF(MID(raw_data!B182,5,1)="-",DATE(VALUE(LEFT(raw_data!B182,4)),VALUE(MID(raw_data!B182,6,2)),VALUE(RIGHT(raw_data!B182,2))),DATE(VALUE(RIGHT(raw_data!B182,4)),MATCH(MID(raw_data!B182,4,3),{"Jan","Feb","Mar","Apr","May","Jun","Jul","Aug","Sep","Oct","Nov","Dec"},0),VALUE(LEFT(raw_data!B182,2)))))),"")</f>
        <v>45530</v>
      </c>
      <c r="C182" s="4" t="n">
        <f aca="false">IFERROR(IF(MID(raw_data!C182,3,1)="/",DATE(VALUE(RIGHT(raw_data!C182,4)),VALUE(LEFT(raw_data!C182,2)),VALUE(MID(raw_data!C182,4,2))),IF(MID(raw_data!C182,3,1)="-",DATE(VALUE(RIGHT(raw_data!C182,4)),VALUE(MID(raw_data!C182,4,2)),VALUE(LEFT(raw_data!C182,2))),IF(MID(raw_data!C182,5,1)="-",DATE(VALUE(LEFT(raw_data!C182,4)),VALUE(MID(raw_data!C182,6,2)),VALUE(RIGHT(raw_data!C182,2))),DATE(VALUE(RIGHT(raw_data!C182,4)),MATCH(MID(raw_data!C182,4,3),{"Jan","Feb","Mar","Apr","May","Jun","Jul","Aug","Sep","Oct","Nov","Dec"},0),VALUE(LEFT(raw_data!C182,2)))))),"")</f>
        <v>45530</v>
      </c>
      <c r="D182" s="3" t="str">
        <f aca="false">IF(TRIM(raw_data!B182)="","Missing",IF(B182="","Invalid/Unrecognized","Valid"))</f>
        <v>Valid</v>
      </c>
      <c r="E182" s="3" t="str">
        <f aca="false">IF(TRIM(raw_data!C182)="","Missing",IF(C182="","Invalid/Unrecognized","Valid"))</f>
        <v>Valid</v>
      </c>
      <c r="F182" s="5" t="n">
        <f aca="false">IF(OR(B182="",C182=""),"",C182-B182)</f>
        <v>0</v>
      </c>
      <c r="G182" s="3" t="str">
        <f aca="false">IF(F182="","N/A",IF(F182&lt;0,"Invalid - Ship Before Order","OK"))</f>
        <v>OK</v>
      </c>
      <c r="H182" s="3" t="str">
        <f aca="false">raw_data!D182</f>
        <v>CUST-3787</v>
      </c>
      <c r="I182" s="3" t="str">
        <f aca="false">PROPER(TRIM(raw_data!E182))</f>
        <v>Mira Das</v>
      </c>
      <c r="J182" s="3" t="str">
        <f aca="false">PROPER(TRIM(raw_data!F182))</f>
        <v>Home Office</v>
      </c>
      <c r="K182" s="3" t="str">
        <f aca="false">IF(TRIM(raw_data!G182)="","Unknown",PROPER(TRIM(raw_data!G182)))</f>
        <v>North</v>
      </c>
      <c r="L182" s="3" t="str">
        <f aca="false">IF(TRIM(raw_data!G182)="","Filled - Unknown","OK")</f>
        <v>OK</v>
      </c>
      <c r="M182" s="3" t="str">
        <f aca="false">PROPER(TRIM(raw_data!H182))</f>
        <v>Uttar Pradesh</v>
      </c>
      <c r="N182" s="3" t="str">
        <f aca="false">PROPER(TRIM(raw_data!I182))</f>
        <v>Noida</v>
      </c>
      <c r="O182" s="3" t="str">
        <f aca="false">PROPER(TRIM(raw_data!J182))</f>
        <v>Office Supplies</v>
      </c>
      <c r="P182" s="3" t="str">
        <f aca="false">PROPER(TRIM(raw_data!K182))</f>
        <v>Binders</v>
      </c>
      <c r="Q182" s="3" t="str">
        <f aca="false">TRIM(raw_data!L182)</f>
        <v>Prime Binders 735</v>
      </c>
      <c r="R182" s="3" t="str">
        <f aca="false">IF(TRIM(raw_data!M182)="","Unknown",PROPER(TRIM(raw_data!M182)))</f>
        <v>First Class</v>
      </c>
      <c r="S182" s="3" t="str">
        <f aca="false">IF(TRIM(raw_data!M182)="","Filled - Unknown","OK")</f>
        <v>OK</v>
      </c>
      <c r="T182" s="6" t="n">
        <f aca="false">raw_data!N182</f>
        <v>7</v>
      </c>
      <c r="U182" s="7" t="n">
        <f aca="false">raw_data!O182</f>
        <v>844.59</v>
      </c>
      <c r="V182" s="8" t="n">
        <f aca="false">raw_data!P182</f>
        <v>0.1</v>
      </c>
      <c r="W182" s="8" t="n">
        <f aca="false">IF(raw_data!P182="",0,IF(ISTEXT(raw_data!P182),IF(RIGHT(raw_data!P182,1)="%",VALUE(LEFT(raw_data!P182,LEN(raw_data!P182)-1))/100,VALUE(raw_data!P182)),raw_data!P182))</f>
        <v>0.1</v>
      </c>
      <c r="X182" s="3" t="str">
        <f aca="false">IF(raw_data!P182="","Missing - Defaulted to 0",IF(W182&lt;0,"Negative - Invalid",IF(W182&gt;0.3,"Above Allowed Range - Invalid","Valid")))</f>
        <v>Valid</v>
      </c>
      <c r="Y182" s="7" t="n">
        <f aca="false">raw_data!Q182</f>
        <v>5320.92</v>
      </c>
      <c r="Z182" s="7" t="n">
        <f aca="false">raw_data!R182</f>
        <v>3041.5</v>
      </c>
      <c r="AA182" s="7" t="n">
        <f aca="false">raw_data!S182</f>
        <v>2279.42</v>
      </c>
      <c r="AB182" s="3" t="str">
        <f aca="false">PROPER(TRIM(raw_data!T182))</f>
        <v>Paid</v>
      </c>
      <c r="AC182" s="3" t="str">
        <f aca="false">PROPER(TRIM(raw_data!U182))</f>
        <v>Completed</v>
      </c>
      <c r="AD182" s="7" t="n">
        <f aca="false">T182*U182*(1-W182)</f>
        <v>5320.917</v>
      </c>
      <c r="AE182" s="7" t="n">
        <f aca="false">AD182-Z182</f>
        <v>2279.417</v>
      </c>
      <c r="AF182" s="8" t="n">
        <f aca="false">IF(AD182=0,0,AE182/AD182)</f>
        <v>0.42838800154184</v>
      </c>
      <c r="AG182" s="3" t="str">
        <f aca="false">IF(ABS(Y182-AD182)&gt;1,"Mismatch","OK")</f>
        <v>OK</v>
      </c>
      <c r="AH182" s="3" t="str">
        <f aca="false">IF(ABS(AA182-AE182)&gt;1,"Mismatch","OK")</f>
        <v>OK</v>
      </c>
      <c r="AI182" s="6" t="n">
        <f aca="false">IF(B182="","",MONTH(B182))</f>
        <v>8</v>
      </c>
      <c r="AJ182" s="6" t="n">
        <f aca="false">IF(B182="","",YEAR(B182))</f>
        <v>2024</v>
      </c>
      <c r="AK182" s="3" t="str">
        <f aca="false">IF(COUNTIF(raw_data!$A$2:$A$913,A182)&gt;1,"Conflicting Duplicate - Flagged for Review","Unique")</f>
        <v>Unique</v>
      </c>
      <c r="AL182" s="3" t="str">
        <f aca="false">IF(AB182="Refunded","Yes","No")</f>
        <v>No</v>
      </c>
      <c r="AM182" s="3" t="str">
        <f aca="false">IF(OR(AC182&lt;&gt;"Completed",AB182="Failed"),"Excluded","Included")</f>
        <v>Included</v>
      </c>
      <c r="AN182" s="3" t="str">
        <f aca="false">IF(OR(D182="Invalid/Unrecognized",E182="Invalid/Unrecognized",G182="Invalid - Ship Before Order",X182="Negative - Invalid",X182="Above Allowed Range - Invalid",AG182="Mismatch",AH182="Mismatch",AK182="Conflicting Duplicate - Flagged for Review"),"Invalid",IF(OR(L182="Filled - Unknown",S182="Filled - Unknown",X182="Missing - Defaulted to 0",AL182="Yes",AC182="Cancelled",AC182="Returned"),"Warning","Clean"))</f>
        <v>Clean</v>
      </c>
    </row>
    <row r="183" customFormat="false" ht="15" hidden="false" customHeight="false" outlineLevel="0" collapsed="false">
      <c r="A183" s="3" t="str">
        <f aca="false">raw_data!A183</f>
        <v>ORD-2025-10182</v>
      </c>
      <c r="B183" s="4" t="n">
        <f aca="false">IFERROR(IF(MID(raw_data!B183,3,1)="/",DATE(VALUE(RIGHT(raw_data!B183,4)),VALUE(LEFT(raw_data!B183,2)),VALUE(MID(raw_data!B183,4,2))),IF(MID(raw_data!B183,3,1)="-",DATE(VALUE(RIGHT(raw_data!B183,4)),VALUE(MID(raw_data!B183,4,2)),VALUE(LEFT(raw_data!B183,2))),IF(MID(raw_data!B183,5,1)="-",DATE(VALUE(LEFT(raw_data!B183,4)),VALUE(MID(raw_data!B183,6,2)),VALUE(RIGHT(raw_data!B183,2))),DATE(VALUE(RIGHT(raw_data!B183,4)),MATCH(MID(raw_data!B183,4,3),{"Jan","Feb","Mar","Apr","May","Jun","Jul","Aug","Sep","Oct","Nov","Dec"},0),VALUE(LEFT(raw_data!B183,2)))))),"")</f>
        <v>45909</v>
      </c>
      <c r="C183" s="4" t="n">
        <f aca="false">IFERROR(IF(MID(raw_data!C183,3,1)="/",DATE(VALUE(RIGHT(raw_data!C183,4)),VALUE(LEFT(raw_data!C183,2)),VALUE(MID(raw_data!C183,4,2))),IF(MID(raw_data!C183,3,1)="-",DATE(VALUE(RIGHT(raw_data!C183,4)),VALUE(MID(raw_data!C183,4,2)),VALUE(LEFT(raw_data!C183,2))),IF(MID(raw_data!C183,5,1)="-",DATE(VALUE(LEFT(raw_data!C183,4)),VALUE(MID(raw_data!C183,6,2)),VALUE(RIGHT(raw_data!C183,2))),DATE(VALUE(RIGHT(raw_data!C183,4)),MATCH(MID(raw_data!C183,4,3),{"Jan","Feb","Mar","Apr","May","Jun","Jul","Aug","Sep","Oct","Nov","Dec"},0),VALUE(LEFT(raw_data!C183,2)))))),"")</f>
        <v>45910</v>
      </c>
      <c r="D183" s="3" t="str">
        <f aca="false">IF(TRIM(raw_data!B183)="","Missing",IF(B183="","Invalid/Unrecognized","Valid"))</f>
        <v>Valid</v>
      </c>
      <c r="E183" s="3" t="str">
        <f aca="false">IF(TRIM(raw_data!C183)="","Missing",IF(C183="","Invalid/Unrecognized","Valid"))</f>
        <v>Valid</v>
      </c>
      <c r="F183" s="5" t="n">
        <f aca="false">IF(OR(B183="",C183=""),"",C183-B183)</f>
        <v>1</v>
      </c>
      <c r="G183" s="3" t="str">
        <f aca="false">IF(F183="","N/A",IF(F183&lt;0,"Invalid - Ship Before Order","OK"))</f>
        <v>OK</v>
      </c>
      <c r="H183" s="3" t="str">
        <f aca="false">raw_data!D183</f>
        <v>CUST-5119</v>
      </c>
      <c r="I183" s="3" t="str">
        <f aca="false">PROPER(TRIM(raw_data!E183))</f>
        <v>Priya Menon</v>
      </c>
      <c r="J183" s="3" t="str">
        <f aca="false">PROPER(TRIM(raw_data!F183))</f>
        <v>Home Office</v>
      </c>
      <c r="K183" s="3" t="str">
        <f aca="false">IF(TRIM(raw_data!G183)="","Unknown",PROPER(TRIM(raw_data!G183)))</f>
        <v>South</v>
      </c>
      <c r="L183" s="3" t="str">
        <f aca="false">IF(TRIM(raw_data!G183)="","Filled - Unknown","OK")</f>
        <v>OK</v>
      </c>
      <c r="M183" s="3" t="str">
        <f aca="false">PROPER(TRIM(raw_data!H183))</f>
        <v>Tamil Nadu</v>
      </c>
      <c r="N183" s="3" t="str">
        <f aca="false">PROPER(TRIM(raw_data!I183))</f>
        <v>Chennai</v>
      </c>
      <c r="O183" s="3" t="str">
        <f aca="false">PROPER(TRIM(raw_data!J183))</f>
        <v>Office Supplies</v>
      </c>
      <c r="P183" s="3" t="str">
        <f aca="false">PROPER(TRIM(raw_data!K183))</f>
        <v>Art</v>
      </c>
      <c r="Q183" s="3" t="str">
        <f aca="false">TRIM(raw_data!L183)</f>
        <v>Pro Art 587</v>
      </c>
      <c r="R183" s="3" t="str">
        <f aca="false">IF(TRIM(raw_data!M183)="","Unknown",PROPER(TRIM(raw_data!M183)))</f>
        <v>Second Class</v>
      </c>
      <c r="S183" s="3" t="str">
        <f aca="false">IF(TRIM(raw_data!M183)="","Filled - Unknown","OK")</f>
        <v>OK</v>
      </c>
      <c r="T183" s="6" t="n">
        <f aca="false">raw_data!N183</f>
        <v>4</v>
      </c>
      <c r="U183" s="7" t="n">
        <f aca="false">raw_data!O183</f>
        <v>2551.45</v>
      </c>
      <c r="V183" s="8" t="n">
        <f aca="false">raw_data!P183</f>
        <v>0</v>
      </c>
      <c r="W183" s="8" t="n">
        <f aca="false">IF(raw_data!P183="",0,IF(ISTEXT(raw_data!P183),IF(RIGHT(raw_data!P183,1)="%",VALUE(LEFT(raw_data!P183,LEN(raw_data!P183)-1))/100,VALUE(raw_data!P183)),raw_data!P183))</f>
        <v>0</v>
      </c>
      <c r="X183" s="3" t="str">
        <f aca="false">IF(raw_data!P183="","Missing - Defaulted to 0",IF(W183&lt;0,"Negative - Invalid",IF(W183&gt;0.3,"Above Allowed Range - Invalid","Valid")))</f>
        <v>Valid</v>
      </c>
      <c r="Y183" s="7" t="n">
        <f aca="false">raw_data!Q183</f>
        <v>10205.8</v>
      </c>
      <c r="Z183" s="7" t="n">
        <f aca="false">raw_data!R183</f>
        <v>5986.31</v>
      </c>
      <c r="AA183" s="7" t="n">
        <f aca="false">raw_data!S183</f>
        <v>4219.49</v>
      </c>
      <c r="AB183" s="3" t="str">
        <f aca="false">PROPER(TRIM(raw_data!T183))</f>
        <v>Paid</v>
      </c>
      <c r="AC183" s="3" t="str">
        <f aca="false">PROPER(TRIM(raw_data!U183))</f>
        <v>Completed</v>
      </c>
      <c r="AD183" s="7" t="n">
        <f aca="false">T183*U183*(1-W183)</f>
        <v>10205.8</v>
      </c>
      <c r="AE183" s="7" t="n">
        <f aca="false">AD183-Z183</f>
        <v>4219.49</v>
      </c>
      <c r="AF183" s="8" t="n">
        <f aca="false">IF(AD183=0,0,AE183/AD183)</f>
        <v>0.413440396637206</v>
      </c>
      <c r="AG183" s="3" t="str">
        <f aca="false">IF(ABS(Y183-AD183)&gt;1,"Mismatch","OK")</f>
        <v>OK</v>
      </c>
      <c r="AH183" s="3" t="str">
        <f aca="false">IF(ABS(AA183-AE183)&gt;1,"Mismatch","OK")</f>
        <v>OK</v>
      </c>
      <c r="AI183" s="6" t="n">
        <f aca="false">IF(B183="","",MONTH(B183))</f>
        <v>9</v>
      </c>
      <c r="AJ183" s="6" t="n">
        <f aca="false">IF(B183="","",YEAR(B183))</f>
        <v>2025</v>
      </c>
      <c r="AK183" s="3" t="str">
        <f aca="false">IF(COUNTIF(raw_data!$A$2:$A$913,A183)&gt;1,"Conflicting Duplicate - Flagged for Review","Unique")</f>
        <v>Unique</v>
      </c>
      <c r="AL183" s="3" t="str">
        <f aca="false">IF(AB183="Refunded","Yes","No")</f>
        <v>No</v>
      </c>
      <c r="AM183" s="3" t="str">
        <f aca="false">IF(OR(AC183&lt;&gt;"Completed",AB183="Failed"),"Excluded","Included")</f>
        <v>Included</v>
      </c>
      <c r="AN183" s="3" t="str">
        <f aca="false">IF(OR(D183="Invalid/Unrecognized",E183="Invalid/Unrecognized",G183="Invalid - Ship Before Order",X183="Negative - Invalid",X183="Above Allowed Range - Invalid",AG183="Mismatch",AH183="Mismatch",AK183="Conflicting Duplicate - Flagged for Review"),"Invalid",IF(OR(L183="Filled - Unknown",S183="Filled - Unknown",X183="Missing - Defaulted to 0",AL183="Yes",AC183="Cancelled",AC183="Returned"),"Warning","Clean"))</f>
        <v>Clean</v>
      </c>
    </row>
    <row r="184" customFormat="false" ht="15" hidden="false" customHeight="false" outlineLevel="0" collapsed="false">
      <c r="A184" s="3" t="str">
        <f aca="false">raw_data!A184</f>
        <v>ORD-2024-10183</v>
      </c>
      <c r="B184" s="4" t="n">
        <f aca="false">IFERROR(IF(MID(raw_data!B184,3,1)="/",DATE(VALUE(RIGHT(raw_data!B184,4)),VALUE(LEFT(raw_data!B184,2)),VALUE(MID(raw_data!B184,4,2))),IF(MID(raw_data!B184,3,1)="-",DATE(VALUE(RIGHT(raw_data!B184,4)),VALUE(MID(raw_data!B184,4,2)),VALUE(LEFT(raw_data!B184,2))),IF(MID(raw_data!B184,5,1)="-",DATE(VALUE(LEFT(raw_data!B184,4)),VALUE(MID(raw_data!B184,6,2)),VALUE(RIGHT(raw_data!B184,2))),DATE(VALUE(RIGHT(raw_data!B184,4)),MATCH(MID(raw_data!B184,4,3),{"Jan","Feb","Mar","Apr","May","Jun","Jul","Aug","Sep","Oct","Nov","Dec"},0),VALUE(LEFT(raw_data!B184,2)))))),"")</f>
        <v>45581</v>
      </c>
      <c r="C184" s="4" t="n">
        <f aca="false">IFERROR(IF(MID(raw_data!C184,3,1)="/",DATE(VALUE(RIGHT(raw_data!C184,4)),VALUE(LEFT(raw_data!C184,2)),VALUE(MID(raw_data!C184,4,2))),IF(MID(raw_data!C184,3,1)="-",DATE(VALUE(RIGHT(raw_data!C184,4)),VALUE(MID(raw_data!C184,4,2)),VALUE(LEFT(raw_data!C184,2))),IF(MID(raw_data!C184,5,1)="-",DATE(VALUE(LEFT(raw_data!C184,4)),VALUE(MID(raw_data!C184,6,2)),VALUE(RIGHT(raw_data!C184,2))),DATE(VALUE(RIGHT(raw_data!C184,4)),MATCH(MID(raw_data!C184,4,3),{"Jan","Feb","Mar","Apr","May","Jun","Jul","Aug","Sep","Oct","Nov","Dec"},0),VALUE(LEFT(raw_data!C184,2)))))),"")</f>
        <v>45581</v>
      </c>
      <c r="D184" s="3" t="str">
        <f aca="false">IF(TRIM(raw_data!B184)="","Missing",IF(B184="","Invalid/Unrecognized","Valid"))</f>
        <v>Valid</v>
      </c>
      <c r="E184" s="3" t="str">
        <f aca="false">IF(TRIM(raw_data!C184)="","Missing",IF(C184="","Invalid/Unrecognized","Valid"))</f>
        <v>Valid</v>
      </c>
      <c r="F184" s="5" t="n">
        <f aca="false">IF(OR(B184="",C184=""),"",C184-B184)</f>
        <v>0</v>
      </c>
      <c r="G184" s="3" t="str">
        <f aca="false">IF(F184="","N/A",IF(F184&lt;0,"Invalid - Ship Before Order","OK"))</f>
        <v>OK</v>
      </c>
      <c r="H184" s="3" t="str">
        <f aca="false">raw_data!D184</f>
        <v>CUST-4121</v>
      </c>
      <c r="I184" s="3" t="str">
        <f aca="false">PROPER(TRIM(raw_data!E184))</f>
        <v>Ananya Rao</v>
      </c>
      <c r="J184" s="3" t="str">
        <f aca="false">PROPER(TRIM(raw_data!F184))</f>
        <v>Home Office</v>
      </c>
      <c r="K184" s="3" t="str">
        <f aca="false">IF(TRIM(raw_data!G184)="","Unknown",PROPER(TRIM(raw_data!G184)))</f>
        <v>East</v>
      </c>
      <c r="L184" s="3" t="str">
        <f aca="false">IF(TRIM(raw_data!G184)="","Filled - Unknown","OK")</f>
        <v>OK</v>
      </c>
      <c r="M184" s="3" t="str">
        <f aca="false">PROPER(TRIM(raw_data!H184))</f>
        <v>Bihar</v>
      </c>
      <c r="N184" s="3" t="str">
        <f aca="false">PROPER(TRIM(raw_data!I184))</f>
        <v>Patna</v>
      </c>
      <c r="O184" s="3" t="str">
        <f aca="false">PROPER(TRIM(raw_data!J184))</f>
        <v>Technology</v>
      </c>
      <c r="P184" s="3" t="str">
        <f aca="false">PROPER(TRIM(raw_data!K184))</f>
        <v>Machines</v>
      </c>
      <c r="Q184" s="3" t="str">
        <f aca="false">TRIM(raw_data!L184)</f>
        <v>Basic Machines 575</v>
      </c>
      <c r="R184" s="3" t="str">
        <f aca="false">IF(TRIM(raw_data!M184)="","Unknown",PROPER(TRIM(raw_data!M184)))</f>
        <v>Standard Class</v>
      </c>
      <c r="S184" s="3" t="str">
        <f aca="false">IF(TRIM(raw_data!M184)="","Filled - Unknown","OK")</f>
        <v>OK</v>
      </c>
      <c r="T184" s="6" t="n">
        <f aca="false">raw_data!N184</f>
        <v>7</v>
      </c>
      <c r="U184" s="7" t="n">
        <f aca="false">raw_data!O184</f>
        <v>775.77</v>
      </c>
      <c r="V184" s="8" t="n">
        <f aca="false">raw_data!P184</f>
        <v>0</v>
      </c>
      <c r="W184" s="8" t="n">
        <f aca="false">IF(raw_data!P184="",0,IF(ISTEXT(raw_data!P184),IF(RIGHT(raw_data!P184,1)="%",VALUE(LEFT(raw_data!P184,LEN(raw_data!P184)-1))/100,VALUE(raw_data!P184)),raw_data!P184))</f>
        <v>0</v>
      </c>
      <c r="X184" s="3" t="str">
        <f aca="false">IF(raw_data!P184="","Missing - Defaulted to 0",IF(W184&lt;0,"Negative - Invalid",IF(W184&gt;0.3,"Above Allowed Range - Invalid","Valid")))</f>
        <v>Valid</v>
      </c>
      <c r="Y184" s="7" t="n">
        <f aca="false">raw_data!Q184</f>
        <v>5430.39</v>
      </c>
      <c r="Z184" s="7" t="n">
        <f aca="false">raw_data!R184</f>
        <v>3707.66</v>
      </c>
      <c r="AA184" s="7" t="n">
        <f aca="false">raw_data!S184</f>
        <v>1722.73</v>
      </c>
      <c r="AB184" s="3" t="str">
        <f aca="false">PROPER(TRIM(raw_data!T184))</f>
        <v>Paid</v>
      </c>
      <c r="AC184" s="3" t="str">
        <f aca="false">PROPER(TRIM(raw_data!U184))</f>
        <v>Completed</v>
      </c>
      <c r="AD184" s="7" t="n">
        <f aca="false">T184*U184*(1-W184)</f>
        <v>5430.39</v>
      </c>
      <c r="AE184" s="7" t="n">
        <f aca="false">AD184-Z184</f>
        <v>1722.73</v>
      </c>
      <c r="AF184" s="8" t="n">
        <f aca="false">IF(AD184=0,0,AE184/AD184)</f>
        <v>0.317238725027116</v>
      </c>
      <c r="AG184" s="3" t="str">
        <f aca="false">IF(ABS(Y184-AD184)&gt;1,"Mismatch","OK")</f>
        <v>OK</v>
      </c>
      <c r="AH184" s="3" t="str">
        <f aca="false">IF(ABS(AA184-AE184)&gt;1,"Mismatch","OK")</f>
        <v>OK</v>
      </c>
      <c r="AI184" s="6" t="n">
        <f aca="false">IF(B184="","",MONTH(B184))</f>
        <v>10</v>
      </c>
      <c r="AJ184" s="6" t="n">
        <f aca="false">IF(B184="","",YEAR(B184))</f>
        <v>2024</v>
      </c>
      <c r="AK184" s="3" t="str">
        <f aca="false">IF(COUNTIF(raw_data!$A$2:$A$913,A184)&gt;1,"Conflicting Duplicate - Flagged for Review","Unique")</f>
        <v>Unique</v>
      </c>
      <c r="AL184" s="3" t="str">
        <f aca="false">IF(AB184="Refunded","Yes","No")</f>
        <v>No</v>
      </c>
      <c r="AM184" s="3" t="str">
        <f aca="false">IF(OR(AC184&lt;&gt;"Completed",AB184="Failed"),"Excluded","Included")</f>
        <v>Included</v>
      </c>
      <c r="AN184" s="3" t="str">
        <f aca="false">IF(OR(D184="Invalid/Unrecognized",E184="Invalid/Unrecognized",G184="Invalid - Ship Before Order",X184="Negative - Invalid",X184="Above Allowed Range - Invalid",AG184="Mismatch",AH184="Mismatch",AK184="Conflicting Duplicate - Flagged for Review"),"Invalid",IF(OR(L184="Filled - Unknown",S184="Filled - Unknown",X184="Missing - Defaulted to 0",AL184="Yes",AC184="Cancelled",AC184="Returned"),"Warning","Clean"))</f>
        <v>Clean</v>
      </c>
    </row>
    <row r="185" customFormat="false" ht="15" hidden="false" customHeight="false" outlineLevel="0" collapsed="false">
      <c r="A185" s="3" t="str">
        <f aca="false">raw_data!A185</f>
        <v>ORD-2025-10184</v>
      </c>
      <c r="B185" s="4" t="n">
        <f aca="false">IFERROR(IF(MID(raw_data!B185,3,1)="/",DATE(VALUE(RIGHT(raw_data!B185,4)),VALUE(LEFT(raw_data!B185,2)),VALUE(MID(raw_data!B185,4,2))),IF(MID(raw_data!B185,3,1)="-",DATE(VALUE(RIGHT(raw_data!B185,4)),VALUE(MID(raw_data!B185,4,2)),VALUE(LEFT(raw_data!B185,2))),IF(MID(raw_data!B185,5,1)="-",DATE(VALUE(LEFT(raw_data!B185,4)),VALUE(MID(raw_data!B185,6,2)),VALUE(RIGHT(raw_data!B185,2))),DATE(VALUE(RIGHT(raw_data!B185,4)),MATCH(MID(raw_data!B185,4,3),{"Jan","Feb","Mar","Apr","May","Jun","Jul","Aug","Sep","Oct","Nov","Dec"},0),VALUE(LEFT(raw_data!B185,2)))))),"")</f>
        <v>45832</v>
      </c>
      <c r="C185" s="4" t="n">
        <f aca="false">IFERROR(IF(MID(raw_data!C185,3,1)="/",DATE(VALUE(RIGHT(raw_data!C185,4)),VALUE(LEFT(raw_data!C185,2)),VALUE(MID(raw_data!C185,4,2))),IF(MID(raw_data!C185,3,1)="-",DATE(VALUE(RIGHT(raw_data!C185,4)),VALUE(MID(raw_data!C185,4,2)),VALUE(LEFT(raw_data!C185,2))),IF(MID(raw_data!C185,5,1)="-",DATE(VALUE(LEFT(raw_data!C185,4)),VALUE(MID(raw_data!C185,6,2)),VALUE(RIGHT(raw_data!C185,2))),DATE(VALUE(RIGHT(raw_data!C185,4)),MATCH(MID(raw_data!C185,4,3),{"Jan","Feb","Mar","Apr","May","Jun","Jul","Aug","Sep","Oct","Nov","Dec"},0),VALUE(LEFT(raw_data!C185,2)))))),"")</f>
        <v>45835</v>
      </c>
      <c r="D185" s="3" t="str">
        <f aca="false">IF(TRIM(raw_data!B185)="","Missing",IF(B185="","Invalid/Unrecognized","Valid"))</f>
        <v>Valid</v>
      </c>
      <c r="E185" s="3" t="str">
        <f aca="false">IF(TRIM(raw_data!C185)="","Missing",IF(C185="","Invalid/Unrecognized","Valid"))</f>
        <v>Valid</v>
      </c>
      <c r="F185" s="5" t="n">
        <f aca="false">IF(OR(B185="",C185=""),"",C185-B185)</f>
        <v>3</v>
      </c>
      <c r="G185" s="3" t="str">
        <f aca="false">IF(F185="","N/A",IF(F185&lt;0,"Invalid - Ship Before Order","OK"))</f>
        <v>OK</v>
      </c>
      <c r="H185" s="3" t="str">
        <f aca="false">raw_data!D185</f>
        <v>CUST-3366</v>
      </c>
      <c r="I185" s="3" t="str">
        <f aca="false">PROPER(TRIM(raw_data!E185))</f>
        <v>Vikram Iyer</v>
      </c>
      <c r="J185" s="3" t="str">
        <f aca="false">PROPER(TRIM(raw_data!F185))</f>
        <v>Home Office</v>
      </c>
      <c r="K185" s="3" t="str">
        <f aca="false">IF(TRIM(raw_data!G185)="","Unknown",PROPER(TRIM(raw_data!G185)))</f>
        <v>South</v>
      </c>
      <c r="L185" s="3" t="str">
        <f aca="false">IF(TRIM(raw_data!G185)="","Filled - Unknown","OK")</f>
        <v>OK</v>
      </c>
      <c r="M185" s="3" t="str">
        <f aca="false">PROPER(TRIM(raw_data!H185))</f>
        <v>Telangana</v>
      </c>
      <c r="N185" s="3" t="str">
        <f aca="false">PROPER(TRIM(raw_data!I185))</f>
        <v>Hyderabad</v>
      </c>
      <c r="O185" s="3" t="str">
        <f aca="false">PROPER(TRIM(raw_data!J185))</f>
        <v>Technology</v>
      </c>
      <c r="P185" s="3" t="str">
        <f aca="false">PROPER(TRIM(raw_data!K185))</f>
        <v>Copiers</v>
      </c>
      <c r="Q185" s="3" t="str">
        <f aca="false">TRIM(raw_data!L185)</f>
        <v>Elite Copiers 788</v>
      </c>
      <c r="R185" s="3" t="str">
        <f aca="false">IF(TRIM(raw_data!M185)="","Unknown",PROPER(TRIM(raw_data!M185)))</f>
        <v>Standard Class</v>
      </c>
      <c r="S185" s="3" t="str">
        <f aca="false">IF(TRIM(raw_data!M185)="","Filled - Unknown","OK")</f>
        <v>OK</v>
      </c>
      <c r="T185" s="6" t="n">
        <f aca="false">raw_data!N185</f>
        <v>7</v>
      </c>
      <c r="U185" s="7" t="n">
        <f aca="false">raw_data!O185</f>
        <v>2304.86</v>
      </c>
      <c r="V185" s="8" t="n">
        <f aca="false">raw_data!P185</f>
        <v>0.2</v>
      </c>
      <c r="W185" s="8" t="n">
        <f aca="false">IF(raw_data!P185="",0,IF(ISTEXT(raw_data!P185),IF(RIGHT(raw_data!P185,1)="%",VALUE(LEFT(raw_data!P185,LEN(raw_data!P185)-1))/100,VALUE(raw_data!P185)),raw_data!P185))</f>
        <v>0.2</v>
      </c>
      <c r="X185" s="3" t="str">
        <f aca="false">IF(raw_data!P185="","Missing - Defaulted to 0",IF(W185&lt;0,"Negative - Invalid",IF(W185&gt;0.3,"Above Allowed Range - Invalid","Valid")))</f>
        <v>Valid</v>
      </c>
      <c r="Y185" s="7" t="n">
        <f aca="false">raw_data!Q185</f>
        <v>12907.22</v>
      </c>
      <c r="Z185" s="7" t="n">
        <f aca="false">raw_data!R185</f>
        <v>8327.89</v>
      </c>
      <c r="AA185" s="7" t="n">
        <f aca="false">raw_data!S185</f>
        <v>4579.33</v>
      </c>
      <c r="AB185" s="3" t="str">
        <f aca="false">PROPER(TRIM(raw_data!T185))</f>
        <v>Paid</v>
      </c>
      <c r="AC185" s="3" t="str">
        <f aca="false">PROPER(TRIM(raw_data!U185))</f>
        <v>Returned</v>
      </c>
      <c r="AD185" s="7" t="n">
        <f aca="false">T185*U185*(1-W185)</f>
        <v>12907.216</v>
      </c>
      <c r="AE185" s="7" t="n">
        <f aca="false">AD185-Z185</f>
        <v>4579.326</v>
      </c>
      <c r="AF185" s="8" t="n">
        <f aca="false">IF(AD185=0,0,AE185/AD185)</f>
        <v>0.354788050343312</v>
      </c>
      <c r="AG185" s="3" t="str">
        <f aca="false">IF(ABS(Y185-AD185)&gt;1,"Mismatch","OK")</f>
        <v>OK</v>
      </c>
      <c r="AH185" s="3" t="str">
        <f aca="false">IF(ABS(AA185-AE185)&gt;1,"Mismatch","OK")</f>
        <v>OK</v>
      </c>
      <c r="AI185" s="6" t="n">
        <f aca="false">IF(B185="","",MONTH(B185))</f>
        <v>6</v>
      </c>
      <c r="AJ185" s="6" t="n">
        <f aca="false">IF(B185="","",YEAR(B185))</f>
        <v>2025</v>
      </c>
      <c r="AK185" s="3" t="str">
        <f aca="false">IF(COUNTIF(raw_data!$A$2:$A$913,A185)&gt;1,"Conflicting Duplicate - Flagged for Review","Unique")</f>
        <v>Unique</v>
      </c>
      <c r="AL185" s="3" t="str">
        <f aca="false">IF(AB185="Refunded","Yes","No")</f>
        <v>No</v>
      </c>
      <c r="AM185" s="3" t="str">
        <f aca="false">IF(OR(AC185&lt;&gt;"Completed",AB185="Failed"),"Excluded","Included")</f>
        <v>Excluded</v>
      </c>
      <c r="AN185" s="3" t="str">
        <f aca="false">IF(OR(D185="Invalid/Unrecognized",E185="Invalid/Unrecognized",G185="Invalid - Ship Before Order",X185="Negative - Invalid",X185="Above Allowed Range - Invalid",AG185="Mismatch",AH185="Mismatch",AK185="Conflicting Duplicate - Flagged for Review"),"Invalid",IF(OR(L185="Filled - Unknown",S185="Filled - Unknown",X185="Missing - Defaulted to 0",AL185="Yes",AC185="Cancelled",AC185="Returned"),"Warning","Clean"))</f>
        <v>Warning</v>
      </c>
    </row>
    <row r="186" customFormat="false" ht="15" hidden="false" customHeight="false" outlineLevel="0" collapsed="false">
      <c r="A186" s="3" t="str">
        <f aca="false">raw_data!A186</f>
        <v>ORD-2024-10185</v>
      </c>
      <c r="B186" s="4" t="n">
        <f aca="false">IFERROR(IF(MID(raw_data!B186,3,1)="/",DATE(VALUE(RIGHT(raw_data!B186,4)),VALUE(LEFT(raw_data!B186,2)),VALUE(MID(raw_data!B186,4,2))),IF(MID(raw_data!B186,3,1)="-",DATE(VALUE(RIGHT(raw_data!B186,4)),VALUE(MID(raw_data!B186,4,2)),VALUE(LEFT(raw_data!B186,2))),IF(MID(raw_data!B186,5,1)="-",DATE(VALUE(LEFT(raw_data!B186,4)),VALUE(MID(raw_data!B186,6,2)),VALUE(RIGHT(raw_data!B186,2))),DATE(VALUE(RIGHT(raw_data!B186,4)),MATCH(MID(raw_data!B186,4,3),{"Jan","Feb","Mar","Apr","May","Jun","Jul","Aug","Sep","Oct","Nov","Dec"},0),VALUE(LEFT(raw_data!B186,2)))))),"")</f>
        <v>45384</v>
      </c>
      <c r="C186" s="4" t="n">
        <f aca="false">IFERROR(IF(MID(raw_data!C186,3,1)="/",DATE(VALUE(RIGHT(raw_data!C186,4)),VALUE(LEFT(raw_data!C186,2)),VALUE(MID(raw_data!C186,4,2))),IF(MID(raw_data!C186,3,1)="-",DATE(VALUE(RIGHT(raw_data!C186,4)),VALUE(MID(raw_data!C186,4,2)),VALUE(LEFT(raw_data!C186,2))),IF(MID(raw_data!C186,5,1)="-",DATE(VALUE(LEFT(raw_data!C186,4)),VALUE(MID(raw_data!C186,6,2)),VALUE(RIGHT(raw_data!C186,2))),DATE(VALUE(RIGHT(raw_data!C186,4)),MATCH(MID(raw_data!C186,4,3),{"Jan","Feb","Mar","Apr","May","Jun","Jul","Aug","Sep","Oct","Nov","Dec"},0),VALUE(LEFT(raw_data!C186,2)))))),"")</f>
        <v>45388</v>
      </c>
      <c r="D186" s="3" t="str">
        <f aca="false">IF(TRIM(raw_data!B186)="","Missing",IF(B186="","Invalid/Unrecognized","Valid"))</f>
        <v>Valid</v>
      </c>
      <c r="E186" s="3" t="str">
        <f aca="false">IF(TRIM(raw_data!C186)="","Missing",IF(C186="","Invalid/Unrecognized","Valid"))</f>
        <v>Valid</v>
      </c>
      <c r="F186" s="5" t="n">
        <f aca="false">IF(OR(B186="",C186=""),"",C186-B186)</f>
        <v>4</v>
      </c>
      <c r="G186" s="3" t="str">
        <f aca="false">IF(F186="","N/A",IF(F186&lt;0,"Invalid - Ship Before Order","OK"))</f>
        <v>OK</v>
      </c>
      <c r="H186" s="3" t="str">
        <f aca="false">raw_data!D186</f>
        <v>CUST-1358</v>
      </c>
      <c r="I186" s="3" t="str">
        <f aca="false">PROPER(TRIM(raw_data!E186))</f>
        <v>Vikram Iyer</v>
      </c>
      <c r="J186" s="3" t="str">
        <f aca="false">PROPER(TRIM(raw_data!F186))</f>
        <v>Corporate</v>
      </c>
      <c r="K186" s="3" t="str">
        <f aca="false">IF(TRIM(raw_data!G186)="","Unknown",PROPER(TRIM(raw_data!G186)))</f>
        <v>West</v>
      </c>
      <c r="L186" s="3" t="str">
        <f aca="false">IF(TRIM(raw_data!G186)="","Filled - Unknown","OK")</f>
        <v>OK</v>
      </c>
      <c r="M186" s="3" t="str">
        <f aca="false">PROPER(TRIM(raw_data!H186))</f>
        <v>Madhya Pradesh</v>
      </c>
      <c r="N186" s="3" t="str">
        <f aca="false">PROPER(TRIM(raw_data!I186))</f>
        <v>Indore</v>
      </c>
      <c r="O186" s="3" t="str">
        <f aca="false">PROPER(TRIM(raw_data!J186))</f>
        <v>Furniture</v>
      </c>
      <c r="P186" s="3" t="str">
        <f aca="false">PROPER(TRIM(raw_data!K186))</f>
        <v>Bookcases</v>
      </c>
      <c r="Q186" s="3" t="str">
        <f aca="false">TRIM(raw_data!L186)</f>
        <v>Max Bookcases 472</v>
      </c>
      <c r="R186" s="3" t="str">
        <f aca="false">IF(TRIM(raw_data!M186)="","Unknown",PROPER(TRIM(raw_data!M186)))</f>
        <v>Standard Class</v>
      </c>
      <c r="S186" s="3" t="str">
        <f aca="false">IF(TRIM(raw_data!M186)="","Filled - Unknown","OK")</f>
        <v>OK</v>
      </c>
      <c r="T186" s="6" t="n">
        <f aca="false">raw_data!N186</f>
        <v>2</v>
      </c>
      <c r="U186" s="7" t="n">
        <f aca="false">raw_data!O186</f>
        <v>888.98</v>
      </c>
      <c r="V186" s="8" t="n">
        <f aca="false">raw_data!P186</f>
        <v>0</v>
      </c>
      <c r="W186" s="8" t="n">
        <f aca="false">IF(raw_data!P186="",0,IF(ISTEXT(raw_data!P186),IF(RIGHT(raw_data!P186,1)="%",VALUE(LEFT(raw_data!P186,LEN(raw_data!P186)-1))/100,VALUE(raw_data!P186)),raw_data!P186))</f>
        <v>0</v>
      </c>
      <c r="X186" s="3" t="str">
        <f aca="false">IF(raw_data!P186="","Missing - Defaulted to 0",IF(W186&lt;0,"Negative - Invalid",IF(W186&gt;0.3,"Above Allowed Range - Invalid","Valid")))</f>
        <v>Valid</v>
      </c>
      <c r="Y186" s="7" t="n">
        <f aca="false">raw_data!Q186</f>
        <v>1777.96</v>
      </c>
      <c r="Z186" s="7" t="n">
        <f aca="false">raw_data!R186</f>
        <v>1021.16</v>
      </c>
      <c r="AA186" s="7" t="n">
        <f aca="false">raw_data!S186</f>
        <v>756.8</v>
      </c>
      <c r="AB186" s="3" t="str">
        <f aca="false">PROPER(TRIM(raw_data!T186))</f>
        <v>Refunded</v>
      </c>
      <c r="AC186" s="3" t="str">
        <f aca="false">PROPER(TRIM(raw_data!U186))</f>
        <v>Returned</v>
      </c>
      <c r="AD186" s="7" t="n">
        <f aca="false">T186*U186*(1-W186)</f>
        <v>1777.96</v>
      </c>
      <c r="AE186" s="7" t="n">
        <f aca="false">AD186-Z186</f>
        <v>756.8</v>
      </c>
      <c r="AF186" s="8" t="n">
        <f aca="false">IF(AD186=0,0,AE186/AD186)</f>
        <v>0.425656370222052</v>
      </c>
      <c r="AG186" s="3" t="str">
        <f aca="false">IF(ABS(Y186-AD186)&gt;1,"Mismatch","OK")</f>
        <v>OK</v>
      </c>
      <c r="AH186" s="3" t="str">
        <f aca="false">IF(ABS(AA186-AE186)&gt;1,"Mismatch","OK")</f>
        <v>OK</v>
      </c>
      <c r="AI186" s="6" t="n">
        <f aca="false">IF(B186="","",MONTH(B186))</f>
        <v>4</v>
      </c>
      <c r="AJ186" s="6" t="n">
        <f aca="false">IF(B186="","",YEAR(B186))</f>
        <v>2024</v>
      </c>
      <c r="AK186" s="3" t="str">
        <f aca="false">IF(COUNTIF(raw_data!$A$2:$A$913,A186)&gt;1,"Conflicting Duplicate - Flagged for Review","Unique")</f>
        <v>Unique</v>
      </c>
      <c r="AL186" s="3" t="str">
        <f aca="false">IF(AB186="Refunded","Yes","No")</f>
        <v>Yes</v>
      </c>
      <c r="AM186" s="3" t="str">
        <f aca="false">IF(OR(AC186&lt;&gt;"Completed",AB186="Failed"),"Excluded","Included")</f>
        <v>Excluded</v>
      </c>
      <c r="AN186" s="3" t="str">
        <f aca="false">IF(OR(D186="Invalid/Unrecognized",E186="Invalid/Unrecognized",G186="Invalid - Ship Before Order",X186="Negative - Invalid",X186="Above Allowed Range - Invalid",AG186="Mismatch",AH186="Mismatch",AK186="Conflicting Duplicate - Flagged for Review"),"Invalid",IF(OR(L186="Filled - Unknown",S186="Filled - Unknown",X186="Missing - Defaulted to 0",AL186="Yes",AC186="Cancelled",AC186="Returned"),"Warning","Clean"))</f>
        <v>Warning</v>
      </c>
    </row>
    <row r="187" customFormat="false" ht="15" hidden="false" customHeight="false" outlineLevel="0" collapsed="false">
      <c r="A187" s="3" t="str">
        <f aca="false">raw_data!A187</f>
        <v>ORD-2024-10186</v>
      </c>
      <c r="B187" s="4" t="n">
        <f aca="false">IFERROR(IF(MID(raw_data!B187,3,1)="/",DATE(VALUE(RIGHT(raw_data!B187,4)),VALUE(LEFT(raw_data!B187,2)),VALUE(MID(raw_data!B187,4,2))),IF(MID(raw_data!B187,3,1)="-",DATE(VALUE(RIGHT(raw_data!B187,4)),VALUE(MID(raw_data!B187,4,2)),VALUE(LEFT(raw_data!B187,2))),IF(MID(raw_data!B187,5,1)="-",DATE(VALUE(LEFT(raw_data!B187,4)),VALUE(MID(raw_data!B187,6,2)),VALUE(RIGHT(raw_data!B187,2))),DATE(VALUE(RIGHT(raw_data!B187,4)),MATCH(MID(raw_data!B187,4,3),{"Jan","Feb","Mar","Apr","May","Jun","Jul","Aug","Sep","Oct","Nov","Dec"},0),VALUE(LEFT(raw_data!B187,2)))))),"")</f>
        <v>45601</v>
      </c>
      <c r="C187" s="4" t="n">
        <f aca="false">IFERROR(IF(MID(raw_data!C187,3,1)="/",DATE(VALUE(RIGHT(raw_data!C187,4)),VALUE(LEFT(raw_data!C187,2)),VALUE(MID(raw_data!C187,4,2))),IF(MID(raw_data!C187,3,1)="-",DATE(VALUE(RIGHT(raw_data!C187,4)),VALUE(MID(raw_data!C187,4,2)),VALUE(LEFT(raw_data!C187,2))),IF(MID(raw_data!C187,5,1)="-",DATE(VALUE(LEFT(raw_data!C187,4)),VALUE(MID(raw_data!C187,6,2)),VALUE(RIGHT(raw_data!C187,2))),DATE(VALUE(RIGHT(raw_data!C187,4)),MATCH(MID(raw_data!C187,4,3),{"Jan","Feb","Mar","Apr","May","Jun","Jul","Aug","Sep","Oct","Nov","Dec"},0),VALUE(LEFT(raw_data!C187,2)))))),"")</f>
        <v>45609</v>
      </c>
      <c r="D187" s="3" t="str">
        <f aca="false">IF(TRIM(raw_data!B187)="","Missing",IF(B187="","Invalid/Unrecognized","Valid"))</f>
        <v>Valid</v>
      </c>
      <c r="E187" s="3" t="str">
        <f aca="false">IF(TRIM(raw_data!C187)="","Missing",IF(C187="","Invalid/Unrecognized","Valid"))</f>
        <v>Valid</v>
      </c>
      <c r="F187" s="5" t="n">
        <f aca="false">IF(OR(B187="",C187=""),"",C187-B187)</f>
        <v>8</v>
      </c>
      <c r="G187" s="3" t="str">
        <f aca="false">IF(F187="","N/A",IF(F187&lt;0,"Invalid - Ship Before Order","OK"))</f>
        <v>OK</v>
      </c>
      <c r="H187" s="3" t="str">
        <f aca="false">raw_data!D187</f>
        <v>CUST-4968</v>
      </c>
      <c r="I187" s="3" t="str">
        <f aca="false">PROPER(TRIM(raw_data!E187))</f>
        <v>Arjun Bose</v>
      </c>
      <c r="J187" s="3" t="str">
        <f aca="false">PROPER(TRIM(raw_data!F187))</f>
        <v>Consumer</v>
      </c>
      <c r="K187" s="3" t="str">
        <f aca="false">IF(TRIM(raw_data!G187)="","Unknown",PROPER(TRIM(raw_data!G187)))</f>
        <v>Unknown</v>
      </c>
      <c r="L187" s="3" t="str">
        <f aca="false">IF(TRIM(raw_data!G187)="","Filled - Unknown","OK")</f>
        <v>Filled - Unknown</v>
      </c>
      <c r="M187" s="3" t="str">
        <f aca="false">PROPER(TRIM(raw_data!H187))</f>
        <v>Punjab</v>
      </c>
      <c r="N187" s="3" t="str">
        <f aca="false">PROPER(TRIM(raw_data!I187))</f>
        <v>Ludhiana</v>
      </c>
      <c r="O187" s="3" t="str">
        <f aca="false">PROPER(TRIM(raw_data!J187))</f>
        <v>Office Supplies</v>
      </c>
      <c r="P187" s="3" t="str">
        <f aca="false">PROPER(TRIM(raw_data!K187))</f>
        <v>Labels</v>
      </c>
      <c r="Q187" s="3" t="str">
        <f aca="false">TRIM(raw_data!L187)</f>
        <v>Smart Labels 475</v>
      </c>
      <c r="R187" s="3" t="str">
        <f aca="false">IF(TRIM(raw_data!M187)="","Unknown",PROPER(TRIM(raw_data!M187)))</f>
        <v>Second Class</v>
      </c>
      <c r="S187" s="3" t="str">
        <f aca="false">IF(TRIM(raw_data!M187)="","Filled - Unknown","OK")</f>
        <v>OK</v>
      </c>
      <c r="T187" s="6" t="n">
        <f aca="false">raw_data!N187</f>
        <v>2</v>
      </c>
      <c r="U187" s="7" t="n">
        <f aca="false">raw_data!O187</f>
        <v>1003.17</v>
      </c>
      <c r="V187" s="8" t="n">
        <f aca="false">raw_data!P187</f>
        <v>0.2</v>
      </c>
      <c r="W187" s="8" t="n">
        <f aca="false">IF(raw_data!P187="",0,IF(ISTEXT(raw_data!P187),IF(RIGHT(raw_data!P187,1)="%",VALUE(LEFT(raw_data!P187,LEN(raw_data!P187)-1))/100,VALUE(raw_data!P187)),raw_data!P187))</f>
        <v>0.2</v>
      </c>
      <c r="X187" s="3" t="str">
        <f aca="false">IF(raw_data!P187="","Missing - Defaulted to 0",IF(W187&lt;0,"Negative - Invalid",IF(W187&gt;0.3,"Above Allowed Range - Invalid","Valid")))</f>
        <v>Valid</v>
      </c>
      <c r="Y187" s="7" t="n">
        <f aca="false">raw_data!Q187</f>
        <v>1605.07</v>
      </c>
      <c r="Z187" s="7" t="n">
        <f aca="false">raw_data!R187</f>
        <v>1337.28</v>
      </c>
      <c r="AA187" s="7" t="n">
        <f aca="false">raw_data!S187</f>
        <v>267.79</v>
      </c>
      <c r="AB187" s="3" t="str">
        <f aca="false">PROPER(TRIM(raw_data!T187))</f>
        <v>Paid</v>
      </c>
      <c r="AC187" s="3" t="str">
        <f aca="false">PROPER(TRIM(raw_data!U187))</f>
        <v>Completed</v>
      </c>
      <c r="AD187" s="7" t="n">
        <f aca="false">T187*U187*(1-W187)</f>
        <v>1605.072</v>
      </c>
      <c r="AE187" s="7" t="n">
        <f aca="false">AD187-Z187</f>
        <v>267.792</v>
      </c>
      <c r="AF187" s="8" t="n">
        <f aca="false">IF(AD187=0,0,AE187/AD187)</f>
        <v>0.166841113669667</v>
      </c>
      <c r="AG187" s="3" t="str">
        <f aca="false">IF(ABS(Y187-AD187)&gt;1,"Mismatch","OK")</f>
        <v>OK</v>
      </c>
      <c r="AH187" s="3" t="str">
        <f aca="false">IF(ABS(AA187-AE187)&gt;1,"Mismatch","OK")</f>
        <v>OK</v>
      </c>
      <c r="AI187" s="6" t="n">
        <f aca="false">IF(B187="","",MONTH(B187))</f>
        <v>11</v>
      </c>
      <c r="AJ187" s="6" t="n">
        <f aca="false">IF(B187="","",YEAR(B187))</f>
        <v>2024</v>
      </c>
      <c r="AK187" s="3" t="str">
        <f aca="false">IF(COUNTIF(raw_data!$A$2:$A$913,A187)&gt;1,"Conflicting Duplicate - Flagged for Review","Unique")</f>
        <v>Unique</v>
      </c>
      <c r="AL187" s="3" t="str">
        <f aca="false">IF(AB187="Refunded","Yes","No")</f>
        <v>No</v>
      </c>
      <c r="AM187" s="3" t="str">
        <f aca="false">IF(OR(AC187&lt;&gt;"Completed",AB187="Failed"),"Excluded","Included")</f>
        <v>Included</v>
      </c>
      <c r="AN187" s="3" t="str">
        <f aca="false">IF(OR(D187="Invalid/Unrecognized",E187="Invalid/Unrecognized",G187="Invalid - Ship Before Order",X187="Negative - Invalid",X187="Above Allowed Range - Invalid",AG187="Mismatch",AH187="Mismatch",AK187="Conflicting Duplicate - Flagged for Review"),"Invalid",IF(OR(L187="Filled - Unknown",S187="Filled - Unknown",X187="Missing - Defaulted to 0",AL187="Yes",AC187="Cancelled",AC187="Returned"),"Warning","Clean"))</f>
        <v>Warning</v>
      </c>
    </row>
    <row r="188" customFormat="false" ht="15" hidden="false" customHeight="false" outlineLevel="0" collapsed="false">
      <c r="A188" s="3" t="str">
        <f aca="false">raw_data!A188</f>
        <v>ORD-2024-10187</v>
      </c>
      <c r="B188" s="4" t="n">
        <f aca="false">IFERROR(IF(MID(raw_data!B188,3,1)="/",DATE(VALUE(RIGHT(raw_data!B188,4)),VALUE(LEFT(raw_data!B188,2)),VALUE(MID(raw_data!B188,4,2))),IF(MID(raw_data!B188,3,1)="-",DATE(VALUE(RIGHT(raw_data!B188,4)),VALUE(MID(raw_data!B188,4,2)),VALUE(LEFT(raw_data!B188,2))),IF(MID(raw_data!B188,5,1)="-",DATE(VALUE(LEFT(raw_data!B188,4)),VALUE(MID(raw_data!B188,6,2)),VALUE(RIGHT(raw_data!B188,2))),DATE(VALUE(RIGHT(raw_data!B188,4)),MATCH(MID(raw_data!B188,4,3),{"Jan","Feb","Mar","Apr","May","Jun","Jul","Aug","Sep","Oct","Nov","Dec"},0),VALUE(LEFT(raw_data!B188,2)))))),"")</f>
        <v>45492</v>
      </c>
      <c r="C188" s="4" t="n">
        <f aca="false">IFERROR(IF(MID(raw_data!C188,3,1)="/",DATE(VALUE(RIGHT(raw_data!C188,4)),VALUE(LEFT(raw_data!C188,2)),VALUE(MID(raw_data!C188,4,2))),IF(MID(raw_data!C188,3,1)="-",DATE(VALUE(RIGHT(raw_data!C188,4)),VALUE(MID(raw_data!C188,4,2)),VALUE(LEFT(raw_data!C188,2))),IF(MID(raw_data!C188,5,1)="-",DATE(VALUE(LEFT(raw_data!C188,4)),VALUE(MID(raw_data!C188,6,2)),VALUE(RIGHT(raw_data!C188,2))),DATE(VALUE(RIGHT(raw_data!C188,4)),MATCH(MID(raw_data!C188,4,3),{"Jan","Feb","Mar","Apr","May","Jun","Jul","Aug","Sep","Oct","Nov","Dec"},0),VALUE(LEFT(raw_data!C188,2)))))),"")</f>
        <v>45493</v>
      </c>
      <c r="D188" s="3" t="str">
        <f aca="false">IF(TRIM(raw_data!B188)="","Missing",IF(B188="","Invalid/Unrecognized","Valid"))</f>
        <v>Valid</v>
      </c>
      <c r="E188" s="3" t="str">
        <f aca="false">IF(TRIM(raw_data!C188)="","Missing",IF(C188="","Invalid/Unrecognized","Valid"))</f>
        <v>Valid</v>
      </c>
      <c r="F188" s="5" t="n">
        <f aca="false">IF(OR(B188="",C188=""),"",C188-B188)</f>
        <v>1</v>
      </c>
      <c r="G188" s="3" t="str">
        <f aca="false">IF(F188="","N/A",IF(F188&lt;0,"Invalid - Ship Before Order","OK"))</f>
        <v>OK</v>
      </c>
      <c r="H188" s="3" t="str">
        <f aca="false">raw_data!D188</f>
        <v>CUST-2778</v>
      </c>
      <c r="I188" s="3" t="str">
        <f aca="false">PROPER(TRIM(raw_data!E188))</f>
        <v>Vikram Iyer</v>
      </c>
      <c r="J188" s="3" t="str">
        <f aca="false">PROPER(TRIM(raw_data!F188))</f>
        <v>Consumer</v>
      </c>
      <c r="K188" s="3" t="str">
        <f aca="false">IF(TRIM(raw_data!G188)="","Unknown",PROPER(TRIM(raw_data!G188)))</f>
        <v>South</v>
      </c>
      <c r="L188" s="3" t="str">
        <f aca="false">IF(TRIM(raw_data!G188)="","Filled - Unknown","OK")</f>
        <v>OK</v>
      </c>
      <c r="M188" s="3" t="str">
        <f aca="false">PROPER(TRIM(raw_data!H188))</f>
        <v>Tamil Nadu</v>
      </c>
      <c r="N188" s="3" t="str">
        <f aca="false">PROPER(TRIM(raw_data!I188))</f>
        <v>Chennai</v>
      </c>
      <c r="O188" s="3" t="str">
        <f aca="false">PROPER(TRIM(raw_data!J188))</f>
        <v>Furniture</v>
      </c>
      <c r="P188" s="3" t="str">
        <f aca="false">PROPER(TRIM(raw_data!K188))</f>
        <v>Tables</v>
      </c>
      <c r="Q188" s="3" t="str">
        <f aca="false">TRIM(raw_data!L188)</f>
        <v>Basic Tables 417</v>
      </c>
      <c r="R188" s="3" t="str">
        <f aca="false">IF(TRIM(raw_data!M188)="","Unknown",PROPER(TRIM(raw_data!M188)))</f>
        <v>First Class</v>
      </c>
      <c r="S188" s="3" t="str">
        <f aca="false">IF(TRIM(raw_data!M188)="","Filled - Unknown","OK")</f>
        <v>OK</v>
      </c>
      <c r="T188" s="6" t="n">
        <f aca="false">raw_data!N188</f>
        <v>7</v>
      </c>
      <c r="U188" s="7" t="n">
        <f aca="false">raw_data!O188</f>
        <v>3608.43</v>
      </c>
      <c r="V188" s="8" t="n">
        <f aca="false">raw_data!P188</f>
        <v>0.05</v>
      </c>
      <c r="W188" s="8" t="n">
        <f aca="false">IF(raw_data!P188="",0,IF(ISTEXT(raw_data!P188),IF(RIGHT(raw_data!P188,1)="%",VALUE(LEFT(raw_data!P188,LEN(raw_data!P188)-1))/100,VALUE(raw_data!P188)),raw_data!P188))</f>
        <v>0.05</v>
      </c>
      <c r="X188" s="3" t="str">
        <f aca="false">IF(raw_data!P188="","Missing - Defaulted to 0",IF(W188&lt;0,"Negative - Invalid",IF(W188&gt;0.3,"Above Allowed Range - Invalid","Valid")))</f>
        <v>Valid</v>
      </c>
      <c r="Y188" s="7" t="n">
        <f aca="false">raw_data!Q188</f>
        <v>23996.06</v>
      </c>
      <c r="Z188" s="7" t="n">
        <f aca="false">raw_data!R188</f>
        <v>20167.28</v>
      </c>
      <c r="AA188" s="7" t="n">
        <f aca="false">raw_data!S188</f>
        <v>3828.78</v>
      </c>
      <c r="AB188" s="3" t="str">
        <f aca="false">PROPER(TRIM(raw_data!T188))</f>
        <v>Paid</v>
      </c>
      <c r="AC188" s="3" t="str">
        <f aca="false">PROPER(TRIM(raw_data!U188))</f>
        <v>Completed</v>
      </c>
      <c r="AD188" s="7" t="n">
        <f aca="false">T188*U188*(1-W188)</f>
        <v>23996.0595</v>
      </c>
      <c r="AE188" s="7" t="n">
        <f aca="false">AD188-Z188</f>
        <v>3828.7795</v>
      </c>
      <c r="AF188" s="8" t="n">
        <f aca="false">IF(AD188=0,0,AE188/AD188)</f>
        <v>0.159558676706898</v>
      </c>
      <c r="AG188" s="3" t="str">
        <f aca="false">IF(ABS(Y188-AD188)&gt;1,"Mismatch","OK")</f>
        <v>OK</v>
      </c>
      <c r="AH188" s="3" t="str">
        <f aca="false">IF(ABS(AA188-AE188)&gt;1,"Mismatch","OK")</f>
        <v>OK</v>
      </c>
      <c r="AI188" s="6" t="n">
        <f aca="false">IF(B188="","",MONTH(B188))</f>
        <v>7</v>
      </c>
      <c r="AJ188" s="6" t="n">
        <f aca="false">IF(B188="","",YEAR(B188))</f>
        <v>2024</v>
      </c>
      <c r="AK188" s="3" t="str">
        <f aca="false">IF(COUNTIF(raw_data!$A$2:$A$913,A188)&gt;1,"Conflicting Duplicate - Flagged for Review","Unique")</f>
        <v>Unique</v>
      </c>
      <c r="AL188" s="3" t="str">
        <f aca="false">IF(AB188="Refunded","Yes","No")</f>
        <v>No</v>
      </c>
      <c r="AM188" s="3" t="str">
        <f aca="false">IF(OR(AC188&lt;&gt;"Completed",AB188="Failed"),"Excluded","Included")</f>
        <v>Included</v>
      </c>
      <c r="AN188" s="3" t="str">
        <f aca="false">IF(OR(D188="Invalid/Unrecognized",E188="Invalid/Unrecognized",G188="Invalid - Ship Before Order",X188="Negative - Invalid",X188="Above Allowed Range - Invalid",AG188="Mismatch",AH188="Mismatch",AK188="Conflicting Duplicate - Flagged for Review"),"Invalid",IF(OR(L188="Filled - Unknown",S188="Filled - Unknown",X188="Missing - Defaulted to 0",AL188="Yes",AC188="Cancelled",AC188="Returned"),"Warning","Clean"))</f>
        <v>Clean</v>
      </c>
    </row>
    <row r="189" customFormat="false" ht="15" hidden="false" customHeight="false" outlineLevel="0" collapsed="false">
      <c r="A189" s="3" t="str">
        <f aca="false">raw_data!A189</f>
        <v>ORD-2025-10188</v>
      </c>
      <c r="B189" s="4" t="n">
        <f aca="false">IFERROR(IF(MID(raw_data!B189,3,1)="/",DATE(VALUE(RIGHT(raw_data!B189,4)),VALUE(LEFT(raw_data!B189,2)),VALUE(MID(raw_data!B189,4,2))),IF(MID(raw_data!B189,3,1)="-",DATE(VALUE(RIGHT(raw_data!B189,4)),VALUE(MID(raw_data!B189,4,2)),VALUE(LEFT(raw_data!B189,2))),IF(MID(raw_data!B189,5,1)="-",DATE(VALUE(LEFT(raw_data!B189,4)),VALUE(MID(raw_data!B189,6,2)),VALUE(RIGHT(raw_data!B189,2))),DATE(VALUE(RIGHT(raw_data!B189,4)),MATCH(MID(raw_data!B189,4,3),{"Jan","Feb","Mar","Apr","May","Jun","Jul","Aug","Sep","Oct","Nov","Dec"},0),VALUE(LEFT(raw_data!B189,2)))))),"")</f>
        <v>45778</v>
      </c>
      <c r="C189" s="4" t="n">
        <f aca="false">IFERROR(IF(MID(raw_data!C189,3,1)="/",DATE(VALUE(RIGHT(raw_data!C189,4)),VALUE(LEFT(raw_data!C189,2)),VALUE(MID(raw_data!C189,4,2))),IF(MID(raw_data!C189,3,1)="-",DATE(VALUE(RIGHT(raw_data!C189,4)),VALUE(MID(raw_data!C189,4,2)),VALUE(LEFT(raw_data!C189,2))),IF(MID(raw_data!C189,5,1)="-",DATE(VALUE(LEFT(raw_data!C189,4)),VALUE(MID(raw_data!C189,6,2)),VALUE(RIGHT(raw_data!C189,2))),DATE(VALUE(RIGHT(raw_data!C189,4)),MATCH(MID(raw_data!C189,4,3),{"Jan","Feb","Mar","Apr","May","Jun","Jul","Aug","Sep","Oct","Nov","Dec"},0),VALUE(LEFT(raw_data!C189,2)))))),"")</f>
        <v>45779</v>
      </c>
      <c r="D189" s="3" t="str">
        <f aca="false">IF(TRIM(raw_data!B189)="","Missing",IF(B189="","Invalid/Unrecognized","Valid"))</f>
        <v>Valid</v>
      </c>
      <c r="E189" s="3" t="str">
        <f aca="false">IF(TRIM(raw_data!C189)="","Missing",IF(C189="","Invalid/Unrecognized","Valid"))</f>
        <v>Valid</v>
      </c>
      <c r="F189" s="5" t="n">
        <f aca="false">IF(OR(B189="",C189=""),"",C189-B189)</f>
        <v>1</v>
      </c>
      <c r="G189" s="3" t="str">
        <f aca="false">IF(F189="","N/A",IF(F189&lt;0,"Invalid - Ship Before Order","OK"))</f>
        <v>OK</v>
      </c>
      <c r="H189" s="3" t="str">
        <f aca="false">raw_data!D189</f>
        <v>CUST-3109</v>
      </c>
      <c r="I189" s="3" t="str">
        <f aca="false">PROPER(TRIM(raw_data!E189))</f>
        <v>Mira Das</v>
      </c>
      <c r="J189" s="3" t="str">
        <f aca="false">PROPER(TRIM(raw_data!F189))</f>
        <v>Consumer</v>
      </c>
      <c r="K189" s="3" t="str">
        <f aca="false">IF(TRIM(raw_data!G189)="","Unknown",PROPER(TRIM(raw_data!G189)))</f>
        <v>West</v>
      </c>
      <c r="L189" s="3" t="str">
        <f aca="false">IF(TRIM(raw_data!G189)="","Filled - Unknown","OK")</f>
        <v>OK</v>
      </c>
      <c r="M189" s="3" t="str">
        <f aca="false">PROPER(TRIM(raw_data!H189))</f>
        <v>Madhya Pradesh</v>
      </c>
      <c r="N189" s="3" t="str">
        <f aca="false">PROPER(TRIM(raw_data!I189))</f>
        <v>Indore</v>
      </c>
      <c r="O189" s="3" t="str">
        <f aca="false">PROPER(TRIM(raw_data!J189))</f>
        <v>Furniture</v>
      </c>
      <c r="P189" s="3" t="str">
        <f aca="false">PROPER(TRIM(raw_data!K189))</f>
        <v>Chairs</v>
      </c>
      <c r="Q189" s="3" t="str">
        <f aca="false">TRIM(raw_data!L189)</f>
        <v>Pro Chairs 844</v>
      </c>
      <c r="R189" s="3" t="str">
        <f aca="false">IF(TRIM(raw_data!M189)="","Unknown",PROPER(TRIM(raw_data!M189)))</f>
        <v>Same Day</v>
      </c>
      <c r="S189" s="3" t="str">
        <f aca="false">IF(TRIM(raw_data!M189)="","Filled - Unknown","OK")</f>
        <v>OK</v>
      </c>
      <c r="T189" s="6" t="n">
        <f aca="false">raw_data!N189</f>
        <v>3</v>
      </c>
      <c r="U189" s="7" t="n">
        <f aca="false">raw_data!O189</f>
        <v>2905.74</v>
      </c>
      <c r="V189" s="8" t="n">
        <f aca="false">raw_data!P189</f>
        <v>0</v>
      </c>
      <c r="W189" s="8" t="n">
        <f aca="false">IF(raw_data!P189="",0,IF(ISTEXT(raw_data!P189),IF(RIGHT(raw_data!P189,1)="%",VALUE(LEFT(raw_data!P189,LEN(raw_data!P189)-1))/100,VALUE(raw_data!P189)),raw_data!P189))</f>
        <v>0</v>
      </c>
      <c r="X189" s="3" t="str">
        <f aca="false">IF(raw_data!P189="","Missing - Defaulted to 0",IF(W189&lt;0,"Negative - Invalid",IF(W189&gt;0.3,"Above Allowed Range - Invalid","Valid")))</f>
        <v>Valid</v>
      </c>
      <c r="Y189" s="7" t="n">
        <f aca="false">raw_data!Q189</f>
        <v>8717.22</v>
      </c>
      <c r="Z189" s="7" t="n">
        <f aca="false">raw_data!R189</f>
        <v>6215.96</v>
      </c>
      <c r="AA189" s="7" t="n">
        <f aca="false">raw_data!S189</f>
        <v>2501.26</v>
      </c>
      <c r="AB189" s="3" t="str">
        <f aca="false">PROPER(TRIM(raw_data!T189))</f>
        <v>Paid</v>
      </c>
      <c r="AC189" s="3" t="str">
        <f aca="false">PROPER(TRIM(raw_data!U189))</f>
        <v>Returned</v>
      </c>
      <c r="AD189" s="7" t="n">
        <f aca="false">T189*U189*(1-W189)</f>
        <v>8717.22</v>
      </c>
      <c r="AE189" s="7" t="n">
        <f aca="false">AD189-Z189</f>
        <v>2501.26</v>
      </c>
      <c r="AF189" s="8" t="n">
        <f aca="false">IF(AD189=0,0,AE189/AD189)</f>
        <v>0.286933219535586</v>
      </c>
      <c r="AG189" s="3" t="str">
        <f aca="false">IF(ABS(Y189-AD189)&gt;1,"Mismatch","OK")</f>
        <v>OK</v>
      </c>
      <c r="AH189" s="3" t="str">
        <f aca="false">IF(ABS(AA189-AE189)&gt;1,"Mismatch","OK")</f>
        <v>OK</v>
      </c>
      <c r="AI189" s="6" t="n">
        <f aca="false">IF(B189="","",MONTH(B189))</f>
        <v>5</v>
      </c>
      <c r="AJ189" s="6" t="n">
        <f aca="false">IF(B189="","",YEAR(B189))</f>
        <v>2025</v>
      </c>
      <c r="AK189" s="3" t="str">
        <f aca="false">IF(COUNTIF(raw_data!$A$2:$A$913,A189)&gt;1,"Conflicting Duplicate - Flagged for Review","Unique")</f>
        <v>Unique</v>
      </c>
      <c r="AL189" s="3" t="str">
        <f aca="false">IF(AB189="Refunded","Yes","No")</f>
        <v>No</v>
      </c>
      <c r="AM189" s="3" t="str">
        <f aca="false">IF(OR(AC189&lt;&gt;"Completed",AB189="Failed"),"Excluded","Included")</f>
        <v>Excluded</v>
      </c>
      <c r="AN189" s="3" t="str">
        <f aca="false">IF(OR(D189="Invalid/Unrecognized",E189="Invalid/Unrecognized",G189="Invalid - Ship Before Order",X189="Negative - Invalid",X189="Above Allowed Range - Invalid",AG189="Mismatch",AH189="Mismatch",AK189="Conflicting Duplicate - Flagged for Review"),"Invalid",IF(OR(L189="Filled - Unknown",S189="Filled - Unknown",X189="Missing - Defaulted to 0",AL189="Yes",AC189="Cancelled",AC189="Returned"),"Warning","Clean"))</f>
        <v>Warning</v>
      </c>
    </row>
    <row r="190" customFormat="false" ht="15" hidden="false" customHeight="false" outlineLevel="0" collapsed="false">
      <c r="A190" s="3" t="str">
        <f aca="false">raw_data!A190</f>
        <v>ORD-2025-10189</v>
      </c>
      <c r="B190" s="4" t="n">
        <f aca="false">IFERROR(IF(MID(raw_data!B190,3,1)="/",DATE(VALUE(RIGHT(raw_data!B190,4)),VALUE(LEFT(raw_data!B190,2)),VALUE(MID(raw_data!B190,4,2))),IF(MID(raw_data!B190,3,1)="-",DATE(VALUE(RIGHT(raw_data!B190,4)),VALUE(MID(raw_data!B190,4,2)),VALUE(LEFT(raw_data!B190,2))),IF(MID(raw_data!B190,5,1)="-",DATE(VALUE(LEFT(raw_data!B190,4)),VALUE(MID(raw_data!B190,6,2)),VALUE(RIGHT(raw_data!B190,2))),DATE(VALUE(RIGHT(raw_data!B190,4)),MATCH(MID(raw_data!B190,4,3),{"Jan","Feb","Mar","Apr","May","Jun","Jul","Aug","Sep","Oct","Nov","Dec"},0),VALUE(LEFT(raw_data!B190,2)))))),"")</f>
        <v>45798</v>
      </c>
      <c r="C190" s="4" t="n">
        <f aca="false">IFERROR(IF(MID(raw_data!C190,3,1)="/",DATE(VALUE(RIGHT(raw_data!C190,4)),VALUE(LEFT(raw_data!C190,2)),VALUE(MID(raw_data!C190,4,2))),IF(MID(raw_data!C190,3,1)="-",DATE(VALUE(RIGHT(raw_data!C190,4)),VALUE(MID(raw_data!C190,4,2)),VALUE(LEFT(raw_data!C190,2))),IF(MID(raw_data!C190,5,1)="-",DATE(VALUE(LEFT(raw_data!C190,4)),VALUE(MID(raw_data!C190,6,2)),VALUE(RIGHT(raw_data!C190,2))),DATE(VALUE(RIGHT(raw_data!C190,4)),MATCH(MID(raw_data!C190,4,3),{"Jan","Feb","Mar","Apr","May","Jun","Jul","Aug","Sep","Oct","Nov","Dec"},0),VALUE(LEFT(raw_data!C190,2)))))),"")</f>
        <v>45805</v>
      </c>
      <c r="D190" s="3" t="str">
        <f aca="false">IF(TRIM(raw_data!B190)="","Missing",IF(B190="","Invalid/Unrecognized","Valid"))</f>
        <v>Valid</v>
      </c>
      <c r="E190" s="3" t="str">
        <f aca="false">IF(TRIM(raw_data!C190)="","Missing",IF(C190="","Invalid/Unrecognized","Valid"))</f>
        <v>Valid</v>
      </c>
      <c r="F190" s="5" t="n">
        <f aca="false">IF(OR(B190="",C190=""),"",C190-B190)</f>
        <v>7</v>
      </c>
      <c r="G190" s="3" t="str">
        <f aca="false">IF(F190="","N/A",IF(F190&lt;0,"Invalid - Ship Before Order","OK"))</f>
        <v>OK</v>
      </c>
      <c r="H190" s="3" t="str">
        <f aca="false">raw_data!D190</f>
        <v>CUST-3422</v>
      </c>
      <c r="I190" s="3" t="str">
        <f aca="false">PROPER(TRIM(raw_data!E190))</f>
        <v>Priya Menon</v>
      </c>
      <c r="J190" s="3" t="str">
        <f aca="false">PROPER(TRIM(raw_data!F190))</f>
        <v>Corporate</v>
      </c>
      <c r="K190" s="3" t="str">
        <f aca="false">IF(TRIM(raw_data!G190)="","Unknown",PROPER(TRIM(raw_data!G190)))</f>
        <v>East</v>
      </c>
      <c r="L190" s="3" t="str">
        <f aca="false">IF(TRIM(raw_data!G190)="","Filled - Unknown","OK")</f>
        <v>OK</v>
      </c>
      <c r="M190" s="3" t="str">
        <f aca="false">PROPER(TRIM(raw_data!H190))</f>
        <v>West Bengal</v>
      </c>
      <c r="N190" s="3" t="str">
        <f aca="false">PROPER(TRIM(raw_data!I190))</f>
        <v>Kolkata</v>
      </c>
      <c r="O190" s="3" t="str">
        <f aca="false">PROPER(TRIM(raw_data!J190))</f>
        <v>Furniture</v>
      </c>
      <c r="P190" s="3" t="str">
        <f aca="false">PROPER(TRIM(raw_data!K190))</f>
        <v>Bookcases</v>
      </c>
      <c r="Q190" s="3" t="str">
        <f aca="false">TRIM(raw_data!L190)</f>
        <v>Elite Bookcases 883</v>
      </c>
      <c r="R190" s="3" t="str">
        <f aca="false">IF(TRIM(raw_data!M190)="","Unknown",PROPER(TRIM(raw_data!M190)))</f>
        <v>Same Day</v>
      </c>
      <c r="S190" s="3" t="str">
        <f aca="false">IF(TRIM(raw_data!M190)="","Filled - Unknown","OK")</f>
        <v>OK</v>
      </c>
      <c r="T190" s="6" t="n">
        <f aca="false">raw_data!N190</f>
        <v>2</v>
      </c>
      <c r="U190" s="7" t="n">
        <f aca="false">raw_data!O190</f>
        <v>3559.57</v>
      </c>
      <c r="V190" s="8" t="n">
        <f aca="false">raw_data!P190</f>
        <v>0.1</v>
      </c>
      <c r="W190" s="8" t="n">
        <f aca="false">IF(raw_data!P190="",0,IF(ISTEXT(raw_data!P190),IF(RIGHT(raw_data!P190,1)="%",VALUE(LEFT(raw_data!P190,LEN(raw_data!P190)-1))/100,VALUE(raw_data!P190)),raw_data!P190))</f>
        <v>0.1</v>
      </c>
      <c r="X190" s="3" t="str">
        <f aca="false">IF(raw_data!P190="","Missing - Defaulted to 0",IF(W190&lt;0,"Negative - Invalid",IF(W190&gt;0.3,"Above Allowed Range - Invalid","Valid")))</f>
        <v>Valid</v>
      </c>
      <c r="Y190" s="7" t="n">
        <f aca="false">raw_data!Q190</f>
        <v>6553.95</v>
      </c>
      <c r="Z190" s="7" t="n">
        <f aca="false">raw_data!R190</f>
        <v>4923.09</v>
      </c>
      <c r="AA190" s="7" t="n">
        <f aca="false">raw_data!S190</f>
        <v>1484.14</v>
      </c>
      <c r="AB190" s="3" t="str">
        <f aca="false">PROPER(TRIM(raw_data!T190))</f>
        <v>Paid</v>
      </c>
      <c r="AC190" s="3" t="str">
        <f aca="false">PROPER(TRIM(raw_data!U190))</f>
        <v>Completed</v>
      </c>
      <c r="AD190" s="7" t="n">
        <f aca="false">T190*U190*(1-W190)</f>
        <v>6407.226</v>
      </c>
      <c r="AE190" s="7" t="n">
        <f aca="false">AD190-Z190</f>
        <v>1484.136</v>
      </c>
      <c r="AF190" s="8" t="n">
        <f aca="false">IF(AD190=0,0,AE190/AD190)</f>
        <v>0.231634719924036</v>
      </c>
      <c r="AG190" s="3" t="str">
        <f aca="false">IF(ABS(Y190-AD190)&gt;1,"Mismatch","OK")</f>
        <v>Mismatch</v>
      </c>
      <c r="AH190" s="3" t="str">
        <f aca="false">IF(ABS(AA190-AE190)&gt;1,"Mismatch","OK")</f>
        <v>OK</v>
      </c>
      <c r="AI190" s="6" t="n">
        <f aca="false">IF(B190="","",MONTH(B190))</f>
        <v>5</v>
      </c>
      <c r="AJ190" s="6" t="n">
        <f aca="false">IF(B190="","",YEAR(B190))</f>
        <v>2025</v>
      </c>
      <c r="AK190" s="3" t="str">
        <f aca="false">IF(COUNTIF(raw_data!$A$2:$A$913,A190)&gt;1,"Conflicting Duplicate - Flagged for Review","Unique")</f>
        <v>Unique</v>
      </c>
      <c r="AL190" s="3" t="str">
        <f aca="false">IF(AB190="Refunded","Yes","No")</f>
        <v>No</v>
      </c>
      <c r="AM190" s="3" t="str">
        <f aca="false">IF(OR(AC190&lt;&gt;"Completed",AB190="Failed"),"Excluded","Included")</f>
        <v>Included</v>
      </c>
      <c r="AN190" s="3" t="str">
        <f aca="false">IF(OR(D190="Invalid/Unrecognized",E190="Invalid/Unrecognized",G190="Invalid - Ship Before Order",X190="Negative - Invalid",X190="Above Allowed Range - Invalid",AG190="Mismatch",AH190="Mismatch",AK190="Conflicting Duplicate - Flagged for Review"),"Invalid",IF(OR(L190="Filled - Unknown",S190="Filled - Unknown",X190="Missing - Defaulted to 0",AL190="Yes",AC190="Cancelled",AC190="Returned"),"Warning","Clean"))</f>
        <v>Invalid</v>
      </c>
    </row>
    <row r="191" customFormat="false" ht="15" hidden="false" customHeight="false" outlineLevel="0" collapsed="false">
      <c r="A191" s="3" t="str">
        <f aca="false">raw_data!A191</f>
        <v>ORD-2025-10190</v>
      </c>
      <c r="B191" s="4" t="n">
        <f aca="false">IFERROR(IF(MID(raw_data!B191,3,1)="/",DATE(VALUE(RIGHT(raw_data!B191,4)),VALUE(LEFT(raw_data!B191,2)),VALUE(MID(raw_data!B191,4,2))),IF(MID(raw_data!B191,3,1)="-",DATE(VALUE(RIGHT(raw_data!B191,4)),VALUE(MID(raw_data!B191,4,2)),VALUE(LEFT(raw_data!B191,2))),IF(MID(raw_data!B191,5,1)="-",DATE(VALUE(LEFT(raw_data!B191,4)),VALUE(MID(raw_data!B191,6,2)),VALUE(RIGHT(raw_data!B191,2))),DATE(VALUE(RIGHT(raw_data!B191,4)),MATCH(MID(raw_data!B191,4,3),{"Jan","Feb","Mar","Apr","May","Jun","Jul","Aug","Sep","Oct","Nov","Dec"},0),VALUE(LEFT(raw_data!B191,2)))))),"")</f>
        <v>45783</v>
      </c>
      <c r="C191" s="4" t="n">
        <f aca="false">IFERROR(IF(MID(raw_data!C191,3,1)="/",DATE(VALUE(RIGHT(raw_data!C191,4)),VALUE(LEFT(raw_data!C191,2)),VALUE(MID(raw_data!C191,4,2))),IF(MID(raw_data!C191,3,1)="-",DATE(VALUE(RIGHT(raw_data!C191,4)),VALUE(MID(raw_data!C191,4,2)),VALUE(LEFT(raw_data!C191,2))),IF(MID(raw_data!C191,5,1)="-",DATE(VALUE(LEFT(raw_data!C191,4)),VALUE(MID(raw_data!C191,6,2)),VALUE(RIGHT(raw_data!C191,2))),DATE(VALUE(RIGHT(raw_data!C191,4)),MATCH(MID(raw_data!C191,4,3),{"Jan","Feb","Mar","Apr","May","Jun","Jul","Aug","Sep","Oct","Nov","Dec"},0),VALUE(LEFT(raw_data!C191,2)))))),"")</f>
        <v>45784</v>
      </c>
      <c r="D191" s="3" t="str">
        <f aca="false">IF(TRIM(raw_data!B191)="","Missing",IF(B191="","Invalid/Unrecognized","Valid"))</f>
        <v>Valid</v>
      </c>
      <c r="E191" s="3" t="str">
        <f aca="false">IF(TRIM(raw_data!C191)="","Missing",IF(C191="","Invalid/Unrecognized","Valid"))</f>
        <v>Valid</v>
      </c>
      <c r="F191" s="5" t="n">
        <f aca="false">IF(OR(B191="",C191=""),"",C191-B191)</f>
        <v>1</v>
      </c>
      <c r="G191" s="3" t="str">
        <f aca="false">IF(F191="","N/A",IF(F191&lt;0,"Invalid - Ship Before Order","OK"))</f>
        <v>OK</v>
      </c>
      <c r="H191" s="3" t="str">
        <f aca="false">raw_data!D191</f>
        <v>CUST-3375</v>
      </c>
      <c r="I191" s="3" t="str">
        <f aca="false">PROPER(TRIM(raw_data!E191))</f>
        <v>Arjun Bose</v>
      </c>
      <c r="J191" s="3" t="str">
        <f aca="false">PROPER(TRIM(raw_data!F191))</f>
        <v>Consumer</v>
      </c>
      <c r="K191" s="3" t="str">
        <f aca="false">IF(TRIM(raw_data!G191)="","Unknown",PROPER(TRIM(raw_data!G191)))</f>
        <v>West</v>
      </c>
      <c r="L191" s="3" t="str">
        <f aca="false">IF(TRIM(raw_data!G191)="","Filled - Unknown","OK")</f>
        <v>OK</v>
      </c>
      <c r="M191" s="3" t="str">
        <f aca="false">PROPER(TRIM(raw_data!H191))</f>
        <v>Rajasthan</v>
      </c>
      <c r="N191" s="3" t="str">
        <f aca="false">PROPER(TRIM(raw_data!I191))</f>
        <v>Udaipur</v>
      </c>
      <c r="O191" s="3" t="str">
        <f aca="false">PROPER(TRIM(raw_data!J191))</f>
        <v>Furniture</v>
      </c>
      <c r="P191" s="3" t="str">
        <f aca="false">PROPER(TRIM(raw_data!K191))</f>
        <v>Bookcases</v>
      </c>
      <c r="Q191" s="3" t="str">
        <f aca="false">TRIM(raw_data!L191)</f>
        <v>Basic Bookcases 754</v>
      </c>
      <c r="R191" s="3" t="str">
        <f aca="false">IF(TRIM(raw_data!M191)="","Unknown",PROPER(TRIM(raw_data!M191)))</f>
        <v>First Class</v>
      </c>
      <c r="S191" s="3" t="str">
        <f aca="false">IF(TRIM(raw_data!M191)="","Filled - Unknown","OK")</f>
        <v>OK</v>
      </c>
      <c r="T191" s="6" t="n">
        <f aca="false">raw_data!N191</f>
        <v>9</v>
      </c>
      <c r="U191" s="7" t="n">
        <f aca="false">raw_data!O191</f>
        <v>3318.24</v>
      </c>
      <c r="V191" s="8" t="n">
        <f aca="false">raw_data!P191</f>
        <v>0</v>
      </c>
      <c r="W191" s="8" t="n">
        <f aca="false">IF(raw_data!P191="",0,IF(ISTEXT(raw_data!P191),IF(RIGHT(raw_data!P191,1)="%",VALUE(LEFT(raw_data!P191,LEN(raw_data!P191)-1))/100,VALUE(raw_data!P191)),raw_data!P191))</f>
        <v>0</v>
      </c>
      <c r="X191" s="3" t="str">
        <f aca="false">IF(raw_data!P191="","Missing - Defaulted to 0",IF(W191&lt;0,"Negative - Invalid",IF(W191&gt;0.3,"Above Allowed Range - Invalid","Valid")))</f>
        <v>Missing - Defaulted to 0</v>
      </c>
      <c r="Y191" s="7" t="n">
        <f aca="false">raw_data!Q191</f>
        <v>25384.54</v>
      </c>
      <c r="Z191" s="7" t="n">
        <f aca="false">raw_data!R191</f>
        <v>16872.39</v>
      </c>
      <c r="AA191" s="7" t="n">
        <f aca="false">raw_data!S191</f>
        <v>8512.15</v>
      </c>
      <c r="AB191" s="3" t="str">
        <f aca="false">PROPER(TRIM(raw_data!T191))</f>
        <v>Paid</v>
      </c>
      <c r="AC191" s="3" t="str">
        <f aca="false">PROPER(TRIM(raw_data!U191))</f>
        <v>Completed</v>
      </c>
      <c r="AD191" s="7" t="n">
        <f aca="false">T191*U191*(1-W191)</f>
        <v>29864.16</v>
      </c>
      <c r="AE191" s="7" t="n">
        <f aca="false">AD191-Z191</f>
        <v>12991.77</v>
      </c>
      <c r="AF191" s="8" t="n">
        <f aca="false">IF(AD191=0,0,AE191/AD191)</f>
        <v>0.435028810453735</v>
      </c>
      <c r="AG191" s="3" t="str">
        <f aca="false">IF(ABS(Y191-AD191)&gt;1,"Mismatch","OK")</f>
        <v>Mismatch</v>
      </c>
      <c r="AH191" s="3" t="str">
        <f aca="false">IF(ABS(AA191-AE191)&gt;1,"Mismatch","OK")</f>
        <v>Mismatch</v>
      </c>
      <c r="AI191" s="6" t="n">
        <f aca="false">IF(B191="","",MONTH(B191))</f>
        <v>5</v>
      </c>
      <c r="AJ191" s="6" t="n">
        <f aca="false">IF(B191="","",YEAR(B191))</f>
        <v>2025</v>
      </c>
      <c r="AK191" s="3" t="str">
        <f aca="false">IF(COUNTIF(raw_data!$A$2:$A$913,A191)&gt;1,"Conflicting Duplicate - Flagged for Review","Unique")</f>
        <v>Unique</v>
      </c>
      <c r="AL191" s="3" t="str">
        <f aca="false">IF(AB191="Refunded","Yes","No")</f>
        <v>No</v>
      </c>
      <c r="AM191" s="3" t="str">
        <f aca="false">IF(OR(AC191&lt;&gt;"Completed",AB191="Failed"),"Excluded","Included")</f>
        <v>Included</v>
      </c>
      <c r="AN191" s="3" t="str">
        <f aca="false">IF(OR(D191="Invalid/Unrecognized",E191="Invalid/Unrecognized",G191="Invalid - Ship Before Order",X191="Negative - Invalid",X191="Above Allowed Range - Invalid",AG191="Mismatch",AH191="Mismatch",AK191="Conflicting Duplicate - Flagged for Review"),"Invalid",IF(OR(L191="Filled - Unknown",S191="Filled - Unknown",X191="Missing - Defaulted to 0",AL191="Yes",AC191="Cancelled",AC191="Returned"),"Warning","Clean"))</f>
        <v>Invalid</v>
      </c>
    </row>
    <row r="192" customFormat="false" ht="15" hidden="false" customHeight="false" outlineLevel="0" collapsed="false">
      <c r="A192" s="3" t="str">
        <f aca="false">raw_data!A192</f>
        <v>ORD-2025-10191</v>
      </c>
      <c r="B192" s="4" t="n">
        <f aca="false">IFERROR(IF(MID(raw_data!B192,3,1)="/",DATE(VALUE(RIGHT(raw_data!B192,4)),VALUE(LEFT(raw_data!B192,2)),VALUE(MID(raw_data!B192,4,2))),IF(MID(raw_data!B192,3,1)="-",DATE(VALUE(RIGHT(raw_data!B192,4)),VALUE(MID(raw_data!B192,4,2)),VALUE(LEFT(raw_data!B192,2))),IF(MID(raw_data!B192,5,1)="-",DATE(VALUE(LEFT(raw_data!B192,4)),VALUE(MID(raw_data!B192,6,2)),VALUE(RIGHT(raw_data!B192,2))),DATE(VALUE(RIGHT(raw_data!B192,4)),MATCH(MID(raw_data!B192,4,3),{"Jan","Feb","Mar","Apr","May","Jun","Jul","Aug","Sep","Oct","Nov","Dec"},0),VALUE(LEFT(raw_data!B192,2)))))),"")</f>
        <v>45767</v>
      </c>
      <c r="C192" s="4" t="n">
        <f aca="false">IFERROR(IF(MID(raw_data!C192,3,1)="/",DATE(VALUE(RIGHT(raw_data!C192,4)),VALUE(LEFT(raw_data!C192,2)),VALUE(MID(raw_data!C192,4,2))),IF(MID(raw_data!C192,3,1)="-",DATE(VALUE(RIGHT(raw_data!C192,4)),VALUE(MID(raw_data!C192,4,2)),VALUE(LEFT(raw_data!C192,2))),IF(MID(raw_data!C192,5,1)="-",DATE(VALUE(LEFT(raw_data!C192,4)),VALUE(MID(raw_data!C192,6,2)),VALUE(RIGHT(raw_data!C192,2))),DATE(VALUE(RIGHT(raw_data!C192,4)),MATCH(MID(raw_data!C192,4,3),{"Jan","Feb","Mar","Apr","May","Jun","Jul","Aug","Sep","Oct","Nov","Dec"},0),VALUE(LEFT(raw_data!C192,2)))))),"")</f>
        <v>45768</v>
      </c>
      <c r="D192" s="3" t="str">
        <f aca="false">IF(TRIM(raw_data!B192)="","Missing",IF(B192="","Invalid/Unrecognized","Valid"))</f>
        <v>Valid</v>
      </c>
      <c r="E192" s="3" t="str">
        <f aca="false">IF(TRIM(raw_data!C192)="","Missing",IF(C192="","Invalid/Unrecognized","Valid"))</f>
        <v>Valid</v>
      </c>
      <c r="F192" s="5" t="n">
        <f aca="false">IF(OR(B192="",C192=""),"",C192-B192)</f>
        <v>1</v>
      </c>
      <c r="G192" s="3" t="str">
        <f aca="false">IF(F192="","N/A",IF(F192&lt;0,"Invalid - Ship Before Order","OK"))</f>
        <v>OK</v>
      </c>
      <c r="H192" s="3" t="str">
        <f aca="false">raw_data!D192</f>
        <v>CUST-5138</v>
      </c>
      <c r="I192" s="3" t="str">
        <f aca="false">PROPER(TRIM(raw_data!E192))</f>
        <v>Aditi Sen</v>
      </c>
      <c r="J192" s="3" t="str">
        <f aca="false">PROPER(TRIM(raw_data!F192))</f>
        <v>Consumer</v>
      </c>
      <c r="K192" s="3" t="str">
        <f aca="false">IF(TRIM(raw_data!G192)="","Unknown",PROPER(TRIM(raw_data!G192)))</f>
        <v>South</v>
      </c>
      <c r="L192" s="3" t="str">
        <f aca="false">IF(TRIM(raw_data!G192)="","Filled - Unknown","OK")</f>
        <v>OK</v>
      </c>
      <c r="M192" s="3" t="str">
        <f aca="false">PROPER(TRIM(raw_data!H192))</f>
        <v>Tamil Nadu</v>
      </c>
      <c r="N192" s="3" t="str">
        <f aca="false">PROPER(TRIM(raw_data!I192))</f>
        <v>Chennai</v>
      </c>
      <c r="O192" s="3" t="str">
        <f aca="false">PROPER(TRIM(raw_data!J192))</f>
        <v>Office Supplies</v>
      </c>
      <c r="P192" s="3" t="str">
        <f aca="false">PROPER(TRIM(raw_data!K192))</f>
        <v>Storage</v>
      </c>
      <c r="Q192" s="3" t="str">
        <f aca="false">TRIM(raw_data!L192)</f>
        <v>Eco Storage 158</v>
      </c>
      <c r="R192" s="3" t="str">
        <f aca="false">IF(TRIM(raw_data!M192)="","Unknown",PROPER(TRIM(raw_data!M192)))</f>
        <v>First Class</v>
      </c>
      <c r="S192" s="3" t="str">
        <f aca="false">IF(TRIM(raw_data!M192)="","Filled - Unknown","OK")</f>
        <v>OK</v>
      </c>
      <c r="T192" s="6" t="n">
        <f aca="false">raw_data!N192</f>
        <v>3</v>
      </c>
      <c r="U192" s="7" t="n">
        <f aca="false">raw_data!O192</f>
        <v>540.09</v>
      </c>
      <c r="V192" s="8" t="n">
        <f aca="false">raw_data!P192</f>
        <v>0.1</v>
      </c>
      <c r="W192" s="8" t="n">
        <f aca="false">IF(raw_data!P192="",0,IF(ISTEXT(raw_data!P192),IF(RIGHT(raw_data!P192,1)="%",VALUE(LEFT(raw_data!P192,LEN(raw_data!P192)-1))/100,VALUE(raw_data!P192)),raw_data!P192))</f>
        <v>0.1</v>
      </c>
      <c r="X192" s="3" t="str">
        <f aca="false">IF(raw_data!P192="","Missing - Defaulted to 0",IF(W192&lt;0,"Negative - Invalid",IF(W192&gt;0.3,"Above Allowed Range - Invalid","Valid")))</f>
        <v>Valid</v>
      </c>
      <c r="Y192" s="7" t="n">
        <f aca="false">raw_data!Q192</f>
        <v>1458.24</v>
      </c>
      <c r="Z192" s="7" t="n">
        <f aca="false">raw_data!R192</f>
        <v>943.32</v>
      </c>
      <c r="AA192" s="7" t="n">
        <f aca="false">raw_data!S192</f>
        <v>514.92</v>
      </c>
      <c r="AB192" s="3" t="str">
        <f aca="false">PROPER(TRIM(raw_data!T192))</f>
        <v>Paid</v>
      </c>
      <c r="AC192" s="3" t="str">
        <f aca="false">PROPER(TRIM(raw_data!U192))</f>
        <v>Completed</v>
      </c>
      <c r="AD192" s="7" t="n">
        <f aca="false">T192*U192*(1-W192)</f>
        <v>1458.243</v>
      </c>
      <c r="AE192" s="7" t="n">
        <f aca="false">AD192-Z192</f>
        <v>514.923</v>
      </c>
      <c r="AF192" s="8" t="n">
        <f aca="false">IF(AD192=0,0,AE192/AD192)</f>
        <v>0.353111929904687</v>
      </c>
      <c r="AG192" s="3" t="str">
        <f aca="false">IF(ABS(Y192-AD192)&gt;1,"Mismatch","OK")</f>
        <v>OK</v>
      </c>
      <c r="AH192" s="3" t="str">
        <f aca="false">IF(ABS(AA192-AE192)&gt;1,"Mismatch","OK")</f>
        <v>OK</v>
      </c>
      <c r="AI192" s="6" t="n">
        <f aca="false">IF(B192="","",MONTH(B192))</f>
        <v>4</v>
      </c>
      <c r="AJ192" s="6" t="n">
        <f aca="false">IF(B192="","",YEAR(B192))</f>
        <v>2025</v>
      </c>
      <c r="AK192" s="3" t="str">
        <f aca="false">IF(COUNTIF(raw_data!$A$2:$A$913,A192)&gt;1,"Conflicting Duplicate - Flagged for Review","Unique")</f>
        <v>Unique</v>
      </c>
      <c r="AL192" s="3" t="str">
        <f aca="false">IF(AB192="Refunded","Yes","No")</f>
        <v>No</v>
      </c>
      <c r="AM192" s="3" t="str">
        <f aca="false">IF(OR(AC192&lt;&gt;"Completed",AB192="Failed"),"Excluded","Included")</f>
        <v>Included</v>
      </c>
      <c r="AN192" s="3" t="str">
        <f aca="false">IF(OR(D192="Invalid/Unrecognized",E192="Invalid/Unrecognized",G192="Invalid - Ship Before Order",X192="Negative - Invalid",X192="Above Allowed Range - Invalid",AG192="Mismatch",AH192="Mismatch",AK192="Conflicting Duplicate - Flagged for Review"),"Invalid",IF(OR(L192="Filled - Unknown",S192="Filled - Unknown",X192="Missing - Defaulted to 0",AL192="Yes",AC192="Cancelled",AC192="Returned"),"Warning","Clean"))</f>
        <v>Clean</v>
      </c>
    </row>
    <row r="193" customFormat="false" ht="15" hidden="false" customHeight="false" outlineLevel="0" collapsed="false">
      <c r="A193" s="3" t="str">
        <f aca="false">raw_data!A193</f>
        <v>ORD-2024-10192</v>
      </c>
      <c r="B193" s="4" t="n">
        <f aca="false">IFERROR(IF(MID(raw_data!B193,3,1)="/",DATE(VALUE(RIGHT(raw_data!B193,4)),VALUE(LEFT(raw_data!B193,2)),VALUE(MID(raw_data!B193,4,2))),IF(MID(raw_data!B193,3,1)="-",DATE(VALUE(RIGHT(raw_data!B193,4)),VALUE(MID(raw_data!B193,4,2)),VALUE(LEFT(raw_data!B193,2))),IF(MID(raw_data!B193,5,1)="-",DATE(VALUE(LEFT(raw_data!B193,4)),VALUE(MID(raw_data!B193,6,2)),VALUE(RIGHT(raw_data!B193,2))),DATE(VALUE(RIGHT(raw_data!B193,4)),MATCH(MID(raw_data!B193,4,3),{"Jan","Feb","Mar","Apr","May","Jun","Jul","Aug","Sep","Oct","Nov","Dec"},0),VALUE(LEFT(raw_data!B193,2)))))),"")</f>
        <v>45584</v>
      </c>
      <c r="C193" s="4" t="n">
        <f aca="false">IFERROR(IF(MID(raw_data!C193,3,1)="/",DATE(VALUE(RIGHT(raw_data!C193,4)),VALUE(LEFT(raw_data!C193,2)),VALUE(MID(raw_data!C193,4,2))),IF(MID(raw_data!C193,3,1)="-",DATE(VALUE(RIGHT(raw_data!C193,4)),VALUE(MID(raw_data!C193,4,2)),VALUE(LEFT(raw_data!C193,2))),IF(MID(raw_data!C193,5,1)="-",DATE(VALUE(LEFT(raw_data!C193,4)),VALUE(MID(raw_data!C193,6,2)),VALUE(RIGHT(raw_data!C193,2))),DATE(VALUE(RIGHT(raw_data!C193,4)),MATCH(MID(raw_data!C193,4,3),{"Jan","Feb","Mar","Apr","May","Jun","Jul","Aug","Sep","Oct","Nov","Dec"},0),VALUE(LEFT(raw_data!C193,2)))))),"")</f>
        <v>45589</v>
      </c>
      <c r="D193" s="3" t="str">
        <f aca="false">IF(TRIM(raw_data!B193)="","Missing",IF(B193="","Invalid/Unrecognized","Valid"))</f>
        <v>Valid</v>
      </c>
      <c r="E193" s="3" t="str">
        <f aca="false">IF(TRIM(raw_data!C193)="","Missing",IF(C193="","Invalid/Unrecognized","Valid"))</f>
        <v>Valid</v>
      </c>
      <c r="F193" s="5" t="n">
        <f aca="false">IF(OR(B193="",C193=""),"",C193-B193)</f>
        <v>5</v>
      </c>
      <c r="G193" s="3" t="str">
        <f aca="false">IF(F193="","N/A",IF(F193&lt;0,"Invalid - Ship Before Order","OK"))</f>
        <v>OK</v>
      </c>
      <c r="H193" s="3" t="str">
        <f aca="false">raw_data!D193</f>
        <v>CUST-7410</v>
      </c>
      <c r="I193" s="3" t="str">
        <f aca="false">PROPER(TRIM(raw_data!E193))</f>
        <v>Sneha Kapoor</v>
      </c>
      <c r="J193" s="3" t="str">
        <f aca="false">PROPER(TRIM(raw_data!F193))</f>
        <v>Small Business</v>
      </c>
      <c r="K193" s="3" t="str">
        <f aca="false">IF(TRIM(raw_data!G193)="","Unknown",PROPER(TRIM(raw_data!G193)))</f>
        <v>South</v>
      </c>
      <c r="L193" s="3" t="str">
        <f aca="false">IF(TRIM(raw_data!G193)="","Filled - Unknown","OK")</f>
        <v>OK</v>
      </c>
      <c r="M193" s="3" t="str">
        <f aca="false">PROPER(TRIM(raw_data!H193))</f>
        <v>Tamil Nadu</v>
      </c>
      <c r="N193" s="3" t="str">
        <f aca="false">PROPER(TRIM(raw_data!I193))</f>
        <v>Chennai</v>
      </c>
      <c r="O193" s="3" t="str">
        <f aca="false">PROPER(TRIM(raw_data!J193))</f>
        <v>Furniture</v>
      </c>
      <c r="P193" s="3" t="str">
        <f aca="false">PROPER(TRIM(raw_data!K193))</f>
        <v>Bookcases</v>
      </c>
      <c r="Q193" s="3" t="str">
        <f aca="false">TRIM(raw_data!L193)</f>
        <v>Prime Bookcases 602</v>
      </c>
      <c r="R193" s="3" t="str">
        <f aca="false">IF(TRIM(raw_data!M193)="","Unknown",PROPER(TRIM(raw_data!M193)))</f>
        <v>Second Class</v>
      </c>
      <c r="S193" s="3" t="str">
        <f aca="false">IF(TRIM(raw_data!M193)="","Filled - Unknown","OK")</f>
        <v>OK</v>
      </c>
      <c r="T193" s="6" t="n">
        <f aca="false">raw_data!N193</f>
        <v>6</v>
      </c>
      <c r="U193" s="7" t="n">
        <f aca="false">raw_data!O193</f>
        <v>4308.4</v>
      </c>
      <c r="V193" s="8" t="n">
        <f aca="false">raw_data!P193</f>
        <v>0.65</v>
      </c>
      <c r="W193" s="8" t="n">
        <f aca="false">IF(raw_data!P193="",0,IF(ISTEXT(raw_data!P193),IF(RIGHT(raw_data!P193,1)="%",VALUE(LEFT(raw_data!P193,LEN(raw_data!P193)-1))/100,VALUE(raw_data!P193)),raw_data!P193))</f>
        <v>0.65</v>
      </c>
      <c r="X193" s="3" t="str">
        <f aca="false">IF(raw_data!P193="","Missing - Defaulted to 0",IF(W193&lt;0,"Negative - Invalid",IF(W193&gt;0.3,"Above Allowed Range - Invalid","Valid")))</f>
        <v>Above Allowed Range - Invalid</v>
      </c>
      <c r="Y193" s="7" t="n">
        <f aca="false">raw_data!Q193</f>
        <v>25850.4</v>
      </c>
      <c r="Z193" s="7" t="n">
        <f aca="false">raw_data!R193</f>
        <v>19397.68</v>
      </c>
      <c r="AA193" s="7" t="n">
        <f aca="false">raw_data!S193</f>
        <v>6452.72</v>
      </c>
      <c r="AB193" s="3" t="str">
        <f aca="false">PROPER(TRIM(raw_data!T193))</f>
        <v>Paid</v>
      </c>
      <c r="AC193" s="3" t="str">
        <f aca="false">PROPER(TRIM(raw_data!U193))</f>
        <v>Completed</v>
      </c>
      <c r="AD193" s="7" t="n">
        <f aca="false">T193*U193*(1-W193)</f>
        <v>9047.64</v>
      </c>
      <c r="AE193" s="7" t="n">
        <f aca="false">AD193-Z193</f>
        <v>-10350.04</v>
      </c>
      <c r="AF193" s="8" t="n">
        <f aca="false">IF(AD193=0,0,AE193/AD193)</f>
        <v>-1.14394914032831</v>
      </c>
      <c r="AG193" s="3" t="str">
        <f aca="false">IF(ABS(Y193-AD193)&gt;1,"Mismatch","OK")</f>
        <v>Mismatch</v>
      </c>
      <c r="AH193" s="3" t="str">
        <f aca="false">IF(ABS(AA193-AE193)&gt;1,"Mismatch","OK")</f>
        <v>Mismatch</v>
      </c>
      <c r="AI193" s="6" t="n">
        <f aca="false">IF(B193="","",MONTH(B193))</f>
        <v>10</v>
      </c>
      <c r="AJ193" s="6" t="n">
        <f aca="false">IF(B193="","",YEAR(B193))</f>
        <v>2024</v>
      </c>
      <c r="AK193" s="3" t="str">
        <f aca="false">IF(COUNTIF(raw_data!$A$2:$A$913,A193)&gt;1,"Conflicting Duplicate - Flagged for Review","Unique")</f>
        <v>Unique</v>
      </c>
      <c r="AL193" s="3" t="str">
        <f aca="false">IF(AB193="Refunded","Yes","No")</f>
        <v>No</v>
      </c>
      <c r="AM193" s="3" t="str">
        <f aca="false">IF(OR(AC193&lt;&gt;"Completed",AB193="Failed"),"Excluded","Included")</f>
        <v>Included</v>
      </c>
      <c r="AN193" s="3" t="str">
        <f aca="false">IF(OR(D193="Invalid/Unrecognized",E193="Invalid/Unrecognized",G193="Invalid - Ship Before Order",X193="Negative - Invalid",X193="Above Allowed Range - Invalid",AG193="Mismatch",AH193="Mismatch",AK193="Conflicting Duplicate - Flagged for Review"),"Invalid",IF(OR(L193="Filled - Unknown",S193="Filled - Unknown",X193="Missing - Defaulted to 0",AL193="Yes",AC193="Cancelled",AC193="Returned"),"Warning","Clean"))</f>
        <v>Invalid</v>
      </c>
    </row>
    <row r="194" customFormat="false" ht="15" hidden="false" customHeight="false" outlineLevel="0" collapsed="false">
      <c r="A194" s="3" t="str">
        <f aca="false">raw_data!A194</f>
        <v>ORD-2024-10193</v>
      </c>
      <c r="B194" s="4" t="n">
        <f aca="false">IFERROR(IF(MID(raw_data!B194,3,1)="/",DATE(VALUE(RIGHT(raw_data!B194,4)),VALUE(LEFT(raw_data!B194,2)),VALUE(MID(raw_data!B194,4,2))),IF(MID(raw_data!B194,3,1)="-",DATE(VALUE(RIGHT(raw_data!B194,4)),VALUE(MID(raw_data!B194,4,2)),VALUE(LEFT(raw_data!B194,2))),IF(MID(raw_data!B194,5,1)="-",DATE(VALUE(LEFT(raw_data!B194,4)),VALUE(MID(raw_data!B194,6,2)),VALUE(RIGHT(raw_data!B194,2))),DATE(VALUE(RIGHT(raw_data!B194,4)),MATCH(MID(raw_data!B194,4,3),{"Jan","Feb","Mar","Apr","May","Jun","Jul","Aug","Sep","Oct","Nov","Dec"},0),VALUE(LEFT(raw_data!B194,2)))))),"")</f>
        <v>45635</v>
      </c>
      <c r="C194" s="4" t="n">
        <f aca="false">IFERROR(IF(MID(raw_data!C194,3,1)="/",DATE(VALUE(RIGHT(raw_data!C194,4)),VALUE(LEFT(raw_data!C194,2)),VALUE(MID(raw_data!C194,4,2))),IF(MID(raw_data!C194,3,1)="-",DATE(VALUE(RIGHT(raw_data!C194,4)),VALUE(MID(raw_data!C194,4,2)),VALUE(LEFT(raw_data!C194,2))),IF(MID(raw_data!C194,5,1)="-",DATE(VALUE(LEFT(raw_data!C194,4)),VALUE(MID(raw_data!C194,6,2)),VALUE(RIGHT(raw_data!C194,2))),DATE(VALUE(RIGHT(raw_data!C194,4)),MATCH(MID(raw_data!C194,4,3),{"Jan","Feb","Mar","Apr","May","Jun","Jul","Aug","Sep","Oct","Nov","Dec"},0),VALUE(LEFT(raw_data!C194,2)))))),"")</f>
        <v>45642</v>
      </c>
      <c r="D194" s="3" t="str">
        <f aca="false">IF(TRIM(raw_data!B194)="","Missing",IF(B194="","Invalid/Unrecognized","Valid"))</f>
        <v>Valid</v>
      </c>
      <c r="E194" s="3" t="str">
        <f aca="false">IF(TRIM(raw_data!C194)="","Missing",IF(C194="","Invalid/Unrecognized","Valid"))</f>
        <v>Valid</v>
      </c>
      <c r="F194" s="5" t="n">
        <f aca="false">IF(OR(B194="",C194=""),"",C194-B194)</f>
        <v>7</v>
      </c>
      <c r="G194" s="3" t="str">
        <f aca="false">IF(F194="","N/A",IF(F194&lt;0,"Invalid - Ship Before Order","OK"))</f>
        <v>OK</v>
      </c>
      <c r="H194" s="3" t="str">
        <f aca="false">raw_data!D194</f>
        <v>CUST-7115</v>
      </c>
      <c r="I194" s="3" t="str">
        <f aca="false">PROPER(TRIM(raw_data!E194))</f>
        <v>Isha Nair</v>
      </c>
      <c r="J194" s="3" t="str">
        <f aca="false">PROPER(TRIM(raw_data!F194))</f>
        <v>Home Office</v>
      </c>
      <c r="K194" s="3" t="str">
        <f aca="false">IF(TRIM(raw_data!G194)="","Unknown",PROPER(TRIM(raw_data!G194)))</f>
        <v>West</v>
      </c>
      <c r="L194" s="3" t="str">
        <f aca="false">IF(TRIM(raw_data!G194)="","Filled - Unknown","OK")</f>
        <v>OK</v>
      </c>
      <c r="M194" s="3" t="str">
        <f aca="false">PROPER(TRIM(raw_data!H194))</f>
        <v>Gujarat</v>
      </c>
      <c r="N194" s="3" t="str">
        <f aca="false">PROPER(TRIM(raw_data!I194))</f>
        <v>Ahmedabad</v>
      </c>
      <c r="O194" s="3" t="str">
        <f aca="false">PROPER(TRIM(raw_data!J194))</f>
        <v>Furniture</v>
      </c>
      <c r="P194" s="3" t="str">
        <f aca="false">PROPER(TRIM(raw_data!K194))</f>
        <v>Chairs</v>
      </c>
      <c r="Q194" s="3" t="str">
        <f aca="false">TRIM(raw_data!L194)</f>
        <v>Eco Chairs 438</v>
      </c>
      <c r="R194" s="3" t="str">
        <f aca="false">IF(TRIM(raw_data!M194)="","Unknown",PROPER(TRIM(raw_data!M194)))</f>
        <v>First Class</v>
      </c>
      <c r="S194" s="3" t="str">
        <f aca="false">IF(TRIM(raw_data!M194)="","Filled - Unknown","OK")</f>
        <v>OK</v>
      </c>
      <c r="T194" s="6" t="n">
        <f aca="false">raw_data!N194</f>
        <v>4</v>
      </c>
      <c r="U194" s="7" t="n">
        <f aca="false">raw_data!O194</f>
        <v>2191.03</v>
      </c>
      <c r="V194" s="8" t="n">
        <f aca="false">raw_data!P194</f>
        <v>0</v>
      </c>
      <c r="W194" s="8" t="n">
        <f aca="false">IF(raw_data!P194="",0,IF(ISTEXT(raw_data!P194),IF(RIGHT(raw_data!P194,1)="%",VALUE(LEFT(raw_data!P194,LEN(raw_data!P194)-1))/100,VALUE(raw_data!P194)),raw_data!P194))</f>
        <v>0</v>
      </c>
      <c r="X194" s="3" t="str">
        <f aca="false">IF(raw_data!P194="","Missing - Defaulted to 0",IF(W194&lt;0,"Negative - Invalid",IF(W194&gt;0.3,"Above Allowed Range - Invalid","Valid")))</f>
        <v>Valid</v>
      </c>
      <c r="Y194" s="7" t="n">
        <f aca="false">raw_data!Q194</f>
        <v>8764.12</v>
      </c>
      <c r="Z194" s="7" t="n">
        <f aca="false">raw_data!R194</f>
        <v>7220.05</v>
      </c>
      <c r="AA194" s="7" t="n">
        <f aca="false">raw_data!S194</f>
        <v>1544.07</v>
      </c>
      <c r="AB194" s="3" t="str">
        <f aca="false">PROPER(TRIM(raw_data!T194))</f>
        <v>Paid</v>
      </c>
      <c r="AC194" s="3" t="str">
        <f aca="false">PROPER(TRIM(raw_data!U194))</f>
        <v>Completed</v>
      </c>
      <c r="AD194" s="7" t="n">
        <f aca="false">T194*U194*(1-W194)</f>
        <v>8764.12</v>
      </c>
      <c r="AE194" s="7" t="n">
        <f aca="false">AD194-Z194</f>
        <v>1544.07</v>
      </c>
      <c r="AF194" s="8" t="n">
        <f aca="false">IF(AD194=0,0,AE194/AD194)</f>
        <v>0.176180837323086</v>
      </c>
      <c r="AG194" s="3" t="str">
        <f aca="false">IF(ABS(Y194-AD194)&gt;1,"Mismatch","OK")</f>
        <v>OK</v>
      </c>
      <c r="AH194" s="3" t="str">
        <f aca="false">IF(ABS(AA194-AE194)&gt;1,"Mismatch","OK")</f>
        <v>OK</v>
      </c>
      <c r="AI194" s="6" t="n">
        <f aca="false">IF(B194="","",MONTH(B194))</f>
        <v>12</v>
      </c>
      <c r="AJ194" s="6" t="n">
        <f aca="false">IF(B194="","",YEAR(B194))</f>
        <v>2024</v>
      </c>
      <c r="AK194" s="3" t="str">
        <f aca="false">IF(COUNTIF(raw_data!$A$2:$A$913,A194)&gt;1,"Conflicting Duplicate - Flagged for Review","Unique")</f>
        <v>Unique</v>
      </c>
      <c r="AL194" s="3" t="str">
        <f aca="false">IF(AB194="Refunded","Yes","No")</f>
        <v>No</v>
      </c>
      <c r="AM194" s="3" t="str">
        <f aca="false">IF(OR(AC194&lt;&gt;"Completed",AB194="Failed"),"Excluded","Included")</f>
        <v>Included</v>
      </c>
      <c r="AN194" s="3" t="str">
        <f aca="false">IF(OR(D194="Invalid/Unrecognized",E194="Invalid/Unrecognized",G194="Invalid - Ship Before Order",X194="Negative - Invalid",X194="Above Allowed Range - Invalid",AG194="Mismatch",AH194="Mismatch",AK194="Conflicting Duplicate - Flagged for Review"),"Invalid",IF(OR(L194="Filled - Unknown",S194="Filled - Unknown",X194="Missing - Defaulted to 0",AL194="Yes",AC194="Cancelled",AC194="Returned"),"Warning","Clean"))</f>
        <v>Clean</v>
      </c>
    </row>
    <row r="195" customFormat="false" ht="15" hidden="false" customHeight="false" outlineLevel="0" collapsed="false">
      <c r="A195" s="3" t="str">
        <f aca="false">raw_data!A195</f>
        <v>ORD-2024-10194</v>
      </c>
      <c r="B195" s="4" t="n">
        <f aca="false">IFERROR(IF(MID(raw_data!B195,3,1)="/",DATE(VALUE(RIGHT(raw_data!B195,4)),VALUE(LEFT(raw_data!B195,2)),VALUE(MID(raw_data!B195,4,2))),IF(MID(raw_data!B195,3,1)="-",DATE(VALUE(RIGHT(raw_data!B195,4)),VALUE(MID(raw_data!B195,4,2)),VALUE(LEFT(raw_data!B195,2))),IF(MID(raw_data!B195,5,1)="-",DATE(VALUE(LEFT(raw_data!B195,4)),VALUE(MID(raw_data!B195,6,2)),VALUE(RIGHT(raw_data!B195,2))),DATE(VALUE(RIGHT(raw_data!B195,4)),MATCH(MID(raw_data!B195,4,3),{"Jan","Feb","Mar","Apr","May","Jun","Jul","Aug","Sep","Oct","Nov","Dec"},0),VALUE(LEFT(raw_data!B195,2)))))),"")</f>
        <v>45466</v>
      </c>
      <c r="C195" s="4" t="n">
        <f aca="false">IFERROR(IF(MID(raw_data!C195,3,1)="/",DATE(VALUE(RIGHT(raw_data!C195,4)),VALUE(LEFT(raw_data!C195,2)),VALUE(MID(raw_data!C195,4,2))),IF(MID(raw_data!C195,3,1)="-",DATE(VALUE(RIGHT(raw_data!C195,4)),VALUE(MID(raw_data!C195,4,2)),VALUE(LEFT(raw_data!C195,2))),IF(MID(raw_data!C195,5,1)="-",DATE(VALUE(LEFT(raw_data!C195,4)),VALUE(MID(raw_data!C195,6,2)),VALUE(RIGHT(raw_data!C195,2))),DATE(VALUE(RIGHT(raw_data!C195,4)),MATCH(MID(raw_data!C195,4,3),{"Jan","Feb","Mar","Apr","May","Jun","Jul","Aug","Sep","Oct","Nov","Dec"},0),VALUE(LEFT(raw_data!C195,2)))))),"")</f>
        <v>45471</v>
      </c>
      <c r="D195" s="3" t="str">
        <f aca="false">IF(TRIM(raw_data!B195)="","Missing",IF(B195="","Invalid/Unrecognized","Valid"))</f>
        <v>Valid</v>
      </c>
      <c r="E195" s="3" t="str">
        <f aca="false">IF(TRIM(raw_data!C195)="","Missing",IF(C195="","Invalid/Unrecognized","Valid"))</f>
        <v>Valid</v>
      </c>
      <c r="F195" s="5" t="n">
        <f aca="false">IF(OR(B195="",C195=""),"",C195-B195)</f>
        <v>5</v>
      </c>
      <c r="G195" s="3" t="str">
        <f aca="false">IF(F195="","N/A",IF(F195&lt;0,"Invalid - Ship Before Order","OK"))</f>
        <v>OK</v>
      </c>
      <c r="H195" s="3" t="str">
        <f aca="false">raw_data!D195</f>
        <v>CUST-9853</v>
      </c>
      <c r="I195" s="3" t="str">
        <f aca="false">PROPER(TRIM(raw_data!E195))</f>
        <v>Priya Menon</v>
      </c>
      <c r="J195" s="3" t="str">
        <f aca="false">PROPER(TRIM(raw_data!F195))</f>
        <v>Small Business</v>
      </c>
      <c r="K195" s="3" t="str">
        <f aca="false">IF(TRIM(raw_data!G195)="","Unknown",PROPER(TRIM(raw_data!G195)))</f>
        <v>North</v>
      </c>
      <c r="L195" s="3" t="str">
        <f aca="false">IF(TRIM(raw_data!G195)="","Filled - Unknown","OK")</f>
        <v>OK</v>
      </c>
      <c r="M195" s="3" t="str">
        <f aca="false">PROPER(TRIM(raw_data!H195))</f>
        <v>Punjab</v>
      </c>
      <c r="N195" s="3" t="str">
        <f aca="false">PROPER(TRIM(raw_data!I195))</f>
        <v>Ludhiana</v>
      </c>
      <c r="O195" s="3" t="str">
        <f aca="false">PROPER(TRIM(raw_data!J195))</f>
        <v>Technology</v>
      </c>
      <c r="P195" s="3" t="str">
        <f aca="false">PROPER(TRIM(raw_data!K195))</f>
        <v>Copiers</v>
      </c>
      <c r="Q195" s="3" t="str">
        <f aca="false">TRIM(raw_data!L195)</f>
        <v>Prime Copiers 142</v>
      </c>
      <c r="R195" s="3" t="str">
        <f aca="false">IF(TRIM(raw_data!M195)="","Unknown",PROPER(TRIM(raw_data!M195)))</f>
        <v>Same Day</v>
      </c>
      <c r="S195" s="3" t="str">
        <f aca="false">IF(TRIM(raw_data!M195)="","Filled - Unknown","OK")</f>
        <v>OK</v>
      </c>
      <c r="T195" s="6" t="n">
        <f aca="false">raw_data!N195</f>
        <v>6</v>
      </c>
      <c r="U195" s="7" t="n">
        <f aca="false">raw_data!O195</f>
        <v>1956.63</v>
      </c>
      <c r="V195" s="8" t="n">
        <f aca="false">raw_data!P195</f>
        <v>0.2</v>
      </c>
      <c r="W195" s="8" t="n">
        <f aca="false">IF(raw_data!P195="",0,IF(ISTEXT(raw_data!P195),IF(RIGHT(raw_data!P195,1)="%",VALUE(LEFT(raw_data!P195,LEN(raw_data!P195)-1))/100,VALUE(raw_data!P195)),raw_data!P195))</f>
        <v>0.2</v>
      </c>
      <c r="X195" s="3" t="str">
        <f aca="false">IF(raw_data!P195="","Missing - Defaulted to 0",IF(W195&lt;0,"Negative - Invalid",IF(W195&gt;0.3,"Above Allowed Range - Invalid","Valid")))</f>
        <v>Valid</v>
      </c>
      <c r="Y195" s="7" t="n">
        <f aca="false">raw_data!Q195</f>
        <v>9391.82</v>
      </c>
      <c r="Z195" s="7" t="n">
        <f aca="false">raw_data!R195</f>
        <v>6013.22</v>
      </c>
      <c r="AA195" s="7" t="n">
        <f aca="false">raw_data!S195</f>
        <v>3378.6</v>
      </c>
      <c r="AB195" s="3" t="str">
        <f aca="false">PROPER(TRIM(raw_data!T195))</f>
        <v>Refunded</v>
      </c>
      <c r="AC195" s="3" t="str">
        <f aca="false">PROPER(TRIM(raw_data!U195))</f>
        <v>Returned</v>
      </c>
      <c r="AD195" s="7" t="n">
        <f aca="false">T195*U195*(1-W195)</f>
        <v>9391.824</v>
      </c>
      <c r="AE195" s="7" t="n">
        <f aca="false">AD195-Z195</f>
        <v>3378.604</v>
      </c>
      <c r="AF195" s="8" t="n">
        <f aca="false">IF(AD195=0,0,AE195/AD195)</f>
        <v>0.359738853709354</v>
      </c>
      <c r="AG195" s="3" t="str">
        <f aca="false">IF(ABS(Y195-AD195)&gt;1,"Mismatch","OK")</f>
        <v>OK</v>
      </c>
      <c r="AH195" s="3" t="str">
        <f aca="false">IF(ABS(AA195-AE195)&gt;1,"Mismatch","OK")</f>
        <v>OK</v>
      </c>
      <c r="AI195" s="6" t="n">
        <f aca="false">IF(B195="","",MONTH(B195))</f>
        <v>6</v>
      </c>
      <c r="AJ195" s="6" t="n">
        <f aca="false">IF(B195="","",YEAR(B195))</f>
        <v>2024</v>
      </c>
      <c r="AK195" s="3" t="str">
        <f aca="false">IF(COUNTIF(raw_data!$A$2:$A$913,A195)&gt;1,"Conflicting Duplicate - Flagged for Review","Unique")</f>
        <v>Unique</v>
      </c>
      <c r="AL195" s="3" t="str">
        <f aca="false">IF(AB195="Refunded","Yes","No")</f>
        <v>Yes</v>
      </c>
      <c r="AM195" s="3" t="str">
        <f aca="false">IF(OR(AC195&lt;&gt;"Completed",AB195="Failed"),"Excluded","Included")</f>
        <v>Excluded</v>
      </c>
      <c r="AN195" s="3" t="str">
        <f aca="false">IF(OR(D195="Invalid/Unrecognized",E195="Invalid/Unrecognized",G195="Invalid - Ship Before Order",X195="Negative - Invalid",X195="Above Allowed Range - Invalid",AG195="Mismatch",AH195="Mismatch",AK195="Conflicting Duplicate - Flagged for Review"),"Invalid",IF(OR(L195="Filled - Unknown",S195="Filled - Unknown",X195="Missing - Defaulted to 0",AL195="Yes",AC195="Cancelled",AC195="Returned"),"Warning","Clean"))</f>
        <v>Warning</v>
      </c>
    </row>
    <row r="196" customFormat="false" ht="15" hidden="false" customHeight="false" outlineLevel="0" collapsed="false">
      <c r="A196" s="3" t="str">
        <f aca="false">raw_data!A196</f>
        <v>ORD-2025-10195</v>
      </c>
      <c r="B196" s="4" t="n">
        <f aca="false">IFERROR(IF(MID(raw_data!B196,3,1)="/",DATE(VALUE(RIGHT(raw_data!B196,4)),VALUE(LEFT(raw_data!B196,2)),VALUE(MID(raw_data!B196,4,2))),IF(MID(raw_data!B196,3,1)="-",DATE(VALUE(RIGHT(raw_data!B196,4)),VALUE(MID(raw_data!B196,4,2)),VALUE(LEFT(raw_data!B196,2))),IF(MID(raw_data!B196,5,1)="-",DATE(VALUE(LEFT(raw_data!B196,4)),VALUE(MID(raw_data!B196,6,2)),VALUE(RIGHT(raw_data!B196,2))),DATE(VALUE(RIGHT(raw_data!B196,4)),MATCH(MID(raw_data!B196,4,3),{"Jan","Feb","Mar","Apr","May","Jun","Jul","Aug","Sep","Oct","Nov","Dec"},0),VALUE(LEFT(raw_data!B196,2)))))),"")</f>
        <v>45685</v>
      </c>
      <c r="C196" s="4" t="n">
        <f aca="false">IFERROR(IF(MID(raw_data!C196,3,1)="/",DATE(VALUE(RIGHT(raw_data!C196,4)),VALUE(LEFT(raw_data!C196,2)),VALUE(MID(raw_data!C196,4,2))),IF(MID(raw_data!C196,3,1)="-",DATE(VALUE(RIGHT(raw_data!C196,4)),VALUE(MID(raw_data!C196,4,2)),VALUE(LEFT(raw_data!C196,2))),IF(MID(raw_data!C196,5,1)="-",DATE(VALUE(LEFT(raw_data!C196,4)),VALUE(MID(raw_data!C196,6,2)),VALUE(RIGHT(raw_data!C196,2))),DATE(VALUE(RIGHT(raw_data!C196,4)),MATCH(MID(raw_data!C196,4,3),{"Jan","Feb","Mar","Apr","May","Jun","Jul","Aug","Sep","Oct","Nov","Dec"},0),VALUE(LEFT(raw_data!C196,2)))))),"")</f>
        <v>45688</v>
      </c>
      <c r="D196" s="3" t="str">
        <f aca="false">IF(TRIM(raw_data!B196)="","Missing",IF(B196="","Invalid/Unrecognized","Valid"))</f>
        <v>Valid</v>
      </c>
      <c r="E196" s="3" t="str">
        <f aca="false">IF(TRIM(raw_data!C196)="","Missing",IF(C196="","Invalid/Unrecognized","Valid"))</f>
        <v>Valid</v>
      </c>
      <c r="F196" s="5" t="n">
        <f aca="false">IF(OR(B196="",C196=""),"",C196-B196)</f>
        <v>3</v>
      </c>
      <c r="G196" s="3" t="str">
        <f aca="false">IF(F196="","N/A",IF(F196&lt;0,"Invalid - Ship Before Order","OK"))</f>
        <v>OK</v>
      </c>
      <c r="H196" s="3" t="str">
        <f aca="false">raw_data!D196</f>
        <v>CUST-3637</v>
      </c>
      <c r="I196" s="3" t="str">
        <f aca="false">PROPER(TRIM(raw_data!E196))</f>
        <v>Priya Menon</v>
      </c>
      <c r="J196" s="3" t="str">
        <f aca="false">PROPER(TRIM(raw_data!F196))</f>
        <v>Consumer</v>
      </c>
      <c r="K196" s="3" t="str">
        <f aca="false">IF(TRIM(raw_data!G196)="","Unknown",PROPER(TRIM(raw_data!G196)))</f>
        <v>West</v>
      </c>
      <c r="L196" s="3" t="str">
        <f aca="false">IF(TRIM(raw_data!G196)="","Filled - Unknown","OK")</f>
        <v>OK</v>
      </c>
      <c r="M196" s="3" t="str">
        <f aca="false">PROPER(TRIM(raw_data!H196))</f>
        <v>Maharashtra</v>
      </c>
      <c r="N196" s="3" t="str">
        <f aca="false">PROPER(TRIM(raw_data!I196))</f>
        <v>Mumbai</v>
      </c>
      <c r="O196" s="3" t="str">
        <f aca="false">PROPER(TRIM(raw_data!J196))</f>
        <v>Furniture</v>
      </c>
      <c r="P196" s="3" t="str">
        <f aca="false">PROPER(TRIM(raw_data!K196))</f>
        <v>Furnishings</v>
      </c>
      <c r="Q196" s="3" t="str">
        <f aca="false">TRIM(raw_data!L196)</f>
        <v>Prime Furnishings 433</v>
      </c>
      <c r="R196" s="3" t="str">
        <f aca="false">IF(TRIM(raw_data!M196)="","Unknown",PROPER(TRIM(raw_data!M196)))</f>
        <v>First Class</v>
      </c>
      <c r="S196" s="3" t="str">
        <f aca="false">IF(TRIM(raw_data!M196)="","Filled - Unknown","OK")</f>
        <v>OK</v>
      </c>
      <c r="T196" s="6" t="n">
        <f aca="false">raw_data!N196</f>
        <v>9</v>
      </c>
      <c r="U196" s="7" t="n">
        <f aca="false">raw_data!O196</f>
        <v>858.39</v>
      </c>
      <c r="V196" s="8" t="n">
        <f aca="false">raw_data!P196</f>
        <v>0.05</v>
      </c>
      <c r="W196" s="8" t="n">
        <f aca="false">IF(raw_data!P196="",0,IF(ISTEXT(raw_data!P196),IF(RIGHT(raw_data!P196,1)="%",VALUE(LEFT(raw_data!P196,LEN(raw_data!P196)-1))/100,VALUE(raw_data!P196)),raw_data!P196))</f>
        <v>0.05</v>
      </c>
      <c r="X196" s="3" t="str">
        <f aca="false">IF(raw_data!P196="","Missing - Defaulted to 0",IF(W196&lt;0,"Negative - Invalid",IF(W196&gt;0.3,"Above Allowed Range - Invalid","Valid")))</f>
        <v>Valid</v>
      </c>
      <c r="Y196" s="7" t="n">
        <f aca="false">raw_data!Q196</f>
        <v>7339.23</v>
      </c>
      <c r="Z196" s="7" t="n">
        <f aca="false">raw_data!R196</f>
        <v>5434.12</v>
      </c>
      <c r="AA196" s="7" t="n">
        <f aca="false">raw_data!S196</f>
        <v>1905.11</v>
      </c>
      <c r="AB196" s="3" t="str">
        <f aca="false">PROPER(TRIM(raw_data!T196))</f>
        <v>Pending</v>
      </c>
      <c r="AC196" s="3" t="str">
        <f aca="false">PROPER(TRIM(raw_data!U196))</f>
        <v>Returned</v>
      </c>
      <c r="AD196" s="7" t="n">
        <f aca="false">T196*U196*(1-W196)</f>
        <v>7339.2345</v>
      </c>
      <c r="AE196" s="7" t="n">
        <f aca="false">AD196-Z196</f>
        <v>1905.1145</v>
      </c>
      <c r="AF196" s="8" t="n">
        <f aca="false">IF(AD196=0,0,AE196/AD196)</f>
        <v>0.259579456140828</v>
      </c>
      <c r="AG196" s="3" t="str">
        <f aca="false">IF(ABS(Y196-AD196)&gt;1,"Mismatch","OK")</f>
        <v>OK</v>
      </c>
      <c r="AH196" s="3" t="str">
        <f aca="false">IF(ABS(AA196-AE196)&gt;1,"Mismatch","OK")</f>
        <v>OK</v>
      </c>
      <c r="AI196" s="6" t="n">
        <f aca="false">IF(B196="","",MONTH(B196))</f>
        <v>1</v>
      </c>
      <c r="AJ196" s="6" t="n">
        <f aca="false">IF(B196="","",YEAR(B196))</f>
        <v>2025</v>
      </c>
      <c r="AK196" s="3" t="str">
        <f aca="false">IF(COUNTIF(raw_data!$A$2:$A$913,A196)&gt;1,"Conflicting Duplicate - Flagged for Review","Unique")</f>
        <v>Unique</v>
      </c>
      <c r="AL196" s="3" t="str">
        <f aca="false">IF(AB196="Refunded","Yes","No")</f>
        <v>No</v>
      </c>
      <c r="AM196" s="3" t="str">
        <f aca="false">IF(OR(AC196&lt;&gt;"Completed",AB196="Failed"),"Excluded","Included")</f>
        <v>Excluded</v>
      </c>
      <c r="AN196" s="3" t="str">
        <f aca="false">IF(OR(D196="Invalid/Unrecognized",E196="Invalid/Unrecognized",G196="Invalid - Ship Before Order",X196="Negative - Invalid",X196="Above Allowed Range - Invalid",AG196="Mismatch",AH196="Mismatch",AK196="Conflicting Duplicate - Flagged for Review"),"Invalid",IF(OR(L196="Filled - Unknown",S196="Filled - Unknown",X196="Missing - Defaulted to 0",AL196="Yes",AC196="Cancelled",AC196="Returned"),"Warning","Clean"))</f>
        <v>Warning</v>
      </c>
    </row>
    <row r="197" customFormat="false" ht="15" hidden="false" customHeight="false" outlineLevel="0" collapsed="false">
      <c r="A197" s="3" t="str">
        <f aca="false">raw_data!A197</f>
        <v>ORD-2025-10196</v>
      </c>
      <c r="B197" s="4" t="n">
        <f aca="false">IFERROR(IF(MID(raw_data!B197,3,1)="/",DATE(VALUE(RIGHT(raw_data!B197,4)),VALUE(LEFT(raw_data!B197,2)),VALUE(MID(raw_data!B197,4,2))),IF(MID(raw_data!B197,3,1)="-",DATE(VALUE(RIGHT(raw_data!B197,4)),VALUE(MID(raw_data!B197,4,2)),VALUE(LEFT(raw_data!B197,2))),IF(MID(raw_data!B197,5,1)="-",DATE(VALUE(LEFT(raw_data!B197,4)),VALUE(MID(raw_data!B197,6,2)),VALUE(RIGHT(raw_data!B197,2))),DATE(VALUE(RIGHT(raw_data!B197,4)),MATCH(MID(raw_data!B197,4,3),{"Jan","Feb","Mar","Apr","May","Jun","Jul","Aug","Sep","Oct","Nov","Dec"},0),VALUE(LEFT(raw_data!B197,2)))))),"")</f>
        <v>45860</v>
      </c>
      <c r="C197" s="4" t="n">
        <f aca="false">IFERROR(IF(MID(raw_data!C197,3,1)="/",DATE(VALUE(RIGHT(raw_data!C197,4)),VALUE(LEFT(raw_data!C197,2)),VALUE(MID(raw_data!C197,4,2))),IF(MID(raw_data!C197,3,1)="-",DATE(VALUE(RIGHT(raw_data!C197,4)),VALUE(MID(raw_data!C197,4,2)),VALUE(LEFT(raw_data!C197,2))),IF(MID(raw_data!C197,5,1)="-",DATE(VALUE(LEFT(raw_data!C197,4)),VALUE(MID(raw_data!C197,6,2)),VALUE(RIGHT(raw_data!C197,2))),DATE(VALUE(RIGHT(raw_data!C197,4)),MATCH(MID(raw_data!C197,4,3),{"Jan","Feb","Mar","Apr","May","Jun","Jul","Aug","Sep","Oct","Nov","Dec"},0),VALUE(LEFT(raw_data!C197,2)))))),"")</f>
        <v>45862</v>
      </c>
      <c r="D197" s="3" t="str">
        <f aca="false">IF(TRIM(raw_data!B197)="","Missing",IF(B197="","Invalid/Unrecognized","Valid"))</f>
        <v>Valid</v>
      </c>
      <c r="E197" s="3" t="str">
        <f aca="false">IF(TRIM(raw_data!C197)="","Missing",IF(C197="","Invalid/Unrecognized","Valid"))</f>
        <v>Valid</v>
      </c>
      <c r="F197" s="5" t="n">
        <f aca="false">IF(OR(B197="",C197=""),"",C197-B197)</f>
        <v>2</v>
      </c>
      <c r="G197" s="3" t="str">
        <f aca="false">IF(F197="","N/A",IF(F197&lt;0,"Invalid - Ship Before Order","OK"))</f>
        <v>OK</v>
      </c>
      <c r="H197" s="3" t="str">
        <f aca="false">raw_data!D197</f>
        <v>CUST-4328</v>
      </c>
      <c r="I197" s="3" t="str">
        <f aca="false">PROPER(TRIM(raw_data!E197))</f>
        <v>Neha Gupta</v>
      </c>
      <c r="J197" s="3" t="str">
        <f aca="false">PROPER(TRIM(raw_data!F197))</f>
        <v>Home Office</v>
      </c>
      <c r="K197" s="3" t="str">
        <f aca="false">IF(TRIM(raw_data!G197)="","Unknown",PROPER(TRIM(raw_data!G197)))</f>
        <v>South</v>
      </c>
      <c r="L197" s="3" t="str">
        <f aca="false">IF(TRIM(raw_data!G197)="","Filled - Unknown","OK")</f>
        <v>OK</v>
      </c>
      <c r="M197" s="3" t="str">
        <f aca="false">PROPER(TRIM(raw_data!H197))</f>
        <v>Andhra Pradesh</v>
      </c>
      <c r="N197" s="3" t="str">
        <f aca="false">PROPER(TRIM(raw_data!I197))</f>
        <v>Vijayawada</v>
      </c>
      <c r="O197" s="3" t="str">
        <f aca="false">PROPER(TRIM(raw_data!J197))</f>
        <v>Furniture</v>
      </c>
      <c r="P197" s="3" t="str">
        <f aca="false">PROPER(TRIM(raw_data!K197))</f>
        <v>Furnishings</v>
      </c>
      <c r="Q197" s="3" t="str">
        <f aca="false">TRIM(raw_data!L197)</f>
        <v>Smart Furnishings 685</v>
      </c>
      <c r="R197" s="3" t="str">
        <f aca="false">IF(TRIM(raw_data!M197)="","Unknown",PROPER(TRIM(raw_data!M197)))</f>
        <v>Same Day</v>
      </c>
      <c r="S197" s="3" t="str">
        <f aca="false">IF(TRIM(raw_data!M197)="","Filled - Unknown","OK")</f>
        <v>OK</v>
      </c>
      <c r="T197" s="6" t="n">
        <f aca="false">raw_data!N197</f>
        <v>5</v>
      </c>
      <c r="U197" s="7" t="n">
        <f aca="false">raw_data!O197</f>
        <v>1922.83</v>
      </c>
      <c r="V197" s="8" t="n">
        <f aca="false">raw_data!P197</f>
        <v>0</v>
      </c>
      <c r="W197" s="8" t="n">
        <f aca="false">IF(raw_data!P197="",0,IF(ISTEXT(raw_data!P197),IF(RIGHT(raw_data!P197,1)="%",VALUE(LEFT(raw_data!P197,LEN(raw_data!P197)-1))/100,VALUE(raw_data!P197)),raw_data!P197))</f>
        <v>0</v>
      </c>
      <c r="X197" s="3" t="str">
        <f aca="false">IF(raw_data!P197="","Missing - Defaulted to 0",IF(W197&lt;0,"Negative - Invalid",IF(W197&gt;0.3,"Above Allowed Range - Invalid","Valid")))</f>
        <v>Valid</v>
      </c>
      <c r="Y197" s="7" t="n">
        <f aca="false">raw_data!Q197</f>
        <v>9614.15</v>
      </c>
      <c r="Z197" s="7" t="n">
        <f aca="false">raw_data!R197</f>
        <v>7576.84</v>
      </c>
      <c r="AA197" s="7" t="n">
        <f aca="false">raw_data!S197</f>
        <v>2037.31</v>
      </c>
      <c r="AB197" s="3" t="str">
        <f aca="false">PROPER(TRIM(raw_data!T197))</f>
        <v>Paid</v>
      </c>
      <c r="AC197" s="3" t="str">
        <f aca="false">PROPER(TRIM(raw_data!U197))</f>
        <v>Completed</v>
      </c>
      <c r="AD197" s="7" t="n">
        <f aca="false">T197*U197*(1-W197)</f>
        <v>9614.15</v>
      </c>
      <c r="AE197" s="7" t="n">
        <f aca="false">AD197-Z197</f>
        <v>2037.31</v>
      </c>
      <c r="AF197" s="8" t="n">
        <f aca="false">IF(AD197=0,0,AE197/AD197)</f>
        <v>0.211907448916441</v>
      </c>
      <c r="AG197" s="3" t="str">
        <f aca="false">IF(ABS(Y197-AD197)&gt;1,"Mismatch","OK")</f>
        <v>OK</v>
      </c>
      <c r="AH197" s="3" t="str">
        <f aca="false">IF(ABS(AA197-AE197)&gt;1,"Mismatch","OK")</f>
        <v>OK</v>
      </c>
      <c r="AI197" s="6" t="n">
        <f aca="false">IF(B197="","",MONTH(B197))</f>
        <v>7</v>
      </c>
      <c r="AJ197" s="6" t="n">
        <f aca="false">IF(B197="","",YEAR(B197))</f>
        <v>2025</v>
      </c>
      <c r="AK197" s="3" t="str">
        <f aca="false">IF(COUNTIF(raw_data!$A$2:$A$913,A197)&gt;1,"Conflicting Duplicate - Flagged for Review","Unique")</f>
        <v>Unique</v>
      </c>
      <c r="AL197" s="3" t="str">
        <f aca="false">IF(AB197="Refunded","Yes","No")</f>
        <v>No</v>
      </c>
      <c r="AM197" s="3" t="str">
        <f aca="false">IF(OR(AC197&lt;&gt;"Completed",AB197="Failed"),"Excluded","Included")</f>
        <v>Included</v>
      </c>
      <c r="AN197" s="3" t="str">
        <f aca="false">IF(OR(D197="Invalid/Unrecognized",E197="Invalid/Unrecognized",G197="Invalid - Ship Before Order",X197="Negative - Invalid",X197="Above Allowed Range - Invalid",AG197="Mismatch",AH197="Mismatch",AK197="Conflicting Duplicate - Flagged for Review"),"Invalid",IF(OR(L197="Filled - Unknown",S197="Filled - Unknown",X197="Missing - Defaulted to 0",AL197="Yes",AC197="Cancelled",AC197="Returned"),"Warning","Clean"))</f>
        <v>Clean</v>
      </c>
    </row>
    <row r="198" customFormat="false" ht="15" hidden="false" customHeight="false" outlineLevel="0" collapsed="false">
      <c r="A198" s="3" t="str">
        <f aca="false">raw_data!A198</f>
        <v>ORD-2024-10197</v>
      </c>
      <c r="B198" s="4" t="n">
        <f aca="false">IFERROR(IF(MID(raw_data!B198,3,1)="/",DATE(VALUE(RIGHT(raw_data!B198,4)),VALUE(LEFT(raw_data!B198,2)),VALUE(MID(raw_data!B198,4,2))),IF(MID(raw_data!B198,3,1)="-",DATE(VALUE(RIGHT(raw_data!B198,4)),VALUE(MID(raw_data!B198,4,2)),VALUE(LEFT(raw_data!B198,2))),IF(MID(raw_data!B198,5,1)="-",DATE(VALUE(LEFT(raw_data!B198,4)),VALUE(MID(raw_data!B198,6,2)),VALUE(RIGHT(raw_data!B198,2))),DATE(VALUE(RIGHT(raw_data!B198,4)),MATCH(MID(raw_data!B198,4,3),{"Jan","Feb","Mar","Apr","May","Jun","Jul","Aug","Sep","Oct","Nov","Dec"},0),VALUE(LEFT(raw_data!B198,2)))))),"")</f>
        <v>45313</v>
      </c>
      <c r="C198" s="4" t="n">
        <f aca="false">IFERROR(IF(MID(raw_data!C198,3,1)="/",DATE(VALUE(RIGHT(raw_data!C198,4)),VALUE(LEFT(raw_data!C198,2)),VALUE(MID(raw_data!C198,4,2))),IF(MID(raw_data!C198,3,1)="-",DATE(VALUE(RIGHT(raw_data!C198,4)),VALUE(MID(raw_data!C198,4,2)),VALUE(LEFT(raw_data!C198,2))),IF(MID(raw_data!C198,5,1)="-",DATE(VALUE(LEFT(raw_data!C198,4)),VALUE(MID(raw_data!C198,6,2)),VALUE(RIGHT(raw_data!C198,2))),DATE(VALUE(RIGHT(raw_data!C198,4)),MATCH(MID(raw_data!C198,4,3),{"Jan","Feb","Mar","Apr","May","Jun","Jul","Aug","Sep","Oct","Nov","Dec"},0),VALUE(LEFT(raw_data!C198,2)))))),"")</f>
        <v>45316</v>
      </c>
      <c r="D198" s="3" t="str">
        <f aca="false">IF(TRIM(raw_data!B198)="","Missing",IF(B198="","Invalid/Unrecognized","Valid"))</f>
        <v>Valid</v>
      </c>
      <c r="E198" s="3" t="str">
        <f aca="false">IF(TRIM(raw_data!C198)="","Missing",IF(C198="","Invalid/Unrecognized","Valid"))</f>
        <v>Valid</v>
      </c>
      <c r="F198" s="5" t="n">
        <f aca="false">IF(OR(B198="",C198=""),"",C198-B198)</f>
        <v>3</v>
      </c>
      <c r="G198" s="3" t="str">
        <f aca="false">IF(F198="","N/A",IF(F198&lt;0,"Invalid - Ship Before Order","OK"))</f>
        <v>OK</v>
      </c>
      <c r="H198" s="3" t="str">
        <f aca="false">raw_data!D198</f>
        <v>CUST-8028</v>
      </c>
      <c r="I198" s="3" t="str">
        <f aca="false">PROPER(TRIM(raw_data!E198))</f>
        <v>Kabir Singh</v>
      </c>
      <c r="J198" s="3" t="str">
        <f aca="false">PROPER(TRIM(raw_data!F198))</f>
        <v>Home Office</v>
      </c>
      <c r="K198" s="3" t="str">
        <f aca="false">IF(TRIM(raw_data!G198)="","Unknown",PROPER(TRIM(raw_data!G198)))</f>
        <v>North</v>
      </c>
      <c r="L198" s="3" t="str">
        <f aca="false">IF(TRIM(raw_data!G198)="","Filled - Unknown","OK")</f>
        <v>OK</v>
      </c>
      <c r="M198" s="3" t="str">
        <f aca="false">PROPER(TRIM(raw_data!H198))</f>
        <v>Uttar Pradesh</v>
      </c>
      <c r="N198" s="3" t="str">
        <f aca="false">PROPER(TRIM(raw_data!I198))</f>
        <v>Noida</v>
      </c>
      <c r="O198" s="3" t="str">
        <f aca="false">PROPER(TRIM(raw_data!J198))</f>
        <v>Office Supplies</v>
      </c>
      <c r="P198" s="3" t="str">
        <f aca="false">PROPER(TRIM(raw_data!K198))</f>
        <v>Storage</v>
      </c>
      <c r="Q198" s="3" t="str">
        <f aca="false">TRIM(raw_data!L198)</f>
        <v>Elite Storage 915</v>
      </c>
      <c r="R198" s="3" t="str">
        <f aca="false">IF(TRIM(raw_data!M198)="","Unknown",PROPER(TRIM(raw_data!M198)))</f>
        <v>First Class</v>
      </c>
      <c r="S198" s="3" t="str">
        <f aca="false">IF(TRIM(raw_data!M198)="","Filled - Unknown","OK")</f>
        <v>OK</v>
      </c>
      <c r="T198" s="6" t="n">
        <f aca="false">raw_data!N198</f>
        <v>3</v>
      </c>
      <c r="U198" s="7" t="n">
        <f aca="false">raw_data!O198</f>
        <v>1212.03</v>
      </c>
      <c r="V198" s="8" t="n">
        <f aca="false">raw_data!P198</f>
        <v>0.1</v>
      </c>
      <c r="W198" s="8" t="n">
        <f aca="false">IF(raw_data!P198="",0,IF(ISTEXT(raw_data!P198),IF(RIGHT(raw_data!P198,1)="%",VALUE(LEFT(raw_data!P198,LEN(raw_data!P198)-1))/100,VALUE(raw_data!P198)),raw_data!P198))</f>
        <v>0.1</v>
      </c>
      <c r="X198" s="3" t="str">
        <f aca="false">IF(raw_data!P198="","Missing - Defaulted to 0",IF(W198&lt;0,"Negative - Invalid",IF(W198&gt;0.3,"Above Allowed Range - Invalid","Valid")))</f>
        <v>Valid</v>
      </c>
      <c r="Y198" s="7" t="n">
        <f aca="false">raw_data!Q198</f>
        <v>3272.48</v>
      </c>
      <c r="Z198" s="7" t="n">
        <f aca="false">raw_data!R198</f>
        <v>2517.44</v>
      </c>
      <c r="AA198" s="7" t="n">
        <f aca="false">raw_data!S198</f>
        <v>755.04</v>
      </c>
      <c r="AB198" s="3" t="str">
        <f aca="false">PROPER(TRIM(raw_data!T198))</f>
        <v>Paid</v>
      </c>
      <c r="AC198" s="3" t="str">
        <f aca="false">PROPER(TRIM(raw_data!U198))</f>
        <v>Completed</v>
      </c>
      <c r="AD198" s="7" t="n">
        <f aca="false">T198*U198*(1-W198)</f>
        <v>3272.481</v>
      </c>
      <c r="AE198" s="7" t="n">
        <f aca="false">AD198-Z198</f>
        <v>755.041</v>
      </c>
      <c r="AF198" s="8" t="n">
        <f aca="false">IF(AD198=0,0,AE198/AD198)</f>
        <v>0.230724334228373</v>
      </c>
      <c r="AG198" s="3" t="str">
        <f aca="false">IF(ABS(Y198-AD198)&gt;1,"Mismatch","OK")</f>
        <v>OK</v>
      </c>
      <c r="AH198" s="3" t="str">
        <f aca="false">IF(ABS(AA198-AE198)&gt;1,"Mismatch","OK")</f>
        <v>OK</v>
      </c>
      <c r="AI198" s="6" t="n">
        <f aca="false">IF(B198="","",MONTH(B198))</f>
        <v>1</v>
      </c>
      <c r="AJ198" s="6" t="n">
        <f aca="false">IF(B198="","",YEAR(B198))</f>
        <v>2024</v>
      </c>
      <c r="AK198" s="3" t="str">
        <f aca="false">IF(COUNTIF(raw_data!$A$2:$A$913,A198)&gt;1,"Conflicting Duplicate - Flagged for Review","Unique")</f>
        <v>Unique</v>
      </c>
      <c r="AL198" s="3" t="str">
        <f aca="false">IF(AB198="Refunded","Yes","No")</f>
        <v>No</v>
      </c>
      <c r="AM198" s="3" t="str">
        <f aca="false">IF(OR(AC198&lt;&gt;"Completed",AB198="Failed"),"Excluded","Included")</f>
        <v>Included</v>
      </c>
      <c r="AN198" s="3" t="str">
        <f aca="false">IF(OR(D198="Invalid/Unrecognized",E198="Invalid/Unrecognized",G198="Invalid - Ship Before Order",X198="Negative - Invalid",X198="Above Allowed Range - Invalid",AG198="Mismatch",AH198="Mismatch",AK198="Conflicting Duplicate - Flagged for Review"),"Invalid",IF(OR(L198="Filled - Unknown",S198="Filled - Unknown",X198="Missing - Defaulted to 0",AL198="Yes",AC198="Cancelled",AC198="Returned"),"Warning","Clean"))</f>
        <v>Clean</v>
      </c>
    </row>
    <row r="199" customFormat="false" ht="15" hidden="false" customHeight="false" outlineLevel="0" collapsed="false">
      <c r="A199" s="3" t="str">
        <f aca="false">raw_data!A199</f>
        <v>ORD-2025-10198</v>
      </c>
      <c r="B199" s="4" t="n">
        <f aca="false">IFERROR(IF(MID(raw_data!B199,3,1)="/",DATE(VALUE(RIGHT(raw_data!B199,4)),VALUE(LEFT(raw_data!B199,2)),VALUE(MID(raw_data!B199,4,2))),IF(MID(raw_data!B199,3,1)="-",DATE(VALUE(RIGHT(raw_data!B199,4)),VALUE(MID(raw_data!B199,4,2)),VALUE(LEFT(raw_data!B199,2))),IF(MID(raw_data!B199,5,1)="-",DATE(VALUE(LEFT(raw_data!B199,4)),VALUE(MID(raw_data!B199,6,2)),VALUE(RIGHT(raw_data!B199,2))),DATE(VALUE(RIGHT(raw_data!B199,4)),MATCH(MID(raw_data!B199,4,3),{"Jan","Feb","Mar","Apr","May","Jun","Jul","Aug","Sep","Oct","Nov","Dec"},0),VALUE(LEFT(raw_data!B199,2)))))),"")</f>
        <v>45747</v>
      </c>
      <c r="C199" s="4" t="n">
        <f aca="false">IFERROR(IF(MID(raw_data!C199,3,1)="/",DATE(VALUE(RIGHT(raw_data!C199,4)),VALUE(LEFT(raw_data!C199,2)),VALUE(MID(raw_data!C199,4,2))),IF(MID(raw_data!C199,3,1)="-",DATE(VALUE(RIGHT(raw_data!C199,4)),VALUE(MID(raw_data!C199,4,2)),VALUE(LEFT(raw_data!C199,2))),IF(MID(raw_data!C199,5,1)="-",DATE(VALUE(LEFT(raw_data!C199,4)),VALUE(MID(raw_data!C199,6,2)),VALUE(RIGHT(raw_data!C199,2))),DATE(VALUE(RIGHT(raw_data!C199,4)),MATCH(MID(raw_data!C199,4,3),{"Jan","Feb","Mar","Apr","May","Jun","Jul","Aug","Sep","Oct","Nov","Dec"},0),VALUE(LEFT(raw_data!C199,2)))))),"")</f>
        <v>45754</v>
      </c>
      <c r="D199" s="3" t="str">
        <f aca="false">IF(TRIM(raw_data!B199)="","Missing",IF(B199="","Invalid/Unrecognized","Valid"))</f>
        <v>Valid</v>
      </c>
      <c r="E199" s="3" t="str">
        <f aca="false">IF(TRIM(raw_data!C199)="","Missing",IF(C199="","Invalid/Unrecognized","Valid"))</f>
        <v>Valid</v>
      </c>
      <c r="F199" s="5" t="n">
        <f aca="false">IF(OR(B199="",C199=""),"",C199-B199)</f>
        <v>7</v>
      </c>
      <c r="G199" s="3" t="str">
        <f aca="false">IF(F199="","N/A",IF(F199&lt;0,"Invalid - Ship Before Order","OK"))</f>
        <v>OK</v>
      </c>
      <c r="H199" s="3" t="str">
        <f aca="false">raw_data!D199</f>
        <v>CUST-6106</v>
      </c>
      <c r="I199" s="3" t="str">
        <f aca="false">PROPER(TRIM(raw_data!E199))</f>
        <v>Rahul Verma</v>
      </c>
      <c r="J199" s="3" t="str">
        <f aca="false">PROPER(TRIM(raw_data!F199))</f>
        <v>Small Business</v>
      </c>
      <c r="K199" s="3" t="str">
        <f aca="false">IF(TRIM(raw_data!G199)="","Unknown",PROPER(TRIM(raw_data!G199)))</f>
        <v>East</v>
      </c>
      <c r="L199" s="3" t="str">
        <f aca="false">IF(TRIM(raw_data!G199)="","Filled - Unknown","OK")</f>
        <v>OK</v>
      </c>
      <c r="M199" s="3" t="str">
        <f aca="false">PROPER(TRIM(raw_data!H199))</f>
        <v>Bihar</v>
      </c>
      <c r="N199" s="3" t="str">
        <f aca="false">PROPER(TRIM(raw_data!I199))</f>
        <v>Patna</v>
      </c>
      <c r="O199" s="3" t="str">
        <f aca="false">PROPER(TRIM(raw_data!J199))</f>
        <v>Office Supplies</v>
      </c>
      <c r="P199" s="3" t="str">
        <f aca="false">PROPER(TRIM(raw_data!K199))</f>
        <v>Storage</v>
      </c>
      <c r="Q199" s="3" t="str">
        <f aca="false">TRIM(raw_data!L199)</f>
        <v>Basic Storage 961</v>
      </c>
      <c r="R199" s="3" t="str">
        <f aca="false">IF(TRIM(raw_data!M199)="","Unknown",PROPER(TRIM(raw_data!M199)))</f>
        <v>Second Class</v>
      </c>
      <c r="S199" s="3" t="str">
        <f aca="false">IF(TRIM(raw_data!M199)="","Filled - Unknown","OK")</f>
        <v>OK</v>
      </c>
      <c r="T199" s="6" t="n">
        <f aca="false">raw_data!N199</f>
        <v>5</v>
      </c>
      <c r="U199" s="7" t="n">
        <f aca="false">raw_data!O199</f>
        <v>4096.44</v>
      </c>
      <c r="V199" s="8" t="n">
        <f aca="false">raw_data!P199</f>
        <v>0.15</v>
      </c>
      <c r="W199" s="8" t="n">
        <f aca="false">IF(raw_data!P199="",0,IF(ISTEXT(raw_data!P199),IF(RIGHT(raw_data!P199,1)="%",VALUE(LEFT(raw_data!P199,LEN(raw_data!P199)-1))/100,VALUE(raw_data!P199)),raw_data!P199))</f>
        <v>0.15</v>
      </c>
      <c r="X199" s="3" t="str">
        <f aca="false">IF(raw_data!P199="","Missing - Defaulted to 0",IF(W199&lt;0,"Negative - Invalid",IF(W199&gt;0.3,"Above Allowed Range - Invalid","Valid")))</f>
        <v>Valid</v>
      </c>
      <c r="Y199" s="7" t="n">
        <f aca="false">raw_data!Q199</f>
        <v>17409.87</v>
      </c>
      <c r="Z199" s="7" t="n">
        <f aca="false">raw_data!R199</f>
        <v>14076.25</v>
      </c>
      <c r="AA199" s="7" t="n">
        <f aca="false">raw_data!S199</f>
        <v>3333.62</v>
      </c>
      <c r="AB199" s="3" t="str">
        <f aca="false">PROPER(TRIM(raw_data!T199))</f>
        <v>Paid</v>
      </c>
      <c r="AC199" s="3" t="str">
        <f aca="false">PROPER(TRIM(raw_data!U199))</f>
        <v>Completed</v>
      </c>
      <c r="AD199" s="7" t="n">
        <f aca="false">T199*U199*(1-W199)</f>
        <v>17409.87</v>
      </c>
      <c r="AE199" s="7" t="n">
        <f aca="false">AD199-Z199</f>
        <v>3333.62</v>
      </c>
      <c r="AF199" s="8" t="n">
        <f aca="false">IF(AD199=0,0,AE199/AD199)</f>
        <v>0.191478741656313</v>
      </c>
      <c r="AG199" s="3" t="str">
        <f aca="false">IF(ABS(Y199-AD199)&gt;1,"Mismatch","OK")</f>
        <v>OK</v>
      </c>
      <c r="AH199" s="3" t="str">
        <f aca="false">IF(ABS(AA199-AE199)&gt;1,"Mismatch","OK")</f>
        <v>OK</v>
      </c>
      <c r="AI199" s="6" t="n">
        <f aca="false">IF(B199="","",MONTH(B199))</f>
        <v>3</v>
      </c>
      <c r="AJ199" s="6" t="n">
        <f aca="false">IF(B199="","",YEAR(B199))</f>
        <v>2025</v>
      </c>
      <c r="AK199" s="3" t="str">
        <f aca="false">IF(COUNTIF(raw_data!$A$2:$A$913,A199)&gt;1,"Conflicting Duplicate - Flagged for Review","Unique")</f>
        <v>Unique</v>
      </c>
      <c r="AL199" s="3" t="str">
        <f aca="false">IF(AB199="Refunded","Yes","No")</f>
        <v>No</v>
      </c>
      <c r="AM199" s="3" t="str">
        <f aca="false">IF(OR(AC199&lt;&gt;"Completed",AB199="Failed"),"Excluded","Included")</f>
        <v>Included</v>
      </c>
      <c r="AN199" s="3" t="str">
        <f aca="false">IF(OR(D199="Invalid/Unrecognized",E199="Invalid/Unrecognized",G199="Invalid - Ship Before Order",X199="Negative - Invalid",X199="Above Allowed Range - Invalid",AG199="Mismatch",AH199="Mismatch",AK199="Conflicting Duplicate - Flagged for Review"),"Invalid",IF(OR(L199="Filled - Unknown",S199="Filled - Unknown",X199="Missing - Defaulted to 0",AL199="Yes",AC199="Cancelled",AC199="Returned"),"Warning","Clean"))</f>
        <v>Clean</v>
      </c>
    </row>
    <row r="200" customFormat="false" ht="15" hidden="false" customHeight="false" outlineLevel="0" collapsed="false">
      <c r="A200" s="3" t="str">
        <f aca="false">raw_data!A200</f>
        <v>ORD-2024-10199</v>
      </c>
      <c r="B200" s="4" t="n">
        <f aca="false">IFERROR(IF(MID(raw_data!B200,3,1)="/",DATE(VALUE(RIGHT(raw_data!B200,4)),VALUE(LEFT(raw_data!B200,2)),VALUE(MID(raw_data!B200,4,2))),IF(MID(raw_data!B200,3,1)="-",DATE(VALUE(RIGHT(raw_data!B200,4)),VALUE(MID(raw_data!B200,4,2)),VALUE(LEFT(raw_data!B200,2))),IF(MID(raw_data!B200,5,1)="-",DATE(VALUE(LEFT(raw_data!B200,4)),VALUE(MID(raw_data!B200,6,2)),VALUE(RIGHT(raw_data!B200,2))),DATE(VALUE(RIGHT(raw_data!B200,4)),MATCH(MID(raw_data!B200,4,3),{"Jan","Feb","Mar","Apr","May","Jun","Jul","Aug","Sep","Oct","Nov","Dec"},0),VALUE(LEFT(raw_data!B200,2)))))),"")</f>
        <v>45448</v>
      </c>
      <c r="C200" s="4" t="n">
        <f aca="false">IFERROR(IF(MID(raw_data!C200,3,1)="/",DATE(VALUE(RIGHT(raw_data!C200,4)),VALUE(LEFT(raw_data!C200,2)),VALUE(MID(raw_data!C200,4,2))),IF(MID(raw_data!C200,3,1)="-",DATE(VALUE(RIGHT(raw_data!C200,4)),VALUE(MID(raw_data!C200,4,2)),VALUE(LEFT(raw_data!C200,2))),IF(MID(raw_data!C200,5,1)="-",DATE(VALUE(LEFT(raw_data!C200,4)),VALUE(MID(raw_data!C200,6,2)),VALUE(RIGHT(raw_data!C200,2))),DATE(VALUE(RIGHT(raw_data!C200,4)),MATCH(MID(raw_data!C200,4,3),{"Jan","Feb","Mar","Apr","May","Jun","Jul","Aug","Sep","Oct","Nov","Dec"},0),VALUE(LEFT(raw_data!C200,2)))))),"")</f>
        <v>45449</v>
      </c>
      <c r="D200" s="3" t="str">
        <f aca="false">IF(TRIM(raw_data!B200)="","Missing",IF(B200="","Invalid/Unrecognized","Valid"))</f>
        <v>Valid</v>
      </c>
      <c r="E200" s="3" t="str">
        <f aca="false">IF(TRIM(raw_data!C200)="","Missing",IF(C200="","Invalid/Unrecognized","Valid"))</f>
        <v>Valid</v>
      </c>
      <c r="F200" s="5" t="n">
        <f aca="false">IF(OR(B200="",C200=""),"",C200-B200)</f>
        <v>1</v>
      </c>
      <c r="G200" s="3" t="str">
        <f aca="false">IF(F200="","N/A",IF(F200&lt;0,"Invalid - Ship Before Order","OK"))</f>
        <v>OK</v>
      </c>
      <c r="H200" s="3" t="str">
        <f aca="false">raw_data!D200</f>
        <v>CUST-7820</v>
      </c>
      <c r="I200" s="3" t="str">
        <f aca="false">PROPER(TRIM(raw_data!E200))</f>
        <v>Sneha Kapoor</v>
      </c>
      <c r="J200" s="3" t="str">
        <f aca="false">PROPER(TRIM(raw_data!F200))</f>
        <v>Consumer</v>
      </c>
      <c r="K200" s="3" t="str">
        <f aca="false">IF(TRIM(raw_data!G200)="","Unknown",PROPER(TRIM(raw_data!G200)))</f>
        <v>West</v>
      </c>
      <c r="L200" s="3" t="str">
        <f aca="false">IF(TRIM(raw_data!G200)="","Filled - Unknown","OK")</f>
        <v>OK</v>
      </c>
      <c r="M200" s="3" t="str">
        <f aca="false">PROPER(TRIM(raw_data!H200))</f>
        <v>Gujarat</v>
      </c>
      <c r="N200" s="3" t="str">
        <f aca="false">PROPER(TRIM(raw_data!I200))</f>
        <v>Ahmedabad</v>
      </c>
      <c r="O200" s="3" t="str">
        <f aca="false">PROPER(TRIM(raw_data!J200))</f>
        <v>Office Supplies</v>
      </c>
      <c r="P200" s="3" t="str">
        <f aca="false">PROPER(TRIM(raw_data!K200))</f>
        <v>Art</v>
      </c>
      <c r="Q200" s="3" t="str">
        <f aca="false">TRIM(raw_data!L200)</f>
        <v>Classic Art 968</v>
      </c>
      <c r="R200" s="3" t="str">
        <f aca="false">IF(TRIM(raw_data!M200)="","Unknown",PROPER(TRIM(raw_data!M200)))</f>
        <v>Second Class</v>
      </c>
      <c r="S200" s="3" t="str">
        <f aca="false">IF(TRIM(raw_data!M200)="","Filled - Unknown","OK")</f>
        <v>OK</v>
      </c>
      <c r="T200" s="6" t="n">
        <f aca="false">raw_data!N200</f>
        <v>1</v>
      </c>
      <c r="U200" s="7" t="n">
        <f aca="false">raw_data!O200</f>
        <v>1184.58</v>
      </c>
      <c r="V200" s="8" t="n">
        <f aca="false">raw_data!P200</f>
        <v>0.05</v>
      </c>
      <c r="W200" s="8" t="n">
        <f aca="false">IF(raw_data!P200="",0,IF(ISTEXT(raw_data!P200),IF(RIGHT(raw_data!P200,1)="%",VALUE(LEFT(raw_data!P200,LEN(raw_data!P200)-1))/100,VALUE(raw_data!P200)),raw_data!P200))</f>
        <v>0.05</v>
      </c>
      <c r="X200" s="3" t="str">
        <f aca="false">IF(raw_data!P200="","Missing - Defaulted to 0",IF(W200&lt;0,"Negative - Invalid",IF(W200&gt;0.3,"Above Allowed Range - Invalid","Valid")))</f>
        <v>Valid</v>
      </c>
      <c r="Y200" s="7" t="n">
        <f aca="false">raw_data!Q200</f>
        <v>1125.35</v>
      </c>
      <c r="Z200" s="7" t="n">
        <f aca="false">raw_data!R200</f>
        <v>676.97</v>
      </c>
      <c r="AA200" s="7" t="n">
        <f aca="false">raw_data!S200</f>
        <v>448.38</v>
      </c>
      <c r="AB200" s="3" t="str">
        <f aca="false">PROPER(TRIM(raw_data!T200))</f>
        <v>Failed</v>
      </c>
      <c r="AC200" s="3" t="str">
        <f aca="false">PROPER(TRIM(raw_data!U200))</f>
        <v>Cancelled</v>
      </c>
      <c r="AD200" s="7" t="n">
        <f aca="false">T200*U200*(1-W200)</f>
        <v>1125.351</v>
      </c>
      <c r="AE200" s="7" t="n">
        <f aca="false">AD200-Z200</f>
        <v>448.381</v>
      </c>
      <c r="AF200" s="8" t="n">
        <f aca="false">IF(AD200=0,0,AE200/AD200)</f>
        <v>0.398436576676966</v>
      </c>
      <c r="AG200" s="3" t="str">
        <f aca="false">IF(ABS(Y200-AD200)&gt;1,"Mismatch","OK")</f>
        <v>OK</v>
      </c>
      <c r="AH200" s="3" t="str">
        <f aca="false">IF(ABS(AA200-AE200)&gt;1,"Mismatch","OK")</f>
        <v>OK</v>
      </c>
      <c r="AI200" s="6" t="n">
        <f aca="false">IF(B200="","",MONTH(B200))</f>
        <v>6</v>
      </c>
      <c r="AJ200" s="6" t="n">
        <f aca="false">IF(B200="","",YEAR(B200))</f>
        <v>2024</v>
      </c>
      <c r="AK200" s="3" t="str">
        <f aca="false">IF(COUNTIF(raw_data!$A$2:$A$913,A200)&gt;1,"Conflicting Duplicate - Flagged for Review","Unique")</f>
        <v>Unique</v>
      </c>
      <c r="AL200" s="3" t="str">
        <f aca="false">IF(AB200="Refunded","Yes","No")</f>
        <v>No</v>
      </c>
      <c r="AM200" s="3" t="str">
        <f aca="false">IF(OR(AC200&lt;&gt;"Completed",AB200="Failed"),"Excluded","Included")</f>
        <v>Excluded</v>
      </c>
      <c r="AN200" s="3" t="str">
        <f aca="false">IF(OR(D200="Invalid/Unrecognized",E200="Invalid/Unrecognized",G200="Invalid - Ship Before Order",X200="Negative - Invalid",X200="Above Allowed Range - Invalid",AG200="Mismatch",AH200="Mismatch",AK200="Conflicting Duplicate - Flagged for Review"),"Invalid",IF(OR(L200="Filled - Unknown",S200="Filled - Unknown",X200="Missing - Defaulted to 0",AL200="Yes",AC200="Cancelled",AC200="Returned"),"Warning","Clean"))</f>
        <v>Warning</v>
      </c>
    </row>
    <row r="201" customFormat="false" ht="15" hidden="false" customHeight="false" outlineLevel="0" collapsed="false">
      <c r="A201" s="3" t="str">
        <f aca="false">raw_data!A201</f>
        <v>ORD-2024-10200</v>
      </c>
      <c r="B201" s="4" t="n">
        <f aca="false">IFERROR(IF(MID(raw_data!B201,3,1)="/",DATE(VALUE(RIGHT(raw_data!B201,4)),VALUE(LEFT(raw_data!B201,2)),VALUE(MID(raw_data!B201,4,2))),IF(MID(raw_data!B201,3,1)="-",DATE(VALUE(RIGHT(raw_data!B201,4)),VALUE(MID(raw_data!B201,4,2)),VALUE(LEFT(raw_data!B201,2))),IF(MID(raw_data!B201,5,1)="-",DATE(VALUE(LEFT(raw_data!B201,4)),VALUE(MID(raw_data!B201,6,2)),VALUE(RIGHT(raw_data!B201,2))),DATE(VALUE(RIGHT(raw_data!B201,4)),MATCH(MID(raw_data!B201,4,3),{"Jan","Feb","Mar","Apr","May","Jun","Jul","Aug","Sep","Oct","Nov","Dec"},0),VALUE(LEFT(raw_data!B201,2)))))),"")</f>
        <v>45363</v>
      </c>
      <c r="C201" s="4" t="n">
        <f aca="false">IFERROR(IF(MID(raw_data!C201,3,1)="/",DATE(VALUE(RIGHT(raw_data!C201,4)),VALUE(LEFT(raw_data!C201,2)),VALUE(MID(raw_data!C201,4,2))),IF(MID(raw_data!C201,3,1)="-",DATE(VALUE(RIGHT(raw_data!C201,4)),VALUE(MID(raw_data!C201,4,2)),VALUE(LEFT(raw_data!C201,2))),IF(MID(raw_data!C201,5,1)="-",DATE(VALUE(LEFT(raw_data!C201,4)),VALUE(MID(raw_data!C201,6,2)),VALUE(RIGHT(raw_data!C201,2))),DATE(VALUE(RIGHT(raw_data!C201,4)),MATCH(MID(raw_data!C201,4,3),{"Jan","Feb","Mar","Apr","May","Jun","Jul","Aug","Sep","Oct","Nov","Dec"},0),VALUE(LEFT(raw_data!C201,2)))))),"")</f>
        <v>45363</v>
      </c>
      <c r="D201" s="3" t="str">
        <f aca="false">IF(TRIM(raw_data!B201)="","Missing",IF(B201="","Invalid/Unrecognized","Valid"))</f>
        <v>Valid</v>
      </c>
      <c r="E201" s="3" t="str">
        <f aca="false">IF(TRIM(raw_data!C201)="","Missing",IF(C201="","Invalid/Unrecognized","Valid"))</f>
        <v>Valid</v>
      </c>
      <c r="F201" s="5" t="n">
        <f aca="false">IF(OR(B201="",C201=""),"",C201-B201)</f>
        <v>0</v>
      </c>
      <c r="G201" s="3" t="str">
        <f aca="false">IF(F201="","N/A",IF(F201&lt;0,"Invalid - Ship Before Order","OK"))</f>
        <v>OK</v>
      </c>
      <c r="H201" s="3" t="str">
        <f aca="false">raw_data!D201</f>
        <v>CUST-4536</v>
      </c>
      <c r="I201" s="3" t="str">
        <f aca="false">PROPER(TRIM(raw_data!E201))</f>
        <v>Rahul Verma</v>
      </c>
      <c r="J201" s="3" t="str">
        <f aca="false">PROPER(TRIM(raw_data!F201))</f>
        <v>Home Office</v>
      </c>
      <c r="K201" s="3" t="str">
        <f aca="false">IF(TRIM(raw_data!G201)="","Unknown",PROPER(TRIM(raw_data!G201)))</f>
        <v>East</v>
      </c>
      <c r="L201" s="3" t="str">
        <f aca="false">IF(TRIM(raw_data!G201)="","Filled - Unknown","OK")</f>
        <v>OK</v>
      </c>
      <c r="M201" s="3" t="str">
        <f aca="false">PROPER(TRIM(raw_data!H201))</f>
        <v>Bihar</v>
      </c>
      <c r="N201" s="3" t="str">
        <f aca="false">PROPER(TRIM(raw_data!I201))</f>
        <v>Patna</v>
      </c>
      <c r="O201" s="3" t="str">
        <f aca="false">PROPER(TRIM(raw_data!J201))</f>
        <v>Technology</v>
      </c>
      <c r="P201" s="3" t="str">
        <f aca="false">PROPER(TRIM(raw_data!K201))</f>
        <v>Machines</v>
      </c>
      <c r="Q201" s="3" t="str">
        <f aca="false">TRIM(raw_data!L201)</f>
        <v>Prime Machines 806</v>
      </c>
      <c r="R201" s="3" t="str">
        <f aca="false">IF(TRIM(raw_data!M201)="","Unknown",PROPER(TRIM(raw_data!M201)))</f>
        <v>Unknown</v>
      </c>
      <c r="S201" s="3" t="str">
        <f aca="false">IF(TRIM(raw_data!M201)="","Filled - Unknown","OK")</f>
        <v>Filled - Unknown</v>
      </c>
      <c r="T201" s="6" t="n">
        <f aca="false">raw_data!N201</f>
        <v>6</v>
      </c>
      <c r="U201" s="7" t="n">
        <f aca="false">raw_data!O201</f>
        <v>2185.58</v>
      </c>
      <c r="V201" s="8" t="n">
        <f aca="false">raw_data!P201</f>
        <v>0.25</v>
      </c>
      <c r="W201" s="8" t="n">
        <f aca="false">IF(raw_data!P201="",0,IF(ISTEXT(raw_data!P201),IF(RIGHT(raw_data!P201,1)="%",VALUE(LEFT(raw_data!P201,LEN(raw_data!P201)-1))/100,VALUE(raw_data!P201)),raw_data!P201))</f>
        <v>0.25</v>
      </c>
      <c r="X201" s="3" t="str">
        <f aca="false">IF(raw_data!P201="","Missing - Defaulted to 0",IF(W201&lt;0,"Negative - Invalid",IF(W201&gt;0.3,"Above Allowed Range - Invalid","Valid")))</f>
        <v>Valid</v>
      </c>
      <c r="Y201" s="7" t="n">
        <f aca="false">raw_data!Q201</f>
        <v>9835.11</v>
      </c>
      <c r="Z201" s="7" t="n">
        <f aca="false">raw_data!R201</f>
        <v>5437.64</v>
      </c>
      <c r="AA201" s="7" t="n">
        <f aca="false">raw_data!S201</f>
        <v>4397.47</v>
      </c>
      <c r="AB201" s="3" t="str">
        <f aca="false">PROPER(TRIM(raw_data!T201))</f>
        <v>Paid</v>
      </c>
      <c r="AC201" s="3" t="str">
        <f aca="false">PROPER(TRIM(raw_data!U201))</f>
        <v>Completed</v>
      </c>
      <c r="AD201" s="7" t="n">
        <f aca="false">T201*U201*(1-W201)</f>
        <v>9835.11</v>
      </c>
      <c r="AE201" s="7" t="n">
        <f aca="false">AD201-Z201</f>
        <v>4397.47</v>
      </c>
      <c r="AF201" s="8" t="n">
        <f aca="false">IF(AD201=0,0,AE201/AD201)</f>
        <v>0.44711955433137</v>
      </c>
      <c r="AG201" s="3" t="str">
        <f aca="false">IF(ABS(Y201-AD201)&gt;1,"Mismatch","OK")</f>
        <v>OK</v>
      </c>
      <c r="AH201" s="3" t="str">
        <f aca="false">IF(ABS(AA201-AE201)&gt;1,"Mismatch","OK")</f>
        <v>OK</v>
      </c>
      <c r="AI201" s="6" t="n">
        <f aca="false">IF(B201="","",MONTH(B201))</f>
        <v>3</v>
      </c>
      <c r="AJ201" s="6" t="n">
        <f aca="false">IF(B201="","",YEAR(B201))</f>
        <v>2024</v>
      </c>
      <c r="AK201" s="3" t="str">
        <f aca="false">IF(COUNTIF(raw_data!$A$2:$A$913,A201)&gt;1,"Conflicting Duplicate - Flagged for Review","Unique")</f>
        <v>Unique</v>
      </c>
      <c r="AL201" s="3" t="str">
        <f aca="false">IF(AB201="Refunded","Yes","No")</f>
        <v>No</v>
      </c>
      <c r="AM201" s="3" t="str">
        <f aca="false">IF(OR(AC201&lt;&gt;"Completed",AB201="Failed"),"Excluded","Included")</f>
        <v>Included</v>
      </c>
      <c r="AN201" s="3" t="str">
        <f aca="false">IF(OR(D201="Invalid/Unrecognized",E201="Invalid/Unrecognized",G201="Invalid - Ship Before Order",X201="Negative - Invalid",X201="Above Allowed Range - Invalid",AG201="Mismatch",AH201="Mismatch",AK201="Conflicting Duplicate - Flagged for Review"),"Invalid",IF(OR(L201="Filled - Unknown",S201="Filled - Unknown",X201="Missing - Defaulted to 0",AL201="Yes",AC201="Cancelled",AC201="Returned"),"Warning","Clean"))</f>
        <v>Warning</v>
      </c>
    </row>
    <row r="202" customFormat="false" ht="15" hidden="false" customHeight="false" outlineLevel="0" collapsed="false">
      <c r="A202" s="3" t="str">
        <f aca="false">raw_data!A202</f>
        <v>ORD-2025-10201</v>
      </c>
      <c r="B202" s="4" t="n">
        <f aca="false">IFERROR(IF(MID(raw_data!B202,3,1)="/",DATE(VALUE(RIGHT(raw_data!B202,4)),VALUE(LEFT(raw_data!B202,2)),VALUE(MID(raw_data!B202,4,2))),IF(MID(raw_data!B202,3,1)="-",DATE(VALUE(RIGHT(raw_data!B202,4)),VALUE(MID(raw_data!B202,4,2)),VALUE(LEFT(raw_data!B202,2))),IF(MID(raw_data!B202,5,1)="-",DATE(VALUE(LEFT(raw_data!B202,4)),VALUE(MID(raw_data!B202,6,2)),VALUE(RIGHT(raw_data!B202,2))),DATE(VALUE(RIGHT(raw_data!B202,4)),MATCH(MID(raw_data!B202,4,3),{"Jan","Feb","Mar","Apr","May","Jun","Jul","Aug","Sep","Oct","Nov","Dec"},0),VALUE(LEFT(raw_data!B202,2)))))),"")</f>
        <v>45835</v>
      </c>
      <c r="C202" s="4" t="n">
        <f aca="false">IFERROR(IF(MID(raw_data!C202,3,1)="/",DATE(VALUE(RIGHT(raw_data!C202,4)),VALUE(LEFT(raw_data!C202,2)),VALUE(MID(raw_data!C202,4,2))),IF(MID(raw_data!C202,3,1)="-",DATE(VALUE(RIGHT(raw_data!C202,4)),VALUE(MID(raw_data!C202,4,2)),VALUE(LEFT(raw_data!C202,2))),IF(MID(raw_data!C202,5,1)="-",DATE(VALUE(LEFT(raw_data!C202,4)),VALUE(MID(raw_data!C202,6,2)),VALUE(RIGHT(raw_data!C202,2))),DATE(VALUE(RIGHT(raw_data!C202,4)),MATCH(MID(raw_data!C202,4,3),{"Jan","Feb","Mar","Apr","May","Jun","Jul","Aug","Sep","Oct","Nov","Dec"},0),VALUE(LEFT(raw_data!C202,2)))))),"")</f>
        <v>45843</v>
      </c>
      <c r="D202" s="3" t="str">
        <f aca="false">IF(TRIM(raw_data!B202)="","Missing",IF(B202="","Invalid/Unrecognized","Valid"))</f>
        <v>Valid</v>
      </c>
      <c r="E202" s="3" t="str">
        <f aca="false">IF(TRIM(raw_data!C202)="","Missing",IF(C202="","Invalid/Unrecognized","Valid"))</f>
        <v>Valid</v>
      </c>
      <c r="F202" s="5" t="n">
        <f aca="false">IF(OR(B202="",C202=""),"",C202-B202)</f>
        <v>8</v>
      </c>
      <c r="G202" s="3" t="str">
        <f aca="false">IF(F202="","N/A",IF(F202&lt;0,"Invalid - Ship Before Order","OK"))</f>
        <v>OK</v>
      </c>
      <c r="H202" s="3" t="str">
        <f aca="false">raw_data!D202</f>
        <v>CUST-7047</v>
      </c>
      <c r="I202" s="3" t="str">
        <f aca="false">PROPER(TRIM(raw_data!E202))</f>
        <v>Priya Menon</v>
      </c>
      <c r="J202" s="3" t="str">
        <f aca="false">PROPER(TRIM(raw_data!F202))</f>
        <v>Small Business</v>
      </c>
      <c r="K202" s="3" t="str">
        <f aca="false">IF(TRIM(raw_data!G202)="","Unknown",PROPER(TRIM(raw_data!G202)))</f>
        <v>North</v>
      </c>
      <c r="L202" s="3" t="str">
        <f aca="false">IF(TRIM(raw_data!G202)="","Filled - Unknown","OK")</f>
        <v>OK</v>
      </c>
      <c r="M202" s="3" t="str">
        <f aca="false">PROPER(TRIM(raw_data!H202))</f>
        <v>Rajasthan</v>
      </c>
      <c r="N202" s="3" t="str">
        <f aca="false">PROPER(TRIM(raw_data!I202))</f>
        <v>Jaipur</v>
      </c>
      <c r="O202" s="3" t="str">
        <f aca="false">PROPER(TRIM(raw_data!J202))</f>
        <v>Technology</v>
      </c>
      <c r="P202" s="3" t="str">
        <f aca="false">PROPER(TRIM(raw_data!K202))</f>
        <v>Copiers</v>
      </c>
      <c r="Q202" s="3" t="str">
        <f aca="false">TRIM(raw_data!L202)</f>
        <v>Classic Copiers 479</v>
      </c>
      <c r="R202" s="3" t="str">
        <f aca="false">IF(TRIM(raw_data!M202)="","Unknown",PROPER(TRIM(raw_data!M202)))</f>
        <v>First Class</v>
      </c>
      <c r="S202" s="3" t="str">
        <f aca="false">IF(TRIM(raw_data!M202)="","Filled - Unknown","OK")</f>
        <v>OK</v>
      </c>
      <c r="T202" s="6" t="n">
        <f aca="false">raw_data!N202</f>
        <v>5</v>
      </c>
      <c r="U202" s="7" t="n">
        <f aca="false">raw_data!O202</f>
        <v>2868.44</v>
      </c>
      <c r="V202" s="8" t="n">
        <f aca="false">raw_data!P202</f>
        <v>0.1</v>
      </c>
      <c r="W202" s="8" t="n">
        <f aca="false">IF(raw_data!P202="",0,IF(ISTEXT(raw_data!P202),IF(RIGHT(raw_data!P202,1)="%",VALUE(LEFT(raw_data!P202,LEN(raw_data!P202)-1))/100,VALUE(raw_data!P202)),raw_data!P202))</f>
        <v>0.1</v>
      </c>
      <c r="X202" s="3" t="str">
        <f aca="false">IF(raw_data!P202="","Missing - Defaulted to 0",IF(W202&lt;0,"Negative - Invalid",IF(W202&gt;0.3,"Above Allowed Range - Invalid","Valid")))</f>
        <v>Valid</v>
      </c>
      <c r="Y202" s="7" t="n">
        <f aca="false">raw_data!Q202</f>
        <v>12907.98</v>
      </c>
      <c r="Z202" s="7" t="n">
        <f aca="false">raw_data!R202</f>
        <v>9197.08</v>
      </c>
      <c r="AA202" s="7" t="n">
        <f aca="false">raw_data!S202</f>
        <v>3710.9</v>
      </c>
      <c r="AB202" s="3" t="str">
        <f aca="false">PROPER(TRIM(raw_data!T202))</f>
        <v>Pending</v>
      </c>
      <c r="AC202" s="3" t="str">
        <f aca="false">PROPER(TRIM(raw_data!U202))</f>
        <v>Cancelled</v>
      </c>
      <c r="AD202" s="7" t="n">
        <f aca="false">T202*U202*(1-W202)</f>
        <v>12907.98</v>
      </c>
      <c r="AE202" s="7" t="n">
        <f aca="false">AD202-Z202</f>
        <v>3710.9</v>
      </c>
      <c r="AF202" s="8" t="n">
        <f aca="false">IF(AD202=0,0,AE202/AD202)</f>
        <v>0.287488824742524</v>
      </c>
      <c r="AG202" s="3" t="str">
        <f aca="false">IF(ABS(Y202-AD202)&gt;1,"Mismatch","OK")</f>
        <v>OK</v>
      </c>
      <c r="AH202" s="3" t="str">
        <f aca="false">IF(ABS(AA202-AE202)&gt;1,"Mismatch","OK")</f>
        <v>OK</v>
      </c>
      <c r="AI202" s="6" t="n">
        <f aca="false">IF(B202="","",MONTH(B202))</f>
        <v>6</v>
      </c>
      <c r="AJ202" s="6" t="n">
        <f aca="false">IF(B202="","",YEAR(B202))</f>
        <v>2025</v>
      </c>
      <c r="AK202" s="3" t="str">
        <f aca="false">IF(COUNTIF(raw_data!$A$2:$A$913,A202)&gt;1,"Conflicting Duplicate - Flagged for Review","Unique")</f>
        <v>Unique</v>
      </c>
      <c r="AL202" s="3" t="str">
        <f aca="false">IF(AB202="Refunded","Yes","No")</f>
        <v>No</v>
      </c>
      <c r="AM202" s="3" t="str">
        <f aca="false">IF(OR(AC202&lt;&gt;"Completed",AB202="Failed"),"Excluded","Included")</f>
        <v>Excluded</v>
      </c>
      <c r="AN202" s="3" t="str">
        <f aca="false">IF(OR(D202="Invalid/Unrecognized",E202="Invalid/Unrecognized",G202="Invalid - Ship Before Order",X202="Negative - Invalid",X202="Above Allowed Range - Invalid",AG202="Mismatch",AH202="Mismatch",AK202="Conflicting Duplicate - Flagged for Review"),"Invalid",IF(OR(L202="Filled - Unknown",S202="Filled - Unknown",X202="Missing - Defaulted to 0",AL202="Yes",AC202="Cancelled",AC202="Returned"),"Warning","Clean"))</f>
        <v>Warning</v>
      </c>
    </row>
    <row r="203" customFormat="false" ht="15" hidden="false" customHeight="false" outlineLevel="0" collapsed="false">
      <c r="A203" s="3" t="str">
        <f aca="false">raw_data!A203</f>
        <v>ORD-2025-10202</v>
      </c>
      <c r="B203" s="4" t="n">
        <f aca="false">IFERROR(IF(MID(raw_data!B203,3,1)="/",DATE(VALUE(RIGHT(raw_data!B203,4)),VALUE(LEFT(raw_data!B203,2)),VALUE(MID(raw_data!B203,4,2))),IF(MID(raw_data!B203,3,1)="-",DATE(VALUE(RIGHT(raw_data!B203,4)),VALUE(MID(raw_data!B203,4,2)),VALUE(LEFT(raw_data!B203,2))),IF(MID(raw_data!B203,5,1)="-",DATE(VALUE(LEFT(raw_data!B203,4)),VALUE(MID(raw_data!B203,6,2)),VALUE(RIGHT(raw_data!B203,2))),DATE(VALUE(RIGHT(raw_data!B203,4)),MATCH(MID(raw_data!B203,4,3),{"Jan","Feb","Mar","Apr","May","Jun","Jul","Aug","Sep","Oct","Nov","Dec"},0),VALUE(LEFT(raw_data!B203,2)))))),"")</f>
        <v>45864</v>
      </c>
      <c r="C203" s="4" t="n">
        <f aca="false">IFERROR(IF(MID(raw_data!C203,3,1)="/",DATE(VALUE(RIGHT(raw_data!C203,4)),VALUE(LEFT(raw_data!C203,2)),VALUE(MID(raw_data!C203,4,2))),IF(MID(raw_data!C203,3,1)="-",DATE(VALUE(RIGHT(raw_data!C203,4)),VALUE(MID(raw_data!C203,4,2)),VALUE(LEFT(raw_data!C203,2))),IF(MID(raw_data!C203,5,1)="-",DATE(VALUE(LEFT(raw_data!C203,4)),VALUE(MID(raw_data!C203,6,2)),VALUE(RIGHT(raw_data!C203,2))),DATE(VALUE(RIGHT(raw_data!C203,4)),MATCH(MID(raw_data!C203,4,3),{"Jan","Feb","Mar","Apr","May","Jun","Jul","Aug","Sep","Oct","Nov","Dec"},0),VALUE(LEFT(raw_data!C203,2)))))),"")</f>
        <v>45872</v>
      </c>
      <c r="D203" s="3" t="str">
        <f aca="false">IF(TRIM(raw_data!B203)="","Missing",IF(B203="","Invalid/Unrecognized","Valid"))</f>
        <v>Valid</v>
      </c>
      <c r="E203" s="3" t="str">
        <f aca="false">IF(TRIM(raw_data!C203)="","Missing",IF(C203="","Invalid/Unrecognized","Valid"))</f>
        <v>Valid</v>
      </c>
      <c r="F203" s="5" t="n">
        <f aca="false">IF(OR(B203="",C203=""),"",C203-B203)</f>
        <v>8</v>
      </c>
      <c r="G203" s="3" t="str">
        <f aca="false">IF(F203="","N/A",IF(F203&lt;0,"Invalid - Ship Before Order","OK"))</f>
        <v>OK</v>
      </c>
      <c r="H203" s="3" t="str">
        <f aca="false">raw_data!D203</f>
        <v>CUST-8005</v>
      </c>
      <c r="I203" s="3" t="str">
        <f aca="false">PROPER(TRIM(raw_data!E203))</f>
        <v>Vikram Iyer</v>
      </c>
      <c r="J203" s="3" t="str">
        <f aca="false">PROPER(TRIM(raw_data!F203))</f>
        <v>Consumer</v>
      </c>
      <c r="K203" s="3" t="str">
        <f aca="false">IF(TRIM(raw_data!G203)="","Unknown",PROPER(TRIM(raw_data!G203)))</f>
        <v>West</v>
      </c>
      <c r="L203" s="3" t="str">
        <f aca="false">IF(TRIM(raw_data!G203)="","Filled - Unknown","OK")</f>
        <v>OK</v>
      </c>
      <c r="M203" s="3" t="str">
        <f aca="false">PROPER(TRIM(raw_data!H203))</f>
        <v>Madhya Pradesh</v>
      </c>
      <c r="N203" s="3" t="str">
        <f aca="false">PROPER(TRIM(raw_data!I203))</f>
        <v>Indore</v>
      </c>
      <c r="O203" s="3" t="str">
        <f aca="false">PROPER(TRIM(raw_data!J203))</f>
        <v>Office Supplies</v>
      </c>
      <c r="P203" s="3" t="str">
        <f aca="false">PROPER(TRIM(raw_data!K203))</f>
        <v>Labels</v>
      </c>
      <c r="Q203" s="3" t="str">
        <f aca="false">TRIM(raw_data!L203)</f>
        <v>Basic Labels 511</v>
      </c>
      <c r="R203" s="3" t="str">
        <f aca="false">IF(TRIM(raw_data!M203)="","Unknown",PROPER(TRIM(raw_data!M203)))</f>
        <v>Second Class</v>
      </c>
      <c r="S203" s="3" t="str">
        <f aca="false">IF(TRIM(raw_data!M203)="","Filled - Unknown","OK")</f>
        <v>OK</v>
      </c>
      <c r="T203" s="6" t="n">
        <f aca="false">raw_data!N203</f>
        <v>2</v>
      </c>
      <c r="U203" s="7" t="n">
        <f aca="false">raw_data!O203</f>
        <v>2503.53</v>
      </c>
      <c r="V203" s="8" t="n">
        <f aca="false">raw_data!P203</f>
        <v>-0.16</v>
      </c>
      <c r="W203" s="8" t="n">
        <f aca="false">IF(raw_data!P203="",0,IF(ISTEXT(raw_data!P203),IF(RIGHT(raw_data!P203,1)="%",VALUE(LEFT(raw_data!P203,LEN(raw_data!P203)-1))/100,VALUE(raw_data!P203)),raw_data!P203))</f>
        <v>-0.16</v>
      </c>
      <c r="X203" s="3" t="str">
        <f aca="false">IF(raw_data!P203="","Missing - Defaulted to 0",IF(W203&lt;0,"Negative - Invalid",IF(W203&gt;0.3,"Above Allowed Range - Invalid","Valid")))</f>
        <v>Negative - Invalid</v>
      </c>
      <c r="Y203" s="7" t="n">
        <f aca="false">raw_data!Q203</f>
        <v>4756.71</v>
      </c>
      <c r="Z203" s="7" t="n">
        <f aca="false">raw_data!R203</f>
        <v>2954.86</v>
      </c>
      <c r="AA203" s="7" t="n">
        <f aca="false">raw_data!S203</f>
        <v>1801.85</v>
      </c>
      <c r="AB203" s="3" t="str">
        <f aca="false">PROPER(TRIM(raw_data!T203))</f>
        <v>Refunded</v>
      </c>
      <c r="AC203" s="3" t="str">
        <f aca="false">PROPER(TRIM(raw_data!U203))</f>
        <v>Cancelled</v>
      </c>
      <c r="AD203" s="7" t="n">
        <f aca="false">T203*U203*(1-W203)</f>
        <v>5808.1896</v>
      </c>
      <c r="AE203" s="7" t="n">
        <f aca="false">AD203-Z203</f>
        <v>2853.3296</v>
      </c>
      <c r="AF203" s="8" t="n">
        <f aca="false">IF(AD203=0,0,AE203/AD203)</f>
        <v>0.491259720584879</v>
      </c>
      <c r="AG203" s="3" t="str">
        <f aca="false">IF(ABS(Y203-AD203)&gt;1,"Mismatch","OK")</f>
        <v>Mismatch</v>
      </c>
      <c r="AH203" s="3" t="str">
        <f aca="false">IF(ABS(AA203-AE203)&gt;1,"Mismatch","OK")</f>
        <v>Mismatch</v>
      </c>
      <c r="AI203" s="6" t="n">
        <f aca="false">IF(B203="","",MONTH(B203))</f>
        <v>7</v>
      </c>
      <c r="AJ203" s="6" t="n">
        <f aca="false">IF(B203="","",YEAR(B203))</f>
        <v>2025</v>
      </c>
      <c r="AK203" s="3" t="str">
        <f aca="false">IF(COUNTIF(raw_data!$A$2:$A$913,A203)&gt;1,"Conflicting Duplicate - Flagged for Review","Unique")</f>
        <v>Unique</v>
      </c>
      <c r="AL203" s="3" t="str">
        <f aca="false">IF(AB203="Refunded","Yes","No")</f>
        <v>Yes</v>
      </c>
      <c r="AM203" s="3" t="str">
        <f aca="false">IF(OR(AC203&lt;&gt;"Completed",AB203="Failed"),"Excluded","Included")</f>
        <v>Excluded</v>
      </c>
      <c r="AN203" s="3" t="str">
        <f aca="false">IF(OR(D203="Invalid/Unrecognized",E203="Invalid/Unrecognized",G203="Invalid - Ship Before Order",X203="Negative - Invalid",X203="Above Allowed Range - Invalid",AG203="Mismatch",AH203="Mismatch",AK203="Conflicting Duplicate - Flagged for Review"),"Invalid",IF(OR(L203="Filled - Unknown",S203="Filled - Unknown",X203="Missing - Defaulted to 0",AL203="Yes",AC203="Cancelled",AC203="Returned"),"Warning","Clean"))</f>
        <v>Invalid</v>
      </c>
    </row>
    <row r="204" customFormat="false" ht="15" hidden="false" customHeight="false" outlineLevel="0" collapsed="false">
      <c r="A204" s="3" t="str">
        <f aca="false">raw_data!A204</f>
        <v>ORD-2025-10203</v>
      </c>
      <c r="B204" s="4" t="n">
        <f aca="false">IFERROR(IF(MID(raw_data!B204,3,1)="/",DATE(VALUE(RIGHT(raw_data!B204,4)),VALUE(LEFT(raw_data!B204,2)),VALUE(MID(raw_data!B204,4,2))),IF(MID(raw_data!B204,3,1)="-",DATE(VALUE(RIGHT(raw_data!B204,4)),VALUE(MID(raw_data!B204,4,2)),VALUE(LEFT(raw_data!B204,2))),IF(MID(raw_data!B204,5,1)="-",DATE(VALUE(LEFT(raw_data!B204,4)),VALUE(MID(raw_data!B204,6,2)),VALUE(RIGHT(raw_data!B204,2))),DATE(VALUE(RIGHT(raw_data!B204,4)),MATCH(MID(raw_data!B204,4,3),{"Jan","Feb","Mar","Apr","May","Jun","Jul","Aug","Sep","Oct","Nov","Dec"},0),VALUE(LEFT(raw_data!B204,2)))))),"")</f>
        <v>45744</v>
      </c>
      <c r="C204" s="4" t="n">
        <f aca="false">IFERROR(IF(MID(raw_data!C204,3,1)="/",DATE(VALUE(RIGHT(raw_data!C204,4)),VALUE(LEFT(raw_data!C204,2)),VALUE(MID(raw_data!C204,4,2))),IF(MID(raw_data!C204,3,1)="-",DATE(VALUE(RIGHT(raw_data!C204,4)),VALUE(MID(raw_data!C204,4,2)),VALUE(LEFT(raw_data!C204,2))),IF(MID(raw_data!C204,5,1)="-",DATE(VALUE(LEFT(raw_data!C204,4)),VALUE(MID(raw_data!C204,6,2)),VALUE(RIGHT(raw_data!C204,2))),DATE(VALUE(RIGHT(raw_data!C204,4)),MATCH(MID(raw_data!C204,4,3),{"Jan","Feb","Mar","Apr","May","Jun","Jul","Aug","Sep","Oct","Nov","Dec"},0),VALUE(LEFT(raw_data!C204,2)))))),"")</f>
        <v>45744</v>
      </c>
      <c r="D204" s="3" t="str">
        <f aca="false">IF(TRIM(raw_data!B204)="","Missing",IF(B204="","Invalid/Unrecognized","Valid"))</f>
        <v>Valid</v>
      </c>
      <c r="E204" s="3" t="str">
        <f aca="false">IF(TRIM(raw_data!C204)="","Missing",IF(C204="","Invalid/Unrecognized","Valid"))</f>
        <v>Valid</v>
      </c>
      <c r="F204" s="5" t="n">
        <f aca="false">IF(OR(B204="",C204=""),"",C204-B204)</f>
        <v>0</v>
      </c>
      <c r="G204" s="3" t="str">
        <f aca="false">IF(F204="","N/A",IF(F204&lt;0,"Invalid - Ship Before Order","OK"))</f>
        <v>OK</v>
      </c>
      <c r="H204" s="3" t="str">
        <f aca="false">raw_data!D204</f>
        <v>CUST-9378</v>
      </c>
      <c r="I204" s="3" t="str">
        <f aca="false">PROPER(TRIM(raw_data!E204))</f>
        <v>Sneha Kapoor</v>
      </c>
      <c r="J204" s="3" t="str">
        <f aca="false">PROPER(TRIM(raw_data!F204))</f>
        <v>Corporate</v>
      </c>
      <c r="K204" s="3" t="str">
        <f aca="false">IF(TRIM(raw_data!G204)="","Unknown",PROPER(TRIM(raw_data!G204)))</f>
        <v>West</v>
      </c>
      <c r="L204" s="3" t="str">
        <f aca="false">IF(TRIM(raw_data!G204)="","Filled - Unknown","OK")</f>
        <v>OK</v>
      </c>
      <c r="M204" s="3" t="str">
        <f aca="false">PROPER(TRIM(raw_data!H204))</f>
        <v>Goa</v>
      </c>
      <c r="N204" s="3" t="str">
        <f aca="false">PROPER(TRIM(raw_data!I204))</f>
        <v>Panaji</v>
      </c>
      <c r="O204" s="3" t="str">
        <f aca="false">PROPER(TRIM(raw_data!J204))</f>
        <v>Technology</v>
      </c>
      <c r="P204" s="3" t="str">
        <f aca="false">PROPER(TRIM(raw_data!K204))</f>
        <v>Accessories</v>
      </c>
      <c r="Q204" s="3" t="str">
        <f aca="false">TRIM(raw_data!L204)</f>
        <v>Prime Accessories 733</v>
      </c>
      <c r="R204" s="3" t="str">
        <f aca="false">IF(TRIM(raw_data!M204)="","Unknown",PROPER(TRIM(raw_data!M204)))</f>
        <v>Standard Class</v>
      </c>
      <c r="S204" s="3" t="str">
        <f aca="false">IF(TRIM(raw_data!M204)="","Filled - Unknown","OK")</f>
        <v>OK</v>
      </c>
      <c r="T204" s="6" t="n">
        <f aca="false">raw_data!N204</f>
        <v>8</v>
      </c>
      <c r="U204" s="7" t="n">
        <f aca="false">raw_data!O204</f>
        <v>1740.94</v>
      </c>
      <c r="V204" s="8" t="n">
        <f aca="false">raw_data!P204</f>
        <v>0.05</v>
      </c>
      <c r="W204" s="8" t="n">
        <f aca="false">IF(raw_data!P204="",0,IF(ISTEXT(raw_data!P204),IF(RIGHT(raw_data!P204,1)="%",VALUE(LEFT(raw_data!P204,LEN(raw_data!P204)-1))/100,VALUE(raw_data!P204)),raw_data!P204))</f>
        <v>0.05</v>
      </c>
      <c r="X204" s="3" t="str">
        <f aca="false">IF(raw_data!P204="","Missing - Defaulted to 0",IF(W204&lt;0,"Negative - Invalid",IF(W204&gt;0.3,"Above Allowed Range - Invalid","Valid")))</f>
        <v>Valid</v>
      </c>
      <c r="Y204" s="7" t="n">
        <f aca="false">raw_data!Q204</f>
        <v>13231.14</v>
      </c>
      <c r="Z204" s="7" t="n">
        <f aca="false">raw_data!R204</f>
        <v>11290.06</v>
      </c>
      <c r="AA204" s="7" t="n">
        <f aca="false">raw_data!S204</f>
        <v>1941.08</v>
      </c>
      <c r="AB204" s="3" t="str">
        <f aca="false">PROPER(TRIM(raw_data!T204))</f>
        <v>Paid</v>
      </c>
      <c r="AC204" s="3" t="str">
        <f aca="false">PROPER(TRIM(raw_data!U204))</f>
        <v>Completed</v>
      </c>
      <c r="AD204" s="7" t="n">
        <f aca="false">T204*U204*(1-W204)</f>
        <v>13231.144</v>
      </c>
      <c r="AE204" s="7" t="n">
        <f aca="false">AD204-Z204</f>
        <v>1941.084</v>
      </c>
      <c r="AF204" s="8" t="n">
        <f aca="false">IF(AD204=0,0,AE204/AD204)</f>
        <v>0.146705681685575</v>
      </c>
      <c r="AG204" s="3" t="str">
        <f aca="false">IF(ABS(Y204-AD204)&gt;1,"Mismatch","OK")</f>
        <v>OK</v>
      </c>
      <c r="AH204" s="3" t="str">
        <f aca="false">IF(ABS(AA204-AE204)&gt;1,"Mismatch","OK")</f>
        <v>OK</v>
      </c>
      <c r="AI204" s="6" t="n">
        <f aca="false">IF(B204="","",MONTH(B204))</f>
        <v>3</v>
      </c>
      <c r="AJ204" s="6" t="n">
        <f aca="false">IF(B204="","",YEAR(B204))</f>
        <v>2025</v>
      </c>
      <c r="AK204" s="3" t="str">
        <f aca="false">IF(COUNTIF(raw_data!$A$2:$A$913,A204)&gt;1,"Conflicting Duplicate - Flagged for Review","Unique")</f>
        <v>Unique</v>
      </c>
      <c r="AL204" s="3" t="str">
        <f aca="false">IF(AB204="Refunded","Yes","No")</f>
        <v>No</v>
      </c>
      <c r="AM204" s="3" t="str">
        <f aca="false">IF(OR(AC204&lt;&gt;"Completed",AB204="Failed"),"Excluded","Included")</f>
        <v>Included</v>
      </c>
      <c r="AN204" s="3" t="str">
        <f aca="false">IF(OR(D204="Invalid/Unrecognized",E204="Invalid/Unrecognized",G204="Invalid - Ship Before Order",X204="Negative - Invalid",X204="Above Allowed Range - Invalid",AG204="Mismatch",AH204="Mismatch",AK204="Conflicting Duplicate - Flagged for Review"),"Invalid",IF(OR(L204="Filled - Unknown",S204="Filled - Unknown",X204="Missing - Defaulted to 0",AL204="Yes",AC204="Cancelled",AC204="Returned"),"Warning","Clean"))</f>
        <v>Clean</v>
      </c>
    </row>
    <row r="205" customFormat="false" ht="15" hidden="false" customHeight="false" outlineLevel="0" collapsed="false">
      <c r="A205" s="3" t="str">
        <f aca="false">raw_data!A205</f>
        <v>ORD-2024-10204</v>
      </c>
      <c r="B205" s="4" t="n">
        <f aca="false">IFERROR(IF(MID(raw_data!B205,3,1)="/",DATE(VALUE(RIGHT(raw_data!B205,4)),VALUE(LEFT(raw_data!B205,2)),VALUE(MID(raw_data!B205,4,2))),IF(MID(raw_data!B205,3,1)="-",DATE(VALUE(RIGHT(raw_data!B205,4)),VALUE(MID(raw_data!B205,4,2)),VALUE(LEFT(raw_data!B205,2))),IF(MID(raw_data!B205,5,1)="-",DATE(VALUE(LEFT(raw_data!B205,4)),VALUE(MID(raw_data!B205,6,2)),VALUE(RIGHT(raw_data!B205,2))),DATE(VALUE(RIGHT(raw_data!B205,4)),MATCH(MID(raw_data!B205,4,3),{"Jan","Feb","Mar","Apr","May","Jun","Jul","Aug","Sep","Oct","Nov","Dec"},0),VALUE(LEFT(raw_data!B205,2)))))),"")</f>
        <v>45379</v>
      </c>
      <c r="C205" s="4" t="n">
        <f aca="false">IFERROR(IF(MID(raw_data!C205,3,1)="/",DATE(VALUE(RIGHT(raw_data!C205,4)),VALUE(LEFT(raw_data!C205,2)),VALUE(MID(raw_data!C205,4,2))),IF(MID(raw_data!C205,3,1)="-",DATE(VALUE(RIGHT(raw_data!C205,4)),VALUE(MID(raw_data!C205,4,2)),VALUE(LEFT(raw_data!C205,2))),IF(MID(raw_data!C205,5,1)="-",DATE(VALUE(LEFT(raw_data!C205,4)),VALUE(MID(raw_data!C205,6,2)),VALUE(RIGHT(raw_data!C205,2))),DATE(VALUE(RIGHT(raw_data!C205,4)),MATCH(MID(raw_data!C205,4,3),{"Jan","Feb","Mar","Apr","May","Jun","Jul","Aug","Sep","Oct","Nov","Dec"},0),VALUE(LEFT(raw_data!C205,2)))))),"")</f>
        <v>45381</v>
      </c>
      <c r="D205" s="3" t="str">
        <f aca="false">IF(TRIM(raw_data!B205)="","Missing",IF(B205="","Invalid/Unrecognized","Valid"))</f>
        <v>Valid</v>
      </c>
      <c r="E205" s="3" t="str">
        <f aca="false">IF(TRIM(raw_data!C205)="","Missing",IF(C205="","Invalid/Unrecognized","Valid"))</f>
        <v>Valid</v>
      </c>
      <c r="F205" s="5" t="n">
        <f aca="false">IF(OR(B205="",C205=""),"",C205-B205)</f>
        <v>2</v>
      </c>
      <c r="G205" s="3" t="str">
        <f aca="false">IF(F205="","N/A",IF(F205&lt;0,"Invalid - Ship Before Order","OK"))</f>
        <v>OK</v>
      </c>
      <c r="H205" s="3" t="str">
        <f aca="false">raw_data!D205</f>
        <v>CUST-3384</v>
      </c>
      <c r="I205" s="3" t="str">
        <f aca="false">PROPER(TRIM(raw_data!E205))</f>
        <v>Sneha Kapoor</v>
      </c>
      <c r="J205" s="3" t="str">
        <f aca="false">PROPER(TRIM(raw_data!F205))</f>
        <v>Corporate</v>
      </c>
      <c r="K205" s="3" t="str">
        <f aca="false">IF(TRIM(raw_data!G205)="","Unknown",PROPER(TRIM(raw_data!G205)))</f>
        <v>West</v>
      </c>
      <c r="L205" s="3" t="str">
        <f aca="false">IF(TRIM(raw_data!G205)="","Filled - Unknown","OK")</f>
        <v>OK</v>
      </c>
      <c r="M205" s="3" t="str">
        <f aca="false">PROPER(TRIM(raw_data!H205))</f>
        <v>Rajasthan</v>
      </c>
      <c r="N205" s="3" t="str">
        <f aca="false">PROPER(TRIM(raw_data!I205))</f>
        <v>Udaipur</v>
      </c>
      <c r="O205" s="3" t="str">
        <f aca="false">PROPER(TRIM(raw_data!J205))</f>
        <v>Technology</v>
      </c>
      <c r="P205" s="3" t="str">
        <f aca="false">PROPER(TRIM(raw_data!K205))</f>
        <v>Accessories</v>
      </c>
      <c r="Q205" s="3" t="str">
        <f aca="false">TRIM(raw_data!L205)</f>
        <v>Max Accessories 186</v>
      </c>
      <c r="R205" s="3" t="str">
        <f aca="false">IF(TRIM(raw_data!M205)="","Unknown",PROPER(TRIM(raw_data!M205)))</f>
        <v>Second Class</v>
      </c>
      <c r="S205" s="3" t="str">
        <f aca="false">IF(TRIM(raw_data!M205)="","Filled - Unknown","OK")</f>
        <v>OK</v>
      </c>
      <c r="T205" s="6" t="n">
        <f aca="false">raw_data!N205</f>
        <v>1</v>
      </c>
      <c r="U205" s="7" t="n">
        <f aca="false">raw_data!O205</f>
        <v>570.34</v>
      </c>
      <c r="V205" s="8" t="n">
        <f aca="false">raw_data!P205</f>
        <v>0.15</v>
      </c>
      <c r="W205" s="8" t="n">
        <f aca="false">IF(raw_data!P205="",0,IF(ISTEXT(raw_data!P205),IF(RIGHT(raw_data!P205,1)="%",VALUE(LEFT(raw_data!P205,LEN(raw_data!P205)-1))/100,VALUE(raw_data!P205)),raw_data!P205))</f>
        <v>0.15</v>
      </c>
      <c r="X205" s="3" t="str">
        <f aca="false">IF(raw_data!P205="","Missing - Defaulted to 0",IF(W205&lt;0,"Negative - Invalid",IF(W205&gt;0.3,"Above Allowed Range - Invalid","Valid")))</f>
        <v>Valid</v>
      </c>
      <c r="Y205" s="7" t="n">
        <f aca="false">raw_data!Q205</f>
        <v>484.79</v>
      </c>
      <c r="Z205" s="7" t="n">
        <f aca="false">raw_data!R205</f>
        <v>333.54</v>
      </c>
      <c r="AA205" s="7" t="n">
        <f aca="false">raw_data!S205</f>
        <v>151.25</v>
      </c>
      <c r="AB205" s="3" t="str">
        <f aca="false">PROPER(TRIM(raw_data!T205))</f>
        <v>Paid</v>
      </c>
      <c r="AC205" s="3" t="str">
        <f aca="false">PROPER(TRIM(raw_data!U205))</f>
        <v>Completed</v>
      </c>
      <c r="AD205" s="7" t="n">
        <f aca="false">T205*U205*(1-W205)</f>
        <v>484.789</v>
      </c>
      <c r="AE205" s="7" t="n">
        <f aca="false">AD205-Z205</f>
        <v>151.249</v>
      </c>
      <c r="AF205" s="8" t="n">
        <f aca="false">IF(AD205=0,0,AE205/AD205)</f>
        <v>0.311989339692113</v>
      </c>
      <c r="AG205" s="3" t="str">
        <f aca="false">IF(ABS(Y205-AD205)&gt;1,"Mismatch","OK")</f>
        <v>OK</v>
      </c>
      <c r="AH205" s="3" t="str">
        <f aca="false">IF(ABS(AA205-AE205)&gt;1,"Mismatch","OK")</f>
        <v>OK</v>
      </c>
      <c r="AI205" s="6" t="n">
        <f aca="false">IF(B205="","",MONTH(B205))</f>
        <v>3</v>
      </c>
      <c r="AJ205" s="6" t="n">
        <f aca="false">IF(B205="","",YEAR(B205))</f>
        <v>2024</v>
      </c>
      <c r="AK205" s="3" t="str">
        <f aca="false">IF(COUNTIF(raw_data!$A$2:$A$913,A205)&gt;1,"Conflicting Duplicate - Flagged for Review","Unique")</f>
        <v>Unique</v>
      </c>
      <c r="AL205" s="3" t="str">
        <f aca="false">IF(AB205="Refunded","Yes","No")</f>
        <v>No</v>
      </c>
      <c r="AM205" s="3" t="str">
        <f aca="false">IF(OR(AC205&lt;&gt;"Completed",AB205="Failed"),"Excluded","Included")</f>
        <v>Included</v>
      </c>
      <c r="AN205" s="3" t="str">
        <f aca="false">IF(OR(D205="Invalid/Unrecognized",E205="Invalid/Unrecognized",G205="Invalid - Ship Before Order",X205="Negative - Invalid",X205="Above Allowed Range - Invalid",AG205="Mismatch",AH205="Mismatch",AK205="Conflicting Duplicate - Flagged for Review"),"Invalid",IF(OR(L205="Filled - Unknown",S205="Filled - Unknown",X205="Missing - Defaulted to 0",AL205="Yes",AC205="Cancelled",AC205="Returned"),"Warning","Clean"))</f>
        <v>Clean</v>
      </c>
    </row>
    <row r="206" customFormat="false" ht="15" hidden="false" customHeight="false" outlineLevel="0" collapsed="false">
      <c r="A206" s="3" t="str">
        <f aca="false">raw_data!A206</f>
        <v>ORD-2025-10205</v>
      </c>
      <c r="B206" s="4" t="n">
        <f aca="false">IFERROR(IF(MID(raw_data!B206,3,1)="/",DATE(VALUE(RIGHT(raw_data!B206,4)),VALUE(LEFT(raw_data!B206,2)),VALUE(MID(raw_data!B206,4,2))),IF(MID(raw_data!B206,3,1)="-",DATE(VALUE(RIGHT(raw_data!B206,4)),VALUE(MID(raw_data!B206,4,2)),VALUE(LEFT(raw_data!B206,2))),IF(MID(raw_data!B206,5,1)="-",DATE(VALUE(LEFT(raw_data!B206,4)),VALUE(MID(raw_data!B206,6,2)),VALUE(RIGHT(raw_data!B206,2))),DATE(VALUE(RIGHT(raw_data!B206,4)),MATCH(MID(raw_data!B206,4,3),{"Jan","Feb","Mar","Apr","May","Jun","Jul","Aug","Sep","Oct","Nov","Dec"},0),VALUE(LEFT(raw_data!B206,2)))))),"")</f>
        <v>45858</v>
      </c>
      <c r="C206" s="4" t="n">
        <f aca="false">IFERROR(IF(MID(raw_data!C206,3,1)="/",DATE(VALUE(RIGHT(raw_data!C206,4)),VALUE(LEFT(raw_data!C206,2)),VALUE(MID(raw_data!C206,4,2))),IF(MID(raw_data!C206,3,1)="-",DATE(VALUE(RIGHT(raw_data!C206,4)),VALUE(MID(raw_data!C206,4,2)),VALUE(LEFT(raw_data!C206,2))),IF(MID(raw_data!C206,5,1)="-",DATE(VALUE(LEFT(raw_data!C206,4)),VALUE(MID(raw_data!C206,6,2)),VALUE(RIGHT(raw_data!C206,2))),DATE(VALUE(RIGHT(raw_data!C206,4)),MATCH(MID(raw_data!C206,4,3),{"Jan","Feb","Mar","Apr","May","Jun","Jul","Aug","Sep","Oct","Nov","Dec"},0),VALUE(LEFT(raw_data!C206,2)))))),"")</f>
        <v>45861</v>
      </c>
      <c r="D206" s="3" t="str">
        <f aca="false">IF(TRIM(raw_data!B206)="","Missing",IF(B206="","Invalid/Unrecognized","Valid"))</f>
        <v>Valid</v>
      </c>
      <c r="E206" s="3" t="str">
        <f aca="false">IF(TRIM(raw_data!C206)="","Missing",IF(C206="","Invalid/Unrecognized","Valid"))</f>
        <v>Valid</v>
      </c>
      <c r="F206" s="5" t="n">
        <f aca="false">IF(OR(B206="",C206=""),"",C206-B206)</f>
        <v>3</v>
      </c>
      <c r="G206" s="3" t="str">
        <f aca="false">IF(F206="","N/A",IF(F206&lt;0,"Invalid - Ship Before Order","OK"))</f>
        <v>OK</v>
      </c>
      <c r="H206" s="3" t="str">
        <f aca="false">raw_data!D206</f>
        <v>CUST-1986</v>
      </c>
      <c r="I206" s="3" t="str">
        <f aca="false">PROPER(TRIM(raw_data!E206))</f>
        <v>Mira Das</v>
      </c>
      <c r="J206" s="3" t="str">
        <f aca="false">PROPER(TRIM(raw_data!F206))</f>
        <v>Home Office</v>
      </c>
      <c r="K206" s="3" t="str">
        <f aca="false">IF(TRIM(raw_data!G206)="","Unknown",PROPER(TRIM(raw_data!G206)))</f>
        <v>East</v>
      </c>
      <c r="L206" s="3" t="str">
        <f aca="false">IF(TRIM(raw_data!G206)="","Filled - Unknown","OK")</f>
        <v>OK</v>
      </c>
      <c r="M206" s="3" t="str">
        <f aca="false">PROPER(TRIM(raw_data!H206))</f>
        <v>West Bengal</v>
      </c>
      <c r="N206" s="3" t="str">
        <f aca="false">PROPER(TRIM(raw_data!I206))</f>
        <v>Kolkata</v>
      </c>
      <c r="O206" s="3" t="str">
        <f aca="false">PROPER(TRIM(raw_data!J206))</f>
        <v>Furniture</v>
      </c>
      <c r="P206" s="3" t="str">
        <f aca="false">PROPER(TRIM(raw_data!K206))</f>
        <v>Tables</v>
      </c>
      <c r="Q206" s="3" t="str">
        <f aca="false">TRIM(raw_data!L206)</f>
        <v>Elite Tables 318</v>
      </c>
      <c r="R206" s="3" t="str">
        <f aca="false">IF(TRIM(raw_data!M206)="","Unknown",PROPER(TRIM(raw_data!M206)))</f>
        <v>Second Class</v>
      </c>
      <c r="S206" s="3" t="str">
        <f aca="false">IF(TRIM(raw_data!M206)="","Filled - Unknown","OK")</f>
        <v>OK</v>
      </c>
      <c r="T206" s="6" t="n">
        <f aca="false">raw_data!N206</f>
        <v>4</v>
      </c>
      <c r="U206" s="7" t="n">
        <f aca="false">raw_data!O206</f>
        <v>477.69</v>
      </c>
      <c r="V206" s="8" t="n">
        <f aca="false">raw_data!P206</f>
        <v>0.15</v>
      </c>
      <c r="W206" s="8" t="n">
        <f aca="false">IF(raw_data!P206="",0,IF(ISTEXT(raw_data!P206),IF(RIGHT(raw_data!P206,1)="%",VALUE(LEFT(raw_data!P206,LEN(raw_data!P206)-1))/100,VALUE(raw_data!P206)),raw_data!P206))</f>
        <v>0.15</v>
      </c>
      <c r="X206" s="3" t="str">
        <f aca="false">IF(raw_data!P206="","Missing - Defaulted to 0",IF(W206&lt;0,"Negative - Invalid",IF(W206&gt;0.3,"Above Allowed Range - Invalid","Valid")))</f>
        <v>Valid</v>
      </c>
      <c r="Y206" s="7" t="n">
        <f aca="false">raw_data!Q206</f>
        <v>1624.15</v>
      </c>
      <c r="Z206" s="7" t="n">
        <f aca="false">raw_data!R206</f>
        <v>1217.99</v>
      </c>
      <c r="AA206" s="7" t="n">
        <f aca="false">raw_data!S206</f>
        <v>406.16</v>
      </c>
      <c r="AB206" s="3" t="str">
        <f aca="false">PROPER(TRIM(raw_data!T206))</f>
        <v>Paid</v>
      </c>
      <c r="AC206" s="3" t="str">
        <f aca="false">PROPER(TRIM(raw_data!U206))</f>
        <v>Completed</v>
      </c>
      <c r="AD206" s="7" t="n">
        <f aca="false">T206*U206*(1-W206)</f>
        <v>1624.146</v>
      </c>
      <c r="AE206" s="7" t="n">
        <f aca="false">AD206-Z206</f>
        <v>406.156</v>
      </c>
      <c r="AF206" s="8" t="n">
        <f aca="false">IF(AD206=0,0,AE206/AD206)</f>
        <v>0.25007357712915</v>
      </c>
      <c r="AG206" s="3" t="str">
        <f aca="false">IF(ABS(Y206-AD206)&gt;1,"Mismatch","OK")</f>
        <v>OK</v>
      </c>
      <c r="AH206" s="3" t="str">
        <f aca="false">IF(ABS(AA206-AE206)&gt;1,"Mismatch","OK")</f>
        <v>OK</v>
      </c>
      <c r="AI206" s="6" t="n">
        <f aca="false">IF(B206="","",MONTH(B206))</f>
        <v>7</v>
      </c>
      <c r="AJ206" s="6" t="n">
        <f aca="false">IF(B206="","",YEAR(B206))</f>
        <v>2025</v>
      </c>
      <c r="AK206" s="3" t="str">
        <f aca="false">IF(COUNTIF(raw_data!$A$2:$A$913,A206)&gt;1,"Conflicting Duplicate - Flagged for Review","Unique")</f>
        <v>Unique</v>
      </c>
      <c r="AL206" s="3" t="str">
        <f aca="false">IF(AB206="Refunded","Yes","No")</f>
        <v>No</v>
      </c>
      <c r="AM206" s="3" t="str">
        <f aca="false">IF(OR(AC206&lt;&gt;"Completed",AB206="Failed"),"Excluded","Included")</f>
        <v>Included</v>
      </c>
      <c r="AN206" s="3" t="str">
        <f aca="false">IF(OR(D206="Invalid/Unrecognized",E206="Invalid/Unrecognized",G206="Invalid - Ship Before Order",X206="Negative - Invalid",X206="Above Allowed Range - Invalid",AG206="Mismatch",AH206="Mismatch",AK206="Conflicting Duplicate - Flagged for Review"),"Invalid",IF(OR(L206="Filled - Unknown",S206="Filled - Unknown",X206="Missing - Defaulted to 0",AL206="Yes",AC206="Cancelled",AC206="Returned"),"Warning","Clean"))</f>
        <v>Clean</v>
      </c>
    </row>
    <row r="207" customFormat="false" ht="15" hidden="false" customHeight="false" outlineLevel="0" collapsed="false">
      <c r="A207" s="3" t="str">
        <f aca="false">raw_data!A207</f>
        <v>ORD-2025-10206</v>
      </c>
      <c r="B207" s="4" t="n">
        <f aca="false">IFERROR(IF(MID(raw_data!B207,3,1)="/",DATE(VALUE(RIGHT(raw_data!B207,4)),VALUE(LEFT(raw_data!B207,2)),VALUE(MID(raw_data!B207,4,2))),IF(MID(raw_data!B207,3,1)="-",DATE(VALUE(RIGHT(raw_data!B207,4)),VALUE(MID(raw_data!B207,4,2)),VALUE(LEFT(raw_data!B207,2))),IF(MID(raw_data!B207,5,1)="-",DATE(VALUE(LEFT(raw_data!B207,4)),VALUE(MID(raw_data!B207,6,2)),VALUE(RIGHT(raw_data!B207,2))),DATE(VALUE(RIGHT(raw_data!B207,4)),MATCH(MID(raw_data!B207,4,3),{"Jan","Feb","Mar","Apr","May","Jun","Jul","Aug","Sep","Oct","Nov","Dec"},0),VALUE(LEFT(raw_data!B207,2)))))),"")</f>
        <v>45768</v>
      </c>
      <c r="C207" s="4" t="n">
        <f aca="false">IFERROR(IF(MID(raw_data!C207,3,1)="/",DATE(VALUE(RIGHT(raw_data!C207,4)),VALUE(LEFT(raw_data!C207,2)),VALUE(MID(raw_data!C207,4,2))),IF(MID(raw_data!C207,3,1)="-",DATE(VALUE(RIGHT(raw_data!C207,4)),VALUE(MID(raw_data!C207,4,2)),VALUE(LEFT(raw_data!C207,2))),IF(MID(raw_data!C207,5,1)="-",DATE(VALUE(LEFT(raw_data!C207,4)),VALUE(MID(raw_data!C207,6,2)),VALUE(RIGHT(raw_data!C207,2))),DATE(VALUE(RIGHT(raw_data!C207,4)),MATCH(MID(raw_data!C207,4,3),{"Jan","Feb","Mar","Apr","May","Jun","Jul","Aug","Sep","Oct","Nov","Dec"},0),VALUE(LEFT(raw_data!C207,2)))))),"")</f>
        <v>45773</v>
      </c>
      <c r="D207" s="3" t="str">
        <f aca="false">IF(TRIM(raw_data!B207)="","Missing",IF(B207="","Invalid/Unrecognized","Valid"))</f>
        <v>Valid</v>
      </c>
      <c r="E207" s="3" t="str">
        <f aca="false">IF(TRIM(raw_data!C207)="","Missing",IF(C207="","Invalid/Unrecognized","Valid"))</f>
        <v>Valid</v>
      </c>
      <c r="F207" s="5" t="n">
        <f aca="false">IF(OR(B207="",C207=""),"",C207-B207)</f>
        <v>5</v>
      </c>
      <c r="G207" s="3" t="str">
        <f aca="false">IF(F207="","N/A",IF(F207&lt;0,"Invalid - Ship Before Order","OK"))</f>
        <v>OK</v>
      </c>
      <c r="H207" s="3" t="str">
        <f aca="false">raw_data!D207</f>
        <v>CUST-3338</v>
      </c>
      <c r="I207" s="3" t="str">
        <f aca="false">PROPER(TRIM(raw_data!E207))</f>
        <v>Ananya Rao</v>
      </c>
      <c r="J207" s="3" t="str">
        <f aca="false">PROPER(TRIM(raw_data!F207))</f>
        <v>Consumer</v>
      </c>
      <c r="K207" s="3" t="str">
        <f aca="false">IF(TRIM(raw_data!G207)="","Unknown",PROPER(TRIM(raw_data!G207)))</f>
        <v>West</v>
      </c>
      <c r="L207" s="3" t="str">
        <f aca="false">IF(TRIM(raw_data!G207)="","Filled - Unknown","OK")</f>
        <v>OK</v>
      </c>
      <c r="M207" s="3" t="str">
        <f aca="false">PROPER(TRIM(raw_data!H207))</f>
        <v>Maharashtra</v>
      </c>
      <c r="N207" s="3" t="str">
        <f aca="false">PROPER(TRIM(raw_data!I207))</f>
        <v>Mumbai</v>
      </c>
      <c r="O207" s="3" t="str">
        <f aca="false">PROPER(TRIM(raw_data!J207))</f>
        <v>Office Supplies</v>
      </c>
      <c r="P207" s="3" t="str">
        <f aca="false">PROPER(TRIM(raw_data!K207))</f>
        <v>Labels</v>
      </c>
      <c r="Q207" s="3" t="str">
        <f aca="false">TRIM(raw_data!L207)</f>
        <v>Smart Labels 354</v>
      </c>
      <c r="R207" s="3" t="str">
        <f aca="false">IF(TRIM(raw_data!M207)="","Unknown",PROPER(TRIM(raw_data!M207)))</f>
        <v>Same Day</v>
      </c>
      <c r="S207" s="3" t="str">
        <f aca="false">IF(TRIM(raw_data!M207)="","Filled - Unknown","OK")</f>
        <v>OK</v>
      </c>
      <c r="T207" s="6" t="n">
        <f aca="false">raw_data!N207</f>
        <v>6</v>
      </c>
      <c r="U207" s="7" t="n">
        <f aca="false">raw_data!O207</f>
        <v>873.59</v>
      </c>
      <c r="V207" s="8" t="n">
        <f aca="false">raw_data!P207</f>
        <v>0.2</v>
      </c>
      <c r="W207" s="8" t="n">
        <f aca="false">IF(raw_data!P207="",0,IF(ISTEXT(raw_data!P207),IF(RIGHT(raw_data!P207,1)="%",VALUE(LEFT(raw_data!P207,LEN(raw_data!P207)-1))/100,VALUE(raw_data!P207)),raw_data!P207))</f>
        <v>0.2</v>
      </c>
      <c r="X207" s="3" t="str">
        <f aca="false">IF(raw_data!P207="","Missing - Defaulted to 0",IF(W207&lt;0,"Negative - Invalid",IF(W207&gt;0.3,"Above Allowed Range - Invalid","Valid")))</f>
        <v>Valid</v>
      </c>
      <c r="Y207" s="7" t="n">
        <f aca="false">raw_data!Q207</f>
        <v>4193.23</v>
      </c>
      <c r="Z207" s="7" t="n">
        <f aca="false">raw_data!R207</f>
        <v>3329.99</v>
      </c>
      <c r="AA207" s="7" t="n">
        <f aca="false">raw_data!S207</f>
        <v>863.24</v>
      </c>
      <c r="AB207" s="3" t="str">
        <f aca="false">PROPER(TRIM(raw_data!T207))</f>
        <v>Paid</v>
      </c>
      <c r="AC207" s="3" t="str">
        <f aca="false">PROPER(TRIM(raw_data!U207))</f>
        <v>Completed</v>
      </c>
      <c r="AD207" s="7" t="n">
        <f aca="false">T207*U207*(1-W207)</f>
        <v>4193.232</v>
      </c>
      <c r="AE207" s="7" t="n">
        <f aca="false">AD207-Z207</f>
        <v>863.242</v>
      </c>
      <c r="AF207" s="8" t="n">
        <f aca="false">IF(AD207=0,0,AE207/AD207)</f>
        <v>0.205865547148357</v>
      </c>
      <c r="AG207" s="3" t="str">
        <f aca="false">IF(ABS(Y207-AD207)&gt;1,"Mismatch","OK")</f>
        <v>OK</v>
      </c>
      <c r="AH207" s="3" t="str">
        <f aca="false">IF(ABS(AA207-AE207)&gt;1,"Mismatch","OK")</f>
        <v>OK</v>
      </c>
      <c r="AI207" s="6" t="n">
        <f aca="false">IF(B207="","",MONTH(B207))</f>
        <v>4</v>
      </c>
      <c r="AJ207" s="6" t="n">
        <f aca="false">IF(B207="","",YEAR(B207))</f>
        <v>2025</v>
      </c>
      <c r="AK207" s="3" t="str">
        <f aca="false">IF(COUNTIF(raw_data!$A$2:$A$913,A207)&gt;1,"Conflicting Duplicate - Flagged for Review","Unique")</f>
        <v>Unique</v>
      </c>
      <c r="AL207" s="3" t="str">
        <f aca="false">IF(AB207="Refunded","Yes","No")</f>
        <v>No</v>
      </c>
      <c r="AM207" s="3" t="str">
        <f aca="false">IF(OR(AC207&lt;&gt;"Completed",AB207="Failed"),"Excluded","Included")</f>
        <v>Included</v>
      </c>
      <c r="AN207" s="3" t="str">
        <f aca="false">IF(OR(D207="Invalid/Unrecognized",E207="Invalid/Unrecognized",G207="Invalid - Ship Before Order",X207="Negative - Invalid",X207="Above Allowed Range - Invalid",AG207="Mismatch",AH207="Mismatch",AK207="Conflicting Duplicate - Flagged for Review"),"Invalid",IF(OR(L207="Filled - Unknown",S207="Filled - Unknown",X207="Missing - Defaulted to 0",AL207="Yes",AC207="Cancelled",AC207="Returned"),"Warning","Clean"))</f>
        <v>Clean</v>
      </c>
    </row>
    <row r="208" customFormat="false" ht="15" hidden="false" customHeight="false" outlineLevel="0" collapsed="false">
      <c r="A208" s="3" t="str">
        <f aca="false">raw_data!A208</f>
        <v>ORD-2025-10207</v>
      </c>
      <c r="B208" s="4" t="n">
        <f aca="false">IFERROR(IF(MID(raw_data!B208,3,1)="/",DATE(VALUE(RIGHT(raw_data!B208,4)),VALUE(LEFT(raw_data!B208,2)),VALUE(MID(raw_data!B208,4,2))),IF(MID(raw_data!B208,3,1)="-",DATE(VALUE(RIGHT(raw_data!B208,4)),VALUE(MID(raw_data!B208,4,2)),VALUE(LEFT(raw_data!B208,2))),IF(MID(raw_data!B208,5,1)="-",DATE(VALUE(LEFT(raw_data!B208,4)),VALUE(MID(raw_data!B208,6,2)),VALUE(RIGHT(raw_data!B208,2))),DATE(VALUE(RIGHT(raw_data!B208,4)),MATCH(MID(raw_data!B208,4,3),{"Jan","Feb","Mar","Apr","May","Jun","Jul","Aug","Sep","Oct","Nov","Dec"},0),VALUE(LEFT(raw_data!B208,2)))))),"")</f>
        <v>45795</v>
      </c>
      <c r="C208" s="4" t="n">
        <f aca="false">IFERROR(IF(MID(raw_data!C208,3,1)="/",DATE(VALUE(RIGHT(raw_data!C208,4)),VALUE(LEFT(raw_data!C208,2)),VALUE(MID(raw_data!C208,4,2))),IF(MID(raw_data!C208,3,1)="-",DATE(VALUE(RIGHT(raw_data!C208,4)),VALUE(MID(raw_data!C208,4,2)),VALUE(LEFT(raw_data!C208,2))),IF(MID(raw_data!C208,5,1)="-",DATE(VALUE(LEFT(raw_data!C208,4)),VALUE(MID(raw_data!C208,6,2)),VALUE(RIGHT(raw_data!C208,2))),DATE(VALUE(RIGHT(raw_data!C208,4)),MATCH(MID(raw_data!C208,4,3),{"Jan","Feb","Mar","Apr","May","Jun","Jul","Aug","Sep","Oct","Nov","Dec"},0),VALUE(LEFT(raw_data!C208,2)))))),"")</f>
        <v>45797</v>
      </c>
      <c r="D208" s="3" t="str">
        <f aca="false">IF(TRIM(raw_data!B208)="","Missing",IF(B208="","Invalid/Unrecognized","Valid"))</f>
        <v>Valid</v>
      </c>
      <c r="E208" s="3" t="str">
        <f aca="false">IF(TRIM(raw_data!C208)="","Missing",IF(C208="","Invalid/Unrecognized","Valid"))</f>
        <v>Valid</v>
      </c>
      <c r="F208" s="5" t="n">
        <f aca="false">IF(OR(B208="",C208=""),"",C208-B208)</f>
        <v>2</v>
      </c>
      <c r="G208" s="3" t="str">
        <f aca="false">IF(F208="","N/A",IF(F208&lt;0,"Invalid - Ship Before Order","OK"))</f>
        <v>OK</v>
      </c>
      <c r="H208" s="3" t="str">
        <f aca="false">raw_data!D208</f>
        <v>CUST-2343</v>
      </c>
      <c r="I208" s="3" t="str">
        <f aca="false">PROPER(TRIM(raw_data!E208))</f>
        <v>Diya Patel</v>
      </c>
      <c r="J208" s="3" t="str">
        <f aca="false">PROPER(TRIM(raw_data!F208))</f>
        <v>Small Business</v>
      </c>
      <c r="K208" s="3" t="str">
        <f aca="false">IF(TRIM(raw_data!G208)="","Unknown",PROPER(TRIM(raw_data!G208)))</f>
        <v>North</v>
      </c>
      <c r="L208" s="3" t="str">
        <f aca="false">IF(TRIM(raw_data!G208)="","Filled - Unknown","OK")</f>
        <v>OK</v>
      </c>
      <c r="M208" s="3" t="str">
        <f aca="false">PROPER(TRIM(raw_data!H208))</f>
        <v>Uttar Pradesh</v>
      </c>
      <c r="N208" s="3" t="str">
        <f aca="false">PROPER(TRIM(raw_data!I208))</f>
        <v>Noida</v>
      </c>
      <c r="O208" s="3" t="str">
        <f aca="false">PROPER(TRIM(raw_data!J208))</f>
        <v>Furniture</v>
      </c>
      <c r="P208" s="3" t="str">
        <f aca="false">PROPER(TRIM(raw_data!K208))</f>
        <v>Furnishings</v>
      </c>
      <c r="Q208" s="3" t="str">
        <f aca="false">TRIM(raw_data!L208)</f>
        <v>Pro Furnishings 981</v>
      </c>
      <c r="R208" s="3" t="str">
        <f aca="false">IF(TRIM(raw_data!M208)="","Unknown",PROPER(TRIM(raw_data!M208)))</f>
        <v>First Class</v>
      </c>
      <c r="S208" s="3" t="str">
        <f aca="false">IF(TRIM(raw_data!M208)="","Filled - Unknown","OK")</f>
        <v>OK</v>
      </c>
      <c r="T208" s="6" t="n">
        <f aca="false">raw_data!N208</f>
        <v>2</v>
      </c>
      <c r="U208" s="7" t="n">
        <f aca="false">raw_data!O208</f>
        <v>215.13</v>
      </c>
      <c r="V208" s="8" t="n">
        <f aca="false">raw_data!P208</f>
        <v>0</v>
      </c>
      <c r="W208" s="8" t="n">
        <f aca="false">IF(raw_data!P208="",0,IF(ISTEXT(raw_data!P208),IF(RIGHT(raw_data!P208,1)="%",VALUE(LEFT(raw_data!P208,LEN(raw_data!P208)-1))/100,VALUE(raw_data!P208)),raw_data!P208))</f>
        <v>0</v>
      </c>
      <c r="X208" s="3" t="str">
        <f aca="false">IF(raw_data!P208="","Missing - Defaulted to 0",IF(W208&lt;0,"Negative - Invalid",IF(W208&gt;0.3,"Above Allowed Range - Invalid","Valid")))</f>
        <v>Valid</v>
      </c>
      <c r="Y208" s="7" t="n">
        <f aca="false">raw_data!Q208</f>
        <v>430.26</v>
      </c>
      <c r="Z208" s="7" t="n">
        <f aca="false">raw_data!R208</f>
        <v>286.38</v>
      </c>
      <c r="AA208" s="7" t="n">
        <f aca="false">raw_data!S208</f>
        <v>143.88</v>
      </c>
      <c r="AB208" s="3" t="str">
        <f aca="false">PROPER(TRIM(raw_data!T208))</f>
        <v>Paid</v>
      </c>
      <c r="AC208" s="3" t="str">
        <f aca="false">PROPER(TRIM(raw_data!U208))</f>
        <v>Completed</v>
      </c>
      <c r="AD208" s="7" t="n">
        <f aca="false">T208*U208*(1-W208)</f>
        <v>430.26</v>
      </c>
      <c r="AE208" s="7" t="n">
        <f aca="false">AD208-Z208</f>
        <v>143.88</v>
      </c>
      <c r="AF208" s="8" t="n">
        <f aca="false">IF(AD208=0,0,AE208/AD208)</f>
        <v>0.33440245432994</v>
      </c>
      <c r="AG208" s="3" t="str">
        <f aca="false">IF(ABS(Y208-AD208)&gt;1,"Mismatch","OK")</f>
        <v>OK</v>
      </c>
      <c r="AH208" s="3" t="str">
        <f aca="false">IF(ABS(AA208-AE208)&gt;1,"Mismatch","OK")</f>
        <v>OK</v>
      </c>
      <c r="AI208" s="6" t="n">
        <f aca="false">IF(B208="","",MONTH(B208))</f>
        <v>5</v>
      </c>
      <c r="AJ208" s="6" t="n">
        <f aca="false">IF(B208="","",YEAR(B208))</f>
        <v>2025</v>
      </c>
      <c r="AK208" s="3" t="str">
        <f aca="false">IF(COUNTIF(raw_data!$A$2:$A$913,A208)&gt;1,"Conflicting Duplicate - Flagged for Review","Unique")</f>
        <v>Unique</v>
      </c>
      <c r="AL208" s="3" t="str">
        <f aca="false">IF(AB208="Refunded","Yes","No")</f>
        <v>No</v>
      </c>
      <c r="AM208" s="3" t="str">
        <f aca="false">IF(OR(AC208&lt;&gt;"Completed",AB208="Failed"),"Excluded","Included")</f>
        <v>Included</v>
      </c>
      <c r="AN208" s="3" t="str">
        <f aca="false">IF(OR(D208="Invalid/Unrecognized",E208="Invalid/Unrecognized",G208="Invalid - Ship Before Order",X208="Negative - Invalid",X208="Above Allowed Range - Invalid",AG208="Mismatch",AH208="Mismatch",AK208="Conflicting Duplicate - Flagged for Review"),"Invalid",IF(OR(L208="Filled - Unknown",S208="Filled - Unknown",X208="Missing - Defaulted to 0",AL208="Yes",AC208="Cancelled",AC208="Returned"),"Warning","Clean"))</f>
        <v>Clean</v>
      </c>
    </row>
    <row r="209" customFormat="false" ht="15" hidden="false" customHeight="false" outlineLevel="0" collapsed="false">
      <c r="A209" s="3" t="str">
        <f aca="false">raw_data!A209</f>
        <v>ORD-2024-10208</v>
      </c>
      <c r="B209" s="4" t="n">
        <f aca="false">IFERROR(IF(MID(raw_data!B209,3,1)="/",DATE(VALUE(RIGHT(raw_data!B209,4)),VALUE(LEFT(raw_data!B209,2)),VALUE(MID(raw_data!B209,4,2))),IF(MID(raw_data!B209,3,1)="-",DATE(VALUE(RIGHT(raw_data!B209,4)),VALUE(MID(raw_data!B209,4,2)),VALUE(LEFT(raw_data!B209,2))),IF(MID(raw_data!B209,5,1)="-",DATE(VALUE(LEFT(raw_data!B209,4)),VALUE(MID(raw_data!B209,6,2)),VALUE(RIGHT(raw_data!B209,2))),DATE(VALUE(RIGHT(raw_data!B209,4)),MATCH(MID(raw_data!B209,4,3),{"Jan","Feb","Mar","Apr","May","Jun","Jul","Aug","Sep","Oct","Nov","Dec"},0),VALUE(LEFT(raw_data!B209,2)))))),"")</f>
        <v>45483</v>
      </c>
      <c r="C209" s="4" t="n">
        <f aca="false">IFERROR(IF(MID(raw_data!C209,3,1)="/",DATE(VALUE(RIGHT(raw_data!C209,4)),VALUE(LEFT(raw_data!C209,2)),VALUE(MID(raw_data!C209,4,2))),IF(MID(raw_data!C209,3,1)="-",DATE(VALUE(RIGHT(raw_data!C209,4)),VALUE(MID(raw_data!C209,4,2)),VALUE(LEFT(raw_data!C209,2))),IF(MID(raw_data!C209,5,1)="-",DATE(VALUE(LEFT(raw_data!C209,4)),VALUE(MID(raw_data!C209,6,2)),VALUE(RIGHT(raw_data!C209,2))),DATE(VALUE(RIGHT(raw_data!C209,4)),MATCH(MID(raw_data!C209,4,3),{"Jan","Feb","Mar","Apr","May","Jun","Jul","Aug","Sep","Oct","Nov","Dec"},0),VALUE(LEFT(raw_data!C209,2)))))),"")</f>
        <v>45489</v>
      </c>
      <c r="D209" s="3" t="str">
        <f aca="false">IF(TRIM(raw_data!B209)="","Missing",IF(B209="","Invalid/Unrecognized","Valid"))</f>
        <v>Valid</v>
      </c>
      <c r="E209" s="3" t="str">
        <f aca="false">IF(TRIM(raw_data!C209)="","Missing",IF(C209="","Invalid/Unrecognized","Valid"))</f>
        <v>Valid</v>
      </c>
      <c r="F209" s="5" t="n">
        <f aca="false">IF(OR(B209="",C209=""),"",C209-B209)</f>
        <v>6</v>
      </c>
      <c r="G209" s="3" t="str">
        <f aca="false">IF(F209="","N/A",IF(F209&lt;0,"Invalid - Ship Before Order","OK"))</f>
        <v>OK</v>
      </c>
      <c r="H209" s="3" t="str">
        <f aca="false">raw_data!D209</f>
        <v>CUST-3362</v>
      </c>
      <c r="I209" s="3" t="str">
        <f aca="false">PROPER(TRIM(raw_data!E209))</f>
        <v>Aarav Sharma</v>
      </c>
      <c r="J209" s="3" t="str">
        <f aca="false">PROPER(TRIM(raw_data!F209))</f>
        <v>Home Office</v>
      </c>
      <c r="K209" s="3" t="str">
        <f aca="false">IF(TRIM(raw_data!G209)="","Unknown",PROPER(TRIM(raw_data!G209)))</f>
        <v>West</v>
      </c>
      <c r="L209" s="3" t="str">
        <f aca="false">IF(TRIM(raw_data!G209)="","Filled - Unknown","OK")</f>
        <v>OK</v>
      </c>
      <c r="M209" s="3" t="str">
        <f aca="false">PROPER(TRIM(raw_data!H209))</f>
        <v>Goa</v>
      </c>
      <c r="N209" s="3" t="str">
        <f aca="false">PROPER(TRIM(raw_data!I209))</f>
        <v>Panaji</v>
      </c>
      <c r="O209" s="3" t="str">
        <f aca="false">PROPER(TRIM(raw_data!J209))</f>
        <v>Furniture</v>
      </c>
      <c r="P209" s="3" t="str">
        <f aca="false">PROPER(TRIM(raw_data!K209))</f>
        <v>Bookcases</v>
      </c>
      <c r="Q209" s="3" t="str">
        <f aca="false">TRIM(raw_data!L209)</f>
        <v>Eco Bookcases 671</v>
      </c>
      <c r="R209" s="3" t="str">
        <f aca="false">IF(TRIM(raw_data!M209)="","Unknown",PROPER(TRIM(raw_data!M209)))</f>
        <v>Second Class</v>
      </c>
      <c r="S209" s="3" t="str">
        <f aca="false">IF(TRIM(raw_data!M209)="","Filled - Unknown","OK")</f>
        <v>OK</v>
      </c>
      <c r="T209" s="6" t="n">
        <f aca="false">raw_data!N209</f>
        <v>2</v>
      </c>
      <c r="U209" s="7" t="n">
        <f aca="false">raw_data!O209</f>
        <v>1095.45</v>
      </c>
      <c r="V209" s="8" t="n">
        <f aca="false">raw_data!P209</f>
        <v>0.2</v>
      </c>
      <c r="W209" s="8" t="n">
        <f aca="false">IF(raw_data!P209="",0,IF(ISTEXT(raw_data!P209),IF(RIGHT(raw_data!P209,1)="%",VALUE(LEFT(raw_data!P209,LEN(raw_data!P209)-1))/100,VALUE(raw_data!P209)),raw_data!P209))</f>
        <v>0.2</v>
      </c>
      <c r="X209" s="3" t="str">
        <f aca="false">IF(raw_data!P209="","Missing - Defaulted to 0",IF(W209&lt;0,"Negative - Invalid",IF(W209&gt;0.3,"Above Allowed Range - Invalid","Valid")))</f>
        <v>Valid</v>
      </c>
      <c r="Y209" s="7" t="n">
        <f aca="false">raw_data!Q209</f>
        <v>1752.72</v>
      </c>
      <c r="Z209" s="7" t="n">
        <f aca="false">raw_data!R209</f>
        <v>996.41</v>
      </c>
      <c r="AA209" s="7" t="n">
        <f aca="false">raw_data!S209</f>
        <v>756.31</v>
      </c>
      <c r="AB209" s="3" t="str">
        <f aca="false">PROPER(TRIM(raw_data!T209))</f>
        <v>Paid</v>
      </c>
      <c r="AC209" s="3" t="str">
        <f aca="false">PROPER(TRIM(raw_data!U209))</f>
        <v>Completed</v>
      </c>
      <c r="AD209" s="7" t="n">
        <f aca="false">T209*U209*(1-W209)</f>
        <v>1752.72</v>
      </c>
      <c r="AE209" s="7" t="n">
        <f aca="false">AD209-Z209</f>
        <v>756.31</v>
      </c>
      <c r="AF209" s="8" t="n">
        <f aca="false">IF(AD209=0,0,AE209/AD209)</f>
        <v>0.431506458533023</v>
      </c>
      <c r="AG209" s="3" t="str">
        <f aca="false">IF(ABS(Y209-AD209)&gt;1,"Mismatch","OK")</f>
        <v>OK</v>
      </c>
      <c r="AH209" s="3" t="str">
        <f aca="false">IF(ABS(AA209-AE209)&gt;1,"Mismatch","OK")</f>
        <v>OK</v>
      </c>
      <c r="AI209" s="6" t="n">
        <f aca="false">IF(B209="","",MONTH(B209))</f>
        <v>7</v>
      </c>
      <c r="AJ209" s="6" t="n">
        <f aca="false">IF(B209="","",YEAR(B209))</f>
        <v>2024</v>
      </c>
      <c r="AK209" s="3" t="str">
        <f aca="false">IF(COUNTIF(raw_data!$A$2:$A$913,A209)&gt;1,"Conflicting Duplicate - Flagged for Review","Unique")</f>
        <v>Unique</v>
      </c>
      <c r="AL209" s="3" t="str">
        <f aca="false">IF(AB209="Refunded","Yes","No")</f>
        <v>No</v>
      </c>
      <c r="AM209" s="3" t="str">
        <f aca="false">IF(OR(AC209&lt;&gt;"Completed",AB209="Failed"),"Excluded","Included")</f>
        <v>Included</v>
      </c>
      <c r="AN209" s="3" t="str">
        <f aca="false">IF(OR(D209="Invalid/Unrecognized",E209="Invalid/Unrecognized",G209="Invalid - Ship Before Order",X209="Negative - Invalid",X209="Above Allowed Range - Invalid",AG209="Mismatch",AH209="Mismatch",AK209="Conflicting Duplicate - Flagged for Review"),"Invalid",IF(OR(L209="Filled - Unknown",S209="Filled - Unknown",X209="Missing - Defaulted to 0",AL209="Yes",AC209="Cancelled",AC209="Returned"),"Warning","Clean"))</f>
        <v>Clean</v>
      </c>
    </row>
    <row r="210" customFormat="false" ht="15" hidden="false" customHeight="false" outlineLevel="0" collapsed="false">
      <c r="A210" s="3" t="str">
        <f aca="false">raw_data!A210</f>
        <v>ORD-2025-10209</v>
      </c>
      <c r="B210" s="4" t="n">
        <f aca="false">IFERROR(IF(MID(raw_data!B210,3,1)="/",DATE(VALUE(RIGHT(raw_data!B210,4)),VALUE(LEFT(raw_data!B210,2)),VALUE(MID(raw_data!B210,4,2))),IF(MID(raw_data!B210,3,1)="-",DATE(VALUE(RIGHT(raw_data!B210,4)),VALUE(MID(raw_data!B210,4,2)),VALUE(LEFT(raw_data!B210,2))),IF(MID(raw_data!B210,5,1)="-",DATE(VALUE(LEFT(raw_data!B210,4)),VALUE(MID(raw_data!B210,6,2)),VALUE(RIGHT(raw_data!B210,2))),DATE(VALUE(RIGHT(raw_data!B210,4)),MATCH(MID(raw_data!B210,4,3),{"Jan","Feb","Mar","Apr","May","Jun","Jul","Aug","Sep","Oct","Nov","Dec"},0),VALUE(LEFT(raw_data!B210,2)))))),"")</f>
        <v>45837</v>
      </c>
      <c r="C210" s="4" t="n">
        <f aca="false">IFERROR(IF(MID(raw_data!C210,3,1)="/",DATE(VALUE(RIGHT(raw_data!C210,4)),VALUE(LEFT(raw_data!C210,2)),VALUE(MID(raw_data!C210,4,2))),IF(MID(raw_data!C210,3,1)="-",DATE(VALUE(RIGHT(raw_data!C210,4)),VALUE(MID(raw_data!C210,4,2)),VALUE(LEFT(raw_data!C210,2))),IF(MID(raw_data!C210,5,1)="-",DATE(VALUE(LEFT(raw_data!C210,4)),VALUE(MID(raw_data!C210,6,2)),VALUE(RIGHT(raw_data!C210,2))),DATE(VALUE(RIGHT(raw_data!C210,4)),MATCH(MID(raw_data!C210,4,3),{"Jan","Feb","Mar","Apr","May","Jun","Jul","Aug","Sep","Oct","Nov","Dec"},0),VALUE(LEFT(raw_data!C210,2)))))),"")</f>
        <v>45843</v>
      </c>
      <c r="D210" s="3" t="str">
        <f aca="false">IF(TRIM(raw_data!B210)="","Missing",IF(B210="","Invalid/Unrecognized","Valid"))</f>
        <v>Valid</v>
      </c>
      <c r="E210" s="3" t="str">
        <f aca="false">IF(TRIM(raw_data!C210)="","Missing",IF(C210="","Invalid/Unrecognized","Valid"))</f>
        <v>Valid</v>
      </c>
      <c r="F210" s="5" t="n">
        <f aca="false">IF(OR(B210="",C210=""),"",C210-B210)</f>
        <v>6</v>
      </c>
      <c r="G210" s="3" t="str">
        <f aca="false">IF(F210="","N/A",IF(F210&lt;0,"Invalid - Ship Before Order","OK"))</f>
        <v>OK</v>
      </c>
      <c r="H210" s="3" t="str">
        <f aca="false">raw_data!D210</f>
        <v>CUST-3662</v>
      </c>
      <c r="I210" s="3" t="str">
        <f aca="false">PROPER(TRIM(raw_data!E210))</f>
        <v>Diya Patel</v>
      </c>
      <c r="J210" s="3" t="str">
        <f aca="false">PROPER(TRIM(raw_data!F210))</f>
        <v>Consumer</v>
      </c>
      <c r="K210" s="3" t="str">
        <f aca="false">IF(TRIM(raw_data!G210)="","Unknown",PROPER(TRIM(raw_data!G210)))</f>
        <v>North</v>
      </c>
      <c r="L210" s="3" t="str">
        <f aca="false">IF(TRIM(raw_data!G210)="","Filled - Unknown","OK")</f>
        <v>OK</v>
      </c>
      <c r="M210" s="3" t="str">
        <f aca="false">PROPER(TRIM(raw_data!H210))</f>
        <v>Punjab</v>
      </c>
      <c r="N210" s="3" t="str">
        <f aca="false">PROPER(TRIM(raw_data!I210))</f>
        <v>Ludhiana</v>
      </c>
      <c r="O210" s="3" t="str">
        <f aca="false">PROPER(TRIM(raw_data!J210))</f>
        <v>Furniture</v>
      </c>
      <c r="P210" s="3" t="str">
        <f aca="false">PROPER(TRIM(raw_data!K210))</f>
        <v>Chairs</v>
      </c>
      <c r="Q210" s="3" t="str">
        <f aca="false">TRIM(raw_data!L210)</f>
        <v>Max Chairs 151</v>
      </c>
      <c r="R210" s="3" t="str">
        <f aca="false">IF(TRIM(raw_data!M210)="","Unknown",PROPER(TRIM(raw_data!M210)))</f>
        <v>Same Day</v>
      </c>
      <c r="S210" s="3" t="str">
        <f aca="false">IF(TRIM(raw_data!M210)="","Filled - Unknown","OK")</f>
        <v>OK</v>
      </c>
      <c r="T210" s="6" t="n">
        <f aca="false">raw_data!N210</f>
        <v>1</v>
      </c>
      <c r="U210" s="7" t="n">
        <f aca="false">raw_data!O210</f>
        <v>999.83</v>
      </c>
      <c r="V210" s="8" t="n">
        <f aca="false">raw_data!P210</f>
        <v>0</v>
      </c>
      <c r="W210" s="8" t="n">
        <f aca="false">IF(raw_data!P210="",0,IF(ISTEXT(raw_data!P210),IF(RIGHT(raw_data!P210,1)="%",VALUE(LEFT(raw_data!P210,LEN(raw_data!P210)-1))/100,VALUE(raw_data!P210)),raw_data!P210))</f>
        <v>0</v>
      </c>
      <c r="X210" s="3" t="str">
        <f aca="false">IF(raw_data!P210="","Missing - Defaulted to 0",IF(W210&lt;0,"Negative - Invalid",IF(W210&gt;0.3,"Above Allowed Range - Invalid","Valid")))</f>
        <v>Valid</v>
      </c>
      <c r="Y210" s="7" t="n">
        <f aca="false">raw_data!Q210</f>
        <v>999.83</v>
      </c>
      <c r="Z210" s="7" t="n">
        <f aca="false">raw_data!R210</f>
        <v>634.91</v>
      </c>
      <c r="AA210" s="7" t="n">
        <f aca="false">raw_data!S210</f>
        <v>364.92</v>
      </c>
      <c r="AB210" s="3" t="str">
        <f aca="false">PROPER(TRIM(raw_data!T210))</f>
        <v>Paid</v>
      </c>
      <c r="AC210" s="3" t="str">
        <f aca="false">PROPER(TRIM(raw_data!U210))</f>
        <v>Completed</v>
      </c>
      <c r="AD210" s="7" t="n">
        <f aca="false">T210*U210*(1-W210)</f>
        <v>999.83</v>
      </c>
      <c r="AE210" s="7" t="n">
        <f aca="false">AD210-Z210</f>
        <v>364.92</v>
      </c>
      <c r="AF210" s="8" t="n">
        <f aca="false">IF(AD210=0,0,AE210/AD210)</f>
        <v>0.364982046947981</v>
      </c>
      <c r="AG210" s="3" t="str">
        <f aca="false">IF(ABS(Y210-AD210)&gt;1,"Mismatch","OK")</f>
        <v>OK</v>
      </c>
      <c r="AH210" s="3" t="str">
        <f aca="false">IF(ABS(AA210-AE210)&gt;1,"Mismatch","OK")</f>
        <v>OK</v>
      </c>
      <c r="AI210" s="6" t="n">
        <f aca="false">IF(B210="","",MONTH(B210))</f>
        <v>6</v>
      </c>
      <c r="AJ210" s="6" t="n">
        <f aca="false">IF(B210="","",YEAR(B210))</f>
        <v>2025</v>
      </c>
      <c r="AK210" s="3" t="str">
        <f aca="false">IF(COUNTIF(raw_data!$A$2:$A$913,A210)&gt;1,"Conflicting Duplicate - Flagged for Review","Unique")</f>
        <v>Unique</v>
      </c>
      <c r="AL210" s="3" t="str">
        <f aca="false">IF(AB210="Refunded","Yes","No")</f>
        <v>No</v>
      </c>
      <c r="AM210" s="3" t="str">
        <f aca="false">IF(OR(AC210&lt;&gt;"Completed",AB210="Failed"),"Excluded","Included")</f>
        <v>Included</v>
      </c>
      <c r="AN210" s="3" t="str">
        <f aca="false">IF(OR(D210="Invalid/Unrecognized",E210="Invalid/Unrecognized",G210="Invalid - Ship Before Order",X210="Negative - Invalid",X210="Above Allowed Range - Invalid",AG210="Mismatch",AH210="Mismatch",AK210="Conflicting Duplicate - Flagged for Review"),"Invalid",IF(OR(L210="Filled - Unknown",S210="Filled - Unknown",X210="Missing - Defaulted to 0",AL210="Yes",AC210="Cancelled",AC210="Returned"),"Warning","Clean"))</f>
        <v>Clean</v>
      </c>
    </row>
    <row r="211" customFormat="false" ht="15" hidden="false" customHeight="false" outlineLevel="0" collapsed="false">
      <c r="A211" s="3" t="str">
        <f aca="false">raw_data!A211</f>
        <v>ORD-2025-10210</v>
      </c>
      <c r="B211" s="4" t="n">
        <f aca="false">IFERROR(IF(MID(raw_data!B211,3,1)="/",DATE(VALUE(RIGHT(raw_data!B211,4)),VALUE(LEFT(raw_data!B211,2)),VALUE(MID(raw_data!B211,4,2))),IF(MID(raw_data!B211,3,1)="-",DATE(VALUE(RIGHT(raw_data!B211,4)),VALUE(MID(raw_data!B211,4,2)),VALUE(LEFT(raw_data!B211,2))),IF(MID(raw_data!B211,5,1)="-",DATE(VALUE(LEFT(raw_data!B211,4)),VALUE(MID(raw_data!B211,6,2)),VALUE(RIGHT(raw_data!B211,2))),DATE(VALUE(RIGHT(raw_data!B211,4)),MATCH(MID(raw_data!B211,4,3),{"Jan","Feb","Mar","Apr","May","Jun","Jul","Aug","Sep","Oct","Nov","Dec"},0),VALUE(LEFT(raw_data!B211,2)))))),"")</f>
        <v>45882</v>
      </c>
      <c r="C211" s="4" t="n">
        <f aca="false">IFERROR(IF(MID(raw_data!C211,3,1)="/",DATE(VALUE(RIGHT(raw_data!C211,4)),VALUE(LEFT(raw_data!C211,2)),VALUE(MID(raw_data!C211,4,2))),IF(MID(raw_data!C211,3,1)="-",DATE(VALUE(RIGHT(raw_data!C211,4)),VALUE(MID(raw_data!C211,4,2)),VALUE(LEFT(raw_data!C211,2))),IF(MID(raw_data!C211,5,1)="-",DATE(VALUE(LEFT(raw_data!C211,4)),VALUE(MID(raw_data!C211,6,2)),VALUE(RIGHT(raw_data!C211,2))),DATE(VALUE(RIGHT(raw_data!C211,4)),MATCH(MID(raw_data!C211,4,3),{"Jan","Feb","Mar","Apr","May","Jun","Jul","Aug","Sep","Oct","Nov","Dec"},0),VALUE(LEFT(raw_data!C211,2)))))),"")</f>
        <v>45883</v>
      </c>
      <c r="D211" s="3" t="str">
        <f aca="false">IF(TRIM(raw_data!B211)="","Missing",IF(B211="","Invalid/Unrecognized","Valid"))</f>
        <v>Valid</v>
      </c>
      <c r="E211" s="3" t="str">
        <f aca="false">IF(TRIM(raw_data!C211)="","Missing",IF(C211="","Invalid/Unrecognized","Valid"))</f>
        <v>Valid</v>
      </c>
      <c r="F211" s="5" t="n">
        <f aca="false">IF(OR(B211="",C211=""),"",C211-B211)</f>
        <v>1</v>
      </c>
      <c r="G211" s="3" t="str">
        <f aca="false">IF(F211="","N/A",IF(F211&lt;0,"Invalid - Ship Before Order","OK"))</f>
        <v>OK</v>
      </c>
      <c r="H211" s="3" t="str">
        <f aca="false">raw_data!D211</f>
        <v>CUST-4947</v>
      </c>
      <c r="I211" s="3" t="str">
        <f aca="false">PROPER(TRIM(raw_data!E211))</f>
        <v>Rohan Mehta</v>
      </c>
      <c r="J211" s="3" t="str">
        <f aca="false">PROPER(TRIM(raw_data!F211))</f>
        <v>Small Business</v>
      </c>
      <c r="K211" s="3" t="str">
        <f aca="false">IF(TRIM(raw_data!G211)="","Unknown",PROPER(TRIM(raw_data!G211)))</f>
        <v>South</v>
      </c>
      <c r="L211" s="3" t="str">
        <f aca="false">IF(TRIM(raw_data!G211)="","Filled - Unknown","OK")</f>
        <v>OK</v>
      </c>
      <c r="M211" s="3" t="str">
        <f aca="false">PROPER(TRIM(raw_data!H211))</f>
        <v>Andhra Pradesh</v>
      </c>
      <c r="N211" s="3" t="str">
        <f aca="false">PROPER(TRIM(raw_data!I211))</f>
        <v>Vijayawada</v>
      </c>
      <c r="O211" s="3" t="str">
        <f aca="false">PROPER(TRIM(raw_data!J211))</f>
        <v>Office Supplies</v>
      </c>
      <c r="P211" s="3" t="str">
        <f aca="false">PROPER(TRIM(raw_data!K211))</f>
        <v>Paper</v>
      </c>
      <c r="Q211" s="3" t="str">
        <f aca="false">TRIM(raw_data!L211)</f>
        <v>Prime Paper 903</v>
      </c>
      <c r="R211" s="3" t="str">
        <f aca="false">IF(TRIM(raw_data!M211)="","Unknown",PROPER(TRIM(raw_data!M211)))</f>
        <v>First Class</v>
      </c>
      <c r="S211" s="3" t="str">
        <f aca="false">IF(TRIM(raw_data!M211)="","Filled - Unknown","OK")</f>
        <v>OK</v>
      </c>
      <c r="T211" s="6" t="n">
        <f aca="false">raw_data!N211</f>
        <v>9</v>
      </c>
      <c r="U211" s="7" t="n">
        <f aca="false">raw_data!O211</f>
        <v>864.98</v>
      </c>
      <c r="V211" s="8" t="n">
        <f aca="false">raw_data!P211</f>
        <v>0.1</v>
      </c>
      <c r="W211" s="8" t="n">
        <f aca="false">IF(raw_data!P211="",0,IF(ISTEXT(raw_data!P211),IF(RIGHT(raw_data!P211,1)="%",VALUE(LEFT(raw_data!P211,LEN(raw_data!P211)-1))/100,VALUE(raw_data!P211)),raw_data!P211))</f>
        <v>0.1</v>
      </c>
      <c r="X211" s="3" t="str">
        <f aca="false">IF(raw_data!P211="","Missing - Defaulted to 0",IF(W211&lt;0,"Negative - Invalid",IF(W211&gt;0.3,"Above Allowed Range - Invalid","Valid")))</f>
        <v>Valid</v>
      </c>
      <c r="Y211" s="7" t="n">
        <f aca="false">raw_data!Q211</f>
        <v>7006.34</v>
      </c>
      <c r="Z211" s="7" t="n">
        <f aca="false">raw_data!R211</f>
        <v>4640.88</v>
      </c>
      <c r="AA211" s="7" t="n">
        <f aca="false">raw_data!S211</f>
        <v>2365.46</v>
      </c>
      <c r="AB211" s="3" t="str">
        <f aca="false">PROPER(TRIM(raw_data!T211))</f>
        <v>Paid</v>
      </c>
      <c r="AC211" s="3" t="str">
        <f aca="false">PROPER(TRIM(raw_data!U211))</f>
        <v>Completed</v>
      </c>
      <c r="AD211" s="7" t="n">
        <f aca="false">T211*U211*(1-W211)</f>
        <v>7006.338</v>
      </c>
      <c r="AE211" s="7" t="n">
        <f aca="false">AD211-Z211</f>
        <v>2365.458</v>
      </c>
      <c r="AF211" s="8" t="n">
        <f aca="false">IF(AD211=0,0,AE211/AD211)</f>
        <v>0.337616883456094</v>
      </c>
      <c r="AG211" s="3" t="str">
        <f aca="false">IF(ABS(Y211-AD211)&gt;1,"Mismatch","OK")</f>
        <v>OK</v>
      </c>
      <c r="AH211" s="3" t="str">
        <f aca="false">IF(ABS(AA211-AE211)&gt;1,"Mismatch","OK")</f>
        <v>OK</v>
      </c>
      <c r="AI211" s="6" t="n">
        <f aca="false">IF(B211="","",MONTH(B211))</f>
        <v>8</v>
      </c>
      <c r="AJ211" s="6" t="n">
        <f aca="false">IF(B211="","",YEAR(B211))</f>
        <v>2025</v>
      </c>
      <c r="AK211" s="3" t="str">
        <f aca="false">IF(COUNTIF(raw_data!$A$2:$A$913,A211)&gt;1,"Conflicting Duplicate - Flagged for Review","Unique")</f>
        <v>Unique</v>
      </c>
      <c r="AL211" s="3" t="str">
        <f aca="false">IF(AB211="Refunded","Yes","No")</f>
        <v>No</v>
      </c>
      <c r="AM211" s="3" t="str">
        <f aca="false">IF(OR(AC211&lt;&gt;"Completed",AB211="Failed"),"Excluded","Included")</f>
        <v>Included</v>
      </c>
      <c r="AN211" s="3" t="str">
        <f aca="false">IF(OR(D211="Invalid/Unrecognized",E211="Invalid/Unrecognized",G211="Invalid - Ship Before Order",X211="Negative - Invalid",X211="Above Allowed Range - Invalid",AG211="Mismatch",AH211="Mismatch",AK211="Conflicting Duplicate - Flagged for Review"),"Invalid",IF(OR(L211="Filled - Unknown",S211="Filled - Unknown",X211="Missing - Defaulted to 0",AL211="Yes",AC211="Cancelled",AC211="Returned"),"Warning","Clean"))</f>
        <v>Clean</v>
      </c>
    </row>
    <row r="212" customFormat="false" ht="15" hidden="false" customHeight="false" outlineLevel="0" collapsed="false">
      <c r="A212" s="3" t="str">
        <f aca="false">raw_data!A212</f>
        <v>ORD-2024-10211</v>
      </c>
      <c r="B212" s="4" t="n">
        <f aca="false">IFERROR(IF(MID(raw_data!B212,3,1)="/",DATE(VALUE(RIGHT(raw_data!B212,4)),VALUE(LEFT(raw_data!B212,2)),VALUE(MID(raw_data!B212,4,2))),IF(MID(raw_data!B212,3,1)="-",DATE(VALUE(RIGHT(raw_data!B212,4)),VALUE(MID(raw_data!B212,4,2)),VALUE(LEFT(raw_data!B212,2))),IF(MID(raw_data!B212,5,1)="-",DATE(VALUE(LEFT(raw_data!B212,4)),VALUE(MID(raw_data!B212,6,2)),VALUE(RIGHT(raw_data!B212,2))),DATE(VALUE(RIGHT(raw_data!B212,4)),MATCH(MID(raw_data!B212,4,3),{"Jan","Feb","Mar","Apr","May","Jun","Jul","Aug","Sep","Oct","Nov","Dec"},0),VALUE(LEFT(raw_data!B212,2)))))),"")</f>
        <v>45366</v>
      </c>
      <c r="C212" s="4" t="n">
        <f aca="false">IFERROR(IF(MID(raw_data!C212,3,1)="/",DATE(VALUE(RIGHT(raw_data!C212,4)),VALUE(LEFT(raw_data!C212,2)),VALUE(MID(raw_data!C212,4,2))),IF(MID(raw_data!C212,3,1)="-",DATE(VALUE(RIGHT(raw_data!C212,4)),VALUE(MID(raw_data!C212,4,2)),VALUE(LEFT(raw_data!C212,2))),IF(MID(raw_data!C212,5,1)="-",DATE(VALUE(LEFT(raw_data!C212,4)),VALUE(MID(raw_data!C212,6,2)),VALUE(RIGHT(raw_data!C212,2))),DATE(VALUE(RIGHT(raw_data!C212,4)),MATCH(MID(raw_data!C212,4,3),{"Jan","Feb","Mar","Apr","May","Jun","Jul","Aug","Sep","Oct","Nov","Dec"},0),VALUE(LEFT(raw_data!C212,2)))))),"")</f>
        <v>45369</v>
      </c>
      <c r="D212" s="3" t="str">
        <f aca="false">IF(TRIM(raw_data!B212)="","Missing",IF(B212="","Invalid/Unrecognized","Valid"))</f>
        <v>Valid</v>
      </c>
      <c r="E212" s="3" t="str">
        <f aca="false">IF(TRIM(raw_data!C212)="","Missing",IF(C212="","Invalid/Unrecognized","Valid"))</f>
        <v>Valid</v>
      </c>
      <c r="F212" s="5" t="n">
        <f aca="false">IF(OR(B212="",C212=""),"",C212-B212)</f>
        <v>3</v>
      </c>
      <c r="G212" s="3" t="str">
        <f aca="false">IF(F212="","N/A",IF(F212&lt;0,"Invalid - Ship Before Order","OK"))</f>
        <v>OK</v>
      </c>
      <c r="H212" s="3" t="str">
        <f aca="false">raw_data!D212</f>
        <v>CUST-3076</v>
      </c>
      <c r="I212" s="3" t="str">
        <f aca="false">PROPER(TRIM(raw_data!E212))</f>
        <v>Kabir Singh</v>
      </c>
      <c r="J212" s="3" t="str">
        <f aca="false">PROPER(TRIM(raw_data!F212))</f>
        <v>Home Office</v>
      </c>
      <c r="K212" s="3" t="str">
        <f aca="false">IF(TRIM(raw_data!G212)="","Unknown",PROPER(TRIM(raw_data!G212)))</f>
        <v>South</v>
      </c>
      <c r="L212" s="3" t="str">
        <f aca="false">IF(TRIM(raw_data!G212)="","Filled - Unknown","OK")</f>
        <v>OK</v>
      </c>
      <c r="M212" s="3" t="str">
        <f aca="false">PROPER(TRIM(raw_data!H212))</f>
        <v>Karnataka</v>
      </c>
      <c r="N212" s="3" t="str">
        <f aca="false">PROPER(TRIM(raw_data!I212))</f>
        <v>Bengaluru</v>
      </c>
      <c r="O212" s="3" t="str">
        <f aca="false">PROPER(TRIM(raw_data!J212))</f>
        <v>Technology</v>
      </c>
      <c r="P212" s="3" t="str">
        <f aca="false">PROPER(TRIM(raw_data!K212))</f>
        <v>Machines</v>
      </c>
      <c r="Q212" s="3" t="str">
        <f aca="false">TRIM(raw_data!L212)</f>
        <v>Classic Machines 944</v>
      </c>
      <c r="R212" s="3" t="str">
        <f aca="false">IF(TRIM(raw_data!M212)="","Unknown",PROPER(TRIM(raw_data!M212)))</f>
        <v>Second Class</v>
      </c>
      <c r="S212" s="3" t="str">
        <f aca="false">IF(TRIM(raw_data!M212)="","Filled - Unknown","OK")</f>
        <v>OK</v>
      </c>
      <c r="T212" s="6" t="n">
        <f aca="false">raw_data!N212</f>
        <v>1</v>
      </c>
      <c r="U212" s="7" t="n">
        <f aca="false">raw_data!O212</f>
        <v>4131.36</v>
      </c>
      <c r="V212" s="8" t="n">
        <f aca="false">raw_data!P212</f>
        <v>0</v>
      </c>
      <c r="W212" s="8" t="n">
        <f aca="false">IF(raw_data!P212="",0,IF(ISTEXT(raw_data!P212),IF(RIGHT(raw_data!P212,1)="%",VALUE(LEFT(raw_data!P212,LEN(raw_data!P212)-1))/100,VALUE(raw_data!P212)),raw_data!P212))</f>
        <v>0</v>
      </c>
      <c r="X212" s="3" t="str">
        <f aca="false">IF(raw_data!P212="","Missing - Defaulted to 0",IF(W212&lt;0,"Negative - Invalid",IF(W212&gt;0.3,"Above Allowed Range - Invalid","Valid")))</f>
        <v>Valid</v>
      </c>
      <c r="Y212" s="7" t="n">
        <f aca="false">raw_data!Q212</f>
        <v>4131.36</v>
      </c>
      <c r="Z212" s="7" t="n">
        <f aca="false">raw_data!R212</f>
        <v>2937.07</v>
      </c>
      <c r="AA212" s="7" t="n">
        <f aca="false">raw_data!S212</f>
        <v>1194.29</v>
      </c>
      <c r="AB212" s="3" t="str">
        <f aca="false">PROPER(TRIM(raw_data!T212))</f>
        <v>Failed</v>
      </c>
      <c r="AC212" s="3" t="str">
        <f aca="false">PROPER(TRIM(raw_data!U212))</f>
        <v>Returned</v>
      </c>
      <c r="AD212" s="7" t="n">
        <f aca="false">T212*U212*(1-W212)</f>
        <v>4131.36</v>
      </c>
      <c r="AE212" s="7" t="n">
        <f aca="false">AD212-Z212</f>
        <v>1194.29</v>
      </c>
      <c r="AF212" s="8" t="n">
        <f aca="false">IF(AD212=0,0,AE212/AD212)</f>
        <v>0.289079141009256</v>
      </c>
      <c r="AG212" s="3" t="str">
        <f aca="false">IF(ABS(Y212-AD212)&gt;1,"Mismatch","OK")</f>
        <v>OK</v>
      </c>
      <c r="AH212" s="3" t="str">
        <f aca="false">IF(ABS(AA212-AE212)&gt;1,"Mismatch","OK")</f>
        <v>OK</v>
      </c>
      <c r="AI212" s="6" t="n">
        <f aca="false">IF(B212="","",MONTH(B212))</f>
        <v>3</v>
      </c>
      <c r="AJ212" s="6" t="n">
        <f aca="false">IF(B212="","",YEAR(B212))</f>
        <v>2024</v>
      </c>
      <c r="AK212" s="3" t="str">
        <f aca="false">IF(COUNTIF(raw_data!$A$2:$A$913,A212)&gt;1,"Conflicting Duplicate - Flagged for Review","Unique")</f>
        <v>Unique</v>
      </c>
      <c r="AL212" s="3" t="str">
        <f aca="false">IF(AB212="Refunded","Yes","No")</f>
        <v>No</v>
      </c>
      <c r="AM212" s="3" t="str">
        <f aca="false">IF(OR(AC212&lt;&gt;"Completed",AB212="Failed"),"Excluded","Included")</f>
        <v>Excluded</v>
      </c>
      <c r="AN212" s="3" t="str">
        <f aca="false">IF(OR(D212="Invalid/Unrecognized",E212="Invalid/Unrecognized",G212="Invalid - Ship Before Order",X212="Negative - Invalid",X212="Above Allowed Range - Invalid",AG212="Mismatch",AH212="Mismatch",AK212="Conflicting Duplicate - Flagged for Review"),"Invalid",IF(OR(L212="Filled - Unknown",S212="Filled - Unknown",X212="Missing - Defaulted to 0",AL212="Yes",AC212="Cancelled",AC212="Returned"),"Warning","Clean"))</f>
        <v>Warning</v>
      </c>
    </row>
    <row r="213" customFormat="false" ht="15" hidden="false" customHeight="false" outlineLevel="0" collapsed="false">
      <c r="A213" s="3" t="str">
        <f aca="false">raw_data!A213</f>
        <v>ORD-2024-10212</v>
      </c>
      <c r="B213" s="4" t="n">
        <f aca="false">IFERROR(IF(MID(raw_data!B213,3,1)="/",DATE(VALUE(RIGHT(raw_data!B213,4)),VALUE(LEFT(raw_data!B213,2)),VALUE(MID(raw_data!B213,4,2))),IF(MID(raw_data!B213,3,1)="-",DATE(VALUE(RIGHT(raw_data!B213,4)),VALUE(MID(raw_data!B213,4,2)),VALUE(LEFT(raw_data!B213,2))),IF(MID(raw_data!B213,5,1)="-",DATE(VALUE(LEFT(raw_data!B213,4)),VALUE(MID(raw_data!B213,6,2)),VALUE(RIGHT(raw_data!B213,2))),DATE(VALUE(RIGHT(raw_data!B213,4)),MATCH(MID(raw_data!B213,4,3),{"Jan","Feb","Mar","Apr","May","Jun","Jul","Aug","Sep","Oct","Nov","Dec"},0),VALUE(LEFT(raw_data!B213,2)))))),"")</f>
        <v>45428</v>
      </c>
      <c r="C213" s="4" t="n">
        <f aca="false">IFERROR(IF(MID(raw_data!C213,3,1)="/",DATE(VALUE(RIGHT(raw_data!C213,4)),VALUE(LEFT(raw_data!C213,2)),VALUE(MID(raw_data!C213,4,2))),IF(MID(raw_data!C213,3,1)="-",DATE(VALUE(RIGHT(raw_data!C213,4)),VALUE(MID(raw_data!C213,4,2)),VALUE(LEFT(raw_data!C213,2))),IF(MID(raw_data!C213,5,1)="-",DATE(VALUE(LEFT(raw_data!C213,4)),VALUE(MID(raw_data!C213,6,2)),VALUE(RIGHT(raw_data!C213,2))),DATE(VALUE(RIGHT(raw_data!C213,4)),MATCH(MID(raw_data!C213,4,3),{"Jan","Feb","Mar","Apr","May","Jun","Jul","Aug","Sep","Oct","Nov","Dec"},0),VALUE(LEFT(raw_data!C213,2)))))),"")</f>
        <v>45429</v>
      </c>
      <c r="D213" s="3" t="str">
        <f aca="false">IF(TRIM(raw_data!B213)="","Missing",IF(B213="","Invalid/Unrecognized","Valid"))</f>
        <v>Valid</v>
      </c>
      <c r="E213" s="3" t="str">
        <f aca="false">IF(TRIM(raw_data!C213)="","Missing",IF(C213="","Invalid/Unrecognized","Valid"))</f>
        <v>Valid</v>
      </c>
      <c r="F213" s="5" t="n">
        <f aca="false">IF(OR(B213="",C213=""),"",C213-B213)</f>
        <v>1</v>
      </c>
      <c r="G213" s="3" t="str">
        <f aca="false">IF(F213="","N/A",IF(F213&lt;0,"Invalid - Ship Before Order","OK"))</f>
        <v>OK</v>
      </c>
      <c r="H213" s="3" t="str">
        <f aca="false">raw_data!D213</f>
        <v>CUST-2222</v>
      </c>
      <c r="I213" s="3" t="str">
        <f aca="false">PROPER(TRIM(raw_data!E213))</f>
        <v>Rohan Mehta</v>
      </c>
      <c r="J213" s="3" t="str">
        <f aca="false">PROPER(TRIM(raw_data!F213))</f>
        <v>Corporate</v>
      </c>
      <c r="K213" s="3" t="str">
        <f aca="false">IF(TRIM(raw_data!G213)="","Unknown",PROPER(TRIM(raw_data!G213)))</f>
        <v>East</v>
      </c>
      <c r="L213" s="3" t="str">
        <f aca="false">IF(TRIM(raw_data!G213)="","Filled - Unknown","OK")</f>
        <v>OK</v>
      </c>
      <c r="M213" s="3" t="str">
        <f aca="false">PROPER(TRIM(raw_data!H213))</f>
        <v>West Bengal</v>
      </c>
      <c r="N213" s="3" t="str">
        <f aca="false">PROPER(TRIM(raw_data!I213))</f>
        <v>Kolkata</v>
      </c>
      <c r="O213" s="3" t="str">
        <f aca="false">PROPER(TRIM(raw_data!J213))</f>
        <v>Technology</v>
      </c>
      <c r="P213" s="3" t="str">
        <f aca="false">PROPER(TRIM(raw_data!K213))</f>
        <v>Copiers</v>
      </c>
      <c r="Q213" s="3" t="str">
        <f aca="false">TRIM(raw_data!L213)</f>
        <v>Basic Copiers 222</v>
      </c>
      <c r="R213" s="3" t="str">
        <f aca="false">IF(TRIM(raw_data!M213)="","Unknown",PROPER(TRIM(raw_data!M213)))</f>
        <v>Second Class</v>
      </c>
      <c r="S213" s="3" t="str">
        <f aca="false">IF(TRIM(raw_data!M213)="","Filled - Unknown","OK")</f>
        <v>OK</v>
      </c>
      <c r="T213" s="6" t="n">
        <f aca="false">raw_data!N213</f>
        <v>8</v>
      </c>
      <c r="U213" s="7" t="n">
        <f aca="false">raw_data!O213</f>
        <v>4221.95</v>
      </c>
      <c r="V213" s="8" t="n">
        <f aca="false">raw_data!P213</f>
        <v>0.2</v>
      </c>
      <c r="W213" s="8" t="n">
        <f aca="false">IF(raw_data!P213="",0,IF(ISTEXT(raw_data!P213),IF(RIGHT(raw_data!P213,1)="%",VALUE(LEFT(raw_data!P213,LEN(raw_data!P213)-1))/100,VALUE(raw_data!P213)),raw_data!P213))</f>
        <v>0.2</v>
      </c>
      <c r="X213" s="3" t="str">
        <f aca="false">IF(raw_data!P213="","Missing - Defaulted to 0",IF(W213&lt;0,"Negative - Invalid",IF(W213&gt;0.3,"Above Allowed Range - Invalid","Valid")))</f>
        <v>Valid</v>
      </c>
      <c r="Y213" s="7" t="n">
        <f aca="false">raw_data!Q213</f>
        <v>27020.48</v>
      </c>
      <c r="Z213" s="7" t="n">
        <f aca="false">raw_data!R213</f>
        <v>22885.24</v>
      </c>
      <c r="AA213" s="7" t="n">
        <f aca="false">raw_data!S213</f>
        <v>4135.24</v>
      </c>
      <c r="AB213" s="3" t="str">
        <f aca="false">PROPER(TRIM(raw_data!T213))</f>
        <v>Paid</v>
      </c>
      <c r="AC213" s="3" t="str">
        <f aca="false">PROPER(TRIM(raw_data!U213))</f>
        <v>Completed</v>
      </c>
      <c r="AD213" s="7" t="n">
        <f aca="false">T213*U213*(1-W213)</f>
        <v>27020.48</v>
      </c>
      <c r="AE213" s="7" t="n">
        <f aca="false">AD213-Z213</f>
        <v>4135.24</v>
      </c>
      <c r="AF213" s="8" t="n">
        <f aca="false">IF(AD213=0,0,AE213/AD213)</f>
        <v>0.153040952640368</v>
      </c>
      <c r="AG213" s="3" t="str">
        <f aca="false">IF(ABS(Y213-AD213)&gt;1,"Mismatch","OK")</f>
        <v>OK</v>
      </c>
      <c r="AH213" s="3" t="str">
        <f aca="false">IF(ABS(AA213-AE213)&gt;1,"Mismatch","OK")</f>
        <v>OK</v>
      </c>
      <c r="AI213" s="6" t="n">
        <f aca="false">IF(B213="","",MONTH(B213))</f>
        <v>5</v>
      </c>
      <c r="AJ213" s="6" t="n">
        <f aca="false">IF(B213="","",YEAR(B213))</f>
        <v>2024</v>
      </c>
      <c r="AK213" s="3" t="str">
        <f aca="false">IF(COUNTIF(raw_data!$A$2:$A$913,A213)&gt;1,"Conflicting Duplicate - Flagged for Review","Unique")</f>
        <v>Unique</v>
      </c>
      <c r="AL213" s="3" t="str">
        <f aca="false">IF(AB213="Refunded","Yes","No")</f>
        <v>No</v>
      </c>
      <c r="AM213" s="3" t="str">
        <f aca="false">IF(OR(AC213&lt;&gt;"Completed",AB213="Failed"),"Excluded","Included")</f>
        <v>Included</v>
      </c>
      <c r="AN213" s="3" t="str">
        <f aca="false">IF(OR(D213="Invalid/Unrecognized",E213="Invalid/Unrecognized",G213="Invalid - Ship Before Order",X213="Negative - Invalid",X213="Above Allowed Range - Invalid",AG213="Mismatch",AH213="Mismatch",AK213="Conflicting Duplicate - Flagged for Review"),"Invalid",IF(OR(L213="Filled - Unknown",S213="Filled - Unknown",X213="Missing - Defaulted to 0",AL213="Yes",AC213="Cancelled",AC213="Returned"),"Warning","Clean"))</f>
        <v>Clean</v>
      </c>
    </row>
    <row r="214" customFormat="false" ht="15" hidden="false" customHeight="false" outlineLevel="0" collapsed="false">
      <c r="A214" s="3" t="str">
        <f aca="false">raw_data!A214</f>
        <v>ORD-2024-10213</v>
      </c>
      <c r="B214" s="4" t="n">
        <f aca="false">IFERROR(IF(MID(raw_data!B214,3,1)="/",DATE(VALUE(RIGHT(raw_data!B214,4)),VALUE(LEFT(raw_data!B214,2)),VALUE(MID(raw_data!B214,4,2))),IF(MID(raw_data!B214,3,1)="-",DATE(VALUE(RIGHT(raw_data!B214,4)),VALUE(MID(raw_data!B214,4,2)),VALUE(LEFT(raw_data!B214,2))),IF(MID(raw_data!B214,5,1)="-",DATE(VALUE(LEFT(raw_data!B214,4)),VALUE(MID(raw_data!B214,6,2)),VALUE(RIGHT(raw_data!B214,2))),DATE(VALUE(RIGHT(raw_data!B214,4)),MATCH(MID(raw_data!B214,4,3),{"Jan","Feb","Mar","Apr","May","Jun","Jul","Aug","Sep","Oct","Nov","Dec"},0),VALUE(LEFT(raw_data!B214,2)))))),"")</f>
        <v>45556</v>
      </c>
      <c r="C214" s="4" t="n">
        <f aca="false">IFERROR(IF(MID(raw_data!C214,3,1)="/",DATE(VALUE(RIGHT(raw_data!C214,4)),VALUE(LEFT(raw_data!C214,2)),VALUE(MID(raw_data!C214,4,2))),IF(MID(raw_data!C214,3,1)="-",DATE(VALUE(RIGHT(raw_data!C214,4)),VALUE(MID(raw_data!C214,4,2)),VALUE(LEFT(raw_data!C214,2))),IF(MID(raw_data!C214,5,1)="-",DATE(VALUE(LEFT(raw_data!C214,4)),VALUE(MID(raw_data!C214,6,2)),VALUE(RIGHT(raw_data!C214,2))),DATE(VALUE(RIGHT(raw_data!C214,4)),MATCH(MID(raw_data!C214,4,3),{"Jan","Feb","Mar","Apr","May","Jun","Jul","Aug","Sep","Oct","Nov","Dec"},0),VALUE(LEFT(raw_data!C214,2)))))),"")</f>
        <v>45556</v>
      </c>
      <c r="D214" s="3" t="str">
        <f aca="false">IF(TRIM(raw_data!B214)="","Missing",IF(B214="","Invalid/Unrecognized","Valid"))</f>
        <v>Valid</v>
      </c>
      <c r="E214" s="3" t="str">
        <f aca="false">IF(TRIM(raw_data!C214)="","Missing",IF(C214="","Invalid/Unrecognized","Valid"))</f>
        <v>Valid</v>
      </c>
      <c r="F214" s="5" t="n">
        <f aca="false">IF(OR(B214="",C214=""),"",C214-B214)</f>
        <v>0</v>
      </c>
      <c r="G214" s="3" t="str">
        <f aca="false">IF(F214="","N/A",IF(F214&lt;0,"Invalid - Ship Before Order","OK"))</f>
        <v>OK</v>
      </c>
      <c r="H214" s="3" t="str">
        <f aca="false">raw_data!D214</f>
        <v>CUST-3610</v>
      </c>
      <c r="I214" s="3" t="str">
        <f aca="false">PROPER(TRIM(raw_data!E214))</f>
        <v>Ananya Rao</v>
      </c>
      <c r="J214" s="3" t="str">
        <f aca="false">PROPER(TRIM(raw_data!F214))</f>
        <v>Small Business</v>
      </c>
      <c r="K214" s="3" t="str">
        <f aca="false">IF(TRIM(raw_data!G214)="","Unknown",PROPER(TRIM(raw_data!G214)))</f>
        <v>East</v>
      </c>
      <c r="L214" s="3" t="str">
        <f aca="false">IF(TRIM(raw_data!G214)="","Filled - Unknown","OK")</f>
        <v>OK</v>
      </c>
      <c r="M214" s="3" t="str">
        <f aca="false">PROPER(TRIM(raw_data!H214))</f>
        <v>Odisha</v>
      </c>
      <c r="N214" s="3" t="str">
        <f aca="false">PROPER(TRIM(raw_data!I214))</f>
        <v>Bhubaneswar</v>
      </c>
      <c r="O214" s="3" t="str">
        <f aca="false">PROPER(TRIM(raw_data!J214))</f>
        <v>Technology</v>
      </c>
      <c r="P214" s="3" t="str">
        <f aca="false">PROPER(TRIM(raw_data!K214))</f>
        <v>Phones</v>
      </c>
      <c r="Q214" s="3" t="str">
        <f aca="false">TRIM(raw_data!L214)</f>
        <v>Max Phones 329</v>
      </c>
      <c r="R214" s="3" t="str">
        <f aca="false">IF(TRIM(raw_data!M214)="","Unknown",PROPER(TRIM(raw_data!M214)))</f>
        <v>Same Day</v>
      </c>
      <c r="S214" s="3" t="str">
        <f aca="false">IF(TRIM(raw_data!M214)="","Filled - Unknown","OK")</f>
        <v>OK</v>
      </c>
      <c r="T214" s="6" t="n">
        <f aca="false">raw_data!N214</f>
        <v>2</v>
      </c>
      <c r="U214" s="7" t="n">
        <f aca="false">raw_data!O214</f>
        <v>214.5</v>
      </c>
      <c r="V214" s="8" t="n">
        <f aca="false">raw_data!P214</f>
        <v>0.15</v>
      </c>
      <c r="W214" s="8" t="n">
        <f aca="false">IF(raw_data!P214="",0,IF(ISTEXT(raw_data!P214),IF(RIGHT(raw_data!P214,1)="%",VALUE(LEFT(raw_data!P214,LEN(raw_data!P214)-1))/100,VALUE(raw_data!P214)),raw_data!P214))</f>
        <v>0.15</v>
      </c>
      <c r="X214" s="3" t="str">
        <f aca="false">IF(raw_data!P214="","Missing - Defaulted to 0",IF(W214&lt;0,"Negative - Invalid",IF(W214&gt;0.3,"Above Allowed Range - Invalid","Valid")))</f>
        <v>Valid</v>
      </c>
      <c r="Y214" s="7" t="n">
        <f aca="false">raw_data!Q214</f>
        <v>364.65</v>
      </c>
      <c r="Z214" s="7" t="n">
        <f aca="false">raw_data!R214</f>
        <v>280.74</v>
      </c>
      <c r="AA214" s="7" t="n">
        <f aca="false">raw_data!S214</f>
        <v>83.91</v>
      </c>
      <c r="AB214" s="3" t="str">
        <f aca="false">PROPER(TRIM(raw_data!T214))</f>
        <v>Paid</v>
      </c>
      <c r="AC214" s="3" t="str">
        <f aca="false">PROPER(TRIM(raw_data!U214))</f>
        <v>Completed</v>
      </c>
      <c r="AD214" s="7" t="n">
        <f aca="false">T214*U214*(1-W214)</f>
        <v>364.65</v>
      </c>
      <c r="AE214" s="7" t="n">
        <f aca="false">AD214-Z214</f>
        <v>83.91</v>
      </c>
      <c r="AF214" s="8" t="n">
        <f aca="false">IF(AD214=0,0,AE214/AD214)</f>
        <v>0.230111065405183</v>
      </c>
      <c r="AG214" s="3" t="str">
        <f aca="false">IF(ABS(Y214-AD214)&gt;1,"Mismatch","OK")</f>
        <v>OK</v>
      </c>
      <c r="AH214" s="3" t="str">
        <f aca="false">IF(ABS(AA214-AE214)&gt;1,"Mismatch","OK")</f>
        <v>OK</v>
      </c>
      <c r="AI214" s="6" t="n">
        <f aca="false">IF(B214="","",MONTH(B214))</f>
        <v>9</v>
      </c>
      <c r="AJ214" s="6" t="n">
        <f aca="false">IF(B214="","",YEAR(B214))</f>
        <v>2024</v>
      </c>
      <c r="AK214" s="3" t="str">
        <f aca="false">IF(COUNTIF(raw_data!$A$2:$A$913,A214)&gt;1,"Conflicting Duplicate - Flagged for Review","Unique")</f>
        <v>Unique</v>
      </c>
      <c r="AL214" s="3" t="str">
        <f aca="false">IF(AB214="Refunded","Yes","No")</f>
        <v>No</v>
      </c>
      <c r="AM214" s="3" t="str">
        <f aca="false">IF(OR(AC214&lt;&gt;"Completed",AB214="Failed"),"Excluded","Included")</f>
        <v>Included</v>
      </c>
      <c r="AN214" s="3" t="str">
        <f aca="false">IF(OR(D214="Invalid/Unrecognized",E214="Invalid/Unrecognized",G214="Invalid - Ship Before Order",X214="Negative - Invalid",X214="Above Allowed Range - Invalid",AG214="Mismatch",AH214="Mismatch",AK214="Conflicting Duplicate - Flagged for Review"),"Invalid",IF(OR(L214="Filled - Unknown",S214="Filled - Unknown",X214="Missing - Defaulted to 0",AL214="Yes",AC214="Cancelled",AC214="Returned"),"Warning","Clean"))</f>
        <v>Clean</v>
      </c>
    </row>
    <row r="215" customFormat="false" ht="15" hidden="false" customHeight="false" outlineLevel="0" collapsed="false">
      <c r="A215" s="3" t="str">
        <f aca="false">raw_data!A215</f>
        <v>ORD-2024-10214</v>
      </c>
      <c r="B215" s="4" t="n">
        <f aca="false">IFERROR(IF(MID(raw_data!B215,3,1)="/",DATE(VALUE(RIGHT(raw_data!B215,4)),VALUE(LEFT(raw_data!B215,2)),VALUE(MID(raw_data!B215,4,2))),IF(MID(raw_data!B215,3,1)="-",DATE(VALUE(RIGHT(raw_data!B215,4)),VALUE(MID(raw_data!B215,4,2)),VALUE(LEFT(raw_data!B215,2))),IF(MID(raw_data!B215,5,1)="-",DATE(VALUE(LEFT(raw_data!B215,4)),VALUE(MID(raw_data!B215,6,2)),VALUE(RIGHT(raw_data!B215,2))),DATE(VALUE(RIGHT(raw_data!B215,4)),MATCH(MID(raw_data!B215,4,3),{"Jan","Feb","Mar","Apr","May","Jun","Jul","Aug","Sep","Oct","Nov","Dec"},0),VALUE(LEFT(raw_data!B215,2)))))),"")</f>
        <v>45427</v>
      </c>
      <c r="C215" s="4" t="n">
        <f aca="false">IFERROR(IF(MID(raw_data!C215,3,1)="/",DATE(VALUE(RIGHT(raw_data!C215,4)),VALUE(LEFT(raw_data!C215,2)),VALUE(MID(raw_data!C215,4,2))),IF(MID(raw_data!C215,3,1)="-",DATE(VALUE(RIGHT(raw_data!C215,4)),VALUE(MID(raw_data!C215,4,2)),VALUE(LEFT(raw_data!C215,2))),IF(MID(raw_data!C215,5,1)="-",DATE(VALUE(LEFT(raw_data!C215,4)),VALUE(MID(raw_data!C215,6,2)),VALUE(RIGHT(raw_data!C215,2))),DATE(VALUE(RIGHT(raw_data!C215,4)),MATCH(MID(raw_data!C215,4,3),{"Jan","Feb","Mar","Apr","May","Jun","Jul","Aug","Sep","Oct","Nov","Dec"},0),VALUE(LEFT(raw_data!C215,2)))))),"")</f>
        <v>45433</v>
      </c>
      <c r="D215" s="3" t="str">
        <f aca="false">IF(TRIM(raw_data!B215)="","Missing",IF(B215="","Invalid/Unrecognized","Valid"))</f>
        <v>Valid</v>
      </c>
      <c r="E215" s="3" t="str">
        <f aca="false">IF(TRIM(raw_data!C215)="","Missing",IF(C215="","Invalid/Unrecognized","Valid"))</f>
        <v>Valid</v>
      </c>
      <c r="F215" s="5" t="n">
        <f aca="false">IF(OR(B215="",C215=""),"",C215-B215)</f>
        <v>6</v>
      </c>
      <c r="G215" s="3" t="str">
        <f aca="false">IF(F215="","N/A",IF(F215&lt;0,"Invalid - Ship Before Order","OK"))</f>
        <v>OK</v>
      </c>
      <c r="H215" s="3" t="str">
        <f aca="false">raw_data!D215</f>
        <v>CUST-9136</v>
      </c>
      <c r="I215" s="3" t="str">
        <f aca="false">PROPER(TRIM(raw_data!E215))</f>
        <v>Isha Nair</v>
      </c>
      <c r="J215" s="3" t="str">
        <f aca="false">PROPER(TRIM(raw_data!F215))</f>
        <v>Small Business</v>
      </c>
      <c r="K215" s="3" t="str">
        <f aca="false">IF(TRIM(raw_data!G215)="","Unknown",PROPER(TRIM(raw_data!G215)))</f>
        <v>East</v>
      </c>
      <c r="L215" s="3" t="str">
        <f aca="false">IF(TRIM(raw_data!G215)="","Filled - Unknown","OK")</f>
        <v>OK</v>
      </c>
      <c r="M215" s="3" t="str">
        <f aca="false">PROPER(TRIM(raw_data!H215))</f>
        <v>Bihar</v>
      </c>
      <c r="N215" s="3" t="str">
        <f aca="false">PROPER(TRIM(raw_data!I215))</f>
        <v>Patna</v>
      </c>
      <c r="O215" s="3" t="str">
        <f aca="false">PROPER(TRIM(raw_data!J215))</f>
        <v>Technology</v>
      </c>
      <c r="P215" s="3" t="str">
        <f aca="false">PROPER(TRIM(raw_data!K215))</f>
        <v>Accessories</v>
      </c>
      <c r="Q215" s="3" t="str">
        <f aca="false">TRIM(raw_data!L215)</f>
        <v>Classic Accessories 840</v>
      </c>
      <c r="R215" s="3" t="str">
        <f aca="false">IF(TRIM(raw_data!M215)="","Unknown",PROPER(TRIM(raw_data!M215)))</f>
        <v>Second Class</v>
      </c>
      <c r="S215" s="3" t="str">
        <f aca="false">IF(TRIM(raw_data!M215)="","Filled - Unknown","OK")</f>
        <v>OK</v>
      </c>
      <c r="T215" s="6" t="n">
        <f aca="false">raw_data!N215</f>
        <v>4</v>
      </c>
      <c r="U215" s="7" t="n">
        <f aca="false">raw_data!O215</f>
        <v>4332.73</v>
      </c>
      <c r="V215" s="8" t="n">
        <f aca="false">raw_data!P215</f>
        <v>0.2</v>
      </c>
      <c r="W215" s="8" t="n">
        <f aca="false">IF(raw_data!P215="",0,IF(ISTEXT(raw_data!P215),IF(RIGHT(raw_data!P215,1)="%",VALUE(LEFT(raw_data!P215,LEN(raw_data!P215)-1))/100,VALUE(raw_data!P215)),raw_data!P215))</f>
        <v>0.2</v>
      </c>
      <c r="X215" s="3" t="str">
        <f aca="false">IF(raw_data!P215="","Missing - Defaulted to 0",IF(W215&lt;0,"Negative - Invalid",IF(W215&gt;0.3,"Above Allowed Range - Invalid","Valid")))</f>
        <v>Valid</v>
      </c>
      <c r="Y215" s="7" t="n">
        <f aca="false">raw_data!Q215</f>
        <v>13864.74</v>
      </c>
      <c r="Z215" s="7" t="n">
        <f aca="false">raw_data!R215</f>
        <v>11294.06</v>
      </c>
      <c r="AA215" s="7" t="n">
        <f aca="false">raw_data!S215</f>
        <v>2570.68</v>
      </c>
      <c r="AB215" s="3" t="str">
        <f aca="false">PROPER(TRIM(raw_data!T215))</f>
        <v>Paid</v>
      </c>
      <c r="AC215" s="3" t="str">
        <f aca="false">PROPER(TRIM(raw_data!U215))</f>
        <v>Completed</v>
      </c>
      <c r="AD215" s="7" t="n">
        <f aca="false">T215*U215*(1-W215)</f>
        <v>13864.736</v>
      </c>
      <c r="AE215" s="7" t="n">
        <f aca="false">AD215-Z215</f>
        <v>2570.676</v>
      </c>
      <c r="AF215" s="8" t="n">
        <f aca="false">IF(AD215=0,0,AE215/AD215)</f>
        <v>0.185411103392088</v>
      </c>
      <c r="AG215" s="3" t="str">
        <f aca="false">IF(ABS(Y215-AD215)&gt;1,"Mismatch","OK")</f>
        <v>OK</v>
      </c>
      <c r="AH215" s="3" t="str">
        <f aca="false">IF(ABS(AA215-AE215)&gt;1,"Mismatch","OK")</f>
        <v>OK</v>
      </c>
      <c r="AI215" s="6" t="n">
        <f aca="false">IF(B215="","",MONTH(B215))</f>
        <v>5</v>
      </c>
      <c r="AJ215" s="6" t="n">
        <f aca="false">IF(B215="","",YEAR(B215))</f>
        <v>2024</v>
      </c>
      <c r="AK215" s="3" t="str">
        <f aca="false">IF(COUNTIF(raw_data!$A$2:$A$913,A215)&gt;1,"Conflicting Duplicate - Flagged for Review","Unique")</f>
        <v>Unique</v>
      </c>
      <c r="AL215" s="3" t="str">
        <f aca="false">IF(AB215="Refunded","Yes","No")</f>
        <v>No</v>
      </c>
      <c r="AM215" s="3" t="str">
        <f aca="false">IF(OR(AC215&lt;&gt;"Completed",AB215="Failed"),"Excluded","Included")</f>
        <v>Included</v>
      </c>
      <c r="AN215" s="3" t="str">
        <f aca="false">IF(OR(D215="Invalid/Unrecognized",E215="Invalid/Unrecognized",G215="Invalid - Ship Before Order",X215="Negative - Invalid",X215="Above Allowed Range - Invalid",AG215="Mismatch",AH215="Mismatch",AK215="Conflicting Duplicate - Flagged for Review"),"Invalid",IF(OR(L215="Filled - Unknown",S215="Filled - Unknown",X215="Missing - Defaulted to 0",AL215="Yes",AC215="Cancelled",AC215="Returned"),"Warning","Clean"))</f>
        <v>Clean</v>
      </c>
    </row>
    <row r="216" customFormat="false" ht="15" hidden="false" customHeight="false" outlineLevel="0" collapsed="false">
      <c r="A216" s="3" t="str">
        <f aca="false">raw_data!A216</f>
        <v>ORD-2024-10215</v>
      </c>
      <c r="B216" s="4" t="n">
        <f aca="false">IFERROR(IF(MID(raw_data!B216,3,1)="/",DATE(VALUE(RIGHT(raw_data!B216,4)),VALUE(LEFT(raw_data!B216,2)),VALUE(MID(raw_data!B216,4,2))),IF(MID(raw_data!B216,3,1)="-",DATE(VALUE(RIGHT(raw_data!B216,4)),VALUE(MID(raw_data!B216,4,2)),VALUE(LEFT(raw_data!B216,2))),IF(MID(raw_data!B216,5,1)="-",DATE(VALUE(LEFT(raw_data!B216,4)),VALUE(MID(raw_data!B216,6,2)),VALUE(RIGHT(raw_data!B216,2))),DATE(VALUE(RIGHT(raw_data!B216,4)),MATCH(MID(raw_data!B216,4,3),{"Jan","Feb","Mar","Apr","May","Jun","Jul","Aug","Sep","Oct","Nov","Dec"},0),VALUE(LEFT(raw_data!B216,2)))))),"")</f>
        <v>45368</v>
      </c>
      <c r="C216" s="4" t="n">
        <f aca="false">IFERROR(IF(MID(raw_data!C216,3,1)="/",DATE(VALUE(RIGHT(raw_data!C216,4)),VALUE(LEFT(raw_data!C216,2)),VALUE(MID(raw_data!C216,4,2))),IF(MID(raw_data!C216,3,1)="-",DATE(VALUE(RIGHT(raw_data!C216,4)),VALUE(MID(raw_data!C216,4,2)),VALUE(LEFT(raw_data!C216,2))),IF(MID(raw_data!C216,5,1)="-",DATE(VALUE(LEFT(raw_data!C216,4)),VALUE(MID(raw_data!C216,6,2)),VALUE(RIGHT(raw_data!C216,2))),DATE(VALUE(RIGHT(raw_data!C216,4)),MATCH(MID(raw_data!C216,4,3),{"Jan","Feb","Mar","Apr","May","Jun","Jul","Aug","Sep","Oct","Nov","Dec"},0),VALUE(LEFT(raw_data!C216,2)))))),"")</f>
        <v>45374</v>
      </c>
      <c r="D216" s="3" t="str">
        <f aca="false">IF(TRIM(raw_data!B216)="","Missing",IF(B216="","Invalid/Unrecognized","Valid"))</f>
        <v>Valid</v>
      </c>
      <c r="E216" s="3" t="str">
        <f aca="false">IF(TRIM(raw_data!C216)="","Missing",IF(C216="","Invalid/Unrecognized","Valid"))</f>
        <v>Valid</v>
      </c>
      <c r="F216" s="5" t="n">
        <f aca="false">IF(OR(B216="",C216=""),"",C216-B216)</f>
        <v>6</v>
      </c>
      <c r="G216" s="3" t="str">
        <f aca="false">IF(F216="","N/A",IF(F216&lt;0,"Invalid - Ship Before Order","OK"))</f>
        <v>OK</v>
      </c>
      <c r="H216" s="3" t="str">
        <f aca="false">raw_data!D216</f>
        <v>CUST-1301</v>
      </c>
      <c r="I216" s="3" t="str">
        <f aca="false">PROPER(TRIM(raw_data!E216))</f>
        <v>Rahul Verma</v>
      </c>
      <c r="J216" s="3" t="str">
        <f aca="false">PROPER(TRIM(raw_data!F216))</f>
        <v>Consumer</v>
      </c>
      <c r="K216" s="3" t="str">
        <f aca="false">IF(TRIM(raw_data!G216)="","Unknown",PROPER(TRIM(raw_data!G216)))</f>
        <v>North</v>
      </c>
      <c r="L216" s="3" t="str">
        <f aca="false">IF(TRIM(raw_data!G216)="","Filled - Unknown","OK")</f>
        <v>OK</v>
      </c>
      <c r="M216" s="3" t="str">
        <f aca="false">PROPER(TRIM(raw_data!H216))</f>
        <v>Haryana</v>
      </c>
      <c r="N216" s="3" t="str">
        <f aca="false">PROPER(TRIM(raw_data!I216))</f>
        <v>Gurugram</v>
      </c>
      <c r="O216" s="3" t="str">
        <f aca="false">PROPER(TRIM(raw_data!J216))</f>
        <v>Technology</v>
      </c>
      <c r="P216" s="3" t="str">
        <f aca="false">PROPER(TRIM(raw_data!K216))</f>
        <v>Accessories</v>
      </c>
      <c r="Q216" s="3" t="str">
        <f aca="false">TRIM(raw_data!L216)</f>
        <v>Classic Accessories 757</v>
      </c>
      <c r="R216" s="3" t="str">
        <f aca="false">IF(TRIM(raw_data!M216)="","Unknown",PROPER(TRIM(raw_data!M216)))</f>
        <v>First Class</v>
      </c>
      <c r="S216" s="3" t="str">
        <f aca="false">IF(TRIM(raw_data!M216)="","Filled - Unknown","OK")</f>
        <v>OK</v>
      </c>
      <c r="T216" s="6" t="n">
        <f aca="false">raw_data!N216</f>
        <v>3</v>
      </c>
      <c r="U216" s="7" t="n">
        <f aca="false">raw_data!O216</f>
        <v>248.18</v>
      </c>
      <c r="V216" s="8" t="n">
        <f aca="false">raw_data!P216</f>
        <v>0.05</v>
      </c>
      <c r="W216" s="8" t="n">
        <f aca="false">IF(raw_data!P216="",0,IF(ISTEXT(raw_data!P216),IF(RIGHT(raw_data!P216,1)="%",VALUE(LEFT(raw_data!P216,LEN(raw_data!P216)-1))/100,VALUE(raw_data!P216)),raw_data!P216))</f>
        <v>0.05</v>
      </c>
      <c r="X216" s="3" t="str">
        <f aca="false">IF(raw_data!P216="","Missing - Defaulted to 0",IF(W216&lt;0,"Negative - Invalid",IF(W216&gt;0.3,"Above Allowed Range - Invalid","Valid")))</f>
        <v>Valid</v>
      </c>
      <c r="Y216" s="7" t="n">
        <f aca="false">raw_data!Q216</f>
        <v>707.31</v>
      </c>
      <c r="Z216" s="7" t="n">
        <f aca="false">raw_data!R216</f>
        <v>569</v>
      </c>
      <c r="AA216" s="7" t="n">
        <f aca="false">raw_data!S216</f>
        <v>138.31</v>
      </c>
      <c r="AB216" s="3" t="str">
        <f aca="false">PROPER(TRIM(raw_data!T216))</f>
        <v>Paid</v>
      </c>
      <c r="AC216" s="3" t="str">
        <f aca="false">PROPER(TRIM(raw_data!U216))</f>
        <v>Completed</v>
      </c>
      <c r="AD216" s="7" t="n">
        <f aca="false">T216*U216*(1-W216)</f>
        <v>707.313</v>
      </c>
      <c r="AE216" s="7" t="n">
        <f aca="false">AD216-Z216</f>
        <v>138.313</v>
      </c>
      <c r="AF216" s="8" t="n">
        <f aca="false">IF(AD216=0,0,AE216/AD216)</f>
        <v>0.195547091598769</v>
      </c>
      <c r="AG216" s="3" t="str">
        <f aca="false">IF(ABS(Y216-AD216)&gt;1,"Mismatch","OK")</f>
        <v>OK</v>
      </c>
      <c r="AH216" s="3" t="str">
        <f aca="false">IF(ABS(AA216-AE216)&gt;1,"Mismatch","OK")</f>
        <v>OK</v>
      </c>
      <c r="AI216" s="6" t="n">
        <f aca="false">IF(B216="","",MONTH(B216))</f>
        <v>3</v>
      </c>
      <c r="AJ216" s="6" t="n">
        <f aca="false">IF(B216="","",YEAR(B216))</f>
        <v>2024</v>
      </c>
      <c r="AK216" s="3" t="str">
        <f aca="false">IF(COUNTIF(raw_data!$A$2:$A$913,A216)&gt;1,"Conflicting Duplicate - Flagged for Review","Unique")</f>
        <v>Unique</v>
      </c>
      <c r="AL216" s="3" t="str">
        <f aca="false">IF(AB216="Refunded","Yes","No")</f>
        <v>No</v>
      </c>
      <c r="AM216" s="3" t="str">
        <f aca="false">IF(OR(AC216&lt;&gt;"Completed",AB216="Failed"),"Excluded","Included")</f>
        <v>Included</v>
      </c>
      <c r="AN216" s="3" t="str">
        <f aca="false">IF(OR(D216="Invalid/Unrecognized",E216="Invalid/Unrecognized",G216="Invalid - Ship Before Order",X216="Negative - Invalid",X216="Above Allowed Range - Invalid",AG216="Mismatch",AH216="Mismatch",AK216="Conflicting Duplicate - Flagged for Review"),"Invalid",IF(OR(L216="Filled - Unknown",S216="Filled - Unknown",X216="Missing - Defaulted to 0",AL216="Yes",AC216="Cancelled",AC216="Returned"),"Warning","Clean"))</f>
        <v>Clean</v>
      </c>
    </row>
    <row r="217" customFormat="false" ht="15" hidden="false" customHeight="false" outlineLevel="0" collapsed="false">
      <c r="A217" s="3" t="str">
        <f aca="false">raw_data!A217</f>
        <v>ORD-2024-10216</v>
      </c>
      <c r="B217" s="4" t="n">
        <f aca="false">IFERROR(IF(MID(raw_data!B217,3,1)="/",DATE(VALUE(RIGHT(raw_data!B217,4)),VALUE(LEFT(raw_data!B217,2)),VALUE(MID(raw_data!B217,4,2))),IF(MID(raw_data!B217,3,1)="-",DATE(VALUE(RIGHT(raw_data!B217,4)),VALUE(MID(raw_data!B217,4,2)),VALUE(LEFT(raw_data!B217,2))),IF(MID(raw_data!B217,5,1)="-",DATE(VALUE(LEFT(raw_data!B217,4)),VALUE(MID(raw_data!B217,6,2)),VALUE(RIGHT(raw_data!B217,2))),DATE(VALUE(RIGHT(raw_data!B217,4)),MATCH(MID(raw_data!B217,4,3),{"Jan","Feb","Mar","Apr","May","Jun","Jul","Aug","Sep","Oct","Nov","Dec"},0),VALUE(LEFT(raw_data!B217,2)))))),"")</f>
        <v>45352</v>
      </c>
      <c r="C217" s="4" t="n">
        <f aca="false">IFERROR(IF(MID(raw_data!C217,3,1)="/",DATE(VALUE(RIGHT(raw_data!C217,4)),VALUE(LEFT(raw_data!C217,2)),VALUE(MID(raw_data!C217,4,2))),IF(MID(raw_data!C217,3,1)="-",DATE(VALUE(RIGHT(raw_data!C217,4)),VALUE(MID(raw_data!C217,4,2)),VALUE(LEFT(raw_data!C217,2))),IF(MID(raw_data!C217,5,1)="-",DATE(VALUE(LEFT(raw_data!C217,4)),VALUE(MID(raw_data!C217,6,2)),VALUE(RIGHT(raw_data!C217,2))),DATE(VALUE(RIGHT(raw_data!C217,4)),MATCH(MID(raw_data!C217,4,3),{"Jan","Feb","Mar","Apr","May","Jun","Jul","Aug","Sep","Oct","Nov","Dec"},0),VALUE(LEFT(raw_data!C217,2)))))),"")</f>
        <v>45355</v>
      </c>
      <c r="D217" s="3" t="str">
        <f aca="false">IF(TRIM(raw_data!B217)="","Missing",IF(B217="","Invalid/Unrecognized","Valid"))</f>
        <v>Valid</v>
      </c>
      <c r="E217" s="3" t="str">
        <f aca="false">IF(TRIM(raw_data!C217)="","Missing",IF(C217="","Invalid/Unrecognized","Valid"))</f>
        <v>Valid</v>
      </c>
      <c r="F217" s="5" t="n">
        <f aca="false">IF(OR(B217="",C217=""),"",C217-B217)</f>
        <v>3</v>
      </c>
      <c r="G217" s="3" t="str">
        <f aca="false">IF(F217="","N/A",IF(F217&lt;0,"Invalid - Ship Before Order","OK"))</f>
        <v>OK</v>
      </c>
      <c r="H217" s="3" t="str">
        <f aca="false">raw_data!D217</f>
        <v>CUST-8603</v>
      </c>
      <c r="I217" s="3" t="str">
        <f aca="false">PROPER(TRIM(raw_data!E217))</f>
        <v>Mira Das</v>
      </c>
      <c r="J217" s="3" t="str">
        <f aca="false">PROPER(TRIM(raw_data!F217))</f>
        <v>Consumer</v>
      </c>
      <c r="K217" s="3" t="str">
        <f aca="false">IF(TRIM(raw_data!G217)="","Unknown",PROPER(TRIM(raw_data!G217)))</f>
        <v>West</v>
      </c>
      <c r="L217" s="3" t="str">
        <f aca="false">IF(TRIM(raw_data!G217)="","Filled - Unknown","OK")</f>
        <v>OK</v>
      </c>
      <c r="M217" s="3" t="str">
        <f aca="false">PROPER(TRIM(raw_data!H217))</f>
        <v>Madhya Pradesh</v>
      </c>
      <c r="N217" s="3" t="str">
        <f aca="false">PROPER(TRIM(raw_data!I217))</f>
        <v>Indore</v>
      </c>
      <c r="O217" s="3" t="str">
        <f aca="false">PROPER(TRIM(raw_data!J217))</f>
        <v>Office Supplies</v>
      </c>
      <c r="P217" s="3" t="str">
        <f aca="false">PROPER(TRIM(raw_data!K217))</f>
        <v>Paper</v>
      </c>
      <c r="Q217" s="3" t="str">
        <f aca="false">TRIM(raw_data!L217)</f>
        <v>Prime Paper 286</v>
      </c>
      <c r="R217" s="3" t="str">
        <f aca="false">IF(TRIM(raw_data!M217)="","Unknown",PROPER(TRIM(raw_data!M217)))</f>
        <v>First Class</v>
      </c>
      <c r="S217" s="3" t="str">
        <f aca="false">IF(TRIM(raw_data!M217)="","Filled - Unknown","OK")</f>
        <v>OK</v>
      </c>
      <c r="T217" s="6" t="n">
        <f aca="false">raw_data!N217</f>
        <v>8</v>
      </c>
      <c r="U217" s="7" t="n">
        <f aca="false">raw_data!O217</f>
        <v>3202.4</v>
      </c>
      <c r="V217" s="8" t="n">
        <f aca="false">raw_data!P217</f>
        <v>0.25</v>
      </c>
      <c r="W217" s="8" t="n">
        <f aca="false">IF(raw_data!P217="",0,IF(ISTEXT(raw_data!P217),IF(RIGHT(raw_data!P217,1)="%",VALUE(LEFT(raw_data!P217,LEN(raw_data!P217)-1))/100,VALUE(raw_data!P217)),raw_data!P217))</f>
        <v>0.25</v>
      </c>
      <c r="X217" s="3" t="str">
        <f aca="false">IF(raw_data!P217="","Missing - Defaulted to 0",IF(W217&lt;0,"Negative - Invalid",IF(W217&gt;0.3,"Above Allowed Range - Invalid","Valid")))</f>
        <v>Valid</v>
      </c>
      <c r="Y217" s="7" t="n">
        <f aca="false">raw_data!Q217</f>
        <v>19214.4</v>
      </c>
      <c r="Z217" s="7" t="n">
        <f aca="false">raw_data!R217</f>
        <v>10916.01</v>
      </c>
      <c r="AA217" s="7" t="n">
        <f aca="false">raw_data!S217</f>
        <v>8298.39</v>
      </c>
      <c r="AB217" s="3" t="str">
        <f aca="false">PROPER(TRIM(raw_data!T217))</f>
        <v>Paid</v>
      </c>
      <c r="AC217" s="3" t="str">
        <f aca="false">PROPER(TRIM(raw_data!U217))</f>
        <v>Completed</v>
      </c>
      <c r="AD217" s="7" t="n">
        <f aca="false">T217*U217*(1-W217)</f>
        <v>19214.4</v>
      </c>
      <c r="AE217" s="7" t="n">
        <f aca="false">AD217-Z217</f>
        <v>8298.39</v>
      </c>
      <c r="AF217" s="8" t="n">
        <f aca="false">IF(AD217=0,0,AE217/AD217)</f>
        <v>0.431883899575319</v>
      </c>
      <c r="AG217" s="3" t="str">
        <f aca="false">IF(ABS(Y217-AD217)&gt;1,"Mismatch","OK")</f>
        <v>OK</v>
      </c>
      <c r="AH217" s="3" t="str">
        <f aca="false">IF(ABS(AA217-AE217)&gt;1,"Mismatch","OK")</f>
        <v>OK</v>
      </c>
      <c r="AI217" s="6" t="n">
        <f aca="false">IF(B217="","",MONTH(B217))</f>
        <v>3</v>
      </c>
      <c r="AJ217" s="6" t="n">
        <f aca="false">IF(B217="","",YEAR(B217))</f>
        <v>2024</v>
      </c>
      <c r="AK217" s="3" t="str">
        <f aca="false">IF(COUNTIF(raw_data!$A$2:$A$913,A217)&gt;1,"Conflicting Duplicate - Flagged for Review","Unique")</f>
        <v>Unique</v>
      </c>
      <c r="AL217" s="3" t="str">
        <f aca="false">IF(AB217="Refunded","Yes","No")</f>
        <v>No</v>
      </c>
      <c r="AM217" s="3" t="str">
        <f aca="false">IF(OR(AC217&lt;&gt;"Completed",AB217="Failed"),"Excluded","Included")</f>
        <v>Included</v>
      </c>
      <c r="AN217" s="3" t="str">
        <f aca="false">IF(OR(D217="Invalid/Unrecognized",E217="Invalid/Unrecognized",G217="Invalid - Ship Before Order",X217="Negative - Invalid",X217="Above Allowed Range - Invalid",AG217="Mismatch",AH217="Mismatch",AK217="Conflicting Duplicate - Flagged for Review"),"Invalid",IF(OR(L217="Filled - Unknown",S217="Filled - Unknown",X217="Missing - Defaulted to 0",AL217="Yes",AC217="Cancelled",AC217="Returned"),"Warning","Clean"))</f>
        <v>Clean</v>
      </c>
    </row>
    <row r="218" customFormat="false" ht="15" hidden="false" customHeight="false" outlineLevel="0" collapsed="false">
      <c r="A218" s="3" t="str">
        <f aca="false">raw_data!A218</f>
        <v>ORD-2025-10217</v>
      </c>
      <c r="B218" s="4" t="n">
        <f aca="false">IFERROR(IF(MID(raw_data!B218,3,1)="/",DATE(VALUE(RIGHT(raw_data!B218,4)),VALUE(LEFT(raw_data!B218,2)),VALUE(MID(raw_data!B218,4,2))),IF(MID(raw_data!B218,3,1)="-",DATE(VALUE(RIGHT(raw_data!B218,4)),VALUE(MID(raw_data!B218,4,2)),VALUE(LEFT(raw_data!B218,2))),IF(MID(raw_data!B218,5,1)="-",DATE(VALUE(LEFT(raw_data!B218,4)),VALUE(MID(raw_data!B218,6,2)),VALUE(RIGHT(raw_data!B218,2))),DATE(VALUE(RIGHT(raw_data!B218,4)),MATCH(MID(raw_data!B218,4,3),{"Jan","Feb","Mar","Apr","May","Jun","Jul","Aug","Sep","Oct","Nov","Dec"},0),VALUE(LEFT(raw_data!B218,2)))))),"")</f>
        <v>45757</v>
      </c>
      <c r="C218" s="4" t="n">
        <f aca="false">IFERROR(IF(MID(raw_data!C218,3,1)="/",DATE(VALUE(RIGHT(raw_data!C218,4)),VALUE(LEFT(raw_data!C218,2)),VALUE(MID(raw_data!C218,4,2))),IF(MID(raw_data!C218,3,1)="-",DATE(VALUE(RIGHT(raw_data!C218,4)),VALUE(MID(raw_data!C218,4,2)),VALUE(LEFT(raw_data!C218,2))),IF(MID(raw_data!C218,5,1)="-",DATE(VALUE(LEFT(raw_data!C218,4)),VALUE(MID(raw_data!C218,6,2)),VALUE(RIGHT(raw_data!C218,2))),DATE(VALUE(RIGHT(raw_data!C218,4)),MATCH(MID(raw_data!C218,4,3),{"Jan","Feb","Mar","Apr","May","Jun","Jul","Aug","Sep","Oct","Nov","Dec"},0),VALUE(LEFT(raw_data!C218,2)))))),"")</f>
        <v>45762</v>
      </c>
      <c r="D218" s="3" t="str">
        <f aca="false">IF(TRIM(raw_data!B218)="","Missing",IF(B218="","Invalid/Unrecognized","Valid"))</f>
        <v>Valid</v>
      </c>
      <c r="E218" s="3" t="str">
        <f aca="false">IF(TRIM(raw_data!C218)="","Missing",IF(C218="","Invalid/Unrecognized","Valid"))</f>
        <v>Valid</v>
      </c>
      <c r="F218" s="5" t="n">
        <f aca="false">IF(OR(B218="",C218=""),"",C218-B218)</f>
        <v>5</v>
      </c>
      <c r="G218" s="3" t="str">
        <f aca="false">IF(F218="","N/A",IF(F218&lt;0,"Invalid - Ship Before Order","OK"))</f>
        <v>OK</v>
      </c>
      <c r="H218" s="3" t="str">
        <f aca="false">raw_data!D218</f>
        <v>CUST-4330</v>
      </c>
      <c r="I218" s="3" t="str">
        <f aca="false">PROPER(TRIM(raw_data!E218))</f>
        <v>Isha Nair</v>
      </c>
      <c r="J218" s="3" t="str">
        <f aca="false">PROPER(TRIM(raw_data!F218))</f>
        <v>Consumer</v>
      </c>
      <c r="K218" s="3" t="str">
        <f aca="false">IF(TRIM(raw_data!G218)="","Unknown",PROPER(TRIM(raw_data!G218)))</f>
        <v>West</v>
      </c>
      <c r="L218" s="3" t="str">
        <f aca="false">IF(TRIM(raw_data!G218)="","Filled - Unknown","OK")</f>
        <v>OK</v>
      </c>
      <c r="M218" s="3" t="str">
        <f aca="false">PROPER(TRIM(raw_data!H218))</f>
        <v>Gujarat</v>
      </c>
      <c r="N218" s="3" t="str">
        <f aca="false">PROPER(TRIM(raw_data!I218))</f>
        <v>Ahmedabad</v>
      </c>
      <c r="O218" s="3" t="str">
        <f aca="false">PROPER(TRIM(raw_data!J218))</f>
        <v>Furniture</v>
      </c>
      <c r="P218" s="3" t="str">
        <f aca="false">PROPER(TRIM(raw_data!K218))</f>
        <v>Tables</v>
      </c>
      <c r="Q218" s="3" t="str">
        <f aca="false">TRIM(raw_data!L218)</f>
        <v>Basic Tables 400</v>
      </c>
      <c r="R218" s="3" t="str">
        <f aca="false">IF(TRIM(raw_data!M218)="","Unknown",PROPER(TRIM(raw_data!M218)))</f>
        <v>Standard Class</v>
      </c>
      <c r="S218" s="3" t="str">
        <f aca="false">IF(TRIM(raw_data!M218)="","Filled - Unknown","OK")</f>
        <v>OK</v>
      </c>
      <c r="T218" s="6" t="n">
        <f aca="false">raw_data!N218</f>
        <v>8</v>
      </c>
      <c r="U218" s="7" t="n">
        <f aca="false">raw_data!O218</f>
        <v>1839.87</v>
      </c>
      <c r="V218" s="8" t="n">
        <f aca="false">raw_data!P218</f>
        <v>0.25</v>
      </c>
      <c r="W218" s="8" t="n">
        <f aca="false">IF(raw_data!P218="",0,IF(ISTEXT(raw_data!P218),IF(RIGHT(raw_data!P218,1)="%",VALUE(LEFT(raw_data!P218,LEN(raw_data!P218)-1))/100,VALUE(raw_data!P218)),raw_data!P218))</f>
        <v>0.25</v>
      </c>
      <c r="X218" s="3" t="str">
        <f aca="false">IF(raw_data!P218="","Missing - Defaulted to 0",IF(W218&lt;0,"Negative - Invalid",IF(W218&gt;0.3,"Above Allowed Range - Invalid","Valid")))</f>
        <v>Valid</v>
      </c>
      <c r="Y218" s="7" t="n">
        <f aca="false">raw_data!Q218</f>
        <v>11039.22</v>
      </c>
      <c r="Z218" s="7" t="n">
        <f aca="false">raw_data!R218</f>
        <v>7642.91</v>
      </c>
      <c r="AA218" s="7" t="n">
        <f aca="false">raw_data!S218</f>
        <v>3396.31</v>
      </c>
      <c r="AB218" s="3" t="str">
        <f aca="false">PROPER(TRIM(raw_data!T218))</f>
        <v>Failed</v>
      </c>
      <c r="AC218" s="3" t="str">
        <f aca="false">PROPER(TRIM(raw_data!U218))</f>
        <v>Returned</v>
      </c>
      <c r="AD218" s="7" t="n">
        <f aca="false">T218*U218*(1-W218)</f>
        <v>11039.22</v>
      </c>
      <c r="AE218" s="7" t="n">
        <f aca="false">AD218-Z218</f>
        <v>3396.31</v>
      </c>
      <c r="AF218" s="8" t="n">
        <f aca="false">IF(AD218=0,0,AE218/AD218)</f>
        <v>0.307658512105022</v>
      </c>
      <c r="AG218" s="3" t="str">
        <f aca="false">IF(ABS(Y218-AD218)&gt;1,"Mismatch","OK")</f>
        <v>OK</v>
      </c>
      <c r="AH218" s="3" t="str">
        <f aca="false">IF(ABS(AA218-AE218)&gt;1,"Mismatch","OK")</f>
        <v>OK</v>
      </c>
      <c r="AI218" s="6" t="n">
        <f aca="false">IF(B218="","",MONTH(B218))</f>
        <v>4</v>
      </c>
      <c r="AJ218" s="6" t="n">
        <f aca="false">IF(B218="","",YEAR(B218))</f>
        <v>2025</v>
      </c>
      <c r="AK218" s="3" t="str">
        <f aca="false">IF(COUNTIF(raw_data!$A$2:$A$913,A218)&gt;1,"Conflicting Duplicate - Flagged for Review","Unique")</f>
        <v>Unique</v>
      </c>
      <c r="AL218" s="3" t="str">
        <f aca="false">IF(AB218="Refunded","Yes","No")</f>
        <v>No</v>
      </c>
      <c r="AM218" s="3" t="str">
        <f aca="false">IF(OR(AC218&lt;&gt;"Completed",AB218="Failed"),"Excluded","Included")</f>
        <v>Excluded</v>
      </c>
      <c r="AN218" s="3" t="str">
        <f aca="false">IF(OR(D218="Invalid/Unrecognized",E218="Invalid/Unrecognized",G218="Invalid - Ship Before Order",X218="Negative - Invalid",X218="Above Allowed Range - Invalid",AG218="Mismatch",AH218="Mismatch",AK218="Conflicting Duplicate - Flagged for Review"),"Invalid",IF(OR(L218="Filled - Unknown",S218="Filled - Unknown",X218="Missing - Defaulted to 0",AL218="Yes",AC218="Cancelled",AC218="Returned"),"Warning","Clean"))</f>
        <v>Warning</v>
      </c>
    </row>
    <row r="219" customFormat="false" ht="15" hidden="false" customHeight="false" outlineLevel="0" collapsed="false">
      <c r="A219" s="3" t="str">
        <f aca="false">raw_data!A219</f>
        <v>ORD-2025-10218</v>
      </c>
      <c r="B219" s="4" t="n">
        <f aca="false">IFERROR(IF(MID(raw_data!B219,3,1)="/",DATE(VALUE(RIGHT(raw_data!B219,4)),VALUE(LEFT(raw_data!B219,2)),VALUE(MID(raw_data!B219,4,2))),IF(MID(raw_data!B219,3,1)="-",DATE(VALUE(RIGHT(raw_data!B219,4)),VALUE(MID(raw_data!B219,4,2)),VALUE(LEFT(raw_data!B219,2))),IF(MID(raw_data!B219,5,1)="-",DATE(VALUE(LEFT(raw_data!B219,4)),VALUE(MID(raw_data!B219,6,2)),VALUE(RIGHT(raw_data!B219,2))),DATE(VALUE(RIGHT(raw_data!B219,4)),MATCH(MID(raw_data!B219,4,3),{"Jan","Feb","Mar","Apr","May","Jun","Jul","Aug","Sep","Oct","Nov","Dec"},0),VALUE(LEFT(raw_data!B219,2)))))),"")</f>
        <v>45748</v>
      </c>
      <c r="C219" s="4" t="n">
        <f aca="false">IFERROR(IF(MID(raw_data!C219,3,1)="/",DATE(VALUE(RIGHT(raw_data!C219,4)),VALUE(LEFT(raw_data!C219,2)),VALUE(MID(raw_data!C219,4,2))),IF(MID(raw_data!C219,3,1)="-",DATE(VALUE(RIGHT(raw_data!C219,4)),VALUE(MID(raw_data!C219,4,2)),VALUE(LEFT(raw_data!C219,2))),IF(MID(raw_data!C219,5,1)="-",DATE(VALUE(LEFT(raw_data!C219,4)),VALUE(MID(raw_data!C219,6,2)),VALUE(RIGHT(raw_data!C219,2))),DATE(VALUE(RIGHT(raw_data!C219,4)),MATCH(MID(raw_data!C219,4,3),{"Jan","Feb","Mar","Apr","May","Jun","Jul","Aug","Sep","Oct","Nov","Dec"},0),VALUE(LEFT(raw_data!C219,2)))))),"")</f>
        <v>45755</v>
      </c>
      <c r="D219" s="3" t="str">
        <f aca="false">IF(TRIM(raw_data!B219)="","Missing",IF(B219="","Invalid/Unrecognized","Valid"))</f>
        <v>Valid</v>
      </c>
      <c r="E219" s="3" t="str">
        <f aca="false">IF(TRIM(raw_data!C219)="","Missing",IF(C219="","Invalid/Unrecognized","Valid"))</f>
        <v>Valid</v>
      </c>
      <c r="F219" s="5" t="n">
        <f aca="false">IF(OR(B219="",C219=""),"",C219-B219)</f>
        <v>7</v>
      </c>
      <c r="G219" s="3" t="str">
        <f aca="false">IF(F219="","N/A",IF(F219&lt;0,"Invalid - Ship Before Order","OK"))</f>
        <v>OK</v>
      </c>
      <c r="H219" s="3" t="str">
        <f aca="false">raw_data!D219</f>
        <v>CUST-4533</v>
      </c>
      <c r="I219" s="3" t="str">
        <f aca="false">PROPER(TRIM(raw_data!E219))</f>
        <v>Aditi Sen</v>
      </c>
      <c r="J219" s="3" t="str">
        <f aca="false">PROPER(TRIM(raw_data!F219))</f>
        <v>Consumer</v>
      </c>
      <c r="K219" s="3" t="str">
        <f aca="false">IF(TRIM(raw_data!G219)="","Unknown",PROPER(TRIM(raw_data!G219)))</f>
        <v>East</v>
      </c>
      <c r="L219" s="3" t="str">
        <f aca="false">IF(TRIM(raw_data!G219)="","Filled - Unknown","OK")</f>
        <v>OK</v>
      </c>
      <c r="M219" s="3" t="str">
        <f aca="false">PROPER(TRIM(raw_data!H219))</f>
        <v>Odisha</v>
      </c>
      <c r="N219" s="3" t="str">
        <f aca="false">PROPER(TRIM(raw_data!I219))</f>
        <v>Bhubaneswar</v>
      </c>
      <c r="O219" s="3" t="str">
        <f aca="false">PROPER(TRIM(raw_data!J219))</f>
        <v>Furniture</v>
      </c>
      <c r="P219" s="3" t="str">
        <f aca="false">PROPER(TRIM(raw_data!K219))</f>
        <v>Bookcases</v>
      </c>
      <c r="Q219" s="3" t="str">
        <f aca="false">TRIM(raw_data!L219)</f>
        <v>Basic Bookcases 405</v>
      </c>
      <c r="R219" s="3" t="str">
        <f aca="false">IF(TRIM(raw_data!M219)="","Unknown",PROPER(TRIM(raw_data!M219)))</f>
        <v>Second Class</v>
      </c>
      <c r="S219" s="3" t="str">
        <f aca="false">IF(TRIM(raw_data!M219)="","Filled - Unknown","OK")</f>
        <v>OK</v>
      </c>
      <c r="T219" s="6" t="n">
        <f aca="false">raw_data!N219</f>
        <v>5</v>
      </c>
      <c r="U219" s="7" t="n">
        <f aca="false">raw_data!O219</f>
        <v>1021.28</v>
      </c>
      <c r="V219" s="8" t="n">
        <f aca="false">raw_data!P219</f>
        <v>0.1</v>
      </c>
      <c r="W219" s="8" t="n">
        <f aca="false">IF(raw_data!P219="",0,IF(ISTEXT(raw_data!P219),IF(RIGHT(raw_data!P219,1)="%",VALUE(LEFT(raw_data!P219,LEN(raw_data!P219)-1))/100,VALUE(raw_data!P219)),raw_data!P219))</f>
        <v>0.1</v>
      </c>
      <c r="X219" s="3" t="str">
        <f aca="false">IF(raw_data!P219="","Missing - Defaulted to 0",IF(W219&lt;0,"Negative - Invalid",IF(W219&gt;0.3,"Above Allowed Range - Invalid","Valid")))</f>
        <v>Valid</v>
      </c>
      <c r="Y219" s="7" t="n">
        <f aca="false">raw_data!Q219</f>
        <v>4595.76</v>
      </c>
      <c r="Z219" s="7" t="n">
        <f aca="false">raw_data!R219</f>
        <v>3396.8</v>
      </c>
      <c r="AA219" s="7" t="n">
        <f aca="false">raw_data!S219</f>
        <v>1198.96</v>
      </c>
      <c r="AB219" s="3" t="str">
        <f aca="false">PROPER(TRIM(raw_data!T219))</f>
        <v>Refunded</v>
      </c>
      <c r="AC219" s="3" t="str">
        <f aca="false">PROPER(TRIM(raw_data!U219))</f>
        <v>Cancelled</v>
      </c>
      <c r="AD219" s="7" t="n">
        <f aca="false">T219*U219*(1-W219)</f>
        <v>4595.76</v>
      </c>
      <c r="AE219" s="7" t="n">
        <f aca="false">AD219-Z219</f>
        <v>1198.96</v>
      </c>
      <c r="AF219" s="8" t="n">
        <f aca="false">IF(AD219=0,0,AE219/AD219)</f>
        <v>0.260883945201664</v>
      </c>
      <c r="AG219" s="3" t="str">
        <f aca="false">IF(ABS(Y219-AD219)&gt;1,"Mismatch","OK")</f>
        <v>OK</v>
      </c>
      <c r="AH219" s="3" t="str">
        <f aca="false">IF(ABS(AA219-AE219)&gt;1,"Mismatch","OK")</f>
        <v>OK</v>
      </c>
      <c r="AI219" s="6" t="n">
        <f aca="false">IF(B219="","",MONTH(B219))</f>
        <v>4</v>
      </c>
      <c r="AJ219" s="6" t="n">
        <f aca="false">IF(B219="","",YEAR(B219))</f>
        <v>2025</v>
      </c>
      <c r="AK219" s="3" t="str">
        <f aca="false">IF(COUNTIF(raw_data!$A$2:$A$913,A219)&gt;1,"Conflicting Duplicate - Flagged for Review","Unique")</f>
        <v>Unique</v>
      </c>
      <c r="AL219" s="3" t="str">
        <f aca="false">IF(AB219="Refunded","Yes","No")</f>
        <v>Yes</v>
      </c>
      <c r="AM219" s="3" t="str">
        <f aca="false">IF(OR(AC219&lt;&gt;"Completed",AB219="Failed"),"Excluded","Included")</f>
        <v>Excluded</v>
      </c>
      <c r="AN219" s="3" t="str">
        <f aca="false">IF(OR(D219="Invalid/Unrecognized",E219="Invalid/Unrecognized",G219="Invalid - Ship Before Order",X219="Negative - Invalid",X219="Above Allowed Range - Invalid",AG219="Mismatch",AH219="Mismatch",AK219="Conflicting Duplicate - Flagged for Review"),"Invalid",IF(OR(L219="Filled - Unknown",S219="Filled - Unknown",X219="Missing - Defaulted to 0",AL219="Yes",AC219="Cancelled",AC219="Returned"),"Warning","Clean"))</f>
        <v>Warning</v>
      </c>
    </row>
    <row r="220" customFormat="false" ht="15" hidden="false" customHeight="false" outlineLevel="0" collapsed="false">
      <c r="A220" s="3" t="str">
        <f aca="false">raw_data!A220</f>
        <v>ORD-2025-10219</v>
      </c>
      <c r="B220" s="4" t="n">
        <f aca="false">IFERROR(IF(MID(raw_data!B220,3,1)="/",DATE(VALUE(RIGHT(raw_data!B220,4)),VALUE(LEFT(raw_data!B220,2)),VALUE(MID(raw_data!B220,4,2))),IF(MID(raw_data!B220,3,1)="-",DATE(VALUE(RIGHT(raw_data!B220,4)),VALUE(MID(raw_data!B220,4,2)),VALUE(LEFT(raw_data!B220,2))),IF(MID(raw_data!B220,5,1)="-",DATE(VALUE(LEFT(raw_data!B220,4)),VALUE(MID(raw_data!B220,6,2)),VALUE(RIGHT(raw_data!B220,2))),DATE(VALUE(RIGHT(raw_data!B220,4)),MATCH(MID(raw_data!B220,4,3),{"Jan","Feb","Mar","Apr","May","Jun","Jul","Aug","Sep","Oct","Nov","Dec"},0),VALUE(LEFT(raw_data!B220,2)))))),"")</f>
        <v>45714</v>
      </c>
      <c r="C220" s="4" t="n">
        <f aca="false">IFERROR(IF(MID(raw_data!C220,3,1)="/",DATE(VALUE(RIGHT(raw_data!C220,4)),VALUE(LEFT(raw_data!C220,2)),VALUE(MID(raw_data!C220,4,2))),IF(MID(raw_data!C220,3,1)="-",DATE(VALUE(RIGHT(raw_data!C220,4)),VALUE(MID(raw_data!C220,4,2)),VALUE(LEFT(raw_data!C220,2))),IF(MID(raw_data!C220,5,1)="-",DATE(VALUE(LEFT(raw_data!C220,4)),VALUE(MID(raw_data!C220,6,2)),VALUE(RIGHT(raw_data!C220,2))),DATE(VALUE(RIGHT(raw_data!C220,4)),MATCH(MID(raw_data!C220,4,3),{"Jan","Feb","Mar","Apr","May","Jun","Jul","Aug","Sep","Oct","Nov","Dec"},0),VALUE(LEFT(raw_data!C220,2)))))),"")</f>
        <v>45715</v>
      </c>
      <c r="D220" s="3" t="str">
        <f aca="false">IF(TRIM(raw_data!B220)="","Missing",IF(B220="","Invalid/Unrecognized","Valid"))</f>
        <v>Valid</v>
      </c>
      <c r="E220" s="3" t="str">
        <f aca="false">IF(TRIM(raw_data!C220)="","Missing",IF(C220="","Invalid/Unrecognized","Valid"))</f>
        <v>Valid</v>
      </c>
      <c r="F220" s="5" t="n">
        <f aca="false">IF(OR(B220="",C220=""),"",C220-B220)</f>
        <v>1</v>
      </c>
      <c r="G220" s="3" t="str">
        <f aca="false">IF(F220="","N/A",IF(F220&lt;0,"Invalid - Ship Before Order","OK"))</f>
        <v>OK</v>
      </c>
      <c r="H220" s="3" t="str">
        <f aca="false">raw_data!D220</f>
        <v>CUST-8270</v>
      </c>
      <c r="I220" s="3" t="str">
        <f aca="false">PROPER(TRIM(raw_data!E220))</f>
        <v>Priya Menon</v>
      </c>
      <c r="J220" s="3" t="str">
        <f aca="false">PROPER(TRIM(raw_data!F220))</f>
        <v>Corporate</v>
      </c>
      <c r="K220" s="3" t="str">
        <f aca="false">IF(TRIM(raw_data!G220)="","Unknown",PROPER(TRIM(raw_data!G220)))</f>
        <v>West</v>
      </c>
      <c r="L220" s="3" t="str">
        <f aca="false">IF(TRIM(raw_data!G220)="","Filled - Unknown","OK")</f>
        <v>OK</v>
      </c>
      <c r="M220" s="3" t="str">
        <f aca="false">PROPER(TRIM(raw_data!H220))</f>
        <v>Gujarat</v>
      </c>
      <c r="N220" s="3" t="str">
        <f aca="false">PROPER(TRIM(raw_data!I220))</f>
        <v>Ahmedabad</v>
      </c>
      <c r="O220" s="3" t="str">
        <f aca="false">PROPER(TRIM(raw_data!J220))</f>
        <v>Furniture</v>
      </c>
      <c r="P220" s="3" t="str">
        <f aca="false">PROPER(TRIM(raw_data!K220))</f>
        <v>Bookcases</v>
      </c>
      <c r="Q220" s="3" t="str">
        <f aca="false">TRIM(raw_data!L220)</f>
        <v>Classic Bookcases 139</v>
      </c>
      <c r="R220" s="3" t="str">
        <f aca="false">IF(TRIM(raw_data!M220)="","Unknown",PROPER(TRIM(raw_data!M220)))</f>
        <v>Standard Class</v>
      </c>
      <c r="S220" s="3" t="str">
        <f aca="false">IF(TRIM(raw_data!M220)="","Filled - Unknown","OK")</f>
        <v>OK</v>
      </c>
      <c r="T220" s="6" t="n">
        <f aca="false">raw_data!N220</f>
        <v>5</v>
      </c>
      <c r="U220" s="7" t="n">
        <f aca="false">raw_data!O220</f>
        <v>258.28</v>
      </c>
      <c r="V220" s="8" t="n">
        <f aca="false">raw_data!P220</f>
        <v>0</v>
      </c>
      <c r="W220" s="8" t="n">
        <f aca="false">IF(raw_data!P220="",0,IF(ISTEXT(raw_data!P220),IF(RIGHT(raw_data!P220,1)="%",VALUE(LEFT(raw_data!P220,LEN(raw_data!P220)-1))/100,VALUE(raw_data!P220)),raw_data!P220))</f>
        <v>0</v>
      </c>
      <c r="X220" s="3" t="str">
        <f aca="false">IF(raw_data!P220="","Missing - Defaulted to 0",IF(W220&lt;0,"Negative - Invalid",IF(W220&gt;0.3,"Above Allowed Range - Invalid","Valid")))</f>
        <v>Valid</v>
      </c>
      <c r="Y220" s="7" t="n">
        <f aca="false">raw_data!Q220</f>
        <v>1291.4</v>
      </c>
      <c r="Z220" s="7" t="n">
        <f aca="false">raw_data!R220</f>
        <v>756.93</v>
      </c>
      <c r="AA220" s="7" t="n">
        <f aca="false">raw_data!S220</f>
        <v>534.47</v>
      </c>
      <c r="AB220" s="3" t="str">
        <f aca="false">PROPER(TRIM(raw_data!T220))</f>
        <v>Paid</v>
      </c>
      <c r="AC220" s="3" t="str">
        <f aca="false">PROPER(TRIM(raw_data!U220))</f>
        <v>Completed</v>
      </c>
      <c r="AD220" s="7" t="n">
        <f aca="false">T220*U220*(1-W220)</f>
        <v>1291.4</v>
      </c>
      <c r="AE220" s="7" t="n">
        <f aca="false">AD220-Z220</f>
        <v>534.47</v>
      </c>
      <c r="AF220" s="8" t="n">
        <f aca="false">IF(AD220=0,0,AE220/AD220)</f>
        <v>0.413868669660833</v>
      </c>
      <c r="AG220" s="3" t="str">
        <f aca="false">IF(ABS(Y220-AD220)&gt;1,"Mismatch","OK")</f>
        <v>OK</v>
      </c>
      <c r="AH220" s="3" t="str">
        <f aca="false">IF(ABS(AA220-AE220)&gt;1,"Mismatch","OK")</f>
        <v>OK</v>
      </c>
      <c r="AI220" s="6" t="n">
        <f aca="false">IF(B220="","",MONTH(B220))</f>
        <v>2</v>
      </c>
      <c r="AJ220" s="6" t="n">
        <f aca="false">IF(B220="","",YEAR(B220))</f>
        <v>2025</v>
      </c>
      <c r="AK220" s="3" t="str">
        <f aca="false">IF(COUNTIF(raw_data!$A$2:$A$913,A220)&gt;1,"Conflicting Duplicate - Flagged for Review","Unique")</f>
        <v>Unique</v>
      </c>
      <c r="AL220" s="3" t="str">
        <f aca="false">IF(AB220="Refunded","Yes","No")</f>
        <v>No</v>
      </c>
      <c r="AM220" s="3" t="str">
        <f aca="false">IF(OR(AC220&lt;&gt;"Completed",AB220="Failed"),"Excluded","Included")</f>
        <v>Included</v>
      </c>
      <c r="AN220" s="3" t="str">
        <f aca="false">IF(OR(D220="Invalid/Unrecognized",E220="Invalid/Unrecognized",G220="Invalid - Ship Before Order",X220="Negative - Invalid",X220="Above Allowed Range - Invalid",AG220="Mismatch",AH220="Mismatch",AK220="Conflicting Duplicate - Flagged for Review"),"Invalid",IF(OR(L220="Filled - Unknown",S220="Filled - Unknown",X220="Missing - Defaulted to 0",AL220="Yes",AC220="Cancelled",AC220="Returned"),"Warning","Clean"))</f>
        <v>Clean</v>
      </c>
    </row>
    <row r="221" customFormat="false" ht="15" hidden="false" customHeight="false" outlineLevel="0" collapsed="false">
      <c r="A221" s="3" t="str">
        <f aca="false">raw_data!A221</f>
        <v>ORD-2024-10220</v>
      </c>
      <c r="B221" s="4" t="n">
        <f aca="false">IFERROR(IF(MID(raw_data!B221,3,1)="/",DATE(VALUE(RIGHT(raw_data!B221,4)),VALUE(LEFT(raw_data!B221,2)),VALUE(MID(raw_data!B221,4,2))),IF(MID(raw_data!B221,3,1)="-",DATE(VALUE(RIGHT(raw_data!B221,4)),VALUE(MID(raw_data!B221,4,2)),VALUE(LEFT(raw_data!B221,2))),IF(MID(raw_data!B221,5,1)="-",DATE(VALUE(LEFT(raw_data!B221,4)),VALUE(MID(raw_data!B221,6,2)),VALUE(RIGHT(raw_data!B221,2))),DATE(VALUE(RIGHT(raw_data!B221,4)),MATCH(MID(raw_data!B221,4,3),{"Jan","Feb","Mar","Apr","May","Jun","Jul","Aug","Sep","Oct","Nov","Dec"},0),VALUE(LEFT(raw_data!B221,2)))))),"")</f>
        <v>45461</v>
      </c>
      <c r="C221" s="4" t="n">
        <f aca="false">IFERROR(IF(MID(raw_data!C221,3,1)="/",DATE(VALUE(RIGHT(raw_data!C221,4)),VALUE(LEFT(raw_data!C221,2)),VALUE(MID(raw_data!C221,4,2))),IF(MID(raw_data!C221,3,1)="-",DATE(VALUE(RIGHT(raw_data!C221,4)),VALUE(MID(raw_data!C221,4,2)),VALUE(LEFT(raw_data!C221,2))),IF(MID(raw_data!C221,5,1)="-",DATE(VALUE(LEFT(raw_data!C221,4)),VALUE(MID(raw_data!C221,6,2)),VALUE(RIGHT(raw_data!C221,2))),DATE(VALUE(RIGHT(raw_data!C221,4)),MATCH(MID(raw_data!C221,4,3),{"Jan","Feb","Mar","Apr","May","Jun","Jul","Aug","Sep","Oct","Nov","Dec"},0),VALUE(LEFT(raw_data!C221,2)))))),"")</f>
        <v>45462</v>
      </c>
      <c r="D221" s="3" t="str">
        <f aca="false">IF(TRIM(raw_data!B221)="","Missing",IF(B221="","Invalid/Unrecognized","Valid"))</f>
        <v>Valid</v>
      </c>
      <c r="E221" s="3" t="str">
        <f aca="false">IF(TRIM(raw_data!C221)="","Missing",IF(C221="","Invalid/Unrecognized","Valid"))</f>
        <v>Valid</v>
      </c>
      <c r="F221" s="5" t="n">
        <f aca="false">IF(OR(B221="",C221=""),"",C221-B221)</f>
        <v>1</v>
      </c>
      <c r="G221" s="3" t="str">
        <f aca="false">IF(F221="","N/A",IF(F221&lt;0,"Invalid - Ship Before Order","OK"))</f>
        <v>OK</v>
      </c>
      <c r="H221" s="3" t="str">
        <f aca="false">raw_data!D221</f>
        <v>CUST-1472</v>
      </c>
      <c r="I221" s="3" t="str">
        <f aca="false">PROPER(TRIM(raw_data!E221))</f>
        <v>Rahul Verma</v>
      </c>
      <c r="J221" s="3" t="str">
        <f aca="false">PROPER(TRIM(raw_data!F221))</f>
        <v>Consumer</v>
      </c>
      <c r="K221" s="3" t="str">
        <f aca="false">IF(TRIM(raw_data!G221)="","Unknown",PROPER(TRIM(raw_data!G221)))</f>
        <v>East</v>
      </c>
      <c r="L221" s="3" t="str">
        <f aca="false">IF(TRIM(raw_data!G221)="","Filled - Unknown","OK")</f>
        <v>OK</v>
      </c>
      <c r="M221" s="3" t="str">
        <f aca="false">PROPER(TRIM(raw_data!H221))</f>
        <v>Bihar</v>
      </c>
      <c r="N221" s="3" t="str">
        <f aca="false">PROPER(TRIM(raw_data!I221))</f>
        <v>Patna</v>
      </c>
      <c r="O221" s="3" t="str">
        <f aca="false">PROPER(TRIM(raw_data!J221))</f>
        <v>Technology</v>
      </c>
      <c r="P221" s="3" t="str">
        <f aca="false">PROPER(TRIM(raw_data!K221))</f>
        <v>Machines</v>
      </c>
      <c r="Q221" s="3" t="str">
        <f aca="false">TRIM(raw_data!L221)</f>
        <v>Elite Machines 290</v>
      </c>
      <c r="R221" s="3" t="str">
        <f aca="false">IF(TRIM(raw_data!M221)="","Unknown",PROPER(TRIM(raw_data!M221)))</f>
        <v>First Class</v>
      </c>
      <c r="S221" s="3" t="str">
        <f aca="false">IF(TRIM(raw_data!M221)="","Filled - Unknown","OK")</f>
        <v>OK</v>
      </c>
      <c r="T221" s="6" t="n">
        <f aca="false">raw_data!N221</f>
        <v>2</v>
      </c>
      <c r="U221" s="7" t="n">
        <f aca="false">raw_data!O221</f>
        <v>121.49</v>
      </c>
      <c r="V221" s="8" t="str">
        <f aca="false">raw_data!P221</f>
        <v>85%</v>
      </c>
      <c r="W221" s="8" t="n">
        <f aca="false">IF(raw_data!P221="",0,IF(ISTEXT(raw_data!P221),IF(RIGHT(raw_data!P221,1)="%",VALUE(LEFT(raw_data!P221,LEN(raw_data!P221)-1))/100,VALUE(raw_data!P221)),raw_data!P221))</f>
        <v>0.85</v>
      </c>
      <c r="X221" s="3" t="str">
        <f aca="false">IF(raw_data!P221="","Missing - Defaulted to 0",IF(W221&lt;0,"Negative - Invalid",IF(W221&gt;0.3,"Above Allowed Range - Invalid","Valid")))</f>
        <v>Above Allowed Range - Invalid</v>
      </c>
      <c r="Y221" s="7" t="n">
        <f aca="false">raw_data!Q221</f>
        <v>242.98</v>
      </c>
      <c r="Z221" s="7" t="n">
        <f aca="false">raw_data!R221</f>
        <v>161.42</v>
      </c>
      <c r="AA221" s="7" t="n">
        <f aca="false">raw_data!S221</f>
        <v>81.56</v>
      </c>
      <c r="AB221" s="3" t="str">
        <f aca="false">PROPER(TRIM(raw_data!T221))</f>
        <v>Paid</v>
      </c>
      <c r="AC221" s="3" t="str">
        <f aca="false">PROPER(TRIM(raw_data!U221))</f>
        <v>Completed</v>
      </c>
      <c r="AD221" s="7" t="n">
        <f aca="false">T221*U221*(1-W221)</f>
        <v>36.447</v>
      </c>
      <c r="AE221" s="7" t="n">
        <f aca="false">AD221-Z221</f>
        <v>-124.973</v>
      </c>
      <c r="AF221" s="8" t="n">
        <f aca="false">IF(AD221=0,0,AE221/AD221)</f>
        <v>-3.42889675419102</v>
      </c>
      <c r="AG221" s="3" t="str">
        <f aca="false">IF(ABS(Y221-AD221)&gt;1,"Mismatch","OK")</f>
        <v>Mismatch</v>
      </c>
      <c r="AH221" s="3" t="str">
        <f aca="false">IF(ABS(AA221-AE221)&gt;1,"Mismatch","OK")</f>
        <v>Mismatch</v>
      </c>
      <c r="AI221" s="6" t="n">
        <f aca="false">IF(B221="","",MONTH(B221))</f>
        <v>6</v>
      </c>
      <c r="AJ221" s="6" t="n">
        <f aca="false">IF(B221="","",YEAR(B221))</f>
        <v>2024</v>
      </c>
      <c r="AK221" s="3" t="str">
        <f aca="false">IF(COUNTIF(raw_data!$A$2:$A$913,A221)&gt;1,"Conflicting Duplicate - Flagged for Review","Unique")</f>
        <v>Unique</v>
      </c>
      <c r="AL221" s="3" t="str">
        <f aca="false">IF(AB221="Refunded","Yes","No")</f>
        <v>No</v>
      </c>
      <c r="AM221" s="3" t="str">
        <f aca="false">IF(OR(AC221&lt;&gt;"Completed",AB221="Failed"),"Excluded","Included")</f>
        <v>Included</v>
      </c>
      <c r="AN221" s="3" t="str">
        <f aca="false">IF(OR(D221="Invalid/Unrecognized",E221="Invalid/Unrecognized",G221="Invalid - Ship Before Order",X221="Negative - Invalid",X221="Above Allowed Range - Invalid",AG221="Mismatch",AH221="Mismatch",AK221="Conflicting Duplicate - Flagged for Review"),"Invalid",IF(OR(L221="Filled - Unknown",S221="Filled - Unknown",X221="Missing - Defaulted to 0",AL221="Yes",AC221="Cancelled",AC221="Returned"),"Warning","Clean"))</f>
        <v>Invalid</v>
      </c>
    </row>
    <row r="222" customFormat="false" ht="15" hidden="false" customHeight="false" outlineLevel="0" collapsed="false">
      <c r="A222" s="3" t="str">
        <f aca="false">raw_data!A222</f>
        <v>ORD-2024-10221</v>
      </c>
      <c r="B222" s="4" t="n">
        <f aca="false">IFERROR(IF(MID(raw_data!B222,3,1)="/",DATE(VALUE(RIGHT(raw_data!B222,4)),VALUE(LEFT(raw_data!B222,2)),VALUE(MID(raw_data!B222,4,2))),IF(MID(raw_data!B222,3,1)="-",DATE(VALUE(RIGHT(raw_data!B222,4)),VALUE(MID(raw_data!B222,4,2)),VALUE(LEFT(raw_data!B222,2))),IF(MID(raw_data!B222,5,1)="-",DATE(VALUE(LEFT(raw_data!B222,4)),VALUE(MID(raw_data!B222,6,2)),VALUE(RIGHT(raw_data!B222,2))),DATE(VALUE(RIGHT(raw_data!B222,4)),MATCH(MID(raw_data!B222,4,3),{"Jan","Feb","Mar","Apr","May","Jun","Jul","Aug","Sep","Oct","Nov","Dec"},0),VALUE(LEFT(raw_data!B222,2)))))),"")</f>
        <v>45538</v>
      </c>
      <c r="C222" s="4" t="n">
        <f aca="false">IFERROR(IF(MID(raw_data!C222,3,1)="/",DATE(VALUE(RIGHT(raw_data!C222,4)),VALUE(LEFT(raw_data!C222,2)),VALUE(MID(raw_data!C222,4,2))),IF(MID(raw_data!C222,3,1)="-",DATE(VALUE(RIGHT(raw_data!C222,4)),VALUE(MID(raw_data!C222,4,2)),VALUE(LEFT(raw_data!C222,2))),IF(MID(raw_data!C222,5,1)="-",DATE(VALUE(LEFT(raw_data!C222,4)),VALUE(MID(raw_data!C222,6,2)),VALUE(RIGHT(raw_data!C222,2))),DATE(VALUE(RIGHT(raw_data!C222,4)),MATCH(MID(raw_data!C222,4,3),{"Jan","Feb","Mar","Apr","May","Jun","Jul","Aug","Sep","Oct","Nov","Dec"},0),VALUE(LEFT(raw_data!C222,2)))))),"")</f>
        <v>45538</v>
      </c>
      <c r="D222" s="3" t="str">
        <f aca="false">IF(TRIM(raw_data!B222)="","Missing",IF(B222="","Invalid/Unrecognized","Valid"))</f>
        <v>Valid</v>
      </c>
      <c r="E222" s="3" t="str">
        <f aca="false">IF(TRIM(raw_data!C222)="","Missing",IF(C222="","Invalid/Unrecognized","Valid"))</f>
        <v>Valid</v>
      </c>
      <c r="F222" s="5" t="n">
        <f aca="false">IF(OR(B222="",C222=""),"",C222-B222)</f>
        <v>0</v>
      </c>
      <c r="G222" s="3" t="str">
        <f aca="false">IF(F222="","N/A",IF(F222&lt;0,"Invalid - Ship Before Order","OK"))</f>
        <v>OK</v>
      </c>
      <c r="H222" s="3" t="str">
        <f aca="false">raw_data!D222</f>
        <v>CUST-1031</v>
      </c>
      <c r="I222" s="3" t="str">
        <f aca="false">PROPER(TRIM(raw_data!E222))</f>
        <v>Sneha Kapoor</v>
      </c>
      <c r="J222" s="3" t="str">
        <f aca="false">PROPER(TRIM(raw_data!F222))</f>
        <v>Consumer</v>
      </c>
      <c r="K222" s="3" t="str">
        <f aca="false">IF(TRIM(raw_data!G222)="","Unknown",PROPER(TRIM(raw_data!G222)))</f>
        <v>South</v>
      </c>
      <c r="L222" s="3" t="str">
        <f aca="false">IF(TRIM(raw_data!G222)="","Filled - Unknown","OK")</f>
        <v>OK</v>
      </c>
      <c r="M222" s="3" t="str">
        <f aca="false">PROPER(TRIM(raw_data!H222))</f>
        <v>Kerala</v>
      </c>
      <c r="N222" s="3" t="str">
        <f aca="false">PROPER(TRIM(raw_data!I222))</f>
        <v>Kochi</v>
      </c>
      <c r="O222" s="3" t="str">
        <f aca="false">PROPER(TRIM(raw_data!J222))</f>
        <v>Office Supplies</v>
      </c>
      <c r="P222" s="3" t="str">
        <f aca="false">PROPER(TRIM(raw_data!K222))</f>
        <v>Storage</v>
      </c>
      <c r="Q222" s="3" t="str">
        <f aca="false">TRIM(raw_data!L222)</f>
        <v>Elite Storage 925</v>
      </c>
      <c r="R222" s="3" t="str">
        <f aca="false">IF(TRIM(raw_data!M222)="","Unknown",PROPER(TRIM(raw_data!M222)))</f>
        <v>First Class</v>
      </c>
      <c r="S222" s="3" t="str">
        <f aca="false">IF(TRIM(raw_data!M222)="","Filled - Unknown","OK")</f>
        <v>OK</v>
      </c>
      <c r="T222" s="6" t="n">
        <f aca="false">raw_data!N222</f>
        <v>4</v>
      </c>
      <c r="U222" s="7" t="n">
        <f aca="false">raw_data!O222</f>
        <v>2810.17</v>
      </c>
      <c r="V222" s="8" t="n">
        <f aca="false">raw_data!P222</f>
        <v>0.15</v>
      </c>
      <c r="W222" s="8" t="n">
        <f aca="false">IF(raw_data!P222="",0,IF(ISTEXT(raw_data!P222),IF(RIGHT(raw_data!P222,1)="%",VALUE(LEFT(raw_data!P222,LEN(raw_data!P222)-1))/100,VALUE(raw_data!P222)),raw_data!P222))</f>
        <v>0.15</v>
      </c>
      <c r="X222" s="3" t="str">
        <f aca="false">IF(raw_data!P222="","Missing - Defaulted to 0",IF(W222&lt;0,"Negative - Invalid",IF(W222&gt;0.3,"Above Allowed Range - Invalid","Valid")))</f>
        <v>Valid</v>
      </c>
      <c r="Y222" s="7" t="n">
        <f aca="false">raw_data!Q222</f>
        <v>9554.58</v>
      </c>
      <c r="Z222" s="7" t="n">
        <f aca="false">raw_data!R222</f>
        <v>6068.47</v>
      </c>
      <c r="AA222" s="7" t="n">
        <f aca="false">raw_data!S222</f>
        <v>3486.11</v>
      </c>
      <c r="AB222" s="3" t="str">
        <f aca="false">PROPER(TRIM(raw_data!T222))</f>
        <v>Refunded</v>
      </c>
      <c r="AC222" s="3" t="str">
        <f aca="false">PROPER(TRIM(raw_data!U222))</f>
        <v>Cancelled</v>
      </c>
      <c r="AD222" s="7" t="n">
        <f aca="false">T222*U222*(1-W222)</f>
        <v>9554.578</v>
      </c>
      <c r="AE222" s="7" t="n">
        <f aca="false">AD222-Z222</f>
        <v>3486.108</v>
      </c>
      <c r="AF222" s="8" t="n">
        <f aca="false">IF(AD222=0,0,AE222/AD222)</f>
        <v>0.36486258210462</v>
      </c>
      <c r="AG222" s="3" t="str">
        <f aca="false">IF(ABS(Y222-AD222)&gt;1,"Mismatch","OK")</f>
        <v>OK</v>
      </c>
      <c r="AH222" s="3" t="str">
        <f aca="false">IF(ABS(AA222-AE222)&gt;1,"Mismatch","OK")</f>
        <v>OK</v>
      </c>
      <c r="AI222" s="6" t="n">
        <f aca="false">IF(B222="","",MONTH(B222))</f>
        <v>9</v>
      </c>
      <c r="AJ222" s="6" t="n">
        <f aca="false">IF(B222="","",YEAR(B222))</f>
        <v>2024</v>
      </c>
      <c r="AK222" s="3" t="str">
        <f aca="false">IF(COUNTIF(raw_data!$A$2:$A$913,A222)&gt;1,"Conflicting Duplicate - Flagged for Review","Unique")</f>
        <v>Unique</v>
      </c>
      <c r="AL222" s="3" t="str">
        <f aca="false">IF(AB222="Refunded","Yes","No")</f>
        <v>Yes</v>
      </c>
      <c r="AM222" s="3" t="str">
        <f aca="false">IF(OR(AC222&lt;&gt;"Completed",AB222="Failed"),"Excluded","Included")</f>
        <v>Excluded</v>
      </c>
      <c r="AN222" s="3" t="str">
        <f aca="false">IF(OR(D222="Invalid/Unrecognized",E222="Invalid/Unrecognized",G222="Invalid - Ship Before Order",X222="Negative - Invalid",X222="Above Allowed Range - Invalid",AG222="Mismatch",AH222="Mismatch",AK222="Conflicting Duplicate - Flagged for Review"),"Invalid",IF(OR(L222="Filled - Unknown",S222="Filled - Unknown",X222="Missing - Defaulted to 0",AL222="Yes",AC222="Cancelled",AC222="Returned"),"Warning","Clean"))</f>
        <v>Warning</v>
      </c>
    </row>
    <row r="223" customFormat="false" ht="15" hidden="false" customHeight="false" outlineLevel="0" collapsed="false">
      <c r="A223" s="3" t="str">
        <f aca="false">raw_data!A223</f>
        <v>ORD-2025-10222</v>
      </c>
      <c r="B223" s="4" t="n">
        <f aca="false">IFERROR(IF(MID(raw_data!B223,3,1)="/",DATE(VALUE(RIGHT(raw_data!B223,4)),VALUE(LEFT(raw_data!B223,2)),VALUE(MID(raw_data!B223,4,2))),IF(MID(raw_data!B223,3,1)="-",DATE(VALUE(RIGHT(raw_data!B223,4)),VALUE(MID(raw_data!B223,4,2)),VALUE(LEFT(raw_data!B223,2))),IF(MID(raw_data!B223,5,1)="-",DATE(VALUE(LEFT(raw_data!B223,4)),VALUE(MID(raw_data!B223,6,2)),VALUE(RIGHT(raw_data!B223,2))),DATE(VALUE(RIGHT(raw_data!B223,4)),MATCH(MID(raw_data!B223,4,3),{"Jan","Feb","Mar","Apr","May","Jun","Jul","Aug","Sep","Oct","Nov","Dec"},0),VALUE(LEFT(raw_data!B223,2)))))),"")</f>
        <v>45669</v>
      </c>
      <c r="C223" s="4" t="n">
        <f aca="false">IFERROR(IF(MID(raw_data!C223,3,1)="/",DATE(VALUE(RIGHT(raw_data!C223,4)),VALUE(LEFT(raw_data!C223,2)),VALUE(MID(raw_data!C223,4,2))),IF(MID(raw_data!C223,3,1)="-",DATE(VALUE(RIGHT(raw_data!C223,4)),VALUE(MID(raw_data!C223,4,2)),VALUE(LEFT(raw_data!C223,2))),IF(MID(raw_data!C223,5,1)="-",DATE(VALUE(LEFT(raw_data!C223,4)),VALUE(MID(raw_data!C223,6,2)),VALUE(RIGHT(raw_data!C223,2))),DATE(VALUE(RIGHT(raw_data!C223,4)),MATCH(MID(raw_data!C223,4,3),{"Jan","Feb","Mar","Apr","May","Jun","Jul","Aug","Sep","Oct","Nov","Dec"},0),VALUE(LEFT(raw_data!C223,2)))))),"")</f>
        <v>45672</v>
      </c>
      <c r="D223" s="3" t="str">
        <f aca="false">IF(TRIM(raw_data!B223)="","Missing",IF(B223="","Invalid/Unrecognized","Valid"))</f>
        <v>Valid</v>
      </c>
      <c r="E223" s="3" t="str">
        <f aca="false">IF(TRIM(raw_data!C223)="","Missing",IF(C223="","Invalid/Unrecognized","Valid"))</f>
        <v>Valid</v>
      </c>
      <c r="F223" s="5" t="n">
        <f aca="false">IF(OR(B223="",C223=""),"",C223-B223)</f>
        <v>3</v>
      </c>
      <c r="G223" s="3" t="str">
        <f aca="false">IF(F223="","N/A",IF(F223&lt;0,"Invalid - Ship Before Order","OK"))</f>
        <v>OK</v>
      </c>
      <c r="H223" s="3" t="str">
        <f aca="false">raw_data!D223</f>
        <v>CUST-2495</v>
      </c>
      <c r="I223" s="3" t="str">
        <f aca="false">PROPER(TRIM(raw_data!E223))</f>
        <v>Mira Das</v>
      </c>
      <c r="J223" s="3" t="str">
        <f aca="false">PROPER(TRIM(raw_data!F223))</f>
        <v>Corporate</v>
      </c>
      <c r="K223" s="3" t="str">
        <f aca="false">IF(TRIM(raw_data!G223)="","Unknown",PROPER(TRIM(raw_data!G223)))</f>
        <v>South</v>
      </c>
      <c r="L223" s="3" t="str">
        <f aca="false">IF(TRIM(raw_data!G223)="","Filled - Unknown","OK")</f>
        <v>OK</v>
      </c>
      <c r="M223" s="3" t="str">
        <f aca="false">PROPER(TRIM(raw_data!H223))</f>
        <v>Karnataka</v>
      </c>
      <c r="N223" s="3" t="str">
        <f aca="false">PROPER(TRIM(raw_data!I223))</f>
        <v>Bengaluru</v>
      </c>
      <c r="O223" s="3" t="str">
        <f aca="false">PROPER(TRIM(raw_data!J223))</f>
        <v>Furniture</v>
      </c>
      <c r="P223" s="3" t="str">
        <f aca="false">PROPER(TRIM(raw_data!K223))</f>
        <v>Chairs</v>
      </c>
      <c r="Q223" s="3" t="str">
        <f aca="false">TRIM(raw_data!L223)</f>
        <v>Classic Chairs 231</v>
      </c>
      <c r="R223" s="3" t="str">
        <f aca="false">IF(TRIM(raw_data!M223)="","Unknown",PROPER(TRIM(raw_data!M223)))</f>
        <v>Same Day</v>
      </c>
      <c r="S223" s="3" t="str">
        <f aca="false">IF(TRIM(raw_data!M223)="","Filled - Unknown","OK")</f>
        <v>OK</v>
      </c>
      <c r="T223" s="6" t="n">
        <f aca="false">raw_data!N223</f>
        <v>4</v>
      </c>
      <c r="U223" s="7" t="n">
        <f aca="false">raw_data!O223</f>
        <v>1531.53</v>
      </c>
      <c r="V223" s="8" t="n">
        <f aca="false">raw_data!P223</f>
        <v>0.2</v>
      </c>
      <c r="W223" s="8" t="n">
        <f aca="false">IF(raw_data!P223="",0,IF(ISTEXT(raw_data!P223),IF(RIGHT(raw_data!P223,1)="%",VALUE(LEFT(raw_data!P223,LEN(raw_data!P223)-1))/100,VALUE(raw_data!P223)),raw_data!P223))</f>
        <v>0.2</v>
      </c>
      <c r="X223" s="3" t="str">
        <f aca="false">IF(raw_data!P223="","Missing - Defaulted to 0",IF(W223&lt;0,"Negative - Invalid",IF(W223&gt;0.3,"Above Allowed Range - Invalid","Valid")))</f>
        <v>Valid</v>
      </c>
      <c r="Y223" s="7" t="n">
        <f aca="false">raw_data!Q223</f>
        <v>4900.9</v>
      </c>
      <c r="Z223" s="7" t="n">
        <f aca="false">raw_data!R223</f>
        <v>3552.69</v>
      </c>
      <c r="AA223" s="7" t="n">
        <f aca="false">raw_data!S223</f>
        <v>1348.21</v>
      </c>
      <c r="AB223" s="3" t="str">
        <f aca="false">PROPER(TRIM(raw_data!T223))</f>
        <v>Paid</v>
      </c>
      <c r="AC223" s="3" t="str">
        <f aca="false">PROPER(TRIM(raw_data!U223))</f>
        <v>Completed</v>
      </c>
      <c r="AD223" s="7" t="n">
        <f aca="false">T223*U223*(1-W223)</f>
        <v>4900.896</v>
      </c>
      <c r="AE223" s="7" t="n">
        <f aca="false">AD223-Z223</f>
        <v>1348.206</v>
      </c>
      <c r="AF223" s="8" t="n">
        <f aca="false">IF(AD223=0,0,AE223/AD223)</f>
        <v>0.275093778770249</v>
      </c>
      <c r="AG223" s="3" t="str">
        <f aca="false">IF(ABS(Y223-AD223)&gt;1,"Mismatch","OK")</f>
        <v>OK</v>
      </c>
      <c r="AH223" s="3" t="str">
        <f aca="false">IF(ABS(AA223-AE223)&gt;1,"Mismatch","OK")</f>
        <v>OK</v>
      </c>
      <c r="AI223" s="6" t="n">
        <f aca="false">IF(B223="","",MONTH(B223))</f>
        <v>1</v>
      </c>
      <c r="AJ223" s="6" t="n">
        <f aca="false">IF(B223="","",YEAR(B223))</f>
        <v>2025</v>
      </c>
      <c r="AK223" s="3" t="str">
        <f aca="false">IF(COUNTIF(raw_data!$A$2:$A$913,A223)&gt;1,"Conflicting Duplicate - Flagged for Review","Unique")</f>
        <v>Unique</v>
      </c>
      <c r="AL223" s="3" t="str">
        <f aca="false">IF(AB223="Refunded","Yes","No")</f>
        <v>No</v>
      </c>
      <c r="AM223" s="3" t="str">
        <f aca="false">IF(OR(AC223&lt;&gt;"Completed",AB223="Failed"),"Excluded","Included")</f>
        <v>Included</v>
      </c>
      <c r="AN223" s="3" t="str">
        <f aca="false">IF(OR(D223="Invalid/Unrecognized",E223="Invalid/Unrecognized",G223="Invalid - Ship Before Order",X223="Negative - Invalid",X223="Above Allowed Range - Invalid",AG223="Mismatch",AH223="Mismatch",AK223="Conflicting Duplicate - Flagged for Review"),"Invalid",IF(OR(L223="Filled - Unknown",S223="Filled - Unknown",X223="Missing - Defaulted to 0",AL223="Yes",AC223="Cancelled",AC223="Returned"),"Warning","Clean"))</f>
        <v>Clean</v>
      </c>
    </row>
    <row r="224" customFormat="false" ht="15" hidden="false" customHeight="false" outlineLevel="0" collapsed="false">
      <c r="A224" s="3" t="str">
        <f aca="false">raw_data!A224</f>
        <v>ORD-2025-10223</v>
      </c>
      <c r="B224" s="4" t="n">
        <f aca="false">IFERROR(IF(MID(raw_data!B224,3,1)="/",DATE(VALUE(RIGHT(raw_data!B224,4)),VALUE(LEFT(raw_data!B224,2)),VALUE(MID(raw_data!B224,4,2))),IF(MID(raw_data!B224,3,1)="-",DATE(VALUE(RIGHT(raw_data!B224,4)),VALUE(MID(raw_data!B224,4,2)),VALUE(LEFT(raw_data!B224,2))),IF(MID(raw_data!B224,5,1)="-",DATE(VALUE(LEFT(raw_data!B224,4)),VALUE(MID(raw_data!B224,6,2)),VALUE(RIGHT(raw_data!B224,2))),DATE(VALUE(RIGHT(raw_data!B224,4)),MATCH(MID(raw_data!B224,4,3),{"Jan","Feb","Mar","Apr","May","Jun","Jul","Aug","Sep","Oct","Nov","Dec"},0),VALUE(LEFT(raw_data!B224,2)))))),"")</f>
        <v>45776</v>
      </c>
      <c r="C224" s="4" t="n">
        <f aca="false">IFERROR(IF(MID(raw_data!C224,3,1)="/",DATE(VALUE(RIGHT(raw_data!C224,4)),VALUE(LEFT(raw_data!C224,2)),VALUE(MID(raw_data!C224,4,2))),IF(MID(raw_data!C224,3,1)="-",DATE(VALUE(RIGHT(raw_data!C224,4)),VALUE(MID(raw_data!C224,4,2)),VALUE(LEFT(raw_data!C224,2))),IF(MID(raw_data!C224,5,1)="-",DATE(VALUE(LEFT(raw_data!C224,4)),VALUE(MID(raw_data!C224,6,2)),VALUE(RIGHT(raw_data!C224,2))),DATE(VALUE(RIGHT(raw_data!C224,4)),MATCH(MID(raw_data!C224,4,3),{"Jan","Feb","Mar","Apr","May","Jun","Jul","Aug","Sep","Oct","Nov","Dec"},0),VALUE(LEFT(raw_data!C224,2)))))),"")</f>
        <v>45779</v>
      </c>
      <c r="D224" s="3" t="str">
        <f aca="false">IF(TRIM(raw_data!B224)="","Missing",IF(B224="","Invalid/Unrecognized","Valid"))</f>
        <v>Valid</v>
      </c>
      <c r="E224" s="3" t="str">
        <f aca="false">IF(TRIM(raw_data!C224)="","Missing",IF(C224="","Invalid/Unrecognized","Valid"))</f>
        <v>Valid</v>
      </c>
      <c r="F224" s="5" t="n">
        <f aca="false">IF(OR(B224="",C224=""),"",C224-B224)</f>
        <v>3</v>
      </c>
      <c r="G224" s="3" t="str">
        <f aca="false">IF(F224="","N/A",IF(F224&lt;0,"Invalid - Ship Before Order","OK"))</f>
        <v>OK</v>
      </c>
      <c r="H224" s="3" t="str">
        <f aca="false">raw_data!D224</f>
        <v>CUST-4583</v>
      </c>
      <c r="I224" s="3" t="str">
        <f aca="false">PROPER(TRIM(raw_data!E224))</f>
        <v>Vikram Iyer</v>
      </c>
      <c r="J224" s="3" t="str">
        <f aca="false">PROPER(TRIM(raw_data!F224))</f>
        <v>Small Business</v>
      </c>
      <c r="K224" s="3" t="str">
        <f aca="false">IF(TRIM(raw_data!G224)="","Unknown",PROPER(TRIM(raw_data!G224)))</f>
        <v>West</v>
      </c>
      <c r="L224" s="3" t="str">
        <f aca="false">IF(TRIM(raw_data!G224)="","Filled - Unknown","OK")</f>
        <v>OK</v>
      </c>
      <c r="M224" s="3" t="str">
        <f aca="false">PROPER(TRIM(raw_data!H224))</f>
        <v>Goa</v>
      </c>
      <c r="N224" s="3" t="str">
        <f aca="false">PROPER(TRIM(raw_data!I224))</f>
        <v>Panaji</v>
      </c>
      <c r="O224" s="3" t="str">
        <f aca="false">PROPER(TRIM(raw_data!J224))</f>
        <v>Office Supplies</v>
      </c>
      <c r="P224" s="3" t="str">
        <f aca="false">PROPER(TRIM(raw_data!K224))</f>
        <v>Storage</v>
      </c>
      <c r="Q224" s="3" t="str">
        <f aca="false">TRIM(raw_data!L224)</f>
        <v>Prime Storage 818</v>
      </c>
      <c r="R224" s="3" t="str">
        <f aca="false">IF(TRIM(raw_data!M224)="","Unknown",PROPER(TRIM(raw_data!M224)))</f>
        <v>First Class</v>
      </c>
      <c r="S224" s="3" t="str">
        <f aca="false">IF(TRIM(raw_data!M224)="","Filled - Unknown","OK")</f>
        <v>OK</v>
      </c>
      <c r="T224" s="6" t="n">
        <f aca="false">raw_data!N224</f>
        <v>6</v>
      </c>
      <c r="U224" s="7" t="n">
        <f aca="false">raw_data!O224</f>
        <v>4308.09</v>
      </c>
      <c r="V224" s="8" t="n">
        <f aca="false">raw_data!P224</f>
        <v>0</v>
      </c>
      <c r="W224" s="8" t="n">
        <f aca="false">IF(raw_data!P224="",0,IF(ISTEXT(raw_data!P224),IF(RIGHT(raw_data!P224,1)="%",VALUE(LEFT(raw_data!P224,LEN(raw_data!P224)-1))/100,VALUE(raw_data!P224)),raw_data!P224))</f>
        <v>0</v>
      </c>
      <c r="X224" s="3" t="str">
        <f aca="false">IF(raw_data!P224="","Missing - Defaulted to 0",IF(W224&lt;0,"Negative - Invalid",IF(W224&gt;0.3,"Above Allowed Range - Invalid","Valid")))</f>
        <v>Valid</v>
      </c>
      <c r="Y224" s="7" t="n">
        <f aca="false">raw_data!Q224</f>
        <v>25848.54</v>
      </c>
      <c r="Z224" s="7" t="n">
        <f aca="false">raw_data!R224</f>
        <v>17729.09</v>
      </c>
      <c r="AA224" s="7" t="n">
        <f aca="false">raw_data!S224</f>
        <v>8119.45</v>
      </c>
      <c r="AB224" s="3" t="str">
        <f aca="false">PROPER(TRIM(raw_data!T224))</f>
        <v>Paid</v>
      </c>
      <c r="AC224" s="3" t="str">
        <f aca="false">PROPER(TRIM(raw_data!U224))</f>
        <v>Completed</v>
      </c>
      <c r="AD224" s="7" t="n">
        <f aca="false">T224*U224*(1-W224)</f>
        <v>25848.54</v>
      </c>
      <c r="AE224" s="7" t="n">
        <f aca="false">AD224-Z224</f>
        <v>8119.45</v>
      </c>
      <c r="AF224" s="8" t="n">
        <f aca="false">IF(AD224=0,0,AE224/AD224)</f>
        <v>0.314116387231155</v>
      </c>
      <c r="AG224" s="3" t="str">
        <f aca="false">IF(ABS(Y224-AD224)&gt;1,"Mismatch","OK")</f>
        <v>OK</v>
      </c>
      <c r="AH224" s="3" t="str">
        <f aca="false">IF(ABS(AA224-AE224)&gt;1,"Mismatch","OK")</f>
        <v>OK</v>
      </c>
      <c r="AI224" s="6" t="n">
        <f aca="false">IF(B224="","",MONTH(B224))</f>
        <v>4</v>
      </c>
      <c r="AJ224" s="6" t="n">
        <f aca="false">IF(B224="","",YEAR(B224))</f>
        <v>2025</v>
      </c>
      <c r="AK224" s="3" t="str">
        <f aca="false">IF(COUNTIF(raw_data!$A$2:$A$913,A224)&gt;1,"Conflicting Duplicate - Flagged for Review","Unique")</f>
        <v>Unique</v>
      </c>
      <c r="AL224" s="3" t="str">
        <f aca="false">IF(AB224="Refunded","Yes","No")</f>
        <v>No</v>
      </c>
      <c r="AM224" s="3" t="str">
        <f aca="false">IF(OR(AC224&lt;&gt;"Completed",AB224="Failed"),"Excluded","Included")</f>
        <v>Included</v>
      </c>
      <c r="AN224" s="3" t="str">
        <f aca="false">IF(OR(D224="Invalid/Unrecognized",E224="Invalid/Unrecognized",G224="Invalid - Ship Before Order",X224="Negative - Invalid",X224="Above Allowed Range - Invalid",AG224="Mismatch",AH224="Mismatch",AK224="Conflicting Duplicate - Flagged for Review"),"Invalid",IF(OR(L224="Filled - Unknown",S224="Filled - Unknown",X224="Missing - Defaulted to 0",AL224="Yes",AC224="Cancelled",AC224="Returned"),"Warning","Clean"))</f>
        <v>Clean</v>
      </c>
    </row>
    <row r="225" customFormat="false" ht="15" hidden="false" customHeight="false" outlineLevel="0" collapsed="false">
      <c r="A225" s="3" t="str">
        <f aca="false">raw_data!A225</f>
        <v>ORD-2025-10224</v>
      </c>
      <c r="B225" s="4" t="n">
        <f aca="false">IFERROR(IF(MID(raw_data!B225,3,1)="/",DATE(VALUE(RIGHT(raw_data!B225,4)),VALUE(LEFT(raw_data!B225,2)),VALUE(MID(raw_data!B225,4,2))),IF(MID(raw_data!B225,3,1)="-",DATE(VALUE(RIGHT(raw_data!B225,4)),VALUE(MID(raw_data!B225,4,2)),VALUE(LEFT(raw_data!B225,2))),IF(MID(raw_data!B225,5,1)="-",DATE(VALUE(LEFT(raw_data!B225,4)),VALUE(MID(raw_data!B225,6,2)),VALUE(RIGHT(raw_data!B225,2))),DATE(VALUE(RIGHT(raw_data!B225,4)),MATCH(MID(raw_data!B225,4,3),{"Jan","Feb","Mar","Apr","May","Jun","Jul","Aug","Sep","Oct","Nov","Dec"},0),VALUE(LEFT(raw_data!B225,2)))))),"")</f>
        <v>45707</v>
      </c>
      <c r="C225" s="4" t="n">
        <f aca="false">IFERROR(IF(MID(raw_data!C225,3,1)="/",DATE(VALUE(RIGHT(raw_data!C225,4)),VALUE(LEFT(raw_data!C225,2)),VALUE(MID(raw_data!C225,4,2))),IF(MID(raw_data!C225,3,1)="-",DATE(VALUE(RIGHT(raw_data!C225,4)),VALUE(MID(raw_data!C225,4,2)),VALUE(LEFT(raw_data!C225,2))),IF(MID(raw_data!C225,5,1)="-",DATE(VALUE(LEFT(raw_data!C225,4)),VALUE(MID(raw_data!C225,6,2)),VALUE(RIGHT(raw_data!C225,2))),DATE(VALUE(RIGHT(raw_data!C225,4)),MATCH(MID(raw_data!C225,4,3),{"Jan","Feb","Mar","Apr","May","Jun","Jul","Aug","Sep","Oct","Nov","Dec"},0),VALUE(LEFT(raw_data!C225,2)))))),"")</f>
        <v>45714</v>
      </c>
      <c r="D225" s="3" t="str">
        <f aca="false">IF(TRIM(raw_data!B225)="","Missing",IF(B225="","Invalid/Unrecognized","Valid"))</f>
        <v>Valid</v>
      </c>
      <c r="E225" s="3" t="str">
        <f aca="false">IF(TRIM(raw_data!C225)="","Missing",IF(C225="","Invalid/Unrecognized","Valid"))</f>
        <v>Valid</v>
      </c>
      <c r="F225" s="5" t="n">
        <f aca="false">IF(OR(B225="",C225=""),"",C225-B225)</f>
        <v>7</v>
      </c>
      <c r="G225" s="3" t="str">
        <f aca="false">IF(F225="","N/A",IF(F225&lt;0,"Invalid - Ship Before Order","OK"))</f>
        <v>OK</v>
      </c>
      <c r="H225" s="3" t="str">
        <f aca="false">raw_data!D225</f>
        <v>CUST-5319</v>
      </c>
      <c r="I225" s="3" t="str">
        <f aca="false">PROPER(TRIM(raw_data!E225))</f>
        <v>Mira Das</v>
      </c>
      <c r="J225" s="3" t="str">
        <f aca="false">PROPER(TRIM(raw_data!F225))</f>
        <v>Corporate</v>
      </c>
      <c r="K225" s="3" t="str">
        <f aca="false">IF(TRIM(raw_data!G225)="","Unknown",PROPER(TRIM(raw_data!G225)))</f>
        <v>West</v>
      </c>
      <c r="L225" s="3" t="str">
        <f aca="false">IF(TRIM(raw_data!G225)="","Filled - Unknown","OK")</f>
        <v>OK</v>
      </c>
      <c r="M225" s="3" t="str">
        <f aca="false">PROPER(TRIM(raw_data!H225))</f>
        <v>Maharashtra</v>
      </c>
      <c r="N225" s="3" t="str">
        <f aca="false">PROPER(TRIM(raw_data!I225))</f>
        <v>Mumbai</v>
      </c>
      <c r="O225" s="3" t="str">
        <f aca="false">PROPER(TRIM(raw_data!J225))</f>
        <v>Furniture</v>
      </c>
      <c r="P225" s="3" t="str">
        <f aca="false">PROPER(TRIM(raw_data!K225))</f>
        <v>Furnishings</v>
      </c>
      <c r="Q225" s="3" t="str">
        <f aca="false">TRIM(raw_data!L225)</f>
        <v>Elite Furnishings 449</v>
      </c>
      <c r="R225" s="3" t="str">
        <f aca="false">IF(TRIM(raw_data!M225)="","Unknown",PROPER(TRIM(raw_data!M225)))</f>
        <v>First Class</v>
      </c>
      <c r="S225" s="3" t="str">
        <f aca="false">IF(TRIM(raw_data!M225)="","Filled - Unknown","OK")</f>
        <v>OK</v>
      </c>
      <c r="T225" s="6" t="n">
        <f aca="false">raw_data!N225</f>
        <v>3</v>
      </c>
      <c r="U225" s="7" t="n">
        <f aca="false">raw_data!O225</f>
        <v>490.3</v>
      </c>
      <c r="V225" s="8" t="n">
        <f aca="false">raw_data!P225</f>
        <v>0.2</v>
      </c>
      <c r="W225" s="8" t="n">
        <f aca="false">IF(raw_data!P225="",0,IF(ISTEXT(raw_data!P225),IF(RIGHT(raw_data!P225,1)="%",VALUE(LEFT(raw_data!P225,LEN(raw_data!P225)-1))/100,VALUE(raw_data!P225)),raw_data!P225))</f>
        <v>0.2</v>
      </c>
      <c r="X225" s="3" t="str">
        <f aca="false">IF(raw_data!P225="","Missing - Defaulted to 0",IF(W225&lt;0,"Negative - Invalid",IF(W225&gt;0.3,"Above Allowed Range - Invalid","Valid")))</f>
        <v>Valid</v>
      </c>
      <c r="Y225" s="7" t="n">
        <f aca="false">raw_data!Q225</f>
        <v>1176.72</v>
      </c>
      <c r="Z225" s="7" t="n">
        <f aca="false">raw_data!R225</f>
        <v>654.33</v>
      </c>
      <c r="AA225" s="7" t="n">
        <f aca="false">raw_data!S225</f>
        <v>522.39</v>
      </c>
      <c r="AB225" s="3" t="str">
        <f aca="false">PROPER(TRIM(raw_data!T225))</f>
        <v>Pending</v>
      </c>
      <c r="AC225" s="3" t="str">
        <f aca="false">PROPER(TRIM(raw_data!U225))</f>
        <v>Returned</v>
      </c>
      <c r="AD225" s="7" t="n">
        <f aca="false">T225*U225*(1-W225)</f>
        <v>1176.72</v>
      </c>
      <c r="AE225" s="7" t="n">
        <f aca="false">AD225-Z225</f>
        <v>522.39</v>
      </c>
      <c r="AF225" s="8" t="n">
        <f aca="false">IF(AD225=0,0,AE225/AD225)</f>
        <v>0.443937385274322</v>
      </c>
      <c r="AG225" s="3" t="str">
        <f aca="false">IF(ABS(Y225-AD225)&gt;1,"Mismatch","OK")</f>
        <v>OK</v>
      </c>
      <c r="AH225" s="3" t="str">
        <f aca="false">IF(ABS(AA225-AE225)&gt;1,"Mismatch","OK")</f>
        <v>OK</v>
      </c>
      <c r="AI225" s="6" t="n">
        <f aca="false">IF(B225="","",MONTH(B225))</f>
        <v>2</v>
      </c>
      <c r="AJ225" s="6" t="n">
        <f aca="false">IF(B225="","",YEAR(B225))</f>
        <v>2025</v>
      </c>
      <c r="AK225" s="3" t="str">
        <f aca="false">IF(COUNTIF(raw_data!$A$2:$A$913,A225)&gt;1,"Conflicting Duplicate - Flagged for Review","Unique")</f>
        <v>Unique</v>
      </c>
      <c r="AL225" s="3" t="str">
        <f aca="false">IF(AB225="Refunded","Yes","No")</f>
        <v>No</v>
      </c>
      <c r="AM225" s="3" t="str">
        <f aca="false">IF(OR(AC225&lt;&gt;"Completed",AB225="Failed"),"Excluded","Included")</f>
        <v>Excluded</v>
      </c>
      <c r="AN225" s="3" t="str">
        <f aca="false">IF(OR(D225="Invalid/Unrecognized",E225="Invalid/Unrecognized",G225="Invalid - Ship Before Order",X225="Negative - Invalid",X225="Above Allowed Range - Invalid",AG225="Mismatch",AH225="Mismatch",AK225="Conflicting Duplicate - Flagged for Review"),"Invalid",IF(OR(L225="Filled - Unknown",S225="Filled - Unknown",X225="Missing - Defaulted to 0",AL225="Yes",AC225="Cancelled",AC225="Returned"),"Warning","Clean"))</f>
        <v>Warning</v>
      </c>
    </row>
    <row r="226" customFormat="false" ht="15" hidden="false" customHeight="false" outlineLevel="0" collapsed="false">
      <c r="A226" s="3" t="str">
        <f aca="false">raw_data!A226</f>
        <v>ORD-2025-10225</v>
      </c>
      <c r="B226" s="4" t="n">
        <f aca="false">IFERROR(IF(MID(raw_data!B226,3,1)="/",DATE(VALUE(RIGHT(raw_data!B226,4)),VALUE(LEFT(raw_data!B226,2)),VALUE(MID(raw_data!B226,4,2))),IF(MID(raw_data!B226,3,1)="-",DATE(VALUE(RIGHT(raw_data!B226,4)),VALUE(MID(raw_data!B226,4,2)),VALUE(LEFT(raw_data!B226,2))),IF(MID(raw_data!B226,5,1)="-",DATE(VALUE(LEFT(raw_data!B226,4)),VALUE(MID(raw_data!B226,6,2)),VALUE(RIGHT(raw_data!B226,2))),DATE(VALUE(RIGHT(raw_data!B226,4)),MATCH(MID(raw_data!B226,4,3),{"Jan","Feb","Mar","Apr","May","Jun","Jul","Aug","Sep","Oct","Nov","Dec"},0),VALUE(LEFT(raw_data!B226,2)))))),"")</f>
        <v>45932</v>
      </c>
      <c r="C226" s="4" t="n">
        <f aca="false">IFERROR(IF(MID(raw_data!C226,3,1)="/",DATE(VALUE(RIGHT(raw_data!C226,4)),VALUE(LEFT(raw_data!C226,2)),VALUE(MID(raw_data!C226,4,2))),IF(MID(raw_data!C226,3,1)="-",DATE(VALUE(RIGHT(raw_data!C226,4)),VALUE(MID(raw_data!C226,4,2)),VALUE(LEFT(raw_data!C226,2))),IF(MID(raw_data!C226,5,1)="-",DATE(VALUE(LEFT(raw_data!C226,4)),VALUE(MID(raw_data!C226,6,2)),VALUE(RIGHT(raw_data!C226,2))),DATE(VALUE(RIGHT(raw_data!C226,4)),MATCH(MID(raw_data!C226,4,3),{"Jan","Feb","Mar","Apr","May","Jun","Jul","Aug","Sep","Oct","Nov","Dec"},0),VALUE(LEFT(raw_data!C226,2)))))),"")</f>
        <v>45938</v>
      </c>
      <c r="D226" s="3" t="str">
        <f aca="false">IF(TRIM(raw_data!B226)="","Missing",IF(B226="","Invalid/Unrecognized","Valid"))</f>
        <v>Valid</v>
      </c>
      <c r="E226" s="3" t="str">
        <f aca="false">IF(TRIM(raw_data!C226)="","Missing",IF(C226="","Invalid/Unrecognized","Valid"))</f>
        <v>Valid</v>
      </c>
      <c r="F226" s="5" t="n">
        <f aca="false">IF(OR(B226="",C226=""),"",C226-B226)</f>
        <v>6</v>
      </c>
      <c r="G226" s="3" t="str">
        <f aca="false">IF(F226="","N/A",IF(F226&lt;0,"Invalid - Ship Before Order","OK"))</f>
        <v>OK</v>
      </c>
      <c r="H226" s="3" t="str">
        <f aca="false">raw_data!D226</f>
        <v>CUST-9871</v>
      </c>
      <c r="I226" s="3" t="str">
        <f aca="false">PROPER(TRIM(raw_data!E226))</f>
        <v>Isha Nair</v>
      </c>
      <c r="J226" s="3" t="str">
        <f aca="false">PROPER(TRIM(raw_data!F226))</f>
        <v>Small Business</v>
      </c>
      <c r="K226" s="3" t="str">
        <f aca="false">IF(TRIM(raw_data!G226)="","Unknown",PROPER(TRIM(raw_data!G226)))</f>
        <v>North</v>
      </c>
      <c r="L226" s="3" t="str">
        <f aca="false">IF(TRIM(raw_data!G226)="","Filled - Unknown","OK")</f>
        <v>OK</v>
      </c>
      <c r="M226" s="3" t="str">
        <f aca="false">PROPER(TRIM(raw_data!H226))</f>
        <v>Punjab</v>
      </c>
      <c r="N226" s="3" t="str">
        <f aca="false">PROPER(TRIM(raw_data!I226))</f>
        <v>Ludhiana</v>
      </c>
      <c r="O226" s="3" t="str">
        <f aca="false">PROPER(TRIM(raw_data!J226))</f>
        <v>Furniture</v>
      </c>
      <c r="P226" s="3" t="str">
        <f aca="false">PROPER(TRIM(raw_data!K226))</f>
        <v>Furnishings</v>
      </c>
      <c r="Q226" s="3" t="str">
        <f aca="false">TRIM(raw_data!L226)</f>
        <v>Classic Furnishings 109</v>
      </c>
      <c r="R226" s="3" t="str">
        <f aca="false">IF(TRIM(raw_data!M226)="","Unknown",PROPER(TRIM(raw_data!M226)))</f>
        <v>Standard Class</v>
      </c>
      <c r="S226" s="3" t="str">
        <f aca="false">IF(TRIM(raw_data!M226)="","Filled - Unknown","OK")</f>
        <v>OK</v>
      </c>
      <c r="T226" s="6" t="n">
        <f aca="false">raw_data!N226</f>
        <v>4</v>
      </c>
      <c r="U226" s="7" t="n">
        <f aca="false">raw_data!O226</f>
        <v>3944.64</v>
      </c>
      <c r="V226" s="8" t="n">
        <f aca="false">raw_data!P226</f>
        <v>0.25</v>
      </c>
      <c r="W226" s="8" t="n">
        <f aca="false">IF(raw_data!P226="",0,IF(ISTEXT(raw_data!P226),IF(RIGHT(raw_data!P226,1)="%",VALUE(LEFT(raw_data!P226,LEN(raw_data!P226)-1))/100,VALUE(raw_data!P226)),raw_data!P226))</f>
        <v>0.25</v>
      </c>
      <c r="X226" s="3" t="str">
        <f aca="false">IF(raw_data!P226="","Missing - Defaulted to 0",IF(W226&lt;0,"Negative - Invalid",IF(W226&gt;0.3,"Above Allowed Range - Invalid","Valid")))</f>
        <v>Valid</v>
      </c>
      <c r="Y226" s="7" t="n">
        <f aca="false">raw_data!Q226</f>
        <v>11833.92</v>
      </c>
      <c r="Z226" s="7" t="n">
        <f aca="false">raw_data!R226</f>
        <v>6682.92</v>
      </c>
      <c r="AA226" s="7" t="n">
        <f aca="false">raw_data!S226</f>
        <v>5151</v>
      </c>
      <c r="AB226" s="3" t="str">
        <f aca="false">PROPER(TRIM(raw_data!T226))</f>
        <v>Paid</v>
      </c>
      <c r="AC226" s="3" t="str">
        <f aca="false">PROPER(TRIM(raw_data!U226))</f>
        <v>Cancelled</v>
      </c>
      <c r="AD226" s="7" t="n">
        <f aca="false">T226*U226*(1-W226)</f>
        <v>11833.92</v>
      </c>
      <c r="AE226" s="7" t="n">
        <f aca="false">AD226-Z226</f>
        <v>5151</v>
      </c>
      <c r="AF226" s="8" t="n">
        <f aca="false">IF(AD226=0,0,AE226/AD226)</f>
        <v>0.435274194856818</v>
      </c>
      <c r="AG226" s="3" t="str">
        <f aca="false">IF(ABS(Y226-AD226)&gt;1,"Mismatch","OK")</f>
        <v>OK</v>
      </c>
      <c r="AH226" s="3" t="str">
        <f aca="false">IF(ABS(AA226-AE226)&gt;1,"Mismatch","OK")</f>
        <v>OK</v>
      </c>
      <c r="AI226" s="6" t="n">
        <f aca="false">IF(B226="","",MONTH(B226))</f>
        <v>10</v>
      </c>
      <c r="AJ226" s="6" t="n">
        <f aca="false">IF(B226="","",YEAR(B226))</f>
        <v>2025</v>
      </c>
      <c r="AK226" s="3" t="str">
        <f aca="false">IF(COUNTIF(raw_data!$A$2:$A$913,A226)&gt;1,"Conflicting Duplicate - Flagged for Review","Unique")</f>
        <v>Conflicting Duplicate - Flagged for Review</v>
      </c>
      <c r="AL226" s="3" t="str">
        <f aca="false">IF(AB226="Refunded","Yes","No")</f>
        <v>No</v>
      </c>
      <c r="AM226" s="3" t="str">
        <f aca="false">IF(OR(AC226&lt;&gt;"Completed",AB226="Failed"),"Excluded","Included")</f>
        <v>Excluded</v>
      </c>
      <c r="AN226" s="3" t="str">
        <f aca="false">IF(OR(D226="Invalid/Unrecognized",E226="Invalid/Unrecognized",G226="Invalid - Ship Before Order",X226="Negative - Invalid",X226="Above Allowed Range - Invalid",AG226="Mismatch",AH226="Mismatch",AK226="Conflicting Duplicate - Flagged for Review"),"Invalid",IF(OR(L226="Filled - Unknown",S226="Filled - Unknown",X226="Missing - Defaulted to 0",AL226="Yes",AC226="Cancelled",AC226="Returned"),"Warning","Clean"))</f>
        <v>Invalid</v>
      </c>
    </row>
    <row r="227" customFormat="false" ht="15" hidden="false" customHeight="false" outlineLevel="0" collapsed="false">
      <c r="A227" s="3" t="str">
        <f aca="false">raw_data!A227</f>
        <v>ORD-2024-10226</v>
      </c>
      <c r="B227" s="4" t="n">
        <f aca="false">IFERROR(IF(MID(raw_data!B227,3,1)="/",DATE(VALUE(RIGHT(raw_data!B227,4)),VALUE(LEFT(raw_data!B227,2)),VALUE(MID(raw_data!B227,4,2))),IF(MID(raw_data!B227,3,1)="-",DATE(VALUE(RIGHT(raw_data!B227,4)),VALUE(MID(raw_data!B227,4,2)),VALUE(LEFT(raw_data!B227,2))),IF(MID(raw_data!B227,5,1)="-",DATE(VALUE(LEFT(raw_data!B227,4)),VALUE(MID(raw_data!B227,6,2)),VALUE(RIGHT(raw_data!B227,2))),DATE(VALUE(RIGHT(raw_data!B227,4)),MATCH(MID(raw_data!B227,4,3),{"Jan","Feb","Mar","Apr","May","Jun","Jul","Aug","Sep","Oct","Nov","Dec"},0),VALUE(LEFT(raw_data!B227,2)))))),"")</f>
        <v>45537</v>
      </c>
      <c r="C227" s="4" t="n">
        <f aca="false">IFERROR(IF(MID(raw_data!C227,3,1)="/",DATE(VALUE(RIGHT(raw_data!C227,4)),VALUE(LEFT(raw_data!C227,2)),VALUE(MID(raw_data!C227,4,2))),IF(MID(raw_data!C227,3,1)="-",DATE(VALUE(RIGHT(raw_data!C227,4)),VALUE(MID(raw_data!C227,4,2)),VALUE(LEFT(raw_data!C227,2))),IF(MID(raw_data!C227,5,1)="-",DATE(VALUE(LEFT(raw_data!C227,4)),VALUE(MID(raw_data!C227,6,2)),VALUE(RIGHT(raw_data!C227,2))),DATE(VALUE(RIGHT(raw_data!C227,4)),MATCH(MID(raw_data!C227,4,3),{"Jan","Feb","Mar","Apr","May","Jun","Jul","Aug","Sep","Oct","Nov","Dec"},0),VALUE(LEFT(raw_data!C227,2)))))),"")</f>
        <v>45545</v>
      </c>
      <c r="D227" s="3" t="str">
        <f aca="false">IF(TRIM(raw_data!B227)="","Missing",IF(B227="","Invalid/Unrecognized","Valid"))</f>
        <v>Valid</v>
      </c>
      <c r="E227" s="3" t="str">
        <f aca="false">IF(TRIM(raw_data!C227)="","Missing",IF(C227="","Invalid/Unrecognized","Valid"))</f>
        <v>Valid</v>
      </c>
      <c r="F227" s="5" t="n">
        <f aca="false">IF(OR(B227="",C227=""),"",C227-B227)</f>
        <v>8</v>
      </c>
      <c r="G227" s="3" t="str">
        <f aca="false">IF(F227="","N/A",IF(F227&lt;0,"Invalid - Ship Before Order","OK"))</f>
        <v>OK</v>
      </c>
      <c r="H227" s="3" t="str">
        <f aca="false">raw_data!D227</f>
        <v>CUST-1266</v>
      </c>
      <c r="I227" s="3" t="str">
        <f aca="false">PROPER(TRIM(raw_data!E227))</f>
        <v>Mira Das</v>
      </c>
      <c r="J227" s="3" t="str">
        <f aca="false">PROPER(TRIM(raw_data!F227))</f>
        <v>Corporate</v>
      </c>
      <c r="K227" s="3" t="str">
        <f aca="false">IF(TRIM(raw_data!G227)="","Unknown",PROPER(TRIM(raw_data!G227)))</f>
        <v>West</v>
      </c>
      <c r="L227" s="3" t="str">
        <f aca="false">IF(TRIM(raw_data!G227)="","Filled - Unknown","OK")</f>
        <v>OK</v>
      </c>
      <c r="M227" s="3" t="str">
        <f aca="false">PROPER(TRIM(raw_data!H227))</f>
        <v>Goa</v>
      </c>
      <c r="N227" s="3" t="str">
        <f aca="false">PROPER(TRIM(raw_data!I227))</f>
        <v>Panaji</v>
      </c>
      <c r="O227" s="3" t="str">
        <f aca="false">PROPER(TRIM(raw_data!J227))</f>
        <v>Technology</v>
      </c>
      <c r="P227" s="3" t="str">
        <f aca="false">PROPER(TRIM(raw_data!K227))</f>
        <v>Phones</v>
      </c>
      <c r="Q227" s="3" t="str">
        <f aca="false">TRIM(raw_data!L227)</f>
        <v>Classic Phones 548</v>
      </c>
      <c r="R227" s="3" t="str">
        <f aca="false">IF(TRIM(raw_data!M227)="","Unknown",PROPER(TRIM(raw_data!M227)))</f>
        <v>Standard Class</v>
      </c>
      <c r="S227" s="3" t="str">
        <f aca="false">IF(TRIM(raw_data!M227)="","Filled - Unknown","OK")</f>
        <v>OK</v>
      </c>
      <c r="T227" s="6" t="n">
        <f aca="false">raw_data!N227</f>
        <v>6</v>
      </c>
      <c r="U227" s="7" t="n">
        <f aca="false">raw_data!O227</f>
        <v>1032.47</v>
      </c>
      <c r="V227" s="8" t="n">
        <f aca="false">raw_data!P227</f>
        <v>0.15</v>
      </c>
      <c r="W227" s="8" t="n">
        <f aca="false">IF(raw_data!P227="",0,IF(ISTEXT(raw_data!P227),IF(RIGHT(raw_data!P227,1)="%",VALUE(LEFT(raw_data!P227,LEN(raw_data!P227)-1))/100,VALUE(raw_data!P227)),raw_data!P227))</f>
        <v>0.15</v>
      </c>
      <c r="X227" s="3" t="str">
        <f aca="false">IF(raw_data!P227="","Missing - Defaulted to 0",IF(W227&lt;0,"Negative - Invalid",IF(W227&gt;0.3,"Above Allowed Range - Invalid","Valid")))</f>
        <v>Valid</v>
      </c>
      <c r="Y227" s="7" t="n">
        <f aca="false">raw_data!Q227</f>
        <v>5265.6</v>
      </c>
      <c r="Z227" s="7" t="n">
        <f aca="false">raw_data!R227</f>
        <v>4293.11</v>
      </c>
      <c r="AA227" s="7" t="n">
        <f aca="false">raw_data!S227</f>
        <v>787.57</v>
      </c>
      <c r="AB227" s="3" t="str">
        <f aca="false">PROPER(TRIM(raw_data!T227))</f>
        <v>Paid</v>
      </c>
      <c r="AC227" s="3" t="str">
        <f aca="false">PROPER(TRIM(raw_data!U227))</f>
        <v>Completed</v>
      </c>
      <c r="AD227" s="7" t="n">
        <f aca="false">T227*U227*(1-W227)</f>
        <v>5265.597</v>
      </c>
      <c r="AE227" s="7" t="n">
        <f aca="false">AD227-Z227</f>
        <v>972.487</v>
      </c>
      <c r="AF227" s="8" t="n">
        <f aca="false">IF(AD227=0,0,AE227/AD227)</f>
        <v>0.18468694053115</v>
      </c>
      <c r="AG227" s="3" t="str">
        <f aca="false">IF(ABS(Y227-AD227)&gt;1,"Mismatch","OK")</f>
        <v>OK</v>
      </c>
      <c r="AH227" s="3" t="str">
        <f aca="false">IF(ABS(AA227-AE227)&gt;1,"Mismatch","OK")</f>
        <v>Mismatch</v>
      </c>
      <c r="AI227" s="6" t="n">
        <f aca="false">IF(B227="","",MONTH(B227))</f>
        <v>9</v>
      </c>
      <c r="AJ227" s="6" t="n">
        <f aca="false">IF(B227="","",YEAR(B227))</f>
        <v>2024</v>
      </c>
      <c r="AK227" s="3" t="str">
        <f aca="false">IF(COUNTIF(raw_data!$A$2:$A$913,A227)&gt;1,"Conflicting Duplicate - Flagged for Review","Unique")</f>
        <v>Unique</v>
      </c>
      <c r="AL227" s="3" t="str">
        <f aca="false">IF(AB227="Refunded","Yes","No")</f>
        <v>No</v>
      </c>
      <c r="AM227" s="3" t="str">
        <f aca="false">IF(OR(AC227&lt;&gt;"Completed",AB227="Failed"),"Excluded","Included")</f>
        <v>Included</v>
      </c>
      <c r="AN227" s="3" t="str">
        <f aca="false">IF(OR(D227="Invalid/Unrecognized",E227="Invalid/Unrecognized",G227="Invalid - Ship Before Order",X227="Negative - Invalid",X227="Above Allowed Range - Invalid",AG227="Mismatch",AH227="Mismatch",AK227="Conflicting Duplicate - Flagged for Review"),"Invalid",IF(OR(L227="Filled - Unknown",S227="Filled - Unknown",X227="Missing - Defaulted to 0",AL227="Yes",AC227="Cancelled",AC227="Returned"),"Warning","Clean"))</f>
        <v>Invalid</v>
      </c>
    </row>
    <row r="228" customFormat="false" ht="15" hidden="false" customHeight="false" outlineLevel="0" collapsed="false">
      <c r="A228" s="3" t="str">
        <f aca="false">raw_data!A228</f>
        <v>ORD-2025-10227</v>
      </c>
      <c r="B228" s="4" t="n">
        <f aca="false">IFERROR(IF(MID(raw_data!B228,3,1)="/",DATE(VALUE(RIGHT(raw_data!B228,4)),VALUE(LEFT(raw_data!B228,2)),VALUE(MID(raw_data!B228,4,2))),IF(MID(raw_data!B228,3,1)="-",DATE(VALUE(RIGHT(raw_data!B228,4)),VALUE(MID(raw_data!B228,4,2)),VALUE(LEFT(raw_data!B228,2))),IF(MID(raw_data!B228,5,1)="-",DATE(VALUE(LEFT(raw_data!B228,4)),VALUE(MID(raw_data!B228,6,2)),VALUE(RIGHT(raw_data!B228,2))),DATE(VALUE(RIGHT(raw_data!B228,4)),MATCH(MID(raw_data!B228,4,3),{"Jan","Feb","Mar","Apr","May","Jun","Jul","Aug","Sep","Oct","Nov","Dec"},0),VALUE(LEFT(raw_data!B228,2)))))),"")</f>
        <v>45757</v>
      </c>
      <c r="C228" s="4" t="n">
        <f aca="false">IFERROR(IF(MID(raw_data!C228,3,1)="/",DATE(VALUE(RIGHT(raw_data!C228,4)),VALUE(LEFT(raw_data!C228,2)),VALUE(MID(raw_data!C228,4,2))),IF(MID(raw_data!C228,3,1)="-",DATE(VALUE(RIGHT(raw_data!C228,4)),VALUE(MID(raw_data!C228,4,2)),VALUE(LEFT(raw_data!C228,2))),IF(MID(raw_data!C228,5,1)="-",DATE(VALUE(LEFT(raw_data!C228,4)),VALUE(MID(raw_data!C228,6,2)),VALUE(RIGHT(raw_data!C228,2))),DATE(VALUE(RIGHT(raw_data!C228,4)),MATCH(MID(raw_data!C228,4,3),{"Jan","Feb","Mar","Apr","May","Jun","Jul","Aug","Sep","Oct","Nov","Dec"},0),VALUE(LEFT(raw_data!C228,2)))))),"")</f>
        <v>45762</v>
      </c>
      <c r="D228" s="3" t="str">
        <f aca="false">IF(TRIM(raw_data!B228)="","Missing",IF(B228="","Invalid/Unrecognized","Valid"))</f>
        <v>Valid</v>
      </c>
      <c r="E228" s="3" t="str">
        <f aca="false">IF(TRIM(raw_data!C228)="","Missing",IF(C228="","Invalid/Unrecognized","Valid"))</f>
        <v>Valid</v>
      </c>
      <c r="F228" s="5" t="n">
        <f aca="false">IF(OR(B228="",C228=""),"",C228-B228)</f>
        <v>5</v>
      </c>
      <c r="G228" s="3" t="str">
        <f aca="false">IF(F228="","N/A",IF(F228&lt;0,"Invalid - Ship Before Order","OK"))</f>
        <v>OK</v>
      </c>
      <c r="H228" s="3" t="str">
        <f aca="false">raw_data!D228</f>
        <v>CUST-2545</v>
      </c>
      <c r="I228" s="3" t="str">
        <f aca="false">PROPER(TRIM(raw_data!E228))</f>
        <v>Diya Patel</v>
      </c>
      <c r="J228" s="3" t="str">
        <f aca="false">PROPER(TRIM(raw_data!F228))</f>
        <v>Home Office</v>
      </c>
      <c r="K228" s="3" t="str">
        <f aca="false">IF(TRIM(raw_data!G228)="","Unknown",PROPER(TRIM(raw_data!G228)))</f>
        <v>Unknown</v>
      </c>
      <c r="L228" s="3" t="str">
        <f aca="false">IF(TRIM(raw_data!G228)="","Filled - Unknown","OK")</f>
        <v>Filled - Unknown</v>
      </c>
      <c r="M228" s="3" t="str">
        <f aca="false">PROPER(TRIM(raw_data!H228))</f>
        <v>Kerala</v>
      </c>
      <c r="N228" s="3" t="str">
        <f aca="false">PROPER(TRIM(raw_data!I228))</f>
        <v>Kochi</v>
      </c>
      <c r="O228" s="3" t="str">
        <f aca="false">PROPER(TRIM(raw_data!J228))</f>
        <v>Technology</v>
      </c>
      <c r="P228" s="3" t="str">
        <f aca="false">PROPER(TRIM(raw_data!K228))</f>
        <v>Copiers</v>
      </c>
      <c r="Q228" s="3" t="str">
        <f aca="false">TRIM(raw_data!L228)</f>
        <v>Max Copiers 363</v>
      </c>
      <c r="R228" s="3" t="str">
        <f aca="false">IF(TRIM(raw_data!M228)="","Unknown",PROPER(TRIM(raw_data!M228)))</f>
        <v>Same Day</v>
      </c>
      <c r="S228" s="3" t="str">
        <f aca="false">IF(TRIM(raw_data!M228)="","Filled - Unknown","OK")</f>
        <v>OK</v>
      </c>
      <c r="T228" s="6" t="n">
        <f aca="false">raw_data!N228</f>
        <v>1</v>
      </c>
      <c r="U228" s="7" t="n">
        <f aca="false">raw_data!O228</f>
        <v>2208.27</v>
      </c>
      <c r="V228" s="8" t="n">
        <f aca="false">raw_data!P228</f>
        <v>0.1</v>
      </c>
      <c r="W228" s="8" t="n">
        <f aca="false">IF(raw_data!P228="",0,IF(ISTEXT(raw_data!P228),IF(RIGHT(raw_data!P228,1)="%",VALUE(LEFT(raw_data!P228,LEN(raw_data!P228)-1))/100,VALUE(raw_data!P228)),raw_data!P228))</f>
        <v>0.1</v>
      </c>
      <c r="X228" s="3" t="str">
        <f aca="false">IF(raw_data!P228="","Missing - Defaulted to 0",IF(W228&lt;0,"Negative - Invalid",IF(W228&gt;0.3,"Above Allowed Range - Invalid","Valid")))</f>
        <v>Valid</v>
      </c>
      <c r="Y228" s="7" t="n">
        <f aca="false">raw_data!Q228</f>
        <v>1987.44</v>
      </c>
      <c r="Z228" s="7" t="n">
        <f aca="false">raw_data!R228</f>
        <v>1110.23</v>
      </c>
      <c r="AA228" s="7" t="n">
        <f aca="false">raw_data!S228</f>
        <v>877.21</v>
      </c>
      <c r="AB228" s="3" t="str">
        <f aca="false">PROPER(TRIM(raw_data!T228))</f>
        <v>Paid</v>
      </c>
      <c r="AC228" s="3" t="str">
        <f aca="false">PROPER(TRIM(raw_data!U228))</f>
        <v>Completed</v>
      </c>
      <c r="AD228" s="7" t="n">
        <f aca="false">T228*U228*(1-W228)</f>
        <v>1987.443</v>
      </c>
      <c r="AE228" s="7" t="n">
        <f aca="false">AD228-Z228</f>
        <v>877.213</v>
      </c>
      <c r="AF228" s="8" t="n">
        <f aca="false">IF(AD228=0,0,AE228/AD228)</f>
        <v>0.44137768982557</v>
      </c>
      <c r="AG228" s="3" t="str">
        <f aca="false">IF(ABS(Y228-AD228)&gt;1,"Mismatch","OK")</f>
        <v>OK</v>
      </c>
      <c r="AH228" s="3" t="str">
        <f aca="false">IF(ABS(AA228-AE228)&gt;1,"Mismatch","OK")</f>
        <v>OK</v>
      </c>
      <c r="AI228" s="6" t="n">
        <f aca="false">IF(B228="","",MONTH(B228))</f>
        <v>4</v>
      </c>
      <c r="AJ228" s="6" t="n">
        <f aca="false">IF(B228="","",YEAR(B228))</f>
        <v>2025</v>
      </c>
      <c r="AK228" s="3" t="str">
        <f aca="false">IF(COUNTIF(raw_data!$A$2:$A$913,A228)&gt;1,"Conflicting Duplicate - Flagged for Review","Unique")</f>
        <v>Unique</v>
      </c>
      <c r="AL228" s="3" t="str">
        <f aca="false">IF(AB228="Refunded","Yes","No")</f>
        <v>No</v>
      </c>
      <c r="AM228" s="3" t="str">
        <f aca="false">IF(OR(AC228&lt;&gt;"Completed",AB228="Failed"),"Excluded","Included")</f>
        <v>Included</v>
      </c>
      <c r="AN228" s="3" t="str">
        <f aca="false">IF(OR(D228="Invalid/Unrecognized",E228="Invalid/Unrecognized",G228="Invalid - Ship Before Order",X228="Negative - Invalid",X228="Above Allowed Range - Invalid",AG228="Mismatch",AH228="Mismatch",AK228="Conflicting Duplicate - Flagged for Review"),"Invalid",IF(OR(L228="Filled - Unknown",S228="Filled - Unknown",X228="Missing - Defaulted to 0",AL228="Yes",AC228="Cancelled",AC228="Returned"),"Warning","Clean"))</f>
        <v>Warning</v>
      </c>
    </row>
    <row r="229" customFormat="false" ht="15" hidden="false" customHeight="false" outlineLevel="0" collapsed="false">
      <c r="A229" s="3" t="str">
        <f aca="false">raw_data!A229</f>
        <v>ORD-2024-10228</v>
      </c>
      <c r="B229" s="4" t="n">
        <f aca="false">IFERROR(IF(MID(raw_data!B229,3,1)="/",DATE(VALUE(RIGHT(raw_data!B229,4)),VALUE(LEFT(raw_data!B229,2)),VALUE(MID(raw_data!B229,4,2))),IF(MID(raw_data!B229,3,1)="-",DATE(VALUE(RIGHT(raw_data!B229,4)),VALUE(MID(raw_data!B229,4,2)),VALUE(LEFT(raw_data!B229,2))),IF(MID(raw_data!B229,5,1)="-",DATE(VALUE(LEFT(raw_data!B229,4)),VALUE(MID(raw_data!B229,6,2)),VALUE(RIGHT(raw_data!B229,2))),DATE(VALUE(RIGHT(raw_data!B229,4)),MATCH(MID(raw_data!B229,4,3),{"Jan","Feb","Mar","Apr","May","Jun","Jul","Aug","Sep","Oct","Nov","Dec"},0),VALUE(LEFT(raw_data!B229,2)))))),"")</f>
        <v>45478</v>
      </c>
      <c r="C229" s="4" t="n">
        <f aca="false">IFERROR(IF(MID(raw_data!C229,3,1)="/",DATE(VALUE(RIGHT(raw_data!C229,4)),VALUE(LEFT(raw_data!C229,2)),VALUE(MID(raw_data!C229,4,2))),IF(MID(raw_data!C229,3,1)="-",DATE(VALUE(RIGHT(raw_data!C229,4)),VALUE(MID(raw_data!C229,4,2)),VALUE(LEFT(raw_data!C229,2))),IF(MID(raw_data!C229,5,1)="-",DATE(VALUE(LEFT(raw_data!C229,4)),VALUE(MID(raw_data!C229,6,2)),VALUE(RIGHT(raw_data!C229,2))),DATE(VALUE(RIGHT(raw_data!C229,4)),MATCH(MID(raw_data!C229,4,3),{"Jan","Feb","Mar","Apr","May","Jun","Jul","Aug","Sep","Oct","Nov","Dec"},0),VALUE(LEFT(raw_data!C229,2)))))),"")</f>
        <v>45485</v>
      </c>
      <c r="D229" s="3" t="str">
        <f aca="false">IF(TRIM(raw_data!B229)="","Missing",IF(B229="","Invalid/Unrecognized","Valid"))</f>
        <v>Valid</v>
      </c>
      <c r="E229" s="3" t="str">
        <f aca="false">IF(TRIM(raw_data!C229)="","Missing",IF(C229="","Invalid/Unrecognized","Valid"))</f>
        <v>Valid</v>
      </c>
      <c r="F229" s="5" t="n">
        <f aca="false">IF(OR(B229="",C229=""),"",C229-B229)</f>
        <v>7</v>
      </c>
      <c r="G229" s="3" t="str">
        <f aca="false">IF(F229="","N/A",IF(F229&lt;0,"Invalid - Ship Before Order","OK"))</f>
        <v>OK</v>
      </c>
      <c r="H229" s="3" t="str">
        <f aca="false">raw_data!D229</f>
        <v>CUST-2819</v>
      </c>
      <c r="I229" s="3" t="str">
        <f aca="false">PROPER(TRIM(raw_data!E229))</f>
        <v>Ananya Rao</v>
      </c>
      <c r="J229" s="3" t="str">
        <f aca="false">PROPER(TRIM(raw_data!F229))</f>
        <v>Small Business</v>
      </c>
      <c r="K229" s="3" t="str">
        <f aca="false">IF(TRIM(raw_data!G229)="","Unknown",PROPER(TRIM(raw_data!G229)))</f>
        <v>West</v>
      </c>
      <c r="L229" s="3" t="str">
        <f aca="false">IF(TRIM(raw_data!G229)="","Filled - Unknown","OK")</f>
        <v>OK</v>
      </c>
      <c r="M229" s="3" t="str">
        <f aca="false">PROPER(TRIM(raw_data!H229))</f>
        <v>Goa</v>
      </c>
      <c r="N229" s="3" t="str">
        <f aca="false">PROPER(TRIM(raw_data!I229))</f>
        <v>Panaji</v>
      </c>
      <c r="O229" s="3" t="str">
        <f aca="false">PROPER(TRIM(raw_data!J229))</f>
        <v>Office Supplies</v>
      </c>
      <c r="P229" s="3" t="str">
        <f aca="false">PROPER(TRIM(raw_data!K229))</f>
        <v>Binders</v>
      </c>
      <c r="Q229" s="3" t="str">
        <f aca="false">TRIM(raw_data!L229)</f>
        <v>Prime Binders 507</v>
      </c>
      <c r="R229" s="3" t="str">
        <f aca="false">IF(TRIM(raw_data!M229)="","Unknown",PROPER(TRIM(raw_data!M229)))</f>
        <v>First Class</v>
      </c>
      <c r="S229" s="3" t="str">
        <f aca="false">IF(TRIM(raw_data!M229)="","Filled - Unknown","OK")</f>
        <v>OK</v>
      </c>
      <c r="T229" s="6" t="n">
        <f aca="false">raw_data!N229</f>
        <v>3</v>
      </c>
      <c r="U229" s="7" t="n">
        <f aca="false">raw_data!O229</f>
        <v>577.75</v>
      </c>
      <c r="V229" s="8" t="n">
        <f aca="false">raw_data!P229</f>
        <v>0.15</v>
      </c>
      <c r="W229" s="8" t="n">
        <f aca="false">IF(raw_data!P229="",0,IF(ISTEXT(raw_data!P229),IF(RIGHT(raw_data!P229,1)="%",VALUE(LEFT(raw_data!P229,LEN(raw_data!P229)-1))/100,VALUE(raw_data!P229)),raw_data!P229))</f>
        <v>0.15</v>
      </c>
      <c r="X229" s="3" t="str">
        <f aca="false">IF(raw_data!P229="","Missing - Defaulted to 0",IF(W229&lt;0,"Negative - Invalid",IF(W229&gt;0.3,"Above Allowed Range - Invalid","Valid")))</f>
        <v>Valid</v>
      </c>
      <c r="Y229" s="7" t="n">
        <f aca="false">raw_data!Q229</f>
        <v>1473.26</v>
      </c>
      <c r="Z229" s="7" t="n">
        <f aca="false">raw_data!R229</f>
        <v>899.86</v>
      </c>
      <c r="AA229" s="7" t="n">
        <f aca="false">raw_data!S229</f>
        <v>573.4</v>
      </c>
      <c r="AB229" s="3" t="str">
        <f aca="false">PROPER(TRIM(raw_data!T229))</f>
        <v>Paid</v>
      </c>
      <c r="AC229" s="3" t="str">
        <f aca="false">PROPER(TRIM(raw_data!U229))</f>
        <v>Completed</v>
      </c>
      <c r="AD229" s="7" t="n">
        <f aca="false">T229*U229*(1-W229)</f>
        <v>1473.2625</v>
      </c>
      <c r="AE229" s="7" t="n">
        <f aca="false">AD229-Z229</f>
        <v>573.4025</v>
      </c>
      <c r="AF229" s="8" t="n">
        <f aca="false">IF(AD229=0,0,AE229/AD229)</f>
        <v>0.389205929018081</v>
      </c>
      <c r="AG229" s="3" t="str">
        <f aca="false">IF(ABS(Y229-AD229)&gt;1,"Mismatch","OK")</f>
        <v>OK</v>
      </c>
      <c r="AH229" s="3" t="str">
        <f aca="false">IF(ABS(AA229-AE229)&gt;1,"Mismatch","OK")</f>
        <v>OK</v>
      </c>
      <c r="AI229" s="6" t="n">
        <f aca="false">IF(B229="","",MONTH(B229))</f>
        <v>7</v>
      </c>
      <c r="AJ229" s="6" t="n">
        <f aca="false">IF(B229="","",YEAR(B229))</f>
        <v>2024</v>
      </c>
      <c r="AK229" s="3" t="str">
        <f aca="false">IF(COUNTIF(raw_data!$A$2:$A$913,A229)&gt;1,"Conflicting Duplicate - Flagged for Review","Unique")</f>
        <v>Unique</v>
      </c>
      <c r="AL229" s="3" t="str">
        <f aca="false">IF(AB229="Refunded","Yes","No")</f>
        <v>No</v>
      </c>
      <c r="AM229" s="3" t="str">
        <f aca="false">IF(OR(AC229&lt;&gt;"Completed",AB229="Failed"),"Excluded","Included")</f>
        <v>Included</v>
      </c>
      <c r="AN229" s="3" t="str">
        <f aca="false">IF(OR(D229="Invalid/Unrecognized",E229="Invalid/Unrecognized",G229="Invalid - Ship Before Order",X229="Negative - Invalid",X229="Above Allowed Range - Invalid",AG229="Mismatch",AH229="Mismatch",AK229="Conflicting Duplicate - Flagged for Review"),"Invalid",IF(OR(L229="Filled - Unknown",S229="Filled - Unknown",X229="Missing - Defaulted to 0",AL229="Yes",AC229="Cancelled",AC229="Returned"),"Warning","Clean"))</f>
        <v>Clean</v>
      </c>
    </row>
    <row r="230" customFormat="false" ht="15" hidden="false" customHeight="false" outlineLevel="0" collapsed="false">
      <c r="A230" s="3" t="str">
        <f aca="false">raw_data!A230</f>
        <v>ORD-2024-10229</v>
      </c>
      <c r="B230" s="4" t="n">
        <f aca="false">IFERROR(IF(MID(raw_data!B230,3,1)="/",DATE(VALUE(RIGHT(raw_data!B230,4)),VALUE(LEFT(raw_data!B230,2)),VALUE(MID(raw_data!B230,4,2))),IF(MID(raw_data!B230,3,1)="-",DATE(VALUE(RIGHT(raw_data!B230,4)),VALUE(MID(raw_data!B230,4,2)),VALUE(LEFT(raw_data!B230,2))),IF(MID(raw_data!B230,5,1)="-",DATE(VALUE(LEFT(raw_data!B230,4)),VALUE(MID(raw_data!B230,6,2)),VALUE(RIGHT(raw_data!B230,2))),DATE(VALUE(RIGHT(raw_data!B230,4)),MATCH(MID(raw_data!B230,4,3),{"Jan","Feb","Mar","Apr","May","Jun","Jul","Aug","Sep","Oct","Nov","Dec"},0),VALUE(LEFT(raw_data!B230,2)))))),"")</f>
        <v>45406</v>
      </c>
      <c r="C230" s="4" t="n">
        <f aca="false">IFERROR(IF(MID(raw_data!C230,3,1)="/",DATE(VALUE(RIGHT(raw_data!C230,4)),VALUE(LEFT(raw_data!C230,2)),VALUE(MID(raw_data!C230,4,2))),IF(MID(raw_data!C230,3,1)="-",DATE(VALUE(RIGHT(raw_data!C230,4)),VALUE(MID(raw_data!C230,4,2)),VALUE(LEFT(raw_data!C230,2))),IF(MID(raw_data!C230,5,1)="-",DATE(VALUE(LEFT(raw_data!C230,4)),VALUE(MID(raw_data!C230,6,2)),VALUE(RIGHT(raw_data!C230,2))),DATE(VALUE(RIGHT(raw_data!C230,4)),MATCH(MID(raw_data!C230,4,3),{"Jan","Feb","Mar","Apr","May","Jun","Jul","Aug","Sep","Oct","Nov","Dec"},0),VALUE(LEFT(raw_data!C230,2)))))),"")</f>
        <v>45410</v>
      </c>
      <c r="D230" s="3" t="str">
        <f aca="false">IF(TRIM(raw_data!B230)="","Missing",IF(B230="","Invalid/Unrecognized","Valid"))</f>
        <v>Valid</v>
      </c>
      <c r="E230" s="3" t="str">
        <f aca="false">IF(TRIM(raw_data!C230)="","Missing",IF(C230="","Invalid/Unrecognized","Valid"))</f>
        <v>Valid</v>
      </c>
      <c r="F230" s="5" t="n">
        <f aca="false">IF(OR(B230="",C230=""),"",C230-B230)</f>
        <v>4</v>
      </c>
      <c r="G230" s="3" t="str">
        <f aca="false">IF(F230="","N/A",IF(F230&lt;0,"Invalid - Ship Before Order","OK"))</f>
        <v>OK</v>
      </c>
      <c r="H230" s="3" t="str">
        <f aca="false">raw_data!D230</f>
        <v>CUST-1076</v>
      </c>
      <c r="I230" s="3" t="str">
        <f aca="false">PROPER(TRIM(raw_data!E230))</f>
        <v>Karan Malhotra</v>
      </c>
      <c r="J230" s="3" t="str">
        <f aca="false">PROPER(TRIM(raw_data!F230))</f>
        <v>Small Business</v>
      </c>
      <c r="K230" s="3" t="str">
        <f aca="false">IF(TRIM(raw_data!G230)="","Unknown",PROPER(TRIM(raw_data!G230)))</f>
        <v>South</v>
      </c>
      <c r="L230" s="3" t="str">
        <f aca="false">IF(TRIM(raw_data!G230)="","Filled - Unknown","OK")</f>
        <v>OK</v>
      </c>
      <c r="M230" s="3" t="str">
        <f aca="false">PROPER(TRIM(raw_data!H230))</f>
        <v>Telangana</v>
      </c>
      <c r="N230" s="3" t="str">
        <f aca="false">PROPER(TRIM(raw_data!I230))</f>
        <v>Hyderabad</v>
      </c>
      <c r="O230" s="3" t="str">
        <f aca="false">PROPER(TRIM(raw_data!J230))</f>
        <v>Office Supplies</v>
      </c>
      <c r="P230" s="3" t="str">
        <f aca="false">PROPER(TRIM(raw_data!K230))</f>
        <v>Labels</v>
      </c>
      <c r="Q230" s="3" t="str">
        <f aca="false">TRIM(raw_data!L230)</f>
        <v>Smart Labels 914</v>
      </c>
      <c r="R230" s="3" t="str">
        <f aca="false">IF(TRIM(raw_data!M230)="","Unknown",PROPER(TRIM(raw_data!M230)))</f>
        <v>Second Class</v>
      </c>
      <c r="S230" s="3" t="str">
        <f aca="false">IF(TRIM(raw_data!M230)="","Filled - Unknown","OK")</f>
        <v>OK</v>
      </c>
      <c r="T230" s="6" t="n">
        <f aca="false">raw_data!N230</f>
        <v>1</v>
      </c>
      <c r="U230" s="7" t="n">
        <f aca="false">raw_data!O230</f>
        <v>3194.37</v>
      </c>
      <c r="V230" s="8" t="n">
        <f aca="false">raw_data!P230</f>
        <v>0.15</v>
      </c>
      <c r="W230" s="8" t="n">
        <f aca="false">IF(raw_data!P230="",0,IF(ISTEXT(raw_data!P230),IF(RIGHT(raw_data!P230,1)="%",VALUE(LEFT(raw_data!P230,LEN(raw_data!P230)-1))/100,VALUE(raw_data!P230)),raw_data!P230))</f>
        <v>0.15</v>
      </c>
      <c r="X230" s="3" t="str">
        <f aca="false">IF(raw_data!P230="","Missing - Defaulted to 0",IF(W230&lt;0,"Negative - Invalid",IF(W230&gt;0.3,"Above Allowed Range - Invalid","Valid")))</f>
        <v>Valid</v>
      </c>
      <c r="Y230" s="7" t="n">
        <f aca="false">raw_data!Q230</f>
        <v>2715.21</v>
      </c>
      <c r="Z230" s="7" t="n">
        <f aca="false">raw_data!R230</f>
        <v>1551.55</v>
      </c>
      <c r="AA230" s="7" t="n">
        <f aca="false">raw_data!S230</f>
        <v>1163.66</v>
      </c>
      <c r="AB230" s="3" t="str">
        <f aca="false">PROPER(TRIM(raw_data!T230))</f>
        <v>Paid</v>
      </c>
      <c r="AC230" s="3" t="str">
        <f aca="false">PROPER(TRIM(raw_data!U230))</f>
        <v>Completed</v>
      </c>
      <c r="AD230" s="7" t="n">
        <f aca="false">T230*U230*(1-W230)</f>
        <v>2715.2145</v>
      </c>
      <c r="AE230" s="7" t="n">
        <f aca="false">AD230-Z230</f>
        <v>1163.6645</v>
      </c>
      <c r="AF230" s="8" t="n">
        <f aca="false">IF(AD230=0,0,AE230/AD230)</f>
        <v>0.428571849480032</v>
      </c>
      <c r="AG230" s="3" t="str">
        <f aca="false">IF(ABS(Y230-AD230)&gt;1,"Mismatch","OK")</f>
        <v>OK</v>
      </c>
      <c r="AH230" s="3" t="str">
        <f aca="false">IF(ABS(AA230-AE230)&gt;1,"Mismatch","OK")</f>
        <v>OK</v>
      </c>
      <c r="AI230" s="6" t="n">
        <f aca="false">IF(B230="","",MONTH(B230))</f>
        <v>4</v>
      </c>
      <c r="AJ230" s="6" t="n">
        <f aca="false">IF(B230="","",YEAR(B230))</f>
        <v>2024</v>
      </c>
      <c r="AK230" s="3" t="str">
        <f aca="false">IF(COUNTIF(raw_data!$A$2:$A$913,A230)&gt;1,"Conflicting Duplicate - Flagged for Review","Unique")</f>
        <v>Unique</v>
      </c>
      <c r="AL230" s="3" t="str">
        <f aca="false">IF(AB230="Refunded","Yes","No")</f>
        <v>No</v>
      </c>
      <c r="AM230" s="3" t="str">
        <f aca="false">IF(OR(AC230&lt;&gt;"Completed",AB230="Failed"),"Excluded","Included")</f>
        <v>Included</v>
      </c>
      <c r="AN230" s="3" t="str">
        <f aca="false">IF(OR(D230="Invalid/Unrecognized",E230="Invalid/Unrecognized",G230="Invalid - Ship Before Order",X230="Negative - Invalid",X230="Above Allowed Range - Invalid",AG230="Mismatch",AH230="Mismatch",AK230="Conflicting Duplicate - Flagged for Review"),"Invalid",IF(OR(L230="Filled - Unknown",S230="Filled - Unknown",X230="Missing - Defaulted to 0",AL230="Yes",AC230="Cancelled",AC230="Returned"),"Warning","Clean"))</f>
        <v>Clean</v>
      </c>
    </row>
    <row r="231" customFormat="false" ht="15" hidden="false" customHeight="false" outlineLevel="0" collapsed="false">
      <c r="A231" s="3" t="str">
        <f aca="false">raw_data!A231</f>
        <v>ORD-2025-10230</v>
      </c>
      <c r="B231" s="4" t="n">
        <f aca="false">IFERROR(IF(MID(raw_data!B231,3,1)="/",DATE(VALUE(RIGHT(raw_data!B231,4)),VALUE(LEFT(raw_data!B231,2)),VALUE(MID(raw_data!B231,4,2))),IF(MID(raw_data!B231,3,1)="-",DATE(VALUE(RIGHT(raw_data!B231,4)),VALUE(MID(raw_data!B231,4,2)),VALUE(LEFT(raw_data!B231,2))),IF(MID(raw_data!B231,5,1)="-",DATE(VALUE(LEFT(raw_data!B231,4)),VALUE(MID(raw_data!B231,6,2)),VALUE(RIGHT(raw_data!B231,2))),DATE(VALUE(RIGHT(raw_data!B231,4)),MATCH(MID(raw_data!B231,4,3),{"Jan","Feb","Mar","Apr","May","Jun","Jul","Aug","Sep","Oct","Nov","Dec"},0),VALUE(LEFT(raw_data!B231,2)))))),"")</f>
        <v>45836</v>
      </c>
      <c r="C231" s="4" t="n">
        <f aca="false">IFERROR(IF(MID(raw_data!C231,3,1)="/",DATE(VALUE(RIGHT(raw_data!C231,4)),VALUE(LEFT(raw_data!C231,2)),VALUE(MID(raw_data!C231,4,2))),IF(MID(raw_data!C231,3,1)="-",DATE(VALUE(RIGHT(raw_data!C231,4)),VALUE(MID(raw_data!C231,4,2)),VALUE(LEFT(raw_data!C231,2))),IF(MID(raw_data!C231,5,1)="-",DATE(VALUE(LEFT(raw_data!C231,4)),VALUE(MID(raw_data!C231,6,2)),VALUE(RIGHT(raw_data!C231,2))),DATE(VALUE(RIGHT(raw_data!C231,4)),MATCH(MID(raw_data!C231,4,3),{"Jan","Feb","Mar","Apr","May","Jun","Jul","Aug","Sep","Oct","Nov","Dec"},0),VALUE(LEFT(raw_data!C231,2)))))),"")</f>
        <v>45842</v>
      </c>
      <c r="D231" s="3" t="str">
        <f aca="false">IF(TRIM(raw_data!B231)="","Missing",IF(B231="","Invalid/Unrecognized","Valid"))</f>
        <v>Valid</v>
      </c>
      <c r="E231" s="3" t="str">
        <f aca="false">IF(TRIM(raw_data!C231)="","Missing",IF(C231="","Invalid/Unrecognized","Valid"))</f>
        <v>Valid</v>
      </c>
      <c r="F231" s="5" t="n">
        <f aca="false">IF(OR(B231="",C231=""),"",C231-B231)</f>
        <v>6</v>
      </c>
      <c r="G231" s="3" t="str">
        <f aca="false">IF(F231="","N/A",IF(F231&lt;0,"Invalid - Ship Before Order","OK"))</f>
        <v>OK</v>
      </c>
      <c r="H231" s="3" t="str">
        <f aca="false">raw_data!D231</f>
        <v>CUST-1943</v>
      </c>
      <c r="I231" s="3" t="str">
        <f aca="false">PROPER(TRIM(raw_data!E231))</f>
        <v>Rohan Mehta</v>
      </c>
      <c r="J231" s="3" t="str">
        <f aca="false">PROPER(TRIM(raw_data!F231))</f>
        <v>Consumer</v>
      </c>
      <c r="K231" s="3" t="str">
        <f aca="false">IF(TRIM(raw_data!G231)="","Unknown",PROPER(TRIM(raw_data!G231)))</f>
        <v>South</v>
      </c>
      <c r="L231" s="3" t="str">
        <f aca="false">IF(TRIM(raw_data!G231)="","Filled - Unknown","OK")</f>
        <v>OK</v>
      </c>
      <c r="M231" s="3" t="str">
        <f aca="false">PROPER(TRIM(raw_data!H231))</f>
        <v>Telangana</v>
      </c>
      <c r="N231" s="3" t="str">
        <f aca="false">PROPER(TRIM(raw_data!I231))</f>
        <v>Hyderabad</v>
      </c>
      <c r="O231" s="3" t="str">
        <f aca="false">PROPER(TRIM(raw_data!J231))</f>
        <v>Furniture</v>
      </c>
      <c r="P231" s="3" t="str">
        <f aca="false">PROPER(TRIM(raw_data!K231))</f>
        <v>Bookcases</v>
      </c>
      <c r="Q231" s="3" t="str">
        <f aca="false">TRIM(raw_data!L231)</f>
        <v>Smart Bookcases 662</v>
      </c>
      <c r="R231" s="3" t="str">
        <f aca="false">IF(TRIM(raw_data!M231)="","Unknown",PROPER(TRIM(raw_data!M231)))</f>
        <v>First Class</v>
      </c>
      <c r="S231" s="3" t="str">
        <f aca="false">IF(TRIM(raw_data!M231)="","Filled - Unknown","OK")</f>
        <v>OK</v>
      </c>
      <c r="T231" s="6" t="n">
        <f aca="false">raw_data!N231</f>
        <v>3</v>
      </c>
      <c r="U231" s="7" t="n">
        <f aca="false">raw_data!O231</f>
        <v>2886.23</v>
      </c>
      <c r="V231" s="8" t="n">
        <f aca="false">raw_data!P231</f>
        <v>0</v>
      </c>
      <c r="W231" s="8" t="n">
        <f aca="false">IF(raw_data!P231="",0,IF(ISTEXT(raw_data!P231),IF(RIGHT(raw_data!P231,1)="%",VALUE(LEFT(raw_data!P231,LEN(raw_data!P231)-1))/100,VALUE(raw_data!P231)),raw_data!P231))</f>
        <v>0</v>
      </c>
      <c r="X231" s="3" t="str">
        <f aca="false">IF(raw_data!P231="","Missing - Defaulted to 0",IF(W231&lt;0,"Negative - Invalid",IF(W231&gt;0.3,"Above Allowed Range - Invalid","Valid")))</f>
        <v>Valid</v>
      </c>
      <c r="Y231" s="7" t="n">
        <f aca="false">raw_data!Q231</f>
        <v>8658.69</v>
      </c>
      <c r="Z231" s="7" t="n">
        <f aca="false">raw_data!R231</f>
        <v>5535.94</v>
      </c>
      <c r="AA231" s="7" t="n">
        <f aca="false">raw_data!S231</f>
        <v>3122.75</v>
      </c>
      <c r="AB231" s="3" t="str">
        <f aca="false">PROPER(TRIM(raw_data!T231))</f>
        <v>Refunded</v>
      </c>
      <c r="AC231" s="3" t="str">
        <f aca="false">PROPER(TRIM(raw_data!U231))</f>
        <v>Returned</v>
      </c>
      <c r="AD231" s="7" t="n">
        <f aca="false">T231*U231*(1-W231)</f>
        <v>8658.69</v>
      </c>
      <c r="AE231" s="7" t="n">
        <f aca="false">AD231-Z231</f>
        <v>3122.75</v>
      </c>
      <c r="AF231" s="8" t="n">
        <f aca="false">IF(AD231=0,0,AE231/AD231)</f>
        <v>0.360649243707767</v>
      </c>
      <c r="AG231" s="3" t="str">
        <f aca="false">IF(ABS(Y231-AD231)&gt;1,"Mismatch","OK")</f>
        <v>OK</v>
      </c>
      <c r="AH231" s="3" t="str">
        <f aca="false">IF(ABS(AA231-AE231)&gt;1,"Mismatch","OK")</f>
        <v>OK</v>
      </c>
      <c r="AI231" s="6" t="n">
        <f aca="false">IF(B231="","",MONTH(B231))</f>
        <v>6</v>
      </c>
      <c r="AJ231" s="6" t="n">
        <f aca="false">IF(B231="","",YEAR(B231))</f>
        <v>2025</v>
      </c>
      <c r="AK231" s="3" t="str">
        <f aca="false">IF(COUNTIF(raw_data!$A$2:$A$913,A231)&gt;1,"Conflicting Duplicate - Flagged for Review","Unique")</f>
        <v>Unique</v>
      </c>
      <c r="AL231" s="3" t="str">
        <f aca="false">IF(AB231="Refunded","Yes","No")</f>
        <v>Yes</v>
      </c>
      <c r="AM231" s="3" t="str">
        <f aca="false">IF(OR(AC231&lt;&gt;"Completed",AB231="Failed"),"Excluded","Included")</f>
        <v>Excluded</v>
      </c>
      <c r="AN231" s="3" t="str">
        <f aca="false">IF(OR(D231="Invalid/Unrecognized",E231="Invalid/Unrecognized",G231="Invalid - Ship Before Order",X231="Negative - Invalid",X231="Above Allowed Range - Invalid",AG231="Mismatch",AH231="Mismatch",AK231="Conflicting Duplicate - Flagged for Review"),"Invalid",IF(OR(L231="Filled - Unknown",S231="Filled - Unknown",X231="Missing - Defaulted to 0",AL231="Yes",AC231="Cancelled",AC231="Returned"),"Warning","Clean"))</f>
        <v>Warning</v>
      </c>
    </row>
    <row r="232" customFormat="false" ht="15" hidden="false" customHeight="false" outlineLevel="0" collapsed="false">
      <c r="A232" s="3" t="str">
        <f aca="false">raw_data!A232</f>
        <v>ORD-2024-10231</v>
      </c>
      <c r="B232" s="4" t="n">
        <f aca="false">IFERROR(IF(MID(raw_data!B232,3,1)="/",DATE(VALUE(RIGHT(raw_data!B232,4)),VALUE(LEFT(raw_data!B232,2)),VALUE(MID(raw_data!B232,4,2))),IF(MID(raw_data!B232,3,1)="-",DATE(VALUE(RIGHT(raw_data!B232,4)),VALUE(MID(raw_data!B232,4,2)),VALUE(LEFT(raw_data!B232,2))),IF(MID(raw_data!B232,5,1)="-",DATE(VALUE(LEFT(raw_data!B232,4)),VALUE(MID(raw_data!B232,6,2)),VALUE(RIGHT(raw_data!B232,2))),DATE(VALUE(RIGHT(raw_data!B232,4)),MATCH(MID(raw_data!B232,4,3),{"Jan","Feb","Mar","Apr","May","Jun","Jul","Aug","Sep","Oct","Nov","Dec"},0),VALUE(LEFT(raw_data!B232,2)))))),"")</f>
        <v>45440</v>
      </c>
      <c r="C232" s="4" t="n">
        <f aca="false">IFERROR(IF(MID(raw_data!C232,3,1)="/",DATE(VALUE(RIGHT(raw_data!C232,4)),VALUE(LEFT(raw_data!C232,2)),VALUE(MID(raw_data!C232,4,2))),IF(MID(raw_data!C232,3,1)="-",DATE(VALUE(RIGHT(raw_data!C232,4)),VALUE(MID(raw_data!C232,4,2)),VALUE(LEFT(raw_data!C232,2))),IF(MID(raw_data!C232,5,1)="-",DATE(VALUE(LEFT(raw_data!C232,4)),VALUE(MID(raw_data!C232,6,2)),VALUE(RIGHT(raw_data!C232,2))),DATE(VALUE(RIGHT(raw_data!C232,4)),MATCH(MID(raw_data!C232,4,3),{"Jan","Feb","Mar","Apr","May","Jun","Jul","Aug","Sep","Oct","Nov","Dec"},0),VALUE(LEFT(raw_data!C232,2)))))),"")</f>
        <v>45446</v>
      </c>
      <c r="D232" s="3" t="str">
        <f aca="false">IF(TRIM(raw_data!B232)="","Missing",IF(B232="","Invalid/Unrecognized","Valid"))</f>
        <v>Valid</v>
      </c>
      <c r="E232" s="3" t="str">
        <f aca="false">IF(TRIM(raw_data!C232)="","Missing",IF(C232="","Invalid/Unrecognized","Valid"))</f>
        <v>Valid</v>
      </c>
      <c r="F232" s="5" t="n">
        <f aca="false">IF(OR(B232="",C232=""),"",C232-B232)</f>
        <v>6</v>
      </c>
      <c r="G232" s="3" t="str">
        <f aca="false">IF(F232="","N/A",IF(F232&lt;0,"Invalid - Ship Before Order","OK"))</f>
        <v>OK</v>
      </c>
      <c r="H232" s="3" t="str">
        <f aca="false">raw_data!D232</f>
        <v>CUST-3434</v>
      </c>
      <c r="I232" s="3" t="str">
        <f aca="false">PROPER(TRIM(raw_data!E232))</f>
        <v>Neha Gupta</v>
      </c>
      <c r="J232" s="3" t="str">
        <f aca="false">PROPER(TRIM(raw_data!F232))</f>
        <v>Small Business</v>
      </c>
      <c r="K232" s="3" t="str">
        <f aca="false">IF(TRIM(raw_data!G232)="","Unknown",PROPER(TRIM(raw_data!G232)))</f>
        <v>North</v>
      </c>
      <c r="L232" s="3" t="str">
        <f aca="false">IF(TRIM(raw_data!G232)="","Filled - Unknown","OK")</f>
        <v>OK</v>
      </c>
      <c r="M232" s="3" t="str">
        <f aca="false">PROPER(TRIM(raw_data!H232))</f>
        <v>Rajasthan</v>
      </c>
      <c r="N232" s="3" t="str">
        <f aca="false">PROPER(TRIM(raw_data!I232))</f>
        <v>Jaipur</v>
      </c>
      <c r="O232" s="3" t="str">
        <f aca="false">PROPER(TRIM(raw_data!J232))</f>
        <v>Office Supplies</v>
      </c>
      <c r="P232" s="3" t="str">
        <f aca="false">PROPER(TRIM(raw_data!K232))</f>
        <v>Paper</v>
      </c>
      <c r="Q232" s="3" t="str">
        <f aca="false">TRIM(raw_data!L232)</f>
        <v>Eco Paper 937</v>
      </c>
      <c r="R232" s="3" t="str">
        <f aca="false">IF(TRIM(raw_data!M232)="","Unknown",PROPER(TRIM(raw_data!M232)))</f>
        <v>Standard Class</v>
      </c>
      <c r="S232" s="3" t="str">
        <f aca="false">IF(TRIM(raw_data!M232)="","Filled - Unknown","OK")</f>
        <v>OK</v>
      </c>
      <c r="T232" s="6" t="n">
        <f aca="false">raw_data!N232</f>
        <v>8</v>
      </c>
      <c r="U232" s="7" t="n">
        <f aca="false">raw_data!O232</f>
        <v>1540.33</v>
      </c>
      <c r="V232" s="8" t="n">
        <f aca="false">raw_data!P232</f>
        <v>0.1</v>
      </c>
      <c r="W232" s="8" t="n">
        <f aca="false">IF(raw_data!P232="",0,IF(ISTEXT(raw_data!P232),IF(RIGHT(raw_data!P232,1)="%",VALUE(LEFT(raw_data!P232,LEN(raw_data!P232)-1))/100,VALUE(raw_data!P232)),raw_data!P232))</f>
        <v>0.1</v>
      </c>
      <c r="X232" s="3" t="str">
        <f aca="false">IF(raw_data!P232="","Missing - Defaulted to 0",IF(W232&lt;0,"Negative - Invalid",IF(W232&gt;0.3,"Above Allowed Range - Invalid","Valid")))</f>
        <v>Valid</v>
      </c>
      <c r="Y232" s="7" t="n">
        <f aca="false">raw_data!Q232</f>
        <v>11090.38</v>
      </c>
      <c r="Z232" s="7" t="n">
        <f aca="false">raw_data!R232</f>
        <v>8840.95</v>
      </c>
      <c r="AA232" s="7" t="n">
        <f aca="false">raw_data!S232</f>
        <v>2249.43</v>
      </c>
      <c r="AB232" s="3" t="str">
        <f aca="false">PROPER(TRIM(raw_data!T232))</f>
        <v>Paid</v>
      </c>
      <c r="AC232" s="3" t="str">
        <f aca="false">PROPER(TRIM(raw_data!U232))</f>
        <v>Completed</v>
      </c>
      <c r="AD232" s="7" t="n">
        <f aca="false">T232*U232*(1-W232)</f>
        <v>11090.376</v>
      </c>
      <c r="AE232" s="7" t="n">
        <f aca="false">AD232-Z232</f>
        <v>2249.426</v>
      </c>
      <c r="AF232" s="8" t="n">
        <f aca="false">IF(AD232=0,0,AE232/AD232)</f>
        <v>0.20282684734945</v>
      </c>
      <c r="AG232" s="3" t="str">
        <f aca="false">IF(ABS(Y232-AD232)&gt;1,"Mismatch","OK")</f>
        <v>OK</v>
      </c>
      <c r="AH232" s="3" t="str">
        <f aca="false">IF(ABS(AA232-AE232)&gt;1,"Mismatch","OK")</f>
        <v>OK</v>
      </c>
      <c r="AI232" s="6" t="n">
        <f aca="false">IF(B232="","",MONTH(B232))</f>
        <v>5</v>
      </c>
      <c r="AJ232" s="6" t="n">
        <f aca="false">IF(B232="","",YEAR(B232))</f>
        <v>2024</v>
      </c>
      <c r="AK232" s="3" t="str">
        <f aca="false">IF(COUNTIF(raw_data!$A$2:$A$913,A232)&gt;1,"Conflicting Duplicate - Flagged for Review","Unique")</f>
        <v>Unique</v>
      </c>
      <c r="AL232" s="3" t="str">
        <f aca="false">IF(AB232="Refunded","Yes","No")</f>
        <v>No</v>
      </c>
      <c r="AM232" s="3" t="str">
        <f aca="false">IF(OR(AC232&lt;&gt;"Completed",AB232="Failed"),"Excluded","Included")</f>
        <v>Included</v>
      </c>
      <c r="AN232" s="3" t="str">
        <f aca="false">IF(OR(D232="Invalid/Unrecognized",E232="Invalid/Unrecognized",G232="Invalid - Ship Before Order",X232="Negative - Invalid",X232="Above Allowed Range - Invalid",AG232="Mismatch",AH232="Mismatch",AK232="Conflicting Duplicate - Flagged for Review"),"Invalid",IF(OR(L232="Filled - Unknown",S232="Filled - Unknown",X232="Missing - Defaulted to 0",AL232="Yes",AC232="Cancelled",AC232="Returned"),"Warning","Clean"))</f>
        <v>Clean</v>
      </c>
    </row>
    <row r="233" customFormat="false" ht="15" hidden="false" customHeight="false" outlineLevel="0" collapsed="false">
      <c r="A233" s="3" t="str">
        <f aca="false">raw_data!A233</f>
        <v>ORD-2024-10232</v>
      </c>
      <c r="B233" s="4" t="n">
        <f aca="false">IFERROR(IF(MID(raw_data!B233,3,1)="/",DATE(VALUE(RIGHT(raw_data!B233,4)),VALUE(LEFT(raw_data!B233,2)),VALUE(MID(raw_data!B233,4,2))),IF(MID(raw_data!B233,3,1)="-",DATE(VALUE(RIGHT(raw_data!B233,4)),VALUE(MID(raw_data!B233,4,2)),VALUE(LEFT(raw_data!B233,2))),IF(MID(raw_data!B233,5,1)="-",DATE(VALUE(LEFT(raw_data!B233,4)),VALUE(MID(raw_data!B233,6,2)),VALUE(RIGHT(raw_data!B233,2))),DATE(VALUE(RIGHT(raw_data!B233,4)),MATCH(MID(raw_data!B233,4,3),{"Jan","Feb","Mar","Apr","May","Jun","Jul","Aug","Sep","Oct","Nov","Dec"},0),VALUE(LEFT(raw_data!B233,2)))))),"")</f>
        <v>45414</v>
      </c>
      <c r="C233" s="4" t="n">
        <f aca="false">IFERROR(IF(MID(raw_data!C233,3,1)="/",DATE(VALUE(RIGHT(raw_data!C233,4)),VALUE(LEFT(raw_data!C233,2)),VALUE(MID(raw_data!C233,4,2))),IF(MID(raw_data!C233,3,1)="-",DATE(VALUE(RIGHT(raw_data!C233,4)),VALUE(MID(raw_data!C233,4,2)),VALUE(LEFT(raw_data!C233,2))),IF(MID(raw_data!C233,5,1)="-",DATE(VALUE(LEFT(raw_data!C233,4)),VALUE(MID(raw_data!C233,6,2)),VALUE(RIGHT(raw_data!C233,2))),DATE(VALUE(RIGHT(raw_data!C233,4)),MATCH(MID(raw_data!C233,4,3),{"Jan","Feb","Mar","Apr","May","Jun","Jul","Aug","Sep","Oct","Nov","Dec"},0),VALUE(LEFT(raw_data!C233,2)))))),"")</f>
        <v>45414</v>
      </c>
      <c r="D233" s="3" t="str">
        <f aca="false">IF(TRIM(raw_data!B233)="","Missing",IF(B233="","Invalid/Unrecognized","Valid"))</f>
        <v>Valid</v>
      </c>
      <c r="E233" s="3" t="str">
        <f aca="false">IF(TRIM(raw_data!C233)="","Missing",IF(C233="","Invalid/Unrecognized","Valid"))</f>
        <v>Valid</v>
      </c>
      <c r="F233" s="5" t="n">
        <f aca="false">IF(OR(B233="",C233=""),"",C233-B233)</f>
        <v>0</v>
      </c>
      <c r="G233" s="3" t="str">
        <f aca="false">IF(F233="","N/A",IF(F233&lt;0,"Invalid - Ship Before Order","OK"))</f>
        <v>OK</v>
      </c>
      <c r="H233" s="3" t="str">
        <f aca="false">raw_data!D233</f>
        <v>CUST-9139</v>
      </c>
      <c r="I233" s="3" t="str">
        <f aca="false">PROPER(TRIM(raw_data!E233))</f>
        <v>Ananya Rao</v>
      </c>
      <c r="J233" s="3" t="str">
        <f aca="false">PROPER(TRIM(raw_data!F233))</f>
        <v>Corporate</v>
      </c>
      <c r="K233" s="3" t="str">
        <f aca="false">IF(TRIM(raw_data!G233)="","Unknown",PROPER(TRIM(raw_data!G233)))</f>
        <v>North</v>
      </c>
      <c r="L233" s="3" t="str">
        <f aca="false">IF(TRIM(raw_data!G233)="","Filled - Unknown","OK")</f>
        <v>OK</v>
      </c>
      <c r="M233" s="3" t="str">
        <f aca="false">PROPER(TRIM(raw_data!H233))</f>
        <v>Rajasthan</v>
      </c>
      <c r="N233" s="3" t="str">
        <f aca="false">PROPER(TRIM(raw_data!I233))</f>
        <v>Jaipur</v>
      </c>
      <c r="O233" s="3" t="str">
        <f aca="false">PROPER(TRIM(raw_data!J233))</f>
        <v>Office Supplies</v>
      </c>
      <c r="P233" s="3" t="str">
        <f aca="false">PROPER(TRIM(raw_data!K233))</f>
        <v>Labels</v>
      </c>
      <c r="Q233" s="3" t="str">
        <f aca="false">TRIM(raw_data!L233)</f>
        <v>Max Labels 370</v>
      </c>
      <c r="R233" s="3" t="str">
        <f aca="false">IF(TRIM(raw_data!M233)="","Unknown",PROPER(TRIM(raw_data!M233)))</f>
        <v>First Class</v>
      </c>
      <c r="S233" s="3" t="str">
        <f aca="false">IF(TRIM(raw_data!M233)="","Filled - Unknown","OK")</f>
        <v>OK</v>
      </c>
      <c r="T233" s="6" t="n">
        <f aca="false">raw_data!N233</f>
        <v>7</v>
      </c>
      <c r="U233" s="7" t="n">
        <f aca="false">raw_data!O233</f>
        <v>2183.38</v>
      </c>
      <c r="V233" s="8" t="n">
        <f aca="false">raw_data!P233</f>
        <v>0.25</v>
      </c>
      <c r="W233" s="8" t="n">
        <f aca="false">IF(raw_data!P233="",0,IF(ISTEXT(raw_data!P233),IF(RIGHT(raw_data!P233,1)="%",VALUE(LEFT(raw_data!P233,LEN(raw_data!P233)-1))/100,VALUE(raw_data!P233)),raw_data!P233))</f>
        <v>0.25</v>
      </c>
      <c r="X233" s="3" t="str">
        <f aca="false">IF(raw_data!P233="","Missing - Defaulted to 0",IF(W233&lt;0,"Negative - Invalid",IF(W233&gt;0.3,"Above Allowed Range - Invalid","Valid")))</f>
        <v>Valid</v>
      </c>
      <c r="Y233" s="7" t="n">
        <f aca="false">raw_data!Q233</f>
        <v>11462.74</v>
      </c>
      <c r="Z233" s="7" t="n">
        <f aca="false">raw_data!R233</f>
        <v>7163.54</v>
      </c>
      <c r="AA233" s="7" t="n">
        <f aca="false">raw_data!S233</f>
        <v>4299.2</v>
      </c>
      <c r="AB233" s="3" t="str">
        <f aca="false">PROPER(TRIM(raw_data!T233))</f>
        <v>Refunded</v>
      </c>
      <c r="AC233" s="3" t="str">
        <f aca="false">PROPER(TRIM(raw_data!U233))</f>
        <v>Cancelled</v>
      </c>
      <c r="AD233" s="7" t="n">
        <f aca="false">T233*U233*(1-W233)</f>
        <v>11462.745</v>
      </c>
      <c r="AE233" s="7" t="n">
        <f aca="false">AD233-Z233</f>
        <v>4299.205</v>
      </c>
      <c r="AF233" s="8" t="n">
        <f aca="false">IF(AD233=0,0,AE233/AD233)</f>
        <v>0.375058940943029</v>
      </c>
      <c r="AG233" s="3" t="str">
        <f aca="false">IF(ABS(Y233-AD233)&gt;1,"Mismatch","OK")</f>
        <v>OK</v>
      </c>
      <c r="AH233" s="3" t="str">
        <f aca="false">IF(ABS(AA233-AE233)&gt;1,"Mismatch","OK")</f>
        <v>OK</v>
      </c>
      <c r="AI233" s="6" t="n">
        <f aca="false">IF(B233="","",MONTH(B233))</f>
        <v>5</v>
      </c>
      <c r="AJ233" s="6" t="n">
        <f aca="false">IF(B233="","",YEAR(B233))</f>
        <v>2024</v>
      </c>
      <c r="AK233" s="3" t="str">
        <f aca="false">IF(COUNTIF(raw_data!$A$2:$A$913,A233)&gt;1,"Conflicting Duplicate - Flagged for Review","Unique")</f>
        <v>Unique</v>
      </c>
      <c r="AL233" s="3" t="str">
        <f aca="false">IF(AB233="Refunded","Yes","No")</f>
        <v>Yes</v>
      </c>
      <c r="AM233" s="3" t="str">
        <f aca="false">IF(OR(AC233&lt;&gt;"Completed",AB233="Failed"),"Excluded","Included")</f>
        <v>Excluded</v>
      </c>
      <c r="AN233" s="3" t="str">
        <f aca="false">IF(OR(D233="Invalid/Unrecognized",E233="Invalid/Unrecognized",G233="Invalid - Ship Before Order",X233="Negative - Invalid",X233="Above Allowed Range - Invalid",AG233="Mismatch",AH233="Mismatch",AK233="Conflicting Duplicate - Flagged for Review"),"Invalid",IF(OR(L233="Filled - Unknown",S233="Filled - Unknown",X233="Missing - Defaulted to 0",AL233="Yes",AC233="Cancelled",AC233="Returned"),"Warning","Clean"))</f>
        <v>Warning</v>
      </c>
    </row>
    <row r="234" customFormat="false" ht="15" hidden="false" customHeight="false" outlineLevel="0" collapsed="false">
      <c r="A234" s="3" t="str">
        <f aca="false">raw_data!A234</f>
        <v>ORD-2025-10233</v>
      </c>
      <c r="B234" s="4" t="n">
        <f aca="false">IFERROR(IF(MID(raw_data!B234,3,1)="/",DATE(VALUE(RIGHT(raw_data!B234,4)),VALUE(LEFT(raw_data!B234,2)),VALUE(MID(raw_data!B234,4,2))),IF(MID(raw_data!B234,3,1)="-",DATE(VALUE(RIGHT(raw_data!B234,4)),VALUE(MID(raw_data!B234,4,2)),VALUE(LEFT(raw_data!B234,2))),IF(MID(raw_data!B234,5,1)="-",DATE(VALUE(LEFT(raw_data!B234,4)),VALUE(MID(raw_data!B234,6,2)),VALUE(RIGHT(raw_data!B234,2))),DATE(VALUE(RIGHT(raw_data!B234,4)),MATCH(MID(raw_data!B234,4,3),{"Jan","Feb","Mar","Apr","May","Jun","Jul","Aug","Sep","Oct","Nov","Dec"},0),VALUE(LEFT(raw_data!B234,2)))))),"")</f>
        <v>45812</v>
      </c>
      <c r="C234" s="4" t="n">
        <f aca="false">IFERROR(IF(MID(raw_data!C234,3,1)="/",DATE(VALUE(RIGHT(raw_data!C234,4)),VALUE(LEFT(raw_data!C234,2)),VALUE(MID(raw_data!C234,4,2))),IF(MID(raw_data!C234,3,1)="-",DATE(VALUE(RIGHT(raw_data!C234,4)),VALUE(MID(raw_data!C234,4,2)),VALUE(LEFT(raw_data!C234,2))),IF(MID(raw_data!C234,5,1)="-",DATE(VALUE(LEFT(raw_data!C234,4)),VALUE(MID(raw_data!C234,6,2)),VALUE(RIGHT(raw_data!C234,2))),DATE(VALUE(RIGHT(raw_data!C234,4)),MATCH(MID(raw_data!C234,4,3),{"Jan","Feb","Mar","Apr","May","Jun","Jul","Aug","Sep","Oct","Nov","Dec"},0),VALUE(LEFT(raw_data!C234,2)))))),"")</f>
        <v>45818</v>
      </c>
      <c r="D234" s="3" t="str">
        <f aca="false">IF(TRIM(raw_data!B234)="","Missing",IF(B234="","Invalid/Unrecognized","Valid"))</f>
        <v>Valid</v>
      </c>
      <c r="E234" s="3" t="str">
        <f aca="false">IF(TRIM(raw_data!C234)="","Missing",IF(C234="","Invalid/Unrecognized","Valid"))</f>
        <v>Valid</v>
      </c>
      <c r="F234" s="5" t="n">
        <f aca="false">IF(OR(B234="",C234=""),"",C234-B234)</f>
        <v>6</v>
      </c>
      <c r="G234" s="3" t="str">
        <f aca="false">IF(F234="","N/A",IF(F234&lt;0,"Invalid - Ship Before Order","OK"))</f>
        <v>OK</v>
      </c>
      <c r="H234" s="3" t="str">
        <f aca="false">raw_data!D234</f>
        <v>CUST-5341</v>
      </c>
      <c r="I234" s="3" t="str">
        <f aca="false">PROPER(TRIM(raw_data!E234))</f>
        <v>Rahul Verma</v>
      </c>
      <c r="J234" s="3" t="str">
        <f aca="false">PROPER(TRIM(raw_data!F234))</f>
        <v>Consumer</v>
      </c>
      <c r="K234" s="3" t="str">
        <f aca="false">IF(TRIM(raw_data!G234)="","Unknown",PROPER(TRIM(raw_data!G234)))</f>
        <v>South</v>
      </c>
      <c r="L234" s="3" t="str">
        <f aca="false">IF(TRIM(raw_data!G234)="","Filled - Unknown","OK")</f>
        <v>OK</v>
      </c>
      <c r="M234" s="3" t="str">
        <f aca="false">PROPER(TRIM(raw_data!H234))</f>
        <v>Andhra Pradesh</v>
      </c>
      <c r="N234" s="3" t="str">
        <f aca="false">PROPER(TRIM(raw_data!I234))</f>
        <v>Vijayawada</v>
      </c>
      <c r="O234" s="3" t="str">
        <f aca="false">PROPER(TRIM(raw_data!J234))</f>
        <v>Technology</v>
      </c>
      <c r="P234" s="3" t="str">
        <f aca="false">PROPER(TRIM(raw_data!K234))</f>
        <v>Phones</v>
      </c>
      <c r="Q234" s="3" t="str">
        <f aca="false">TRIM(raw_data!L234)</f>
        <v>Classic Phones 530</v>
      </c>
      <c r="R234" s="3" t="str">
        <f aca="false">IF(TRIM(raw_data!M234)="","Unknown",PROPER(TRIM(raw_data!M234)))</f>
        <v>Standard Class</v>
      </c>
      <c r="S234" s="3" t="str">
        <f aca="false">IF(TRIM(raw_data!M234)="","Filled - Unknown","OK")</f>
        <v>OK</v>
      </c>
      <c r="T234" s="6" t="n">
        <f aca="false">raw_data!N234</f>
        <v>4</v>
      </c>
      <c r="U234" s="7" t="n">
        <f aca="false">raw_data!O234</f>
        <v>223.37</v>
      </c>
      <c r="V234" s="8" t="n">
        <f aca="false">raw_data!P234</f>
        <v>0.25</v>
      </c>
      <c r="W234" s="8" t="n">
        <f aca="false">IF(raw_data!P234="",0,IF(ISTEXT(raw_data!P234),IF(RIGHT(raw_data!P234,1)="%",VALUE(LEFT(raw_data!P234,LEN(raw_data!P234)-1))/100,VALUE(raw_data!P234)),raw_data!P234))</f>
        <v>0.25</v>
      </c>
      <c r="X234" s="3" t="str">
        <f aca="false">IF(raw_data!P234="","Missing - Defaulted to 0",IF(W234&lt;0,"Negative - Invalid",IF(W234&gt;0.3,"Above Allowed Range - Invalid","Valid")))</f>
        <v>Valid</v>
      </c>
      <c r="Y234" s="7" t="n">
        <f aca="false">raw_data!Q234</f>
        <v>670.11</v>
      </c>
      <c r="Z234" s="7" t="n">
        <f aca="false">raw_data!R234</f>
        <v>559.57</v>
      </c>
      <c r="AA234" s="7" t="n">
        <f aca="false">raw_data!S234</f>
        <v>110.54</v>
      </c>
      <c r="AB234" s="3" t="str">
        <f aca="false">PROPER(TRIM(raw_data!T234))</f>
        <v>Paid</v>
      </c>
      <c r="AC234" s="3" t="str">
        <f aca="false">PROPER(TRIM(raw_data!U234))</f>
        <v>Completed</v>
      </c>
      <c r="AD234" s="7" t="n">
        <f aca="false">T234*U234*(1-W234)</f>
        <v>670.11</v>
      </c>
      <c r="AE234" s="7" t="n">
        <f aca="false">AD234-Z234</f>
        <v>110.54</v>
      </c>
      <c r="AF234" s="8" t="n">
        <f aca="false">IF(AD234=0,0,AE234/AD234)</f>
        <v>0.164957991971467</v>
      </c>
      <c r="AG234" s="3" t="str">
        <f aca="false">IF(ABS(Y234-AD234)&gt;1,"Mismatch","OK")</f>
        <v>OK</v>
      </c>
      <c r="AH234" s="3" t="str">
        <f aca="false">IF(ABS(AA234-AE234)&gt;1,"Mismatch","OK")</f>
        <v>OK</v>
      </c>
      <c r="AI234" s="6" t="n">
        <f aca="false">IF(B234="","",MONTH(B234))</f>
        <v>6</v>
      </c>
      <c r="AJ234" s="6" t="n">
        <f aca="false">IF(B234="","",YEAR(B234))</f>
        <v>2025</v>
      </c>
      <c r="AK234" s="3" t="str">
        <f aca="false">IF(COUNTIF(raw_data!$A$2:$A$913,A234)&gt;1,"Conflicting Duplicate - Flagged for Review","Unique")</f>
        <v>Unique</v>
      </c>
      <c r="AL234" s="3" t="str">
        <f aca="false">IF(AB234="Refunded","Yes","No")</f>
        <v>No</v>
      </c>
      <c r="AM234" s="3" t="str">
        <f aca="false">IF(OR(AC234&lt;&gt;"Completed",AB234="Failed"),"Excluded","Included")</f>
        <v>Included</v>
      </c>
      <c r="AN234" s="3" t="str">
        <f aca="false">IF(OR(D234="Invalid/Unrecognized",E234="Invalid/Unrecognized",G234="Invalid - Ship Before Order",X234="Negative - Invalid",X234="Above Allowed Range - Invalid",AG234="Mismatch",AH234="Mismatch",AK234="Conflicting Duplicate - Flagged for Review"),"Invalid",IF(OR(L234="Filled - Unknown",S234="Filled - Unknown",X234="Missing - Defaulted to 0",AL234="Yes",AC234="Cancelled",AC234="Returned"),"Warning","Clean"))</f>
        <v>Clean</v>
      </c>
    </row>
    <row r="235" customFormat="false" ht="15" hidden="false" customHeight="false" outlineLevel="0" collapsed="false">
      <c r="A235" s="3" t="str">
        <f aca="false">raw_data!A235</f>
        <v>ORD-2024-10234</v>
      </c>
      <c r="B235" s="4" t="n">
        <f aca="false">IFERROR(IF(MID(raw_data!B235,3,1)="/",DATE(VALUE(RIGHT(raw_data!B235,4)),VALUE(LEFT(raw_data!B235,2)),VALUE(MID(raw_data!B235,4,2))),IF(MID(raw_data!B235,3,1)="-",DATE(VALUE(RIGHT(raw_data!B235,4)),VALUE(MID(raw_data!B235,4,2)),VALUE(LEFT(raw_data!B235,2))),IF(MID(raw_data!B235,5,1)="-",DATE(VALUE(LEFT(raw_data!B235,4)),VALUE(MID(raw_data!B235,6,2)),VALUE(RIGHT(raw_data!B235,2))),DATE(VALUE(RIGHT(raw_data!B235,4)),MATCH(MID(raw_data!B235,4,3),{"Jan","Feb","Mar","Apr","May","Jun","Jul","Aug","Sep","Oct","Nov","Dec"},0),VALUE(LEFT(raw_data!B235,2)))))),"")</f>
        <v>45579</v>
      </c>
      <c r="C235" s="4" t="n">
        <f aca="false">IFERROR(IF(MID(raw_data!C235,3,1)="/",DATE(VALUE(RIGHT(raw_data!C235,4)),VALUE(LEFT(raw_data!C235,2)),VALUE(MID(raw_data!C235,4,2))),IF(MID(raw_data!C235,3,1)="-",DATE(VALUE(RIGHT(raw_data!C235,4)),VALUE(MID(raw_data!C235,4,2)),VALUE(LEFT(raw_data!C235,2))),IF(MID(raw_data!C235,5,1)="-",DATE(VALUE(LEFT(raw_data!C235,4)),VALUE(MID(raw_data!C235,6,2)),VALUE(RIGHT(raw_data!C235,2))),DATE(VALUE(RIGHT(raw_data!C235,4)),MATCH(MID(raw_data!C235,4,3),{"Jan","Feb","Mar","Apr","May","Jun","Jul","Aug","Sep","Oct","Nov","Dec"},0),VALUE(LEFT(raw_data!C235,2)))))),"")</f>
        <v>45579</v>
      </c>
      <c r="D235" s="3" t="str">
        <f aca="false">IF(TRIM(raw_data!B235)="","Missing",IF(B235="","Invalid/Unrecognized","Valid"))</f>
        <v>Valid</v>
      </c>
      <c r="E235" s="3" t="str">
        <f aca="false">IF(TRIM(raw_data!C235)="","Missing",IF(C235="","Invalid/Unrecognized","Valid"))</f>
        <v>Valid</v>
      </c>
      <c r="F235" s="5" t="n">
        <f aca="false">IF(OR(B235="",C235=""),"",C235-B235)</f>
        <v>0</v>
      </c>
      <c r="G235" s="3" t="str">
        <f aca="false">IF(F235="","N/A",IF(F235&lt;0,"Invalid - Ship Before Order","OK"))</f>
        <v>OK</v>
      </c>
      <c r="H235" s="3" t="str">
        <f aca="false">raw_data!D235</f>
        <v>CUST-3710</v>
      </c>
      <c r="I235" s="3" t="str">
        <f aca="false">PROPER(TRIM(raw_data!E235))</f>
        <v>Vikram Iyer</v>
      </c>
      <c r="J235" s="3" t="str">
        <f aca="false">PROPER(TRIM(raw_data!F235))</f>
        <v>Corporate</v>
      </c>
      <c r="K235" s="3" t="str">
        <f aca="false">IF(TRIM(raw_data!G235)="","Unknown",PROPER(TRIM(raw_data!G235)))</f>
        <v>South</v>
      </c>
      <c r="L235" s="3" t="str">
        <f aca="false">IF(TRIM(raw_data!G235)="","Filled - Unknown","OK")</f>
        <v>OK</v>
      </c>
      <c r="M235" s="3" t="str">
        <f aca="false">PROPER(TRIM(raw_data!H235))</f>
        <v>Karnataka</v>
      </c>
      <c r="N235" s="3" t="str">
        <f aca="false">PROPER(TRIM(raw_data!I235))</f>
        <v>Bengaluru</v>
      </c>
      <c r="O235" s="3" t="str">
        <f aca="false">PROPER(TRIM(raw_data!J235))</f>
        <v>Furniture</v>
      </c>
      <c r="P235" s="3" t="str">
        <f aca="false">PROPER(TRIM(raw_data!K235))</f>
        <v>Bookcases</v>
      </c>
      <c r="Q235" s="3" t="str">
        <f aca="false">TRIM(raw_data!L235)</f>
        <v>Smart Bookcases 328</v>
      </c>
      <c r="R235" s="3" t="str">
        <f aca="false">IF(TRIM(raw_data!M235)="","Unknown",PROPER(TRIM(raw_data!M235)))</f>
        <v>Unknown</v>
      </c>
      <c r="S235" s="3" t="str">
        <f aca="false">IF(TRIM(raw_data!M235)="","Filled - Unknown","OK")</f>
        <v>Filled - Unknown</v>
      </c>
      <c r="T235" s="6" t="n">
        <f aca="false">raw_data!N235</f>
        <v>8</v>
      </c>
      <c r="U235" s="7" t="n">
        <f aca="false">raw_data!O235</f>
        <v>3904.59</v>
      </c>
      <c r="V235" s="8" t="n">
        <f aca="false">raw_data!P235</f>
        <v>0</v>
      </c>
      <c r="W235" s="8" t="n">
        <f aca="false">IF(raw_data!P235="",0,IF(ISTEXT(raw_data!P235),IF(RIGHT(raw_data!P235,1)="%",VALUE(LEFT(raw_data!P235,LEN(raw_data!P235)-1))/100,VALUE(raw_data!P235)),raw_data!P235))</f>
        <v>0</v>
      </c>
      <c r="X235" s="3" t="str">
        <f aca="false">IF(raw_data!P235="","Missing - Defaulted to 0",IF(W235&lt;0,"Negative - Invalid",IF(W235&gt;0.3,"Above Allowed Range - Invalid","Valid")))</f>
        <v>Valid</v>
      </c>
      <c r="Y235" s="7" t="n">
        <f aca="false">raw_data!Q235</f>
        <v>31236.72</v>
      </c>
      <c r="Z235" s="7" t="n">
        <f aca="false">raw_data!R235</f>
        <v>26377.7</v>
      </c>
      <c r="AA235" s="7" t="n">
        <f aca="false">raw_data!S235</f>
        <v>4859.02</v>
      </c>
      <c r="AB235" s="3" t="str">
        <f aca="false">PROPER(TRIM(raw_data!T235))</f>
        <v>Paid</v>
      </c>
      <c r="AC235" s="3" t="str">
        <f aca="false">PROPER(TRIM(raw_data!U235))</f>
        <v>Completed</v>
      </c>
      <c r="AD235" s="7" t="n">
        <f aca="false">T235*U235*(1-W235)</f>
        <v>31236.72</v>
      </c>
      <c r="AE235" s="7" t="n">
        <f aca="false">AD235-Z235</f>
        <v>4859.02</v>
      </c>
      <c r="AF235" s="8" t="n">
        <f aca="false">IF(AD235=0,0,AE235/AD235)</f>
        <v>0.155554744544242</v>
      </c>
      <c r="AG235" s="3" t="str">
        <f aca="false">IF(ABS(Y235-AD235)&gt;1,"Mismatch","OK")</f>
        <v>OK</v>
      </c>
      <c r="AH235" s="3" t="str">
        <f aca="false">IF(ABS(AA235-AE235)&gt;1,"Mismatch","OK")</f>
        <v>OK</v>
      </c>
      <c r="AI235" s="6" t="n">
        <f aca="false">IF(B235="","",MONTH(B235))</f>
        <v>10</v>
      </c>
      <c r="AJ235" s="6" t="n">
        <f aca="false">IF(B235="","",YEAR(B235))</f>
        <v>2024</v>
      </c>
      <c r="AK235" s="3" t="str">
        <f aca="false">IF(COUNTIF(raw_data!$A$2:$A$913,A235)&gt;1,"Conflicting Duplicate - Flagged for Review","Unique")</f>
        <v>Unique</v>
      </c>
      <c r="AL235" s="3" t="str">
        <f aca="false">IF(AB235="Refunded","Yes","No")</f>
        <v>No</v>
      </c>
      <c r="AM235" s="3" t="str">
        <f aca="false">IF(OR(AC235&lt;&gt;"Completed",AB235="Failed"),"Excluded","Included")</f>
        <v>Included</v>
      </c>
      <c r="AN235" s="3" t="str">
        <f aca="false">IF(OR(D235="Invalid/Unrecognized",E235="Invalid/Unrecognized",G235="Invalid - Ship Before Order",X235="Negative - Invalid",X235="Above Allowed Range - Invalid",AG235="Mismatch",AH235="Mismatch",AK235="Conflicting Duplicate - Flagged for Review"),"Invalid",IF(OR(L235="Filled - Unknown",S235="Filled - Unknown",X235="Missing - Defaulted to 0",AL235="Yes",AC235="Cancelled",AC235="Returned"),"Warning","Clean"))</f>
        <v>Warning</v>
      </c>
    </row>
    <row r="236" customFormat="false" ht="15" hidden="false" customHeight="false" outlineLevel="0" collapsed="false">
      <c r="A236" s="3" t="str">
        <f aca="false">raw_data!A236</f>
        <v>ORD-2024-10235</v>
      </c>
      <c r="B236" s="4" t="n">
        <f aca="false">IFERROR(IF(MID(raw_data!B236,3,1)="/",DATE(VALUE(RIGHT(raw_data!B236,4)),VALUE(LEFT(raw_data!B236,2)),VALUE(MID(raw_data!B236,4,2))),IF(MID(raw_data!B236,3,1)="-",DATE(VALUE(RIGHT(raw_data!B236,4)),VALUE(MID(raw_data!B236,4,2)),VALUE(LEFT(raw_data!B236,2))),IF(MID(raw_data!B236,5,1)="-",DATE(VALUE(LEFT(raw_data!B236,4)),VALUE(MID(raw_data!B236,6,2)),VALUE(RIGHT(raw_data!B236,2))),DATE(VALUE(RIGHT(raw_data!B236,4)),MATCH(MID(raw_data!B236,4,3),{"Jan","Feb","Mar","Apr","May","Jun","Jul","Aug","Sep","Oct","Nov","Dec"},0),VALUE(LEFT(raw_data!B236,2)))))),"")</f>
        <v>45537</v>
      </c>
      <c r="C236" s="4" t="n">
        <f aca="false">IFERROR(IF(MID(raw_data!C236,3,1)="/",DATE(VALUE(RIGHT(raw_data!C236,4)),VALUE(LEFT(raw_data!C236,2)),VALUE(MID(raw_data!C236,4,2))),IF(MID(raw_data!C236,3,1)="-",DATE(VALUE(RIGHT(raw_data!C236,4)),VALUE(MID(raw_data!C236,4,2)),VALUE(LEFT(raw_data!C236,2))),IF(MID(raw_data!C236,5,1)="-",DATE(VALUE(LEFT(raw_data!C236,4)),VALUE(MID(raw_data!C236,6,2)),VALUE(RIGHT(raw_data!C236,2))),DATE(VALUE(RIGHT(raw_data!C236,4)),MATCH(MID(raw_data!C236,4,3),{"Jan","Feb","Mar","Apr","May","Jun","Jul","Aug","Sep","Oct","Nov","Dec"},0),VALUE(LEFT(raw_data!C236,2)))))),"")</f>
        <v>45538</v>
      </c>
      <c r="D236" s="3" t="str">
        <f aca="false">IF(TRIM(raw_data!B236)="","Missing",IF(B236="","Invalid/Unrecognized","Valid"))</f>
        <v>Valid</v>
      </c>
      <c r="E236" s="3" t="str">
        <f aca="false">IF(TRIM(raw_data!C236)="","Missing",IF(C236="","Invalid/Unrecognized","Valid"))</f>
        <v>Valid</v>
      </c>
      <c r="F236" s="5" t="n">
        <f aca="false">IF(OR(B236="",C236=""),"",C236-B236)</f>
        <v>1</v>
      </c>
      <c r="G236" s="3" t="str">
        <f aca="false">IF(F236="","N/A",IF(F236&lt;0,"Invalid - Ship Before Order","OK"))</f>
        <v>OK</v>
      </c>
      <c r="H236" s="3" t="str">
        <f aca="false">raw_data!D236</f>
        <v>CUST-9754</v>
      </c>
      <c r="I236" s="3" t="str">
        <f aca="false">PROPER(TRIM(raw_data!E236))</f>
        <v>Kabir Singh</v>
      </c>
      <c r="J236" s="3" t="str">
        <f aca="false">PROPER(TRIM(raw_data!F236))</f>
        <v>Home Office</v>
      </c>
      <c r="K236" s="3" t="str">
        <f aca="false">IF(TRIM(raw_data!G236)="","Unknown",PROPER(TRIM(raw_data!G236)))</f>
        <v>North</v>
      </c>
      <c r="L236" s="3" t="str">
        <f aca="false">IF(TRIM(raw_data!G236)="","Filled - Unknown","OK")</f>
        <v>OK</v>
      </c>
      <c r="M236" s="3" t="str">
        <f aca="false">PROPER(TRIM(raw_data!H236))</f>
        <v>Delhi</v>
      </c>
      <c r="N236" s="3" t="str">
        <f aca="false">PROPER(TRIM(raw_data!I236))</f>
        <v>New Delhi</v>
      </c>
      <c r="O236" s="3" t="str">
        <f aca="false">PROPER(TRIM(raw_data!J236))</f>
        <v>Furniture</v>
      </c>
      <c r="P236" s="3" t="str">
        <f aca="false">PROPER(TRIM(raw_data!K236))</f>
        <v>Furnishings</v>
      </c>
      <c r="Q236" s="3" t="str">
        <f aca="false">TRIM(raw_data!L236)</f>
        <v>Eco Furnishings 981</v>
      </c>
      <c r="R236" s="3" t="str">
        <f aca="false">IF(TRIM(raw_data!M236)="","Unknown",PROPER(TRIM(raw_data!M236)))</f>
        <v>First Class</v>
      </c>
      <c r="S236" s="3" t="str">
        <f aca="false">IF(TRIM(raw_data!M236)="","Filled - Unknown","OK")</f>
        <v>OK</v>
      </c>
      <c r="T236" s="6" t="n">
        <f aca="false">raw_data!N236</f>
        <v>9</v>
      </c>
      <c r="U236" s="7" t="n">
        <f aca="false">raw_data!O236</f>
        <v>1353.61</v>
      </c>
      <c r="V236" s="8" t="n">
        <f aca="false">raw_data!P236</f>
        <v>0.1</v>
      </c>
      <c r="W236" s="8" t="n">
        <f aca="false">IF(raw_data!P236="",0,IF(ISTEXT(raw_data!P236),IF(RIGHT(raw_data!P236,1)="%",VALUE(LEFT(raw_data!P236,LEN(raw_data!P236)-1))/100,VALUE(raw_data!P236)),raw_data!P236))</f>
        <v>0.1</v>
      </c>
      <c r="X236" s="3" t="str">
        <f aca="false">IF(raw_data!P236="","Missing - Defaulted to 0",IF(W236&lt;0,"Negative - Invalid",IF(W236&gt;0.3,"Above Allowed Range - Invalid","Valid")))</f>
        <v>Valid</v>
      </c>
      <c r="Y236" s="7" t="n">
        <f aca="false">raw_data!Q236</f>
        <v>10964.24</v>
      </c>
      <c r="Z236" s="7" t="n">
        <f aca="false">raw_data!R236</f>
        <v>9262.47</v>
      </c>
      <c r="AA236" s="7" t="n">
        <f aca="false">raw_data!S236</f>
        <v>1701.77</v>
      </c>
      <c r="AB236" s="3" t="str">
        <f aca="false">PROPER(TRIM(raw_data!T236))</f>
        <v>Paid</v>
      </c>
      <c r="AC236" s="3" t="str">
        <f aca="false">PROPER(TRIM(raw_data!U236))</f>
        <v>Completed</v>
      </c>
      <c r="AD236" s="7" t="n">
        <f aca="false">T236*U236*(1-W236)</f>
        <v>10964.241</v>
      </c>
      <c r="AE236" s="7" t="n">
        <f aca="false">AD236-Z236</f>
        <v>1701.771</v>
      </c>
      <c r="AF236" s="8" t="n">
        <f aca="false">IF(AD236=0,0,AE236/AD236)</f>
        <v>0.155211017342651</v>
      </c>
      <c r="AG236" s="3" t="str">
        <f aca="false">IF(ABS(Y236-AD236)&gt;1,"Mismatch","OK")</f>
        <v>OK</v>
      </c>
      <c r="AH236" s="3" t="str">
        <f aca="false">IF(ABS(AA236-AE236)&gt;1,"Mismatch","OK")</f>
        <v>OK</v>
      </c>
      <c r="AI236" s="6" t="n">
        <f aca="false">IF(B236="","",MONTH(B236))</f>
        <v>9</v>
      </c>
      <c r="AJ236" s="6" t="n">
        <f aca="false">IF(B236="","",YEAR(B236))</f>
        <v>2024</v>
      </c>
      <c r="AK236" s="3" t="str">
        <f aca="false">IF(COUNTIF(raw_data!$A$2:$A$913,A236)&gt;1,"Conflicting Duplicate - Flagged for Review","Unique")</f>
        <v>Unique</v>
      </c>
      <c r="AL236" s="3" t="str">
        <f aca="false">IF(AB236="Refunded","Yes","No")</f>
        <v>No</v>
      </c>
      <c r="AM236" s="3" t="str">
        <f aca="false">IF(OR(AC236&lt;&gt;"Completed",AB236="Failed"),"Excluded","Included")</f>
        <v>Included</v>
      </c>
      <c r="AN236" s="3" t="str">
        <f aca="false">IF(OR(D236="Invalid/Unrecognized",E236="Invalid/Unrecognized",G236="Invalid - Ship Before Order",X236="Negative - Invalid",X236="Above Allowed Range - Invalid",AG236="Mismatch",AH236="Mismatch",AK236="Conflicting Duplicate - Flagged for Review"),"Invalid",IF(OR(L236="Filled - Unknown",S236="Filled - Unknown",X236="Missing - Defaulted to 0",AL236="Yes",AC236="Cancelled",AC236="Returned"),"Warning","Clean"))</f>
        <v>Clean</v>
      </c>
    </row>
    <row r="237" customFormat="false" ht="15" hidden="false" customHeight="false" outlineLevel="0" collapsed="false">
      <c r="A237" s="3" t="str">
        <f aca="false">raw_data!A237</f>
        <v>ORD-2024-10236</v>
      </c>
      <c r="B237" s="4" t="n">
        <f aca="false">IFERROR(IF(MID(raw_data!B237,3,1)="/",DATE(VALUE(RIGHT(raw_data!B237,4)),VALUE(LEFT(raw_data!B237,2)),VALUE(MID(raw_data!B237,4,2))),IF(MID(raw_data!B237,3,1)="-",DATE(VALUE(RIGHT(raw_data!B237,4)),VALUE(MID(raw_data!B237,4,2)),VALUE(LEFT(raw_data!B237,2))),IF(MID(raw_data!B237,5,1)="-",DATE(VALUE(LEFT(raw_data!B237,4)),VALUE(MID(raw_data!B237,6,2)),VALUE(RIGHT(raw_data!B237,2))),DATE(VALUE(RIGHT(raw_data!B237,4)),MATCH(MID(raw_data!B237,4,3),{"Jan","Feb","Mar","Apr","May","Jun","Jul","Aug","Sep","Oct","Nov","Dec"},0),VALUE(LEFT(raw_data!B237,2)))))),"")</f>
        <v>45598</v>
      </c>
      <c r="C237" s="4" t="n">
        <f aca="false">IFERROR(IF(MID(raw_data!C237,3,1)="/",DATE(VALUE(RIGHT(raw_data!C237,4)),VALUE(LEFT(raw_data!C237,2)),VALUE(MID(raw_data!C237,4,2))),IF(MID(raw_data!C237,3,1)="-",DATE(VALUE(RIGHT(raw_data!C237,4)),VALUE(MID(raw_data!C237,4,2)),VALUE(LEFT(raw_data!C237,2))),IF(MID(raw_data!C237,5,1)="-",DATE(VALUE(LEFT(raw_data!C237,4)),VALUE(MID(raw_data!C237,6,2)),VALUE(RIGHT(raw_data!C237,2))),DATE(VALUE(RIGHT(raw_data!C237,4)),MATCH(MID(raw_data!C237,4,3),{"Jan","Feb","Mar","Apr","May","Jun","Jul","Aug","Sep","Oct","Nov","Dec"},0),VALUE(LEFT(raw_data!C237,2)))))),"")</f>
        <v>45599</v>
      </c>
      <c r="D237" s="3" t="str">
        <f aca="false">IF(TRIM(raw_data!B237)="","Missing",IF(B237="","Invalid/Unrecognized","Valid"))</f>
        <v>Valid</v>
      </c>
      <c r="E237" s="3" t="str">
        <f aca="false">IF(TRIM(raw_data!C237)="","Missing",IF(C237="","Invalid/Unrecognized","Valid"))</f>
        <v>Valid</v>
      </c>
      <c r="F237" s="5" t="n">
        <f aca="false">IF(OR(B237="",C237=""),"",C237-B237)</f>
        <v>1</v>
      </c>
      <c r="G237" s="3" t="str">
        <f aca="false">IF(F237="","N/A",IF(F237&lt;0,"Invalid - Ship Before Order","OK"))</f>
        <v>OK</v>
      </c>
      <c r="H237" s="3" t="str">
        <f aca="false">raw_data!D237</f>
        <v>CUST-6256</v>
      </c>
      <c r="I237" s="3" t="str">
        <f aca="false">PROPER(TRIM(raw_data!E237))</f>
        <v>Rahul Verma</v>
      </c>
      <c r="J237" s="3" t="str">
        <f aca="false">PROPER(TRIM(raw_data!F237))</f>
        <v>Small Business</v>
      </c>
      <c r="K237" s="3" t="str">
        <f aca="false">IF(TRIM(raw_data!G237)="","Unknown",PROPER(TRIM(raw_data!G237)))</f>
        <v>West</v>
      </c>
      <c r="L237" s="3" t="str">
        <f aca="false">IF(TRIM(raw_data!G237)="","Filled - Unknown","OK")</f>
        <v>OK</v>
      </c>
      <c r="M237" s="3" t="str">
        <f aca="false">PROPER(TRIM(raw_data!H237))</f>
        <v>Rajasthan</v>
      </c>
      <c r="N237" s="3" t="str">
        <f aca="false">PROPER(TRIM(raw_data!I237))</f>
        <v>Udaipur</v>
      </c>
      <c r="O237" s="3" t="str">
        <f aca="false">PROPER(TRIM(raw_data!J237))</f>
        <v>Office Supplies</v>
      </c>
      <c r="P237" s="3" t="str">
        <f aca="false">PROPER(TRIM(raw_data!K237))</f>
        <v>Storage</v>
      </c>
      <c r="Q237" s="3" t="str">
        <f aca="false">TRIM(raw_data!L237)</f>
        <v>Basic Storage 195</v>
      </c>
      <c r="R237" s="3" t="str">
        <f aca="false">IF(TRIM(raw_data!M237)="","Unknown",PROPER(TRIM(raw_data!M237)))</f>
        <v>Standard Class</v>
      </c>
      <c r="S237" s="3" t="str">
        <f aca="false">IF(TRIM(raw_data!M237)="","Filled - Unknown","OK")</f>
        <v>OK</v>
      </c>
      <c r="T237" s="6" t="n">
        <f aca="false">raw_data!N237</f>
        <v>6</v>
      </c>
      <c r="U237" s="7" t="n">
        <f aca="false">raw_data!O237</f>
        <v>2671.29</v>
      </c>
      <c r="V237" s="8" t="n">
        <f aca="false">raw_data!P237</f>
        <v>0.05</v>
      </c>
      <c r="W237" s="8" t="n">
        <f aca="false">IF(raw_data!P237="",0,IF(ISTEXT(raw_data!P237),IF(RIGHT(raw_data!P237,1)="%",VALUE(LEFT(raw_data!P237,LEN(raw_data!P237)-1))/100,VALUE(raw_data!P237)),raw_data!P237))</f>
        <v>0.05</v>
      </c>
      <c r="X237" s="3" t="str">
        <f aca="false">IF(raw_data!P237="","Missing - Defaulted to 0",IF(W237&lt;0,"Negative - Invalid",IF(W237&gt;0.3,"Above Allowed Range - Invalid","Valid")))</f>
        <v>Valid</v>
      </c>
      <c r="Y237" s="7" t="n">
        <f aca="false">raw_data!Q237</f>
        <v>15226.35</v>
      </c>
      <c r="Z237" s="7" t="n">
        <f aca="false">raw_data!R237</f>
        <v>11145.28</v>
      </c>
      <c r="AA237" s="7" t="n">
        <f aca="false">raw_data!S237</f>
        <v>4081.07</v>
      </c>
      <c r="AB237" s="3" t="str">
        <f aca="false">PROPER(TRIM(raw_data!T237))</f>
        <v>Paid</v>
      </c>
      <c r="AC237" s="3" t="str">
        <f aca="false">PROPER(TRIM(raw_data!U237))</f>
        <v>Completed</v>
      </c>
      <c r="AD237" s="7" t="n">
        <f aca="false">T237*U237*(1-W237)</f>
        <v>15226.353</v>
      </c>
      <c r="AE237" s="7" t="n">
        <f aca="false">AD237-Z237</f>
        <v>4081.073</v>
      </c>
      <c r="AF237" s="8" t="n">
        <f aca="false">IF(AD237=0,0,AE237/AD237)</f>
        <v>0.268026953007066</v>
      </c>
      <c r="AG237" s="3" t="str">
        <f aca="false">IF(ABS(Y237-AD237)&gt;1,"Mismatch","OK")</f>
        <v>OK</v>
      </c>
      <c r="AH237" s="3" t="str">
        <f aca="false">IF(ABS(AA237-AE237)&gt;1,"Mismatch","OK")</f>
        <v>OK</v>
      </c>
      <c r="AI237" s="6" t="n">
        <f aca="false">IF(B237="","",MONTH(B237))</f>
        <v>11</v>
      </c>
      <c r="AJ237" s="6" t="n">
        <f aca="false">IF(B237="","",YEAR(B237))</f>
        <v>2024</v>
      </c>
      <c r="AK237" s="3" t="str">
        <f aca="false">IF(COUNTIF(raw_data!$A$2:$A$913,A237)&gt;1,"Conflicting Duplicate - Flagged for Review","Unique")</f>
        <v>Unique</v>
      </c>
      <c r="AL237" s="3" t="str">
        <f aca="false">IF(AB237="Refunded","Yes","No")</f>
        <v>No</v>
      </c>
      <c r="AM237" s="3" t="str">
        <f aca="false">IF(OR(AC237&lt;&gt;"Completed",AB237="Failed"),"Excluded","Included")</f>
        <v>Included</v>
      </c>
      <c r="AN237" s="3" t="str">
        <f aca="false">IF(OR(D237="Invalid/Unrecognized",E237="Invalid/Unrecognized",G237="Invalid - Ship Before Order",X237="Negative - Invalid",X237="Above Allowed Range - Invalid",AG237="Mismatch",AH237="Mismatch",AK237="Conflicting Duplicate - Flagged for Review"),"Invalid",IF(OR(L237="Filled - Unknown",S237="Filled - Unknown",X237="Missing - Defaulted to 0",AL237="Yes",AC237="Cancelled",AC237="Returned"),"Warning","Clean"))</f>
        <v>Clean</v>
      </c>
    </row>
    <row r="238" customFormat="false" ht="15" hidden="false" customHeight="false" outlineLevel="0" collapsed="false">
      <c r="A238" s="3" t="str">
        <f aca="false">raw_data!A238</f>
        <v>ORD-2024-10237</v>
      </c>
      <c r="B238" s="4" t="n">
        <f aca="false">IFERROR(IF(MID(raw_data!B238,3,1)="/",DATE(VALUE(RIGHT(raw_data!B238,4)),VALUE(LEFT(raw_data!B238,2)),VALUE(MID(raw_data!B238,4,2))),IF(MID(raw_data!B238,3,1)="-",DATE(VALUE(RIGHT(raw_data!B238,4)),VALUE(MID(raw_data!B238,4,2)),VALUE(LEFT(raw_data!B238,2))),IF(MID(raw_data!B238,5,1)="-",DATE(VALUE(LEFT(raw_data!B238,4)),VALUE(MID(raw_data!B238,6,2)),VALUE(RIGHT(raw_data!B238,2))),DATE(VALUE(RIGHT(raw_data!B238,4)),MATCH(MID(raw_data!B238,4,3),{"Jan","Feb","Mar","Apr","May","Jun","Jul","Aug","Sep","Oct","Nov","Dec"},0),VALUE(LEFT(raw_data!B238,2)))))),"")</f>
        <v>45579</v>
      </c>
      <c r="C238" s="4" t="n">
        <f aca="false">IFERROR(IF(MID(raw_data!C238,3,1)="/",DATE(VALUE(RIGHT(raw_data!C238,4)),VALUE(LEFT(raw_data!C238,2)),VALUE(MID(raw_data!C238,4,2))),IF(MID(raw_data!C238,3,1)="-",DATE(VALUE(RIGHT(raw_data!C238,4)),VALUE(MID(raw_data!C238,4,2)),VALUE(LEFT(raw_data!C238,2))),IF(MID(raw_data!C238,5,1)="-",DATE(VALUE(LEFT(raw_data!C238,4)),VALUE(MID(raw_data!C238,6,2)),VALUE(RIGHT(raw_data!C238,2))),DATE(VALUE(RIGHT(raw_data!C238,4)),MATCH(MID(raw_data!C238,4,3),{"Jan","Feb","Mar","Apr","May","Jun","Jul","Aug","Sep","Oct","Nov","Dec"},0),VALUE(LEFT(raw_data!C238,2)))))),"")</f>
        <v>45586</v>
      </c>
      <c r="D238" s="3" t="str">
        <f aca="false">IF(TRIM(raw_data!B238)="","Missing",IF(B238="","Invalid/Unrecognized","Valid"))</f>
        <v>Valid</v>
      </c>
      <c r="E238" s="3" t="str">
        <f aca="false">IF(TRIM(raw_data!C238)="","Missing",IF(C238="","Invalid/Unrecognized","Valid"))</f>
        <v>Valid</v>
      </c>
      <c r="F238" s="5" t="n">
        <f aca="false">IF(OR(B238="",C238=""),"",C238-B238)</f>
        <v>7</v>
      </c>
      <c r="G238" s="3" t="str">
        <f aca="false">IF(F238="","N/A",IF(F238&lt;0,"Invalid - Ship Before Order","OK"))</f>
        <v>OK</v>
      </c>
      <c r="H238" s="3" t="str">
        <f aca="false">raw_data!D238</f>
        <v>CUST-7113</v>
      </c>
      <c r="I238" s="3" t="str">
        <f aca="false">PROPER(TRIM(raw_data!E238))</f>
        <v>Priya Menon</v>
      </c>
      <c r="J238" s="3" t="str">
        <f aca="false">PROPER(TRIM(raw_data!F238))</f>
        <v>Corporate</v>
      </c>
      <c r="K238" s="3" t="str">
        <f aca="false">IF(TRIM(raw_data!G238)="","Unknown",PROPER(TRIM(raw_data!G238)))</f>
        <v>North</v>
      </c>
      <c r="L238" s="3" t="str">
        <f aca="false">IF(TRIM(raw_data!G238)="","Filled - Unknown","OK")</f>
        <v>OK</v>
      </c>
      <c r="M238" s="3" t="str">
        <f aca="false">PROPER(TRIM(raw_data!H238))</f>
        <v>Uttar Pradesh</v>
      </c>
      <c r="N238" s="3" t="str">
        <f aca="false">PROPER(TRIM(raw_data!I238))</f>
        <v>Noida</v>
      </c>
      <c r="O238" s="3" t="str">
        <f aca="false">PROPER(TRIM(raw_data!J238))</f>
        <v>Furniture</v>
      </c>
      <c r="P238" s="3" t="str">
        <f aca="false">PROPER(TRIM(raw_data!K238))</f>
        <v>Bookcases</v>
      </c>
      <c r="Q238" s="3" t="str">
        <f aca="false">TRIM(raw_data!L238)</f>
        <v>Elite Bookcases 907</v>
      </c>
      <c r="R238" s="3" t="str">
        <f aca="false">IF(TRIM(raw_data!M238)="","Unknown",PROPER(TRIM(raw_data!M238)))</f>
        <v>First Class</v>
      </c>
      <c r="S238" s="3" t="str">
        <f aca="false">IF(TRIM(raw_data!M238)="","Filled - Unknown","OK")</f>
        <v>OK</v>
      </c>
      <c r="T238" s="6" t="n">
        <f aca="false">raw_data!N238</f>
        <v>6</v>
      </c>
      <c r="U238" s="7" t="n">
        <f aca="false">raw_data!O238</f>
        <v>4062.78</v>
      </c>
      <c r="V238" s="8" t="n">
        <f aca="false">raw_data!P238</f>
        <v>0</v>
      </c>
      <c r="W238" s="8" t="n">
        <f aca="false">IF(raw_data!P238="",0,IF(ISTEXT(raw_data!P238),IF(RIGHT(raw_data!P238,1)="%",VALUE(LEFT(raw_data!P238,LEN(raw_data!P238)-1))/100,VALUE(raw_data!P238)),raw_data!P238))</f>
        <v>0</v>
      </c>
      <c r="X238" s="3" t="str">
        <f aca="false">IF(raw_data!P238="","Missing - Defaulted to 0",IF(W238&lt;0,"Negative - Invalid",IF(W238&gt;0.3,"Above Allowed Range - Invalid","Valid")))</f>
        <v>Valid</v>
      </c>
      <c r="Y238" s="7" t="n">
        <f aca="false">raw_data!Q238</f>
        <v>24376.68</v>
      </c>
      <c r="Z238" s="7" t="n">
        <f aca="false">raw_data!R238</f>
        <v>18533.39</v>
      </c>
      <c r="AA238" s="7" t="n">
        <f aca="false">raw_data!S238</f>
        <v>5843.29</v>
      </c>
      <c r="AB238" s="3" t="str">
        <f aca="false">PROPER(TRIM(raw_data!T238))</f>
        <v>Paid</v>
      </c>
      <c r="AC238" s="3" t="str">
        <f aca="false">PROPER(TRIM(raw_data!U238))</f>
        <v>Completed</v>
      </c>
      <c r="AD238" s="7" t="n">
        <f aca="false">T238*U238*(1-W238)</f>
        <v>24376.68</v>
      </c>
      <c r="AE238" s="7" t="n">
        <f aca="false">AD238-Z238</f>
        <v>5843.29</v>
      </c>
      <c r="AF238" s="8" t="n">
        <f aca="false">IF(AD238=0,0,AE238/AD238)</f>
        <v>0.23970819652225</v>
      </c>
      <c r="AG238" s="3" t="str">
        <f aca="false">IF(ABS(Y238-AD238)&gt;1,"Mismatch","OK")</f>
        <v>OK</v>
      </c>
      <c r="AH238" s="3" t="str">
        <f aca="false">IF(ABS(AA238-AE238)&gt;1,"Mismatch","OK")</f>
        <v>OK</v>
      </c>
      <c r="AI238" s="6" t="n">
        <f aca="false">IF(B238="","",MONTH(B238))</f>
        <v>10</v>
      </c>
      <c r="AJ238" s="6" t="n">
        <f aca="false">IF(B238="","",YEAR(B238))</f>
        <v>2024</v>
      </c>
      <c r="AK238" s="3" t="str">
        <f aca="false">IF(COUNTIF(raw_data!$A$2:$A$913,A238)&gt;1,"Conflicting Duplicate - Flagged for Review","Unique")</f>
        <v>Unique</v>
      </c>
      <c r="AL238" s="3" t="str">
        <f aca="false">IF(AB238="Refunded","Yes","No")</f>
        <v>No</v>
      </c>
      <c r="AM238" s="3" t="str">
        <f aca="false">IF(OR(AC238&lt;&gt;"Completed",AB238="Failed"),"Excluded","Included")</f>
        <v>Included</v>
      </c>
      <c r="AN238" s="3" t="str">
        <f aca="false">IF(OR(D238="Invalid/Unrecognized",E238="Invalid/Unrecognized",G238="Invalid - Ship Before Order",X238="Negative - Invalid",X238="Above Allowed Range - Invalid",AG238="Mismatch",AH238="Mismatch",AK238="Conflicting Duplicate - Flagged for Review"),"Invalid",IF(OR(L238="Filled - Unknown",S238="Filled - Unknown",X238="Missing - Defaulted to 0",AL238="Yes",AC238="Cancelled",AC238="Returned"),"Warning","Clean"))</f>
        <v>Clean</v>
      </c>
    </row>
    <row r="239" customFormat="false" ht="15" hidden="false" customHeight="false" outlineLevel="0" collapsed="false">
      <c r="A239" s="3" t="str">
        <f aca="false">raw_data!A239</f>
        <v>ORD-2024-10238</v>
      </c>
      <c r="B239" s="4" t="n">
        <f aca="false">IFERROR(IF(MID(raw_data!B239,3,1)="/",DATE(VALUE(RIGHT(raw_data!B239,4)),VALUE(LEFT(raw_data!B239,2)),VALUE(MID(raw_data!B239,4,2))),IF(MID(raw_data!B239,3,1)="-",DATE(VALUE(RIGHT(raw_data!B239,4)),VALUE(MID(raw_data!B239,4,2)),VALUE(LEFT(raw_data!B239,2))),IF(MID(raw_data!B239,5,1)="-",DATE(VALUE(LEFT(raw_data!B239,4)),VALUE(MID(raw_data!B239,6,2)),VALUE(RIGHT(raw_data!B239,2))),DATE(VALUE(RIGHT(raw_data!B239,4)),MATCH(MID(raw_data!B239,4,3),{"Jan","Feb","Mar","Apr","May","Jun","Jul","Aug","Sep","Oct","Nov","Dec"},0),VALUE(LEFT(raw_data!B239,2)))))),"")</f>
        <v>45531</v>
      </c>
      <c r="C239" s="4" t="n">
        <f aca="false">IFERROR(IF(MID(raw_data!C239,3,1)="/",DATE(VALUE(RIGHT(raw_data!C239,4)),VALUE(LEFT(raw_data!C239,2)),VALUE(MID(raw_data!C239,4,2))),IF(MID(raw_data!C239,3,1)="-",DATE(VALUE(RIGHT(raw_data!C239,4)),VALUE(MID(raw_data!C239,4,2)),VALUE(LEFT(raw_data!C239,2))),IF(MID(raw_data!C239,5,1)="-",DATE(VALUE(LEFT(raw_data!C239,4)),VALUE(MID(raw_data!C239,6,2)),VALUE(RIGHT(raw_data!C239,2))),DATE(VALUE(RIGHT(raw_data!C239,4)),MATCH(MID(raw_data!C239,4,3),{"Jan","Feb","Mar","Apr","May","Jun","Jul","Aug","Sep","Oct","Nov","Dec"},0),VALUE(LEFT(raw_data!C239,2)))))),"")</f>
        <v>45531</v>
      </c>
      <c r="D239" s="3" t="str">
        <f aca="false">IF(TRIM(raw_data!B239)="","Missing",IF(B239="","Invalid/Unrecognized","Valid"))</f>
        <v>Valid</v>
      </c>
      <c r="E239" s="3" t="str">
        <f aca="false">IF(TRIM(raw_data!C239)="","Missing",IF(C239="","Invalid/Unrecognized","Valid"))</f>
        <v>Valid</v>
      </c>
      <c r="F239" s="5" t="n">
        <f aca="false">IF(OR(B239="",C239=""),"",C239-B239)</f>
        <v>0</v>
      </c>
      <c r="G239" s="3" t="str">
        <f aca="false">IF(F239="","N/A",IF(F239&lt;0,"Invalid - Ship Before Order","OK"))</f>
        <v>OK</v>
      </c>
      <c r="H239" s="3" t="str">
        <f aca="false">raw_data!D239</f>
        <v>CUST-3827</v>
      </c>
      <c r="I239" s="3" t="str">
        <f aca="false">PROPER(TRIM(raw_data!E239))</f>
        <v>Mira Das</v>
      </c>
      <c r="J239" s="3" t="str">
        <f aca="false">PROPER(TRIM(raw_data!F239))</f>
        <v>Consumer</v>
      </c>
      <c r="K239" s="3" t="str">
        <f aca="false">IF(TRIM(raw_data!G239)="","Unknown",PROPER(TRIM(raw_data!G239)))</f>
        <v>North</v>
      </c>
      <c r="L239" s="3" t="str">
        <f aca="false">IF(TRIM(raw_data!G239)="","Filled - Unknown","OK")</f>
        <v>OK</v>
      </c>
      <c r="M239" s="3" t="str">
        <f aca="false">PROPER(TRIM(raw_data!H239))</f>
        <v>Haryana</v>
      </c>
      <c r="N239" s="3" t="str">
        <f aca="false">PROPER(TRIM(raw_data!I239))</f>
        <v>Gurugram</v>
      </c>
      <c r="O239" s="3" t="str">
        <f aca="false">PROPER(TRIM(raw_data!J239))</f>
        <v>Technology</v>
      </c>
      <c r="P239" s="3" t="str">
        <f aca="false">PROPER(TRIM(raw_data!K239))</f>
        <v>Copiers</v>
      </c>
      <c r="Q239" s="3" t="str">
        <f aca="false">TRIM(raw_data!L239)</f>
        <v>Smart Copiers 471</v>
      </c>
      <c r="R239" s="3" t="str">
        <f aca="false">IF(TRIM(raw_data!M239)="","Unknown",PROPER(TRIM(raw_data!M239)))</f>
        <v>Standard Class</v>
      </c>
      <c r="S239" s="3" t="str">
        <f aca="false">IF(TRIM(raw_data!M239)="","Filled - Unknown","OK")</f>
        <v>OK</v>
      </c>
      <c r="T239" s="6" t="n">
        <f aca="false">raw_data!N239</f>
        <v>9</v>
      </c>
      <c r="U239" s="7" t="n">
        <f aca="false">raw_data!O239</f>
        <v>2330.3</v>
      </c>
      <c r="V239" s="8" t="n">
        <f aca="false">raw_data!P239</f>
        <v>0</v>
      </c>
      <c r="W239" s="8" t="n">
        <f aca="false">IF(raw_data!P239="",0,IF(ISTEXT(raw_data!P239),IF(RIGHT(raw_data!P239,1)="%",VALUE(LEFT(raw_data!P239,LEN(raw_data!P239)-1))/100,VALUE(raw_data!P239)),raw_data!P239))</f>
        <v>0</v>
      </c>
      <c r="X239" s="3" t="str">
        <f aca="false">IF(raw_data!P239="","Missing - Defaulted to 0",IF(W239&lt;0,"Negative - Invalid",IF(W239&gt;0.3,"Above Allowed Range - Invalid","Valid")))</f>
        <v>Valid</v>
      </c>
      <c r="Y239" s="7" t="n">
        <f aca="false">raw_data!Q239</f>
        <v>20972.7</v>
      </c>
      <c r="Z239" s="7" t="n">
        <f aca="false">raw_data!R239</f>
        <v>13504.88</v>
      </c>
      <c r="AA239" s="7" t="n">
        <f aca="false">raw_data!S239</f>
        <v>7467.82</v>
      </c>
      <c r="AB239" s="3" t="str">
        <f aca="false">PROPER(TRIM(raw_data!T239))</f>
        <v>Paid</v>
      </c>
      <c r="AC239" s="3" t="str">
        <f aca="false">PROPER(TRIM(raw_data!U239))</f>
        <v>Completed</v>
      </c>
      <c r="AD239" s="7" t="n">
        <f aca="false">T239*U239*(1-W239)</f>
        <v>20972.7</v>
      </c>
      <c r="AE239" s="7" t="n">
        <f aca="false">AD239-Z239</f>
        <v>7467.82</v>
      </c>
      <c r="AF239" s="8" t="n">
        <f aca="false">IF(AD239=0,0,AE239/AD239)</f>
        <v>0.356073371573522</v>
      </c>
      <c r="AG239" s="3" t="str">
        <f aca="false">IF(ABS(Y239-AD239)&gt;1,"Mismatch","OK")</f>
        <v>OK</v>
      </c>
      <c r="AH239" s="3" t="str">
        <f aca="false">IF(ABS(AA239-AE239)&gt;1,"Mismatch","OK")</f>
        <v>OK</v>
      </c>
      <c r="AI239" s="6" t="n">
        <f aca="false">IF(B239="","",MONTH(B239))</f>
        <v>8</v>
      </c>
      <c r="AJ239" s="6" t="n">
        <f aca="false">IF(B239="","",YEAR(B239))</f>
        <v>2024</v>
      </c>
      <c r="AK239" s="3" t="str">
        <f aca="false">IF(COUNTIF(raw_data!$A$2:$A$913,A239)&gt;1,"Conflicting Duplicate - Flagged for Review","Unique")</f>
        <v>Unique</v>
      </c>
      <c r="AL239" s="3" t="str">
        <f aca="false">IF(AB239="Refunded","Yes","No")</f>
        <v>No</v>
      </c>
      <c r="AM239" s="3" t="str">
        <f aca="false">IF(OR(AC239&lt;&gt;"Completed",AB239="Failed"),"Excluded","Included")</f>
        <v>Included</v>
      </c>
      <c r="AN239" s="3" t="str">
        <f aca="false">IF(OR(D239="Invalid/Unrecognized",E239="Invalid/Unrecognized",G239="Invalid - Ship Before Order",X239="Negative - Invalid",X239="Above Allowed Range - Invalid",AG239="Mismatch",AH239="Mismatch",AK239="Conflicting Duplicate - Flagged for Review"),"Invalid",IF(OR(L239="Filled - Unknown",S239="Filled - Unknown",X239="Missing - Defaulted to 0",AL239="Yes",AC239="Cancelled",AC239="Returned"),"Warning","Clean"))</f>
        <v>Clean</v>
      </c>
    </row>
    <row r="240" customFormat="false" ht="15" hidden="false" customHeight="false" outlineLevel="0" collapsed="false">
      <c r="A240" s="3" t="str">
        <f aca="false">raw_data!A240</f>
        <v>ORD-2024-10239</v>
      </c>
      <c r="B240" s="4" t="n">
        <f aca="false">IFERROR(IF(MID(raw_data!B240,3,1)="/",DATE(VALUE(RIGHT(raw_data!B240,4)),VALUE(LEFT(raw_data!B240,2)),VALUE(MID(raw_data!B240,4,2))),IF(MID(raw_data!B240,3,1)="-",DATE(VALUE(RIGHT(raw_data!B240,4)),VALUE(MID(raw_data!B240,4,2)),VALUE(LEFT(raw_data!B240,2))),IF(MID(raw_data!B240,5,1)="-",DATE(VALUE(LEFT(raw_data!B240,4)),VALUE(MID(raw_data!B240,6,2)),VALUE(RIGHT(raw_data!B240,2))),DATE(VALUE(RIGHT(raw_data!B240,4)),MATCH(MID(raw_data!B240,4,3),{"Jan","Feb","Mar","Apr","May","Jun","Jul","Aug","Sep","Oct","Nov","Dec"},0),VALUE(LEFT(raw_data!B240,2)))))),"")</f>
        <v>45303</v>
      </c>
      <c r="C240" s="4" t="n">
        <f aca="false">IFERROR(IF(MID(raw_data!C240,3,1)="/",DATE(VALUE(RIGHT(raw_data!C240,4)),VALUE(LEFT(raw_data!C240,2)),VALUE(MID(raw_data!C240,4,2))),IF(MID(raw_data!C240,3,1)="-",DATE(VALUE(RIGHT(raw_data!C240,4)),VALUE(MID(raw_data!C240,4,2)),VALUE(LEFT(raw_data!C240,2))),IF(MID(raw_data!C240,5,1)="-",DATE(VALUE(LEFT(raw_data!C240,4)),VALUE(MID(raw_data!C240,6,2)),VALUE(RIGHT(raw_data!C240,2))),DATE(VALUE(RIGHT(raw_data!C240,4)),MATCH(MID(raw_data!C240,4,3),{"Jan","Feb","Mar","Apr","May","Jun","Jul","Aug","Sep","Oct","Nov","Dec"},0),VALUE(LEFT(raw_data!C240,2)))))),"")</f>
        <v>45308</v>
      </c>
      <c r="D240" s="3" t="str">
        <f aca="false">IF(TRIM(raw_data!B240)="","Missing",IF(B240="","Invalid/Unrecognized","Valid"))</f>
        <v>Valid</v>
      </c>
      <c r="E240" s="3" t="str">
        <f aca="false">IF(TRIM(raw_data!C240)="","Missing",IF(C240="","Invalid/Unrecognized","Valid"))</f>
        <v>Valid</v>
      </c>
      <c r="F240" s="5" t="n">
        <f aca="false">IF(OR(B240="",C240=""),"",C240-B240)</f>
        <v>5</v>
      </c>
      <c r="G240" s="3" t="str">
        <f aca="false">IF(F240="","N/A",IF(F240&lt;0,"Invalid - Ship Before Order","OK"))</f>
        <v>OK</v>
      </c>
      <c r="H240" s="3" t="str">
        <f aca="false">raw_data!D240</f>
        <v>CUST-2375</v>
      </c>
      <c r="I240" s="3" t="str">
        <f aca="false">PROPER(TRIM(raw_data!E240))</f>
        <v>Arjun Bose</v>
      </c>
      <c r="J240" s="3" t="str">
        <f aca="false">PROPER(TRIM(raw_data!F240))</f>
        <v>Consumer</v>
      </c>
      <c r="K240" s="3" t="str">
        <f aca="false">IF(TRIM(raw_data!G240)="","Unknown",PROPER(TRIM(raw_data!G240)))</f>
        <v>South</v>
      </c>
      <c r="L240" s="3" t="str">
        <f aca="false">IF(TRIM(raw_data!G240)="","Filled - Unknown","OK")</f>
        <v>OK</v>
      </c>
      <c r="M240" s="3" t="str">
        <f aca="false">PROPER(TRIM(raw_data!H240))</f>
        <v>Andhra Pradesh</v>
      </c>
      <c r="N240" s="3" t="str">
        <f aca="false">PROPER(TRIM(raw_data!I240))</f>
        <v>Vijayawada</v>
      </c>
      <c r="O240" s="3" t="str">
        <f aca="false">PROPER(TRIM(raw_data!J240))</f>
        <v>Office Supplies</v>
      </c>
      <c r="P240" s="3" t="str">
        <f aca="false">PROPER(TRIM(raw_data!K240))</f>
        <v>Storage</v>
      </c>
      <c r="Q240" s="3" t="str">
        <f aca="false">TRIM(raw_data!L240)</f>
        <v>Prime Storage 625</v>
      </c>
      <c r="R240" s="3" t="str">
        <f aca="false">IF(TRIM(raw_data!M240)="","Unknown",PROPER(TRIM(raw_data!M240)))</f>
        <v>First Class</v>
      </c>
      <c r="S240" s="3" t="str">
        <f aca="false">IF(TRIM(raw_data!M240)="","Filled - Unknown","OK")</f>
        <v>OK</v>
      </c>
      <c r="T240" s="6" t="n">
        <f aca="false">raw_data!N240</f>
        <v>7</v>
      </c>
      <c r="U240" s="7" t="n">
        <f aca="false">raw_data!O240</f>
        <v>4005.05</v>
      </c>
      <c r="V240" s="8" t="n">
        <f aca="false">raw_data!P240</f>
        <v>0.55</v>
      </c>
      <c r="W240" s="8" t="n">
        <f aca="false">IF(raw_data!P240="",0,IF(ISTEXT(raw_data!P240),IF(RIGHT(raw_data!P240,1)="%",VALUE(LEFT(raw_data!P240,LEN(raw_data!P240)-1))/100,VALUE(raw_data!P240)),raw_data!P240))</f>
        <v>0.55</v>
      </c>
      <c r="X240" s="3" t="str">
        <f aca="false">IF(raw_data!P240="","Missing - Defaulted to 0",IF(W240&lt;0,"Negative - Invalid",IF(W240&gt;0.3,"Above Allowed Range - Invalid","Valid")))</f>
        <v>Above Allowed Range - Invalid</v>
      </c>
      <c r="Y240" s="7" t="n">
        <f aca="false">raw_data!Q240</f>
        <v>26633.58</v>
      </c>
      <c r="Z240" s="7" t="n">
        <f aca="false">raw_data!R240</f>
        <v>18838.75</v>
      </c>
      <c r="AA240" s="7" t="n">
        <f aca="false">raw_data!S240</f>
        <v>7794.83</v>
      </c>
      <c r="AB240" s="3" t="str">
        <f aca="false">PROPER(TRIM(raw_data!T240))</f>
        <v>Paid</v>
      </c>
      <c r="AC240" s="3" t="str">
        <f aca="false">PROPER(TRIM(raw_data!U240))</f>
        <v>Completed</v>
      </c>
      <c r="AD240" s="7" t="n">
        <f aca="false">T240*U240*(1-W240)</f>
        <v>12615.9075</v>
      </c>
      <c r="AE240" s="7" t="n">
        <f aca="false">AD240-Z240</f>
        <v>-6222.8425</v>
      </c>
      <c r="AF240" s="8" t="n">
        <f aca="false">IF(AD240=0,0,AE240/AD240)</f>
        <v>-0.493253656148002</v>
      </c>
      <c r="AG240" s="3" t="str">
        <f aca="false">IF(ABS(Y240-AD240)&gt;1,"Mismatch","OK")</f>
        <v>Mismatch</v>
      </c>
      <c r="AH240" s="3" t="str">
        <f aca="false">IF(ABS(AA240-AE240)&gt;1,"Mismatch","OK")</f>
        <v>Mismatch</v>
      </c>
      <c r="AI240" s="6" t="n">
        <f aca="false">IF(B240="","",MONTH(B240))</f>
        <v>1</v>
      </c>
      <c r="AJ240" s="6" t="n">
        <f aca="false">IF(B240="","",YEAR(B240))</f>
        <v>2024</v>
      </c>
      <c r="AK240" s="3" t="str">
        <f aca="false">IF(COUNTIF(raw_data!$A$2:$A$913,A240)&gt;1,"Conflicting Duplicate - Flagged for Review","Unique")</f>
        <v>Unique</v>
      </c>
      <c r="AL240" s="3" t="str">
        <f aca="false">IF(AB240="Refunded","Yes","No")</f>
        <v>No</v>
      </c>
      <c r="AM240" s="3" t="str">
        <f aca="false">IF(OR(AC240&lt;&gt;"Completed",AB240="Failed"),"Excluded","Included")</f>
        <v>Included</v>
      </c>
      <c r="AN240" s="3" t="str">
        <f aca="false">IF(OR(D240="Invalid/Unrecognized",E240="Invalid/Unrecognized",G240="Invalid - Ship Before Order",X240="Negative - Invalid",X240="Above Allowed Range - Invalid",AG240="Mismatch",AH240="Mismatch",AK240="Conflicting Duplicate - Flagged for Review"),"Invalid",IF(OR(L240="Filled - Unknown",S240="Filled - Unknown",X240="Missing - Defaulted to 0",AL240="Yes",AC240="Cancelled",AC240="Returned"),"Warning","Clean"))</f>
        <v>Invalid</v>
      </c>
    </row>
    <row r="241" customFormat="false" ht="15" hidden="false" customHeight="false" outlineLevel="0" collapsed="false">
      <c r="A241" s="3" t="str">
        <f aca="false">raw_data!A241</f>
        <v>ORD-2024-10240</v>
      </c>
      <c r="B241" s="4" t="n">
        <f aca="false">IFERROR(IF(MID(raw_data!B241,3,1)="/",DATE(VALUE(RIGHT(raw_data!B241,4)),VALUE(LEFT(raw_data!B241,2)),VALUE(MID(raw_data!B241,4,2))),IF(MID(raw_data!B241,3,1)="-",DATE(VALUE(RIGHT(raw_data!B241,4)),VALUE(MID(raw_data!B241,4,2)),VALUE(LEFT(raw_data!B241,2))),IF(MID(raw_data!B241,5,1)="-",DATE(VALUE(LEFT(raw_data!B241,4)),VALUE(MID(raw_data!B241,6,2)),VALUE(RIGHT(raw_data!B241,2))),DATE(VALUE(RIGHT(raw_data!B241,4)),MATCH(MID(raw_data!B241,4,3),{"Jan","Feb","Mar","Apr","May","Jun","Jul","Aug","Sep","Oct","Nov","Dec"},0),VALUE(LEFT(raw_data!B241,2)))))),"")</f>
        <v>45556</v>
      </c>
      <c r="C241" s="4" t="n">
        <f aca="false">IFERROR(IF(MID(raw_data!C241,3,1)="/",DATE(VALUE(RIGHT(raw_data!C241,4)),VALUE(LEFT(raw_data!C241,2)),VALUE(MID(raw_data!C241,4,2))),IF(MID(raw_data!C241,3,1)="-",DATE(VALUE(RIGHT(raw_data!C241,4)),VALUE(MID(raw_data!C241,4,2)),VALUE(LEFT(raw_data!C241,2))),IF(MID(raw_data!C241,5,1)="-",DATE(VALUE(LEFT(raw_data!C241,4)),VALUE(MID(raw_data!C241,6,2)),VALUE(RIGHT(raw_data!C241,2))),DATE(VALUE(RIGHT(raw_data!C241,4)),MATCH(MID(raw_data!C241,4,3),{"Jan","Feb","Mar","Apr","May","Jun","Jul","Aug","Sep","Oct","Nov","Dec"},0),VALUE(LEFT(raw_data!C241,2)))))),"")</f>
        <v>45556</v>
      </c>
      <c r="D241" s="3" t="str">
        <f aca="false">IF(TRIM(raw_data!B241)="","Missing",IF(B241="","Invalid/Unrecognized","Valid"))</f>
        <v>Valid</v>
      </c>
      <c r="E241" s="3" t="str">
        <f aca="false">IF(TRIM(raw_data!C241)="","Missing",IF(C241="","Invalid/Unrecognized","Valid"))</f>
        <v>Valid</v>
      </c>
      <c r="F241" s="5" t="n">
        <f aca="false">IF(OR(B241="",C241=""),"",C241-B241)</f>
        <v>0</v>
      </c>
      <c r="G241" s="3" t="str">
        <f aca="false">IF(F241="","N/A",IF(F241&lt;0,"Invalid - Ship Before Order","OK"))</f>
        <v>OK</v>
      </c>
      <c r="H241" s="3" t="str">
        <f aca="false">raw_data!D241</f>
        <v>CUST-2233</v>
      </c>
      <c r="I241" s="3" t="str">
        <f aca="false">PROPER(TRIM(raw_data!E241))</f>
        <v>Kabir Singh</v>
      </c>
      <c r="J241" s="3" t="str">
        <f aca="false">PROPER(TRIM(raw_data!F241))</f>
        <v>Corporate</v>
      </c>
      <c r="K241" s="3" t="str">
        <f aca="false">IF(TRIM(raw_data!G241)="","Unknown",PROPER(TRIM(raw_data!G241)))</f>
        <v>South</v>
      </c>
      <c r="L241" s="3" t="str">
        <f aca="false">IF(TRIM(raw_data!G241)="","Filled - Unknown","OK")</f>
        <v>OK</v>
      </c>
      <c r="M241" s="3" t="str">
        <f aca="false">PROPER(TRIM(raw_data!H241))</f>
        <v>Karnataka</v>
      </c>
      <c r="N241" s="3" t="str">
        <f aca="false">PROPER(TRIM(raw_data!I241))</f>
        <v>Bengaluru</v>
      </c>
      <c r="O241" s="3" t="str">
        <f aca="false">PROPER(TRIM(raw_data!J241))</f>
        <v>Technology</v>
      </c>
      <c r="P241" s="3" t="str">
        <f aca="false">PROPER(TRIM(raw_data!K241))</f>
        <v>Machines</v>
      </c>
      <c r="Q241" s="3" t="str">
        <f aca="false">TRIM(raw_data!L241)</f>
        <v>Smart Machines 801</v>
      </c>
      <c r="R241" s="3" t="str">
        <f aca="false">IF(TRIM(raw_data!M241)="","Unknown",PROPER(TRIM(raw_data!M241)))</f>
        <v>First Class</v>
      </c>
      <c r="S241" s="3" t="str">
        <f aca="false">IF(TRIM(raw_data!M241)="","Filled - Unknown","OK")</f>
        <v>OK</v>
      </c>
      <c r="T241" s="6" t="n">
        <f aca="false">raw_data!N241</f>
        <v>2</v>
      </c>
      <c r="U241" s="7" t="n">
        <f aca="false">raw_data!O241</f>
        <v>1960.06</v>
      </c>
      <c r="V241" s="8" t="n">
        <f aca="false">raw_data!P241</f>
        <v>0.2</v>
      </c>
      <c r="W241" s="8" t="n">
        <f aca="false">IF(raw_data!P241="",0,IF(ISTEXT(raw_data!P241),IF(RIGHT(raw_data!P241,1)="%",VALUE(LEFT(raw_data!P241,LEN(raw_data!P241)-1))/100,VALUE(raw_data!P241)),raw_data!P241))</f>
        <v>0.2</v>
      </c>
      <c r="X241" s="3" t="str">
        <f aca="false">IF(raw_data!P241="","Missing - Defaulted to 0",IF(W241&lt;0,"Negative - Invalid",IF(W241&gt;0.3,"Above Allowed Range - Invalid","Valid")))</f>
        <v>Valid</v>
      </c>
      <c r="Y241" s="7" t="n">
        <f aca="false">raw_data!Q241</f>
        <v>3136.1</v>
      </c>
      <c r="Z241" s="7" t="n">
        <f aca="false">raw_data!R241</f>
        <v>2279.49</v>
      </c>
      <c r="AA241" s="7" t="n">
        <f aca="false">raw_data!S241</f>
        <v>856.61</v>
      </c>
      <c r="AB241" s="3" t="str">
        <f aca="false">PROPER(TRIM(raw_data!T241))</f>
        <v>Paid</v>
      </c>
      <c r="AC241" s="3" t="str">
        <f aca="false">PROPER(TRIM(raw_data!U241))</f>
        <v>Completed</v>
      </c>
      <c r="AD241" s="7" t="n">
        <f aca="false">T241*U241*(1-W241)</f>
        <v>3136.096</v>
      </c>
      <c r="AE241" s="7" t="n">
        <f aca="false">AD241-Z241</f>
        <v>856.606</v>
      </c>
      <c r="AF241" s="8" t="n">
        <f aca="false">IF(AD241=0,0,AE241/AD241)</f>
        <v>0.273144061916472</v>
      </c>
      <c r="AG241" s="3" t="str">
        <f aca="false">IF(ABS(Y241-AD241)&gt;1,"Mismatch","OK")</f>
        <v>OK</v>
      </c>
      <c r="AH241" s="3" t="str">
        <f aca="false">IF(ABS(AA241-AE241)&gt;1,"Mismatch","OK")</f>
        <v>OK</v>
      </c>
      <c r="AI241" s="6" t="n">
        <f aca="false">IF(B241="","",MONTH(B241))</f>
        <v>9</v>
      </c>
      <c r="AJ241" s="6" t="n">
        <f aca="false">IF(B241="","",YEAR(B241))</f>
        <v>2024</v>
      </c>
      <c r="AK241" s="3" t="str">
        <f aca="false">IF(COUNTIF(raw_data!$A$2:$A$913,A241)&gt;1,"Conflicting Duplicate - Flagged for Review","Unique")</f>
        <v>Unique</v>
      </c>
      <c r="AL241" s="3" t="str">
        <f aca="false">IF(AB241="Refunded","Yes","No")</f>
        <v>No</v>
      </c>
      <c r="AM241" s="3" t="str">
        <f aca="false">IF(OR(AC241&lt;&gt;"Completed",AB241="Failed"),"Excluded","Included")</f>
        <v>Included</v>
      </c>
      <c r="AN241" s="3" t="str">
        <f aca="false">IF(OR(D241="Invalid/Unrecognized",E241="Invalid/Unrecognized",G241="Invalid - Ship Before Order",X241="Negative - Invalid",X241="Above Allowed Range - Invalid",AG241="Mismatch",AH241="Mismatch",AK241="Conflicting Duplicate - Flagged for Review"),"Invalid",IF(OR(L241="Filled - Unknown",S241="Filled - Unknown",X241="Missing - Defaulted to 0",AL241="Yes",AC241="Cancelled",AC241="Returned"),"Warning","Clean"))</f>
        <v>Clean</v>
      </c>
    </row>
    <row r="242" customFormat="false" ht="15" hidden="false" customHeight="false" outlineLevel="0" collapsed="false">
      <c r="A242" s="3" t="str">
        <f aca="false">raw_data!A242</f>
        <v>ORD-2024-10241</v>
      </c>
      <c r="B242" s="4" t="n">
        <f aca="false">IFERROR(IF(MID(raw_data!B242,3,1)="/",DATE(VALUE(RIGHT(raw_data!B242,4)),VALUE(LEFT(raw_data!B242,2)),VALUE(MID(raw_data!B242,4,2))),IF(MID(raw_data!B242,3,1)="-",DATE(VALUE(RIGHT(raw_data!B242,4)),VALUE(MID(raw_data!B242,4,2)),VALUE(LEFT(raw_data!B242,2))),IF(MID(raw_data!B242,5,1)="-",DATE(VALUE(LEFT(raw_data!B242,4)),VALUE(MID(raw_data!B242,6,2)),VALUE(RIGHT(raw_data!B242,2))),DATE(VALUE(RIGHT(raw_data!B242,4)),MATCH(MID(raw_data!B242,4,3),{"Jan","Feb","Mar","Apr","May","Jun","Jul","Aug","Sep","Oct","Nov","Dec"},0),VALUE(LEFT(raw_data!B242,2)))))),"")</f>
        <v>45643</v>
      </c>
      <c r="C242" s="4" t="n">
        <f aca="false">IFERROR(IF(MID(raw_data!C242,3,1)="/",DATE(VALUE(RIGHT(raw_data!C242,4)),VALUE(LEFT(raw_data!C242,2)),VALUE(MID(raw_data!C242,4,2))),IF(MID(raw_data!C242,3,1)="-",DATE(VALUE(RIGHT(raw_data!C242,4)),VALUE(MID(raw_data!C242,4,2)),VALUE(LEFT(raw_data!C242,2))),IF(MID(raw_data!C242,5,1)="-",DATE(VALUE(LEFT(raw_data!C242,4)),VALUE(MID(raw_data!C242,6,2)),VALUE(RIGHT(raw_data!C242,2))),DATE(VALUE(RIGHT(raw_data!C242,4)),MATCH(MID(raw_data!C242,4,3),{"Jan","Feb","Mar","Apr","May","Jun","Jul","Aug","Sep","Oct","Nov","Dec"},0),VALUE(LEFT(raw_data!C242,2)))))),"")</f>
        <v>45649</v>
      </c>
      <c r="D242" s="3" t="str">
        <f aca="false">IF(TRIM(raw_data!B242)="","Missing",IF(B242="","Invalid/Unrecognized","Valid"))</f>
        <v>Valid</v>
      </c>
      <c r="E242" s="3" t="str">
        <f aca="false">IF(TRIM(raw_data!C242)="","Missing",IF(C242="","Invalid/Unrecognized","Valid"))</f>
        <v>Valid</v>
      </c>
      <c r="F242" s="5" t="n">
        <f aca="false">IF(OR(B242="",C242=""),"",C242-B242)</f>
        <v>6</v>
      </c>
      <c r="G242" s="3" t="str">
        <f aca="false">IF(F242="","N/A",IF(F242&lt;0,"Invalid - Ship Before Order","OK"))</f>
        <v>OK</v>
      </c>
      <c r="H242" s="3" t="str">
        <f aca="false">raw_data!D242</f>
        <v>CUST-9778</v>
      </c>
      <c r="I242" s="3" t="str">
        <f aca="false">PROPER(TRIM(raw_data!E242))</f>
        <v>Aarav Sharma</v>
      </c>
      <c r="J242" s="3" t="str">
        <f aca="false">PROPER(TRIM(raw_data!F242))</f>
        <v>Corporate</v>
      </c>
      <c r="K242" s="3" t="str">
        <f aca="false">IF(TRIM(raw_data!G242)="","Unknown",PROPER(TRIM(raw_data!G242)))</f>
        <v>South</v>
      </c>
      <c r="L242" s="3" t="str">
        <f aca="false">IF(TRIM(raw_data!G242)="","Filled - Unknown","OK")</f>
        <v>OK</v>
      </c>
      <c r="M242" s="3" t="str">
        <f aca="false">PROPER(TRIM(raw_data!H242))</f>
        <v>Telangana</v>
      </c>
      <c r="N242" s="3" t="str">
        <f aca="false">PROPER(TRIM(raw_data!I242))</f>
        <v>Hyderabad</v>
      </c>
      <c r="O242" s="3" t="str">
        <f aca="false">PROPER(TRIM(raw_data!J242))</f>
        <v>Office Supplies</v>
      </c>
      <c r="P242" s="3" t="str">
        <f aca="false">PROPER(TRIM(raw_data!K242))</f>
        <v>Binders</v>
      </c>
      <c r="Q242" s="3" t="str">
        <f aca="false">TRIM(raw_data!L242)</f>
        <v>Max Binders 170</v>
      </c>
      <c r="R242" s="3" t="str">
        <f aca="false">IF(TRIM(raw_data!M242)="","Unknown",PROPER(TRIM(raw_data!M242)))</f>
        <v>First Class</v>
      </c>
      <c r="S242" s="3" t="str">
        <f aca="false">IF(TRIM(raw_data!M242)="","Filled - Unknown","OK")</f>
        <v>OK</v>
      </c>
      <c r="T242" s="6" t="n">
        <f aca="false">raw_data!N242</f>
        <v>9</v>
      </c>
      <c r="U242" s="7" t="n">
        <f aca="false">raw_data!O242</f>
        <v>2315.1</v>
      </c>
      <c r="V242" s="8" t="n">
        <f aca="false">raw_data!P242</f>
        <v>0</v>
      </c>
      <c r="W242" s="8" t="n">
        <f aca="false">IF(raw_data!P242="",0,IF(ISTEXT(raw_data!P242),IF(RIGHT(raw_data!P242,1)="%",VALUE(LEFT(raw_data!P242,LEN(raw_data!P242)-1))/100,VALUE(raw_data!P242)),raw_data!P242))</f>
        <v>0</v>
      </c>
      <c r="X242" s="3" t="str">
        <f aca="false">IF(raw_data!P242="","Missing - Defaulted to 0",IF(W242&lt;0,"Negative - Invalid",IF(W242&gt;0.3,"Above Allowed Range - Invalid","Valid")))</f>
        <v>Valid</v>
      </c>
      <c r="Y242" s="7" t="n">
        <f aca="false">raw_data!Q242</f>
        <v>20835.9</v>
      </c>
      <c r="Z242" s="7" t="n">
        <f aca="false">raw_data!R242</f>
        <v>13928.19</v>
      </c>
      <c r="AA242" s="7" t="n">
        <f aca="false">raw_data!S242</f>
        <v>6907.71</v>
      </c>
      <c r="AB242" s="3" t="str">
        <f aca="false">PROPER(TRIM(raw_data!T242))</f>
        <v>Paid</v>
      </c>
      <c r="AC242" s="3" t="str">
        <f aca="false">PROPER(TRIM(raw_data!U242))</f>
        <v>Completed</v>
      </c>
      <c r="AD242" s="7" t="n">
        <f aca="false">T242*U242*(1-W242)</f>
        <v>20835.9</v>
      </c>
      <c r="AE242" s="7" t="n">
        <f aca="false">AD242-Z242</f>
        <v>6907.71</v>
      </c>
      <c r="AF242" s="8" t="n">
        <f aca="false">IF(AD242=0,0,AE242/AD242)</f>
        <v>0.331529235598174</v>
      </c>
      <c r="AG242" s="3" t="str">
        <f aca="false">IF(ABS(Y242-AD242)&gt;1,"Mismatch","OK")</f>
        <v>OK</v>
      </c>
      <c r="AH242" s="3" t="str">
        <f aca="false">IF(ABS(AA242-AE242)&gt;1,"Mismatch","OK")</f>
        <v>OK</v>
      </c>
      <c r="AI242" s="6" t="n">
        <f aca="false">IF(B242="","",MONTH(B242))</f>
        <v>12</v>
      </c>
      <c r="AJ242" s="6" t="n">
        <f aca="false">IF(B242="","",YEAR(B242))</f>
        <v>2024</v>
      </c>
      <c r="AK242" s="3" t="str">
        <f aca="false">IF(COUNTIF(raw_data!$A$2:$A$913,A242)&gt;1,"Conflicting Duplicate - Flagged for Review","Unique")</f>
        <v>Unique</v>
      </c>
      <c r="AL242" s="3" t="str">
        <f aca="false">IF(AB242="Refunded","Yes","No")</f>
        <v>No</v>
      </c>
      <c r="AM242" s="3" t="str">
        <f aca="false">IF(OR(AC242&lt;&gt;"Completed",AB242="Failed"),"Excluded","Included")</f>
        <v>Included</v>
      </c>
      <c r="AN242" s="3" t="str">
        <f aca="false">IF(OR(D242="Invalid/Unrecognized",E242="Invalid/Unrecognized",G242="Invalid - Ship Before Order",X242="Negative - Invalid",X242="Above Allowed Range - Invalid",AG242="Mismatch",AH242="Mismatch",AK242="Conflicting Duplicate - Flagged for Review"),"Invalid",IF(OR(L242="Filled - Unknown",S242="Filled - Unknown",X242="Missing - Defaulted to 0",AL242="Yes",AC242="Cancelled",AC242="Returned"),"Warning","Clean"))</f>
        <v>Clean</v>
      </c>
    </row>
    <row r="243" customFormat="false" ht="15" hidden="false" customHeight="false" outlineLevel="0" collapsed="false">
      <c r="A243" s="3" t="str">
        <f aca="false">raw_data!A243</f>
        <v>ORD-2025-10242</v>
      </c>
      <c r="B243" s="4" t="n">
        <f aca="false">IFERROR(IF(MID(raw_data!B243,3,1)="/",DATE(VALUE(RIGHT(raw_data!B243,4)),VALUE(LEFT(raw_data!B243,2)),VALUE(MID(raw_data!B243,4,2))),IF(MID(raw_data!B243,3,1)="-",DATE(VALUE(RIGHT(raw_data!B243,4)),VALUE(MID(raw_data!B243,4,2)),VALUE(LEFT(raw_data!B243,2))),IF(MID(raw_data!B243,5,1)="-",DATE(VALUE(LEFT(raw_data!B243,4)),VALUE(MID(raw_data!B243,6,2)),VALUE(RIGHT(raw_data!B243,2))),DATE(VALUE(RIGHT(raw_data!B243,4)),MATCH(MID(raw_data!B243,4,3),{"Jan","Feb","Mar","Apr","May","Jun","Jul","Aug","Sep","Oct","Nov","Dec"},0),VALUE(LEFT(raw_data!B243,2)))))),"")</f>
        <v>45844</v>
      </c>
      <c r="C243" s="4" t="n">
        <f aca="false">IFERROR(IF(MID(raw_data!C243,3,1)="/",DATE(VALUE(RIGHT(raw_data!C243,4)),VALUE(LEFT(raw_data!C243,2)),VALUE(MID(raw_data!C243,4,2))),IF(MID(raw_data!C243,3,1)="-",DATE(VALUE(RIGHT(raw_data!C243,4)),VALUE(MID(raw_data!C243,4,2)),VALUE(LEFT(raw_data!C243,2))),IF(MID(raw_data!C243,5,1)="-",DATE(VALUE(LEFT(raw_data!C243,4)),VALUE(MID(raw_data!C243,6,2)),VALUE(RIGHT(raw_data!C243,2))),DATE(VALUE(RIGHT(raw_data!C243,4)),MATCH(MID(raw_data!C243,4,3),{"Jan","Feb","Mar","Apr","May","Jun","Jul","Aug","Sep","Oct","Nov","Dec"},0),VALUE(LEFT(raw_data!C243,2)))))),"")</f>
        <v>45844</v>
      </c>
      <c r="D243" s="3" t="str">
        <f aca="false">IF(TRIM(raw_data!B243)="","Missing",IF(B243="","Invalid/Unrecognized","Valid"))</f>
        <v>Valid</v>
      </c>
      <c r="E243" s="3" t="str">
        <f aca="false">IF(TRIM(raw_data!C243)="","Missing",IF(C243="","Invalid/Unrecognized","Valid"))</f>
        <v>Valid</v>
      </c>
      <c r="F243" s="5" t="n">
        <f aca="false">IF(OR(B243="",C243=""),"",C243-B243)</f>
        <v>0</v>
      </c>
      <c r="G243" s="3" t="str">
        <f aca="false">IF(F243="","N/A",IF(F243&lt;0,"Invalid - Ship Before Order","OK"))</f>
        <v>OK</v>
      </c>
      <c r="H243" s="3" t="str">
        <f aca="false">raw_data!D243</f>
        <v>CUST-6949</v>
      </c>
      <c r="I243" s="3" t="str">
        <f aca="false">PROPER(TRIM(raw_data!E243))</f>
        <v>Sneha Kapoor</v>
      </c>
      <c r="J243" s="3" t="str">
        <f aca="false">PROPER(TRIM(raw_data!F243))</f>
        <v>Corporate</v>
      </c>
      <c r="K243" s="3" t="str">
        <f aca="false">IF(TRIM(raw_data!G243)="","Unknown",PROPER(TRIM(raw_data!G243)))</f>
        <v>North</v>
      </c>
      <c r="L243" s="3" t="str">
        <f aca="false">IF(TRIM(raw_data!G243)="","Filled - Unknown","OK")</f>
        <v>OK</v>
      </c>
      <c r="M243" s="3" t="str">
        <f aca="false">PROPER(TRIM(raw_data!H243))</f>
        <v>Haryana</v>
      </c>
      <c r="N243" s="3" t="str">
        <f aca="false">PROPER(TRIM(raw_data!I243))</f>
        <v>Gurugram</v>
      </c>
      <c r="O243" s="3" t="str">
        <f aca="false">PROPER(TRIM(raw_data!J243))</f>
        <v>Office Supplies</v>
      </c>
      <c r="P243" s="3" t="str">
        <f aca="false">PROPER(TRIM(raw_data!K243))</f>
        <v>Storage</v>
      </c>
      <c r="Q243" s="3" t="str">
        <f aca="false">TRIM(raw_data!L243)</f>
        <v>Basic Storage 737</v>
      </c>
      <c r="R243" s="3" t="str">
        <f aca="false">IF(TRIM(raw_data!M243)="","Unknown",PROPER(TRIM(raw_data!M243)))</f>
        <v>Standard Class</v>
      </c>
      <c r="S243" s="3" t="str">
        <f aca="false">IF(TRIM(raw_data!M243)="","Filled - Unknown","OK")</f>
        <v>OK</v>
      </c>
      <c r="T243" s="6" t="n">
        <f aca="false">raw_data!N243</f>
        <v>1</v>
      </c>
      <c r="U243" s="7" t="n">
        <f aca="false">raw_data!O243</f>
        <v>1617.2</v>
      </c>
      <c r="V243" s="8" t="n">
        <f aca="false">raw_data!P243</f>
        <v>0.25</v>
      </c>
      <c r="W243" s="8" t="n">
        <f aca="false">IF(raw_data!P243="",0,IF(ISTEXT(raw_data!P243),IF(RIGHT(raw_data!P243,1)="%",VALUE(LEFT(raw_data!P243,LEN(raw_data!P243)-1))/100,VALUE(raw_data!P243)),raw_data!P243))</f>
        <v>0.25</v>
      </c>
      <c r="X243" s="3" t="str">
        <f aca="false">IF(raw_data!P243="","Missing - Defaulted to 0",IF(W243&lt;0,"Negative - Invalid",IF(W243&gt;0.3,"Above Allowed Range - Invalid","Valid")))</f>
        <v>Valid</v>
      </c>
      <c r="Y243" s="7" t="n">
        <f aca="false">raw_data!Q243</f>
        <v>1212.9</v>
      </c>
      <c r="Z243" s="7" t="n">
        <f aca="false">raw_data!R243</f>
        <v>690.52</v>
      </c>
      <c r="AA243" s="7" t="n">
        <f aca="false">raw_data!S243</f>
        <v>522.38</v>
      </c>
      <c r="AB243" s="3" t="str">
        <f aca="false">PROPER(TRIM(raw_data!T243))</f>
        <v>Pending</v>
      </c>
      <c r="AC243" s="3" t="str">
        <f aca="false">PROPER(TRIM(raw_data!U243))</f>
        <v>Returned</v>
      </c>
      <c r="AD243" s="7" t="n">
        <f aca="false">T243*U243*(1-W243)</f>
        <v>1212.9</v>
      </c>
      <c r="AE243" s="7" t="n">
        <f aca="false">AD243-Z243</f>
        <v>522.38</v>
      </c>
      <c r="AF243" s="8" t="n">
        <f aca="false">IF(AD243=0,0,AE243/AD243)</f>
        <v>0.430686783741446</v>
      </c>
      <c r="AG243" s="3" t="str">
        <f aca="false">IF(ABS(Y243-AD243)&gt;1,"Mismatch","OK")</f>
        <v>OK</v>
      </c>
      <c r="AH243" s="3" t="str">
        <f aca="false">IF(ABS(AA243-AE243)&gt;1,"Mismatch","OK")</f>
        <v>OK</v>
      </c>
      <c r="AI243" s="6" t="n">
        <f aca="false">IF(B243="","",MONTH(B243))</f>
        <v>7</v>
      </c>
      <c r="AJ243" s="6" t="n">
        <f aca="false">IF(B243="","",YEAR(B243))</f>
        <v>2025</v>
      </c>
      <c r="AK243" s="3" t="str">
        <f aca="false">IF(COUNTIF(raw_data!$A$2:$A$913,A243)&gt;1,"Conflicting Duplicate - Flagged for Review","Unique")</f>
        <v>Unique</v>
      </c>
      <c r="AL243" s="3" t="str">
        <f aca="false">IF(AB243="Refunded","Yes","No")</f>
        <v>No</v>
      </c>
      <c r="AM243" s="3" t="str">
        <f aca="false">IF(OR(AC243&lt;&gt;"Completed",AB243="Failed"),"Excluded","Included")</f>
        <v>Excluded</v>
      </c>
      <c r="AN243" s="3" t="str">
        <f aca="false">IF(OR(D243="Invalid/Unrecognized",E243="Invalid/Unrecognized",G243="Invalid - Ship Before Order",X243="Negative - Invalid",X243="Above Allowed Range - Invalid",AG243="Mismatch",AH243="Mismatch",AK243="Conflicting Duplicate - Flagged for Review"),"Invalid",IF(OR(L243="Filled - Unknown",S243="Filled - Unknown",X243="Missing - Defaulted to 0",AL243="Yes",AC243="Cancelled",AC243="Returned"),"Warning","Clean"))</f>
        <v>Warning</v>
      </c>
    </row>
    <row r="244" customFormat="false" ht="15" hidden="false" customHeight="false" outlineLevel="0" collapsed="false">
      <c r="A244" s="3" t="str">
        <f aca="false">raw_data!A244</f>
        <v>ORD-2025-10243</v>
      </c>
      <c r="B244" s="4" t="n">
        <f aca="false">IFERROR(IF(MID(raw_data!B244,3,1)="/",DATE(VALUE(RIGHT(raw_data!B244,4)),VALUE(LEFT(raw_data!B244,2)),VALUE(MID(raw_data!B244,4,2))),IF(MID(raw_data!B244,3,1)="-",DATE(VALUE(RIGHT(raw_data!B244,4)),VALUE(MID(raw_data!B244,4,2)),VALUE(LEFT(raw_data!B244,2))),IF(MID(raw_data!B244,5,1)="-",DATE(VALUE(LEFT(raw_data!B244,4)),VALUE(MID(raw_data!B244,6,2)),VALUE(RIGHT(raw_data!B244,2))),DATE(VALUE(RIGHT(raw_data!B244,4)),MATCH(MID(raw_data!B244,4,3),{"Jan","Feb","Mar","Apr","May","Jun","Jul","Aug","Sep","Oct","Nov","Dec"},0),VALUE(LEFT(raw_data!B244,2)))))),"")</f>
        <v>45695</v>
      </c>
      <c r="C244" s="4" t="n">
        <f aca="false">IFERROR(IF(MID(raw_data!C244,3,1)="/",DATE(VALUE(RIGHT(raw_data!C244,4)),VALUE(LEFT(raw_data!C244,2)),VALUE(MID(raw_data!C244,4,2))),IF(MID(raw_data!C244,3,1)="-",DATE(VALUE(RIGHT(raw_data!C244,4)),VALUE(MID(raw_data!C244,4,2)),VALUE(LEFT(raw_data!C244,2))),IF(MID(raw_data!C244,5,1)="-",DATE(VALUE(LEFT(raw_data!C244,4)),VALUE(MID(raw_data!C244,6,2)),VALUE(RIGHT(raw_data!C244,2))),DATE(VALUE(RIGHT(raw_data!C244,4)),MATCH(MID(raw_data!C244,4,3),{"Jan","Feb","Mar","Apr","May","Jun","Jul","Aug","Sep","Oct","Nov","Dec"},0),VALUE(LEFT(raw_data!C244,2)))))),"")</f>
        <v>45695</v>
      </c>
      <c r="D244" s="3" t="str">
        <f aca="false">IF(TRIM(raw_data!B244)="","Missing",IF(B244="","Invalid/Unrecognized","Valid"))</f>
        <v>Valid</v>
      </c>
      <c r="E244" s="3" t="str">
        <f aca="false">IF(TRIM(raw_data!C244)="","Missing",IF(C244="","Invalid/Unrecognized","Valid"))</f>
        <v>Valid</v>
      </c>
      <c r="F244" s="5" t="n">
        <f aca="false">IF(OR(B244="",C244=""),"",C244-B244)</f>
        <v>0</v>
      </c>
      <c r="G244" s="3" t="str">
        <f aca="false">IF(F244="","N/A",IF(F244&lt;0,"Invalid - Ship Before Order","OK"))</f>
        <v>OK</v>
      </c>
      <c r="H244" s="3" t="str">
        <f aca="false">raw_data!D244</f>
        <v>CUST-3430</v>
      </c>
      <c r="I244" s="3" t="str">
        <f aca="false">PROPER(TRIM(raw_data!E244))</f>
        <v>Arjun Bose</v>
      </c>
      <c r="J244" s="3" t="str">
        <f aca="false">PROPER(TRIM(raw_data!F244))</f>
        <v>Consumer</v>
      </c>
      <c r="K244" s="3" t="str">
        <f aca="false">IF(TRIM(raw_data!G244)="","Unknown",PROPER(TRIM(raw_data!G244)))</f>
        <v>North</v>
      </c>
      <c r="L244" s="3" t="str">
        <f aca="false">IF(TRIM(raw_data!G244)="","Filled - Unknown","OK")</f>
        <v>OK</v>
      </c>
      <c r="M244" s="3" t="str">
        <f aca="false">PROPER(TRIM(raw_data!H244))</f>
        <v>Uttar Pradesh</v>
      </c>
      <c r="N244" s="3" t="str">
        <f aca="false">PROPER(TRIM(raw_data!I244))</f>
        <v>Noida</v>
      </c>
      <c r="O244" s="3" t="str">
        <f aca="false">PROPER(TRIM(raw_data!J244))</f>
        <v>Office Supplies</v>
      </c>
      <c r="P244" s="3" t="str">
        <f aca="false">PROPER(TRIM(raw_data!K244))</f>
        <v>Art</v>
      </c>
      <c r="Q244" s="3" t="str">
        <f aca="false">TRIM(raw_data!L244)</f>
        <v>Classic Art 126</v>
      </c>
      <c r="R244" s="3" t="str">
        <f aca="false">IF(TRIM(raw_data!M244)="","Unknown",PROPER(TRIM(raw_data!M244)))</f>
        <v>Second Class</v>
      </c>
      <c r="S244" s="3" t="str">
        <f aca="false">IF(TRIM(raw_data!M244)="","Filled - Unknown","OK")</f>
        <v>OK</v>
      </c>
      <c r="T244" s="6" t="n">
        <f aca="false">raw_data!N244</f>
        <v>3</v>
      </c>
      <c r="U244" s="7" t="n">
        <f aca="false">raw_data!O244</f>
        <v>1999.24</v>
      </c>
      <c r="V244" s="8" t="n">
        <f aca="false">raw_data!P244</f>
        <v>0.05</v>
      </c>
      <c r="W244" s="8" t="n">
        <f aca="false">IF(raw_data!P244="",0,IF(ISTEXT(raw_data!P244),IF(RIGHT(raw_data!P244,1)="%",VALUE(LEFT(raw_data!P244,LEN(raw_data!P244)-1))/100,VALUE(raw_data!P244)),raw_data!P244))</f>
        <v>0.05</v>
      </c>
      <c r="X244" s="3" t="str">
        <f aca="false">IF(raw_data!P244="","Missing - Defaulted to 0",IF(W244&lt;0,"Negative - Invalid",IF(W244&gt;0.3,"Above Allowed Range - Invalid","Valid")))</f>
        <v>Valid</v>
      </c>
      <c r="Y244" s="7" t="n">
        <f aca="false">raw_data!Q244</f>
        <v>5697.83</v>
      </c>
      <c r="Z244" s="7" t="n">
        <f aca="false">raw_data!R244</f>
        <v>4251.5</v>
      </c>
      <c r="AA244" s="7" t="n">
        <f aca="false">raw_data!S244</f>
        <v>1446.33</v>
      </c>
      <c r="AB244" s="3" t="str">
        <f aca="false">PROPER(TRIM(raw_data!T244))</f>
        <v>Paid</v>
      </c>
      <c r="AC244" s="3" t="str">
        <f aca="false">PROPER(TRIM(raw_data!U244))</f>
        <v>Completed</v>
      </c>
      <c r="AD244" s="7" t="n">
        <f aca="false">T244*U244*(1-W244)</f>
        <v>5697.834</v>
      </c>
      <c r="AE244" s="7" t="n">
        <f aca="false">AD244-Z244</f>
        <v>1446.334</v>
      </c>
      <c r="AF244" s="8" t="n">
        <f aca="false">IF(AD244=0,0,AE244/AD244)</f>
        <v>0.253839265938601</v>
      </c>
      <c r="AG244" s="3" t="str">
        <f aca="false">IF(ABS(Y244-AD244)&gt;1,"Mismatch","OK")</f>
        <v>OK</v>
      </c>
      <c r="AH244" s="3" t="str">
        <f aca="false">IF(ABS(AA244-AE244)&gt;1,"Mismatch","OK")</f>
        <v>OK</v>
      </c>
      <c r="AI244" s="6" t="n">
        <f aca="false">IF(B244="","",MONTH(B244))</f>
        <v>2</v>
      </c>
      <c r="AJ244" s="6" t="n">
        <f aca="false">IF(B244="","",YEAR(B244))</f>
        <v>2025</v>
      </c>
      <c r="AK244" s="3" t="str">
        <f aca="false">IF(COUNTIF(raw_data!$A$2:$A$913,A244)&gt;1,"Conflicting Duplicate - Flagged for Review","Unique")</f>
        <v>Unique</v>
      </c>
      <c r="AL244" s="3" t="str">
        <f aca="false">IF(AB244="Refunded","Yes","No")</f>
        <v>No</v>
      </c>
      <c r="AM244" s="3" t="str">
        <f aca="false">IF(OR(AC244&lt;&gt;"Completed",AB244="Failed"),"Excluded","Included")</f>
        <v>Included</v>
      </c>
      <c r="AN244" s="3" t="str">
        <f aca="false">IF(OR(D244="Invalid/Unrecognized",E244="Invalid/Unrecognized",G244="Invalid - Ship Before Order",X244="Negative - Invalid",X244="Above Allowed Range - Invalid",AG244="Mismatch",AH244="Mismatch",AK244="Conflicting Duplicate - Flagged for Review"),"Invalid",IF(OR(L244="Filled - Unknown",S244="Filled - Unknown",X244="Missing - Defaulted to 0",AL244="Yes",AC244="Cancelled",AC244="Returned"),"Warning","Clean"))</f>
        <v>Clean</v>
      </c>
    </row>
    <row r="245" customFormat="false" ht="15" hidden="false" customHeight="false" outlineLevel="0" collapsed="false">
      <c r="A245" s="3" t="str">
        <f aca="false">raw_data!A245</f>
        <v>ORD-2025-10244</v>
      </c>
      <c r="B245" s="4" t="n">
        <f aca="false">IFERROR(IF(MID(raw_data!B245,3,1)="/",DATE(VALUE(RIGHT(raw_data!B245,4)),VALUE(LEFT(raw_data!B245,2)),VALUE(MID(raw_data!B245,4,2))),IF(MID(raw_data!B245,3,1)="-",DATE(VALUE(RIGHT(raw_data!B245,4)),VALUE(MID(raw_data!B245,4,2)),VALUE(LEFT(raw_data!B245,2))),IF(MID(raw_data!B245,5,1)="-",DATE(VALUE(LEFT(raw_data!B245,4)),VALUE(MID(raw_data!B245,6,2)),VALUE(RIGHT(raw_data!B245,2))),DATE(VALUE(RIGHT(raw_data!B245,4)),MATCH(MID(raw_data!B245,4,3),{"Jan","Feb","Mar","Apr","May","Jun","Jul","Aug","Sep","Oct","Nov","Dec"},0),VALUE(LEFT(raw_data!B245,2)))))),"")</f>
        <v>45867</v>
      </c>
      <c r="C245" s="4" t="n">
        <f aca="false">IFERROR(IF(MID(raw_data!C245,3,1)="/",DATE(VALUE(RIGHT(raw_data!C245,4)),VALUE(LEFT(raw_data!C245,2)),VALUE(MID(raw_data!C245,4,2))),IF(MID(raw_data!C245,3,1)="-",DATE(VALUE(RIGHT(raw_data!C245,4)),VALUE(MID(raw_data!C245,4,2)),VALUE(LEFT(raw_data!C245,2))),IF(MID(raw_data!C245,5,1)="-",DATE(VALUE(LEFT(raw_data!C245,4)),VALUE(MID(raw_data!C245,6,2)),VALUE(RIGHT(raw_data!C245,2))),DATE(VALUE(RIGHT(raw_data!C245,4)),MATCH(MID(raw_data!C245,4,3),{"Jan","Feb","Mar","Apr","May","Jun","Jul","Aug","Sep","Oct","Nov","Dec"},0),VALUE(LEFT(raw_data!C245,2)))))),"")</f>
        <v>45871</v>
      </c>
      <c r="D245" s="3" t="str">
        <f aca="false">IF(TRIM(raw_data!B245)="","Missing",IF(B245="","Invalid/Unrecognized","Valid"))</f>
        <v>Valid</v>
      </c>
      <c r="E245" s="3" t="str">
        <f aca="false">IF(TRIM(raw_data!C245)="","Missing",IF(C245="","Invalid/Unrecognized","Valid"))</f>
        <v>Valid</v>
      </c>
      <c r="F245" s="5" t="n">
        <f aca="false">IF(OR(B245="",C245=""),"",C245-B245)</f>
        <v>4</v>
      </c>
      <c r="G245" s="3" t="str">
        <f aca="false">IF(F245="","N/A",IF(F245&lt;0,"Invalid - Ship Before Order","OK"))</f>
        <v>OK</v>
      </c>
      <c r="H245" s="3" t="str">
        <f aca="false">raw_data!D245</f>
        <v>CUST-6310</v>
      </c>
      <c r="I245" s="3" t="str">
        <f aca="false">PROPER(TRIM(raw_data!E245))</f>
        <v>Sneha Kapoor</v>
      </c>
      <c r="J245" s="3" t="str">
        <f aca="false">PROPER(TRIM(raw_data!F245))</f>
        <v>Small Business</v>
      </c>
      <c r="K245" s="3" t="str">
        <f aca="false">IF(TRIM(raw_data!G245)="","Unknown",PROPER(TRIM(raw_data!G245)))</f>
        <v>Unknown</v>
      </c>
      <c r="L245" s="3" t="str">
        <f aca="false">IF(TRIM(raw_data!G245)="","Filled - Unknown","OK")</f>
        <v>Filled - Unknown</v>
      </c>
      <c r="M245" s="3" t="str">
        <f aca="false">PROPER(TRIM(raw_data!H245))</f>
        <v>Madhya Pradesh</v>
      </c>
      <c r="N245" s="3" t="str">
        <f aca="false">PROPER(TRIM(raw_data!I245))</f>
        <v>Indore</v>
      </c>
      <c r="O245" s="3" t="str">
        <f aca="false">PROPER(TRIM(raw_data!J245))</f>
        <v>Technology</v>
      </c>
      <c r="P245" s="3" t="str">
        <f aca="false">PROPER(TRIM(raw_data!K245))</f>
        <v>Accessories</v>
      </c>
      <c r="Q245" s="3" t="str">
        <f aca="false">TRIM(raw_data!L245)</f>
        <v>Prime Accessories 243</v>
      </c>
      <c r="R245" s="3" t="str">
        <f aca="false">IF(TRIM(raw_data!M245)="","Unknown",PROPER(TRIM(raw_data!M245)))</f>
        <v>First Class</v>
      </c>
      <c r="S245" s="3" t="str">
        <f aca="false">IF(TRIM(raw_data!M245)="","Filled - Unknown","OK")</f>
        <v>OK</v>
      </c>
      <c r="T245" s="6" t="n">
        <f aca="false">raw_data!N245</f>
        <v>1</v>
      </c>
      <c r="U245" s="7" t="n">
        <f aca="false">raw_data!O245</f>
        <v>4499.46</v>
      </c>
      <c r="V245" s="8" t="n">
        <f aca="false">raw_data!P245</f>
        <v>0.1</v>
      </c>
      <c r="W245" s="8" t="n">
        <f aca="false">IF(raw_data!P245="",0,IF(ISTEXT(raw_data!P245),IF(RIGHT(raw_data!P245,1)="%",VALUE(LEFT(raw_data!P245,LEN(raw_data!P245)-1))/100,VALUE(raw_data!P245)),raw_data!P245))</f>
        <v>0.1</v>
      </c>
      <c r="X245" s="3" t="str">
        <f aca="false">IF(raw_data!P245="","Missing - Defaulted to 0",IF(W245&lt;0,"Negative - Invalid",IF(W245&gt;0.3,"Above Allowed Range - Invalid","Valid")))</f>
        <v>Valid</v>
      </c>
      <c r="Y245" s="7" t="n">
        <f aca="false">raw_data!Q245</f>
        <v>4049.51</v>
      </c>
      <c r="Z245" s="7" t="n">
        <f aca="false">raw_data!R245</f>
        <v>2509.2</v>
      </c>
      <c r="AA245" s="7" t="n">
        <f aca="false">raw_data!S245</f>
        <v>1540.31</v>
      </c>
      <c r="AB245" s="3" t="str">
        <f aca="false">PROPER(TRIM(raw_data!T245))</f>
        <v>Paid</v>
      </c>
      <c r="AC245" s="3" t="str">
        <f aca="false">PROPER(TRIM(raw_data!U245))</f>
        <v>Completed</v>
      </c>
      <c r="AD245" s="7" t="n">
        <f aca="false">T245*U245*(1-W245)</f>
        <v>4049.514</v>
      </c>
      <c r="AE245" s="7" t="n">
        <f aca="false">AD245-Z245</f>
        <v>1540.314</v>
      </c>
      <c r="AF245" s="8" t="n">
        <f aca="false">IF(AD245=0,0,AE245/AD245)</f>
        <v>0.380370088855107</v>
      </c>
      <c r="AG245" s="3" t="str">
        <f aca="false">IF(ABS(Y245-AD245)&gt;1,"Mismatch","OK")</f>
        <v>OK</v>
      </c>
      <c r="AH245" s="3" t="str">
        <f aca="false">IF(ABS(AA245-AE245)&gt;1,"Mismatch","OK")</f>
        <v>OK</v>
      </c>
      <c r="AI245" s="6" t="n">
        <f aca="false">IF(B245="","",MONTH(B245))</f>
        <v>7</v>
      </c>
      <c r="AJ245" s="6" t="n">
        <f aca="false">IF(B245="","",YEAR(B245))</f>
        <v>2025</v>
      </c>
      <c r="AK245" s="3" t="str">
        <f aca="false">IF(COUNTIF(raw_data!$A$2:$A$913,A245)&gt;1,"Conflicting Duplicate - Flagged for Review","Unique")</f>
        <v>Unique</v>
      </c>
      <c r="AL245" s="3" t="str">
        <f aca="false">IF(AB245="Refunded","Yes","No")</f>
        <v>No</v>
      </c>
      <c r="AM245" s="3" t="str">
        <f aca="false">IF(OR(AC245&lt;&gt;"Completed",AB245="Failed"),"Excluded","Included")</f>
        <v>Included</v>
      </c>
      <c r="AN245" s="3" t="str">
        <f aca="false">IF(OR(D245="Invalid/Unrecognized",E245="Invalid/Unrecognized",G245="Invalid - Ship Before Order",X245="Negative - Invalid",X245="Above Allowed Range - Invalid",AG245="Mismatch",AH245="Mismatch",AK245="Conflicting Duplicate - Flagged for Review"),"Invalid",IF(OR(L245="Filled - Unknown",S245="Filled - Unknown",X245="Missing - Defaulted to 0",AL245="Yes",AC245="Cancelled",AC245="Returned"),"Warning","Clean"))</f>
        <v>Warning</v>
      </c>
    </row>
    <row r="246" customFormat="false" ht="15" hidden="false" customHeight="false" outlineLevel="0" collapsed="false">
      <c r="A246" s="3" t="str">
        <f aca="false">raw_data!A246</f>
        <v>ORD-2024-10245</v>
      </c>
      <c r="B246" s="4" t="n">
        <f aca="false">IFERROR(IF(MID(raw_data!B246,3,1)="/",DATE(VALUE(RIGHT(raw_data!B246,4)),VALUE(LEFT(raw_data!B246,2)),VALUE(MID(raw_data!B246,4,2))),IF(MID(raw_data!B246,3,1)="-",DATE(VALUE(RIGHT(raw_data!B246,4)),VALUE(MID(raw_data!B246,4,2)),VALUE(LEFT(raw_data!B246,2))),IF(MID(raw_data!B246,5,1)="-",DATE(VALUE(LEFT(raw_data!B246,4)),VALUE(MID(raw_data!B246,6,2)),VALUE(RIGHT(raw_data!B246,2))),DATE(VALUE(RIGHT(raw_data!B246,4)),MATCH(MID(raw_data!B246,4,3),{"Jan","Feb","Mar","Apr","May","Jun","Jul","Aug","Sep","Oct","Nov","Dec"},0),VALUE(LEFT(raw_data!B246,2)))))),"")</f>
        <v>45527</v>
      </c>
      <c r="C246" s="4" t="n">
        <f aca="false">IFERROR(IF(MID(raw_data!C246,3,1)="/",DATE(VALUE(RIGHT(raw_data!C246,4)),VALUE(LEFT(raw_data!C246,2)),VALUE(MID(raw_data!C246,4,2))),IF(MID(raw_data!C246,3,1)="-",DATE(VALUE(RIGHT(raw_data!C246,4)),VALUE(MID(raw_data!C246,4,2)),VALUE(LEFT(raw_data!C246,2))),IF(MID(raw_data!C246,5,1)="-",DATE(VALUE(LEFT(raw_data!C246,4)),VALUE(MID(raw_data!C246,6,2)),VALUE(RIGHT(raw_data!C246,2))),DATE(VALUE(RIGHT(raw_data!C246,4)),MATCH(MID(raw_data!C246,4,3),{"Jan","Feb","Mar","Apr","May","Jun","Jul","Aug","Sep","Oct","Nov","Dec"},0),VALUE(LEFT(raw_data!C246,2)))))),"")</f>
        <v>45528</v>
      </c>
      <c r="D246" s="3" t="str">
        <f aca="false">IF(TRIM(raw_data!B246)="","Missing",IF(B246="","Invalid/Unrecognized","Valid"))</f>
        <v>Valid</v>
      </c>
      <c r="E246" s="3" t="str">
        <f aca="false">IF(TRIM(raw_data!C246)="","Missing",IF(C246="","Invalid/Unrecognized","Valid"))</f>
        <v>Valid</v>
      </c>
      <c r="F246" s="5" t="n">
        <f aca="false">IF(OR(B246="",C246=""),"",C246-B246)</f>
        <v>1</v>
      </c>
      <c r="G246" s="3" t="str">
        <f aca="false">IF(F246="","N/A",IF(F246&lt;0,"Invalid - Ship Before Order","OK"))</f>
        <v>OK</v>
      </c>
      <c r="H246" s="3" t="str">
        <f aca="false">raw_data!D246</f>
        <v>CUST-6008</v>
      </c>
      <c r="I246" s="3" t="str">
        <f aca="false">PROPER(TRIM(raw_data!E246))</f>
        <v>Neha Gupta</v>
      </c>
      <c r="J246" s="3" t="str">
        <f aca="false">PROPER(TRIM(raw_data!F246))</f>
        <v>Consumer</v>
      </c>
      <c r="K246" s="3" t="str">
        <f aca="false">IF(TRIM(raw_data!G246)="","Unknown",PROPER(TRIM(raw_data!G246)))</f>
        <v>South</v>
      </c>
      <c r="L246" s="3" t="str">
        <f aca="false">IF(TRIM(raw_data!G246)="","Filled - Unknown","OK")</f>
        <v>OK</v>
      </c>
      <c r="M246" s="3" t="str">
        <f aca="false">PROPER(TRIM(raw_data!H246))</f>
        <v>Telangana</v>
      </c>
      <c r="N246" s="3" t="str">
        <f aca="false">PROPER(TRIM(raw_data!I246))</f>
        <v>Hyderabad</v>
      </c>
      <c r="O246" s="3" t="str">
        <f aca="false">PROPER(TRIM(raw_data!J246))</f>
        <v>Furniture</v>
      </c>
      <c r="P246" s="3" t="str">
        <f aca="false">PROPER(TRIM(raw_data!K246))</f>
        <v>Bookcases</v>
      </c>
      <c r="Q246" s="3" t="str">
        <f aca="false">TRIM(raw_data!L246)</f>
        <v>Eco Bookcases 768</v>
      </c>
      <c r="R246" s="3" t="str">
        <f aca="false">IF(TRIM(raw_data!M246)="","Unknown",PROPER(TRIM(raw_data!M246)))</f>
        <v>Same Day</v>
      </c>
      <c r="S246" s="3" t="str">
        <f aca="false">IF(TRIM(raw_data!M246)="","Filled - Unknown","OK")</f>
        <v>OK</v>
      </c>
      <c r="T246" s="6" t="n">
        <f aca="false">raw_data!N246</f>
        <v>6</v>
      </c>
      <c r="U246" s="7" t="n">
        <f aca="false">raw_data!O246</f>
        <v>1021.89</v>
      </c>
      <c r="V246" s="8" t="n">
        <f aca="false">raw_data!P246</f>
        <v>0</v>
      </c>
      <c r="W246" s="8" t="n">
        <f aca="false">IF(raw_data!P246="",0,IF(ISTEXT(raw_data!P246),IF(RIGHT(raw_data!P246,1)="%",VALUE(LEFT(raw_data!P246,LEN(raw_data!P246)-1))/100,VALUE(raw_data!P246)),raw_data!P246))</f>
        <v>0</v>
      </c>
      <c r="X246" s="3" t="str">
        <f aca="false">IF(raw_data!P246="","Missing - Defaulted to 0",IF(W246&lt;0,"Negative - Invalid",IF(W246&gt;0.3,"Above Allowed Range - Invalid","Valid")))</f>
        <v>Valid</v>
      </c>
      <c r="Y246" s="7" t="n">
        <f aca="false">raw_data!Q246</f>
        <v>6131.34</v>
      </c>
      <c r="Z246" s="7" t="n">
        <f aca="false">raw_data!R246</f>
        <v>4060.88</v>
      </c>
      <c r="AA246" s="7" t="n">
        <f aca="false">raw_data!S246</f>
        <v>2070.46</v>
      </c>
      <c r="AB246" s="3" t="str">
        <f aca="false">PROPER(TRIM(raw_data!T246))</f>
        <v>Paid</v>
      </c>
      <c r="AC246" s="3" t="str">
        <f aca="false">PROPER(TRIM(raw_data!U246))</f>
        <v>Completed</v>
      </c>
      <c r="AD246" s="7" t="n">
        <f aca="false">T246*U246*(1-W246)</f>
        <v>6131.34</v>
      </c>
      <c r="AE246" s="7" t="n">
        <f aca="false">AD246-Z246</f>
        <v>2070.46</v>
      </c>
      <c r="AF246" s="8" t="n">
        <f aca="false">IF(AD246=0,0,AE246/AD246)</f>
        <v>0.337684747542951</v>
      </c>
      <c r="AG246" s="3" t="str">
        <f aca="false">IF(ABS(Y246-AD246)&gt;1,"Mismatch","OK")</f>
        <v>OK</v>
      </c>
      <c r="AH246" s="3" t="str">
        <f aca="false">IF(ABS(AA246-AE246)&gt;1,"Mismatch","OK")</f>
        <v>OK</v>
      </c>
      <c r="AI246" s="6" t="n">
        <f aca="false">IF(B246="","",MONTH(B246))</f>
        <v>8</v>
      </c>
      <c r="AJ246" s="6" t="n">
        <f aca="false">IF(B246="","",YEAR(B246))</f>
        <v>2024</v>
      </c>
      <c r="AK246" s="3" t="str">
        <f aca="false">IF(COUNTIF(raw_data!$A$2:$A$913,A246)&gt;1,"Conflicting Duplicate - Flagged for Review","Unique")</f>
        <v>Unique</v>
      </c>
      <c r="AL246" s="3" t="str">
        <f aca="false">IF(AB246="Refunded","Yes","No")</f>
        <v>No</v>
      </c>
      <c r="AM246" s="3" t="str">
        <f aca="false">IF(OR(AC246&lt;&gt;"Completed",AB246="Failed"),"Excluded","Included")</f>
        <v>Included</v>
      </c>
      <c r="AN246" s="3" t="str">
        <f aca="false">IF(OR(D246="Invalid/Unrecognized",E246="Invalid/Unrecognized",G246="Invalid - Ship Before Order",X246="Negative - Invalid",X246="Above Allowed Range - Invalid",AG246="Mismatch",AH246="Mismatch",AK246="Conflicting Duplicate - Flagged for Review"),"Invalid",IF(OR(L246="Filled - Unknown",S246="Filled - Unknown",X246="Missing - Defaulted to 0",AL246="Yes",AC246="Cancelled",AC246="Returned"),"Warning","Clean"))</f>
        <v>Clean</v>
      </c>
    </row>
    <row r="247" customFormat="false" ht="15" hidden="false" customHeight="false" outlineLevel="0" collapsed="false">
      <c r="A247" s="3" t="str">
        <f aca="false">raw_data!A247</f>
        <v>ORD-2024-10246</v>
      </c>
      <c r="B247" s="4" t="n">
        <f aca="false">IFERROR(IF(MID(raw_data!B247,3,1)="/",DATE(VALUE(RIGHT(raw_data!B247,4)),VALUE(LEFT(raw_data!B247,2)),VALUE(MID(raw_data!B247,4,2))),IF(MID(raw_data!B247,3,1)="-",DATE(VALUE(RIGHT(raw_data!B247,4)),VALUE(MID(raw_data!B247,4,2)),VALUE(LEFT(raw_data!B247,2))),IF(MID(raw_data!B247,5,1)="-",DATE(VALUE(LEFT(raw_data!B247,4)),VALUE(MID(raw_data!B247,6,2)),VALUE(RIGHT(raw_data!B247,2))),DATE(VALUE(RIGHT(raw_data!B247,4)),MATCH(MID(raw_data!B247,4,3),{"Jan","Feb","Mar","Apr","May","Jun","Jul","Aug","Sep","Oct","Nov","Dec"},0),VALUE(LEFT(raw_data!B247,2)))))),"")</f>
        <v>45583</v>
      </c>
      <c r="C247" s="4" t="n">
        <f aca="false">IFERROR(IF(MID(raw_data!C247,3,1)="/",DATE(VALUE(RIGHT(raw_data!C247,4)),VALUE(LEFT(raw_data!C247,2)),VALUE(MID(raw_data!C247,4,2))),IF(MID(raw_data!C247,3,1)="-",DATE(VALUE(RIGHT(raw_data!C247,4)),VALUE(MID(raw_data!C247,4,2)),VALUE(LEFT(raw_data!C247,2))),IF(MID(raw_data!C247,5,1)="-",DATE(VALUE(LEFT(raw_data!C247,4)),VALUE(MID(raw_data!C247,6,2)),VALUE(RIGHT(raw_data!C247,2))),DATE(VALUE(RIGHT(raw_data!C247,4)),MATCH(MID(raw_data!C247,4,3),{"Jan","Feb","Mar","Apr","May","Jun","Jul","Aug","Sep","Oct","Nov","Dec"},0),VALUE(LEFT(raw_data!C247,2)))))),"")</f>
        <v>45589</v>
      </c>
      <c r="D247" s="3" t="str">
        <f aca="false">IF(TRIM(raw_data!B247)="","Missing",IF(B247="","Invalid/Unrecognized","Valid"))</f>
        <v>Valid</v>
      </c>
      <c r="E247" s="3" t="str">
        <f aca="false">IF(TRIM(raw_data!C247)="","Missing",IF(C247="","Invalid/Unrecognized","Valid"))</f>
        <v>Valid</v>
      </c>
      <c r="F247" s="5" t="n">
        <f aca="false">IF(OR(B247="",C247=""),"",C247-B247)</f>
        <v>6</v>
      </c>
      <c r="G247" s="3" t="str">
        <f aca="false">IF(F247="","N/A",IF(F247&lt;0,"Invalid - Ship Before Order","OK"))</f>
        <v>OK</v>
      </c>
      <c r="H247" s="3" t="str">
        <f aca="false">raw_data!D247</f>
        <v>CUST-1704</v>
      </c>
      <c r="I247" s="3" t="str">
        <f aca="false">PROPER(TRIM(raw_data!E247))</f>
        <v>Neha Gupta</v>
      </c>
      <c r="J247" s="3" t="str">
        <f aca="false">PROPER(TRIM(raw_data!F247))</f>
        <v>Home Office</v>
      </c>
      <c r="K247" s="3" t="str">
        <f aca="false">IF(TRIM(raw_data!G247)="","Unknown",PROPER(TRIM(raw_data!G247)))</f>
        <v>South</v>
      </c>
      <c r="L247" s="3" t="str">
        <f aca="false">IF(TRIM(raw_data!G247)="","Filled - Unknown","OK")</f>
        <v>OK</v>
      </c>
      <c r="M247" s="3" t="str">
        <f aca="false">PROPER(TRIM(raw_data!H247))</f>
        <v>Kerala</v>
      </c>
      <c r="N247" s="3" t="str">
        <f aca="false">PROPER(TRIM(raw_data!I247))</f>
        <v>Kochi</v>
      </c>
      <c r="O247" s="3" t="str">
        <f aca="false">PROPER(TRIM(raw_data!J247))</f>
        <v>Furniture</v>
      </c>
      <c r="P247" s="3" t="str">
        <f aca="false">PROPER(TRIM(raw_data!K247))</f>
        <v>Chairs</v>
      </c>
      <c r="Q247" s="3" t="str">
        <f aca="false">TRIM(raw_data!L247)</f>
        <v>Pro Chairs 316</v>
      </c>
      <c r="R247" s="3" t="str">
        <f aca="false">IF(TRIM(raw_data!M247)="","Unknown",PROPER(TRIM(raw_data!M247)))</f>
        <v>Second Class</v>
      </c>
      <c r="S247" s="3" t="str">
        <f aca="false">IF(TRIM(raw_data!M247)="","Filled - Unknown","OK")</f>
        <v>OK</v>
      </c>
      <c r="T247" s="6" t="n">
        <f aca="false">raw_data!N247</f>
        <v>3</v>
      </c>
      <c r="U247" s="7" t="n">
        <f aca="false">raw_data!O247</f>
        <v>3275.93</v>
      </c>
      <c r="V247" s="8" t="n">
        <f aca="false">raw_data!P247</f>
        <v>0</v>
      </c>
      <c r="W247" s="8" t="n">
        <f aca="false">IF(raw_data!P247="",0,IF(ISTEXT(raw_data!P247),IF(RIGHT(raw_data!P247,1)="%",VALUE(LEFT(raw_data!P247,LEN(raw_data!P247)-1))/100,VALUE(raw_data!P247)),raw_data!P247))</f>
        <v>0</v>
      </c>
      <c r="X247" s="3" t="str">
        <f aca="false">IF(raw_data!P247="","Missing - Defaulted to 0",IF(W247&lt;0,"Negative - Invalid",IF(W247&gt;0.3,"Above Allowed Range - Invalid","Valid")))</f>
        <v>Valid</v>
      </c>
      <c r="Y247" s="7" t="n">
        <f aca="false">raw_data!Q247</f>
        <v>9827.79</v>
      </c>
      <c r="Z247" s="7" t="n">
        <f aca="false">raw_data!R247</f>
        <v>5478.28</v>
      </c>
      <c r="AA247" s="7" t="n">
        <f aca="false">raw_data!S247</f>
        <v>4349.51</v>
      </c>
      <c r="AB247" s="3" t="str">
        <f aca="false">PROPER(TRIM(raw_data!T247))</f>
        <v>Paid</v>
      </c>
      <c r="AC247" s="3" t="str">
        <f aca="false">PROPER(TRIM(raw_data!U247))</f>
        <v>Completed</v>
      </c>
      <c r="AD247" s="7" t="n">
        <f aca="false">T247*U247*(1-W247)</f>
        <v>9827.79</v>
      </c>
      <c r="AE247" s="7" t="n">
        <f aca="false">AD247-Z247</f>
        <v>4349.51</v>
      </c>
      <c r="AF247" s="8" t="n">
        <f aca="false">IF(AD247=0,0,AE247/AD247)</f>
        <v>0.442572541741327</v>
      </c>
      <c r="AG247" s="3" t="str">
        <f aca="false">IF(ABS(Y247-AD247)&gt;1,"Mismatch","OK")</f>
        <v>OK</v>
      </c>
      <c r="AH247" s="3" t="str">
        <f aca="false">IF(ABS(AA247-AE247)&gt;1,"Mismatch","OK")</f>
        <v>OK</v>
      </c>
      <c r="AI247" s="6" t="n">
        <f aca="false">IF(B247="","",MONTH(B247))</f>
        <v>10</v>
      </c>
      <c r="AJ247" s="6" t="n">
        <f aca="false">IF(B247="","",YEAR(B247))</f>
        <v>2024</v>
      </c>
      <c r="AK247" s="3" t="str">
        <f aca="false">IF(COUNTIF(raw_data!$A$2:$A$913,A247)&gt;1,"Conflicting Duplicate - Flagged for Review","Unique")</f>
        <v>Unique</v>
      </c>
      <c r="AL247" s="3" t="str">
        <f aca="false">IF(AB247="Refunded","Yes","No")</f>
        <v>No</v>
      </c>
      <c r="AM247" s="3" t="str">
        <f aca="false">IF(OR(AC247&lt;&gt;"Completed",AB247="Failed"),"Excluded","Included")</f>
        <v>Included</v>
      </c>
      <c r="AN247" s="3" t="str">
        <f aca="false">IF(OR(D247="Invalid/Unrecognized",E247="Invalid/Unrecognized",G247="Invalid - Ship Before Order",X247="Negative - Invalid",X247="Above Allowed Range - Invalid",AG247="Mismatch",AH247="Mismatch",AK247="Conflicting Duplicate - Flagged for Review"),"Invalid",IF(OR(L247="Filled - Unknown",S247="Filled - Unknown",X247="Missing - Defaulted to 0",AL247="Yes",AC247="Cancelled",AC247="Returned"),"Warning","Clean"))</f>
        <v>Clean</v>
      </c>
    </row>
    <row r="248" customFormat="false" ht="15" hidden="false" customHeight="false" outlineLevel="0" collapsed="false">
      <c r="A248" s="3" t="str">
        <f aca="false">raw_data!A248</f>
        <v>ORD-2024-10247</v>
      </c>
      <c r="B248" s="4" t="n">
        <f aca="false">IFERROR(IF(MID(raw_data!B248,3,1)="/",DATE(VALUE(RIGHT(raw_data!B248,4)),VALUE(LEFT(raw_data!B248,2)),VALUE(MID(raw_data!B248,4,2))),IF(MID(raw_data!B248,3,1)="-",DATE(VALUE(RIGHT(raw_data!B248,4)),VALUE(MID(raw_data!B248,4,2)),VALUE(LEFT(raw_data!B248,2))),IF(MID(raw_data!B248,5,1)="-",DATE(VALUE(LEFT(raw_data!B248,4)),VALUE(MID(raw_data!B248,6,2)),VALUE(RIGHT(raw_data!B248,2))),DATE(VALUE(RIGHT(raw_data!B248,4)),MATCH(MID(raw_data!B248,4,3),{"Jan","Feb","Mar","Apr","May","Jun","Jul","Aug","Sep","Oct","Nov","Dec"},0),VALUE(LEFT(raw_data!B248,2)))))),"")</f>
        <v>45416</v>
      </c>
      <c r="C248" s="4" t="n">
        <f aca="false">IFERROR(IF(MID(raw_data!C248,3,1)="/",DATE(VALUE(RIGHT(raw_data!C248,4)),VALUE(LEFT(raw_data!C248,2)),VALUE(MID(raw_data!C248,4,2))),IF(MID(raw_data!C248,3,1)="-",DATE(VALUE(RIGHT(raw_data!C248,4)),VALUE(MID(raw_data!C248,4,2)),VALUE(LEFT(raw_data!C248,2))),IF(MID(raw_data!C248,5,1)="-",DATE(VALUE(LEFT(raw_data!C248,4)),VALUE(MID(raw_data!C248,6,2)),VALUE(RIGHT(raw_data!C248,2))),DATE(VALUE(RIGHT(raw_data!C248,4)),MATCH(MID(raw_data!C248,4,3),{"Jan","Feb","Mar","Apr","May","Jun","Jul","Aug","Sep","Oct","Nov","Dec"},0),VALUE(LEFT(raw_data!C248,2)))))),"")</f>
        <v>45421</v>
      </c>
      <c r="D248" s="3" t="str">
        <f aca="false">IF(TRIM(raw_data!B248)="","Missing",IF(B248="","Invalid/Unrecognized","Valid"))</f>
        <v>Valid</v>
      </c>
      <c r="E248" s="3" t="str">
        <f aca="false">IF(TRIM(raw_data!C248)="","Missing",IF(C248="","Invalid/Unrecognized","Valid"))</f>
        <v>Valid</v>
      </c>
      <c r="F248" s="5" t="n">
        <f aca="false">IF(OR(B248="",C248=""),"",C248-B248)</f>
        <v>5</v>
      </c>
      <c r="G248" s="3" t="str">
        <f aca="false">IF(F248="","N/A",IF(F248&lt;0,"Invalid - Ship Before Order","OK"))</f>
        <v>OK</v>
      </c>
      <c r="H248" s="3" t="str">
        <f aca="false">raw_data!D248</f>
        <v>CUST-1827</v>
      </c>
      <c r="I248" s="3" t="str">
        <f aca="false">PROPER(TRIM(raw_data!E248))</f>
        <v>Ananya Rao</v>
      </c>
      <c r="J248" s="3" t="str">
        <f aca="false">PROPER(TRIM(raw_data!F248))</f>
        <v>Corporate</v>
      </c>
      <c r="K248" s="3" t="str">
        <f aca="false">IF(TRIM(raw_data!G248)="","Unknown",PROPER(TRIM(raw_data!G248)))</f>
        <v>North</v>
      </c>
      <c r="L248" s="3" t="str">
        <f aca="false">IF(TRIM(raw_data!G248)="","Filled - Unknown","OK")</f>
        <v>OK</v>
      </c>
      <c r="M248" s="3" t="str">
        <f aca="false">PROPER(TRIM(raw_data!H248))</f>
        <v>Punjab</v>
      </c>
      <c r="N248" s="3" t="str">
        <f aca="false">PROPER(TRIM(raw_data!I248))</f>
        <v>Ludhiana</v>
      </c>
      <c r="O248" s="3" t="str">
        <f aca="false">PROPER(TRIM(raw_data!J248))</f>
        <v>Technology</v>
      </c>
      <c r="P248" s="3" t="str">
        <f aca="false">PROPER(TRIM(raw_data!K248))</f>
        <v>Machines</v>
      </c>
      <c r="Q248" s="3" t="str">
        <f aca="false">TRIM(raw_data!L248)</f>
        <v>Classic Machines 819</v>
      </c>
      <c r="R248" s="3" t="str">
        <f aca="false">IF(TRIM(raw_data!M248)="","Unknown",PROPER(TRIM(raw_data!M248)))</f>
        <v>Same Day</v>
      </c>
      <c r="S248" s="3" t="str">
        <f aca="false">IF(TRIM(raw_data!M248)="","Filled - Unknown","OK")</f>
        <v>OK</v>
      </c>
      <c r="T248" s="6" t="n">
        <f aca="false">raw_data!N248</f>
        <v>3</v>
      </c>
      <c r="U248" s="7" t="n">
        <f aca="false">raw_data!O248</f>
        <v>231.95</v>
      </c>
      <c r="V248" s="8" t="n">
        <f aca="false">raw_data!P248</f>
        <v>0.25</v>
      </c>
      <c r="W248" s="8" t="n">
        <f aca="false">IF(raw_data!P248="",0,IF(ISTEXT(raw_data!P248),IF(RIGHT(raw_data!P248,1)="%",VALUE(LEFT(raw_data!P248,LEN(raw_data!P248)-1))/100,VALUE(raw_data!P248)),raw_data!P248))</f>
        <v>0.25</v>
      </c>
      <c r="X248" s="3" t="str">
        <f aca="false">IF(raw_data!P248="","Missing - Defaulted to 0",IF(W248&lt;0,"Negative - Invalid",IF(W248&gt;0.3,"Above Allowed Range - Invalid","Valid")))</f>
        <v>Valid</v>
      </c>
      <c r="Y248" s="7" t="n">
        <f aca="false">raw_data!Q248</f>
        <v>521.89</v>
      </c>
      <c r="Z248" s="7" t="n">
        <f aca="false">raw_data!R248</f>
        <v>444.52</v>
      </c>
      <c r="AA248" s="7" t="n">
        <f aca="false">raw_data!S248</f>
        <v>77.37</v>
      </c>
      <c r="AB248" s="3" t="str">
        <f aca="false">PROPER(TRIM(raw_data!T248))</f>
        <v>Refunded</v>
      </c>
      <c r="AC248" s="3" t="str">
        <f aca="false">PROPER(TRIM(raw_data!U248))</f>
        <v>Cancelled</v>
      </c>
      <c r="AD248" s="7" t="n">
        <f aca="false">T248*U248*(1-W248)</f>
        <v>521.8875</v>
      </c>
      <c r="AE248" s="7" t="n">
        <f aca="false">AD248-Z248</f>
        <v>77.3675</v>
      </c>
      <c r="AF248" s="8" t="n">
        <f aca="false">IF(AD248=0,0,AE248/AD248)</f>
        <v>0.148245551004766</v>
      </c>
      <c r="AG248" s="3" t="str">
        <f aca="false">IF(ABS(Y248-AD248)&gt;1,"Mismatch","OK")</f>
        <v>OK</v>
      </c>
      <c r="AH248" s="3" t="str">
        <f aca="false">IF(ABS(AA248-AE248)&gt;1,"Mismatch","OK")</f>
        <v>OK</v>
      </c>
      <c r="AI248" s="6" t="n">
        <f aca="false">IF(B248="","",MONTH(B248))</f>
        <v>5</v>
      </c>
      <c r="AJ248" s="6" t="n">
        <f aca="false">IF(B248="","",YEAR(B248))</f>
        <v>2024</v>
      </c>
      <c r="AK248" s="3" t="str">
        <f aca="false">IF(COUNTIF(raw_data!$A$2:$A$913,A248)&gt;1,"Conflicting Duplicate - Flagged for Review","Unique")</f>
        <v>Unique</v>
      </c>
      <c r="AL248" s="3" t="str">
        <f aca="false">IF(AB248="Refunded","Yes","No")</f>
        <v>Yes</v>
      </c>
      <c r="AM248" s="3" t="str">
        <f aca="false">IF(OR(AC248&lt;&gt;"Completed",AB248="Failed"),"Excluded","Included")</f>
        <v>Excluded</v>
      </c>
      <c r="AN248" s="3" t="str">
        <f aca="false">IF(OR(D248="Invalid/Unrecognized",E248="Invalid/Unrecognized",G248="Invalid - Ship Before Order",X248="Negative - Invalid",X248="Above Allowed Range - Invalid",AG248="Mismatch",AH248="Mismatch",AK248="Conflicting Duplicate - Flagged for Review"),"Invalid",IF(OR(L248="Filled - Unknown",S248="Filled - Unknown",X248="Missing - Defaulted to 0",AL248="Yes",AC248="Cancelled",AC248="Returned"),"Warning","Clean"))</f>
        <v>Warning</v>
      </c>
    </row>
    <row r="249" customFormat="false" ht="15" hidden="false" customHeight="false" outlineLevel="0" collapsed="false">
      <c r="A249" s="3" t="str">
        <f aca="false">raw_data!A249</f>
        <v>ORD-2024-10248</v>
      </c>
      <c r="B249" s="4" t="n">
        <f aca="false">IFERROR(IF(MID(raw_data!B249,3,1)="/",DATE(VALUE(RIGHT(raw_data!B249,4)),VALUE(LEFT(raw_data!B249,2)),VALUE(MID(raw_data!B249,4,2))),IF(MID(raw_data!B249,3,1)="-",DATE(VALUE(RIGHT(raw_data!B249,4)),VALUE(MID(raw_data!B249,4,2)),VALUE(LEFT(raw_data!B249,2))),IF(MID(raw_data!B249,5,1)="-",DATE(VALUE(LEFT(raw_data!B249,4)),VALUE(MID(raw_data!B249,6,2)),VALUE(RIGHT(raw_data!B249,2))),DATE(VALUE(RIGHT(raw_data!B249,4)),MATCH(MID(raw_data!B249,4,3),{"Jan","Feb","Mar","Apr","May","Jun","Jul","Aug","Sep","Oct","Nov","Dec"},0),VALUE(LEFT(raw_data!B249,2)))))),"")</f>
        <v>45498</v>
      </c>
      <c r="C249" s="4" t="n">
        <f aca="false">IFERROR(IF(MID(raw_data!C249,3,1)="/",DATE(VALUE(RIGHT(raw_data!C249,4)),VALUE(LEFT(raw_data!C249,2)),VALUE(MID(raw_data!C249,4,2))),IF(MID(raw_data!C249,3,1)="-",DATE(VALUE(RIGHT(raw_data!C249,4)),VALUE(MID(raw_data!C249,4,2)),VALUE(LEFT(raw_data!C249,2))),IF(MID(raw_data!C249,5,1)="-",DATE(VALUE(LEFT(raw_data!C249,4)),VALUE(MID(raw_data!C249,6,2)),VALUE(RIGHT(raw_data!C249,2))),DATE(VALUE(RIGHT(raw_data!C249,4)),MATCH(MID(raw_data!C249,4,3),{"Jan","Feb","Mar","Apr","May","Jun","Jul","Aug","Sep","Oct","Nov","Dec"},0),VALUE(LEFT(raw_data!C249,2)))))),"")</f>
        <v>45505</v>
      </c>
      <c r="D249" s="3" t="str">
        <f aca="false">IF(TRIM(raw_data!B249)="","Missing",IF(B249="","Invalid/Unrecognized","Valid"))</f>
        <v>Valid</v>
      </c>
      <c r="E249" s="3" t="str">
        <f aca="false">IF(TRIM(raw_data!C249)="","Missing",IF(C249="","Invalid/Unrecognized","Valid"))</f>
        <v>Valid</v>
      </c>
      <c r="F249" s="5" t="n">
        <f aca="false">IF(OR(B249="",C249=""),"",C249-B249)</f>
        <v>7</v>
      </c>
      <c r="G249" s="3" t="str">
        <f aca="false">IF(F249="","N/A",IF(F249&lt;0,"Invalid - Ship Before Order","OK"))</f>
        <v>OK</v>
      </c>
      <c r="H249" s="3" t="str">
        <f aca="false">raw_data!D249</f>
        <v>CUST-6663</v>
      </c>
      <c r="I249" s="3" t="str">
        <f aca="false">PROPER(TRIM(raw_data!E249))</f>
        <v>Rahul Verma</v>
      </c>
      <c r="J249" s="3" t="str">
        <f aca="false">PROPER(TRIM(raw_data!F249))</f>
        <v>Corporate</v>
      </c>
      <c r="K249" s="3" t="str">
        <f aca="false">IF(TRIM(raw_data!G249)="","Unknown",PROPER(TRIM(raw_data!G249)))</f>
        <v>North</v>
      </c>
      <c r="L249" s="3" t="str">
        <f aca="false">IF(TRIM(raw_data!G249)="","Filled - Unknown","OK")</f>
        <v>OK</v>
      </c>
      <c r="M249" s="3" t="str">
        <f aca="false">PROPER(TRIM(raw_data!H249))</f>
        <v>Rajasthan</v>
      </c>
      <c r="N249" s="3" t="str">
        <f aca="false">PROPER(TRIM(raw_data!I249))</f>
        <v>Jaipur</v>
      </c>
      <c r="O249" s="3" t="str">
        <f aca="false">PROPER(TRIM(raw_data!J249))</f>
        <v>Technology</v>
      </c>
      <c r="P249" s="3" t="str">
        <f aca="false">PROPER(TRIM(raw_data!K249))</f>
        <v>Accessories</v>
      </c>
      <c r="Q249" s="3" t="str">
        <f aca="false">TRIM(raw_data!L249)</f>
        <v>Smart Accessories 572</v>
      </c>
      <c r="R249" s="3" t="str">
        <f aca="false">IF(TRIM(raw_data!M249)="","Unknown",PROPER(TRIM(raw_data!M249)))</f>
        <v>Second Class</v>
      </c>
      <c r="S249" s="3" t="str">
        <f aca="false">IF(TRIM(raw_data!M249)="","Filled - Unknown","OK")</f>
        <v>OK</v>
      </c>
      <c r="T249" s="6" t="n">
        <f aca="false">raw_data!N249</f>
        <v>8</v>
      </c>
      <c r="U249" s="7" t="n">
        <f aca="false">raw_data!O249</f>
        <v>2493.4</v>
      </c>
      <c r="V249" s="8" t="n">
        <f aca="false">raw_data!P249</f>
        <v>0.25</v>
      </c>
      <c r="W249" s="8" t="n">
        <f aca="false">IF(raw_data!P249="",0,IF(ISTEXT(raw_data!P249),IF(RIGHT(raw_data!P249,1)="%",VALUE(LEFT(raw_data!P249,LEN(raw_data!P249)-1))/100,VALUE(raw_data!P249)),raw_data!P249))</f>
        <v>0.25</v>
      </c>
      <c r="X249" s="3" t="str">
        <f aca="false">IF(raw_data!P249="","Missing - Defaulted to 0",IF(W249&lt;0,"Negative - Invalid",IF(W249&gt;0.3,"Above Allowed Range - Invalid","Valid")))</f>
        <v>Valid</v>
      </c>
      <c r="Y249" s="7" t="n">
        <f aca="false">raw_data!Q249</f>
        <v>14960.4</v>
      </c>
      <c r="Z249" s="7" t="n">
        <f aca="false">raw_data!R249</f>
        <v>12500.84</v>
      </c>
      <c r="AA249" s="7" t="n">
        <f aca="false">raw_data!S249</f>
        <v>2459.56</v>
      </c>
      <c r="AB249" s="3" t="str">
        <f aca="false">PROPER(TRIM(raw_data!T249))</f>
        <v>Paid</v>
      </c>
      <c r="AC249" s="3" t="str">
        <f aca="false">PROPER(TRIM(raw_data!U249))</f>
        <v>Completed</v>
      </c>
      <c r="AD249" s="7" t="n">
        <f aca="false">T249*U249*(1-W249)</f>
        <v>14960.4</v>
      </c>
      <c r="AE249" s="7" t="n">
        <f aca="false">AD249-Z249</f>
        <v>2459.56</v>
      </c>
      <c r="AF249" s="8" t="n">
        <f aca="false">IF(AD249=0,0,AE249/AD249)</f>
        <v>0.164404695061629</v>
      </c>
      <c r="AG249" s="3" t="str">
        <f aca="false">IF(ABS(Y249-AD249)&gt;1,"Mismatch","OK")</f>
        <v>OK</v>
      </c>
      <c r="AH249" s="3" t="str">
        <f aca="false">IF(ABS(AA249-AE249)&gt;1,"Mismatch","OK")</f>
        <v>OK</v>
      </c>
      <c r="AI249" s="6" t="n">
        <f aca="false">IF(B249="","",MONTH(B249))</f>
        <v>7</v>
      </c>
      <c r="AJ249" s="6" t="n">
        <f aca="false">IF(B249="","",YEAR(B249))</f>
        <v>2024</v>
      </c>
      <c r="AK249" s="3" t="str">
        <f aca="false">IF(COUNTIF(raw_data!$A$2:$A$913,A249)&gt;1,"Conflicting Duplicate - Flagged for Review","Unique")</f>
        <v>Unique</v>
      </c>
      <c r="AL249" s="3" t="str">
        <f aca="false">IF(AB249="Refunded","Yes","No")</f>
        <v>No</v>
      </c>
      <c r="AM249" s="3" t="str">
        <f aca="false">IF(OR(AC249&lt;&gt;"Completed",AB249="Failed"),"Excluded","Included")</f>
        <v>Included</v>
      </c>
      <c r="AN249" s="3" t="str">
        <f aca="false">IF(OR(D249="Invalid/Unrecognized",E249="Invalid/Unrecognized",G249="Invalid - Ship Before Order",X249="Negative - Invalid",X249="Above Allowed Range - Invalid",AG249="Mismatch",AH249="Mismatch",AK249="Conflicting Duplicate - Flagged for Review"),"Invalid",IF(OR(L249="Filled - Unknown",S249="Filled - Unknown",X249="Missing - Defaulted to 0",AL249="Yes",AC249="Cancelled",AC249="Returned"),"Warning","Clean"))</f>
        <v>Clean</v>
      </c>
    </row>
    <row r="250" customFormat="false" ht="15" hidden="false" customHeight="false" outlineLevel="0" collapsed="false">
      <c r="A250" s="3" t="str">
        <f aca="false">raw_data!A250</f>
        <v>ORD-2024-10249</v>
      </c>
      <c r="B250" s="4" t="n">
        <f aca="false">IFERROR(IF(MID(raw_data!B250,3,1)="/",DATE(VALUE(RIGHT(raw_data!B250,4)),VALUE(LEFT(raw_data!B250,2)),VALUE(MID(raw_data!B250,4,2))),IF(MID(raw_data!B250,3,1)="-",DATE(VALUE(RIGHT(raw_data!B250,4)),VALUE(MID(raw_data!B250,4,2)),VALUE(LEFT(raw_data!B250,2))),IF(MID(raw_data!B250,5,1)="-",DATE(VALUE(LEFT(raw_data!B250,4)),VALUE(MID(raw_data!B250,6,2)),VALUE(RIGHT(raw_data!B250,2))),DATE(VALUE(RIGHT(raw_data!B250,4)),MATCH(MID(raw_data!B250,4,3),{"Jan","Feb","Mar","Apr","May","Jun","Jul","Aug","Sep","Oct","Nov","Dec"},0),VALUE(LEFT(raw_data!B250,2)))))),"")</f>
        <v>45445</v>
      </c>
      <c r="C250" s="4" t="n">
        <f aca="false">IFERROR(IF(MID(raw_data!C250,3,1)="/",DATE(VALUE(RIGHT(raw_data!C250,4)),VALUE(LEFT(raw_data!C250,2)),VALUE(MID(raw_data!C250,4,2))),IF(MID(raw_data!C250,3,1)="-",DATE(VALUE(RIGHT(raw_data!C250,4)),VALUE(MID(raw_data!C250,4,2)),VALUE(LEFT(raw_data!C250,2))),IF(MID(raw_data!C250,5,1)="-",DATE(VALUE(LEFT(raw_data!C250,4)),VALUE(MID(raw_data!C250,6,2)),VALUE(RIGHT(raw_data!C250,2))),DATE(VALUE(RIGHT(raw_data!C250,4)),MATCH(MID(raw_data!C250,4,3),{"Jan","Feb","Mar","Apr","May","Jun","Jul","Aug","Sep","Oct","Nov","Dec"},0),VALUE(LEFT(raw_data!C250,2)))))),"")</f>
        <v>45450</v>
      </c>
      <c r="D250" s="3" t="str">
        <f aca="false">IF(TRIM(raw_data!B250)="","Missing",IF(B250="","Invalid/Unrecognized","Valid"))</f>
        <v>Valid</v>
      </c>
      <c r="E250" s="3" t="str">
        <f aca="false">IF(TRIM(raw_data!C250)="","Missing",IF(C250="","Invalid/Unrecognized","Valid"))</f>
        <v>Valid</v>
      </c>
      <c r="F250" s="5" t="n">
        <f aca="false">IF(OR(B250="",C250=""),"",C250-B250)</f>
        <v>5</v>
      </c>
      <c r="G250" s="3" t="str">
        <f aca="false">IF(F250="","N/A",IF(F250&lt;0,"Invalid - Ship Before Order","OK"))</f>
        <v>OK</v>
      </c>
      <c r="H250" s="3" t="str">
        <f aca="false">raw_data!D250</f>
        <v>CUST-6278</v>
      </c>
      <c r="I250" s="3" t="str">
        <f aca="false">PROPER(TRIM(raw_data!E250))</f>
        <v>Rohan Mehta</v>
      </c>
      <c r="J250" s="3" t="str">
        <f aca="false">PROPER(TRIM(raw_data!F250))</f>
        <v>Home Office</v>
      </c>
      <c r="K250" s="3" t="str">
        <f aca="false">IF(TRIM(raw_data!G250)="","Unknown",PROPER(TRIM(raw_data!G250)))</f>
        <v>East</v>
      </c>
      <c r="L250" s="3" t="str">
        <f aca="false">IF(TRIM(raw_data!G250)="","Filled - Unknown","OK")</f>
        <v>OK</v>
      </c>
      <c r="M250" s="3" t="str">
        <f aca="false">PROPER(TRIM(raw_data!H250))</f>
        <v>Odisha</v>
      </c>
      <c r="N250" s="3" t="str">
        <f aca="false">PROPER(TRIM(raw_data!I250))</f>
        <v>Bhubaneswar</v>
      </c>
      <c r="O250" s="3" t="str">
        <f aca="false">PROPER(TRIM(raw_data!J250))</f>
        <v>Office Supplies</v>
      </c>
      <c r="P250" s="3" t="str">
        <f aca="false">PROPER(TRIM(raw_data!K250))</f>
        <v>Labels</v>
      </c>
      <c r="Q250" s="3" t="str">
        <f aca="false">TRIM(raw_data!L250)</f>
        <v>Basic Labels 432</v>
      </c>
      <c r="R250" s="3" t="str">
        <f aca="false">IF(TRIM(raw_data!M250)="","Unknown",PROPER(TRIM(raw_data!M250)))</f>
        <v>Second Class</v>
      </c>
      <c r="S250" s="3" t="str">
        <f aca="false">IF(TRIM(raw_data!M250)="","Filled - Unknown","OK")</f>
        <v>OK</v>
      </c>
      <c r="T250" s="6" t="n">
        <f aca="false">raw_data!N250</f>
        <v>9</v>
      </c>
      <c r="U250" s="7" t="n">
        <f aca="false">raw_data!O250</f>
        <v>787.91</v>
      </c>
      <c r="V250" s="8" t="n">
        <f aca="false">raw_data!P250</f>
        <v>0.15</v>
      </c>
      <c r="W250" s="8" t="n">
        <f aca="false">IF(raw_data!P250="",0,IF(ISTEXT(raw_data!P250),IF(RIGHT(raw_data!P250,1)="%",VALUE(LEFT(raw_data!P250,LEN(raw_data!P250)-1))/100,VALUE(raw_data!P250)),raw_data!P250))</f>
        <v>0.15</v>
      </c>
      <c r="X250" s="3" t="str">
        <f aca="false">IF(raw_data!P250="","Missing - Defaulted to 0",IF(W250&lt;0,"Negative - Invalid",IF(W250&gt;0.3,"Above Allowed Range - Invalid","Valid")))</f>
        <v>Valid</v>
      </c>
      <c r="Y250" s="7" t="n">
        <f aca="false">raw_data!Q250</f>
        <v>6027.51</v>
      </c>
      <c r="Z250" s="7" t="n">
        <f aca="false">raw_data!R250</f>
        <v>4883.82</v>
      </c>
      <c r="AA250" s="7" t="n">
        <f aca="false">raw_data!S250</f>
        <v>1143.69</v>
      </c>
      <c r="AB250" s="3" t="str">
        <f aca="false">PROPER(TRIM(raw_data!T250))</f>
        <v>Paid</v>
      </c>
      <c r="AC250" s="3" t="str">
        <f aca="false">PROPER(TRIM(raw_data!U250))</f>
        <v>Completed</v>
      </c>
      <c r="AD250" s="7" t="n">
        <f aca="false">T250*U250*(1-W250)</f>
        <v>6027.5115</v>
      </c>
      <c r="AE250" s="7" t="n">
        <f aca="false">AD250-Z250</f>
        <v>1143.6915</v>
      </c>
      <c r="AF250" s="8" t="n">
        <f aca="false">IF(AD250=0,0,AE250/AD250)</f>
        <v>0.189745220726663</v>
      </c>
      <c r="AG250" s="3" t="str">
        <f aca="false">IF(ABS(Y250-AD250)&gt;1,"Mismatch","OK")</f>
        <v>OK</v>
      </c>
      <c r="AH250" s="3" t="str">
        <f aca="false">IF(ABS(AA250-AE250)&gt;1,"Mismatch","OK")</f>
        <v>OK</v>
      </c>
      <c r="AI250" s="6" t="n">
        <f aca="false">IF(B250="","",MONTH(B250))</f>
        <v>6</v>
      </c>
      <c r="AJ250" s="6" t="n">
        <f aca="false">IF(B250="","",YEAR(B250))</f>
        <v>2024</v>
      </c>
      <c r="AK250" s="3" t="str">
        <f aca="false">IF(COUNTIF(raw_data!$A$2:$A$913,A250)&gt;1,"Conflicting Duplicate - Flagged for Review","Unique")</f>
        <v>Unique</v>
      </c>
      <c r="AL250" s="3" t="str">
        <f aca="false">IF(AB250="Refunded","Yes","No")</f>
        <v>No</v>
      </c>
      <c r="AM250" s="3" t="str">
        <f aca="false">IF(OR(AC250&lt;&gt;"Completed",AB250="Failed"),"Excluded","Included")</f>
        <v>Included</v>
      </c>
      <c r="AN250" s="3" t="str">
        <f aca="false">IF(OR(D250="Invalid/Unrecognized",E250="Invalid/Unrecognized",G250="Invalid - Ship Before Order",X250="Negative - Invalid",X250="Above Allowed Range - Invalid",AG250="Mismatch",AH250="Mismatch",AK250="Conflicting Duplicate - Flagged for Review"),"Invalid",IF(OR(L250="Filled - Unknown",S250="Filled - Unknown",X250="Missing - Defaulted to 0",AL250="Yes",AC250="Cancelled",AC250="Returned"),"Warning","Clean"))</f>
        <v>Clean</v>
      </c>
    </row>
    <row r="251" customFormat="false" ht="15" hidden="false" customHeight="false" outlineLevel="0" collapsed="false">
      <c r="A251" s="3" t="str">
        <f aca="false">raw_data!A251</f>
        <v>ORD-2025-10250</v>
      </c>
      <c r="B251" s="4" t="n">
        <f aca="false">IFERROR(IF(MID(raw_data!B251,3,1)="/",DATE(VALUE(RIGHT(raw_data!B251,4)),VALUE(LEFT(raw_data!B251,2)),VALUE(MID(raw_data!B251,4,2))),IF(MID(raw_data!B251,3,1)="-",DATE(VALUE(RIGHT(raw_data!B251,4)),VALUE(MID(raw_data!B251,4,2)),VALUE(LEFT(raw_data!B251,2))),IF(MID(raw_data!B251,5,1)="-",DATE(VALUE(LEFT(raw_data!B251,4)),VALUE(MID(raw_data!B251,6,2)),VALUE(RIGHT(raw_data!B251,2))),DATE(VALUE(RIGHT(raw_data!B251,4)),MATCH(MID(raw_data!B251,4,3),{"Jan","Feb","Mar","Apr","May","Jun","Jul","Aug","Sep","Oct","Nov","Dec"},0),VALUE(LEFT(raw_data!B251,2)))))),"")</f>
        <v>45870</v>
      </c>
      <c r="C251" s="4" t="n">
        <f aca="false">IFERROR(IF(MID(raw_data!C251,3,1)="/",DATE(VALUE(RIGHT(raw_data!C251,4)),VALUE(LEFT(raw_data!C251,2)),VALUE(MID(raw_data!C251,4,2))),IF(MID(raw_data!C251,3,1)="-",DATE(VALUE(RIGHT(raw_data!C251,4)),VALUE(MID(raw_data!C251,4,2)),VALUE(LEFT(raw_data!C251,2))),IF(MID(raw_data!C251,5,1)="-",DATE(VALUE(LEFT(raw_data!C251,4)),VALUE(MID(raw_data!C251,6,2)),VALUE(RIGHT(raw_data!C251,2))),DATE(VALUE(RIGHT(raw_data!C251,4)),MATCH(MID(raw_data!C251,4,3),{"Jan","Feb","Mar","Apr","May","Jun","Jul","Aug","Sep","Oct","Nov","Dec"},0),VALUE(LEFT(raw_data!C251,2)))))),"")</f>
        <v>45871</v>
      </c>
      <c r="D251" s="3" t="str">
        <f aca="false">IF(TRIM(raw_data!B251)="","Missing",IF(B251="","Invalid/Unrecognized","Valid"))</f>
        <v>Valid</v>
      </c>
      <c r="E251" s="3" t="str">
        <f aca="false">IF(TRIM(raw_data!C251)="","Missing",IF(C251="","Invalid/Unrecognized","Valid"))</f>
        <v>Valid</v>
      </c>
      <c r="F251" s="5" t="n">
        <f aca="false">IF(OR(B251="",C251=""),"",C251-B251)</f>
        <v>1</v>
      </c>
      <c r="G251" s="3" t="str">
        <f aca="false">IF(F251="","N/A",IF(F251&lt;0,"Invalid - Ship Before Order","OK"))</f>
        <v>OK</v>
      </c>
      <c r="H251" s="3" t="str">
        <f aca="false">raw_data!D251</f>
        <v>CUST-2305</v>
      </c>
      <c r="I251" s="3" t="str">
        <f aca="false">PROPER(TRIM(raw_data!E251))</f>
        <v>Mira Das</v>
      </c>
      <c r="J251" s="3" t="str">
        <f aca="false">PROPER(TRIM(raw_data!F251))</f>
        <v>Corporate</v>
      </c>
      <c r="K251" s="3" t="str">
        <f aca="false">IF(TRIM(raw_data!G251)="","Unknown",PROPER(TRIM(raw_data!G251)))</f>
        <v>North</v>
      </c>
      <c r="L251" s="3" t="str">
        <f aca="false">IF(TRIM(raw_data!G251)="","Filled - Unknown","OK")</f>
        <v>OK</v>
      </c>
      <c r="M251" s="3" t="str">
        <f aca="false">PROPER(TRIM(raw_data!H251))</f>
        <v>Rajasthan</v>
      </c>
      <c r="N251" s="3" t="str">
        <f aca="false">PROPER(TRIM(raw_data!I251))</f>
        <v>Jaipur</v>
      </c>
      <c r="O251" s="3" t="str">
        <f aca="false">PROPER(TRIM(raw_data!J251))</f>
        <v>Furniture</v>
      </c>
      <c r="P251" s="3" t="str">
        <f aca="false">PROPER(TRIM(raw_data!K251))</f>
        <v>Furnishings</v>
      </c>
      <c r="Q251" s="3" t="str">
        <f aca="false">TRIM(raw_data!L251)</f>
        <v>Classic Furnishings 378</v>
      </c>
      <c r="R251" s="3" t="str">
        <f aca="false">IF(TRIM(raw_data!M251)="","Unknown",PROPER(TRIM(raw_data!M251)))</f>
        <v>First Class</v>
      </c>
      <c r="S251" s="3" t="str">
        <f aca="false">IF(TRIM(raw_data!M251)="","Filled - Unknown","OK")</f>
        <v>OK</v>
      </c>
      <c r="T251" s="6" t="n">
        <f aca="false">raw_data!N251</f>
        <v>4</v>
      </c>
      <c r="U251" s="7" t="n">
        <f aca="false">raw_data!O251</f>
        <v>2790.29</v>
      </c>
      <c r="V251" s="8" t="n">
        <f aca="false">raw_data!P251</f>
        <v>0.2</v>
      </c>
      <c r="W251" s="8" t="n">
        <f aca="false">IF(raw_data!P251="",0,IF(ISTEXT(raw_data!P251),IF(RIGHT(raw_data!P251,1)="%",VALUE(LEFT(raw_data!P251,LEN(raw_data!P251)-1))/100,VALUE(raw_data!P251)),raw_data!P251))</f>
        <v>0.2</v>
      </c>
      <c r="X251" s="3" t="str">
        <f aca="false">IF(raw_data!P251="","Missing - Defaulted to 0",IF(W251&lt;0,"Negative - Invalid",IF(W251&gt;0.3,"Above Allowed Range - Invalid","Valid")))</f>
        <v>Valid</v>
      </c>
      <c r="Y251" s="7" t="n">
        <f aca="false">raw_data!Q251</f>
        <v>8928.93</v>
      </c>
      <c r="Z251" s="7" t="n">
        <f aca="false">raw_data!R251</f>
        <v>5634.38</v>
      </c>
      <c r="AA251" s="7" t="n">
        <f aca="false">raw_data!S251</f>
        <v>3294.55</v>
      </c>
      <c r="AB251" s="3" t="str">
        <f aca="false">PROPER(TRIM(raw_data!T251))</f>
        <v>Paid</v>
      </c>
      <c r="AC251" s="3" t="str">
        <f aca="false">PROPER(TRIM(raw_data!U251))</f>
        <v>Completed</v>
      </c>
      <c r="AD251" s="7" t="n">
        <f aca="false">T251*U251*(1-W251)</f>
        <v>8928.928</v>
      </c>
      <c r="AE251" s="7" t="n">
        <f aca="false">AD251-Z251</f>
        <v>3294.548</v>
      </c>
      <c r="AF251" s="8" t="n">
        <f aca="false">IF(AD251=0,0,AE251/AD251)</f>
        <v>0.368974640628752</v>
      </c>
      <c r="AG251" s="3" t="str">
        <f aca="false">IF(ABS(Y251-AD251)&gt;1,"Mismatch","OK")</f>
        <v>OK</v>
      </c>
      <c r="AH251" s="3" t="str">
        <f aca="false">IF(ABS(AA251-AE251)&gt;1,"Mismatch","OK")</f>
        <v>OK</v>
      </c>
      <c r="AI251" s="6" t="n">
        <f aca="false">IF(B251="","",MONTH(B251))</f>
        <v>8</v>
      </c>
      <c r="AJ251" s="6" t="n">
        <f aca="false">IF(B251="","",YEAR(B251))</f>
        <v>2025</v>
      </c>
      <c r="AK251" s="3" t="str">
        <f aca="false">IF(COUNTIF(raw_data!$A$2:$A$913,A251)&gt;1,"Conflicting Duplicate - Flagged for Review","Unique")</f>
        <v>Unique</v>
      </c>
      <c r="AL251" s="3" t="str">
        <f aca="false">IF(AB251="Refunded","Yes","No")</f>
        <v>No</v>
      </c>
      <c r="AM251" s="3" t="str">
        <f aca="false">IF(OR(AC251&lt;&gt;"Completed",AB251="Failed"),"Excluded","Included")</f>
        <v>Included</v>
      </c>
      <c r="AN251" s="3" t="str">
        <f aca="false">IF(OR(D251="Invalid/Unrecognized",E251="Invalid/Unrecognized",G251="Invalid - Ship Before Order",X251="Negative - Invalid",X251="Above Allowed Range - Invalid",AG251="Mismatch",AH251="Mismatch",AK251="Conflicting Duplicate - Flagged for Review"),"Invalid",IF(OR(L251="Filled - Unknown",S251="Filled - Unknown",X251="Missing - Defaulted to 0",AL251="Yes",AC251="Cancelled",AC251="Returned"),"Warning","Clean"))</f>
        <v>Clean</v>
      </c>
    </row>
    <row r="252" customFormat="false" ht="15" hidden="false" customHeight="false" outlineLevel="0" collapsed="false">
      <c r="A252" s="3" t="str">
        <f aca="false">raw_data!A252</f>
        <v>ORD-2024-10251</v>
      </c>
      <c r="B252" s="4" t="n">
        <f aca="false">IFERROR(IF(MID(raw_data!B252,3,1)="/",DATE(VALUE(RIGHT(raw_data!B252,4)),VALUE(LEFT(raw_data!B252,2)),VALUE(MID(raw_data!B252,4,2))),IF(MID(raw_data!B252,3,1)="-",DATE(VALUE(RIGHT(raw_data!B252,4)),VALUE(MID(raw_data!B252,4,2)),VALUE(LEFT(raw_data!B252,2))),IF(MID(raw_data!B252,5,1)="-",DATE(VALUE(LEFT(raw_data!B252,4)),VALUE(MID(raw_data!B252,6,2)),VALUE(RIGHT(raw_data!B252,2))),DATE(VALUE(RIGHT(raw_data!B252,4)),MATCH(MID(raw_data!B252,4,3),{"Jan","Feb","Mar","Apr","May","Jun","Jul","Aug","Sep","Oct","Nov","Dec"},0),VALUE(LEFT(raw_data!B252,2)))))),"")</f>
        <v>45343</v>
      </c>
      <c r="C252" s="4" t="n">
        <f aca="false">IFERROR(IF(MID(raw_data!C252,3,1)="/",DATE(VALUE(RIGHT(raw_data!C252,4)),VALUE(LEFT(raw_data!C252,2)),VALUE(MID(raw_data!C252,4,2))),IF(MID(raw_data!C252,3,1)="-",DATE(VALUE(RIGHT(raw_data!C252,4)),VALUE(MID(raw_data!C252,4,2)),VALUE(LEFT(raw_data!C252,2))),IF(MID(raw_data!C252,5,1)="-",DATE(VALUE(LEFT(raw_data!C252,4)),VALUE(MID(raw_data!C252,6,2)),VALUE(RIGHT(raw_data!C252,2))),DATE(VALUE(RIGHT(raw_data!C252,4)),MATCH(MID(raw_data!C252,4,3),{"Jan","Feb","Mar","Apr","May","Jun","Jul","Aug","Sep","Oct","Nov","Dec"},0),VALUE(LEFT(raw_data!C252,2)))))),"")</f>
        <v>45349</v>
      </c>
      <c r="D252" s="3" t="str">
        <f aca="false">IF(TRIM(raw_data!B252)="","Missing",IF(B252="","Invalid/Unrecognized","Valid"))</f>
        <v>Valid</v>
      </c>
      <c r="E252" s="3" t="str">
        <f aca="false">IF(TRIM(raw_data!C252)="","Missing",IF(C252="","Invalid/Unrecognized","Valid"))</f>
        <v>Valid</v>
      </c>
      <c r="F252" s="5" t="n">
        <f aca="false">IF(OR(B252="",C252=""),"",C252-B252)</f>
        <v>6</v>
      </c>
      <c r="G252" s="3" t="str">
        <f aca="false">IF(F252="","N/A",IF(F252&lt;0,"Invalid - Ship Before Order","OK"))</f>
        <v>OK</v>
      </c>
      <c r="H252" s="3" t="str">
        <f aca="false">raw_data!D252</f>
        <v>CUST-5351</v>
      </c>
      <c r="I252" s="3" t="str">
        <f aca="false">PROPER(TRIM(raw_data!E252))</f>
        <v>Arjun Bose</v>
      </c>
      <c r="J252" s="3" t="str">
        <f aca="false">PROPER(TRIM(raw_data!F252))</f>
        <v>Small Business</v>
      </c>
      <c r="K252" s="3" t="str">
        <f aca="false">IF(TRIM(raw_data!G252)="","Unknown",PROPER(TRIM(raw_data!G252)))</f>
        <v>East</v>
      </c>
      <c r="L252" s="3" t="str">
        <f aca="false">IF(TRIM(raw_data!G252)="","Filled - Unknown","OK")</f>
        <v>OK</v>
      </c>
      <c r="M252" s="3" t="str">
        <f aca="false">PROPER(TRIM(raw_data!H252))</f>
        <v>West Bengal</v>
      </c>
      <c r="N252" s="3" t="str">
        <f aca="false">PROPER(TRIM(raw_data!I252))</f>
        <v>Kolkata</v>
      </c>
      <c r="O252" s="3" t="str">
        <f aca="false">PROPER(TRIM(raw_data!J252))</f>
        <v>Furniture</v>
      </c>
      <c r="P252" s="3" t="str">
        <f aca="false">PROPER(TRIM(raw_data!K252))</f>
        <v>Furnishings</v>
      </c>
      <c r="Q252" s="3" t="str">
        <f aca="false">TRIM(raw_data!L252)</f>
        <v>Prime Furnishings 781</v>
      </c>
      <c r="R252" s="3" t="str">
        <f aca="false">IF(TRIM(raw_data!M252)="","Unknown",PROPER(TRIM(raw_data!M252)))</f>
        <v>Standard Class</v>
      </c>
      <c r="S252" s="3" t="str">
        <f aca="false">IF(TRIM(raw_data!M252)="","Filled - Unknown","OK")</f>
        <v>OK</v>
      </c>
      <c r="T252" s="6" t="n">
        <f aca="false">raw_data!N252</f>
        <v>5</v>
      </c>
      <c r="U252" s="7" t="n">
        <f aca="false">raw_data!O252</f>
        <v>3373.86</v>
      </c>
      <c r="V252" s="8" t="n">
        <f aca="false">raw_data!P252</f>
        <v>0.15</v>
      </c>
      <c r="W252" s="8" t="n">
        <f aca="false">IF(raw_data!P252="",0,IF(ISTEXT(raw_data!P252),IF(RIGHT(raw_data!P252,1)="%",VALUE(LEFT(raw_data!P252,LEN(raw_data!P252)-1))/100,VALUE(raw_data!P252)),raw_data!P252))</f>
        <v>0.15</v>
      </c>
      <c r="X252" s="3" t="str">
        <f aca="false">IF(raw_data!P252="","Missing - Defaulted to 0",IF(W252&lt;0,"Negative - Invalid",IF(W252&gt;0.3,"Above Allowed Range - Invalid","Valid")))</f>
        <v>Valid</v>
      </c>
      <c r="Y252" s="7" t="n">
        <f aca="false">raw_data!Q252</f>
        <v>14338.9</v>
      </c>
      <c r="Z252" s="7" t="n">
        <f aca="false">raw_data!R252</f>
        <v>11897.65</v>
      </c>
      <c r="AA252" s="7" t="n">
        <f aca="false">raw_data!S252</f>
        <v>2441.25</v>
      </c>
      <c r="AB252" s="3" t="str">
        <f aca="false">PROPER(TRIM(raw_data!T252))</f>
        <v>Pending</v>
      </c>
      <c r="AC252" s="3" t="str">
        <f aca="false">PROPER(TRIM(raw_data!U252))</f>
        <v>Returned</v>
      </c>
      <c r="AD252" s="7" t="n">
        <f aca="false">T252*U252*(1-W252)</f>
        <v>14338.905</v>
      </c>
      <c r="AE252" s="7" t="n">
        <f aca="false">AD252-Z252</f>
        <v>2441.255</v>
      </c>
      <c r="AF252" s="8" t="n">
        <f aca="false">IF(AD252=0,0,AE252/AD252)</f>
        <v>0.170253935011076</v>
      </c>
      <c r="AG252" s="3" t="str">
        <f aca="false">IF(ABS(Y252-AD252)&gt;1,"Mismatch","OK")</f>
        <v>OK</v>
      </c>
      <c r="AH252" s="3" t="str">
        <f aca="false">IF(ABS(AA252-AE252)&gt;1,"Mismatch","OK")</f>
        <v>OK</v>
      </c>
      <c r="AI252" s="6" t="n">
        <f aca="false">IF(B252="","",MONTH(B252))</f>
        <v>2</v>
      </c>
      <c r="AJ252" s="6" t="n">
        <f aca="false">IF(B252="","",YEAR(B252))</f>
        <v>2024</v>
      </c>
      <c r="AK252" s="3" t="str">
        <f aca="false">IF(COUNTIF(raw_data!$A$2:$A$913,A252)&gt;1,"Conflicting Duplicate - Flagged for Review","Unique")</f>
        <v>Unique</v>
      </c>
      <c r="AL252" s="3" t="str">
        <f aca="false">IF(AB252="Refunded","Yes","No")</f>
        <v>No</v>
      </c>
      <c r="AM252" s="3" t="str">
        <f aca="false">IF(OR(AC252&lt;&gt;"Completed",AB252="Failed"),"Excluded","Included")</f>
        <v>Excluded</v>
      </c>
      <c r="AN252" s="3" t="str">
        <f aca="false">IF(OR(D252="Invalid/Unrecognized",E252="Invalid/Unrecognized",G252="Invalid - Ship Before Order",X252="Negative - Invalid",X252="Above Allowed Range - Invalid",AG252="Mismatch",AH252="Mismatch",AK252="Conflicting Duplicate - Flagged for Review"),"Invalid",IF(OR(L252="Filled - Unknown",S252="Filled - Unknown",X252="Missing - Defaulted to 0",AL252="Yes",AC252="Cancelled",AC252="Returned"),"Warning","Clean"))</f>
        <v>Warning</v>
      </c>
    </row>
    <row r="253" customFormat="false" ht="15" hidden="false" customHeight="false" outlineLevel="0" collapsed="false">
      <c r="A253" s="3" t="str">
        <f aca="false">raw_data!A253</f>
        <v>ORD-2025-10252</v>
      </c>
      <c r="B253" s="4" t="n">
        <f aca="false">IFERROR(IF(MID(raw_data!B253,3,1)="/",DATE(VALUE(RIGHT(raw_data!B253,4)),VALUE(LEFT(raw_data!B253,2)),VALUE(MID(raw_data!B253,4,2))),IF(MID(raw_data!B253,3,1)="-",DATE(VALUE(RIGHT(raw_data!B253,4)),VALUE(MID(raw_data!B253,4,2)),VALUE(LEFT(raw_data!B253,2))),IF(MID(raw_data!B253,5,1)="-",DATE(VALUE(LEFT(raw_data!B253,4)),VALUE(MID(raw_data!B253,6,2)),VALUE(RIGHT(raw_data!B253,2))),DATE(VALUE(RIGHT(raw_data!B253,4)),MATCH(MID(raw_data!B253,4,3),{"Jan","Feb","Mar","Apr","May","Jun","Jul","Aug","Sep","Oct","Nov","Dec"},0),VALUE(LEFT(raw_data!B253,2)))))),"")</f>
        <v>45753</v>
      </c>
      <c r="C253" s="4" t="n">
        <f aca="false">IFERROR(IF(MID(raw_data!C253,3,1)="/",DATE(VALUE(RIGHT(raw_data!C253,4)),VALUE(LEFT(raw_data!C253,2)),VALUE(MID(raw_data!C253,4,2))),IF(MID(raw_data!C253,3,1)="-",DATE(VALUE(RIGHT(raw_data!C253,4)),VALUE(MID(raw_data!C253,4,2)),VALUE(LEFT(raw_data!C253,2))),IF(MID(raw_data!C253,5,1)="-",DATE(VALUE(LEFT(raw_data!C253,4)),VALUE(MID(raw_data!C253,6,2)),VALUE(RIGHT(raw_data!C253,2))),DATE(VALUE(RIGHT(raw_data!C253,4)),MATCH(MID(raw_data!C253,4,3),{"Jan","Feb","Mar","Apr","May","Jun","Jul","Aug","Sep","Oct","Nov","Dec"},0),VALUE(LEFT(raw_data!C253,2)))))),"")</f>
        <v>45757</v>
      </c>
      <c r="D253" s="3" t="str">
        <f aca="false">IF(TRIM(raw_data!B253)="","Missing",IF(B253="","Invalid/Unrecognized","Valid"))</f>
        <v>Valid</v>
      </c>
      <c r="E253" s="3" t="str">
        <f aca="false">IF(TRIM(raw_data!C253)="","Missing",IF(C253="","Invalid/Unrecognized","Valid"))</f>
        <v>Valid</v>
      </c>
      <c r="F253" s="5" t="n">
        <f aca="false">IF(OR(B253="",C253=""),"",C253-B253)</f>
        <v>4</v>
      </c>
      <c r="G253" s="3" t="str">
        <f aca="false">IF(F253="","N/A",IF(F253&lt;0,"Invalid - Ship Before Order","OK"))</f>
        <v>OK</v>
      </c>
      <c r="H253" s="3" t="str">
        <f aca="false">raw_data!D253</f>
        <v>CUST-6268</v>
      </c>
      <c r="I253" s="3" t="str">
        <f aca="false">PROPER(TRIM(raw_data!E253))</f>
        <v>Ananya Rao</v>
      </c>
      <c r="J253" s="3" t="str">
        <f aca="false">PROPER(TRIM(raw_data!F253))</f>
        <v>Corporate</v>
      </c>
      <c r="K253" s="3" t="str">
        <f aca="false">IF(TRIM(raw_data!G253)="","Unknown",PROPER(TRIM(raw_data!G253)))</f>
        <v>West</v>
      </c>
      <c r="L253" s="3" t="str">
        <f aca="false">IF(TRIM(raw_data!G253)="","Filled - Unknown","OK")</f>
        <v>OK</v>
      </c>
      <c r="M253" s="3" t="str">
        <f aca="false">PROPER(TRIM(raw_data!H253))</f>
        <v>Gujarat</v>
      </c>
      <c r="N253" s="3" t="str">
        <f aca="false">PROPER(TRIM(raw_data!I253))</f>
        <v>Ahmedabad</v>
      </c>
      <c r="O253" s="3" t="str">
        <f aca="false">PROPER(TRIM(raw_data!J253))</f>
        <v>Furniture</v>
      </c>
      <c r="P253" s="3" t="str">
        <f aca="false">PROPER(TRIM(raw_data!K253))</f>
        <v>Tables</v>
      </c>
      <c r="Q253" s="3" t="str">
        <f aca="false">TRIM(raw_data!L253)</f>
        <v>Prime Tables 263</v>
      </c>
      <c r="R253" s="3" t="str">
        <f aca="false">IF(TRIM(raw_data!M253)="","Unknown",PROPER(TRIM(raw_data!M253)))</f>
        <v>Second Class</v>
      </c>
      <c r="S253" s="3" t="str">
        <f aca="false">IF(TRIM(raw_data!M253)="","Filled - Unknown","OK")</f>
        <v>OK</v>
      </c>
      <c r="T253" s="6" t="n">
        <f aca="false">raw_data!N253</f>
        <v>6</v>
      </c>
      <c r="U253" s="7" t="n">
        <f aca="false">raw_data!O253</f>
        <v>1022.16</v>
      </c>
      <c r="V253" s="8" t="n">
        <f aca="false">raw_data!P253</f>
        <v>0</v>
      </c>
      <c r="W253" s="8" t="n">
        <f aca="false">IF(raw_data!P253="",0,IF(ISTEXT(raw_data!P253),IF(RIGHT(raw_data!P253,1)="%",VALUE(LEFT(raw_data!P253,LEN(raw_data!P253)-1))/100,VALUE(raw_data!P253)),raw_data!P253))</f>
        <v>0</v>
      </c>
      <c r="X253" s="3" t="str">
        <f aca="false">IF(raw_data!P253="","Missing - Defaulted to 0",IF(W253&lt;0,"Negative - Invalid",IF(W253&gt;0.3,"Above Allowed Range - Invalid","Valid")))</f>
        <v>Valid</v>
      </c>
      <c r="Y253" s="7" t="n">
        <f aca="false">raw_data!Q253</f>
        <v>6132.96</v>
      </c>
      <c r="Z253" s="7" t="n">
        <f aca="false">raw_data!R253</f>
        <v>4881.1</v>
      </c>
      <c r="AA253" s="7" t="n">
        <f aca="false">raw_data!S253</f>
        <v>1251.86</v>
      </c>
      <c r="AB253" s="3" t="str">
        <f aca="false">PROPER(TRIM(raw_data!T253))</f>
        <v>Paid</v>
      </c>
      <c r="AC253" s="3" t="str">
        <f aca="false">PROPER(TRIM(raw_data!U253))</f>
        <v>Completed</v>
      </c>
      <c r="AD253" s="7" t="n">
        <f aca="false">T253*U253*(1-W253)</f>
        <v>6132.96</v>
      </c>
      <c r="AE253" s="7" t="n">
        <f aca="false">AD253-Z253</f>
        <v>1251.86</v>
      </c>
      <c r="AF253" s="8" t="n">
        <f aca="false">IF(AD253=0,0,AE253/AD253)</f>
        <v>0.204120033393337</v>
      </c>
      <c r="AG253" s="3" t="str">
        <f aca="false">IF(ABS(Y253-AD253)&gt;1,"Mismatch","OK")</f>
        <v>OK</v>
      </c>
      <c r="AH253" s="3" t="str">
        <f aca="false">IF(ABS(AA253-AE253)&gt;1,"Mismatch","OK")</f>
        <v>OK</v>
      </c>
      <c r="AI253" s="6" t="n">
        <f aca="false">IF(B253="","",MONTH(B253))</f>
        <v>4</v>
      </c>
      <c r="AJ253" s="6" t="n">
        <f aca="false">IF(B253="","",YEAR(B253))</f>
        <v>2025</v>
      </c>
      <c r="AK253" s="3" t="str">
        <f aca="false">IF(COUNTIF(raw_data!$A$2:$A$913,A253)&gt;1,"Conflicting Duplicate - Flagged for Review","Unique")</f>
        <v>Unique</v>
      </c>
      <c r="AL253" s="3" t="str">
        <f aca="false">IF(AB253="Refunded","Yes","No")</f>
        <v>No</v>
      </c>
      <c r="AM253" s="3" t="str">
        <f aca="false">IF(OR(AC253&lt;&gt;"Completed",AB253="Failed"),"Excluded","Included")</f>
        <v>Included</v>
      </c>
      <c r="AN253" s="3" t="str">
        <f aca="false">IF(OR(D253="Invalid/Unrecognized",E253="Invalid/Unrecognized",G253="Invalid - Ship Before Order",X253="Negative - Invalid",X253="Above Allowed Range - Invalid",AG253="Mismatch",AH253="Mismatch",AK253="Conflicting Duplicate - Flagged for Review"),"Invalid",IF(OR(L253="Filled - Unknown",S253="Filled - Unknown",X253="Missing - Defaulted to 0",AL253="Yes",AC253="Cancelled",AC253="Returned"),"Warning","Clean"))</f>
        <v>Clean</v>
      </c>
    </row>
    <row r="254" customFormat="false" ht="15" hidden="false" customHeight="false" outlineLevel="0" collapsed="false">
      <c r="A254" s="3" t="str">
        <f aca="false">raw_data!A254</f>
        <v>ORD-2025-10253</v>
      </c>
      <c r="B254" s="4" t="n">
        <f aca="false">IFERROR(IF(MID(raw_data!B254,3,1)="/",DATE(VALUE(RIGHT(raw_data!B254,4)),VALUE(LEFT(raw_data!B254,2)),VALUE(MID(raw_data!B254,4,2))),IF(MID(raw_data!B254,3,1)="-",DATE(VALUE(RIGHT(raw_data!B254,4)),VALUE(MID(raw_data!B254,4,2)),VALUE(LEFT(raw_data!B254,2))),IF(MID(raw_data!B254,5,1)="-",DATE(VALUE(LEFT(raw_data!B254,4)),VALUE(MID(raw_data!B254,6,2)),VALUE(RIGHT(raw_data!B254,2))),DATE(VALUE(RIGHT(raw_data!B254,4)),MATCH(MID(raw_data!B254,4,3),{"Jan","Feb","Mar","Apr","May","Jun","Jul","Aug","Sep","Oct","Nov","Dec"},0),VALUE(LEFT(raw_data!B254,2)))))),"")</f>
        <v>45833</v>
      </c>
      <c r="C254" s="4" t="n">
        <f aca="false">IFERROR(IF(MID(raw_data!C254,3,1)="/",DATE(VALUE(RIGHT(raw_data!C254,4)),VALUE(LEFT(raw_data!C254,2)),VALUE(MID(raw_data!C254,4,2))),IF(MID(raw_data!C254,3,1)="-",DATE(VALUE(RIGHT(raw_data!C254,4)),VALUE(MID(raw_data!C254,4,2)),VALUE(LEFT(raw_data!C254,2))),IF(MID(raw_data!C254,5,1)="-",DATE(VALUE(LEFT(raw_data!C254,4)),VALUE(MID(raw_data!C254,6,2)),VALUE(RIGHT(raw_data!C254,2))),DATE(VALUE(RIGHT(raw_data!C254,4)),MATCH(MID(raw_data!C254,4,3),{"Jan","Feb","Mar","Apr","May","Jun","Jul","Aug","Sep","Oct","Nov","Dec"},0),VALUE(LEFT(raw_data!C254,2)))))),"")</f>
        <v>45836</v>
      </c>
      <c r="D254" s="3" t="str">
        <f aca="false">IF(TRIM(raw_data!B254)="","Missing",IF(B254="","Invalid/Unrecognized","Valid"))</f>
        <v>Valid</v>
      </c>
      <c r="E254" s="3" t="str">
        <f aca="false">IF(TRIM(raw_data!C254)="","Missing",IF(C254="","Invalid/Unrecognized","Valid"))</f>
        <v>Valid</v>
      </c>
      <c r="F254" s="5" t="n">
        <f aca="false">IF(OR(B254="",C254=""),"",C254-B254)</f>
        <v>3</v>
      </c>
      <c r="G254" s="3" t="str">
        <f aca="false">IF(F254="","N/A",IF(F254&lt;0,"Invalid - Ship Before Order","OK"))</f>
        <v>OK</v>
      </c>
      <c r="H254" s="3" t="str">
        <f aca="false">raw_data!D254</f>
        <v>CUST-2103</v>
      </c>
      <c r="I254" s="3" t="str">
        <f aca="false">PROPER(TRIM(raw_data!E254))</f>
        <v>Arjun Bose</v>
      </c>
      <c r="J254" s="3" t="str">
        <f aca="false">PROPER(TRIM(raw_data!F254))</f>
        <v>Corporate</v>
      </c>
      <c r="K254" s="3" t="str">
        <f aca="false">IF(TRIM(raw_data!G254)="","Unknown",PROPER(TRIM(raw_data!G254)))</f>
        <v>North</v>
      </c>
      <c r="L254" s="3" t="str">
        <f aca="false">IF(TRIM(raw_data!G254)="","Filled - Unknown","OK")</f>
        <v>OK</v>
      </c>
      <c r="M254" s="3" t="str">
        <f aca="false">PROPER(TRIM(raw_data!H254))</f>
        <v>Haryana</v>
      </c>
      <c r="N254" s="3" t="str">
        <f aca="false">PROPER(TRIM(raw_data!I254))</f>
        <v>Gurugram</v>
      </c>
      <c r="O254" s="3" t="str">
        <f aca="false">PROPER(TRIM(raw_data!J254))</f>
        <v>Office Supplies</v>
      </c>
      <c r="P254" s="3" t="str">
        <f aca="false">PROPER(TRIM(raw_data!K254))</f>
        <v>Storage</v>
      </c>
      <c r="Q254" s="3" t="str">
        <f aca="false">TRIM(raw_data!L254)</f>
        <v>Basic Storage 269</v>
      </c>
      <c r="R254" s="3" t="str">
        <f aca="false">IF(TRIM(raw_data!M254)="","Unknown",PROPER(TRIM(raw_data!M254)))</f>
        <v>First Class</v>
      </c>
      <c r="S254" s="3" t="str">
        <f aca="false">IF(TRIM(raw_data!M254)="","Filled - Unknown","OK")</f>
        <v>OK</v>
      </c>
      <c r="T254" s="6" t="n">
        <f aca="false">raw_data!N254</f>
        <v>2</v>
      </c>
      <c r="U254" s="7" t="n">
        <f aca="false">raw_data!O254</f>
        <v>1455.92</v>
      </c>
      <c r="V254" s="8" t="n">
        <f aca="false">raw_data!P254</f>
        <v>0.2</v>
      </c>
      <c r="W254" s="8" t="n">
        <f aca="false">IF(raw_data!P254="",0,IF(ISTEXT(raw_data!P254),IF(RIGHT(raw_data!P254,1)="%",VALUE(LEFT(raw_data!P254,LEN(raw_data!P254)-1))/100,VALUE(raw_data!P254)),raw_data!P254))</f>
        <v>0.2</v>
      </c>
      <c r="X254" s="3" t="str">
        <f aca="false">IF(raw_data!P254="","Missing - Defaulted to 0",IF(W254&lt;0,"Negative - Invalid",IF(W254&gt;0.3,"Above Allowed Range - Invalid","Valid")))</f>
        <v>Valid</v>
      </c>
      <c r="Y254" s="7" t="n">
        <f aca="false">raw_data!Q254</f>
        <v>2329.47</v>
      </c>
      <c r="Z254" s="7" t="n">
        <f aca="false">raw_data!R254</f>
        <v>1603.62</v>
      </c>
      <c r="AA254" s="7" t="n">
        <f aca="false">raw_data!S254</f>
        <v>725.85</v>
      </c>
      <c r="AB254" s="3" t="str">
        <f aca="false">PROPER(TRIM(raw_data!T254))</f>
        <v>Pending</v>
      </c>
      <c r="AC254" s="3" t="str">
        <f aca="false">PROPER(TRIM(raw_data!U254))</f>
        <v>Returned</v>
      </c>
      <c r="AD254" s="7" t="n">
        <f aca="false">T254*U254*(1-W254)</f>
        <v>2329.472</v>
      </c>
      <c r="AE254" s="7" t="n">
        <f aca="false">AD254-Z254</f>
        <v>725.852</v>
      </c>
      <c r="AF254" s="8" t="n">
        <f aca="false">IF(AD254=0,0,AE254/AD254)</f>
        <v>0.31159507390516</v>
      </c>
      <c r="AG254" s="3" t="str">
        <f aca="false">IF(ABS(Y254-AD254)&gt;1,"Mismatch","OK")</f>
        <v>OK</v>
      </c>
      <c r="AH254" s="3" t="str">
        <f aca="false">IF(ABS(AA254-AE254)&gt;1,"Mismatch","OK")</f>
        <v>OK</v>
      </c>
      <c r="AI254" s="6" t="n">
        <f aca="false">IF(B254="","",MONTH(B254))</f>
        <v>6</v>
      </c>
      <c r="AJ254" s="6" t="n">
        <f aca="false">IF(B254="","",YEAR(B254))</f>
        <v>2025</v>
      </c>
      <c r="AK254" s="3" t="str">
        <f aca="false">IF(COUNTIF(raw_data!$A$2:$A$913,A254)&gt;1,"Conflicting Duplicate - Flagged for Review","Unique")</f>
        <v>Unique</v>
      </c>
      <c r="AL254" s="3" t="str">
        <f aca="false">IF(AB254="Refunded","Yes","No")</f>
        <v>No</v>
      </c>
      <c r="AM254" s="3" t="str">
        <f aca="false">IF(OR(AC254&lt;&gt;"Completed",AB254="Failed"),"Excluded","Included")</f>
        <v>Excluded</v>
      </c>
      <c r="AN254" s="3" t="str">
        <f aca="false">IF(OR(D254="Invalid/Unrecognized",E254="Invalid/Unrecognized",G254="Invalid - Ship Before Order",X254="Negative - Invalid",X254="Above Allowed Range - Invalid",AG254="Mismatch",AH254="Mismatch",AK254="Conflicting Duplicate - Flagged for Review"),"Invalid",IF(OR(L254="Filled - Unknown",S254="Filled - Unknown",X254="Missing - Defaulted to 0",AL254="Yes",AC254="Cancelled",AC254="Returned"),"Warning","Clean"))</f>
        <v>Warning</v>
      </c>
    </row>
    <row r="255" customFormat="false" ht="15" hidden="false" customHeight="false" outlineLevel="0" collapsed="false">
      <c r="A255" s="3" t="str">
        <f aca="false">raw_data!A255</f>
        <v>ORD-2024-10254</v>
      </c>
      <c r="B255" s="4" t="n">
        <f aca="false">IFERROR(IF(MID(raw_data!B255,3,1)="/",DATE(VALUE(RIGHT(raw_data!B255,4)),VALUE(LEFT(raw_data!B255,2)),VALUE(MID(raw_data!B255,4,2))),IF(MID(raw_data!B255,3,1)="-",DATE(VALUE(RIGHT(raw_data!B255,4)),VALUE(MID(raw_data!B255,4,2)),VALUE(LEFT(raw_data!B255,2))),IF(MID(raw_data!B255,5,1)="-",DATE(VALUE(LEFT(raw_data!B255,4)),VALUE(MID(raw_data!B255,6,2)),VALUE(RIGHT(raw_data!B255,2))),DATE(VALUE(RIGHT(raw_data!B255,4)),MATCH(MID(raw_data!B255,4,3),{"Jan","Feb","Mar","Apr","May","Jun","Jul","Aug","Sep","Oct","Nov","Dec"},0),VALUE(LEFT(raw_data!B255,2)))))),"")</f>
        <v>45547</v>
      </c>
      <c r="C255" s="4" t="n">
        <f aca="false">IFERROR(IF(MID(raw_data!C255,3,1)="/",DATE(VALUE(RIGHT(raw_data!C255,4)),VALUE(LEFT(raw_data!C255,2)),VALUE(MID(raw_data!C255,4,2))),IF(MID(raw_data!C255,3,1)="-",DATE(VALUE(RIGHT(raw_data!C255,4)),VALUE(MID(raw_data!C255,4,2)),VALUE(LEFT(raw_data!C255,2))),IF(MID(raw_data!C255,5,1)="-",DATE(VALUE(LEFT(raw_data!C255,4)),VALUE(MID(raw_data!C255,6,2)),VALUE(RIGHT(raw_data!C255,2))),DATE(VALUE(RIGHT(raw_data!C255,4)),MATCH(MID(raw_data!C255,4,3),{"Jan","Feb","Mar","Apr","May","Jun","Jul","Aug","Sep","Oct","Nov","Dec"},0),VALUE(LEFT(raw_data!C255,2)))))),"")</f>
        <v>45548</v>
      </c>
      <c r="D255" s="3" t="str">
        <f aca="false">IF(TRIM(raw_data!B255)="","Missing",IF(B255="","Invalid/Unrecognized","Valid"))</f>
        <v>Valid</v>
      </c>
      <c r="E255" s="3" t="str">
        <f aca="false">IF(TRIM(raw_data!C255)="","Missing",IF(C255="","Invalid/Unrecognized","Valid"))</f>
        <v>Valid</v>
      </c>
      <c r="F255" s="5" t="n">
        <f aca="false">IF(OR(B255="",C255=""),"",C255-B255)</f>
        <v>1</v>
      </c>
      <c r="G255" s="3" t="str">
        <f aca="false">IF(F255="","N/A",IF(F255&lt;0,"Invalid - Ship Before Order","OK"))</f>
        <v>OK</v>
      </c>
      <c r="H255" s="3" t="str">
        <f aca="false">raw_data!D255</f>
        <v>CUST-5394</v>
      </c>
      <c r="I255" s="3" t="str">
        <f aca="false">PROPER(TRIM(raw_data!E255))</f>
        <v>Priya Menon</v>
      </c>
      <c r="J255" s="3" t="str">
        <f aca="false">PROPER(TRIM(raw_data!F255))</f>
        <v>Small Business</v>
      </c>
      <c r="K255" s="3" t="str">
        <f aca="false">IF(TRIM(raw_data!G255)="","Unknown",PROPER(TRIM(raw_data!G255)))</f>
        <v>North</v>
      </c>
      <c r="L255" s="3" t="str">
        <f aca="false">IF(TRIM(raw_data!G255)="","Filled - Unknown","OK")</f>
        <v>OK</v>
      </c>
      <c r="M255" s="3" t="str">
        <f aca="false">PROPER(TRIM(raw_data!H255))</f>
        <v>Rajasthan</v>
      </c>
      <c r="N255" s="3" t="str">
        <f aca="false">PROPER(TRIM(raw_data!I255))</f>
        <v>Jaipur</v>
      </c>
      <c r="O255" s="3" t="str">
        <f aca="false">PROPER(TRIM(raw_data!J255))</f>
        <v>Technology</v>
      </c>
      <c r="P255" s="3" t="str">
        <f aca="false">PROPER(TRIM(raw_data!K255))</f>
        <v>Phones</v>
      </c>
      <c r="Q255" s="3" t="str">
        <f aca="false">TRIM(raw_data!L255)</f>
        <v>Classic Phones 442</v>
      </c>
      <c r="R255" s="3" t="str">
        <f aca="false">IF(TRIM(raw_data!M255)="","Unknown",PROPER(TRIM(raw_data!M255)))</f>
        <v>Same Day</v>
      </c>
      <c r="S255" s="3" t="str">
        <f aca="false">IF(TRIM(raw_data!M255)="","Filled - Unknown","OK")</f>
        <v>OK</v>
      </c>
      <c r="T255" s="6" t="n">
        <f aca="false">raw_data!N255</f>
        <v>6</v>
      </c>
      <c r="U255" s="7" t="n">
        <f aca="false">raw_data!O255</f>
        <v>832.79</v>
      </c>
      <c r="V255" s="8" t="n">
        <f aca="false">raw_data!P255</f>
        <v>0.05</v>
      </c>
      <c r="W255" s="8" t="n">
        <f aca="false">IF(raw_data!P255="",0,IF(ISTEXT(raw_data!P255),IF(RIGHT(raw_data!P255,1)="%",VALUE(LEFT(raw_data!P255,LEN(raw_data!P255)-1))/100,VALUE(raw_data!P255)),raw_data!P255))</f>
        <v>0.05</v>
      </c>
      <c r="X255" s="3" t="str">
        <f aca="false">IF(raw_data!P255="","Missing - Defaulted to 0",IF(W255&lt;0,"Negative - Invalid",IF(W255&gt;0.3,"Above Allowed Range - Invalid","Valid")))</f>
        <v>Valid</v>
      </c>
      <c r="Y255" s="7" t="n">
        <f aca="false">raw_data!Q255</f>
        <v>4746.9</v>
      </c>
      <c r="Z255" s="7" t="n">
        <f aca="false">raw_data!R255</f>
        <v>2825.38</v>
      </c>
      <c r="AA255" s="7" t="n">
        <f aca="false">raw_data!S255</f>
        <v>1472.89</v>
      </c>
      <c r="AB255" s="3" t="str">
        <f aca="false">PROPER(TRIM(raw_data!T255))</f>
        <v>Refunded</v>
      </c>
      <c r="AC255" s="3" t="str">
        <f aca="false">PROPER(TRIM(raw_data!U255))</f>
        <v>Cancelled</v>
      </c>
      <c r="AD255" s="7" t="n">
        <f aca="false">T255*U255*(1-W255)</f>
        <v>4746.903</v>
      </c>
      <c r="AE255" s="7" t="n">
        <f aca="false">AD255-Z255</f>
        <v>1921.523</v>
      </c>
      <c r="AF255" s="8" t="n">
        <f aca="false">IF(AD255=0,0,AE255/AD255)</f>
        <v>0.404795084289694</v>
      </c>
      <c r="AG255" s="3" t="str">
        <f aca="false">IF(ABS(Y255-AD255)&gt;1,"Mismatch","OK")</f>
        <v>OK</v>
      </c>
      <c r="AH255" s="3" t="str">
        <f aca="false">IF(ABS(AA255-AE255)&gt;1,"Mismatch","OK")</f>
        <v>Mismatch</v>
      </c>
      <c r="AI255" s="6" t="n">
        <f aca="false">IF(B255="","",MONTH(B255))</f>
        <v>9</v>
      </c>
      <c r="AJ255" s="6" t="n">
        <f aca="false">IF(B255="","",YEAR(B255))</f>
        <v>2024</v>
      </c>
      <c r="AK255" s="3" t="str">
        <f aca="false">IF(COUNTIF(raw_data!$A$2:$A$913,A255)&gt;1,"Conflicting Duplicate - Flagged for Review","Unique")</f>
        <v>Unique</v>
      </c>
      <c r="AL255" s="3" t="str">
        <f aca="false">IF(AB255="Refunded","Yes","No")</f>
        <v>Yes</v>
      </c>
      <c r="AM255" s="3" t="str">
        <f aca="false">IF(OR(AC255&lt;&gt;"Completed",AB255="Failed"),"Excluded","Included")</f>
        <v>Excluded</v>
      </c>
      <c r="AN255" s="3" t="str">
        <f aca="false">IF(OR(D255="Invalid/Unrecognized",E255="Invalid/Unrecognized",G255="Invalid - Ship Before Order",X255="Negative - Invalid",X255="Above Allowed Range - Invalid",AG255="Mismatch",AH255="Mismatch",AK255="Conflicting Duplicate - Flagged for Review"),"Invalid",IF(OR(L255="Filled - Unknown",S255="Filled - Unknown",X255="Missing - Defaulted to 0",AL255="Yes",AC255="Cancelled",AC255="Returned"),"Warning","Clean"))</f>
        <v>Invalid</v>
      </c>
    </row>
    <row r="256" customFormat="false" ht="15" hidden="false" customHeight="false" outlineLevel="0" collapsed="false">
      <c r="A256" s="3" t="str">
        <f aca="false">raw_data!A256</f>
        <v>ORD-2025-10255</v>
      </c>
      <c r="B256" s="4" t="n">
        <f aca="false">IFERROR(IF(MID(raw_data!B256,3,1)="/",DATE(VALUE(RIGHT(raw_data!B256,4)),VALUE(LEFT(raw_data!B256,2)),VALUE(MID(raw_data!B256,4,2))),IF(MID(raw_data!B256,3,1)="-",DATE(VALUE(RIGHT(raw_data!B256,4)),VALUE(MID(raw_data!B256,4,2)),VALUE(LEFT(raw_data!B256,2))),IF(MID(raw_data!B256,5,1)="-",DATE(VALUE(LEFT(raw_data!B256,4)),VALUE(MID(raw_data!B256,6,2)),VALUE(RIGHT(raw_data!B256,2))),DATE(VALUE(RIGHT(raw_data!B256,4)),MATCH(MID(raw_data!B256,4,3),{"Jan","Feb","Mar","Apr","May","Jun","Jul","Aug","Sep","Oct","Nov","Dec"},0),VALUE(LEFT(raw_data!B256,2)))))),"")</f>
        <v>45658</v>
      </c>
      <c r="C256" s="4" t="n">
        <f aca="false">IFERROR(IF(MID(raw_data!C256,3,1)="/",DATE(VALUE(RIGHT(raw_data!C256,4)),VALUE(LEFT(raw_data!C256,2)),VALUE(MID(raw_data!C256,4,2))),IF(MID(raw_data!C256,3,1)="-",DATE(VALUE(RIGHT(raw_data!C256,4)),VALUE(MID(raw_data!C256,4,2)),VALUE(LEFT(raw_data!C256,2))),IF(MID(raw_data!C256,5,1)="-",DATE(VALUE(LEFT(raw_data!C256,4)),VALUE(MID(raw_data!C256,6,2)),VALUE(RIGHT(raw_data!C256,2))),DATE(VALUE(RIGHT(raw_data!C256,4)),MATCH(MID(raw_data!C256,4,3),{"Jan","Feb","Mar","Apr","May","Jun","Jul","Aug","Sep","Oct","Nov","Dec"},0),VALUE(LEFT(raw_data!C256,2)))))),"")</f>
        <v>45660</v>
      </c>
      <c r="D256" s="3" t="str">
        <f aca="false">IF(TRIM(raw_data!B256)="","Missing",IF(B256="","Invalid/Unrecognized","Valid"))</f>
        <v>Valid</v>
      </c>
      <c r="E256" s="3" t="str">
        <f aca="false">IF(TRIM(raw_data!C256)="","Missing",IF(C256="","Invalid/Unrecognized","Valid"))</f>
        <v>Valid</v>
      </c>
      <c r="F256" s="5" t="n">
        <f aca="false">IF(OR(B256="",C256=""),"",C256-B256)</f>
        <v>2</v>
      </c>
      <c r="G256" s="3" t="str">
        <f aca="false">IF(F256="","N/A",IF(F256&lt;0,"Invalid - Ship Before Order","OK"))</f>
        <v>OK</v>
      </c>
      <c r="H256" s="3" t="str">
        <f aca="false">raw_data!D256</f>
        <v>CUST-6853</v>
      </c>
      <c r="I256" s="3" t="str">
        <f aca="false">PROPER(TRIM(raw_data!E256))</f>
        <v>Ananya Rao</v>
      </c>
      <c r="J256" s="3" t="str">
        <f aca="false">PROPER(TRIM(raw_data!F256))</f>
        <v>Consumer</v>
      </c>
      <c r="K256" s="3" t="str">
        <f aca="false">IF(TRIM(raw_data!G256)="","Unknown",PROPER(TRIM(raw_data!G256)))</f>
        <v>West</v>
      </c>
      <c r="L256" s="3" t="str">
        <f aca="false">IF(TRIM(raw_data!G256)="","Filled - Unknown","OK")</f>
        <v>OK</v>
      </c>
      <c r="M256" s="3" t="str">
        <f aca="false">PROPER(TRIM(raw_data!H256))</f>
        <v>Madhya Pradesh</v>
      </c>
      <c r="N256" s="3" t="str">
        <f aca="false">PROPER(TRIM(raw_data!I256))</f>
        <v>Indore</v>
      </c>
      <c r="O256" s="3" t="str">
        <f aca="false">PROPER(TRIM(raw_data!J256))</f>
        <v>Technology</v>
      </c>
      <c r="P256" s="3" t="str">
        <f aca="false">PROPER(TRIM(raw_data!K256))</f>
        <v>Accessories</v>
      </c>
      <c r="Q256" s="3" t="str">
        <f aca="false">TRIM(raw_data!L256)</f>
        <v>Elite Accessories 978</v>
      </c>
      <c r="R256" s="3" t="str">
        <f aca="false">IF(TRIM(raw_data!M256)="","Unknown",PROPER(TRIM(raw_data!M256)))</f>
        <v>Same Day</v>
      </c>
      <c r="S256" s="3" t="str">
        <f aca="false">IF(TRIM(raw_data!M256)="","Filled - Unknown","OK")</f>
        <v>OK</v>
      </c>
      <c r="T256" s="6" t="n">
        <f aca="false">raw_data!N256</f>
        <v>7</v>
      </c>
      <c r="U256" s="7" t="n">
        <f aca="false">raw_data!O256</f>
        <v>1000.55</v>
      </c>
      <c r="V256" s="8" t="n">
        <f aca="false">raw_data!P256</f>
        <v>0.2</v>
      </c>
      <c r="W256" s="8" t="n">
        <f aca="false">IF(raw_data!P256="",0,IF(ISTEXT(raw_data!P256),IF(RIGHT(raw_data!P256,1)="%",VALUE(LEFT(raw_data!P256,LEN(raw_data!P256)-1))/100,VALUE(raw_data!P256)),raw_data!P256))</f>
        <v>0.2</v>
      </c>
      <c r="X256" s="3" t="str">
        <f aca="false">IF(raw_data!P256="","Missing - Defaulted to 0",IF(W256&lt;0,"Negative - Invalid",IF(W256&gt;0.3,"Above Allowed Range - Invalid","Valid")))</f>
        <v>Valid</v>
      </c>
      <c r="Y256" s="7" t="n">
        <f aca="false">raw_data!Q256</f>
        <v>5603.08</v>
      </c>
      <c r="Z256" s="7" t="n">
        <f aca="false">raw_data!R256</f>
        <v>3132.52</v>
      </c>
      <c r="AA256" s="7" t="n">
        <f aca="false">raw_data!S256</f>
        <v>2470.56</v>
      </c>
      <c r="AB256" s="3" t="str">
        <f aca="false">PROPER(TRIM(raw_data!T256))</f>
        <v>Paid</v>
      </c>
      <c r="AC256" s="3" t="str">
        <f aca="false">PROPER(TRIM(raw_data!U256))</f>
        <v>Returned</v>
      </c>
      <c r="AD256" s="7" t="n">
        <f aca="false">T256*U256*(1-W256)</f>
        <v>5603.08</v>
      </c>
      <c r="AE256" s="7" t="n">
        <f aca="false">AD256-Z256</f>
        <v>2470.56</v>
      </c>
      <c r="AF256" s="8" t="n">
        <f aca="false">IF(AD256=0,0,AE256/AD256)</f>
        <v>0.440928917666712</v>
      </c>
      <c r="AG256" s="3" t="str">
        <f aca="false">IF(ABS(Y256-AD256)&gt;1,"Mismatch","OK")</f>
        <v>OK</v>
      </c>
      <c r="AH256" s="3" t="str">
        <f aca="false">IF(ABS(AA256-AE256)&gt;1,"Mismatch","OK")</f>
        <v>OK</v>
      </c>
      <c r="AI256" s="6" t="n">
        <f aca="false">IF(B256="","",MONTH(B256))</f>
        <v>1</v>
      </c>
      <c r="AJ256" s="6" t="n">
        <f aca="false">IF(B256="","",YEAR(B256))</f>
        <v>2025</v>
      </c>
      <c r="AK256" s="3" t="str">
        <f aca="false">IF(COUNTIF(raw_data!$A$2:$A$913,A256)&gt;1,"Conflicting Duplicate - Flagged for Review","Unique")</f>
        <v>Unique</v>
      </c>
      <c r="AL256" s="3" t="str">
        <f aca="false">IF(AB256="Refunded","Yes","No")</f>
        <v>No</v>
      </c>
      <c r="AM256" s="3" t="str">
        <f aca="false">IF(OR(AC256&lt;&gt;"Completed",AB256="Failed"),"Excluded","Included")</f>
        <v>Excluded</v>
      </c>
      <c r="AN256" s="3" t="str">
        <f aca="false">IF(OR(D256="Invalid/Unrecognized",E256="Invalid/Unrecognized",G256="Invalid - Ship Before Order",X256="Negative - Invalid",X256="Above Allowed Range - Invalid",AG256="Mismatch",AH256="Mismatch",AK256="Conflicting Duplicate - Flagged for Review"),"Invalid",IF(OR(L256="Filled - Unknown",S256="Filled - Unknown",X256="Missing - Defaulted to 0",AL256="Yes",AC256="Cancelled",AC256="Returned"),"Warning","Clean"))</f>
        <v>Warning</v>
      </c>
    </row>
    <row r="257" customFormat="false" ht="15" hidden="false" customHeight="false" outlineLevel="0" collapsed="false">
      <c r="A257" s="3" t="str">
        <f aca="false">raw_data!A257</f>
        <v>ORD-2025-10256</v>
      </c>
      <c r="B257" s="4" t="n">
        <f aca="false">IFERROR(IF(MID(raw_data!B257,3,1)="/",DATE(VALUE(RIGHT(raw_data!B257,4)),VALUE(LEFT(raw_data!B257,2)),VALUE(MID(raw_data!B257,4,2))),IF(MID(raw_data!B257,3,1)="-",DATE(VALUE(RIGHT(raw_data!B257,4)),VALUE(MID(raw_data!B257,4,2)),VALUE(LEFT(raw_data!B257,2))),IF(MID(raw_data!B257,5,1)="-",DATE(VALUE(LEFT(raw_data!B257,4)),VALUE(MID(raw_data!B257,6,2)),VALUE(RIGHT(raw_data!B257,2))),DATE(VALUE(RIGHT(raw_data!B257,4)),MATCH(MID(raw_data!B257,4,3),{"Jan","Feb","Mar","Apr","May","Jun","Jul","Aug","Sep","Oct","Nov","Dec"},0),VALUE(LEFT(raw_data!B257,2)))))),"")</f>
        <v>45692</v>
      </c>
      <c r="C257" s="4" t="n">
        <f aca="false">IFERROR(IF(MID(raw_data!C257,3,1)="/",DATE(VALUE(RIGHT(raw_data!C257,4)),VALUE(LEFT(raw_data!C257,2)),VALUE(MID(raw_data!C257,4,2))),IF(MID(raw_data!C257,3,1)="-",DATE(VALUE(RIGHT(raw_data!C257,4)),VALUE(MID(raw_data!C257,4,2)),VALUE(LEFT(raw_data!C257,2))),IF(MID(raw_data!C257,5,1)="-",DATE(VALUE(LEFT(raw_data!C257,4)),VALUE(MID(raw_data!C257,6,2)),VALUE(RIGHT(raw_data!C257,2))),DATE(VALUE(RIGHT(raw_data!C257,4)),MATCH(MID(raw_data!C257,4,3),{"Jan","Feb","Mar","Apr","May","Jun","Jul","Aug","Sep","Oct","Nov","Dec"},0),VALUE(LEFT(raw_data!C257,2)))))),"")</f>
        <v>45698</v>
      </c>
      <c r="D257" s="3" t="str">
        <f aca="false">IF(TRIM(raw_data!B257)="","Missing",IF(B257="","Invalid/Unrecognized","Valid"))</f>
        <v>Valid</v>
      </c>
      <c r="E257" s="3" t="str">
        <f aca="false">IF(TRIM(raw_data!C257)="","Missing",IF(C257="","Invalid/Unrecognized","Valid"))</f>
        <v>Valid</v>
      </c>
      <c r="F257" s="5" t="n">
        <f aca="false">IF(OR(B257="",C257=""),"",C257-B257)</f>
        <v>6</v>
      </c>
      <c r="G257" s="3" t="str">
        <f aca="false">IF(F257="","N/A",IF(F257&lt;0,"Invalid - Ship Before Order","OK"))</f>
        <v>OK</v>
      </c>
      <c r="H257" s="3" t="str">
        <f aca="false">raw_data!D257</f>
        <v>CUST-1549</v>
      </c>
      <c r="I257" s="3" t="str">
        <f aca="false">PROPER(TRIM(raw_data!E257))</f>
        <v>Isha Nair</v>
      </c>
      <c r="J257" s="3" t="str">
        <f aca="false">PROPER(TRIM(raw_data!F257))</f>
        <v>Corporate</v>
      </c>
      <c r="K257" s="3" t="str">
        <f aca="false">IF(TRIM(raw_data!G257)="","Unknown",PROPER(TRIM(raw_data!G257)))</f>
        <v>West</v>
      </c>
      <c r="L257" s="3" t="str">
        <f aca="false">IF(TRIM(raw_data!G257)="","Filled - Unknown","OK")</f>
        <v>OK</v>
      </c>
      <c r="M257" s="3" t="str">
        <f aca="false">PROPER(TRIM(raw_data!H257))</f>
        <v>Maharashtra</v>
      </c>
      <c r="N257" s="3" t="str">
        <f aca="false">PROPER(TRIM(raw_data!I257))</f>
        <v>Mumbai</v>
      </c>
      <c r="O257" s="3" t="str">
        <f aca="false">PROPER(TRIM(raw_data!J257))</f>
        <v>Technology</v>
      </c>
      <c r="P257" s="3" t="str">
        <f aca="false">PROPER(TRIM(raw_data!K257))</f>
        <v>Phones</v>
      </c>
      <c r="Q257" s="3" t="str">
        <f aca="false">TRIM(raw_data!L257)</f>
        <v>Eco Phones 132</v>
      </c>
      <c r="R257" s="3" t="str">
        <f aca="false">IF(TRIM(raw_data!M257)="","Unknown",PROPER(TRIM(raw_data!M257)))</f>
        <v>First Class</v>
      </c>
      <c r="S257" s="3" t="str">
        <f aca="false">IF(TRIM(raw_data!M257)="","Filled - Unknown","OK")</f>
        <v>OK</v>
      </c>
      <c r="T257" s="6" t="n">
        <f aca="false">raw_data!N257</f>
        <v>7</v>
      </c>
      <c r="U257" s="7" t="n">
        <f aca="false">raw_data!O257</f>
        <v>1830</v>
      </c>
      <c r="V257" s="8" t="n">
        <f aca="false">raw_data!P257</f>
        <v>0</v>
      </c>
      <c r="W257" s="8" t="n">
        <f aca="false">IF(raw_data!P257="",0,IF(ISTEXT(raw_data!P257),IF(RIGHT(raw_data!P257,1)="%",VALUE(LEFT(raw_data!P257,LEN(raw_data!P257)-1))/100,VALUE(raw_data!P257)),raw_data!P257))</f>
        <v>0</v>
      </c>
      <c r="X257" s="3" t="str">
        <f aca="false">IF(raw_data!P257="","Missing - Defaulted to 0",IF(W257&lt;0,"Negative - Invalid",IF(W257&gt;0.3,"Above Allowed Range - Invalid","Valid")))</f>
        <v>Valid</v>
      </c>
      <c r="Y257" s="7" t="n">
        <f aca="false">raw_data!Q257</f>
        <v>12810</v>
      </c>
      <c r="Z257" s="7" t="n">
        <f aca="false">raw_data!R257</f>
        <v>9334.12</v>
      </c>
      <c r="AA257" s="7" t="n">
        <f aca="false">raw_data!S257</f>
        <v>3475.88</v>
      </c>
      <c r="AB257" s="3" t="str">
        <f aca="false">PROPER(TRIM(raw_data!T257))</f>
        <v>Paid</v>
      </c>
      <c r="AC257" s="3" t="str">
        <f aca="false">PROPER(TRIM(raw_data!U257))</f>
        <v>Completed</v>
      </c>
      <c r="AD257" s="7" t="n">
        <f aca="false">T257*U257*(1-W257)</f>
        <v>12810</v>
      </c>
      <c r="AE257" s="7" t="n">
        <f aca="false">AD257-Z257</f>
        <v>3475.88</v>
      </c>
      <c r="AF257" s="8" t="n">
        <f aca="false">IF(AD257=0,0,AE257/AD257)</f>
        <v>0.271341139734582</v>
      </c>
      <c r="AG257" s="3" t="str">
        <f aca="false">IF(ABS(Y257-AD257)&gt;1,"Mismatch","OK")</f>
        <v>OK</v>
      </c>
      <c r="AH257" s="3" t="str">
        <f aca="false">IF(ABS(AA257-AE257)&gt;1,"Mismatch","OK")</f>
        <v>OK</v>
      </c>
      <c r="AI257" s="6" t="n">
        <f aca="false">IF(B257="","",MONTH(B257))</f>
        <v>2</v>
      </c>
      <c r="AJ257" s="6" t="n">
        <f aca="false">IF(B257="","",YEAR(B257))</f>
        <v>2025</v>
      </c>
      <c r="AK257" s="3" t="str">
        <f aca="false">IF(COUNTIF(raw_data!$A$2:$A$913,A257)&gt;1,"Conflicting Duplicate - Flagged for Review","Unique")</f>
        <v>Unique</v>
      </c>
      <c r="AL257" s="3" t="str">
        <f aca="false">IF(AB257="Refunded","Yes","No")</f>
        <v>No</v>
      </c>
      <c r="AM257" s="3" t="str">
        <f aca="false">IF(OR(AC257&lt;&gt;"Completed",AB257="Failed"),"Excluded","Included")</f>
        <v>Included</v>
      </c>
      <c r="AN257" s="3" t="str">
        <f aca="false">IF(OR(D257="Invalid/Unrecognized",E257="Invalid/Unrecognized",G257="Invalid - Ship Before Order",X257="Negative - Invalid",X257="Above Allowed Range - Invalid",AG257="Mismatch",AH257="Mismatch",AK257="Conflicting Duplicate - Flagged for Review"),"Invalid",IF(OR(L257="Filled - Unknown",S257="Filled - Unknown",X257="Missing - Defaulted to 0",AL257="Yes",AC257="Cancelled",AC257="Returned"),"Warning","Clean"))</f>
        <v>Clean</v>
      </c>
    </row>
    <row r="258" customFormat="false" ht="15" hidden="false" customHeight="false" outlineLevel="0" collapsed="false">
      <c r="A258" s="3" t="str">
        <f aca="false">raw_data!A258</f>
        <v>ORD-2024-10257</v>
      </c>
      <c r="B258" s="4" t="n">
        <f aca="false">IFERROR(IF(MID(raw_data!B258,3,1)="/",DATE(VALUE(RIGHT(raw_data!B258,4)),VALUE(LEFT(raw_data!B258,2)),VALUE(MID(raw_data!B258,4,2))),IF(MID(raw_data!B258,3,1)="-",DATE(VALUE(RIGHT(raw_data!B258,4)),VALUE(MID(raw_data!B258,4,2)),VALUE(LEFT(raw_data!B258,2))),IF(MID(raw_data!B258,5,1)="-",DATE(VALUE(LEFT(raw_data!B258,4)),VALUE(MID(raw_data!B258,6,2)),VALUE(RIGHT(raw_data!B258,2))),DATE(VALUE(RIGHT(raw_data!B258,4)),MATCH(MID(raw_data!B258,4,3),{"Jan","Feb","Mar","Apr","May","Jun","Jul","Aug","Sep","Oct","Nov","Dec"},0),VALUE(LEFT(raw_data!B258,2)))))),"")</f>
        <v>45601</v>
      </c>
      <c r="C258" s="4" t="n">
        <f aca="false">IFERROR(IF(MID(raw_data!C258,3,1)="/",DATE(VALUE(RIGHT(raw_data!C258,4)),VALUE(LEFT(raw_data!C258,2)),VALUE(MID(raw_data!C258,4,2))),IF(MID(raw_data!C258,3,1)="-",DATE(VALUE(RIGHT(raw_data!C258,4)),VALUE(MID(raw_data!C258,4,2)),VALUE(LEFT(raw_data!C258,2))),IF(MID(raw_data!C258,5,1)="-",DATE(VALUE(LEFT(raw_data!C258,4)),VALUE(MID(raw_data!C258,6,2)),VALUE(RIGHT(raw_data!C258,2))),DATE(VALUE(RIGHT(raw_data!C258,4)),MATCH(MID(raw_data!C258,4,3),{"Jan","Feb","Mar","Apr","May","Jun","Jul","Aug","Sep","Oct","Nov","Dec"},0),VALUE(LEFT(raw_data!C258,2)))))),"")</f>
        <v>45599</v>
      </c>
      <c r="D258" s="3" t="str">
        <f aca="false">IF(TRIM(raw_data!B258)="","Missing",IF(B258="","Invalid/Unrecognized","Valid"))</f>
        <v>Valid</v>
      </c>
      <c r="E258" s="3" t="str">
        <f aca="false">IF(TRIM(raw_data!C258)="","Missing",IF(C258="","Invalid/Unrecognized","Valid"))</f>
        <v>Valid</v>
      </c>
      <c r="F258" s="5" t="n">
        <f aca="false">IF(OR(B258="",C258=""),"",C258-B258)</f>
        <v>-2</v>
      </c>
      <c r="G258" s="3" t="str">
        <f aca="false">IF(F258="","N/A",IF(F258&lt;0,"Invalid - Ship Before Order","OK"))</f>
        <v>Invalid - Ship Before Order</v>
      </c>
      <c r="H258" s="3" t="str">
        <f aca="false">raw_data!D258</f>
        <v>CUST-8411</v>
      </c>
      <c r="I258" s="3" t="str">
        <f aca="false">PROPER(TRIM(raw_data!E258))</f>
        <v>Ananya Rao</v>
      </c>
      <c r="J258" s="3" t="str">
        <f aca="false">PROPER(TRIM(raw_data!F258))</f>
        <v>Consumer</v>
      </c>
      <c r="K258" s="3" t="str">
        <f aca="false">IF(TRIM(raw_data!G258)="","Unknown",PROPER(TRIM(raw_data!G258)))</f>
        <v>East</v>
      </c>
      <c r="L258" s="3" t="str">
        <f aca="false">IF(TRIM(raw_data!G258)="","Filled - Unknown","OK")</f>
        <v>OK</v>
      </c>
      <c r="M258" s="3" t="str">
        <f aca="false">PROPER(TRIM(raw_data!H258))</f>
        <v>West Bengal</v>
      </c>
      <c r="N258" s="3" t="str">
        <f aca="false">PROPER(TRIM(raw_data!I258))</f>
        <v>Kolkata</v>
      </c>
      <c r="O258" s="3" t="str">
        <f aca="false">PROPER(TRIM(raw_data!J258))</f>
        <v>Furniture</v>
      </c>
      <c r="P258" s="3" t="str">
        <f aca="false">PROPER(TRIM(raw_data!K258))</f>
        <v>Tables</v>
      </c>
      <c r="Q258" s="3" t="str">
        <f aca="false">TRIM(raw_data!L258)</f>
        <v>Prime Tables 481</v>
      </c>
      <c r="R258" s="3" t="str">
        <f aca="false">IF(TRIM(raw_data!M258)="","Unknown",PROPER(TRIM(raw_data!M258)))</f>
        <v>First Class</v>
      </c>
      <c r="S258" s="3" t="str">
        <f aca="false">IF(TRIM(raw_data!M258)="","Filled - Unknown","OK")</f>
        <v>OK</v>
      </c>
      <c r="T258" s="6" t="n">
        <f aca="false">raw_data!N258</f>
        <v>9</v>
      </c>
      <c r="U258" s="7" t="n">
        <f aca="false">raw_data!O258</f>
        <v>2260.61</v>
      </c>
      <c r="V258" s="8" t="n">
        <f aca="false">raw_data!P258</f>
        <v>0.05</v>
      </c>
      <c r="W258" s="8" t="n">
        <f aca="false">IF(raw_data!P258="",0,IF(ISTEXT(raw_data!P258),IF(RIGHT(raw_data!P258,1)="%",VALUE(LEFT(raw_data!P258,LEN(raw_data!P258)-1))/100,VALUE(raw_data!P258)),raw_data!P258))</f>
        <v>0.05</v>
      </c>
      <c r="X258" s="3" t="str">
        <f aca="false">IF(raw_data!P258="","Missing - Defaulted to 0",IF(W258&lt;0,"Negative - Invalid",IF(W258&gt;0.3,"Above Allowed Range - Invalid","Valid")))</f>
        <v>Valid</v>
      </c>
      <c r="Y258" s="7" t="n">
        <f aca="false">raw_data!Q258</f>
        <v>19328.22</v>
      </c>
      <c r="Z258" s="7" t="n">
        <f aca="false">raw_data!R258</f>
        <v>12039.5</v>
      </c>
      <c r="AA258" s="7" t="n">
        <f aca="false">raw_data!S258</f>
        <v>7288.72</v>
      </c>
      <c r="AB258" s="3" t="str">
        <f aca="false">PROPER(TRIM(raw_data!T258))</f>
        <v>Paid</v>
      </c>
      <c r="AC258" s="3" t="str">
        <f aca="false">PROPER(TRIM(raw_data!U258))</f>
        <v>Completed</v>
      </c>
      <c r="AD258" s="7" t="n">
        <f aca="false">T258*U258*(1-W258)</f>
        <v>19328.2155</v>
      </c>
      <c r="AE258" s="7" t="n">
        <f aca="false">AD258-Z258</f>
        <v>7288.7155</v>
      </c>
      <c r="AF258" s="8" t="n">
        <f aca="false">IF(AD258=0,0,AE258/AD258)</f>
        <v>0.377102350705889</v>
      </c>
      <c r="AG258" s="3" t="str">
        <f aca="false">IF(ABS(Y258-AD258)&gt;1,"Mismatch","OK")</f>
        <v>OK</v>
      </c>
      <c r="AH258" s="3" t="str">
        <f aca="false">IF(ABS(AA258-AE258)&gt;1,"Mismatch","OK")</f>
        <v>OK</v>
      </c>
      <c r="AI258" s="6" t="n">
        <f aca="false">IF(B258="","",MONTH(B258))</f>
        <v>11</v>
      </c>
      <c r="AJ258" s="6" t="n">
        <f aca="false">IF(B258="","",YEAR(B258))</f>
        <v>2024</v>
      </c>
      <c r="AK258" s="3" t="str">
        <f aca="false">IF(COUNTIF(raw_data!$A$2:$A$913,A258)&gt;1,"Conflicting Duplicate - Flagged for Review","Unique")</f>
        <v>Unique</v>
      </c>
      <c r="AL258" s="3" t="str">
        <f aca="false">IF(AB258="Refunded","Yes","No")</f>
        <v>No</v>
      </c>
      <c r="AM258" s="3" t="str">
        <f aca="false">IF(OR(AC258&lt;&gt;"Completed",AB258="Failed"),"Excluded","Included")</f>
        <v>Included</v>
      </c>
      <c r="AN258" s="3" t="str">
        <f aca="false">IF(OR(D258="Invalid/Unrecognized",E258="Invalid/Unrecognized",G258="Invalid - Ship Before Order",X258="Negative - Invalid",X258="Above Allowed Range - Invalid",AG258="Mismatch",AH258="Mismatch",AK258="Conflicting Duplicate - Flagged for Review"),"Invalid",IF(OR(L258="Filled - Unknown",S258="Filled - Unknown",X258="Missing - Defaulted to 0",AL258="Yes",AC258="Cancelled",AC258="Returned"),"Warning","Clean"))</f>
        <v>Invalid</v>
      </c>
    </row>
    <row r="259" customFormat="false" ht="15" hidden="false" customHeight="false" outlineLevel="0" collapsed="false">
      <c r="A259" s="3" t="str">
        <f aca="false">raw_data!A259</f>
        <v>ORD-2025-10258</v>
      </c>
      <c r="B259" s="4" t="n">
        <f aca="false">IFERROR(IF(MID(raw_data!B259,3,1)="/",DATE(VALUE(RIGHT(raw_data!B259,4)),VALUE(LEFT(raw_data!B259,2)),VALUE(MID(raw_data!B259,4,2))),IF(MID(raw_data!B259,3,1)="-",DATE(VALUE(RIGHT(raw_data!B259,4)),VALUE(MID(raw_data!B259,4,2)),VALUE(LEFT(raw_data!B259,2))),IF(MID(raw_data!B259,5,1)="-",DATE(VALUE(LEFT(raw_data!B259,4)),VALUE(MID(raw_data!B259,6,2)),VALUE(RIGHT(raw_data!B259,2))),DATE(VALUE(RIGHT(raw_data!B259,4)),MATCH(MID(raw_data!B259,4,3),{"Jan","Feb","Mar","Apr","May","Jun","Jul","Aug","Sep","Oct","Nov","Dec"},0),VALUE(LEFT(raw_data!B259,2)))))),"")</f>
        <v>45878</v>
      </c>
      <c r="C259" s="4" t="n">
        <f aca="false">IFERROR(IF(MID(raw_data!C259,3,1)="/",DATE(VALUE(RIGHT(raw_data!C259,4)),VALUE(LEFT(raw_data!C259,2)),VALUE(MID(raw_data!C259,4,2))),IF(MID(raw_data!C259,3,1)="-",DATE(VALUE(RIGHT(raw_data!C259,4)),VALUE(MID(raw_data!C259,4,2)),VALUE(LEFT(raw_data!C259,2))),IF(MID(raw_data!C259,5,1)="-",DATE(VALUE(LEFT(raw_data!C259,4)),VALUE(MID(raw_data!C259,6,2)),VALUE(RIGHT(raw_data!C259,2))),DATE(VALUE(RIGHT(raw_data!C259,4)),MATCH(MID(raw_data!C259,4,3),{"Jan","Feb","Mar","Apr","May","Jun","Jul","Aug","Sep","Oct","Nov","Dec"},0),VALUE(LEFT(raw_data!C259,2)))))),"")</f>
        <v>45881</v>
      </c>
      <c r="D259" s="3" t="str">
        <f aca="false">IF(TRIM(raw_data!B259)="","Missing",IF(B259="","Invalid/Unrecognized","Valid"))</f>
        <v>Valid</v>
      </c>
      <c r="E259" s="3" t="str">
        <f aca="false">IF(TRIM(raw_data!C259)="","Missing",IF(C259="","Invalid/Unrecognized","Valid"))</f>
        <v>Valid</v>
      </c>
      <c r="F259" s="5" t="n">
        <f aca="false">IF(OR(B259="",C259=""),"",C259-B259)</f>
        <v>3</v>
      </c>
      <c r="G259" s="3" t="str">
        <f aca="false">IF(F259="","N/A",IF(F259&lt;0,"Invalid - Ship Before Order","OK"))</f>
        <v>OK</v>
      </c>
      <c r="H259" s="3" t="str">
        <f aca="false">raw_data!D259</f>
        <v>CUST-5615</v>
      </c>
      <c r="I259" s="3" t="str">
        <f aca="false">PROPER(TRIM(raw_data!E259))</f>
        <v>Diya Patel</v>
      </c>
      <c r="J259" s="3" t="str">
        <f aca="false">PROPER(TRIM(raw_data!F259))</f>
        <v>Corporate</v>
      </c>
      <c r="K259" s="3" t="str">
        <f aca="false">IF(TRIM(raw_data!G259)="","Unknown",PROPER(TRIM(raw_data!G259)))</f>
        <v>South</v>
      </c>
      <c r="L259" s="3" t="str">
        <f aca="false">IF(TRIM(raw_data!G259)="","Filled - Unknown","OK")</f>
        <v>OK</v>
      </c>
      <c r="M259" s="3" t="str">
        <f aca="false">PROPER(TRIM(raw_data!H259))</f>
        <v>Karnataka</v>
      </c>
      <c r="N259" s="3" t="str">
        <f aca="false">PROPER(TRIM(raw_data!I259))</f>
        <v>Bengaluru</v>
      </c>
      <c r="O259" s="3" t="str">
        <f aca="false">PROPER(TRIM(raw_data!J259))</f>
        <v>Technology</v>
      </c>
      <c r="P259" s="3" t="str">
        <f aca="false">PROPER(TRIM(raw_data!K259))</f>
        <v>Accessories</v>
      </c>
      <c r="Q259" s="3" t="str">
        <f aca="false">TRIM(raw_data!L259)</f>
        <v>Smart Accessories 180</v>
      </c>
      <c r="R259" s="3" t="str">
        <f aca="false">IF(TRIM(raw_data!M259)="","Unknown",PROPER(TRIM(raw_data!M259)))</f>
        <v>Second Class</v>
      </c>
      <c r="S259" s="3" t="str">
        <f aca="false">IF(TRIM(raw_data!M259)="","Filled - Unknown","OK")</f>
        <v>OK</v>
      </c>
      <c r="T259" s="6" t="n">
        <f aca="false">raw_data!N259</f>
        <v>2</v>
      </c>
      <c r="U259" s="7" t="n">
        <f aca="false">raw_data!O259</f>
        <v>3237.27</v>
      </c>
      <c r="V259" s="8" t="n">
        <f aca="false">raw_data!P259</f>
        <v>0</v>
      </c>
      <c r="W259" s="8" t="n">
        <f aca="false">IF(raw_data!P259="",0,IF(ISTEXT(raw_data!P259),IF(RIGHT(raw_data!P259,1)="%",VALUE(LEFT(raw_data!P259,LEN(raw_data!P259)-1))/100,VALUE(raw_data!P259)),raw_data!P259))</f>
        <v>0</v>
      </c>
      <c r="X259" s="3" t="str">
        <f aca="false">IF(raw_data!P259="","Missing - Defaulted to 0",IF(W259&lt;0,"Negative - Invalid",IF(W259&gt;0.3,"Above Allowed Range - Invalid","Valid")))</f>
        <v>Valid</v>
      </c>
      <c r="Y259" s="7" t="n">
        <f aca="false">raw_data!Q259</f>
        <v>6474.54</v>
      </c>
      <c r="Z259" s="7" t="n">
        <f aca="false">raw_data!R259</f>
        <v>5095.91</v>
      </c>
      <c r="AA259" s="7" t="n">
        <f aca="false">raw_data!S259</f>
        <v>1378.63</v>
      </c>
      <c r="AB259" s="3" t="str">
        <f aca="false">PROPER(TRIM(raw_data!T259))</f>
        <v>Paid</v>
      </c>
      <c r="AC259" s="3" t="str">
        <f aca="false">PROPER(TRIM(raw_data!U259))</f>
        <v>Cancelled</v>
      </c>
      <c r="AD259" s="7" t="n">
        <f aca="false">T259*U259*(1-W259)</f>
        <v>6474.54</v>
      </c>
      <c r="AE259" s="7" t="n">
        <f aca="false">AD259-Z259</f>
        <v>1378.63</v>
      </c>
      <c r="AF259" s="8" t="n">
        <f aca="false">IF(AD259=0,0,AE259/AD259)</f>
        <v>0.212930957257195</v>
      </c>
      <c r="AG259" s="3" t="str">
        <f aca="false">IF(ABS(Y259-AD259)&gt;1,"Mismatch","OK")</f>
        <v>OK</v>
      </c>
      <c r="AH259" s="3" t="str">
        <f aca="false">IF(ABS(AA259-AE259)&gt;1,"Mismatch","OK")</f>
        <v>OK</v>
      </c>
      <c r="AI259" s="6" t="n">
        <f aca="false">IF(B259="","",MONTH(B259))</f>
        <v>8</v>
      </c>
      <c r="AJ259" s="6" t="n">
        <f aca="false">IF(B259="","",YEAR(B259))</f>
        <v>2025</v>
      </c>
      <c r="AK259" s="3" t="str">
        <f aca="false">IF(COUNTIF(raw_data!$A$2:$A$913,A259)&gt;1,"Conflicting Duplicate - Flagged for Review","Unique")</f>
        <v>Unique</v>
      </c>
      <c r="AL259" s="3" t="str">
        <f aca="false">IF(AB259="Refunded","Yes","No")</f>
        <v>No</v>
      </c>
      <c r="AM259" s="3" t="str">
        <f aca="false">IF(OR(AC259&lt;&gt;"Completed",AB259="Failed"),"Excluded","Included")</f>
        <v>Excluded</v>
      </c>
      <c r="AN259" s="3" t="str">
        <f aca="false">IF(OR(D259="Invalid/Unrecognized",E259="Invalid/Unrecognized",G259="Invalid - Ship Before Order",X259="Negative - Invalid",X259="Above Allowed Range - Invalid",AG259="Mismatch",AH259="Mismatch",AK259="Conflicting Duplicate - Flagged for Review"),"Invalid",IF(OR(L259="Filled - Unknown",S259="Filled - Unknown",X259="Missing - Defaulted to 0",AL259="Yes",AC259="Cancelled",AC259="Returned"),"Warning","Clean"))</f>
        <v>Warning</v>
      </c>
    </row>
    <row r="260" customFormat="false" ht="15" hidden="false" customHeight="false" outlineLevel="0" collapsed="false">
      <c r="A260" s="3" t="str">
        <f aca="false">raw_data!A260</f>
        <v>ORD-2024-10259</v>
      </c>
      <c r="B260" s="4" t="n">
        <f aca="false">IFERROR(IF(MID(raw_data!B260,3,1)="/",DATE(VALUE(RIGHT(raw_data!B260,4)),VALUE(LEFT(raw_data!B260,2)),VALUE(MID(raw_data!B260,4,2))),IF(MID(raw_data!B260,3,1)="-",DATE(VALUE(RIGHT(raw_data!B260,4)),VALUE(MID(raw_data!B260,4,2)),VALUE(LEFT(raw_data!B260,2))),IF(MID(raw_data!B260,5,1)="-",DATE(VALUE(LEFT(raw_data!B260,4)),VALUE(MID(raw_data!B260,6,2)),VALUE(RIGHT(raw_data!B260,2))),DATE(VALUE(RIGHT(raw_data!B260,4)),MATCH(MID(raw_data!B260,4,3),{"Jan","Feb","Mar","Apr","May","Jun","Jul","Aug","Sep","Oct","Nov","Dec"},0),VALUE(LEFT(raw_data!B260,2)))))),"")</f>
        <v>45656</v>
      </c>
      <c r="C260" s="4" t="n">
        <f aca="false">IFERROR(IF(MID(raw_data!C260,3,1)="/",DATE(VALUE(RIGHT(raw_data!C260,4)),VALUE(LEFT(raw_data!C260,2)),VALUE(MID(raw_data!C260,4,2))),IF(MID(raw_data!C260,3,1)="-",DATE(VALUE(RIGHT(raw_data!C260,4)),VALUE(MID(raw_data!C260,4,2)),VALUE(LEFT(raw_data!C260,2))),IF(MID(raw_data!C260,5,1)="-",DATE(VALUE(LEFT(raw_data!C260,4)),VALUE(MID(raw_data!C260,6,2)),VALUE(RIGHT(raw_data!C260,2))),DATE(VALUE(RIGHT(raw_data!C260,4)),MATCH(MID(raw_data!C260,4,3),{"Jan","Feb","Mar","Apr","May","Jun","Jul","Aug","Sep","Oct","Nov","Dec"},0),VALUE(LEFT(raw_data!C260,2)))))),"")</f>
        <v>45661</v>
      </c>
      <c r="D260" s="3" t="str">
        <f aca="false">IF(TRIM(raw_data!B260)="","Missing",IF(B260="","Invalid/Unrecognized","Valid"))</f>
        <v>Valid</v>
      </c>
      <c r="E260" s="3" t="str">
        <f aca="false">IF(TRIM(raw_data!C260)="","Missing",IF(C260="","Invalid/Unrecognized","Valid"))</f>
        <v>Valid</v>
      </c>
      <c r="F260" s="5" t="n">
        <f aca="false">IF(OR(B260="",C260=""),"",C260-B260)</f>
        <v>5</v>
      </c>
      <c r="G260" s="3" t="str">
        <f aca="false">IF(F260="","N/A",IF(F260&lt;0,"Invalid - Ship Before Order","OK"))</f>
        <v>OK</v>
      </c>
      <c r="H260" s="3" t="str">
        <f aca="false">raw_data!D260</f>
        <v>CUST-8467</v>
      </c>
      <c r="I260" s="3" t="str">
        <f aca="false">PROPER(TRIM(raw_data!E260))</f>
        <v>Sneha Kapoor</v>
      </c>
      <c r="J260" s="3" t="str">
        <f aca="false">PROPER(TRIM(raw_data!F260))</f>
        <v>Corporate</v>
      </c>
      <c r="K260" s="3" t="str">
        <f aca="false">IF(TRIM(raw_data!G260)="","Unknown",PROPER(TRIM(raw_data!G260)))</f>
        <v>South</v>
      </c>
      <c r="L260" s="3" t="str">
        <f aca="false">IF(TRIM(raw_data!G260)="","Filled - Unknown","OK")</f>
        <v>OK</v>
      </c>
      <c r="M260" s="3" t="str">
        <f aca="false">PROPER(TRIM(raw_data!H260))</f>
        <v>Tamil Nadu</v>
      </c>
      <c r="N260" s="3" t="str">
        <f aca="false">PROPER(TRIM(raw_data!I260))</f>
        <v>Chennai</v>
      </c>
      <c r="O260" s="3" t="str">
        <f aca="false">PROPER(TRIM(raw_data!J260))</f>
        <v>Furniture</v>
      </c>
      <c r="P260" s="3" t="str">
        <f aca="false">PROPER(TRIM(raw_data!K260))</f>
        <v>Tables</v>
      </c>
      <c r="Q260" s="3" t="str">
        <f aca="false">TRIM(raw_data!L260)</f>
        <v>Smart Tables 774</v>
      </c>
      <c r="R260" s="3" t="str">
        <f aca="false">IF(TRIM(raw_data!M260)="","Unknown",PROPER(TRIM(raw_data!M260)))</f>
        <v>Same Day</v>
      </c>
      <c r="S260" s="3" t="str">
        <f aca="false">IF(TRIM(raw_data!M260)="","Filled - Unknown","OK")</f>
        <v>OK</v>
      </c>
      <c r="T260" s="6" t="n">
        <f aca="false">raw_data!N260</f>
        <v>2</v>
      </c>
      <c r="U260" s="7" t="n">
        <f aca="false">raw_data!O260</f>
        <v>3720.07</v>
      </c>
      <c r="V260" s="8" t="n">
        <f aca="false">raw_data!P260</f>
        <v>0.25</v>
      </c>
      <c r="W260" s="8" t="n">
        <f aca="false">IF(raw_data!P260="",0,IF(ISTEXT(raw_data!P260),IF(RIGHT(raw_data!P260,1)="%",VALUE(LEFT(raw_data!P260,LEN(raw_data!P260)-1))/100,VALUE(raw_data!P260)),raw_data!P260))</f>
        <v>0.25</v>
      </c>
      <c r="X260" s="3" t="str">
        <f aca="false">IF(raw_data!P260="","Missing - Defaulted to 0",IF(W260&lt;0,"Negative - Invalid",IF(W260&gt;0.3,"Above Allowed Range - Invalid","Valid")))</f>
        <v>Valid</v>
      </c>
      <c r="Y260" s="7" t="n">
        <f aca="false">raw_data!Q260</f>
        <v>5580.11</v>
      </c>
      <c r="Z260" s="7" t="n">
        <f aca="false">raw_data!R260</f>
        <v>4307.01</v>
      </c>
      <c r="AA260" s="7" t="n">
        <f aca="false">raw_data!S260</f>
        <v>1273.1</v>
      </c>
      <c r="AB260" s="3" t="str">
        <f aca="false">PROPER(TRIM(raw_data!T260))</f>
        <v>Paid</v>
      </c>
      <c r="AC260" s="3" t="str">
        <f aca="false">PROPER(TRIM(raw_data!U260))</f>
        <v>Completed</v>
      </c>
      <c r="AD260" s="7" t="n">
        <f aca="false">T260*U260*(1-W260)</f>
        <v>5580.105</v>
      </c>
      <c r="AE260" s="7" t="n">
        <f aca="false">AD260-Z260</f>
        <v>1273.095</v>
      </c>
      <c r="AF260" s="8" t="n">
        <f aca="false">IF(AD260=0,0,AE260/AD260)</f>
        <v>0.228148932681374</v>
      </c>
      <c r="AG260" s="3" t="str">
        <f aca="false">IF(ABS(Y260-AD260)&gt;1,"Mismatch","OK")</f>
        <v>OK</v>
      </c>
      <c r="AH260" s="3" t="str">
        <f aca="false">IF(ABS(AA260-AE260)&gt;1,"Mismatch","OK")</f>
        <v>OK</v>
      </c>
      <c r="AI260" s="6" t="n">
        <f aca="false">IF(B260="","",MONTH(B260))</f>
        <v>12</v>
      </c>
      <c r="AJ260" s="6" t="n">
        <f aca="false">IF(B260="","",YEAR(B260))</f>
        <v>2024</v>
      </c>
      <c r="AK260" s="3" t="str">
        <f aca="false">IF(COUNTIF(raw_data!$A$2:$A$913,A260)&gt;1,"Conflicting Duplicate - Flagged for Review","Unique")</f>
        <v>Unique</v>
      </c>
      <c r="AL260" s="3" t="str">
        <f aca="false">IF(AB260="Refunded","Yes","No")</f>
        <v>No</v>
      </c>
      <c r="AM260" s="3" t="str">
        <f aca="false">IF(OR(AC260&lt;&gt;"Completed",AB260="Failed"),"Excluded","Included")</f>
        <v>Included</v>
      </c>
      <c r="AN260" s="3" t="str">
        <f aca="false">IF(OR(D260="Invalid/Unrecognized",E260="Invalid/Unrecognized",G260="Invalid - Ship Before Order",X260="Negative - Invalid",X260="Above Allowed Range - Invalid",AG260="Mismatch",AH260="Mismatch",AK260="Conflicting Duplicate - Flagged for Review"),"Invalid",IF(OR(L260="Filled - Unknown",S260="Filled - Unknown",X260="Missing - Defaulted to 0",AL260="Yes",AC260="Cancelled",AC260="Returned"),"Warning","Clean"))</f>
        <v>Clean</v>
      </c>
    </row>
    <row r="261" customFormat="false" ht="15" hidden="false" customHeight="false" outlineLevel="0" collapsed="false">
      <c r="A261" s="3" t="str">
        <f aca="false">raw_data!A261</f>
        <v>ORD-2024-10260</v>
      </c>
      <c r="B261" s="4" t="n">
        <f aca="false">IFERROR(IF(MID(raw_data!B261,3,1)="/",DATE(VALUE(RIGHT(raw_data!B261,4)),VALUE(LEFT(raw_data!B261,2)),VALUE(MID(raw_data!B261,4,2))),IF(MID(raw_data!B261,3,1)="-",DATE(VALUE(RIGHT(raw_data!B261,4)),VALUE(MID(raw_data!B261,4,2)),VALUE(LEFT(raw_data!B261,2))),IF(MID(raw_data!B261,5,1)="-",DATE(VALUE(LEFT(raw_data!B261,4)),VALUE(MID(raw_data!B261,6,2)),VALUE(RIGHT(raw_data!B261,2))),DATE(VALUE(RIGHT(raw_data!B261,4)),MATCH(MID(raw_data!B261,4,3),{"Jan","Feb","Mar","Apr","May","Jun","Jul","Aug","Sep","Oct","Nov","Dec"},0),VALUE(LEFT(raw_data!B261,2)))))),"")</f>
        <v>45464</v>
      </c>
      <c r="C261" s="4" t="n">
        <f aca="false">IFERROR(IF(MID(raw_data!C261,3,1)="/",DATE(VALUE(RIGHT(raw_data!C261,4)),VALUE(LEFT(raw_data!C261,2)),VALUE(MID(raw_data!C261,4,2))),IF(MID(raw_data!C261,3,1)="-",DATE(VALUE(RIGHT(raw_data!C261,4)),VALUE(MID(raw_data!C261,4,2)),VALUE(LEFT(raw_data!C261,2))),IF(MID(raw_data!C261,5,1)="-",DATE(VALUE(LEFT(raw_data!C261,4)),VALUE(MID(raw_data!C261,6,2)),VALUE(RIGHT(raw_data!C261,2))),DATE(VALUE(RIGHT(raw_data!C261,4)),MATCH(MID(raw_data!C261,4,3),{"Jan","Feb","Mar","Apr","May","Jun","Jul","Aug","Sep","Oct","Nov","Dec"},0),VALUE(LEFT(raw_data!C261,2)))))),"")</f>
        <v>45472</v>
      </c>
      <c r="D261" s="3" t="str">
        <f aca="false">IF(TRIM(raw_data!B261)="","Missing",IF(B261="","Invalid/Unrecognized","Valid"))</f>
        <v>Valid</v>
      </c>
      <c r="E261" s="3" t="str">
        <f aca="false">IF(TRIM(raw_data!C261)="","Missing",IF(C261="","Invalid/Unrecognized","Valid"))</f>
        <v>Valid</v>
      </c>
      <c r="F261" s="5" t="n">
        <f aca="false">IF(OR(B261="",C261=""),"",C261-B261)</f>
        <v>8</v>
      </c>
      <c r="G261" s="3" t="str">
        <f aca="false">IF(F261="","N/A",IF(F261&lt;0,"Invalid - Ship Before Order","OK"))</f>
        <v>OK</v>
      </c>
      <c r="H261" s="3" t="str">
        <f aca="false">raw_data!D261</f>
        <v>CUST-5174</v>
      </c>
      <c r="I261" s="3" t="str">
        <f aca="false">PROPER(TRIM(raw_data!E261))</f>
        <v>Neha Gupta</v>
      </c>
      <c r="J261" s="3" t="str">
        <f aca="false">PROPER(TRIM(raw_data!F261))</f>
        <v>Consumer</v>
      </c>
      <c r="K261" s="3" t="str">
        <f aca="false">IF(TRIM(raw_data!G261)="","Unknown",PROPER(TRIM(raw_data!G261)))</f>
        <v>South</v>
      </c>
      <c r="L261" s="3" t="str">
        <f aca="false">IF(TRIM(raw_data!G261)="","Filled - Unknown","OK")</f>
        <v>OK</v>
      </c>
      <c r="M261" s="3" t="str">
        <f aca="false">PROPER(TRIM(raw_data!H261))</f>
        <v>Tamil Nadu</v>
      </c>
      <c r="N261" s="3" t="str">
        <f aca="false">PROPER(TRIM(raw_data!I261))</f>
        <v>Chennai</v>
      </c>
      <c r="O261" s="3" t="str">
        <f aca="false">PROPER(TRIM(raw_data!J261))</f>
        <v>Technology</v>
      </c>
      <c r="P261" s="3" t="str">
        <f aca="false">PROPER(TRIM(raw_data!K261))</f>
        <v>Machines</v>
      </c>
      <c r="Q261" s="3" t="str">
        <f aca="false">TRIM(raw_data!L261)</f>
        <v>Prime Machines 793</v>
      </c>
      <c r="R261" s="3" t="str">
        <f aca="false">IF(TRIM(raw_data!M261)="","Unknown",PROPER(TRIM(raw_data!M261)))</f>
        <v>Standard Class</v>
      </c>
      <c r="S261" s="3" t="str">
        <f aca="false">IF(TRIM(raw_data!M261)="","Filled - Unknown","OK")</f>
        <v>OK</v>
      </c>
      <c r="T261" s="6" t="n">
        <f aca="false">raw_data!N261</f>
        <v>8</v>
      </c>
      <c r="U261" s="7" t="n">
        <f aca="false">raw_data!O261</f>
        <v>2853.92</v>
      </c>
      <c r="V261" s="8" t="n">
        <f aca="false">raw_data!P261</f>
        <v>0.2</v>
      </c>
      <c r="W261" s="8" t="n">
        <f aca="false">IF(raw_data!P261="",0,IF(ISTEXT(raw_data!P261),IF(RIGHT(raw_data!P261,1)="%",VALUE(LEFT(raw_data!P261,LEN(raw_data!P261)-1))/100,VALUE(raw_data!P261)),raw_data!P261))</f>
        <v>0.2</v>
      </c>
      <c r="X261" s="3" t="str">
        <f aca="false">IF(raw_data!P261="","Missing - Defaulted to 0",IF(W261&lt;0,"Negative - Invalid",IF(W261&gt;0.3,"Above Allowed Range - Invalid","Valid")))</f>
        <v>Valid</v>
      </c>
      <c r="Y261" s="7" t="n">
        <f aca="false">raw_data!Q261</f>
        <v>18265.09</v>
      </c>
      <c r="Z261" s="7" t="n">
        <f aca="false">raw_data!R261</f>
        <v>10437.14</v>
      </c>
      <c r="AA261" s="7" t="n">
        <f aca="false">raw_data!S261</f>
        <v>7827.95</v>
      </c>
      <c r="AB261" s="3" t="str">
        <f aca="false">PROPER(TRIM(raw_data!T261))</f>
        <v>Paid</v>
      </c>
      <c r="AC261" s="3" t="str">
        <f aca="false">PROPER(TRIM(raw_data!U261))</f>
        <v>Completed</v>
      </c>
      <c r="AD261" s="7" t="n">
        <f aca="false">T261*U261*(1-W261)</f>
        <v>18265.088</v>
      </c>
      <c r="AE261" s="7" t="n">
        <f aca="false">AD261-Z261</f>
        <v>7827.948</v>
      </c>
      <c r="AF261" s="8" t="n">
        <f aca="false">IF(AD261=0,0,AE261/AD261)</f>
        <v>0.428574338103381</v>
      </c>
      <c r="AG261" s="3" t="str">
        <f aca="false">IF(ABS(Y261-AD261)&gt;1,"Mismatch","OK")</f>
        <v>OK</v>
      </c>
      <c r="AH261" s="3" t="str">
        <f aca="false">IF(ABS(AA261-AE261)&gt;1,"Mismatch","OK")</f>
        <v>OK</v>
      </c>
      <c r="AI261" s="6" t="n">
        <f aca="false">IF(B261="","",MONTH(B261))</f>
        <v>6</v>
      </c>
      <c r="AJ261" s="6" t="n">
        <f aca="false">IF(B261="","",YEAR(B261))</f>
        <v>2024</v>
      </c>
      <c r="AK261" s="3" t="str">
        <f aca="false">IF(COUNTIF(raw_data!$A$2:$A$913,A261)&gt;1,"Conflicting Duplicate - Flagged for Review","Unique")</f>
        <v>Unique</v>
      </c>
      <c r="AL261" s="3" t="str">
        <f aca="false">IF(AB261="Refunded","Yes","No")</f>
        <v>No</v>
      </c>
      <c r="AM261" s="3" t="str">
        <f aca="false">IF(OR(AC261&lt;&gt;"Completed",AB261="Failed"),"Excluded","Included")</f>
        <v>Included</v>
      </c>
      <c r="AN261" s="3" t="str">
        <f aca="false">IF(OR(D261="Invalid/Unrecognized",E261="Invalid/Unrecognized",G261="Invalid - Ship Before Order",X261="Negative - Invalid",X261="Above Allowed Range - Invalid",AG261="Mismatch",AH261="Mismatch",AK261="Conflicting Duplicate - Flagged for Review"),"Invalid",IF(OR(L261="Filled - Unknown",S261="Filled - Unknown",X261="Missing - Defaulted to 0",AL261="Yes",AC261="Cancelled",AC261="Returned"),"Warning","Clean"))</f>
        <v>Clean</v>
      </c>
    </row>
    <row r="262" customFormat="false" ht="15" hidden="false" customHeight="false" outlineLevel="0" collapsed="false">
      <c r="A262" s="3" t="str">
        <f aca="false">raw_data!A262</f>
        <v>ORD-2025-10261</v>
      </c>
      <c r="B262" s="4" t="n">
        <f aca="false">IFERROR(IF(MID(raw_data!B262,3,1)="/",DATE(VALUE(RIGHT(raw_data!B262,4)),VALUE(LEFT(raw_data!B262,2)),VALUE(MID(raw_data!B262,4,2))),IF(MID(raw_data!B262,3,1)="-",DATE(VALUE(RIGHT(raw_data!B262,4)),VALUE(MID(raw_data!B262,4,2)),VALUE(LEFT(raw_data!B262,2))),IF(MID(raw_data!B262,5,1)="-",DATE(VALUE(LEFT(raw_data!B262,4)),VALUE(MID(raw_data!B262,6,2)),VALUE(RIGHT(raw_data!B262,2))),DATE(VALUE(RIGHT(raw_data!B262,4)),MATCH(MID(raw_data!B262,4,3),{"Jan","Feb","Mar","Apr","May","Jun","Jul","Aug","Sep","Oct","Nov","Dec"},0),VALUE(LEFT(raw_data!B262,2)))))),"")</f>
        <v>45923</v>
      </c>
      <c r="C262" s="4" t="n">
        <f aca="false">IFERROR(IF(MID(raw_data!C262,3,1)="/",DATE(VALUE(RIGHT(raw_data!C262,4)),VALUE(LEFT(raw_data!C262,2)),VALUE(MID(raw_data!C262,4,2))),IF(MID(raw_data!C262,3,1)="-",DATE(VALUE(RIGHT(raw_data!C262,4)),VALUE(MID(raw_data!C262,4,2)),VALUE(LEFT(raw_data!C262,2))),IF(MID(raw_data!C262,5,1)="-",DATE(VALUE(LEFT(raw_data!C262,4)),VALUE(MID(raw_data!C262,6,2)),VALUE(RIGHT(raw_data!C262,2))),DATE(VALUE(RIGHT(raw_data!C262,4)),MATCH(MID(raw_data!C262,4,3),{"Jan","Feb","Mar","Apr","May","Jun","Jul","Aug","Sep","Oct","Nov","Dec"},0),VALUE(LEFT(raw_data!C262,2)))))),"")</f>
        <v>45927</v>
      </c>
      <c r="D262" s="3" t="str">
        <f aca="false">IF(TRIM(raw_data!B262)="","Missing",IF(B262="","Invalid/Unrecognized","Valid"))</f>
        <v>Valid</v>
      </c>
      <c r="E262" s="3" t="str">
        <f aca="false">IF(TRIM(raw_data!C262)="","Missing",IF(C262="","Invalid/Unrecognized","Valid"))</f>
        <v>Valid</v>
      </c>
      <c r="F262" s="5" t="n">
        <f aca="false">IF(OR(B262="",C262=""),"",C262-B262)</f>
        <v>4</v>
      </c>
      <c r="G262" s="3" t="str">
        <f aca="false">IF(F262="","N/A",IF(F262&lt;0,"Invalid - Ship Before Order","OK"))</f>
        <v>OK</v>
      </c>
      <c r="H262" s="3" t="str">
        <f aca="false">raw_data!D262</f>
        <v>CUST-3543</v>
      </c>
      <c r="I262" s="3" t="str">
        <f aca="false">PROPER(TRIM(raw_data!E262))</f>
        <v>Aditi Sen</v>
      </c>
      <c r="J262" s="3" t="str">
        <f aca="false">PROPER(TRIM(raw_data!F262))</f>
        <v>Corporate</v>
      </c>
      <c r="K262" s="3" t="str">
        <f aca="false">IF(TRIM(raw_data!G262)="","Unknown",PROPER(TRIM(raw_data!G262)))</f>
        <v>East</v>
      </c>
      <c r="L262" s="3" t="str">
        <f aca="false">IF(TRIM(raw_data!G262)="","Filled - Unknown","OK")</f>
        <v>OK</v>
      </c>
      <c r="M262" s="3" t="str">
        <f aca="false">PROPER(TRIM(raw_data!H262))</f>
        <v>West Bengal</v>
      </c>
      <c r="N262" s="3" t="str">
        <f aca="false">PROPER(TRIM(raw_data!I262))</f>
        <v>Kolkata</v>
      </c>
      <c r="O262" s="3" t="str">
        <f aca="false">PROPER(TRIM(raw_data!J262))</f>
        <v>Office Supplies</v>
      </c>
      <c r="P262" s="3" t="str">
        <f aca="false">PROPER(TRIM(raw_data!K262))</f>
        <v>Binders</v>
      </c>
      <c r="Q262" s="3" t="str">
        <f aca="false">TRIM(raw_data!L262)</f>
        <v>Elite Binders 827</v>
      </c>
      <c r="R262" s="3" t="str">
        <f aca="false">IF(TRIM(raw_data!M262)="","Unknown",PROPER(TRIM(raw_data!M262)))</f>
        <v>Same Day</v>
      </c>
      <c r="S262" s="3" t="str">
        <f aca="false">IF(TRIM(raw_data!M262)="","Filled - Unknown","OK")</f>
        <v>OK</v>
      </c>
      <c r="T262" s="6" t="n">
        <f aca="false">raw_data!N262</f>
        <v>7</v>
      </c>
      <c r="U262" s="7" t="n">
        <f aca="false">raw_data!O262</f>
        <v>2897.12</v>
      </c>
      <c r="V262" s="8" t="n">
        <f aca="false">raw_data!P262</f>
        <v>0.25</v>
      </c>
      <c r="W262" s="8" t="n">
        <f aca="false">IF(raw_data!P262="",0,IF(ISTEXT(raw_data!P262),IF(RIGHT(raw_data!P262,1)="%",VALUE(LEFT(raw_data!P262,LEN(raw_data!P262)-1))/100,VALUE(raw_data!P262)),raw_data!P262))</f>
        <v>0.25</v>
      </c>
      <c r="X262" s="3" t="str">
        <f aca="false">IF(raw_data!P262="","Missing - Defaulted to 0",IF(W262&lt;0,"Negative - Invalid",IF(W262&gt;0.3,"Above Allowed Range - Invalid","Valid")))</f>
        <v>Valid</v>
      </c>
      <c r="Y262" s="7" t="n">
        <f aca="false">raw_data!Q262</f>
        <v>15209.88</v>
      </c>
      <c r="Z262" s="7" t="n">
        <f aca="false">raw_data!R262</f>
        <v>10891.15</v>
      </c>
      <c r="AA262" s="7" t="n">
        <f aca="false">raw_data!S262</f>
        <v>4318.73</v>
      </c>
      <c r="AB262" s="3" t="str">
        <f aca="false">PROPER(TRIM(raw_data!T262))</f>
        <v>Failed</v>
      </c>
      <c r="AC262" s="3" t="str">
        <f aca="false">PROPER(TRIM(raw_data!U262))</f>
        <v>Returned</v>
      </c>
      <c r="AD262" s="7" t="n">
        <f aca="false">T262*U262*(1-W262)</f>
        <v>15209.88</v>
      </c>
      <c r="AE262" s="7" t="n">
        <f aca="false">AD262-Z262</f>
        <v>4318.73</v>
      </c>
      <c r="AF262" s="8" t="n">
        <f aca="false">IF(AD262=0,0,AE262/AD262)</f>
        <v>0.283942411116985</v>
      </c>
      <c r="AG262" s="3" t="str">
        <f aca="false">IF(ABS(Y262-AD262)&gt;1,"Mismatch","OK")</f>
        <v>OK</v>
      </c>
      <c r="AH262" s="3" t="str">
        <f aca="false">IF(ABS(AA262-AE262)&gt;1,"Mismatch","OK")</f>
        <v>OK</v>
      </c>
      <c r="AI262" s="6" t="n">
        <f aca="false">IF(B262="","",MONTH(B262))</f>
        <v>9</v>
      </c>
      <c r="AJ262" s="6" t="n">
        <f aca="false">IF(B262="","",YEAR(B262))</f>
        <v>2025</v>
      </c>
      <c r="AK262" s="3" t="str">
        <f aca="false">IF(COUNTIF(raw_data!$A$2:$A$913,A262)&gt;1,"Conflicting Duplicate - Flagged for Review","Unique")</f>
        <v>Unique</v>
      </c>
      <c r="AL262" s="3" t="str">
        <f aca="false">IF(AB262="Refunded","Yes","No")</f>
        <v>No</v>
      </c>
      <c r="AM262" s="3" t="str">
        <f aca="false">IF(OR(AC262&lt;&gt;"Completed",AB262="Failed"),"Excluded","Included")</f>
        <v>Excluded</v>
      </c>
      <c r="AN262" s="3" t="str">
        <f aca="false">IF(OR(D262="Invalid/Unrecognized",E262="Invalid/Unrecognized",G262="Invalid - Ship Before Order",X262="Negative - Invalid",X262="Above Allowed Range - Invalid",AG262="Mismatch",AH262="Mismatch",AK262="Conflicting Duplicate - Flagged for Review"),"Invalid",IF(OR(L262="Filled - Unknown",S262="Filled - Unknown",X262="Missing - Defaulted to 0",AL262="Yes",AC262="Cancelled",AC262="Returned"),"Warning","Clean"))</f>
        <v>Warning</v>
      </c>
    </row>
    <row r="263" customFormat="false" ht="15" hidden="false" customHeight="false" outlineLevel="0" collapsed="false">
      <c r="A263" s="3" t="str">
        <f aca="false">raw_data!A263</f>
        <v>ORD-2025-10262</v>
      </c>
      <c r="B263" s="4" t="n">
        <f aca="false">IFERROR(IF(MID(raw_data!B263,3,1)="/",DATE(VALUE(RIGHT(raw_data!B263,4)),VALUE(LEFT(raw_data!B263,2)),VALUE(MID(raw_data!B263,4,2))),IF(MID(raw_data!B263,3,1)="-",DATE(VALUE(RIGHT(raw_data!B263,4)),VALUE(MID(raw_data!B263,4,2)),VALUE(LEFT(raw_data!B263,2))),IF(MID(raw_data!B263,5,1)="-",DATE(VALUE(LEFT(raw_data!B263,4)),VALUE(MID(raw_data!B263,6,2)),VALUE(RIGHT(raw_data!B263,2))),DATE(VALUE(RIGHT(raw_data!B263,4)),MATCH(MID(raw_data!B263,4,3),{"Jan","Feb","Mar","Apr","May","Jun","Jul","Aug","Sep","Oct","Nov","Dec"},0),VALUE(LEFT(raw_data!B263,2)))))),"")</f>
        <v>45826</v>
      </c>
      <c r="C263" s="4" t="n">
        <f aca="false">IFERROR(IF(MID(raw_data!C263,3,1)="/",DATE(VALUE(RIGHT(raw_data!C263,4)),VALUE(LEFT(raw_data!C263,2)),VALUE(MID(raw_data!C263,4,2))),IF(MID(raw_data!C263,3,1)="-",DATE(VALUE(RIGHT(raw_data!C263,4)),VALUE(MID(raw_data!C263,4,2)),VALUE(LEFT(raw_data!C263,2))),IF(MID(raw_data!C263,5,1)="-",DATE(VALUE(LEFT(raw_data!C263,4)),VALUE(MID(raw_data!C263,6,2)),VALUE(RIGHT(raw_data!C263,2))),DATE(VALUE(RIGHT(raw_data!C263,4)),MATCH(MID(raw_data!C263,4,3),{"Jan","Feb","Mar","Apr","May","Jun","Jul","Aug","Sep","Oct","Nov","Dec"},0),VALUE(LEFT(raw_data!C263,2)))))),"")</f>
        <v>45832</v>
      </c>
      <c r="D263" s="3" t="str">
        <f aca="false">IF(TRIM(raw_data!B263)="","Missing",IF(B263="","Invalid/Unrecognized","Valid"))</f>
        <v>Valid</v>
      </c>
      <c r="E263" s="3" t="str">
        <f aca="false">IF(TRIM(raw_data!C263)="","Missing",IF(C263="","Invalid/Unrecognized","Valid"))</f>
        <v>Valid</v>
      </c>
      <c r="F263" s="5" t="n">
        <f aca="false">IF(OR(B263="",C263=""),"",C263-B263)</f>
        <v>6</v>
      </c>
      <c r="G263" s="3" t="str">
        <f aca="false">IF(F263="","N/A",IF(F263&lt;0,"Invalid - Ship Before Order","OK"))</f>
        <v>OK</v>
      </c>
      <c r="H263" s="3" t="str">
        <f aca="false">raw_data!D263</f>
        <v>CUST-7623</v>
      </c>
      <c r="I263" s="3" t="str">
        <f aca="false">PROPER(TRIM(raw_data!E263))</f>
        <v>Sneha Kapoor</v>
      </c>
      <c r="J263" s="3" t="str">
        <f aca="false">PROPER(TRIM(raw_data!F263))</f>
        <v>Corporate</v>
      </c>
      <c r="K263" s="3" t="str">
        <f aca="false">IF(TRIM(raw_data!G263)="","Unknown",PROPER(TRIM(raw_data!G263)))</f>
        <v>North</v>
      </c>
      <c r="L263" s="3" t="str">
        <f aca="false">IF(TRIM(raw_data!G263)="","Filled - Unknown","OK")</f>
        <v>OK</v>
      </c>
      <c r="M263" s="3" t="str">
        <f aca="false">PROPER(TRIM(raw_data!H263))</f>
        <v>Rajasthan</v>
      </c>
      <c r="N263" s="3" t="str">
        <f aca="false">PROPER(TRIM(raw_data!I263))</f>
        <v>Jaipur</v>
      </c>
      <c r="O263" s="3" t="str">
        <f aca="false">PROPER(TRIM(raw_data!J263))</f>
        <v>Office Supplies</v>
      </c>
      <c r="P263" s="3" t="str">
        <f aca="false">PROPER(TRIM(raw_data!K263))</f>
        <v>Labels</v>
      </c>
      <c r="Q263" s="3" t="str">
        <f aca="false">TRIM(raw_data!L263)</f>
        <v>Prime Labels 326</v>
      </c>
      <c r="R263" s="3" t="str">
        <f aca="false">IF(TRIM(raw_data!M263)="","Unknown",PROPER(TRIM(raw_data!M263)))</f>
        <v>Standard Class</v>
      </c>
      <c r="S263" s="3" t="str">
        <f aca="false">IF(TRIM(raw_data!M263)="","Filled - Unknown","OK")</f>
        <v>OK</v>
      </c>
      <c r="T263" s="6" t="n">
        <f aca="false">raw_data!N263</f>
        <v>3</v>
      </c>
      <c r="U263" s="7" t="n">
        <f aca="false">raw_data!O263</f>
        <v>686.74</v>
      </c>
      <c r="V263" s="8" t="n">
        <f aca="false">raw_data!P263</f>
        <v>0.2</v>
      </c>
      <c r="W263" s="8" t="n">
        <f aca="false">IF(raw_data!P263="",0,IF(ISTEXT(raw_data!P263),IF(RIGHT(raw_data!P263,1)="%",VALUE(LEFT(raw_data!P263,LEN(raw_data!P263)-1))/100,VALUE(raw_data!P263)),raw_data!P263))</f>
        <v>0.2</v>
      </c>
      <c r="X263" s="3" t="str">
        <f aca="false">IF(raw_data!P263="","Missing - Defaulted to 0",IF(W263&lt;0,"Negative - Invalid",IF(W263&gt;0.3,"Above Allowed Range - Invalid","Valid")))</f>
        <v>Valid</v>
      </c>
      <c r="Y263" s="7" t="n">
        <f aca="false">raw_data!Q263</f>
        <v>1648.18</v>
      </c>
      <c r="Z263" s="7" t="n">
        <f aca="false">raw_data!R263</f>
        <v>987.91</v>
      </c>
      <c r="AA263" s="7" t="n">
        <f aca="false">raw_data!S263</f>
        <v>660.27</v>
      </c>
      <c r="AB263" s="3" t="str">
        <f aca="false">PROPER(TRIM(raw_data!T263))</f>
        <v>Failed</v>
      </c>
      <c r="AC263" s="3" t="str">
        <f aca="false">PROPER(TRIM(raw_data!U263))</f>
        <v>Cancelled</v>
      </c>
      <c r="AD263" s="7" t="n">
        <f aca="false">T263*U263*(1-W263)</f>
        <v>1648.176</v>
      </c>
      <c r="AE263" s="7" t="n">
        <f aca="false">AD263-Z263</f>
        <v>660.266</v>
      </c>
      <c r="AF263" s="8" t="n">
        <f aca="false">IF(AD263=0,0,AE263/AD263)</f>
        <v>0.400604061702148</v>
      </c>
      <c r="AG263" s="3" t="str">
        <f aca="false">IF(ABS(Y263-AD263)&gt;1,"Mismatch","OK")</f>
        <v>OK</v>
      </c>
      <c r="AH263" s="3" t="str">
        <f aca="false">IF(ABS(AA263-AE263)&gt;1,"Mismatch","OK")</f>
        <v>OK</v>
      </c>
      <c r="AI263" s="6" t="n">
        <f aca="false">IF(B263="","",MONTH(B263))</f>
        <v>6</v>
      </c>
      <c r="AJ263" s="6" t="n">
        <f aca="false">IF(B263="","",YEAR(B263))</f>
        <v>2025</v>
      </c>
      <c r="AK263" s="3" t="str">
        <f aca="false">IF(COUNTIF(raw_data!$A$2:$A$913,A263)&gt;1,"Conflicting Duplicate - Flagged for Review","Unique")</f>
        <v>Unique</v>
      </c>
      <c r="AL263" s="3" t="str">
        <f aca="false">IF(AB263="Refunded","Yes","No")</f>
        <v>No</v>
      </c>
      <c r="AM263" s="3" t="str">
        <f aca="false">IF(OR(AC263&lt;&gt;"Completed",AB263="Failed"),"Excluded","Included")</f>
        <v>Excluded</v>
      </c>
      <c r="AN263" s="3" t="str">
        <f aca="false">IF(OR(D263="Invalid/Unrecognized",E263="Invalid/Unrecognized",G263="Invalid - Ship Before Order",X263="Negative - Invalid",X263="Above Allowed Range - Invalid",AG263="Mismatch",AH263="Mismatch",AK263="Conflicting Duplicate - Flagged for Review"),"Invalid",IF(OR(L263="Filled - Unknown",S263="Filled - Unknown",X263="Missing - Defaulted to 0",AL263="Yes",AC263="Cancelled",AC263="Returned"),"Warning","Clean"))</f>
        <v>Warning</v>
      </c>
    </row>
    <row r="264" customFormat="false" ht="15" hidden="false" customHeight="false" outlineLevel="0" collapsed="false">
      <c r="A264" s="3" t="str">
        <f aca="false">raw_data!A264</f>
        <v>ORD-2025-10263</v>
      </c>
      <c r="B264" s="4" t="n">
        <f aca="false">IFERROR(IF(MID(raw_data!B264,3,1)="/",DATE(VALUE(RIGHT(raw_data!B264,4)),VALUE(LEFT(raw_data!B264,2)),VALUE(MID(raw_data!B264,4,2))),IF(MID(raw_data!B264,3,1)="-",DATE(VALUE(RIGHT(raw_data!B264,4)),VALUE(MID(raw_data!B264,4,2)),VALUE(LEFT(raw_data!B264,2))),IF(MID(raw_data!B264,5,1)="-",DATE(VALUE(LEFT(raw_data!B264,4)),VALUE(MID(raw_data!B264,6,2)),VALUE(RIGHT(raw_data!B264,2))),DATE(VALUE(RIGHT(raw_data!B264,4)),MATCH(MID(raw_data!B264,4,3),{"Jan","Feb","Mar","Apr","May","Jun","Jul","Aug","Sep","Oct","Nov","Dec"},0),VALUE(LEFT(raw_data!B264,2)))))),"")</f>
        <v>45803</v>
      </c>
      <c r="C264" s="4" t="n">
        <f aca="false">IFERROR(IF(MID(raw_data!C264,3,1)="/",DATE(VALUE(RIGHT(raw_data!C264,4)),VALUE(LEFT(raw_data!C264,2)),VALUE(MID(raw_data!C264,4,2))),IF(MID(raw_data!C264,3,1)="-",DATE(VALUE(RIGHT(raw_data!C264,4)),VALUE(MID(raw_data!C264,4,2)),VALUE(LEFT(raw_data!C264,2))),IF(MID(raw_data!C264,5,1)="-",DATE(VALUE(LEFT(raw_data!C264,4)),VALUE(MID(raw_data!C264,6,2)),VALUE(RIGHT(raw_data!C264,2))),DATE(VALUE(RIGHT(raw_data!C264,4)),MATCH(MID(raw_data!C264,4,3),{"Jan","Feb","Mar","Apr","May","Jun","Jul","Aug","Sep","Oct","Nov","Dec"},0),VALUE(LEFT(raw_data!C264,2)))))),"")</f>
        <v>45809</v>
      </c>
      <c r="D264" s="3" t="str">
        <f aca="false">IF(TRIM(raw_data!B264)="","Missing",IF(B264="","Invalid/Unrecognized","Valid"))</f>
        <v>Valid</v>
      </c>
      <c r="E264" s="3" t="str">
        <f aca="false">IF(TRIM(raw_data!C264)="","Missing",IF(C264="","Invalid/Unrecognized","Valid"))</f>
        <v>Valid</v>
      </c>
      <c r="F264" s="5" t="n">
        <f aca="false">IF(OR(B264="",C264=""),"",C264-B264)</f>
        <v>6</v>
      </c>
      <c r="G264" s="3" t="str">
        <f aca="false">IF(F264="","N/A",IF(F264&lt;0,"Invalid - Ship Before Order","OK"))</f>
        <v>OK</v>
      </c>
      <c r="H264" s="3" t="str">
        <f aca="false">raw_data!D264</f>
        <v>CUST-6153</v>
      </c>
      <c r="I264" s="3" t="str">
        <f aca="false">PROPER(TRIM(raw_data!E264))</f>
        <v>Arjun Bose</v>
      </c>
      <c r="J264" s="3" t="str">
        <f aca="false">PROPER(TRIM(raw_data!F264))</f>
        <v>Small Business</v>
      </c>
      <c r="K264" s="3" t="str">
        <f aca="false">IF(TRIM(raw_data!G264)="","Unknown",PROPER(TRIM(raw_data!G264)))</f>
        <v>North</v>
      </c>
      <c r="L264" s="3" t="str">
        <f aca="false">IF(TRIM(raw_data!G264)="","Filled - Unknown","OK")</f>
        <v>OK</v>
      </c>
      <c r="M264" s="3" t="str">
        <f aca="false">PROPER(TRIM(raw_data!H264))</f>
        <v>Delhi</v>
      </c>
      <c r="N264" s="3" t="str">
        <f aca="false">PROPER(TRIM(raw_data!I264))</f>
        <v>New Delhi</v>
      </c>
      <c r="O264" s="3" t="str">
        <f aca="false">PROPER(TRIM(raw_data!J264))</f>
        <v>Technology</v>
      </c>
      <c r="P264" s="3" t="str">
        <f aca="false">PROPER(TRIM(raw_data!K264))</f>
        <v>Phones</v>
      </c>
      <c r="Q264" s="3" t="str">
        <f aca="false">TRIM(raw_data!L264)</f>
        <v>Eco Phones 245</v>
      </c>
      <c r="R264" s="3" t="str">
        <f aca="false">IF(TRIM(raw_data!M264)="","Unknown",PROPER(TRIM(raw_data!M264)))</f>
        <v>Same Day</v>
      </c>
      <c r="S264" s="3" t="str">
        <f aca="false">IF(TRIM(raw_data!M264)="","Filled - Unknown","OK")</f>
        <v>OK</v>
      </c>
      <c r="T264" s="6" t="n">
        <f aca="false">raw_data!N264</f>
        <v>4</v>
      </c>
      <c r="U264" s="7" t="n">
        <f aca="false">raw_data!O264</f>
        <v>3349.86</v>
      </c>
      <c r="V264" s="8" t="n">
        <f aca="false">raw_data!P264</f>
        <v>0</v>
      </c>
      <c r="W264" s="8" t="n">
        <f aca="false">IF(raw_data!P264="",0,IF(ISTEXT(raw_data!P264),IF(RIGHT(raw_data!P264,1)="%",VALUE(LEFT(raw_data!P264,LEN(raw_data!P264)-1))/100,VALUE(raw_data!P264)),raw_data!P264))</f>
        <v>0</v>
      </c>
      <c r="X264" s="3" t="str">
        <f aca="false">IF(raw_data!P264="","Missing - Defaulted to 0",IF(W264&lt;0,"Negative - Invalid",IF(W264&gt;0.3,"Above Allowed Range - Invalid","Valid")))</f>
        <v>Valid</v>
      </c>
      <c r="Y264" s="7" t="n">
        <f aca="false">raw_data!Q264</f>
        <v>13399.44</v>
      </c>
      <c r="Z264" s="7" t="n">
        <f aca="false">raw_data!R264</f>
        <v>8581.35</v>
      </c>
      <c r="AA264" s="7" t="n">
        <f aca="false">raw_data!S264</f>
        <v>4818.09</v>
      </c>
      <c r="AB264" s="3" t="str">
        <f aca="false">PROPER(TRIM(raw_data!T264))</f>
        <v>Pending</v>
      </c>
      <c r="AC264" s="3" t="str">
        <f aca="false">PROPER(TRIM(raw_data!U264))</f>
        <v>Returned</v>
      </c>
      <c r="AD264" s="7" t="n">
        <f aca="false">T264*U264*(1-W264)</f>
        <v>13399.44</v>
      </c>
      <c r="AE264" s="7" t="n">
        <f aca="false">AD264-Z264</f>
        <v>4818.09</v>
      </c>
      <c r="AF264" s="8" t="n">
        <f aca="false">IF(AD264=0,0,AE264/AD264)</f>
        <v>0.359573982196271</v>
      </c>
      <c r="AG264" s="3" t="str">
        <f aca="false">IF(ABS(Y264-AD264)&gt;1,"Mismatch","OK")</f>
        <v>OK</v>
      </c>
      <c r="AH264" s="3" t="str">
        <f aca="false">IF(ABS(AA264-AE264)&gt;1,"Mismatch","OK")</f>
        <v>OK</v>
      </c>
      <c r="AI264" s="6" t="n">
        <f aca="false">IF(B264="","",MONTH(B264))</f>
        <v>5</v>
      </c>
      <c r="AJ264" s="6" t="n">
        <f aca="false">IF(B264="","",YEAR(B264))</f>
        <v>2025</v>
      </c>
      <c r="AK264" s="3" t="str">
        <f aca="false">IF(COUNTIF(raw_data!$A$2:$A$913,A264)&gt;1,"Conflicting Duplicate - Flagged for Review","Unique")</f>
        <v>Unique</v>
      </c>
      <c r="AL264" s="3" t="str">
        <f aca="false">IF(AB264="Refunded","Yes","No")</f>
        <v>No</v>
      </c>
      <c r="AM264" s="3" t="str">
        <f aca="false">IF(OR(AC264&lt;&gt;"Completed",AB264="Failed"),"Excluded","Included")</f>
        <v>Excluded</v>
      </c>
      <c r="AN264" s="3" t="str">
        <f aca="false">IF(OR(D264="Invalid/Unrecognized",E264="Invalid/Unrecognized",G264="Invalid - Ship Before Order",X264="Negative - Invalid",X264="Above Allowed Range - Invalid",AG264="Mismatch",AH264="Mismatch",AK264="Conflicting Duplicate - Flagged for Review"),"Invalid",IF(OR(L264="Filled - Unknown",S264="Filled - Unknown",X264="Missing - Defaulted to 0",AL264="Yes",AC264="Cancelled",AC264="Returned"),"Warning","Clean"))</f>
        <v>Warning</v>
      </c>
    </row>
    <row r="265" customFormat="false" ht="15" hidden="false" customHeight="false" outlineLevel="0" collapsed="false">
      <c r="A265" s="3" t="str">
        <f aca="false">raw_data!A265</f>
        <v>ORD-2025-10264</v>
      </c>
      <c r="B265" s="4" t="n">
        <f aca="false">IFERROR(IF(MID(raw_data!B265,3,1)="/",DATE(VALUE(RIGHT(raw_data!B265,4)),VALUE(LEFT(raw_data!B265,2)),VALUE(MID(raw_data!B265,4,2))),IF(MID(raw_data!B265,3,1)="-",DATE(VALUE(RIGHT(raw_data!B265,4)),VALUE(MID(raw_data!B265,4,2)),VALUE(LEFT(raw_data!B265,2))),IF(MID(raw_data!B265,5,1)="-",DATE(VALUE(LEFT(raw_data!B265,4)),VALUE(MID(raw_data!B265,6,2)),VALUE(RIGHT(raw_data!B265,2))),DATE(VALUE(RIGHT(raw_data!B265,4)),MATCH(MID(raw_data!B265,4,3),{"Jan","Feb","Mar","Apr","May","Jun","Jul","Aug","Sep","Oct","Nov","Dec"},0),VALUE(LEFT(raw_data!B265,2)))))),"")</f>
        <v>45875</v>
      </c>
      <c r="C265" s="4" t="n">
        <f aca="false">IFERROR(IF(MID(raw_data!C265,3,1)="/",DATE(VALUE(RIGHT(raw_data!C265,4)),VALUE(LEFT(raw_data!C265,2)),VALUE(MID(raw_data!C265,4,2))),IF(MID(raw_data!C265,3,1)="-",DATE(VALUE(RIGHT(raw_data!C265,4)),VALUE(MID(raw_data!C265,4,2)),VALUE(LEFT(raw_data!C265,2))),IF(MID(raw_data!C265,5,1)="-",DATE(VALUE(LEFT(raw_data!C265,4)),VALUE(MID(raw_data!C265,6,2)),VALUE(RIGHT(raw_data!C265,2))),DATE(VALUE(RIGHT(raw_data!C265,4)),MATCH(MID(raw_data!C265,4,3),{"Jan","Feb","Mar","Apr","May","Jun","Jul","Aug","Sep","Oct","Nov","Dec"},0),VALUE(LEFT(raw_data!C265,2)))))),"")</f>
        <v>45879</v>
      </c>
      <c r="D265" s="3" t="str">
        <f aca="false">IF(TRIM(raw_data!B265)="","Missing",IF(B265="","Invalid/Unrecognized","Valid"))</f>
        <v>Valid</v>
      </c>
      <c r="E265" s="3" t="str">
        <f aca="false">IF(TRIM(raw_data!C265)="","Missing",IF(C265="","Invalid/Unrecognized","Valid"))</f>
        <v>Valid</v>
      </c>
      <c r="F265" s="5" t="n">
        <f aca="false">IF(OR(B265="",C265=""),"",C265-B265)</f>
        <v>4</v>
      </c>
      <c r="G265" s="3" t="str">
        <f aca="false">IF(F265="","N/A",IF(F265&lt;0,"Invalid - Ship Before Order","OK"))</f>
        <v>OK</v>
      </c>
      <c r="H265" s="3" t="str">
        <f aca="false">raw_data!D265</f>
        <v>CUST-8265</v>
      </c>
      <c r="I265" s="3" t="str">
        <f aca="false">PROPER(TRIM(raw_data!E265))</f>
        <v>Rohan Mehta</v>
      </c>
      <c r="J265" s="3" t="str">
        <f aca="false">PROPER(TRIM(raw_data!F265))</f>
        <v>Small Business</v>
      </c>
      <c r="K265" s="3" t="str">
        <f aca="false">IF(TRIM(raw_data!G265)="","Unknown",PROPER(TRIM(raw_data!G265)))</f>
        <v>North</v>
      </c>
      <c r="L265" s="3" t="str">
        <f aca="false">IF(TRIM(raw_data!G265)="","Filled - Unknown","OK")</f>
        <v>OK</v>
      </c>
      <c r="M265" s="3" t="str">
        <f aca="false">PROPER(TRIM(raw_data!H265))</f>
        <v>Delhi</v>
      </c>
      <c r="N265" s="3" t="str">
        <f aca="false">PROPER(TRIM(raw_data!I265))</f>
        <v>New Delhi</v>
      </c>
      <c r="O265" s="3" t="str">
        <f aca="false">PROPER(TRIM(raw_data!J265))</f>
        <v>Office Supplies</v>
      </c>
      <c r="P265" s="3" t="str">
        <f aca="false">PROPER(TRIM(raw_data!K265))</f>
        <v>Binders</v>
      </c>
      <c r="Q265" s="3" t="str">
        <f aca="false">TRIM(raw_data!L265)</f>
        <v>Smart Binders 905</v>
      </c>
      <c r="R265" s="3" t="str">
        <f aca="false">IF(TRIM(raw_data!M265)="","Unknown",PROPER(TRIM(raw_data!M265)))</f>
        <v>Second Class</v>
      </c>
      <c r="S265" s="3" t="str">
        <f aca="false">IF(TRIM(raw_data!M265)="","Filled - Unknown","OK")</f>
        <v>OK</v>
      </c>
      <c r="T265" s="6" t="n">
        <f aca="false">raw_data!N265</f>
        <v>9</v>
      </c>
      <c r="U265" s="7" t="n">
        <f aca="false">raw_data!O265</f>
        <v>4042.45</v>
      </c>
      <c r="V265" s="8" t="n">
        <f aca="false">raw_data!P265</f>
        <v>0.1</v>
      </c>
      <c r="W265" s="8" t="n">
        <f aca="false">IF(raw_data!P265="",0,IF(ISTEXT(raw_data!P265),IF(RIGHT(raw_data!P265,1)="%",VALUE(LEFT(raw_data!P265,LEN(raw_data!P265)-1))/100,VALUE(raw_data!P265)),raw_data!P265))</f>
        <v>0.1</v>
      </c>
      <c r="X265" s="3" t="str">
        <f aca="false">IF(raw_data!P265="","Missing - Defaulted to 0",IF(W265&lt;0,"Negative - Invalid",IF(W265&gt;0.3,"Above Allowed Range - Invalid","Valid")))</f>
        <v>Valid</v>
      </c>
      <c r="Y265" s="7" t="n">
        <f aca="false">raw_data!Q265</f>
        <v>32743.84</v>
      </c>
      <c r="Z265" s="7" t="n">
        <f aca="false">raw_data!R265</f>
        <v>22452.05</v>
      </c>
      <c r="AA265" s="7" t="n">
        <f aca="false">raw_data!S265</f>
        <v>10291.79</v>
      </c>
      <c r="AB265" s="3" t="str">
        <f aca="false">PROPER(TRIM(raw_data!T265))</f>
        <v>Pending</v>
      </c>
      <c r="AC265" s="3" t="str">
        <f aca="false">PROPER(TRIM(raw_data!U265))</f>
        <v>Returned</v>
      </c>
      <c r="AD265" s="7" t="n">
        <f aca="false">T265*U265*(1-W265)</f>
        <v>32743.845</v>
      </c>
      <c r="AE265" s="7" t="n">
        <f aca="false">AD265-Z265</f>
        <v>10291.795</v>
      </c>
      <c r="AF265" s="8" t="n">
        <f aca="false">IF(AD265=0,0,AE265/AD265)</f>
        <v>0.314312353970647</v>
      </c>
      <c r="AG265" s="3" t="str">
        <f aca="false">IF(ABS(Y265-AD265)&gt;1,"Mismatch","OK")</f>
        <v>OK</v>
      </c>
      <c r="AH265" s="3" t="str">
        <f aca="false">IF(ABS(AA265-AE265)&gt;1,"Mismatch","OK")</f>
        <v>OK</v>
      </c>
      <c r="AI265" s="6" t="n">
        <f aca="false">IF(B265="","",MONTH(B265))</f>
        <v>8</v>
      </c>
      <c r="AJ265" s="6" t="n">
        <f aca="false">IF(B265="","",YEAR(B265))</f>
        <v>2025</v>
      </c>
      <c r="AK265" s="3" t="str">
        <f aca="false">IF(COUNTIF(raw_data!$A$2:$A$913,A265)&gt;1,"Conflicting Duplicate - Flagged for Review","Unique")</f>
        <v>Unique</v>
      </c>
      <c r="AL265" s="3" t="str">
        <f aca="false">IF(AB265="Refunded","Yes","No")</f>
        <v>No</v>
      </c>
      <c r="AM265" s="3" t="str">
        <f aca="false">IF(OR(AC265&lt;&gt;"Completed",AB265="Failed"),"Excluded","Included")</f>
        <v>Excluded</v>
      </c>
      <c r="AN265" s="3" t="str">
        <f aca="false">IF(OR(D265="Invalid/Unrecognized",E265="Invalid/Unrecognized",G265="Invalid - Ship Before Order",X265="Negative - Invalid",X265="Above Allowed Range - Invalid",AG265="Mismatch",AH265="Mismatch",AK265="Conflicting Duplicate - Flagged for Review"),"Invalid",IF(OR(L265="Filled - Unknown",S265="Filled - Unknown",X265="Missing - Defaulted to 0",AL265="Yes",AC265="Cancelled",AC265="Returned"),"Warning","Clean"))</f>
        <v>Warning</v>
      </c>
    </row>
    <row r="266" customFormat="false" ht="15" hidden="false" customHeight="false" outlineLevel="0" collapsed="false">
      <c r="A266" s="3" t="str">
        <f aca="false">raw_data!A266</f>
        <v>ORD-2024-10265</v>
      </c>
      <c r="B266" s="4" t="n">
        <f aca="false">IFERROR(IF(MID(raw_data!B266,3,1)="/",DATE(VALUE(RIGHT(raw_data!B266,4)),VALUE(LEFT(raw_data!B266,2)),VALUE(MID(raw_data!B266,4,2))),IF(MID(raw_data!B266,3,1)="-",DATE(VALUE(RIGHT(raw_data!B266,4)),VALUE(MID(raw_data!B266,4,2)),VALUE(LEFT(raw_data!B266,2))),IF(MID(raw_data!B266,5,1)="-",DATE(VALUE(LEFT(raw_data!B266,4)),VALUE(MID(raw_data!B266,6,2)),VALUE(RIGHT(raw_data!B266,2))),DATE(VALUE(RIGHT(raw_data!B266,4)),MATCH(MID(raw_data!B266,4,3),{"Jan","Feb","Mar","Apr","May","Jun","Jul","Aug","Sep","Oct","Nov","Dec"},0),VALUE(LEFT(raw_data!B266,2)))))),"")</f>
        <v>45428</v>
      </c>
      <c r="C266" s="4" t="n">
        <f aca="false">IFERROR(IF(MID(raw_data!C266,3,1)="/",DATE(VALUE(RIGHT(raw_data!C266,4)),VALUE(LEFT(raw_data!C266,2)),VALUE(MID(raw_data!C266,4,2))),IF(MID(raw_data!C266,3,1)="-",DATE(VALUE(RIGHT(raw_data!C266,4)),VALUE(MID(raw_data!C266,4,2)),VALUE(LEFT(raw_data!C266,2))),IF(MID(raw_data!C266,5,1)="-",DATE(VALUE(LEFT(raw_data!C266,4)),VALUE(MID(raw_data!C266,6,2)),VALUE(RIGHT(raw_data!C266,2))),DATE(VALUE(RIGHT(raw_data!C266,4)),MATCH(MID(raw_data!C266,4,3),{"Jan","Feb","Mar","Apr","May","Jun","Jul","Aug","Sep","Oct","Nov","Dec"},0),VALUE(LEFT(raw_data!C266,2)))))),"")</f>
        <v>45433</v>
      </c>
      <c r="D266" s="3" t="str">
        <f aca="false">IF(TRIM(raw_data!B266)="","Missing",IF(B266="","Invalid/Unrecognized","Valid"))</f>
        <v>Valid</v>
      </c>
      <c r="E266" s="3" t="str">
        <f aca="false">IF(TRIM(raw_data!C266)="","Missing",IF(C266="","Invalid/Unrecognized","Valid"))</f>
        <v>Valid</v>
      </c>
      <c r="F266" s="5" t="n">
        <f aca="false">IF(OR(B266="",C266=""),"",C266-B266)</f>
        <v>5</v>
      </c>
      <c r="G266" s="3" t="str">
        <f aca="false">IF(F266="","N/A",IF(F266&lt;0,"Invalid - Ship Before Order","OK"))</f>
        <v>OK</v>
      </c>
      <c r="H266" s="3" t="str">
        <f aca="false">raw_data!D266</f>
        <v>CUST-4750</v>
      </c>
      <c r="I266" s="3" t="str">
        <f aca="false">PROPER(TRIM(raw_data!E266))</f>
        <v>Diya Patel</v>
      </c>
      <c r="J266" s="3" t="str">
        <f aca="false">PROPER(TRIM(raw_data!F266))</f>
        <v>Small Business</v>
      </c>
      <c r="K266" s="3" t="str">
        <f aca="false">IF(TRIM(raw_data!G266)="","Unknown",PROPER(TRIM(raw_data!G266)))</f>
        <v>East</v>
      </c>
      <c r="L266" s="3" t="str">
        <f aca="false">IF(TRIM(raw_data!G266)="","Filled - Unknown","OK")</f>
        <v>OK</v>
      </c>
      <c r="M266" s="3" t="str">
        <f aca="false">PROPER(TRIM(raw_data!H266))</f>
        <v>Bihar</v>
      </c>
      <c r="N266" s="3" t="str">
        <f aca="false">PROPER(TRIM(raw_data!I266))</f>
        <v>Patna</v>
      </c>
      <c r="O266" s="3" t="str">
        <f aca="false">PROPER(TRIM(raw_data!J266))</f>
        <v>Technology</v>
      </c>
      <c r="P266" s="3" t="str">
        <f aca="false">PROPER(TRIM(raw_data!K266))</f>
        <v>Copiers</v>
      </c>
      <c r="Q266" s="3" t="str">
        <f aca="false">TRIM(raw_data!L266)</f>
        <v>Pro Copiers 599</v>
      </c>
      <c r="R266" s="3" t="str">
        <f aca="false">IF(TRIM(raw_data!M266)="","Unknown",PROPER(TRIM(raw_data!M266)))</f>
        <v>Standard Class</v>
      </c>
      <c r="S266" s="3" t="str">
        <f aca="false">IF(TRIM(raw_data!M266)="","Filled - Unknown","OK")</f>
        <v>OK</v>
      </c>
      <c r="T266" s="6" t="n">
        <f aca="false">raw_data!N266</f>
        <v>4</v>
      </c>
      <c r="U266" s="7" t="n">
        <f aca="false">raw_data!O266</f>
        <v>1503.07</v>
      </c>
      <c r="V266" s="8" t="n">
        <f aca="false">raw_data!P266</f>
        <v>0</v>
      </c>
      <c r="W266" s="8" t="n">
        <f aca="false">IF(raw_data!P266="",0,IF(ISTEXT(raw_data!P266),IF(RIGHT(raw_data!P266,1)="%",VALUE(LEFT(raw_data!P266,LEN(raw_data!P266)-1))/100,VALUE(raw_data!P266)),raw_data!P266))</f>
        <v>0</v>
      </c>
      <c r="X266" s="3" t="str">
        <f aca="false">IF(raw_data!P266="","Missing - Defaulted to 0",IF(W266&lt;0,"Negative - Invalid",IF(W266&gt;0.3,"Above Allowed Range - Invalid","Valid")))</f>
        <v>Valid</v>
      </c>
      <c r="Y266" s="7" t="n">
        <f aca="false">raw_data!Q266</f>
        <v>6012.28</v>
      </c>
      <c r="Z266" s="7" t="n">
        <f aca="false">raw_data!R266</f>
        <v>3927.64</v>
      </c>
      <c r="AA266" s="7" t="n">
        <f aca="false">raw_data!S266</f>
        <v>2084.64</v>
      </c>
      <c r="AB266" s="3" t="str">
        <f aca="false">PROPER(TRIM(raw_data!T266))</f>
        <v>Paid</v>
      </c>
      <c r="AC266" s="3" t="str">
        <f aca="false">PROPER(TRIM(raw_data!U266))</f>
        <v>Completed</v>
      </c>
      <c r="AD266" s="7" t="n">
        <f aca="false">T266*U266*(1-W266)</f>
        <v>6012.28</v>
      </c>
      <c r="AE266" s="7" t="n">
        <f aca="false">AD266-Z266</f>
        <v>2084.64</v>
      </c>
      <c r="AF266" s="8" t="n">
        <f aca="false">IF(AD266=0,0,AE266/AD266)</f>
        <v>0.346730358532869</v>
      </c>
      <c r="AG266" s="3" t="str">
        <f aca="false">IF(ABS(Y266-AD266)&gt;1,"Mismatch","OK")</f>
        <v>OK</v>
      </c>
      <c r="AH266" s="3" t="str">
        <f aca="false">IF(ABS(AA266-AE266)&gt;1,"Mismatch","OK")</f>
        <v>OK</v>
      </c>
      <c r="AI266" s="6" t="n">
        <f aca="false">IF(B266="","",MONTH(B266))</f>
        <v>5</v>
      </c>
      <c r="AJ266" s="6" t="n">
        <f aca="false">IF(B266="","",YEAR(B266))</f>
        <v>2024</v>
      </c>
      <c r="AK266" s="3" t="str">
        <f aca="false">IF(COUNTIF(raw_data!$A$2:$A$913,A266)&gt;1,"Conflicting Duplicate - Flagged for Review","Unique")</f>
        <v>Unique</v>
      </c>
      <c r="AL266" s="3" t="str">
        <f aca="false">IF(AB266="Refunded","Yes","No")</f>
        <v>No</v>
      </c>
      <c r="AM266" s="3" t="str">
        <f aca="false">IF(OR(AC266&lt;&gt;"Completed",AB266="Failed"),"Excluded","Included")</f>
        <v>Included</v>
      </c>
      <c r="AN266" s="3" t="str">
        <f aca="false">IF(OR(D266="Invalid/Unrecognized",E266="Invalid/Unrecognized",G266="Invalid - Ship Before Order",X266="Negative - Invalid",X266="Above Allowed Range - Invalid",AG266="Mismatch",AH266="Mismatch",AK266="Conflicting Duplicate - Flagged for Review"),"Invalid",IF(OR(L266="Filled - Unknown",S266="Filled - Unknown",X266="Missing - Defaulted to 0",AL266="Yes",AC266="Cancelled",AC266="Returned"),"Warning","Clean"))</f>
        <v>Clean</v>
      </c>
    </row>
    <row r="267" customFormat="false" ht="15" hidden="false" customHeight="false" outlineLevel="0" collapsed="false">
      <c r="A267" s="3" t="str">
        <f aca="false">raw_data!A267</f>
        <v>ORD-2024-10266</v>
      </c>
      <c r="B267" s="4" t="n">
        <f aca="false">IFERROR(IF(MID(raw_data!B267,3,1)="/",DATE(VALUE(RIGHT(raw_data!B267,4)),VALUE(LEFT(raw_data!B267,2)),VALUE(MID(raw_data!B267,4,2))),IF(MID(raw_data!B267,3,1)="-",DATE(VALUE(RIGHT(raw_data!B267,4)),VALUE(MID(raw_data!B267,4,2)),VALUE(LEFT(raw_data!B267,2))),IF(MID(raw_data!B267,5,1)="-",DATE(VALUE(LEFT(raw_data!B267,4)),VALUE(MID(raw_data!B267,6,2)),VALUE(RIGHT(raw_data!B267,2))),DATE(VALUE(RIGHT(raw_data!B267,4)),MATCH(MID(raw_data!B267,4,3),{"Jan","Feb","Mar","Apr","May","Jun","Jul","Aug","Sep","Oct","Nov","Dec"},0),VALUE(LEFT(raw_data!B267,2)))))),"")</f>
        <v>45610</v>
      </c>
      <c r="C267" s="4" t="n">
        <f aca="false">IFERROR(IF(MID(raw_data!C267,3,1)="/",DATE(VALUE(RIGHT(raw_data!C267,4)),VALUE(LEFT(raw_data!C267,2)),VALUE(MID(raw_data!C267,4,2))),IF(MID(raw_data!C267,3,1)="-",DATE(VALUE(RIGHT(raw_data!C267,4)),VALUE(MID(raw_data!C267,4,2)),VALUE(LEFT(raw_data!C267,2))),IF(MID(raw_data!C267,5,1)="-",DATE(VALUE(LEFT(raw_data!C267,4)),VALUE(MID(raw_data!C267,6,2)),VALUE(RIGHT(raw_data!C267,2))),DATE(VALUE(RIGHT(raw_data!C267,4)),MATCH(MID(raw_data!C267,4,3),{"Jan","Feb","Mar","Apr","May","Jun","Jul","Aug","Sep","Oct","Nov","Dec"},0),VALUE(LEFT(raw_data!C267,2)))))),"")</f>
        <v>45618</v>
      </c>
      <c r="D267" s="3" t="str">
        <f aca="false">IF(TRIM(raw_data!B267)="","Missing",IF(B267="","Invalid/Unrecognized","Valid"))</f>
        <v>Valid</v>
      </c>
      <c r="E267" s="3" t="str">
        <f aca="false">IF(TRIM(raw_data!C267)="","Missing",IF(C267="","Invalid/Unrecognized","Valid"))</f>
        <v>Valid</v>
      </c>
      <c r="F267" s="5" t="n">
        <f aca="false">IF(OR(B267="",C267=""),"",C267-B267)</f>
        <v>8</v>
      </c>
      <c r="G267" s="3" t="str">
        <f aca="false">IF(F267="","N/A",IF(F267&lt;0,"Invalid - Ship Before Order","OK"))</f>
        <v>OK</v>
      </c>
      <c r="H267" s="3" t="str">
        <f aca="false">raw_data!D267</f>
        <v>CUST-3974</v>
      </c>
      <c r="I267" s="3" t="str">
        <f aca="false">PROPER(TRIM(raw_data!E267))</f>
        <v>Priya Menon</v>
      </c>
      <c r="J267" s="3" t="str">
        <f aca="false">PROPER(TRIM(raw_data!F267))</f>
        <v>Corporate</v>
      </c>
      <c r="K267" s="3" t="str">
        <f aca="false">IF(TRIM(raw_data!G267)="","Unknown",PROPER(TRIM(raw_data!G267)))</f>
        <v>East</v>
      </c>
      <c r="L267" s="3" t="str">
        <f aca="false">IF(TRIM(raw_data!G267)="","Filled - Unknown","OK")</f>
        <v>OK</v>
      </c>
      <c r="M267" s="3" t="str">
        <f aca="false">PROPER(TRIM(raw_data!H267))</f>
        <v>Bihar</v>
      </c>
      <c r="N267" s="3" t="str">
        <f aca="false">PROPER(TRIM(raw_data!I267))</f>
        <v>Patna</v>
      </c>
      <c r="O267" s="3" t="str">
        <f aca="false">PROPER(TRIM(raw_data!J267))</f>
        <v>Furniture</v>
      </c>
      <c r="P267" s="3" t="str">
        <f aca="false">PROPER(TRIM(raw_data!K267))</f>
        <v>Bookcases</v>
      </c>
      <c r="Q267" s="3" t="str">
        <f aca="false">TRIM(raw_data!L267)</f>
        <v>Basic Bookcases 570</v>
      </c>
      <c r="R267" s="3" t="str">
        <f aca="false">IF(TRIM(raw_data!M267)="","Unknown",PROPER(TRIM(raw_data!M267)))</f>
        <v>Same Day</v>
      </c>
      <c r="S267" s="3" t="str">
        <f aca="false">IF(TRIM(raw_data!M267)="","Filled - Unknown","OK")</f>
        <v>OK</v>
      </c>
      <c r="T267" s="6" t="n">
        <f aca="false">raw_data!N267</f>
        <v>1</v>
      </c>
      <c r="U267" s="7" t="n">
        <f aca="false">raw_data!O267</f>
        <v>582.37</v>
      </c>
      <c r="V267" s="8" t="n">
        <f aca="false">raw_data!P267</f>
        <v>0.15</v>
      </c>
      <c r="W267" s="8" t="n">
        <f aca="false">IF(raw_data!P267="",0,IF(ISTEXT(raw_data!P267),IF(RIGHT(raw_data!P267,1)="%",VALUE(LEFT(raw_data!P267,LEN(raw_data!P267)-1))/100,VALUE(raw_data!P267)),raw_data!P267))</f>
        <v>0.15</v>
      </c>
      <c r="X267" s="3" t="str">
        <f aca="false">IF(raw_data!P267="","Missing - Defaulted to 0",IF(W267&lt;0,"Negative - Invalid",IF(W267&gt;0.3,"Above Allowed Range - Invalid","Valid")))</f>
        <v>Valid</v>
      </c>
      <c r="Y267" s="7" t="n">
        <f aca="false">raw_data!Q267</f>
        <v>495.01</v>
      </c>
      <c r="Z267" s="7" t="n">
        <f aca="false">raw_data!R267</f>
        <v>285.13</v>
      </c>
      <c r="AA267" s="7" t="n">
        <f aca="false">raw_data!S267</f>
        <v>209.88</v>
      </c>
      <c r="AB267" s="3" t="str">
        <f aca="false">PROPER(TRIM(raw_data!T267))</f>
        <v>Refunded</v>
      </c>
      <c r="AC267" s="3" t="str">
        <f aca="false">PROPER(TRIM(raw_data!U267))</f>
        <v>Cancelled</v>
      </c>
      <c r="AD267" s="7" t="n">
        <f aca="false">T267*U267*(1-W267)</f>
        <v>495.0145</v>
      </c>
      <c r="AE267" s="7" t="n">
        <f aca="false">AD267-Z267</f>
        <v>209.8845</v>
      </c>
      <c r="AF267" s="8" t="n">
        <f aca="false">IF(AD267=0,0,AE267/AD267)</f>
        <v>0.423996670804593</v>
      </c>
      <c r="AG267" s="3" t="str">
        <f aca="false">IF(ABS(Y267-AD267)&gt;1,"Mismatch","OK")</f>
        <v>OK</v>
      </c>
      <c r="AH267" s="3" t="str">
        <f aca="false">IF(ABS(AA267-AE267)&gt;1,"Mismatch","OK")</f>
        <v>OK</v>
      </c>
      <c r="AI267" s="6" t="n">
        <f aca="false">IF(B267="","",MONTH(B267))</f>
        <v>11</v>
      </c>
      <c r="AJ267" s="6" t="n">
        <f aca="false">IF(B267="","",YEAR(B267))</f>
        <v>2024</v>
      </c>
      <c r="AK267" s="3" t="str">
        <f aca="false">IF(COUNTIF(raw_data!$A$2:$A$913,A267)&gt;1,"Conflicting Duplicate - Flagged for Review","Unique")</f>
        <v>Unique</v>
      </c>
      <c r="AL267" s="3" t="str">
        <f aca="false">IF(AB267="Refunded","Yes","No")</f>
        <v>Yes</v>
      </c>
      <c r="AM267" s="3" t="str">
        <f aca="false">IF(OR(AC267&lt;&gt;"Completed",AB267="Failed"),"Excluded","Included")</f>
        <v>Excluded</v>
      </c>
      <c r="AN267" s="3" t="str">
        <f aca="false">IF(OR(D267="Invalid/Unrecognized",E267="Invalid/Unrecognized",G267="Invalid - Ship Before Order",X267="Negative - Invalid",X267="Above Allowed Range - Invalid",AG267="Mismatch",AH267="Mismatch",AK267="Conflicting Duplicate - Flagged for Review"),"Invalid",IF(OR(L267="Filled - Unknown",S267="Filled - Unknown",X267="Missing - Defaulted to 0",AL267="Yes",AC267="Cancelled",AC267="Returned"),"Warning","Clean"))</f>
        <v>Warning</v>
      </c>
    </row>
    <row r="268" customFormat="false" ht="15" hidden="false" customHeight="false" outlineLevel="0" collapsed="false">
      <c r="A268" s="3" t="str">
        <f aca="false">raw_data!A268</f>
        <v>ORD-2025-10267</v>
      </c>
      <c r="B268" s="4" t="n">
        <f aca="false">IFERROR(IF(MID(raw_data!B268,3,1)="/",DATE(VALUE(RIGHT(raw_data!B268,4)),VALUE(LEFT(raw_data!B268,2)),VALUE(MID(raw_data!B268,4,2))),IF(MID(raw_data!B268,3,1)="-",DATE(VALUE(RIGHT(raw_data!B268,4)),VALUE(MID(raw_data!B268,4,2)),VALUE(LEFT(raw_data!B268,2))),IF(MID(raw_data!B268,5,1)="-",DATE(VALUE(LEFT(raw_data!B268,4)),VALUE(MID(raw_data!B268,6,2)),VALUE(RIGHT(raw_data!B268,2))),DATE(VALUE(RIGHT(raw_data!B268,4)),MATCH(MID(raw_data!B268,4,3),{"Jan","Feb","Mar","Apr","May","Jun","Jul","Aug","Sep","Oct","Nov","Dec"},0),VALUE(LEFT(raw_data!B268,2)))))),"")</f>
        <v>45780</v>
      </c>
      <c r="C268" s="4" t="n">
        <f aca="false">IFERROR(IF(MID(raw_data!C268,3,1)="/",DATE(VALUE(RIGHT(raw_data!C268,4)),VALUE(LEFT(raw_data!C268,2)),VALUE(MID(raw_data!C268,4,2))),IF(MID(raw_data!C268,3,1)="-",DATE(VALUE(RIGHT(raw_data!C268,4)),VALUE(MID(raw_data!C268,4,2)),VALUE(LEFT(raw_data!C268,2))),IF(MID(raw_data!C268,5,1)="-",DATE(VALUE(LEFT(raw_data!C268,4)),VALUE(MID(raw_data!C268,6,2)),VALUE(RIGHT(raw_data!C268,2))),DATE(VALUE(RIGHT(raw_data!C268,4)),MATCH(MID(raw_data!C268,4,3),{"Jan","Feb","Mar","Apr","May","Jun","Jul","Aug","Sep","Oct","Nov","Dec"},0),VALUE(LEFT(raw_data!C268,2)))))),"")</f>
        <v>45787</v>
      </c>
      <c r="D268" s="3" t="str">
        <f aca="false">IF(TRIM(raw_data!B268)="","Missing",IF(B268="","Invalid/Unrecognized","Valid"))</f>
        <v>Valid</v>
      </c>
      <c r="E268" s="3" t="str">
        <f aca="false">IF(TRIM(raw_data!C268)="","Missing",IF(C268="","Invalid/Unrecognized","Valid"))</f>
        <v>Valid</v>
      </c>
      <c r="F268" s="5" t="n">
        <f aca="false">IF(OR(B268="",C268=""),"",C268-B268)</f>
        <v>7</v>
      </c>
      <c r="G268" s="3" t="str">
        <f aca="false">IF(F268="","N/A",IF(F268&lt;0,"Invalid - Ship Before Order","OK"))</f>
        <v>OK</v>
      </c>
      <c r="H268" s="3" t="str">
        <f aca="false">raw_data!D268</f>
        <v>CUST-7114</v>
      </c>
      <c r="I268" s="3" t="str">
        <f aca="false">PROPER(TRIM(raw_data!E268))</f>
        <v>Neha Gupta</v>
      </c>
      <c r="J268" s="3" t="str">
        <f aca="false">PROPER(TRIM(raw_data!F268))</f>
        <v>Home Office</v>
      </c>
      <c r="K268" s="3" t="str">
        <f aca="false">IF(TRIM(raw_data!G268)="","Unknown",PROPER(TRIM(raw_data!G268)))</f>
        <v>West</v>
      </c>
      <c r="L268" s="3" t="str">
        <f aca="false">IF(TRIM(raw_data!G268)="","Filled - Unknown","OK")</f>
        <v>OK</v>
      </c>
      <c r="M268" s="3" t="str">
        <f aca="false">PROPER(TRIM(raw_data!H268))</f>
        <v>Maharashtra</v>
      </c>
      <c r="N268" s="3" t="str">
        <f aca="false">PROPER(TRIM(raw_data!I268))</f>
        <v>Mumbai</v>
      </c>
      <c r="O268" s="3" t="str">
        <f aca="false">PROPER(TRIM(raw_data!J268))</f>
        <v>Office Supplies</v>
      </c>
      <c r="P268" s="3" t="str">
        <f aca="false">PROPER(TRIM(raw_data!K268))</f>
        <v>Storage</v>
      </c>
      <c r="Q268" s="3" t="str">
        <f aca="false">TRIM(raw_data!L268)</f>
        <v>Classic Storage 926</v>
      </c>
      <c r="R268" s="3" t="str">
        <f aca="false">IF(TRIM(raw_data!M268)="","Unknown",PROPER(TRIM(raw_data!M268)))</f>
        <v>Second Class</v>
      </c>
      <c r="S268" s="3" t="str">
        <f aca="false">IF(TRIM(raw_data!M268)="","Filled - Unknown","OK")</f>
        <v>OK</v>
      </c>
      <c r="T268" s="6" t="n">
        <f aca="false">raw_data!N268</f>
        <v>3</v>
      </c>
      <c r="U268" s="7" t="n">
        <f aca="false">raw_data!O268</f>
        <v>4339.24</v>
      </c>
      <c r="V268" s="8" t="n">
        <f aca="false">raw_data!P268</f>
        <v>0</v>
      </c>
      <c r="W268" s="8" t="n">
        <f aca="false">IF(raw_data!P268="",0,IF(ISTEXT(raw_data!P268),IF(RIGHT(raw_data!P268,1)="%",VALUE(LEFT(raw_data!P268,LEN(raw_data!P268)-1))/100,VALUE(raw_data!P268)),raw_data!P268))</f>
        <v>0</v>
      </c>
      <c r="X268" s="3" t="str">
        <f aca="false">IF(raw_data!P268="","Missing - Defaulted to 0",IF(W268&lt;0,"Negative - Invalid",IF(W268&gt;0.3,"Above Allowed Range - Invalid","Valid")))</f>
        <v>Valid</v>
      </c>
      <c r="Y268" s="7" t="n">
        <f aca="false">raw_data!Q268</f>
        <v>13017.72</v>
      </c>
      <c r="Z268" s="7" t="n">
        <f aca="false">raw_data!R268</f>
        <v>10170.57</v>
      </c>
      <c r="AA268" s="7" t="n">
        <f aca="false">raw_data!S268</f>
        <v>2847.15</v>
      </c>
      <c r="AB268" s="3" t="str">
        <f aca="false">PROPER(TRIM(raw_data!T268))</f>
        <v>Paid</v>
      </c>
      <c r="AC268" s="3" t="str">
        <f aca="false">PROPER(TRIM(raw_data!U268))</f>
        <v>Completed</v>
      </c>
      <c r="AD268" s="7" t="n">
        <f aca="false">T268*U268*(1-W268)</f>
        <v>13017.72</v>
      </c>
      <c r="AE268" s="7" t="n">
        <f aca="false">AD268-Z268</f>
        <v>2847.15</v>
      </c>
      <c r="AF268" s="8" t="n">
        <f aca="false">IF(AD268=0,0,AE268/AD268)</f>
        <v>0.218713415252441</v>
      </c>
      <c r="AG268" s="3" t="str">
        <f aca="false">IF(ABS(Y268-AD268)&gt;1,"Mismatch","OK")</f>
        <v>OK</v>
      </c>
      <c r="AH268" s="3" t="str">
        <f aca="false">IF(ABS(AA268-AE268)&gt;1,"Mismatch","OK")</f>
        <v>OK</v>
      </c>
      <c r="AI268" s="6" t="n">
        <f aca="false">IF(B268="","",MONTH(B268))</f>
        <v>5</v>
      </c>
      <c r="AJ268" s="6" t="n">
        <f aca="false">IF(B268="","",YEAR(B268))</f>
        <v>2025</v>
      </c>
      <c r="AK268" s="3" t="str">
        <f aca="false">IF(COUNTIF(raw_data!$A$2:$A$913,A268)&gt;1,"Conflicting Duplicate - Flagged for Review","Unique")</f>
        <v>Unique</v>
      </c>
      <c r="AL268" s="3" t="str">
        <f aca="false">IF(AB268="Refunded","Yes","No")</f>
        <v>No</v>
      </c>
      <c r="AM268" s="3" t="str">
        <f aca="false">IF(OR(AC268&lt;&gt;"Completed",AB268="Failed"),"Excluded","Included")</f>
        <v>Included</v>
      </c>
      <c r="AN268" s="3" t="str">
        <f aca="false">IF(OR(D268="Invalid/Unrecognized",E268="Invalid/Unrecognized",G268="Invalid - Ship Before Order",X268="Negative - Invalid",X268="Above Allowed Range - Invalid",AG268="Mismatch",AH268="Mismatch",AK268="Conflicting Duplicate - Flagged for Review"),"Invalid",IF(OR(L268="Filled - Unknown",S268="Filled - Unknown",X268="Missing - Defaulted to 0",AL268="Yes",AC268="Cancelled",AC268="Returned"),"Warning","Clean"))</f>
        <v>Clean</v>
      </c>
    </row>
    <row r="269" customFormat="false" ht="15" hidden="false" customHeight="false" outlineLevel="0" collapsed="false">
      <c r="A269" s="3" t="str">
        <f aca="false">raw_data!A269</f>
        <v>ORD-2025-10268</v>
      </c>
      <c r="B269" s="4" t="n">
        <f aca="false">IFERROR(IF(MID(raw_data!B269,3,1)="/",DATE(VALUE(RIGHT(raw_data!B269,4)),VALUE(LEFT(raw_data!B269,2)),VALUE(MID(raw_data!B269,4,2))),IF(MID(raw_data!B269,3,1)="-",DATE(VALUE(RIGHT(raw_data!B269,4)),VALUE(MID(raw_data!B269,4,2)),VALUE(LEFT(raw_data!B269,2))),IF(MID(raw_data!B269,5,1)="-",DATE(VALUE(LEFT(raw_data!B269,4)),VALUE(MID(raw_data!B269,6,2)),VALUE(RIGHT(raw_data!B269,2))),DATE(VALUE(RIGHT(raw_data!B269,4)),MATCH(MID(raw_data!B269,4,3),{"Jan","Feb","Mar","Apr","May","Jun","Jul","Aug","Sep","Oct","Nov","Dec"},0),VALUE(LEFT(raw_data!B269,2)))))),"")</f>
        <v>45805</v>
      </c>
      <c r="C269" s="4" t="n">
        <f aca="false">IFERROR(IF(MID(raw_data!C269,3,1)="/",DATE(VALUE(RIGHT(raw_data!C269,4)),VALUE(LEFT(raw_data!C269,2)),VALUE(MID(raw_data!C269,4,2))),IF(MID(raw_data!C269,3,1)="-",DATE(VALUE(RIGHT(raw_data!C269,4)),VALUE(MID(raw_data!C269,4,2)),VALUE(LEFT(raw_data!C269,2))),IF(MID(raw_data!C269,5,1)="-",DATE(VALUE(LEFT(raw_data!C269,4)),VALUE(MID(raw_data!C269,6,2)),VALUE(RIGHT(raw_data!C269,2))),DATE(VALUE(RIGHT(raw_data!C269,4)),MATCH(MID(raw_data!C269,4,3),{"Jan","Feb","Mar","Apr","May","Jun","Jul","Aug","Sep","Oct","Nov","Dec"},0),VALUE(LEFT(raw_data!C269,2)))))),"")</f>
        <v>45812</v>
      </c>
      <c r="D269" s="3" t="str">
        <f aca="false">IF(TRIM(raw_data!B269)="","Missing",IF(B269="","Invalid/Unrecognized","Valid"))</f>
        <v>Valid</v>
      </c>
      <c r="E269" s="3" t="str">
        <f aca="false">IF(TRIM(raw_data!C269)="","Missing",IF(C269="","Invalid/Unrecognized","Valid"))</f>
        <v>Valid</v>
      </c>
      <c r="F269" s="5" t="n">
        <f aca="false">IF(OR(B269="",C269=""),"",C269-B269)</f>
        <v>7</v>
      </c>
      <c r="G269" s="3" t="str">
        <f aca="false">IF(F269="","N/A",IF(F269&lt;0,"Invalid - Ship Before Order","OK"))</f>
        <v>OK</v>
      </c>
      <c r="H269" s="3" t="str">
        <f aca="false">raw_data!D269</f>
        <v>CUST-4431</v>
      </c>
      <c r="I269" s="3" t="str">
        <f aca="false">PROPER(TRIM(raw_data!E269))</f>
        <v>Diya Patel</v>
      </c>
      <c r="J269" s="3" t="str">
        <f aca="false">PROPER(TRIM(raw_data!F269))</f>
        <v>Corporate</v>
      </c>
      <c r="K269" s="3" t="str">
        <f aca="false">IF(TRIM(raw_data!G269)="","Unknown",PROPER(TRIM(raw_data!G269)))</f>
        <v>East</v>
      </c>
      <c r="L269" s="3" t="str">
        <f aca="false">IF(TRIM(raw_data!G269)="","Filled - Unknown","OK")</f>
        <v>OK</v>
      </c>
      <c r="M269" s="3" t="str">
        <f aca="false">PROPER(TRIM(raw_data!H269))</f>
        <v>Jharkhand</v>
      </c>
      <c r="N269" s="3" t="str">
        <f aca="false">PROPER(TRIM(raw_data!I269))</f>
        <v>Ranchi</v>
      </c>
      <c r="O269" s="3" t="str">
        <f aca="false">PROPER(TRIM(raw_data!J269))</f>
        <v>Furniture</v>
      </c>
      <c r="P269" s="3" t="str">
        <f aca="false">PROPER(TRIM(raw_data!K269))</f>
        <v>Furnishings</v>
      </c>
      <c r="Q269" s="3" t="str">
        <f aca="false">TRIM(raw_data!L269)</f>
        <v>Basic Furnishings 372</v>
      </c>
      <c r="R269" s="3" t="str">
        <f aca="false">IF(TRIM(raw_data!M269)="","Unknown",PROPER(TRIM(raw_data!M269)))</f>
        <v>First Class</v>
      </c>
      <c r="S269" s="3" t="str">
        <f aca="false">IF(TRIM(raw_data!M269)="","Filled - Unknown","OK")</f>
        <v>OK</v>
      </c>
      <c r="T269" s="6" t="n">
        <f aca="false">raw_data!N269</f>
        <v>4</v>
      </c>
      <c r="U269" s="7" t="n">
        <f aca="false">raw_data!O269</f>
        <v>261.8</v>
      </c>
      <c r="V269" s="8" t="n">
        <f aca="false">raw_data!P269</f>
        <v>0.25</v>
      </c>
      <c r="W269" s="8" t="n">
        <f aca="false">IF(raw_data!P269="",0,IF(ISTEXT(raw_data!P269),IF(RIGHT(raw_data!P269,1)="%",VALUE(LEFT(raw_data!P269,LEN(raw_data!P269)-1))/100,VALUE(raw_data!P269)),raw_data!P269))</f>
        <v>0.25</v>
      </c>
      <c r="X269" s="3" t="str">
        <f aca="false">IF(raw_data!P269="","Missing - Defaulted to 0",IF(W269&lt;0,"Negative - Invalid",IF(W269&gt;0.3,"Above Allowed Range - Invalid","Valid")))</f>
        <v>Valid</v>
      </c>
      <c r="Y269" s="7" t="n">
        <f aca="false">raw_data!Q269</f>
        <v>785.4</v>
      </c>
      <c r="Z269" s="7" t="n">
        <f aca="false">raw_data!R269</f>
        <v>557.22</v>
      </c>
      <c r="AA269" s="7" t="n">
        <f aca="false">raw_data!S269</f>
        <v>228.18</v>
      </c>
      <c r="AB269" s="3" t="str">
        <f aca="false">PROPER(TRIM(raw_data!T269))</f>
        <v>Paid</v>
      </c>
      <c r="AC269" s="3" t="str">
        <f aca="false">PROPER(TRIM(raw_data!U269))</f>
        <v>Completed</v>
      </c>
      <c r="AD269" s="7" t="n">
        <f aca="false">T269*U269*(1-W269)</f>
        <v>785.4</v>
      </c>
      <c r="AE269" s="7" t="n">
        <f aca="false">AD269-Z269</f>
        <v>228.18</v>
      </c>
      <c r="AF269" s="8" t="n">
        <f aca="false">IF(AD269=0,0,AE269/AD269)</f>
        <v>0.290527119938885</v>
      </c>
      <c r="AG269" s="3" t="str">
        <f aca="false">IF(ABS(Y269-AD269)&gt;1,"Mismatch","OK")</f>
        <v>OK</v>
      </c>
      <c r="AH269" s="3" t="str">
        <f aca="false">IF(ABS(AA269-AE269)&gt;1,"Mismatch","OK")</f>
        <v>OK</v>
      </c>
      <c r="AI269" s="6" t="n">
        <f aca="false">IF(B269="","",MONTH(B269))</f>
        <v>5</v>
      </c>
      <c r="AJ269" s="6" t="n">
        <f aca="false">IF(B269="","",YEAR(B269))</f>
        <v>2025</v>
      </c>
      <c r="AK269" s="3" t="str">
        <f aca="false">IF(COUNTIF(raw_data!$A$2:$A$913,A269)&gt;1,"Conflicting Duplicate - Flagged for Review","Unique")</f>
        <v>Unique</v>
      </c>
      <c r="AL269" s="3" t="str">
        <f aca="false">IF(AB269="Refunded","Yes","No")</f>
        <v>No</v>
      </c>
      <c r="AM269" s="3" t="str">
        <f aca="false">IF(OR(AC269&lt;&gt;"Completed",AB269="Failed"),"Excluded","Included")</f>
        <v>Included</v>
      </c>
      <c r="AN269" s="3" t="str">
        <f aca="false">IF(OR(D269="Invalid/Unrecognized",E269="Invalid/Unrecognized",G269="Invalid - Ship Before Order",X269="Negative - Invalid",X269="Above Allowed Range - Invalid",AG269="Mismatch",AH269="Mismatch",AK269="Conflicting Duplicate - Flagged for Review"),"Invalid",IF(OR(L269="Filled - Unknown",S269="Filled - Unknown",X269="Missing - Defaulted to 0",AL269="Yes",AC269="Cancelled",AC269="Returned"),"Warning","Clean"))</f>
        <v>Clean</v>
      </c>
    </row>
    <row r="270" customFormat="false" ht="15" hidden="false" customHeight="false" outlineLevel="0" collapsed="false">
      <c r="A270" s="3" t="str">
        <f aca="false">raw_data!A270</f>
        <v>ORD-2025-10269</v>
      </c>
      <c r="B270" s="4" t="n">
        <f aca="false">IFERROR(IF(MID(raw_data!B270,3,1)="/",DATE(VALUE(RIGHT(raw_data!B270,4)),VALUE(LEFT(raw_data!B270,2)),VALUE(MID(raw_data!B270,4,2))),IF(MID(raw_data!B270,3,1)="-",DATE(VALUE(RIGHT(raw_data!B270,4)),VALUE(MID(raw_data!B270,4,2)),VALUE(LEFT(raw_data!B270,2))),IF(MID(raw_data!B270,5,1)="-",DATE(VALUE(LEFT(raw_data!B270,4)),VALUE(MID(raw_data!B270,6,2)),VALUE(RIGHT(raw_data!B270,2))),DATE(VALUE(RIGHT(raw_data!B270,4)),MATCH(MID(raw_data!B270,4,3),{"Jan","Feb","Mar","Apr","May","Jun","Jul","Aug","Sep","Oct","Nov","Dec"},0),VALUE(LEFT(raw_data!B270,2)))))),"")</f>
        <v>45886</v>
      </c>
      <c r="C270" s="4" t="n">
        <f aca="false">IFERROR(IF(MID(raw_data!C270,3,1)="/",DATE(VALUE(RIGHT(raw_data!C270,4)),VALUE(LEFT(raw_data!C270,2)),VALUE(MID(raw_data!C270,4,2))),IF(MID(raw_data!C270,3,1)="-",DATE(VALUE(RIGHT(raw_data!C270,4)),VALUE(MID(raw_data!C270,4,2)),VALUE(LEFT(raw_data!C270,2))),IF(MID(raw_data!C270,5,1)="-",DATE(VALUE(LEFT(raw_data!C270,4)),VALUE(MID(raw_data!C270,6,2)),VALUE(RIGHT(raw_data!C270,2))),DATE(VALUE(RIGHT(raw_data!C270,4)),MATCH(MID(raw_data!C270,4,3),{"Jan","Feb","Mar","Apr","May","Jun","Jul","Aug","Sep","Oct","Nov","Dec"},0),VALUE(LEFT(raw_data!C270,2)))))),"")</f>
        <v>45886</v>
      </c>
      <c r="D270" s="3" t="str">
        <f aca="false">IF(TRIM(raw_data!B270)="","Missing",IF(B270="","Invalid/Unrecognized","Valid"))</f>
        <v>Valid</v>
      </c>
      <c r="E270" s="3" t="str">
        <f aca="false">IF(TRIM(raw_data!C270)="","Missing",IF(C270="","Invalid/Unrecognized","Valid"))</f>
        <v>Valid</v>
      </c>
      <c r="F270" s="5" t="n">
        <f aca="false">IF(OR(B270="",C270=""),"",C270-B270)</f>
        <v>0</v>
      </c>
      <c r="G270" s="3" t="str">
        <f aca="false">IF(F270="","N/A",IF(F270&lt;0,"Invalid - Ship Before Order","OK"))</f>
        <v>OK</v>
      </c>
      <c r="H270" s="3" t="str">
        <f aca="false">raw_data!D270</f>
        <v>CUST-1488</v>
      </c>
      <c r="I270" s="3" t="str">
        <f aca="false">PROPER(TRIM(raw_data!E270))</f>
        <v>Aarav Sharma</v>
      </c>
      <c r="J270" s="3" t="str">
        <f aca="false">PROPER(TRIM(raw_data!F270))</f>
        <v>Home Office</v>
      </c>
      <c r="K270" s="3" t="str">
        <f aca="false">IF(TRIM(raw_data!G270)="","Unknown",PROPER(TRIM(raw_data!G270)))</f>
        <v>North</v>
      </c>
      <c r="L270" s="3" t="str">
        <f aca="false">IF(TRIM(raw_data!G270)="","Filled - Unknown","OK")</f>
        <v>OK</v>
      </c>
      <c r="M270" s="3" t="str">
        <f aca="false">PROPER(TRIM(raw_data!H270))</f>
        <v>Punjab</v>
      </c>
      <c r="N270" s="3" t="str">
        <f aca="false">PROPER(TRIM(raw_data!I270))</f>
        <v>Ludhiana</v>
      </c>
      <c r="O270" s="3" t="str">
        <f aca="false">PROPER(TRIM(raw_data!J270))</f>
        <v>Technology</v>
      </c>
      <c r="P270" s="3" t="str">
        <f aca="false">PROPER(TRIM(raw_data!K270))</f>
        <v>Accessories</v>
      </c>
      <c r="Q270" s="3" t="str">
        <f aca="false">TRIM(raw_data!L270)</f>
        <v>Prime Accessories 367</v>
      </c>
      <c r="R270" s="3" t="str">
        <f aca="false">IF(TRIM(raw_data!M270)="","Unknown",PROPER(TRIM(raw_data!M270)))</f>
        <v>First Class</v>
      </c>
      <c r="S270" s="3" t="str">
        <f aca="false">IF(TRIM(raw_data!M270)="","Filled - Unknown","OK")</f>
        <v>OK</v>
      </c>
      <c r="T270" s="6" t="n">
        <f aca="false">raw_data!N270</f>
        <v>7</v>
      </c>
      <c r="U270" s="7" t="n">
        <f aca="false">raw_data!O270</f>
        <v>632.2</v>
      </c>
      <c r="V270" s="8" t="n">
        <f aca="false">raw_data!P270</f>
        <v>0.25</v>
      </c>
      <c r="W270" s="8" t="n">
        <f aca="false">IF(raw_data!P270="",0,IF(ISTEXT(raw_data!P270),IF(RIGHT(raw_data!P270,1)="%",VALUE(LEFT(raw_data!P270,LEN(raw_data!P270)-1))/100,VALUE(raw_data!P270)),raw_data!P270))</f>
        <v>0.25</v>
      </c>
      <c r="X270" s="3" t="str">
        <f aca="false">IF(raw_data!P270="","Missing - Defaulted to 0",IF(W270&lt;0,"Negative - Invalid",IF(W270&gt;0.3,"Above Allowed Range - Invalid","Valid")))</f>
        <v>Valid</v>
      </c>
      <c r="Y270" s="7" t="n">
        <f aca="false">raw_data!Q270</f>
        <v>3319.05</v>
      </c>
      <c r="Z270" s="7" t="n">
        <f aca="false">raw_data!R270</f>
        <v>2124.6</v>
      </c>
      <c r="AA270" s="7" t="n">
        <f aca="false">raw_data!S270</f>
        <v>1194.45</v>
      </c>
      <c r="AB270" s="3" t="str">
        <f aca="false">PROPER(TRIM(raw_data!T270))</f>
        <v>Paid</v>
      </c>
      <c r="AC270" s="3" t="str">
        <f aca="false">PROPER(TRIM(raw_data!U270))</f>
        <v>Completed</v>
      </c>
      <c r="AD270" s="7" t="n">
        <f aca="false">T270*U270*(1-W270)</f>
        <v>3319.05</v>
      </c>
      <c r="AE270" s="7" t="n">
        <f aca="false">AD270-Z270</f>
        <v>1194.45</v>
      </c>
      <c r="AF270" s="8" t="n">
        <f aca="false">IF(AD270=0,0,AE270/AD270)</f>
        <v>0.359877073258915</v>
      </c>
      <c r="AG270" s="3" t="str">
        <f aca="false">IF(ABS(Y270-AD270)&gt;1,"Mismatch","OK")</f>
        <v>OK</v>
      </c>
      <c r="AH270" s="3" t="str">
        <f aca="false">IF(ABS(AA270-AE270)&gt;1,"Mismatch","OK")</f>
        <v>OK</v>
      </c>
      <c r="AI270" s="6" t="n">
        <f aca="false">IF(B270="","",MONTH(B270))</f>
        <v>8</v>
      </c>
      <c r="AJ270" s="6" t="n">
        <f aca="false">IF(B270="","",YEAR(B270))</f>
        <v>2025</v>
      </c>
      <c r="AK270" s="3" t="str">
        <f aca="false">IF(COUNTIF(raw_data!$A$2:$A$913,A270)&gt;1,"Conflicting Duplicate - Flagged for Review","Unique")</f>
        <v>Unique</v>
      </c>
      <c r="AL270" s="3" t="str">
        <f aca="false">IF(AB270="Refunded","Yes","No")</f>
        <v>No</v>
      </c>
      <c r="AM270" s="3" t="str">
        <f aca="false">IF(OR(AC270&lt;&gt;"Completed",AB270="Failed"),"Excluded","Included")</f>
        <v>Included</v>
      </c>
      <c r="AN270" s="3" t="str">
        <f aca="false">IF(OR(D270="Invalid/Unrecognized",E270="Invalid/Unrecognized",G270="Invalid - Ship Before Order",X270="Negative - Invalid",X270="Above Allowed Range - Invalid",AG270="Mismatch",AH270="Mismatch",AK270="Conflicting Duplicate - Flagged for Review"),"Invalid",IF(OR(L270="Filled - Unknown",S270="Filled - Unknown",X270="Missing - Defaulted to 0",AL270="Yes",AC270="Cancelled",AC270="Returned"),"Warning","Clean"))</f>
        <v>Clean</v>
      </c>
    </row>
    <row r="271" customFormat="false" ht="15" hidden="false" customHeight="false" outlineLevel="0" collapsed="false">
      <c r="A271" s="3" t="str">
        <f aca="false">raw_data!A271</f>
        <v>ORD-2025-10270</v>
      </c>
      <c r="B271" s="4" t="n">
        <f aca="false">IFERROR(IF(MID(raw_data!B271,3,1)="/",DATE(VALUE(RIGHT(raw_data!B271,4)),VALUE(LEFT(raw_data!B271,2)),VALUE(MID(raw_data!B271,4,2))),IF(MID(raw_data!B271,3,1)="-",DATE(VALUE(RIGHT(raw_data!B271,4)),VALUE(MID(raw_data!B271,4,2)),VALUE(LEFT(raw_data!B271,2))),IF(MID(raw_data!B271,5,1)="-",DATE(VALUE(LEFT(raw_data!B271,4)),VALUE(MID(raw_data!B271,6,2)),VALUE(RIGHT(raw_data!B271,2))),DATE(VALUE(RIGHT(raw_data!B271,4)),MATCH(MID(raw_data!B271,4,3),{"Jan","Feb","Mar","Apr","May","Jun","Jul","Aug","Sep","Oct","Nov","Dec"},0),VALUE(LEFT(raw_data!B271,2)))))),"")</f>
        <v>45698</v>
      </c>
      <c r="C271" s="4" t="n">
        <f aca="false">IFERROR(IF(MID(raw_data!C271,3,1)="/",DATE(VALUE(RIGHT(raw_data!C271,4)),VALUE(LEFT(raw_data!C271,2)),VALUE(MID(raw_data!C271,4,2))),IF(MID(raw_data!C271,3,1)="-",DATE(VALUE(RIGHT(raw_data!C271,4)),VALUE(MID(raw_data!C271,4,2)),VALUE(LEFT(raw_data!C271,2))),IF(MID(raw_data!C271,5,1)="-",DATE(VALUE(LEFT(raw_data!C271,4)),VALUE(MID(raw_data!C271,6,2)),VALUE(RIGHT(raw_data!C271,2))),DATE(VALUE(RIGHT(raw_data!C271,4)),MATCH(MID(raw_data!C271,4,3),{"Jan","Feb","Mar","Apr","May","Jun","Jul","Aug","Sep","Oct","Nov","Dec"},0),VALUE(LEFT(raw_data!C271,2)))))),"")</f>
        <v>45700</v>
      </c>
      <c r="D271" s="3" t="str">
        <f aca="false">IF(TRIM(raw_data!B271)="","Missing",IF(B271="","Invalid/Unrecognized","Valid"))</f>
        <v>Valid</v>
      </c>
      <c r="E271" s="3" t="str">
        <f aca="false">IF(TRIM(raw_data!C271)="","Missing",IF(C271="","Invalid/Unrecognized","Valid"))</f>
        <v>Valid</v>
      </c>
      <c r="F271" s="5" t="n">
        <f aca="false">IF(OR(B271="",C271=""),"",C271-B271)</f>
        <v>2</v>
      </c>
      <c r="G271" s="3" t="str">
        <f aca="false">IF(F271="","N/A",IF(F271&lt;0,"Invalid - Ship Before Order","OK"))</f>
        <v>OK</v>
      </c>
      <c r="H271" s="3" t="str">
        <f aca="false">raw_data!D271</f>
        <v>CUST-1586</v>
      </c>
      <c r="I271" s="3" t="str">
        <f aca="false">PROPER(TRIM(raw_data!E271))</f>
        <v>Rahul Verma</v>
      </c>
      <c r="J271" s="3" t="str">
        <f aca="false">PROPER(TRIM(raw_data!F271))</f>
        <v>Small Business</v>
      </c>
      <c r="K271" s="3" t="str">
        <f aca="false">IF(TRIM(raw_data!G271)="","Unknown",PROPER(TRIM(raw_data!G271)))</f>
        <v>West</v>
      </c>
      <c r="L271" s="3" t="str">
        <f aca="false">IF(TRIM(raw_data!G271)="","Filled - Unknown","OK")</f>
        <v>OK</v>
      </c>
      <c r="M271" s="3" t="str">
        <f aca="false">PROPER(TRIM(raw_data!H271))</f>
        <v>Rajasthan</v>
      </c>
      <c r="N271" s="3" t="str">
        <f aca="false">PROPER(TRIM(raw_data!I271))</f>
        <v>Udaipur</v>
      </c>
      <c r="O271" s="3" t="str">
        <f aca="false">PROPER(TRIM(raw_data!J271))</f>
        <v>Furniture</v>
      </c>
      <c r="P271" s="3" t="str">
        <f aca="false">PROPER(TRIM(raw_data!K271))</f>
        <v>Tables</v>
      </c>
      <c r="Q271" s="3" t="str">
        <f aca="false">TRIM(raw_data!L271)</f>
        <v>Max Tables 526</v>
      </c>
      <c r="R271" s="3" t="str">
        <f aca="false">IF(TRIM(raw_data!M271)="","Unknown",PROPER(TRIM(raw_data!M271)))</f>
        <v>Same Day</v>
      </c>
      <c r="S271" s="3" t="str">
        <f aca="false">IF(TRIM(raw_data!M271)="","Filled - Unknown","OK")</f>
        <v>OK</v>
      </c>
      <c r="T271" s="6" t="n">
        <f aca="false">raw_data!N271</f>
        <v>1</v>
      </c>
      <c r="U271" s="7" t="n">
        <f aca="false">raw_data!O271</f>
        <v>1925.86</v>
      </c>
      <c r="V271" s="8" t="n">
        <f aca="false">raw_data!P271</f>
        <v>0</v>
      </c>
      <c r="W271" s="8" t="n">
        <f aca="false">IF(raw_data!P271="",0,IF(ISTEXT(raw_data!P271),IF(RIGHT(raw_data!P271,1)="%",VALUE(LEFT(raw_data!P271,LEN(raw_data!P271)-1))/100,VALUE(raw_data!P271)),raw_data!P271))</f>
        <v>0</v>
      </c>
      <c r="X271" s="3" t="str">
        <f aca="false">IF(raw_data!P271="","Missing - Defaulted to 0",IF(W271&lt;0,"Negative - Invalid",IF(W271&gt;0.3,"Above Allowed Range - Invalid","Valid")))</f>
        <v>Valid</v>
      </c>
      <c r="Y271" s="7" t="n">
        <f aca="false">raw_data!Q271</f>
        <v>1925.86</v>
      </c>
      <c r="Z271" s="7" t="n">
        <f aca="false">raw_data!R271</f>
        <v>1321.89</v>
      </c>
      <c r="AA271" s="7" t="n">
        <f aca="false">raw_data!S271</f>
        <v>603.97</v>
      </c>
      <c r="AB271" s="3" t="str">
        <f aca="false">PROPER(TRIM(raw_data!T271))</f>
        <v>Paid</v>
      </c>
      <c r="AC271" s="3" t="str">
        <f aca="false">PROPER(TRIM(raw_data!U271))</f>
        <v>Completed</v>
      </c>
      <c r="AD271" s="7" t="n">
        <f aca="false">T271*U271*(1-W271)</f>
        <v>1925.86</v>
      </c>
      <c r="AE271" s="7" t="n">
        <f aca="false">AD271-Z271</f>
        <v>603.97</v>
      </c>
      <c r="AF271" s="8" t="n">
        <f aca="false">IF(AD271=0,0,AE271/AD271)</f>
        <v>0.313610542822427</v>
      </c>
      <c r="AG271" s="3" t="str">
        <f aca="false">IF(ABS(Y271-AD271)&gt;1,"Mismatch","OK")</f>
        <v>OK</v>
      </c>
      <c r="AH271" s="3" t="str">
        <f aca="false">IF(ABS(AA271-AE271)&gt;1,"Mismatch","OK")</f>
        <v>OK</v>
      </c>
      <c r="AI271" s="6" t="n">
        <f aca="false">IF(B271="","",MONTH(B271))</f>
        <v>2</v>
      </c>
      <c r="AJ271" s="6" t="n">
        <f aca="false">IF(B271="","",YEAR(B271))</f>
        <v>2025</v>
      </c>
      <c r="AK271" s="3" t="str">
        <f aca="false">IF(COUNTIF(raw_data!$A$2:$A$913,A271)&gt;1,"Conflicting Duplicate - Flagged for Review","Unique")</f>
        <v>Unique</v>
      </c>
      <c r="AL271" s="3" t="str">
        <f aca="false">IF(AB271="Refunded","Yes","No")</f>
        <v>No</v>
      </c>
      <c r="AM271" s="3" t="str">
        <f aca="false">IF(OR(AC271&lt;&gt;"Completed",AB271="Failed"),"Excluded","Included")</f>
        <v>Included</v>
      </c>
      <c r="AN271" s="3" t="str">
        <f aca="false">IF(OR(D271="Invalid/Unrecognized",E271="Invalid/Unrecognized",G271="Invalid - Ship Before Order",X271="Negative - Invalid",X271="Above Allowed Range - Invalid",AG271="Mismatch",AH271="Mismatch",AK271="Conflicting Duplicate - Flagged for Review"),"Invalid",IF(OR(L271="Filled - Unknown",S271="Filled - Unknown",X271="Missing - Defaulted to 0",AL271="Yes",AC271="Cancelled",AC271="Returned"),"Warning","Clean"))</f>
        <v>Clean</v>
      </c>
    </row>
    <row r="272" customFormat="false" ht="15" hidden="false" customHeight="false" outlineLevel="0" collapsed="false">
      <c r="A272" s="3" t="str">
        <f aca="false">raw_data!A272</f>
        <v>ORD-2024-10271</v>
      </c>
      <c r="B272" s="4" t="n">
        <f aca="false">IFERROR(IF(MID(raw_data!B272,3,1)="/",DATE(VALUE(RIGHT(raw_data!B272,4)),VALUE(LEFT(raw_data!B272,2)),VALUE(MID(raw_data!B272,4,2))),IF(MID(raw_data!B272,3,1)="-",DATE(VALUE(RIGHT(raw_data!B272,4)),VALUE(MID(raw_data!B272,4,2)),VALUE(LEFT(raw_data!B272,2))),IF(MID(raw_data!B272,5,1)="-",DATE(VALUE(LEFT(raw_data!B272,4)),VALUE(MID(raw_data!B272,6,2)),VALUE(RIGHT(raw_data!B272,2))),DATE(VALUE(RIGHT(raw_data!B272,4)),MATCH(MID(raw_data!B272,4,3),{"Jan","Feb","Mar","Apr","May","Jun","Jul","Aug","Sep","Oct","Nov","Dec"},0),VALUE(LEFT(raw_data!B272,2)))))),"")</f>
        <v>45303</v>
      </c>
      <c r="C272" s="4" t="n">
        <f aca="false">IFERROR(IF(MID(raw_data!C272,3,1)="/",DATE(VALUE(RIGHT(raw_data!C272,4)),VALUE(LEFT(raw_data!C272,2)),VALUE(MID(raw_data!C272,4,2))),IF(MID(raw_data!C272,3,1)="-",DATE(VALUE(RIGHT(raw_data!C272,4)),VALUE(MID(raw_data!C272,4,2)),VALUE(LEFT(raw_data!C272,2))),IF(MID(raw_data!C272,5,1)="-",DATE(VALUE(LEFT(raw_data!C272,4)),VALUE(MID(raw_data!C272,6,2)),VALUE(RIGHT(raw_data!C272,2))),DATE(VALUE(RIGHT(raw_data!C272,4)),MATCH(MID(raw_data!C272,4,3),{"Jan","Feb","Mar","Apr","May","Jun","Jul","Aug","Sep","Oct","Nov","Dec"},0),VALUE(LEFT(raw_data!C272,2)))))),"")</f>
        <v>45304</v>
      </c>
      <c r="D272" s="3" t="str">
        <f aca="false">IF(TRIM(raw_data!B272)="","Missing",IF(B272="","Invalid/Unrecognized","Valid"))</f>
        <v>Valid</v>
      </c>
      <c r="E272" s="3" t="str">
        <f aca="false">IF(TRIM(raw_data!C272)="","Missing",IF(C272="","Invalid/Unrecognized","Valid"))</f>
        <v>Valid</v>
      </c>
      <c r="F272" s="5" t="n">
        <f aca="false">IF(OR(B272="",C272=""),"",C272-B272)</f>
        <v>1</v>
      </c>
      <c r="G272" s="3" t="str">
        <f aca="false">IF(F272="","N/A",IF(F272&lt;0,"Invalid - Ship Before Order","OK"))</f>
        <v>OK</v>
      </c>
      <c r="H272" s="3" t="str">
        <f aca="false">raw_data!D272</f>
        <v>CUST-2487</v>
      </c>
      <c r="I272" s="3" t="str">
        <f aca="false">PROPER(TRIM(raw_data!E272))</f>
        <v>Aditi Sen</v>
      </c>
      <c r="J272" s="3" t="str">
        <f aca="false">PROPER(TRIM(raw_data!F272))</f>
        <v>Corporate</v>
      </c>
      <c r="K272" s="3" t="str">
        <f aca="false">IF(TRIM(raw_data!G272)="","Unknown",PROPER(TRIM(raw_data!G272)))</f>
        <v>North</v>
      </c>
      <c r="L272" s="3" t="str">
        <f aca="false">IF(TRIM(raw_data!G272)="","Filled - Unknown","OK")</f>
        <v>OK</v>
      </c>
      <c r="M272" s="3" t="str">
        <f aca="false">PROPER(TRIM(raw_data!H272))</f>
        <v>Uttar Pradesh</v>
      </c>
      <c r="N272" s="3" t="str">
        <f aca="false">PROPER(TRIM(raw_data!I272))</f>
        <v>Noida</v>
      </c>
      <c r="O272" s="3" t="str">
        <f aca="false">PROPER(TRIM(raw_data!J272))</f>
        <v>Technology</v>
      </c>
      <c r="P272" s="3" t="str">
        <f aca="false">PROPER(TRIM(raw_data!K272))</f>
        <v>Machines</v>
      </c>
      <c r="Q272" s="3" t="str">
        <f aca="false">TRIM(raw_data!L272)</f>
        <v>Prime Machines 794</v>
      </c>
      <c r="R272" s="3" t="str">
        <f aca="false">IF(TRIM(raw_data!M272)="","Unknown",PROPER(TRIM(raw_data!M272)))</f>
        <v>Same Day</v>
      </c>
      <c r="S272" s="3" t="str">
        <f aca="false">IF(TRIM(raw_data!M272)="","Filled - Unknown","OK")</f>
        <v>OK</v>
      </c>
      <c r="T272" s="6" t="n">
        <f aca="false">raw_data!N272</f>
        <v>3</v>
      </c>
      <c r="U272" s="7" t="n">
        <f aca="false">raw_data!O272</f>
        <v>827.44</v>
      </c>
      <c r="V272" s="8" t="n">
        <f aca="false">raw_data!P272</f>
        <v>0</v>
      </c>
      <c r="W272" s="8" t="n">
        <f aca="false">IF(raw_data!P272="",0,IF(ISTEXT(raw_data!P272),IF(RIGHT(raw_data!P272,1)="%",VALUE(LEFT(raw_data!P272,LEN(raw_data!P272)-1))/100,VALUE(raw_data!P272)),raw_data!P272))</f>
        <v>0</v>
      </c>
      <c r="X272" s="3" t="str">
        <f aca="false">IF(raw_data!P272="","Missing - Defaulted to 0",IF(W272&lt;0,"Negative - Invalid",IF(W272&gt;0.3,"Above Allowed Range - Invalid","Valid")))</f>
        <v>Valid</v>
      </c>
      <c r="Y272" s="7" t="n">
        <f aca="false">raw_data!Q272</f>
        <v>2482.32</v>
      </c>
      <c r="Z272" s="7" t="n">
        <f aca="false">raw_data!R272</f>
        <v>1520.21</v>
      </c>
      <c r="AA272" s="7" t="n">
        <f aca="false">raw_data!S272</f>
        <v>962.11</v>
      </c>
      <c r="AB272" s="3" t="str">
        <f aca="false">PROPER(TRIM(raw_data!T272))</f>
        <v>Paid</v>
      </c>
      <c r="AC272" s="3" t="str">
        <f aca="false">PROPER(TRIM(raw_data!U272))</f>
        <v>Completed</v>
      </c>
      <c r="AD272" s="7" t="n">
        <f aca="false">T272*U272*(1-W272)</f>
        <v>2482.32</v>
      </c>
      <c r="AE272" s="7" t="n">
        <f aca="false">AD272-Z272</f>
        <v>962.11</v>
      </c>
      <c r="AF272" s="8" t="n">
        <f aca="false">IF(AD272=0,0,AE272/AD272)</f>
        <v>0.387585001127977</v>
      </c>
      <c r="AG272" s="3" t="str">
        <f aca="false">IF(ABS(Y272-AD272)&gt;1,"Mismatch","OK")</f>
        <v>OK</v>
      </c>
      <c r="AH272" s="3" t="str">
        <f aca="false">IF(ABS(AA272-AE272)&gt;1,"Mismatch","OK")</f>
        <v>OK</v>
      </c>
      <c r="AI272" s="6" t="n">
        <f aca="false">IF(B272="","",MONTH(B272))</f>
        <v>1</v>
      </c>
      <c r="AJ272" s="6" t="n">
        <f aca="false">IF(B272="","",YEAR(B272))</f>
        <v>2024</v>
      </c>
      <c r="AK272" s="3" t="str">
        <f aca="false">IF(COUNTIF(raw_data!$A$2:$A$913,A272)&gt;1,"Conflicting Duplicate - Flagged for Review","Unique")</f>
        <v>Unique</v>
      </c>
      <c r="AL272" s="3" t="str">
        <f aca="false">IF(AB272="Refunded","Yes","No")</f>
        <v>No</v>
      </c>
      <c r="AM272" s="3" t="str">
        <f aca="false">IF(OR(AC272&lt;&gt;"Completed",AB272="Failed"),"Excluded","Included")</f>
        <v>Included</v>
      </c>
      <c r="AN272" s="3" t="str">
        <f aca="false">IF(OR(D272="Invalid/Unrecognized",E272="Invalid/Unrecognized",G272="Invalid - Ship Before Order",X272="Negative - Invalid",X272="Above Allowed Range - Invalid",AG272="Mismatch",AH272="Mismatch",AK272="Conflicting Duplicate - Flagged for Review"),"Invalid",IF(OR(L272="Filled - Unknown",S272="Filled - Unknown",X272="Missing - Defaulted to 0",AL272="Yes",AC272="Cancelled",AC272="Returned"),"Warning","Clean"))</f>
        <v>Clean</v>
      </c>
    </row>
    <row r="273" customFormat="false" ht="15" hidden="false" customHeight="false" outlineLevel="0" collapsed="false">
      <c r="A273" s="3" t="str">
        <f aca="false">raw_data!A273</f>
        <v>ORD-2024-10272</v>
      </c>
      <c r="B273" s="4" t="n">
        <f aca="false">IFERROR(IF(MID(raw_data!B273,3,1)="/",DATE(VALUE(RIGHT(raw_data!B273,4)),VALUE(LEFT(raw_data!B273,2)),VALUE(MID(raw_data!B273,4,2))),IF(MID(raw_data!B273,3,1)="-",DATE(VALUE(RIGHT(raw_data!B273,4)),VALUE(MID(raw_data!B273,4,2)),VALUE(LEFT(raw_data!B273,2))),IF(MID(raw_data!B273,5,1)="-",DATE(VALUE(LEFT(raw_data!B273,4)),VALUE(MID(raw_data!B273,6,2)),VALUE(RIGHT(raw_data!B273,2))),DATE(VALUE(RIGHT(raw_data!B273,4)),MATCH(MID(raw_data!B273,4,3),{"Jan","Feb","Mar","Apr","May","Jun","Jul","Aug","Sep","Oct","Nov","Dec"},0),VALUE(LEFT(raw_data!B273,2)))))),"")</f>
        <v>45647</v>
      </c>
      <c r="C273" s="4" t="n">
        <f aca="false">IFERROR(IF(MID(raw_data!C273,3,1)="/",DATE(VALUE(RIGHT(raw_data!C273,4)),VALUE(LEFT(raw_data!C273,2)),VALUE(MID(raw_data!C273,4,2))),IF(MID(raw_data!C273,3,1)="-",DATE(VALUE(RIGHT(raw_data!C273,4)),VALUE(MID(raw_data!C273,4,2)),VALUE(LEFT(raw_data!C273,2))),IF(MID(raw_data!C273,5,1)="-",DATE(VALUE(LEFT(raw_data!C273,4)),VALUE(MID(raw_data!C273,6,2)),VALUE(RIGHT(raw_data!C273,2))),DATE(VALUE(RIGHT(raw_data!C273,4)),MATCH(MID(raw_data!C273,4,3),{"Jan","Feb","Mar","Apr","May","Jun","Jul","Aug","Sep","Oct","Nov","Dec"},0),VALUE(LEFT(raw_data!C273,2)))))),"")</f>
        <v>45651</v>
      </c>
      <c r="D273" s="3" t="str">
        <f aca="false">IF(TRIM(raw_data!B273)="","Missing",IF(B273="","Invalid/Unrecognized","Valid"))</f>
        <v>Valid</v>
      </c>
      <c r="E273" s="3" t="str">
        <f aca="false">IF(TRIM(raw_data!C273)="","Missing",IF(C273="","Invalid/Unrecognized","Valid"))</f>
        <v>Valid</v>
      </c>
      <c r="F273" s="5" t="n">
        <f aca="false">IF(OR(B273="",C273=""),"",C273-B273)</f>
        <v>4</v>
      </c>
      <c r="G273" s="3" t="str">
        <f aca="false">IF(F273="","N/A",IF(F273&lt;0,"Invalid - Ship Before Order","OK"))</f>
        <v>OK</v>
      </c>
      <c r="H273" s="3" t="str">
        <f aca="false">raw_data!D273</f>
        <v>CUST-8009</v>
      </c>
      <c r="I273" s="3" t="str">
        <f aca="false">PROPER(TRIM(raw_data!E273))</f>
        <v>Aditi Sen</v>
      </c>
      <c r="J273" s="3" t="str">
        <f aca="false">PROPER(TRIM(raw_data!F273))</f>
        <v>Consumer</v>
      </c>
      <c r="K273" s="3" t="str">
        <f aca="false">IF(TRIM(raw_data!G273)="","Unknown",PROPER(TRIM(raw_data!G273)))</f>
        <v>South</v>
      </c>
      <c r="L273" s="3" t="str">
        <f aca="false">IF(TRIM(raw_data!G273)="","Filled - Unknown","OK")</f>
        <v>OK</v>
      </c>
      <c r="M273" s="3" t="str">
        <f aca="false">PROPER(TRIM(raw_data!H273))</f>
        <v>Telangana</v>
      </c>
      <c r="N273" s="3" t="str">
        <f aca="false">PROPER(TRIM(raw_data!I273))</f>
        <v>Hyderabad</v>
      </c>
      <c r="O273" s="3" t="str">
        <f aca="false">PROPER(TRIM(raw_data!J273))</f>
        <v>Office Supplies</v>
      </c>
      <c r="P273" s="3" t="str">
        <f aca="false">PROPER(TRIM(raw_data!K273))</f>
        <v>Binders</v>
      </c>
      <c r="Q273" s="3" t="str">
        <f aca="false">TRIM(raw_data!L273)</f>
        <v>Max Binders 927</v>
      </c>
      <c r="R273" s="3" t="str">
        <f aca="false">IF(TRIM(raw_data!M273)="","Unknown",PROPER(TRIM(raw_data!M273)))</f>
        <v>Standard Class</v>
      </c>
      <c r="S273" s="3" t="str">
        <f aca="false">IF(TRIM(raw_data!M273)="","Filled - Unknown","OK")</f>
        <v>OK</v>
      </c>
      <c r="T273" s="6" t="n">
        <f aca="false">raw_data!N273</f>
        <v>7</v>
      </c>
      <c r="U273" s="7" t="n">
        <f aca="false">raw_data!O273</f>
        <v>1667.75</v>
      </c>
      <c r="V273" s="8" t="n">
        <f aca="false">raw_data!P273</f>
        <v>0</v>
      </c>
      <c r="W273" s="8" t="n">
        <f aca="false">IF(raw_data!P273="",0,IF(ISTEXT(raw_data!P273),IF(RIGHT(raw_data!P273,1)="%",VALUE(LEFT(raw_data!P273,LEN(raw_data!P273)-1))/100,VALUE(raw_data!P273)),raw_data!P273))</f>
        <v>0</v>
      </c>
      <c r="X273" s="3" t="str">
        <f aca="false">IF(raw_data!P273="","Missing - Defaulted to 0",IF(W273&lt;0,"Negative - Invalid",IF(W273&gt;0.3,"Above Allowed Range - Invalid","Valid")))</f>
        <v>Valid</v>
      </c>
      <c r="Y273" s="7" t="n">
        <f aca="false">raw_data!Q273</f>
        <v>11674.25</v>
      </c>
      <c r="Z273" s="7" t="n">
        <f aca="false">raw_data!R273</f>
        <v>9621.19</v>
      </c>
      <c r="AA273" s="7" t="n">
        <f aca="false">raw_data!S273</f>
        <v>2053.06</v>
      </c>
      <c r="AB273" s="3" t="str">
        <f aca="false">PROPER(TRIM(raw_data!T273))</f>
        <v>Failed</v>
      </c>
      <c r="AC273" s="3" t="str">
        <f aca="false">PROPER(TRIM(raw_data!U273))</f>
        <v>Cancelled</v>
      </c>
      <c r="AD273" s="7" t="n">
        <f aca="false">T273*U273*(1-W273)</f>
        <v>11674.25</v>
      </c>
      <c r="AE273" s="7" t="n">
        <f aca="false">AD273-Z273</f>
        <v>2053.06</v>
      </c>
      <c r="AF273" s="8" t="n">
        <f aca="false">IF(AD273=0,0,AE273/AD273)</f>
        <v>0.175862260958948</v>
      </c>
      <c r="AG273" s="3" t="str">
        <f aca="false">IF(ABS(Y273-AD273)&gt;1,"Mismatch","OK")</f>
        <v>OK</v>
      </c>
      <c r="AH273" s="3" t="str">
        <f aca="false">IF(ABS(AA273-AE273)&gt;1,"Mismatch","OK")</f>
        <v>OK</v>
      </c>
      <c r="AI273" s="6" t="n">
        <f aca="false">IF(B273="","",MONTH(B273))</f>
        <v>12</v>
      </c>
      <c r="AJ273" s="6" t="n">
        <f aca="false">IF(B273="","",YEAR(B273))</f>
        <v>2024</v>
      </c>
      <c r="AK273" s="3" t="str">
        <f aca="false">IF(COUNTIF(raw_data!$A$2:$A$913,A273)&gt;1,"Conflicting Duplicate - Flagged for Review","Unique")</f>
        <v>Unique</v>
      </c>
      <c r="AL273" s="3" t="str">
        <f aca="false">IF(AB273="Refunded","Yes","No")</f>
        <v>No</v>
      </c>
      <c r="AM273" s="3" t="str">
        <f aca="false">IF(OR(AC273&lt;&gt;"Completed",AB273="Failed"),"Excluded","Included")</f>
        <v>Excluded</v>
      </c>
      <c r="AN273" s="3" t="str">
        <f aca="false">IF(OR(D273="Invalid/Unrecognized",E273="Invalid/Unrecognized",G273="Invalid - Ship Before Order",X273="Negative - Invalid",X273="Above Allowed Range - Invalid",AG273="Mismatch",AH273="Mismatch",AK273="Conflicting Duplicate - Flagged for Review"),"Invalid",IF(OR(L273="Filled - Unknown",S273="Filled - Unknown",X273="Missing - Defaulted to 0",AL273="Yes",AC273="Cancelled",AC273="Returned"),"Warning","Clean"))</f>
        <v>Warning</v>
      </c>
    </row>
    <row r="274" customFormat="false" ht="15" hidden="false" customHeight="false" outlineLevel="0" collapsed="false">
      <c r="A274" s="3" t="str">
        <f aca="false">raw_data!A274</f>
        <v>ORD-2024-10273</v>
      </c>
      <c r="B274" s="4" t="n">
        <f aca="false">IFERROR(IF(MID(raw_data!B274,3,1)="/",DATE(VALUE(RIGHT(raw_data!B274,4)),VALUE(LEFT(raw_data!B274,2)),VALUE(MID(raw_data!B274,4,2))),IF(MID(raw_data!B274,3,1)="-",DATE(VALUE(RIGHT(raw_data!B274,4)),VALUE(MID(raw_data!B274,4,2)),VALUE(LEFT(raw_data!B274,2))),IF(MID(raw_data!B274,5,1)="-",DATE(VALUE(LEFT(raw_data!B274,4)),VALUE(MID(raw_data!B274,6,2)),VALUE(RIGHT(raw_data!B274,2))),DATE(VALUE(RIGHT(raw_data!B274,4)),MATCH(MID(raw_data!B274,4,3),{"Jan","Feb","Mar","Apr","May","Jun","Jul","Aug","Sep","Oct","Nov","Dec"},0),VALUE(LEFT(raw_data!B274,2)))))),"")</f>
        <v>45522</v>
      </c>
      <c r="C274" s="4" t="n">
        <f aca="false">IFERROR(IF(MID(raw_data!C274,3,1)="/",DATE(VALUE(RIGHT(raw_data!C274,4)),VALUE(LEFT(raw_data!C274,2)),VALUE(MID(raw_data!C274,4,2))),IF(MID(raw_data!C274,3,1)="-",DATE(VALUE(RIGHT(raw_data!C274,4)),VALUE(MID(raw_data!C274,4,2)),VALUE(LEFT(raw_data!C274,2))),IF(MID(raw_data!C274,5,1)="-",DATE(VALUE(LEFT(raw_data!C274,4)),VALUE(MID(raw_data!C274,6,2)),VALUE(RIGHT(raw_data!C274,2))),DATE(VALUE(RIGHT(raw_data!C274,4)),MATCH(MID(raw_data!C274,4,3),{"Jan","Feb","Mar","Apr","May","Jun","Jul","Aug","Sep","Oct","Nov","Dec"},0),VALUE(LEFT(raw_data!C274,2)))))),"")</f>
        <v>45528</v>
      </c>
      <c r="D274" s="3" t="str">
        <f aca="false">IF(TRIM(raw_data!B274)="","Missing",IF(B274="","Invalid/Unrecognized","Valid"))</f>
        <v>Valid</v>
      </c>
      <c r="E274" s="3" t="str">
        <f aca="false">IF(TRIM(raw_data!C274)="","Missing",IF(C274="","Invalid/Unrecognized","Valid"))</f>
        <v>Valid</v>
      </c>
      <c r="F274" s="5" t="n">
        <f aca="false">IF(OR(B274="",C274=""),"",C274-B274)</f>
        <v>6</v>
      </c>
      <c r="G274" s="3" t="str">
        <f aca="false">IF(F274="","N/A",IF(F274&lt;0,"Invalid - Ship Before Order","OK"))</f>
        <v>OK</v>
      </c>
      <c r="H274" s="3" t="str">
        <f aca="false">raw_data!D274</f>
        <v>CUST-7389</v>
      </c>
      <c r="I274" s="3" t="str">
        <f aca="false">PROPER(TRIM(raw_data!E274))</f>
        <v>Arjun Bose</v>
      </c>
      <c r="J274" s="3" t="str">
        <f aca="false">PROPER(TRIM(raw_data!F274))</f>
        <v>Consumer</v>
      </c>
      <c r="K274" s="3" t="str">
        <f aca="false">IF(TRIM(raw_data!G274)="","Unknown",PROPER(TRIM(raw_data!G274)))</f>
        <v>South</v>
      </c>
      <c r="L274" s="3" t="str">
        <f aca="false">IF(TRIM(raw_data!G274)="","Filled - Unknown","OK")</f>
        <v>OK</v>
      </c>
      <c r="M274" s="3" t="str">
        <f aca="false">PROPER(TRIM(raw_data!H274))</f>
        <v>Andhra Pradesh</v>
      </c>
      <c r="N274" s="3" t="str">
        <f aca="false">PROPER(TRIM(raw_data!I274))</f>
        <v>Vijayawada</v>
      </c>
      <c r="O274" s="3" t="str">
        <f aca="false">PROPER(TRIM(raw_data!J274))</f>
        <v>Furniture</v>
      </c>
      <c r="P274" s="3" t="str">
        <f aca="false">PROPER(TRIM(raw_data!K274))</f>
        <v>Chairs</v>
      </c>
      <c r="Q274" s="3" t="str">
        <f aca="false">TRIM(raw_data!L274)</f>
        <v>Eco Chairs 314</v>
      </c>
      <c r="R274" s="3" t="str">
        <f aca="false">IF(TRIM(raw_data!M274)="","Unknown",PROPER(TRIM(raw_data!M274)))</f>
        <v>First Class</v>
      </c>
      <c r="S274" s="3" t="str">
        <f aca="false">IF(TRIM(raw_data!M274)="","Filled - Unknown","OK")</f>
        <v>OK</v>
      </c>
      <c r="T274" s="6" t="n">
        <f aca="false">raw_data!N274</f>
        <v>7</v>
      </c>
      <c r="U274" s="7" t="n">
        <f aca="false">raw_data!O274</f>
        <v>557.21</v>
      </c>
      <c r="V274" s="8" t="n">
        <f aca="false">raw_data!P274</f>
        <v>0.1</v>
      </c>
      <c r="W274" s="8" t="n">
        <f aca="false">IF(raw_data!P274="",0,IF(ISTEXT(raw_data!P274),IF(RIGHT(raw_data!P274,1)="%",VALUE(LEFT(raw_data!P274,LEN(raw_data!P274)-1))/100,VALUE(raw_data!P274)),raw_data!P274))</f>
        <v>0.1</v>
      </c>
      <c r="X274" s="3" t="str">
        <f aca="false">IF(raw_data!P274="","Missing - Defaulted to 0",IF(W274&lt;0,"Negative - Invalid",IF(W274&gt;0.3,"Above Allowed Range - Invalid","Valid")))</f>
        <v>Valid</v>
      </c>
      <c r="Y274" s="7" t="n">
        <f aca="false">raw_data!Q274</f>
        <v>3510.42</v>
      </c>
      <c r="Z274" s="7" t="n">
        <f aca="false">raw_data!R274</f>
        <v>2191.5</v>
      </c>
      <c r="AA274" s="7" t="n">
        <f aca="false">raw_data!S274</f>
        <v>1213.48</v>
      </c>
      <c r="AB274" s="3" t="str">
        <f aca="false">PROPER(TRIM(raw_data!T274))</f>
        <v>Paid</v>
      </c>
      <c r="AC274" s="3" t="str">
        <f aca="false">PROPER(TRIM(raw_data!U274))</f>
        <v>Completed</v>
      </c>
      <c r="AD274" s="7" t="n">
        <f aca="false">T274*U274*(1-W274)</f>
        <v>3510.423</v>
      </c>
      <c r="AE274" s="7" t="n">
        <f aca="false">AD274-Z274</f>
        <v>1318.923</v>
      </c>
      <c r="AF274" s="8" t="n">
        <f aca="false">IF(AD274=0,0,AE274/AD274)</f>
        <v>0.375716259835353</v>
      </c>
      <c r="AG274" s="3" t="str">
        <f aca="false">IF(ABS(Y274-AD274)&gt;1,"Mismatch","OK")</f>
        <v>OK</v>
      </c>
      <c r="AH274" s="3" t="str">
        <f aca="false">IF(ABS(AA274-AE274)&gt;1,"Mismatch","OK")</f>
        <v>Mismatch</v>
      </c>
      <c r="AI274" s="6" t="n">
        <f aca="false">IF(B274="","",MONTH(B274))</f>
        <v>8</v>
      </c>
      <c r="AJ274" s="6" t="n">
        <f aca="false">IF(B274="","",YEAR(B274))</f>
        <v>2024</v>
      </c>
      <c r="AK274" s="3" t="str">
        <f aca="false">IF(COUNTIF(raw_data!$A$2:$A$913,A274)&gt;1,"Conflicting Duplicate - Flagged for Review","Unique")</f>
        <v>Conflicting Duplicate - Flagged for Review</v>
      </c>
      <c r="AL274" s="3" t="str">
        <f aca="false">IF(AB274="Refunded","Yes","No")</f>
        <v>No</v>
      </c>
      <c r="AM274" s="3" t="str">
        <f aca="false">IF(OR(AC274&lt;&gt;"Completed",AB274="Failed"),"Excluded","Included")</f>
        <v>Included</v>
      </c>
      <c r="AN274" s="3" t="str">
        <f aca="false">IF(OR(D274="Invalid/Unrecognized",E274="Invalid/Unrecognized",G274="Invalid - Ship Before Order",X274="Negative - Invalid",X274="Above Allowed Range - Invalid",AG274="Mismatch",AH274="Mismatch",AK274="Conflicting Duplicate - Flagged for Review"),"Invalid",IF(OR(L274="Filled - Unknown",S274="Filled - Unknown",X274="Missing - Defaulted to 0",AL274="Yes",AC274="Cancelled",AC274="Returned"),"Warning","Clean"))</f>
        <v>Invalid</v>
      </c>
    </row>
    <row r="275" customFormat="false" ht="15" hidden="false" customHeight="false" outlineLevel="0" collapsed="false">
      <c r="A275" s="3" t="str">
        <f aca="false">raw_data!A275</f>
        <v>ORD-2025-10274</v>
      </c>
      <c r="B275" s="4" t="n">
        <f aca="false">IFERROR(IF(MID(raw_data!B275,3,1)="/",DATE(VALUE(RIGHT(raw_data!B275,4)),VALUE(LEFT(raw_data!B275,2)),VALUE(MID(raw_data!B275,4,2))),IF(MID(raw_data!B275,3,1)="-",DATE(VALUE(RIGHT(raw_data!B275,4)),VALUE(MID(raw_data!B275,4,2)),VALUE(LEFT(raw_data!B275,2))),IF(MID(raw_data!B275,5,1)="-",DATE(VALUE(LEFT(raw_data!B275,4)),VALUE(MID(raw_data!B275,6,2)),VALUE(RIGHT(raw_data!B275,2))),DATE(VALUE(RIGHT(raw_data!B275,4)),MATCH(MID(raw_data!B275,4,3),{"Jan","Feb","Mar","Apr","May","Jun","Jul","Aug","Sep","Oct","Nov","Dec"},0),VALUE(LEFT(raw_data!B275,2)))))),"")</f>
        <v>45701</v>
      </c>
      <c r="C275" s="4" t="n">
        <f aca="false">IFERROR(IF(MID(raw_data!C275,3,1)="/",DATE(VALUE(RIGHT(raw_data!C275,4)),VALUE(LEFT(raw_data!C275,2)),VALUE(MID(raw_data!C275,4,2))),IF(MID(raw_data!C275,3,1)="-",DATE(VALUE(RIGHT(raw_data!C275,4)),VALUE(MID(raw_data!C275,4,2)),VALUE(LEFT(raw_data!C275,2))),IF(MID(raw_data!C275,5,1)="-",DATE(VALUE(LEFT(raw_data!C275,4)),VALUE(MID(raw_data!C275,6,2)),VALUE(RIGHT(raw_data!C275,2))),DATE(VALUE(RIGHT(raw_data!C275,4)),MATCH(MID(raw_data!C275,4,3),{"Jan","Feb","Mar","Apr","May","Jun","Jul","Aug","Sep","Oct","Nov","Dec"},0),VALUE(LEFT(raw_data!C275,2)))))),"")</f>
        <v>45701</v>
      </c>
      <c r="D275" s="3" t="str">
        <f aca="false">IF(TRIM(raw_data!B275)="","Missing",IF(B275="","Invalid/Unrecognized","Valid"))</f>
        <v>Valid</v>
      </c>
      <c r="E275" s="3" t="str">
        <f aca="false">IF(TRIM(raw_data!C275)="","Missing",IF(C275="","Invalid/Unrecognized","Valid"))</f>
        <v>Valid</v>
      </c>
      <c r="F275" s="5" t="n">
        <f aca="false">IF(OR(B275="",C275=""),"",C275-B275)</f>
        <v>0</v>
      </c>
      <c r="G275" s="3" t="str">
        <f aca="false">IF(F275="","N/A",IF(F275&lt;0,"Invalid - Ship Before Order","OK"))</f>
        <v>OK</v>
      </c>
      <c r="H275" s="3" t="str">
        <f aca="false">raw_data!D275</f>
        <v>CUST-8249</v>
      </c>
      <c r="I275" s="3" t="str">
        <f aca="false">PROPER(TRIM(raw_data!E275))</f>
        <v>Isha Nair</v>
      </c>
      <c r="J275" s="3" t="str">
        <f aca="false">PROPER(TRIM(raw_data!F275))</f>
        <v>Consumer</v>
      </c>
      <c r="K275" s="3" t="str">
        <f aca="false">IF(TRIM(raw_data!G275)="","Unknown",PROPER(TRIM(raw_data!G275)))</f>
        <v>East</v>
      </c>
      <c r="L275" s="3" t="str">
        <f aca="false">IF(TRIM(raw_data!G275)="","Filled - Unknown","OK")</f>
        <v>OK</v>
      </c>
      <c r="M275" s="3" t="str">
        <f aca="false">PROPER(TRIM(raw_data!H275))</f>
        <v>Bihar</v>
      </c>
      <c r="N275" s="3" t="str">
        <f aca="false">PROPER(TRIM(raw_data!I275))</f>
        <v>Patna</v>
      </c>
      <c r="O275" s="3" t="str">
        <f aca="false">PROPER(TRIM(raw_data!J275))</f>
        <v>Office Supplies</v>
      </c>
      <c r="P275" s="3" t="str">
        <f aca="false">PROPER(TRIM(raw_data!K275))</f>
        <v>Paper</v>
      </c>
      <c r="Q275" s="3" t="str">
        <f aca="false">TRIM(raw_data!L275)</f>
        <v>Basic Paper 657</v>
      </c>
      <c r="R275" s="3" t="str">
        <f aca="false">IF(TRIM(raw_data!M275)="","Unknown",PROPER(TRIM(raw_data!M275)))</f>
        <v>Second Class</v>
      </c>
      <c r="S275" s="3" t="str">
        <f aca="false">IF(TRIM(raw_data!M275)="","Filled - Unknown","OK")</f>
        <v>OK</v>
      </c>
      <c r="T275" s="6" t="n">
        <f aca="false">raw_data!N275</f>
        <v>9</v>
      </c>
      <c r="U275" s="7" t="n">
        <f aca="false">raw_data!O275</f>
        <v>2521.63</v>
      </c>
      <c r="V275" s="8" t="n">
        <f aca="false">raw_data!P275</f>
        <v>0</v>
      </c>
      <c r="W275" s="8" t="n">
        <f aca="false">IF(raw_data!P275="",0,IF(ISTEXT(raw_data!P275),IF(RIGHT(raw_data!P275,1)="%",VALUE(LEFT(raw_data!P275,LEN(raw_data!P275)-1))/100,VALUE(raw_data!P275)),raw_data!P275))</f>
        <v>0</v>
      </c>
      <c r="X275" s="3" t="str">
        <f aca="false">IF(raw_data!P275="","Missing - Defaulted to 0",IF(W275&lt;0,"Negative - Invalid",IF(W275&gt;0.3,"Above Allowed Range - Invalid","Valid")))</f>
        <v>Valid</v>
      </c>
      <c r="Y275" s="7" t="n">
        <f aca="false">raw_data!Q275</f>
        <v>22694.67</v>
      </c>
      <c r="Z275" s="7" t="n">
        <f aca="false">raw_data!R275</f>
        <v>15405.36</v>
      </c>
      <c r="AA275" s="7" t="n">
        <f aca="false">raw_data!S275</f>
        <v>7289.31</v>
      </c>
      <c r="AB275" s="3" t="str">
        <f aca="false">PROPER(TRIM(raw_data!T275))</f>
        <v>Paid</v>
      </c>
      <c r="AC275" s="3" t="str">
        <f aca="false">PROPER(TRIM(raw_data!U275))</f>
        <v>Returned</v>
      </c>
      <c r="AD275" s="7" t="n">
        <f aca="false">T275*U275*(1-W275)</f>
        <v>22694.67</v>
      </c>
      <c r="AE275" s="7" t="n">
        <f aca="false">AD275-Z275</f>
        <v>7289.31</v>
      </c>
      <c r="AF275" s="8" t="n">
        <f aca="false">IF(AD275=0,0,AE275/AD275)</f>
        <v>0.321190394044064</v>
      </c>
      <c r="AG275" s="3" t="str">
        <f aca="false">IF(ABS(Y275-AD275)&gt;1,"Mismatch","OK")</f>
        <v>OK</v>
      </c>
      <c r="AH275" s="3" t="str">
        <f aca="false">IF(ABS(AA275-AE275)&gt;1,"Mismatch","OK")</f>
        <v>OK</v>
      </c>
      <c r="AI275" s="6" t="n">
        <f aca="false">IF(B275="","",MONTH(B275))</f>
        <v>2</v>
      </c>
      <c r="AJ275" s="6" t="n">
        <f aca="false">IF(B275="","",YEAR(B275))</f>
        <v>2025</v>
      </c>
      <c r="AK275" s="3" t="str">
        <f aca="false">IF(COUNTIF(raw_data!$A$2:$A$913,A275)&gt;1,"Conflicting Duplicate - Flagged for Review","Unique")</f>
        <v>Unique</v>
      </c>
      <c r="AL275" s="3" t="str">
        <f aca="false">IF(AB275="Refunded","Yes","No")</f>
        <v>No</v>
      </c>
      <c r="AM275" s="3" t="str">
        <f aca="false">IF(OR(AC275&lt;&gt;"Completed",AB275="Failed"),"Excluded","Included")</f>
        <v>Excluded</v>
      </c>
      <c r="AN275" s="3" t="str">
        <f aca="false">IF(OR(D275="Invalid/Unrecognized",E275="Invalid/Unrecognized",G275="Invalid - Ship Before Order",X275="Negative - Invalid",X275="Above Allowed Range - Invalid",AG275="Mismatch",AH275="Mismatch",AK275="Conflicting Duplicate - Flagged for Review"),"Invalid",IF(OR(L275="Filled - Unknown",S275="Filled - Unknown",X275="Missing - Defaulted to 0",AL275="Yes",AC275="Cancelled",AC275="Returned"),"Warning","Clean"))</f>
        <v>Warning</v>
      </c>
    </row>
    <row r="276" customFormat="false" ht="15" hidden="false" customHeight="false" outlineLevel="0" collapsed="false">
      <c r="A276" s="3" t="str">
        <f aca="false">raw_data!A276</f>
        <v>ORD-2024-10275</v>
      </c>
      <c r="B276" s="4" t="n">
        <f aca="false">IFERROR(IF(MID(raw_data!B276,3,1)="/",DATE(VALUE(RIGHT(raw_data!B276,4)),VALUE(LEFT(raw_data!B276,2)),VALUE(MID(raw_data!B276,4,2))),IF(MID(raw_data!B276,3,1)="-",DATE(VALUE(RIGHT(raw_data!B276,4)),VALUE(MID(raw_data!B276,4,2)),VALUE(LEFT(raw_data!B276,2))),IF(MID(raw_data!B276,5,1)="-",DATE(VALUE(LEFT(raw_data!B276,4)),VALUE(MID(raw_data!B276,6,2)),VALUE(RIGHT(raw_data!B276,2))),DATE(VALUE(RIGHT(raw_data!B276,4)),MATCH(MID(raw_data!B276,4,3),{"Jan","Feb","Mar","Apr","May","Jun","Jul","Aug","Sep","Oct","Nov","Dec"},0),VALUE(LEFT(raw_data!B276,2)))))),"")</f>
        <v>45389</v>
      </c>
      <c r="C276" s="4" t="n">
        <f aca="false">IFERROR(IF(MID(raw_data!C276,3,1)="/",DATE(VALUE(RIGHT(raw_data!C276,4)),VALUE(LEFT(raw_data!C276,2)),VALUE(MID(raw_data!C276,4,2))),IF(MID(raw_data!C276,3,1)="-",DATE(VALUE(RIGHT(raw_data!C276,4)),VALUE(MID(raw_data!C276,4,2)),VALUE(LEFT(raw_data!C276,2))),IF(MID(raw_data!C276,5,1)="-",DATE(VALUE(LEFT(raw_data!C276,4)),VALUE(MID(raw_data!C276,6,2)),VALUE(RIGHT(raw_data!C276,2))),DATE(VALUE(RIGHT(raw_data!C276,4)),MATCH(MID(raw_data!C276,4,3),{"Jan","Feb","Mar","Apr","May","Jun","Jul","Aug","Sep","Oct","Nov","Dec"},0),VALUE(LEFT(raw_data!C276,2)))))),"")</f>
        <v>45396</v>
      </c>
      <c r="D276" s="3" t="str">
        <f aca="false">IF(TRIM(raw_data!B276)="","Missing",IF(B276="","Invalid/Unrecognized","Valid"))</f>
        <v>Valid</v>
      </c>
      <c r="E276" s="3" t="str">
        <f aca="false">IF(TRIM(raw_data!C276)="","Missing",IF(C276="","Invalid/Unrecognized","Valid"))</f>
        <v>Valid</v>
      </c>
      <c r="F276" s="5" t="n">
        <f aca="false">IF(OR(B276="",C276=""),"",C276-B276)</f>
        <v>7</v>
      </c>
      <c r="G276" s="3" t="str">
        <f aca="false">IF(F276="","N/A",IF(F276&lt;0,"Invalid - Ship Before Order","OK"))</f>
        <v>OK</v>
      </c>
      <c r="H276" s="3" t="str">
        <f aca="false">raw_data!D276</f>
        <v>CUST-4202</v>
      </c>
      <c r="I276" s="3" t="str">
        <f aca="false">PROPER(TRIM(raw_data!E276))</f>
        <v>Rohan Mehta</v>
      </c>
      <c r="J276" s="3" t="str">
        <f aca="false">PROPER(TRIM(raw_data!F276))</f>
        <v>Consumer</v>
      </c>
      <c r="K276" s="3" t="str">
        <f aca="false">IF(TRIM(raw_data!G276)="","Unknown",PROPER(TRIM(raw_data!G276)))</f>
        <v>South</v>
      </c>
      <c r="L276" s="3" t="str">
        <f aca="false">IF(TRIM(raw_data!G276)="","Filled - Unknown","OK")</f>
        <v>OK</v>
      </c>
      <c r="M276" s="3" t="str">
        <f aca="false">PROPER(TRIM(raw_data!H276))</f>
        <v>Kerala</v>
      </c>
      <c r="N276" s="3" t="str">
        <f aca="false">PROPER(TRIM(raw_data!I276))</f>
        <v>Kochi</v>
      </c>
      <c r="O276" s="3" t="str">
        <f aca="false">PROPER(TRIM(raw_data!J276))</f>
        <v>Technology</v>
      </c>
      <c r="P276" s="3" t="str">
        <f aca="false">PROPER(TRIM(raw_data!K276))</f>
        <v>Copiers</v>
      </c>
      <c r="Q276" s="3" t="str">
        <f aca="false">TRIM(raw_data!L276)</f>
        <v>Pro Copiers 406</v>
      </c>
      <c r="R276" s="3" t="str">
        <f aca="false">IF(TRIM(raw_data!M276)="","Unknown",PROPER(TRIM(raw_data!M276)))</f>
        <v>Standard Class</v>
      </c>
      <c r="S276" s="3" t="str">
        <f aca="false">IF(TRIM(raw_data!M276)="","Filled - Unknown","OK")</f>
        <v>OK</v>
      </c>
      <c r="T276" s="6" t="n">
        <f aca="false">raw_data!N276</f>
        <v>6</v>
      </c>
      <c r="U276" s="7" t="n">
        <f aca="false">raw_data!O276</f>
        <v>4246.71</v>
      </c>
      <c r="V276" s="8" t="n">
        <f aca="false">raw_data!P276</f>
        <v>0.15</v>
      </c>
      <c r="W276" s="8" t="n">
        <f aca="false">IF(raw_data!P276="",0,IF(ISTEXT(raw_data!P276),IF(RIGHT(raw_data!P276,1)="%",VALUE(LEFT(raw_data!P276,LEN(raw_data!P276)-1))/100,VALUE(raw_data!P276)),raw_data!P276))</f>
        <v>0.15</v>
      </c>
      <c r="X276" s="3" t="str">
        <f aca="false">IF(raw_data!P276="","Missing - Defaulted to 0",IF(W276&lt;0,"Negative - Invalid",IF(W276&gt;0.3,"Above Allowed Range - Invalid","Valid")))</f>
        <v>Valid</v>
      </c>
      <c r="Y276" s="7" t="n">
        <f aca="false">raw_data!Q276</f>
        <v>21658.22</v>
      </c>
      <c r="Z276" s="7" t="n">
        <f aca="false">raw_data!R276</f>
        <v>15490.69</v>
      </c>
      <c r="AA276" s="7" t="n">
        <f aca="false">raw_data!S276</f>
        <v>6167.53</v>
      </c>
      <c r="AB276" s="3" t="str">
        <f aca="false">PROPER(TRIM(raw_data!T276))</f>
        <v>Failed</v>
      </c>
      <c r="AC276" s="3" t="str">
        <f aca="false">PROPER(TRIM(raw_data!U276))</f>
        <v>Returned</v>
      </c>
      <c r="AD276" s="7" t="n">
        <f aca="false">T276*U276*(1-W276)</f>
        <v>21658.221</v>
      </c>
      <c r="AE276" s="7" t="n">
        <f aca="false">AD276-Z276</f>
        <v>6167.531</v>
      </c>
      <c r="AF276" s="8" t="n">
        <f aca="false">IF(AD276=0,0,AE276/AD276)</f>
        <v>0.28476627881856</v>
      </c>
      <c r="AG276" s="3" t="str">
        <f aca="false">IF(ABS(Y276-AD276)&gt;1,"Mismatch","OK")</f>
        <v>OK</v>
      </c>
      <c r="AH276" s="3" t="str">
        <f aca="false">IF(ABS(AA276-AE276)&gt;1,"Mismatch","OK")</f>
        <v>OK</v>
      </c>
      <c r="AI276" s="6" t="n">
        <f aca="false">IF(B276="","",MONTH(B276))</f>
        <v>4</v>
      </c>
      <c r="AJ276" s="6" t="n">
        <f aca="false">IF(B276="","",YEAR(B276))</f>
        <v>2024</v>
      </c>
      <c r="AK276" s="3" t="str">
        <f aca="false">IF(COUNTIF(raw_data!$A$2:$A$913,A276)&gt;1,"Conflicting Duplicate - Flagged for Review","Unique")</f>
        <v>Unique</v>
      </c>
      <c r="AL276" s="3" t="str">
        <f aca="false">IF(AB276="Refunded","Yes","No")</f>
        <v>No</v>
      </c>
      <c r="AM276" s="3" t="str">
        <f aca="false">IF(OR(AC276&lt;&gt;"Completed",AB276="Failed"),"Excluded","Included")</f>
        <v>Excluded</v>
      </c>
      <c r="AN276" s="3" t="str">
        <f aca="false">IF(OR(D276="Invalid/Unrecognized",E276="Invalid/Unrecognized",G276="Invalid - Ship Before Order",X276="Negative - Invalid",X276="Above Allowed Range - Invalid",AG276="Mismatch",AH276="Mismatch",AK276="Conflicting Duplicate - Flagged for Review"),"Invalid",IF(OR(L276="Filled - Unknown",S276="Filled - Unknown",X276="Missing - Defaulted to 0",AL276="Yes",AC276="Cancelled",AC276="Returned"),"Warning","Clean"))</f>
        <v>Warning</v>
      </c>
    </row>
    <row r="277" customFormat="false" ht="15" hidden="false" customHeight="false" outlineLevel="0" collapsed="false">
      <c r="A277" s="3" t="str">
        <f aca="false">raw_data!A277</f>
        <v>ORD-2024-10276</v>
      </c>
      <c r="B277" s="4" t="n">
        <f aca="false">IFERROR(IF(MID(raw_data!B277,3,1)="/",DATE(VALUE(RIGHT(raw_data!B277,4)),VALUE(LEFT(raw_data!B277,2)),VALUE(MID(raw_data!B277,4,2))),IF(MID(raw_data!B277,3,1)="-",DATE(VALUE(RIGHT(raw_data!B277,4)),VALUE(MID(raw_data!B277,4,2)),VALUE(LEFT(raw_data!B277,2))),IF(MID(raw_data!B277,5,1)="-",DATE(VALUE(LEFT(raw_data!B277,4)),VALUE(MID(raw_data!B277,6,2)),VALUE(RIGHT(raw_data!B277,2))),DATE(VALUE(RIGHT(raw_data!B277,4)),MATCH(MID(raw_data!B277,4,3),{"Jan","Feb","Mar","Apr","May","Jun","Jul","Aug","Sep","Oct","Nov","Dec"},0),VALUE(LEFT(raw_data!B277,2)))))),"")</f>
        <v>45337</v>
      </c>
      <c r="C277" s="4" t="n">
        <f aca="false">IFERROR(IF(MID(raw_data!C277,3,1)="/",DATE(VALUE(RIGHT(raw_data!C277,4)),VALUE(LEFT(raw_data!C277,2)),VALUE(MID(raw_data!C277,4,2))),IF(MID(raw_data!C277,3,1)="-",DATE(VALUE(RIGHT(raw_data!C277,4)),VALUE(MID(raw_data!C277,4,2)),VALUE(LEFT(raw_data!C277,2))),IF(MID(raw_data!C277,5,1)="-",DATE(VALUE(LEFT(raw_data!C277,4)),VALUE(MID(raw_data!C277,6,2)),VALUE(RIGHT(raw_data!C277,2))),DATE(VALUE(RIGHT(raw_data!C277,4)),MATCH(MID(raw_data!C277,4,3),{"Jan","Feb","Mar","Apr","May","Jun","Jul","Aug","Sep","Oct","Nov","Dec"},0),VALUE(LEFT(raw_data!C277,2)))))),"")</f>
        <v>45344</v>
      </c>
      <c r="D277" s="3" t="str">
        <f aca="false">IF(TRIM(raw_data!B277)="","Missing",IF(B277="","Invalid/Unrecognized","Valid"))</f>
        <v>Valid</v>
      </c>
      <c r="E277" s="3" t="str">
        <f aca="false">IF(TRIM(raw_data!C277)="","Missing",IF(C277="","Invalid/Unrecognized","Valid"))</f>
        <v>Valid</v>
      </c>
      <c r="F277" s="5" t="n">
        <f aca="false">IF(OR(B277="",C277=""),"",C277-B277)</f>
        <v>7</v>
      </c>
      <c r="G277" s="3" t="str">
        <f aca="false">IF(F277="","N/A",IF(F277&lt;0,"Invalid - Ship Before Order","OK"))</f>
        <v>OK</v>
      </c>
      <c r="H277" s="3" t="str">
        <f aca="false">raw_data!D277</f>
        <v>CUST-2875</v>
      </c>
      <c r="I277" s="3" t="str">
        <f aca="false">PROPER(TRIM(raw_data!E277))</f>
        <v>Priya Menon</v>
      </c>
      <c r="J277" s="3" t="str">
        <f aca="false">PROPER(TRIM(raw_data!F277))</f>
        <v>Small Business</v>
      </c>
      <c r="K277" s="3" t="str">
        <f aca="false">IF(TRIM(raw_data!G277)="","Unknown",PROPER(TRIM(raw_data!G277)))</f>
        <v>East</v>
      </c>
      <c r="L277" s="3" t="str">
        <f aca="false">IF(TRIM(raw_data!G277)="","Filled - Unknown","OK")</f>
        <v>OK</v>
      </c>
      <c r="M277" s="3" t="str">
        <f aca="false">PROPER(TRIM(raw_data!H277))</f>
        <v>West Bengal</v>
      </c>
      <c r="N277" s="3" t="str">
        <f aca="false">PROPER(TRIM(raw_data!I277))</f>
        <v>Kolkata</v>
      </c>
      <c r="O277" s="3" t="str">
        <f aca="false">PROPER(TRIM(raw_data!J277))</f>
        <v>Furniture</v>
      </c>
      <c r="P277" s="3" t="str">
        <f aca="false">PROPER(TRIM(raw_data!K277))</f>
        <v>Furnishings</v>
      </c>
      <c r="Q277" s="3" t="str">
        <f aca="false">TRIM(raw_data!L277)</f>
        <v>Eco Furnishings 678</v>
      </c>
      <c r="R277" s="3" t="str">
        <f aca="false">IF(TRIM(raw_data!M277)="","Unknown",PROPER(TRIM(raw_data!M277)))</f>
        <v>Same Day</v>
      </c>
      <c r="S277" s="3" t="str">
        <f aca="false">IF(TRIM(raw_data!M277)="","Filled - Unknown","OK")</f>
        <v>OK</v>
      </c>
      <c r="T277" s="6" t="n">
        <f aca="false">raw_data!N277</f>
        <v>1</v>
      </c>
      <c r="U277" s="7" t="n">
        <f aca="false">raw_data!O277</f>
        <v>980.51</v>
      </c>
      <c r="V277" s="8" t="n">
        <f aca="false">raw_data!P277</f>
        <v>0</v>
      </c>
      <c r="W277" s="8" t="n">
        <f aca="false">IF(raw_data!P277="",0,IF(ISTEXT(raw_data!P277),IF(RIGHT(raw_data!P277,1)="%",VALUE(LEFT(raw_data!P277,LEN(raw_data!P277)-1))/100,VALUE(raw_data!P277)),raw_data!P277))</f>
        <v>0</v>
      </c>
      <c r="X277" s="3" t="str">
        <f aca="false">IF(raw_data!P277="","Missing - Defaulted to 0",IF(W277&lt;0,"Negative - Invalid",IF(W277&gt;0.3,"Above Allowed Range - Invalid","Valid")))</f>
        <v>Valid</v>
      </c>
      <c r="Y277" s="7" t="n">
        <f aca="false">raw_data!Q277</f>
        <v>980.51</v>
      </c>
      <c r="Z277" s="7" t="n">
        <f aca="false">raw_data!R277</f>
        <v>660.92</v>
      </c>
      <c r="AA277" s="7" t="n">
        <f aca="false">raw_data!S277</f>
        <v>319.59</v>
      </c>
      <c r="AB277" s="3" t="str">
        <f aca="false">PROPER(TRIM(raw_data!T277))</f>
        <v>Paid</v>
      </c>
      <c r="AC277" s="3" t="str">
        <f aca="false">PROPER(TRIM(raw_data!U277))</f>
        <v>Completed</v>
      </c>
      <c r="AD277" s="7" t="n">
        <f aca="false">T277*U277*(1-W277)</f>
        <v>980.51</v>
      </c>
      <c r="AE277" s="7" t="n">
        <f aca="false">AD277-Z277</f>
        <v>319.59</v>
      </c>
      <c r="AF277" s="8" t="n">
        <f aca="false">IF(AD277=0,0,AE277/AD277)</f>
        <v>0.325942621696872</v>
      </c>
      <c r="AG277" s="3" t="str">
        <f aca="false">IF(ABS(Y277-AD277)&gt;1,"Mismatch","OK")</f>
        <v>OK</v>
      </c>
      <c r="AH277" s="3" t="str">
        <f aca="false">IF(ABS(AA277-AE277)&gt;1,"Mismatch","OK")</f>
        <v>OK</v>
      </c>
      <c r="AI277" s="6" t="n">
        <f aca="false">IF(B277="","",MONTH(B277))</f>
        <v>2</v>
      </c>
      <c r="AJ277" s="6" t="n">
        <f aca="false">IF(B277="","",YEAR(B277))</f>
        <v>2024</v>
      </c>
      <c r="AK277" s="3" t="str">
        <f aca="false">IF(COUNTIF(raw_data!$A$2:$A$913,A277)&gt;1,"Conflicting Duplicate - Flagged for Review","Unique")</f>
        <v>Unique</v>
      </c>
      <c r="AL277" s="3" t="str">
        <f aca="false">IF(AB277="Refunded","Yes","No")</f>
        <v>No</v>
      </c>
      <c r="AM277" s="3" t="str">
        <f aca="false">IF(OR(AC277&lt;&gt;"Completed",AB277="Failed"),"Excluded","Included")</f>
        <v>Included</v>
      </c>
      <c r="AN277" s="3" t="str">
        <f aca="false">IF(OR(D277="Invalid/Unrecognized",E277="Invalid/Unrecognized",G277="Invalid - Ship Before Order",X277="Negative - Invalid",X277="Above Allowed Range - Invalid",AG277="Mismatch",AH277="Mismatch",AK277="Conflicting Duplicate - Flagged for Review"),"Invalid",IF(OR(L277="Filled - Unknown",S277="Filled - Unknown",X277="Missing - Defaulted to 0",AL277="Yes",AC277="Cancelled",AC277="Returned"),"Warning","Clean"))</f>
        <v>Clean</v>
      </c>
    </row>
    <row r="278" customFormat="false" ht="15" hidden="false" customHeight="false" outlineLevel="0" collapsed="false">
      <c r="A278" s="3" t="str">
        <f aca="false">raw_data!A278</f>
        <v>ORD-2024-10277</v>
      </c>
      <c r="B278" s="4" t="n">
        <f aca="false">IFERROR(IF(MID(raw_data!B278,3,1)="/",DATE(VALUE(RIGHT(raw_data!B278,4)),VALUE(LEFT(raw_data!B278,2)),VALUE(MID(raw_data!B278,4,2))),IF(MID(raw_data!B278,3,1)="-",DATE(VALUE(RIGHT(raw_data!B278,4)),VALUE(MID(raw_data!B278,4,2)),VALUE(LEFT(raw_data!B278,2))),IF(MID(raw_data!B278,5,1)="-",DATE(VALUE(LEFT(raw_data!B278,4)),VALUE(MID(raw_data!B278,6,2)),VALUE(RIGHT(raw_data!B278,2))),DATE(VALUE(RIGHT(raw_data!B278,4)),MATCH(MID(raw_data!B278,4,3),{"Jan","Feb","Mar","Apr","May","Jun","Jul","Aug","Sep","Oct","Nov","Dec"},0),VALUE(LEFT(raw_data!B278,2)))))),"")</f>
        <v>45313</v>
      </c>
      <c r="C278" s="4" t="n">
        <f aca="false">IFERROR(IF(MID(raw_data!C278,3,1)="/",DATE(VALUE(RIGHT(raw_data!C278,4)),VALUE(LEFT(raw_data!C278,2)),VALUE(MID(raw_data!C278,4,2))),IF(MID(raw_data!C278,3,1)="-",DATE(VALUE(RIGHT(raw_data!C278,4)),VALUE(MID(raw_data!C278,4,2)),VALUE(LEFT(raw_data!C278,2))),IF(MID(raw_data!C278,5,1)="-",DATE(VALUE(LEFT(raw_data!C278,4)),VALUE(MID(raw_data!C278,6,2)),VALUE(RIGHT(raw_data!C278,2))),DATE(VALUE(RIGHT(raw_data!C278,4)),MATCH(MID(raw_data!C278,4,3),{"Jan","Feb","Mar","Apr","May","Jun","Jul","Aug","Sep","Oct","Nov","Dec"},0),VALUE(LEFT(raw_data!C278,2)))))),"")</f>
        <v>45314</v>
      </c>
      <c r="D278" s="3" t="str">
        <f aca="false">IF(TRIM(raw_data!B278)="","Missing",IF(B278="","Invalid/Unrecognized","Valid"))</f>
        <v>Valid</v>
      </c>
      <c r="E278" s="3" t="str">
        <f aca="false">IF(TRIM(raw_data!C278)="","Missing",IF(C278="","Invalid/Unrecognized","Valid"))</f>
        <v>Valid</v>
      </c>
      <c r="F278" s="5" t="n">
        <f aca="false">IF(OR(B278="",C278=""),"",C278-B278)</f>
        <v>1</v>
      </c>
      <c r="G278" s="3" t="str">
        <f aca="false">IF(F278="","N/A",IF(F278&lt;0,"Invalid - Ship Before Order","OK"))</f>
        <v>OK</v>
      </c>
      <c r="H278" s="3" t="str">
        <f aca="false">raw_data!D278</f>
        <v>CUST-7039</v>
      </c>
      <c r="I278" s="3" t="str">
        <f aca="false">PROPER(TRIM(raw_data!E278))</f>
        <v>Aarav Sharma</v>
      </c>
      <c r="J278" s="3" t="str">
        <f aca="false">PROPER(TRIM(raw_data!F278))</f>
        <v>Small Business</v>
      </c>
      <c r="K278" s="3" t="str">
        <f aca="false">IF(TRIM(raw_data!G278)="","Unknown",PROPER(TRIM(raw_data!G278)))</f>
        <v>Unknown</v>
      </c>
      <c r="L278" s="3" t="str">
        <f aca="false">IF(TRIM(raw_data!G278)="","Filled - Unknown","OK")</f>
        <v>Filled - Unknown</v>
      </c>
      <c r="M278" s="3" t="str">
        <f aca="false">PROPER(TRIM(raw_data!H278))</f>
        <v>Assam</v>
      </c>
      <c r="N278" s="3" t="str">
        <f aca="false">PROPER(TRIM(raw_data!I278))</f>
        <v>Guwahati</v>
      </c>
      <c r="O278" s="3" t="str">
        <f aca="false">PROPER(TRIM(raw_data!J278))</f>
        <v>Furniture</v>
      </c>
      <c r="P278" s="3" t="str">
        <f aca="false">PROPER(TRIM(raw_data!K278))</f>
        <v>Chairs</v>
      </c>
      <c r="Q278" s="3" t="str">
        <f aca="false">TRIM(raw_data!L278)</f>
        <v>Basic Chairs 141</v>
      </c>
      <c r="R278" s="3" t="str">
        <f aca="false">IF(TRIM(raw_data!M278)="","Unknown",PROPER(TRIM(raw_data!M278)))</f>
        <v>Second Class</v>
      </c>
      <c r="S278" s="3" t="str">
        <f aca="false">IF(TRIM(raw_data!M278)="","Filled - Unknown","OK")</f>
        <v>OK</v>
      </c>
      <c r="T278" s="6" t="n">
        <f aca="false">raw_data!N278</f>
        <v>6</v>
      </c>
      <c r="U278" s="7" t="n">
        <f aca="false">raw_data!O278</f>
        <v>3391.53</v>
      </c>
      <c r="V278" s="8" t="n">
        <f aca="false">raw_data!P278</f>
        <v>-0.14</v>
      </c>
      <c r="W278" s="8" t="n">
        <f aca="false">IF(raw_data!P278="",0,IF(ISTEXT(raw_data!P278),IF(RIGHT(raw_data!P278,1)="%",VALUE(LEFT(raw_data!P278,LEN(raw_data!P278)-1))/100,VALUE(raw_data!P278)),raw_data!P278))</f>
        <v>-0.14</v>
      </c>
      <c r="X278" s="3" t="str">
        <f aca="false">IF(raw_data!P278="","Missing - Defaulted to 0",IF(W278&lt;0,"Negative - Invalid",IF(W278&gt;0.3,"Above Allowed Range - Invalid","Valid")))</f>
        <v>Negative - Invalid</v>
      </c>
      <c r="Y278" s="7" t="n">
        <f aca="false">raw_data!Q278</f>
        <v>15261.89</v>
      </c>
      <c r="Z278" s="7" t="n">
        <f aca="false">raw_data!R278</f>
        <v>8413.53</v>
      </c>
      <c r="AA278" s="7" t="n">
        <f aca="false">raw_data!S278</f>
        <v>6848.36</v>
      </c>
      <c r="AB278" s="3" t="str">
        <f aca="false">PROPER(TRIM(raw_data!T278))</f>
        <v>Paid</v>
      </c>
      <c r="AC278" s="3" t="str">
        <f aca="false">PROPER(TRIM(raw_data!U278))</f>
        <v>Completed</v>
      </c>
      <c r="AD278" s="7" t="n">
        <f aca="false">T278*U278*(1-W278)</f>
        <v>23198.0652</v>
      </c>
      <c r="AE278" s="7" t="n">
        <f aca="false">AD278-Z278</f>
        <v>14784.5352</v>
      </c>
      <c r="AF278" s="8" t="n">
        <f aca="false">IF(AD278=0,0,AE278/AD278)</f>
        <v>0.637317598365919</v>
      </c>
      <c r="AG278" s="3" t="str">
        <f aca="false">IF(ABS(Y278-AD278)&gt;1,"Mismatch","OK")</f>
        <v>Mismatch</v>
      </c>
      <c r="AH278" s="3" t="str">
        <f aca="false">IF(ABS(AA278-AE278)&gt;1,"Mismatch","OK")</f>
        <v>Mismatch</v>
      </c>
      <c r="AI278" s="6" t="n">
        <f aca="false">IF(B278="","",MONTH(B278))</f>
        <v>1</v>
      </c>
      <c r="AJ278" s="6" t="n">
        <f aca="false">IF(B278="","",YEAR(B278))</f>
        <v>2024</v>
      </c>
      <c r="AK278" s="3" t="str">
        <f aca="false">IF(COUNTIF(raw_data!$A$2:$A$913,A278)&gt;1,"Conflicting Duplicate - Flagged for Review","Unique")</f>
        <v>Unique</v>
      </c>
      <c r="AL278" s="3" t="str">
        <f aca="false">IF(AB278="Refunded","Yes","No")</f>
        <v>No</v>
      </c>
      <c r="AM278" s="3" t="str">
        <f aca="false">IF(OR(AC278&lt;&gt;"Completed",AB278="Failed"),"Excluded","Included")</f>
        <v>Included</v>
      </c>
      <c r="AN278" s="3" t="str">
        <f aca="false">IF(OR(D278="Invalid/Unrecognized",E278="Invalid/Unrecognized",G278="Invalid - Ship Before Order",X278="Negative - Invalid",X278="Above Allowed Range - Invalid",AG278="Mismatch",AH278="Mismatch",AK278="Conflicting Duplicate - Flagged for Review"),"Invalid",IF(OR(L278="Filled - Unknown",S278="Filled - Unknown",X278="Missing - Defaulted to 0",AL278="Yes",AC278="Cancelled",AC278="Returned"),"Warning","Clean"))</f>
        <v>Invalid</v>
      </c>
    </row>
    <row r="279" customFormat="false" ht="15" hidden="false" customHeight="false" outlineLevel="0" collapsed="false">
      <c r="A279" s="3" t="str">
        <f aca="false">raw_data!A279</f>
        <v>ORD-2025-10278</v>
      </c>
      <c r="B279" s="4" t="n">
        <f aca="false">IFERROR(IF(MID(raw_data!B279,3,1)="/",DATE(VALUE(RIGHT(raw_data!B279,4)),VALUE(LEFT(raw_data!B279,2)),VALUE(MID(raw_data!B279,4,2))),IF(MID(raw_data!B279,3,1)="-",DATE(VALUE(RIGHT(raw_data!B279,4)),VALUE(MID(raw_data!B279,4,2)),VALUE(LEFT(raw_data!B279,2))),IF(MID(raw_data!B279,5,1)="-",DATE(VALUE(LEFT(raw_data!B279,4)),VALUE(MID(raw_data!B279,6,2)),VALUE(RIGHT(raw_data!B279,2))),DATE(VALUE(RIGHT(raw_data!B279,4)),MATCH(MID(raw_data!B279,4,3),{"Jan","Feb","Mar","Apr","May","Jun","Jul","Aug","Sep","Oct","Nov","Dec"},0),VALUE(LEFT(raw_data!B279,2)))))),"")</f>
        <v>45812</v>
      </c>
      <c r="C279" s="4" t="n">
        <f aca="false">IFERROR(IF(MID(raw_data!C279,3,1)="/",DATE(VALUE(RIGHT(raw_data!C279,4)),VALUE(LEFT(raw_data!C279,2)),VALUE(MID(raw_data!C279,4,2))),IF(MID(raw_data!C279,3,1)="-",DATE(VALUE(RIGHT(raw_data!C279,4)),VALUE(MID(raw_data!C279,4,2)),VALUE(LEFT(raw_data!C279,2))),IF(MID(raw_data!C279,5,1)="-",DATE(VALUE(LEFT(raw_data!C279,4)),VALUE(MID(raw_data!C279,6,2)),VALUE(RIGHT(raw_data!C279,2))),DATE(VALUE(RIGHT(raw_data!C279,4)),MATCH(MID(raw_data!C279,4,3),{"Jan","Feb","Mar","Apr","May","Jun","Jul","Aug","Sep","Oct","Nov","Dec"},0),VALUE(LEFT(raw_data!C279,2)))))),"")</f>
        <v>45812</v>
      </c>
      <c r="D279" s="3" t="str">
        <f aca="false">IF(TRIM(raw_data!B279)="","Missing",IF(B279="","Invalid/Unrecognized","Valid"))</f>
        <v>Valid</v>
      </c>
      <c r="E279" s="3" t="str">
        <f aca="false">IF(TRIM(raw_data!C279)="","Missing",IF(C279="","Invalid/Unrecognized","Valid"))</f>
        <v>Valid</v>
      </c>
      <c r="F279" s="5" t="n">
        <f aca="false">IF(OR(B279="",C279=""),"",C279-B279)</f>
        <v>0</v>
      </c>
      <c r="G279" s="3" t="str">
        <f aca="false">IF(F279="","N/A",IF(F279&lt;0,"Invalid - Ship Before Order","OK"))</f>
        <v>OK</v>
      </c>
      <c r="H279" s="3" t="str">
        <f aca="false">raw_data!D279</f>
        <v>CUST-2819</v>
      </c>
      <c r="I279" s="3" t="str">
        <f aca="false">PROPER(TRIM(raw_data!E279))</f>
        <v>Isha Nair</v>
      </c>
      <c r="J279" s="3" t="str">
        <f aca="false">PROPER(TRIM(raw_data!F279))</f>
        <v>Corporate</v>
      </c>
      <c r="K279" s="3" t="str">
        <f aca="false">IF(TRIM(raw_data!G279)="","Unknown",PROPER(TRIM(raw_data!G279)))</f>
        <v>North</v>
      </c>
      <c r="L279" s="3" t="str">
        <f aca="false">IF(TRIM(raw_data!G279)="","Filled - Unknown","OK")</f>
        <v>OK</v>
      </c>
      <c r="M279" s="3" t="str">
        <f aca="false">PROPER(TRIM(raw_data!H279))</f>
        <v>Haryana</v>
      </c>
      <c r="N279" s="3" t="str">
        <f aca="false">PROPER(TRIM(raw_data!I279))</f>
        <v>Gurugram</v>
      </c>
      <c r="O279" s="3" t="str">
        <f aca="false">PROPER(TRIM(raw_data!J279))</f>
        <v>Technology</v>
      </c>
      <c r="P279" s="3" t="str">
        <f aca="false">PROPER(TRIM(raw_data!K279))</f>
        <v>Accessories</v>
      </c>
      <c r="Q279" s="3" t="str">
        <f aca="false">TRIM(raw_data!L279)</f>
        <v>Elite Accessories 291</v>
      </c>
      <c r="R279" s="3" t="str">
        <f aca="false">IF(TRIM(raw_data!M279)="","Unknown",PROPER(TRIM(raw_data!M279)))</f>
        <v>Second Class</v>
      </c>
      <c r="S279" s="3" t="str">
        <f aca="false">IF(TRIM(raw_data!M279)="","Filled - Unknown","OK")</f>
        <v>OK</v>
      </c>
      <c r="T279" s="6" t="n">
        <f aca="false">raw_data!N279</f>
        <v>1</v>
      </c>
      <c r="U279" s="7" t="n">
        <f aca="false">raw_data!O279</f>
        <v>2133.73</v>
      </c>
      <c r="V279" s="8" t="n">
        <f aca="false">raw_data!P279</f>
        <v>0.15</v>
      </c>
      <c r="W279" s="8" t="n">
        <f aca="false">IF(raw_data!P279="",0,IF(ISTEXT(raw_data!P279),IF(RIGHT(raw_data!P279,1)="%",VALUE(LEFT(raw_data!P279,LEN(raw_data!P279)-1))/100,VALUE(raw_data!P279)),raw_data!P279))</f>
        <v>0.15</v>
      </c>
      <c r="X279" s="3" t="str">
        <f aca="false">IF(raw_data!P279="","Missing - Defaulted to 0",IF(W279&lt;0,"Negative - Invalid",IF(W279&gt;0.3,"Above Allowed Range - Invalid","Valid")))</f>
        <v>Valid</v>
      </c>
      <c r="Y279" s="7" t="n">
        <f aca="false">raw_data!Q279</f>
        <v>2008.39</v>
      </c>
      <c r="Z279" s="7" t="n">
        <f aca="false">raw_data!R279</f>
        <v>1002.57</v>
      </c>
      <c r="AA279" s="7" t="n">
        <f aca="false">raw_data!S279</f>
        <v>811.1</v>
      </c>
      <c r="AB279" s="3" t="str">
        <f aca="false">PROPER(TRIM(raw_data!T279))</f>
        <v>Pending</v>
      </c>
      <c r="AC279" s="3" t="str">
        <f aca="false">PROPER(TRIM(raw_data!U279))</f>
        <v>Cancelled</v>
      </c>
      <c r="AD279" s="7" t="n">
        <f aca="false">T279*U279*(1-W279)</f>
        <v>1813.6705</v>
      </c>
      <c r="AE279" s="7" t="n">
        <f aca="false">AD279-Z279</f>
        <v>811.1005</v>
      </c>
      <c r="AF279" s="8" t="n">
        <f aca="false">IF(AD279=0,0,AE279/AD279)</f>
        <v>0.447214915829529</v>
      </c>
      <c r="AG279" s="3" t="str">
        <f aca="false">IF(ABS(Y279-AD279)&gt;1,"Mismatch","OK")</f>
        <v>Mismatch</v>
      </c>
      <c r="AH279" s="3" t="str">
        <f aca="false">IF(ABS(AA279-AE279)&gt;1,"Mismatch","OK")</f>
        <v>OK</v>
      </c>
      <c r="AI279" s="6" t="n">
        <f aca="false">IF(B279="","",MONTH(B279))</f>
        <v>6</v>
      </c>
      <c r="AJ279" s="6" t="n">
        <f aca="false">IF(B279="","",YEAR(B279))</f>
        <v>2025</v>
      </c>
      <c r="AK279" s="3" t="str">
        <f aca="false">IF(COUNTIF(raw_data!$A$2:$A$913,A279)&gt;1,"Conflicting Duplicate - Flagged for Review","Unique")</f>
        <v>Unique</v>
      </c>
      <c r="AL279" s="3" t="str">
        <f aca="false">IF(AB279="Refunded","Yes","No")</f>
        <v>No</v>
      </c>
      <c r="AM279" s="3" t="str">
        <f aca="false">IF(OR(AC279&lt;&gt;"Completed",AB279="Failed"),"Excluded","Included")</f>
        <v>Excluded</v>
      </c>
      <c r="AN279" s="3" t="str">
        <f aca="false">IF(OR(D279="Invalid/Unrecognized",E279="Invalid/Unrecognized",G279="Invalid - Ship Before Order",X279="Negative - Invalid",X279="Above Allowed Range - Invalid",AG279="Mismatch",AH279="Mismatch",AK279="Conflicting Duplicate - Flagged for Review"),"Invalid",IF(OR(L279="Filled - Unknown",S279="Filled - Unknown",X279="Missing - Defaulted to 0",AL279="Yes",AC279="Cancelled",AC279="Returned"),"Warning","Clean"))</f>
        <v>Invalid</v>
      </c>
    </row>
    <row r="280" customFormat="false" ht="15" hidden="false" customHeight="false" outlineLevel="0" collapsed="false">
      <c r="A280" s="3" t="str">
        <f aca="false">raw_data!A280</f>
        <v>ORD-2025-10279</v>
      </c>
      <c r="B280" s="4" t="n">
        <f aca="false">IFERROR(IF(MID(raw_data!B280,3,1)="/",DATE(VALUE(RIGHT(raw_data!B280,4)),VALUE(LEFT(raw_data!B280,2)),VALUE(MID(raw_data!B280,4,2))),IF(MID(raw_data!B280,3,1)="-",DATE(VALUE(RIGHT(raw_data!B280,4)),VALUE(MID(raw_data!B280,4,2)),VALUE(LEFT(raw_data!B280,2))),IF(MID(raw_data!B280,5,1)="-",DATE(VALUE(LEFT(raw_data!B280,4)),VALUE(MID(raw_data!B280,6,2)),VALUE(RIGHT(raw_data!B280,2))),DATE(VALUE(RIGHT(raw_data!B280,4)),MATCH(MID(raw_data!B280,4,3),{"Jan","Feb","Mar","Apr","May","Jun","Jul","Aug","Sep","Oct","Nov","Dec"},0),VALUE(LEFT(raw_data!B280,2)))))),"")</f>
        <v>45723</v>
      </c>
      <c r="C280" s="4" t="n">
        <f aca="false">IFERROR(IF(MID(raw_data!C280,3,1)="/",DATE(VALUE(RIGHT(raw_data!C280,4)),VALUE(LEFT(raw_data!C280,2)),VALUE(MID(raw_data!C280,4,2))),IF(MID(raw_data!C280,3,1)="-",DATE(VALUE(RIGHT(raw_data!C280,4)),VALUE(MID(raw_data!C280,4,2)),VALUE(LEFT(raw_data!C280,2))),IF(MID(raw_data!C280,5,1)="-",DATE(VALUE(LEFT(raw_data!C280,4)),VALUE(MID(raw_data!C280,6,2)),VALUE(RIGHT(raw_data!C280,2))),DATE(VALUE(RIGHT(raw_data!C280,4)),MATCH(MID(raw_data!C280,4,3),{"Jan","Feb","Mar","Apr","May","Jun","Jul","Aug","Sep","Oct","Nov","Dec"},0),VALUE(LEFT(raw_data!C280,2)))))),"")</f>
        <v>45730</v>
      </c>
      <c r="D280" s="3" t="str">
        <f aca="false">IF(TRIM(raw_data!B280)="","Missing",IF(B280="","Invalid/Unrecognized","Valid"))</f>
        <v>Valid</v>
      </c>
      <c r="E280" s="3" t="str">
        <f aca="false">IF(TRIM(raw_data!C280)="","Missing",IF(C280="","Invalid/Unrecognized","Valid"))</f>
        <v>Valid</v>
      </c>
      <c r="F280" s="5" t="n">
        <f aca="false">IF(OR(B280="",C280=""),"",C280-B280)</f>
        <v>7</v>
      </c>
      <c r="G280" s="3" t="str">
        <f aca="false">IF(F280="","N/A",IF(F280&lt;0,"Invalid - Ship Before Order","OK"))</f>
        <v>OK</v>
      </c>
      <c r="H280" s="3" t="str">
        <f aca="false">raw_data!D280</f>
        <v>CUST-8242</v>
      </c>
      <c r="I280" s="3" t="str">
        <f aca="false">PROPER(TRIM(raw_data!E280))</f>
        <v>Priya Menon</v>
      </c>
      <c r="J280" s="3" t="str">
        <f aca="false">PROPER(TRIM(raw_data!F280))</f>
        <v>Small Business</v>
      </c>
      <c r="K280" s="3" t="str">
        <f aca="false">IF(TRIM(raw_data!G280)="","Unknown",PROPER(TRIM(raw_data!G280)))</f>
        <v>North</v>
      </c>
      <c r="L280" s="3" t="str">
        <f aca="false">IF(TRIM(raw_data!G280)="","Filled - Unknown","OK")</f>
        <v>OK</v>
      </c>
      <c r="M280" s="3" t="str">
        <f aca="false">PROPER(TRIM(raw_data!H280))</f>
        <v>Delhi</v>
      </c>
      <c r="N280" s="3" t="str">
        <f aca="false">PROPER(TRIM(raw_data!I280))</f>
        <v>New Delhi</v>
      </c>
      <c r="O280" s="3" t="str">
        <f aca="false">PROPER(TRIM(raw_data!J280))</f>
        <v>Technology</v>
      </c>
      <c r="P280" s="3" t="str">
        <f aca="false">PROPER(TRIM(raw_data!K280))</f>
        <v>Accessories</v>
      </c>
      <c r="Q280" s="3" t="str">
        <f aca="false">TRIM(raw_data!L280)</f>
        <v>Pro Accessories 207</v>
      </c>
      <c r="R280" s="3" t="str">
        <f aca="false">IF(TRIM(raw_data!M280)="","Unknown",PROPER(TRIM(raw_data!M280)))</f>
        <v>Same Day</v>
      </c>
      <c r="S280" s="3" t="str">
        <f aca="false">IF(TRIM(raw_data!M280)="","Filled - Unknown","OK")</f>
        <v>OK</v>
      </c>
      <c r="T280" s="6" t="n">
        <f aca="false">raw_data!N280</f>
        <v>1</v>
      </c>
      <c r="U280" s="7" t="n">
        <f aca="false">raw_data!O280</f>
        <v>3979.64</v>
      </c>
      <c r="V280" s="8" t="n">
        <f aca="false">raw_data!P280</f>
        <v>0.05</v>
      </c>
      <c r="W280" s="8" t="n">
        <f aca="false">IF(raw_data!P280="",0,IF(ISTEXT(raw_data!P280),IF(RIGHT(raw_data!P280,1)="%",VALUE(LEFT(raw_data!P280,LEN(raw_data!P280)-1))/100,VALUE(raw_data!P280)),raw_data!P280))</f>
        <v>0.05</v>
      </c>
      <c r="X280" s="3" t="str">
        <f aca="false">IF(raw_data!P280="","Missing - Defaulted to 0",IF(W280&lt;0,"Negative - Invalid",IF(W280&gt;0.3,"Above Allowed Range - Invalid","Valid")))</f>
        <v>Valid</v>
      </c>
      <c r="Y280" s="7" t="n">
        <f aca="false">raw_data!Q280</f>
        <v>3780.66</v>
      </c>
      <c r="Z280" s="7" t="n">
        <f aca="false">raw_data!R280</f>
        <v>2148.31</v>
      </c>
      <c r="AA280" s="7" t="n">
        <f aca="false">raw_data!S280</f>
        <v>1632.35</v>
      </c>
      <c r="AB280" s="3" t="str">
        <f aca="false">PROPER(TRIM(raw_data!T280))</f>
        <v>Paid</v>
      </c>
      <c r="AC280" s="3" t="str">
        <f aca="false">PROPER(TRIM(raw_data!U280))</f>
        <v>Returned</v>
      </c>
      <c r="AD280" s="7" t="n">
        <f aca="false">T280*U280*(1-W280)</f>
        <v>3780.658</v>
      </c>
      <c r="AE280" s="7" t="n">
        <f aca="false">AD280-Z280</f>
        <v>1632.348</v>
      </c>
      <c r="AF280" s="8" t="n">
        <f aca="false">IF(AD280=0,0,AE280/AD280)</f>
        <v>0.431762936504704</v>
      </c>
      <c r="AG280" s="3" t="str">
        <f aca="false">IF(ABS(Y280-AD280)&gt;1,"Mismatch","OK")</f>
        <v>OK</v>
      </c>
      <c r="AH280" s="3" t="str">
        <f aca="false">IF(ABS(AA280-AE280)&gt;1,"Mismatch","OK")</f>
        <v>OK</v>
      </c>
      <c r="AI280" s="6" t="n">
        <f aca="false">IF(B280="","",MONTH(B280))</f>
        <v>3</v>
      </c>
      <c r="AJ280" s="6" t="n">
        <f aca="false">IF(B280="","",YEAR(B280))</f>
        <v>2025</v>
      </c>
      <c r="AK280" s="3" t="str">
        <f aca="false">IF(COUNTIF(raw_data!$A$2:$A$913,A280)&gt;1,"Conflicting Duplicate - Flagged for Review","Unique")</f>
        <v>Unique</v>
      </c>
      <c r="AL280" s="3" t="str">
        <f aca="false">IF(AB280="Refunded","Yes","No")</f>
        <v>No</v>
      </c>
      <c r="AM280" s="3" t="str">
        <f aca="false">IF(OR(AC280&lt;&gt;"Completed",AB280="Failed"),"Excluded","Included")</f>
        <v>Excluded</v>
      </c>
      <c r="AN280" s="3" t="str">
        <f aca="false">IF(OR(D280="Invalid/Unrecognized",E280="Invalid/Unrecognized",G280="Invalid - Ship Before Order",X280="Negative - Invalid",X280="Above Allowed Range - Invalid",AG280="Mismatch",AH280="Mismatch",AK280="Conflicting Duplicate - Flagged for Review"),"Invalid",IF(OR(L280="Filled - Unknown",S280="Filled - Unknown",X280="Missing - Defaulted to 0",AL280="Yes",AC280="Cancelled",AC280="Returned"),"Warning","Clean"))</f>
        <v>Warning</v>
      </c>
    </row>
    <row r="281" customFormat="false" ht="15" hidden="false" customHeight="false" outlineLevel="0" collapsed="false">
      <c r="A281" s="3" t="str">
        <f aca="false">raw_data!A281</f>
        <v>ORD-2024-10280</v>
      </c>
      <c r="B281" s="4" t="n">
        <f aca="false">IFERROR(IF(MID(raw_data!B281,3,1)="/",DATE(VALUE(RIGHT(raw_data!B281,4)),VALUE(LEFT(raw_data!B281,2)),VALUE(MID(raw_data!B281,4,2))),IF(MID(raw_data!B281,3,1)="-",DATE(VALUE(RIGHT(raw_data!B281,4)),VALUE(MID(raw_data!B281,4,2)),VALUE(LEFT(raw_data!B281,2))),IF(MID(raw_data!B281,5,1)="-",DATE(VALUE(LEFT(raw_data!B281,4)),VALUE(MID(raw_data!B281,6,2)),VALUE(RIGHT(raw_data!B281,2))),DATE(VALUE(RIGHT(raw_data!B281,4)),MATCH(MID(raw_data!B281,4,3),{"Jan","Feb","Mar","Apr","May","Jun","Jul","Aug","Sep","Oct","Nov","Dec"},0),VALUE(LEFT(raw_data!B281,2)))))),"")</f>
        <v>45391</v>
      </c>
      <c r="C281" s="4" t="n">
        <f aca="false">IFERROR(IF(MID(raw_data!C281,3,1)="/",DATE(VALUE(RIGHT(raw_data!C281,4)),VALUE(LEFT(raw_data!C281,2)),VALUE(MID(raw_data!C281,4,2))),IF(MID(raw_data!C281,3,1)="-",DATE(VALUE(RIGHT(raw_data!C281,4)),VALUE(MID(raw_data!C281,4,2)),VALUE(LEFT(raw_data!C281,2))),IF(MID(raw_data!C281,5,1)="-",DATE(VALUE(LEFT(raw_data!C281,4)),VALUE(MID(raw_data!C281,6,2)),VALUE(RIGHT(raw_data!C281,2))),DATE(VALUE(RIGHT(raw_data!C281,4)),MATCH(MID(raw_data!C281,4,3),{"Jan","Feb","Mar","Apr","May","Jun","Jul","Aug","Sep","Oct","Nov","Dec"},0),VALUE(LEFT(raw_data!C281,2)))))),"")</f>
        <v>45392</v>
      </c>
      <c r="D281" s="3" t="str">
        <f aca="false">IF(TRIM(raw_data!B281)="","Missing",IF(B281="","Invalid/Unrecognized","Valid"))</f>
        <v>Valid</v>
      </c>
      <c r="E281" s="3" t="str">
        <f aca="false">IF(TRIM(raw_data!C281)="","Missing",IF(C281="","Invalid/Unrecognized","Valid"))</f>
        <v>Valid</v>
      </c>
      <c r="F281" s="5" t="n">
        <f aca="false">IF(OR(B281="",C281=""),"",C281-B281)</f>
        <v>1</v>
      </c>
      <c r="G281" s="3" t="str">
        <f aca="false">IF(F281="","N/A",IF(F281&lt;0,"Invalid - Ship Before Order","OK"))</f>
        <v>OK</v>
      </c>
      <c r="H281" s="3" t="str">
        <f aca="false">raw_data!D281</f>
        <v>CUST-4571</v>
      </c>
      <c r="I281" s="3" t="str">
        <f aca="false">PROPER(TRIM(raw_data!E281))</f>
        <v>Rohan Mehta</v>
      </c>
      <c r="J281" s="3" t="str">
        <f aca="false">PROPER(TRIM(raw_data!F281))</f>
        <v>Small Business</v>
      </c>
      <c r="K281" s="3" t="str">
        <f aca="false">IF(TRIM(raw_data!G281)="","Unknown",PROPER(TRIM(raw_data!G281)))</f>
        <v>West</v>
      </c>
      <c r="L281" s="3" t="str">
        <f aca="false">IF(TRIM(raw_data!G281)="","Filled - Unknown","OK")</f>
        <v>OK</v>
      </c>
      <c r="M281" s="3" t="str">
        <f aca="false">PROPER(TRIM(raw_data!H281))</f>
        <v>Maharashtra</v>
      </c>
      <c r="N281" s="3" t="str">
        <f aca="false">PROPER(TRIM(raw_data!I281))</f>
        <v>Mumbai</v>
      </c>
      <c r="O281" s="3" t="str">
        <f aca="false">PROPER(TRIM(raw_data!J281))</f>
        <v>Office Supplies</v>
      </c>
      <c r="P281" s="3" t="str">
        <f aca="false">PROPER(TRIM(raw_data!K281))</f>
        <v>Storage</v>
      </c>
      <c r="Q281" s="3" t="str">
        <f aca="false">TRIM(raw_data!L281)</f>
        <v>Max Storage 564</v>
      </c>
      <c r="R281" s="3" t="str">
        <f aca="false">IF(TRIM(raw_data!M281)="","Unknown",PROPER(TRIM(raw_data!M281)))</f>
        <v>First Class</v>
      </c>
      <c r="S281" s="3" t="str">
        <f aca="false">IF(TRIM(raw_data!M281)="","Filled - Unknown","OK")</f>
        <v>OK</v>
      </c>
      <c r="T281" s="6" t="n">
        <f aca="false">raw_data!N281</f>
        <v>1</v>
      </c>
      <c r="U281" s="7" t="n">
        <f aca="false">raw_data!O281</f>
        <v>4359.12</v>
      </c>
      <c r="V281" s="8" t="n">
        <f aca="false">raw_data!P281</f>
        <v>0.05</v>
      </c>
      <c r="W281" s="8" t="n">
        <f aca="false">IF(raw_data!P281="",0,IF(ISTEXT(raw_data!P281),IF(RIGHT(raw_data!P281,1)="%",VALUE(LEFT(raw_data!P281,LEN(raw_data!P281)-1))/100,VALUE(raw_data!P281)),raw_data!P281))</f>
        <v>0.05</v>
      </c>
      <c r="X281" s="3" t="str">
        <f aca="false">IF(raw_data!P281="","Missing - Defaulted to 0",IF(W281&lt;0,"Negative - Invalid",IF(W281&gt;0.3,"Above Allowed Range - Invalid","Valid")))</f>
        <v>Valid</v>
      </c>
      <c r="Y281" s="7" t="n">
        <f aca="false">raw_data!Q281</f>
        <v>4141.16</v>
      </c>
      <c r="Z281" s="7" t="n">
        <f aca="false">raw_data!R281</f>
        <v>2754.17</v>
      </c>
      <c r="AA281" s="7" t="n">
        <f aca="false">raw_data!S281</f>
        <v>1386.99</v>
      </c>
      <c r="AB281" s="3" t="str">
        <f aca="false">PROPER(TRIM(raw_data!T281))</f>
        <v>Paid</v>
      </c>
      <c r="AC281" s="3" t="str">
        <f aca="false">PROPER(TRIM(raw_data!U281))</f>
        <v>Completed</v>
      </c>
      <c r="AD281" s="7" t="n">
        <f aca="false">T281*U281*(1-W281)</f>
        <v>4141.164</v>
      </c>
      <c r="AE281" s="7" t="n">
        <f aca="false">AD281-Z281</f>
        <v>1386.994</v>
      </c>
      <c r="AF281" s="8" t="n">
        <f aca="false">IF(AD281=0,0,AE281/AD281)</f>
        <v>0.334928537000708</v>
      </c>
      <c r="AG281" s="3" t="str">
        <f aca="false">IF(ABS(Y281-AD281)&gt;1,"Mismatch","OK")</f>
        <v>OK</v>
      </c>
      <c r="AH281" s="3" t="str">
        <f aca="false">IF(ABS(AA281-AE281)&gt;1,"Mismatch","OK")</f>
        <v>OK</v>
      </c>
      <c r="AI281" s="6" t="n">
        <f aca="false">IF(B281="","",MONTH(B281))</f>
        <v>4</v>
      </c>
      <c r="AJ281" s="6" t="n">
        <f aca="false">IF(B281="","",YEAR(B281))</f>
        <v>2024</v>
      </c>
      <c r="AK281" s="3" t="str">
        <f aca="false">IF(COUNTIF(raw_data!$A$2:$A$913,A281)&gt;1,"Conflicting Duplicate - Flagged for Review","Unique")</f>
        <v>Unique</v>
      </c>
      <c r="AL281" s="3" t="str">
        <f aca="false">IF(AB281="Refunded","Yes","No")</f>
        <v>No</v>
      </c>
      <c r="AM281" s="3" t="str">
        <f aca="false">IF(OR(AC281&lt;&gt;"Completed",AB281="Failed"),"Excluded","Included")</f>
        <v>Included</v>
      </c>
      <c r="AN281" s="3" t="str">
        <f aca="false">IF(OR(D281="Invalid/Unrecognized",E281="Invalid/Unrecognized",G281="Invalid - Ship Before Order",X281="Negative - Invalid",X281="Above Allowed Range - Invalid",AG281="Mismatch",AH281="Mismatch",AK281="Conflicting Duplicate - Flagged for Review"),"Invalid",IF(OR(L281="Filled - Unknown",S281="Filled - Unknown",X281="Missing - Defaulted to 0",AL281="Yes",AC281="Cancelled",AC281="Returned"),"Warning","Clean"))</f>
        <v>Clean</v>
      </c>
    </row>
    <row r="282" customFormat="false" ht="15" hidden="false" customHeight="false" outlineLevel="0" collapsed="false">
      <c r="A282" s="3" t="str">
        <f aca="false">raw_data!A282</f>
        <v>ORD-2024-10281</v>
      </c>
      <c r="B282" s="4" t="n">
        <f aca="false">IFERROR(IF(MID(raw_data!B282,3,1)="/",DATE(VALUE(RIGHT(raw_data!B282,4)),VALUE(LEFT(raw_data!B282,2)),VALUE(MID(raw_data!B282,4,2))),IF(MID(raw_data!B282,3,1)="-",DATE(VALUE(RIGHT(raw_data!B282,4)),VALUE(MID(raw_data!B282,4,2)),VALUE(LEFT(raw_data!B282,2))),IF(MID(raw_data!B282,5,1)="-",DATE(VALUE(LEFT(raw_data!B282,4)),VALUE(MID(raw_data!B282,6,2)),VALUE(RIGHT(raw_data!B282,2))),DATE(VALUE(RIGHT(raw_data!B282,4)),MATCH(MID(raw_data!B282,4,3),{"Jan","Feb","Mar","Apr","May","Jun","Jul","Aug","Sep","Oct","Nov","Dec"},0),VALUE(LEFT(raw_data!B282,2)))))),"")</f>
        <v>45649</v>
      </c>
      <c r="C282" s="4" t="n">
        <f aca="false">IFERROR(IF(MID(raw_data!C282,3,1)="/",DATE(VALUE(RIGHT(raw_data!C282,4)),VALUE(LEFT(raw_data!C282,2)),VALUE(MID(raw_data!C282,4,2))),IF(MID(raw_data!C282,3,1)="-",DATE(VALUE(RIGHT(raw_data!C282,4)),VALUE(MID(raw_data!C282,4,2)),VALUE(LEFT(raw_data!C282,2))),IF(MID(raw_data!C282,5,1)="-",DATE(VALUE(LEFT(raw_data!C282,4)),VALUE(MID(raw_data!C282,6,2)),VALUE(RIGHT(raw_data!C282,2))),DATE(VALUE(RIGHT(raw_data!C282,4)),MATCH(MID(raw_data!C282,4,3),{"Jan","Feb","Mar","Apr","May","Jun","Jul","Aug","Sep","Oct","Nov","Dec"},0),VALUE(LEFT(raw_data!C282,2)))))),"")</f>
        <v>45652</v>
      </c>
      <c r="D282" s="3" t="str">
        <f aca="false">IF(TRIM(raw_data!B282)="","Missing",IF(B282="","Invalid/Unrecognized","Valid"))</f>
        <v>Valid</v>
      </c>
      <c r="E282" s="3" t="str">
        <f aca="false">IF(TRIM(raw_data!C282)="","Missing",IF(C282="","Invalid/Unrecognized","Valid"))</f>
        <v>Valid</v>
      </c>
      <c r="F282" s="5" t="n">
        <f aca="false">IF(OR(B282="",C282=""),"",C282-B282)</f>
        <v>3</v>
      </c>
      <c r="G282" s="3" t="str">
        <f aca="false">IF(F282="","N/A",IF(F282&lt;0,"Invalid - Ship Before Order","OK"))</f>
        <v>OK</v>
      </c>
      <c r="H282" s="3" t="str">
        <f aca="false">raw_data!D282</f>
        <v>CUST-4098</v>
      </c>
      <c r="I282" s="3" t="str">
        <f aca="false">PROPER(TRIM(raw_data!E282))</f>
        <v>Aditi Sen</v>
      </c>
      <c r="J282" s="3" t="str">
        <f aca="false">PROPER(TRIM(raw_data!F282))</f>
        <v>Consumer</v>
      </c>
      <c r="K282" s="3" t="str">
        <f aca="false">IF(TRIM(raw_data!G282)="","Unknown",PROPER(TRIM(raw_data!G282)))</f>
        <v>South</v>
      </c>
      <c r="L282" s="3" t="str">
        <f aca="false">IF(TRIM(raw_data!G282)="","Filled - Unknown","OK")</f>
        <v>OK</v>
      </c>
      <c r="M282" s="3" t="str">
        <f aca="false">PROPER(TRIM(raw_data!H282))</f>
        <v>Karnataka</v>
      </c>
      <c r="N282" s="3" t="str">
        <f aca="false">PROPER(TRIM(raw_data!I282))</f>
        <v>Bengaluru</v>
      </c>
      <c r="O282" s="3" t="str">
        <f aca="false">PROPER(TRIM(raw_data!J282))</f>
        <v>Technology</v>
      </c>
      <c r="P282" s="3" t="str">
        <f aca="false">PROPER(TRIM(raw_data!K282))</f>
        <v>Copiers</v>
      </c>
      <c r="Q282" s="3" t="str">
        <f aca="false">TRIM(raw_data!L282)</f>
        <v>Prime Copiers 961</v>
      </c>
      <c r="R282" s="3" t="str">
        <f aca="false">IF(TRIM(raw_data!M282)="","Unknown",PROPER(TRIM(raw_data!M282)))</f>
        <v>Standard Class</v>
      </c>
      <c r="S282" s="3" t="str">
        <f aca="false">IF(TRIM(raw_data!M282)="","Filled - Unknown","OK")</f>
        <v>OK</v>
      </c>
      <c r="T282" s="6" t="n">
        <f aca="false">raw_data!N282</f>
        <v>9</v>
      </c>
      <c r="U282" s="7" t="n">
        <f aca="false">raw_data!O282</f>
        <v>993.67</v>
      </c>
      <c r="V282" s="8" t="n">
        <f aca="false">raw_data!P282</f>
        <v>0</v>
      </c>
      <c r="W282" s="8" t="n">
        <f aca="false">IF(raw_data!P282="",0,IF(ISTEXT(raw_data!P282),IF(RIGHT(raw_data!P282,1)="%",VALUE(LEFT(raw_data!P282,LEN(raw_data!P282)-1))/100,VALUE(raw_data!P282)),raw_data!P282))</f>
        <v>0</v>
      </c>
      <c r="X282" s="3" t="str">
        <f aca="false">IF(raw_data!P282="","Missing - Defaulted to 0",IF(W282&lt;0,"Negative - Invalid",IF(W282&gt;0.3,"Above Allowed Range - Invalid","Valid")))</f>
        <v>Valid</v>
      </c>
      <c r="Y282" s="7" t="n">
        <f aca="false">raw_data!Q282</f>
        <v>8943.03</v>
      </c>
      <c r="Z282" s="7" t="n">
        <f aca="false">raw_data!R282</f>
        <v>5165.38</v>
      </c>
      <c r="AA282" s="7" t="n">
        <f aca="false">raw_data!S282</f>
        <v>3777.65</v>
      </c>
      <c r="AB282" s="3" t="str">
        <f aca="false">PROPER(TRIM(raw_data!T282))</f>
        <v>Paid</v>
      </c>
      <c r="AC282" s="3" t="str">
        <f aca="false">PROPER(TRIM(raw_data!U282))</f>
        <v>Completed</v>
      </c>
      <c r="AD282" s="7" t="n">
        <f aca="false">T282*U282*(1-W282)</f>
        <v>8943.03</v>
      </c>
      <c r="AE282" s="7" t="n">
        <f aca="false">AD282-Z282</f>
        <v>3777.65</v>
      </c>
      <c r="AF282" s="8" t="n">
        <f aca="false">IF(AD282=0,0,AE282/AD282)</f>
        <v>0.422412761670262</v>
      </c>
      <c r="AG282" s="3" t="str">
        <f aca="false">IF(ABS(Y282-AD282)&gt;1,"Mismatch","OK")</f>
        <v>OK</v>
      </c>
      <c r="AH282" s="3" t="str">
        <f aca="false">IF(ABS(AA282-AE282)&gt;1,"Mismatch","OK")</f>
        <v>OK</v>
      </c>
      <c r="AI282" s="6" t="n">
        <f aca="false">IF(B282="","",MONTH(B282))</f>
        <v>12</v>
      </c>
      <c r="AJ282" s="6" t="n">
        <f aca="false">IF(B282="","",YEAR(B282))</f>
        <v>2024</v>
      </c>
      <c r="AK282" s="3" t="str">
        <f aca="false">IF(COUNTIF(raw_data!$A$2:$A$913,A282)&gt;1,"Conflicting Duplicate - Flagged for Review","Unique")</f>
        <v>Unique</v>
      </c>
      <c r="AL282" s="3" t="str">
        <f aca="false">IF(AB282="Refunded","Yes","No")</f>
        <v>No</v>
      </c>
      <c r="AM282" s="3" t="str">
        <f aca="false">IF(OR(AC282&lt;&gt;"Completed",AB282="Failed"),"Excluded","Included")</f>
        <v>Included</v>
      </c>
      <c r="AN282" s="3" t="str">
        <f aca="false">IF(OR(D282="Invalid/Unrecognized",E282="Invalid/Unrecognized",G282="Invalid - Ship Before Order",X282="Negative - Invalid",X282="Above Allowed Range - Invalid",AG282="Mismatch",AH282="Mismatch",AK282="Conflicting Duplicate - Flagged for Review"),"Invalid",IF(OR(L282="Filled - Unknown",S282="Filled - Unknown",X282="Missing - Defaulted to 0",AL282="Yes",AC282="Cancelled",AC282="Returned"),"Warning","Clean"))</f>
        <v>Clean</v>
      </c>
    </row>
    <row r="283" customFormat="false" ht="15" hidden="false" customHeight="false" outlineLevel="0" collapsed="false">
      <c r="A283" s="3" t="str">
        <f aca="false">raw_data!A283</f>
        <v>ORD-2025-10282</v>
      </c>
      <c r="B283" s="4" t="n">
        <f aca="false">IFERROR(IF(MID(raw_data!B283,3,1)="/",DATE(VALUE(RIGHT(raw_data!B283,4)),VALUE(LEFT(raw_data!B283,2)),VALUE(MID(raw_data!B283,4,2))),IF(MID(raw_data!B283,3,1)="-",DATE(VALUE(RIGHT(raw_data!B283,4)),VALUE(MID(raw_data!B283,4,2)),VALUE(LEFT(raw_data!B283,2))),IF(MID(raw_data!B283,5,1)="-",DATE(VALUE(LEFT(raw_data!B283,4)),VALUE(MID(raw_data!B283,6,2)),VALUE(RIGHT(raw_data!B283,2))),DATE(VALUE(RIGHT(raw_data!B283,4)),MATCH(MID(raw_data!B283,4,3),{"Jan","Feb","Mar","Apr","May","Jun","Jul","Aug","Sep","Oct","Nov","Dec"},0),VALUE(LEFT(raw_data!B283,2)))))),"")</f>
        <v>45863</v>
      </c>
      <c r="C283" s="4" t="n">
        <f aca="false">IFERROR(IF(MID(raw_data!C283,3,1)="/",DATE(VALUE(RIGHT(raw_data!C283,4)),VALUE(LEFT(raw_data!C283,2)),VALUE(MID(raw_data!C283,4,2))),IF(MID(raw_data!C283,3,1)="-",DATE(VALUE(RIGHT(raw_data!C283,4)),VALUE(MID(raw_data!C283,4,2)),VALUE(LEFT(raw_data!C283,2))),IF(MID(raw_data!C283,5,1)="-",DATE(VALUE(LEFT(raw_data!C283,4)),VALUE(MID(raw_data!C283,6,2)),VALUE(RIGHT(raw_data!C283,2))),DATE(VALUE(RIGHT(raw_data!C283,4)),MATCH(MID(raw_data!C283,4,3),{"Jan","Feb","Mar","Apr","May","Jun","Jul","Aug","Sep","Oct","Nov","Dec"},0),VALUE(LEFT(raw_data!C283,2)))))),"")</f>
        <v>45865</v>
      </c>
      <c r="D283" s="3" t="str">
        <f aca="false">IF(TRIM(raw_data!B283)="","Missing",IF(B283="","Invalid/Unrecognized","Valid"))</f>
        <v>Valid</v>
      </c>
      <c r="E283" s="3" t="str">
        <f aca="false">IF(TRIM(raw_data!C283)="","Missing",IF(C283="","Invalid/Unrecognized","Valid"))</f>
        <v>Valid</v>
      </c>
      <c r="F283" s="5" t="n">
        <f aca="false">IF(OR(B283="",C283=""),"",C283-B283)</f>
        <v>2</v>
      </c>
      <c r="G283" s="3" t="str">
        <f aca="false">IF(F283="","N/A",IF(F283&lt;0,"Invalid - Ship Before Order","OK"))</f>
        <v>OK</v>
      </c>
      <c r="H283" s="3" t="str">
        <f aca="false">raw_data!D283</f>
        <v>CUST-2052</v>
      </c>
      <c r="I283" s="3" t="str">
        <f aca="false">PROPER(TRIM(raw_data!E283))</f>
        <v>Kabir Singh</v>
      </c>
      <c r="J283" s="3" t="str">
        <f aca="false">PROPER(TRIM(raw_data!F283))</f>
        <v>Consumer</v>
      </c>
      <c r="K283" s="3" t="str">
        <f aca="false">IF(TRIM(raw_data!G283)="","Unknown",PROPER(TRIM(raw_data!G283)))</f>
        <v>East</v>
      </c>
      <c r="L283" s="3" t="str">
        <f aca="false">IF(TRIM(raw_data!G283)="","Filled - Unknown","OK")</f>
        <v>OK</v>
      </c>
      <c r="M283" s="3" t="str">
        <f aca="false">PROPER(TRIM(raw_data!H283))</f>
        <v>Jharkhand</v>
      </c>
      <c r="N283" s="3" t="str">
        <f aca="false">PROPER(TRIM(raw_data!I283))</f>
        <v>Ranchi</v>
      </c>
      <c r="O283" s="3" t="str">
        <f aca="false">PROPER(TRIM(raw_data!J283))</f>
        <v>Office Supplies</v>
      </c>
      <c r="P283" s="3" t="str">
        <f aca="false">PROPER(TRIM(raw_data!K283))</f>
        <v>Binders</v>
      </c>
      <c r="Q283" s="3" t="str">
        <f aca="false">TRIM(raw_data!L283)</f>
        <v>Basic Binders 637</v>
      </c>
      <c r="R283" s="3" t="str">
        <f aca="false">IF(TRIM(raw_data!M283)="","Unknown",PROPER(TRIM(raw_data!M283)))</f>
        <v>Second Class</v>
      </c>
      <c r="S283" s="3" t="str">
        <f aca="false">IF(TRIM(raw_data!M283)="","Filled - Unknown","OK")</f>
        <v>OK</v>
      </c>
      <c r="T283" s="6" t="n">
        <f aca="false">raw_data!N283</f>
        <v>6</v>
      </c>
      <c r="U283" s="7" t="n">
        <f aca="false">raw_data!O283</f>
        <v>3438.38</v>
      </c>
      <c r="V283" s="8" t="n">
        <f aca="false">raw_data!P283</f>
        <v>0.2</v>
      </c>
      <c r="W283" s="8" t="n">
        <f aca="false">IF(raw_data!P283="",0,IF(ISTEXT(raw_data!P283),IF(RIGHT(raw_data!P283,1)="%",VALUE(LEFT(raw_data!P283,LEN(raw_data!P283)-1))/100,VALUE(raw_data!P283)),raw_data!P283))</f>
        <v>0.2</v>
      </c>
      <c r="X283" s="3" t="str">
        <f aca="false">IF(raw_data!P283="","Missing - Defaulted to 0",IF(W283&lt;0,"Negative - Invalid",IF(W283&gt;0.3,"Above Allowed Range - Invalid","Valid")))</f>
        <v>Valid</v>
      </c>
      <c r="Y283" s="7" t="n">
        <f aca="false">raw_data!Q283</f>
        <v>16504.22</v>
      </c>
      <c r="Z283" s="7" t="n">
        <f aca="false">raw_data!R283</f>
        <v>11262.71</v>
      </c>
      <c r="AA283" s="7" t="n">
        <f aca="false">raw_data!S283</f>
        <v>5241.51</v>
      </c>
      <c r="AB283" s="3" t="str">
        <f aca="false">PROPER(TRIM(raw_data!T283))</f>
        <v>Paid</v>
      </c>
      <c r="AC283" s="3" t="str">
        <f aca="false">PROPER(TRIM(raw_data!U283))</f>
        <v>Completed</v>
      </c>
      <c r="AD283" s="7" t="n">
        <f aca="false">T283*U283*(1-W283)</f>
        <v>16504.224</v>
      </c>
      <c r="AE283" s="7" t="n">
        <f aca="false">AD283-Z283</f>
        <v>5241.514</v>
      </c>
      <c r="AF283" s="8" t="n">
        <f aca="false">IF(AD283=0,0,AE283/AD283)</f>
        <v>0.317586213080966</v>
      </c>
      <c r="AG283" s="3" t="str">
        <f aca="false">IF(ABS(Y283-AD283)&gt;1,"Mismatch","OK")</f>
        <v>OK</v>
      </c>
      <c r="AH283" s="3" t="str">
        <f aca="false">IF(ABS(AA283-AE283)&gt;1,"Mismatch","OK")</f>
        <v>OK</v>
      </c>
      <c r="AI283" s="6" t="n">
        <f aca="false">IF(B283="","",MONTH(B283))</f>
        <v>7</v>
      </c>
      <c r="AJ283" s="6" t="n">
        <f aca="false">IF(B283="","",YEAR(B283))</f>
        <v>2025</v>
      </c>
      <c r="AK283" s="3" t="str">
        <f aca="false">IF(COUNTIF(raw_data!$A$2:$A$913,A283)&gt;1,"Conflicting Duplicate - Flagged for Review","Unique")</f>
        <v>Unique</v>
      </c>
      <c r="AL283" s="3" t="str">
        <f aca="false">IF(AB283="Refunded","Yes","No")</f>
        <v>No</v>
      </c>
      <c r="AM283" s="3" t="str">
        <f aca="false">IF(OR(AC283&lt;&gt;"Completed",AB283="Failed"),"Excluded","Included")</f>
        <v>Included</v>
      </c>
      <c r="AN283" s="3" t="str">
        <f aca="false">IF(OR(D283="Invalid/Unrecognized",E283="Invalid/Unrecognized",G283="Invalid - Ship Before Order",X283="Negative - Invalid",X283="Above Allowed Range - Invalid",AG283="Mismatch",AH283="Mismatch",AK283="Conflicting Duplicate - Flagged for Review"),"Invalid",IF(OR(L283="Filled - Unknown",S283="Filled - Unknown",X283="Missing - Defaulted to 0",AL283="Yes",AC283="Cancelled",AC283="Returned"),"Warning","Clean"))</f>
        <v>Clean</v>
      </c>
    </row>
    <row r="284" customFormat="false" ht="15" hidden="false" customHeight="false" outlineLevel="0" collapsed="false">
      <c r="A284" s="3" t="str">
        <f aca="false">raw_data!A284</f>
        <v>ORD-2024-10283</v>
      </c>
      <c r="B284" s="4" t="n">
        <f aca="false">IFERROR(IF(MID(raw_data!B284,3,1)="/",DATE(VALUE(RIGHT(raw_data!B284,4)),VALUE(LEFT(raw_data!B284,2)),VALUE(MID(raw_data!B284,4,2))),IF(MID(raw_data!B284,3,1)="-",DATE(VALUE(RIGHT(raw_data!B284,4)),VALUE(MID(raw_data!B284,4,2)),VALUE(LEFT(raw_data!B284,2))),IF(MID(raw_data!B284,5,1)="-",DATE(VALUE(LEFT(raw_data!B284,4)),VALUE(MID(raw_data!B284,6,2)),VALUE(RIGHT(raw_data!B284,2))),DATE(VALUE(RIGHT(raw_data!B284,4)),MATCH(MID(raw_data!B284,4,3),{"Jan","Feb","Mar","Apr","May","Jun","Jul","Aug","Sep","Oct","Nov","Dec"},0),VALUE(LEFT(raw_data!B284,2)))))),"")</f>
        <v>45566</v>
      </c>
      <c r="C284" s="4" t="n">
        <f aca="false">IFERROR(IF(MID(raw_data!C284,3,1)="/",DATE(VALUE(RIGHT(raw_data!C284,4)),VALUE(LEFT(raw_data!C284,2)),VALUE(MID(raw_data!C284,4,2))),IF(MID(raw_data!C284,3,1)="-",DATE(VALUE(RIGHT(raw_data!C284,4)),VALUE(MID(raw_data!C284,4,2)),VALUE(LEFT(raw_data!C284,2))),IF(MID(raw_data!C284,5,1)="-",DATE(VALUE(LEFT(raw_data!C284,4)),VALUE(MID(raw_data!C284,6,2)),VALUE(RIGHT(raw_data!C284,2))),DATE(VALUE(RIGHT(raw_data!C284,4)),MATCH(MID(raw_data!C284,4,3),{"Jan","Feb","Mar","Apr","May","Jun","Jul","Aug","Sep","Oct","Nov","Dec"},0),VALUE(LEFT(raw_data!C284,2)))))),"")</f>
        <v>45567</v>
      </c>
      <c r="D284" s="3" t="str">
        <f aca="false">IF(TRIM(raw_data!B284)="","Missing",IF(B284="","Invalid/Unrecognized","Valid"))</f>
        <v>Valid</v>
      </c>
      <c r="E284" s="3" t="str">
        <f aca="false">IF(TRIM(raw_data!C284)="","Missing",IF(C284="","Invalid/Unrecognized","Valid"))</f>
        <v>Valid</v>
      </c>
      <c r="F284" s="5" t="n">
        <f aca="false">IF(OR(B284="",C284=""),"",C284-B284)</f>
        <v>1</v>
      </c>
      <c r="G284" s="3" t="str">
        <f aca="false">IF(F284="","N/A",IF(F284&lt;0,"Invalid - Ship Before Order","OK"))</f>
        <v>OK</v>
      </c>
      <c r="H284" s="3" t="str">
        <f aca="false">raw_data!D284</f>
        <v>CUST-9445</v>
      </c>
      <c r="I284" s="3" t="str">
        <f aca="false">PROPER(TRIM(raw_data!E284))</f>
        <v>Karan Malhotra</v>
      </c>
      <c r="J284" s="3" t="str">
        <f aca="false">PROPER(TRIM(raw_data!F284))</f>
        <v>Home Office</v>
      </c>
      <c r="K284" s="3" t="str">
        <f aca="false">IF(TRIM(raw_data!G284)="","Unknown",PROPER(TRIM(raw_data!G284)))</f>
        <v>East</v>
      </c>
      <c r="L284" s="3" t="str">
        <f aca="false">IF(TRIM(raw_data!G284)="","Filled - Unknown","OK")</f>
        <v>OK</v>
      </c>
      <c r="M284" s="3" t="str">
        <f aca="false">PROPER(TRIM(raw_data!H284))</f>
        <v>Assam</v>
      </c>
      <c r="N284" s="3" t="str">
        <f aca="false">PROPER(TRIM(raw_data!I284))</f>
        <v>Guwahati</v>
      </c>
      <c r="O284" s="3" t="str">
        <f aca="false">PROPER(TRIM(raw_data!J284))</f>
        <v>Furniture</v>
      </c>
      <c r="P284" s="3" t="str">
        <f aca="false">PROPER(TRIM(raw_data!K284))</f>
        <v>Tables</v>
      </c>
      <c r="Q284" s="3" t="str">
        <f aca="false">TRIM(raw_data!L284)</f>
        <v>Classic Tables 811</v>
      </c>
      <c r="R284" s="3" t="str">
        <f aca="false">IF(TRIM(raw_data!M284)="","Unknown",PROPER(TRIM(raw_data!M284)))</f>
        <v>Second Class</v>
      </c>
      <c r="S284" s="3" t="str">
        <f aca="false">IF(TRIM(raw_data!M284)="","Filled - Unknown","OK")</f>
        <v>OK</v>
      </c>
      <c r="T284" s="6" t="n">
        <f aca="false">raw_data!N284</f>
        <v>2</v>
      </c>
      <c r="U284" s="7" t="n">
        <f aca="false">raw_data!O284</f>
        <v>2298</v>
      </c>
      <c r="V284" s="8" t="n">
        <f aca="false">raw_data!P284</f>
        <v>0</v>
      </c>
      <c r="W284" s="8" t="n">
        <f aca="false">IF(raw_data!P284="",0,IF(ISTEXT(raw_data!P284),IF(RIGHT(raw_data!P284,1)="%",VALUE(LEFT(raw_data!P284,LEN(raw_data!P284)-1))/100,VALUE(raw_data!P284)),raw_data!P284))</f>
        <v>0</v>
      </c>
      <c r="X284" s="3" t="str">
        <f aca="false">IF(raw_data!P284="","Missing - Defaulted to 0",IF(W284&lt;0,"Negative - Invalid",IF(W284&gt;0.3,"Above Allowed Range - Invalid","Valid")))</f>
        <v>Valid</v>
      </c>
      <c r="Y284" s="7" t="n">
        <f aca="false">raw_data!Q284</f>
        <v>4596</v>
      </c>
      <c r="Z284" s="7" t="n">
        <f aca="false">raw_data!R284</f>
        <v>3220.33</v>
      </c>
      <c r="AA284" s="7" t="n">
        <f aca="false">raw_data!S284</f>
        <v>1375.67</v>
      </c>
      <c r="AB284" s="3" t="str">
        <f aca="false">PROPER(TRIM(raw_data!T284))</f>
        <v>Paid</v>
      </c>
      <c r="AC284" s="3" t="str">
        <f aca="false">PROPER(TRIM(raw_data!U284))</f>
        <v>Completed</v>
      </c>
      <c r="AD284" s="7" t="n">
        <f aca="false">T284*U284*(1-W284)</f>
        <v>4596</v>
      </c>
      <c r="AE284" s="7" t="n">
        <f aca="false">AD284-Z284</f>
        <v>1375.67</v>
      </c>
      <c r="AF284" s="8" t="n">
        <f aca="false">IF(AD284=0,0,AE284/AD284)</f>
        <v>0.299318973020017</v>
      </c>
      <c r="AG284" s="3" t="str">
        <f aca="false">IF(ABS(Y284-AD284)&gt;1,"Mismatch","OK")</f>
        <v>OK</v>
      </c>
      <c r="AH284" s="3" t="str">
        <f aca="false">IF(ABS(AA284-AE284)&gt;1,"Mismatch","OK")</f>
        <v>OK</v>
      </c>
      <c r="AI284" s="6" t="n">
        <f aca="false">IF(B284="","",MONTH(B284))</f>
        <v>10</v>
      </c>
      <c r="AJ284" s="6" t="n">
        <f aca="false">IF(B284="","",YEAR(B284))</f>
        <v>2024</v>
      </c>
      <c r="AK284" s="3" t="str">
        <f aca="false">IF(COUNTIF(raw_data!$A$2:$A$913,A284)&gt;1,"Conflicting Duplicate - Flagged for Review","Unique")</f>
        <v>Unique</v>
      </c>
      <c r="AL284" s="3" t="str">
        <f aca="false">IF(AB284="Refunded","Yes","No")</f>
        <v>No</v>
      </c>
      <c r="AM284" s="3" t="str">
        <f aca="false">IF(OR(AC284&lt;&gt;"Completed",AB284="Failed"),"Excluded","Included")</f>
        <v>Included</v>
      </c>
      <c r="AN284" s="3" t="str">
        <f aca="false">IF(OR(D284="Invalid/Unrecognized",E284="Invalid/Unrecognized",G284="Invalid - Ship Before Order",X284="Negative - Invalid",X284="Above Allowed Range - Invalid",AG284="Mismatch",AH284="Mismatch",AK284="Conflicting Duplicate - Flagged for Review"),"Invalid",IF(OR(L284="Filled - Unknown",S284="Filled - Unknown",X284="Missing - Defaulted to 0",AL284="Yes",AC284="Cancelled",AC284="Returned"),"Warning","Clean"))</f>
        <v>Clean</v>
      </c>
    </row>
    <row r="285" customFormat="false" ht="15" hidden="false" customHeight="false" outlineLevel="0" collapsed="false">
      <c r="A285" s="3" t="str">
        <f aca="false">raw_data!A285</f>
        <v>ORD-2025-10284</v>
      </c>
      <c r="B285" s="4" t="n">
        <f aca="false">IFERROR(IF(MID(raw_data!B285,3,1)="/",DATE(VALUE(RIGHT(raw_data!B285,4)),VALUE(LEFT(raw_data!B285,2)),VALUE(MID(raw_data!B285,4,2))),IF(MID(raw_data!B285,3,1)="-",DATE(VALUE(RIGHT(raw_data!B285,4)),VALUE(MID(raw_data!B285,4,2)),VALUE(LEFT(raw_data!B285,2))),IF(MID(raw_data!B285,5,1)="-",DATE(VALUE(LEFT(raw_data!B285,4)),VALUE(MID(raw_data!B285,6,2)),VALUE(RIGHT(raw_data!B285,2))),DATE(VALUE(RIGHT(raw_data!B285,4)),MATCH(MID(raw_data!B285,4,3),{"Jan","Feb","Mar","Apr","May","Jun","Jul","Aug","Sep","Oct","Nov","Dec"},0),VALUE(LEFT(raw_data!B285,2)))))),"")</f>
        <v>45729</v>
      </c>
      <c r="C285" s="4" t="n">
        <f aca="false">IFERROR(IF(MID(raw_data!C285,3,1)="/",DATE(VALUE(RIGHT(raw_data!C285,4)),VALUE(LEFT(raw_data!C285,2)),VALUE(MID(raw_data!C285,4,2))),IF(MID(raw_data!C285,3,1)="-",DATE(VALUE(RIGHT(raw_data!C285,4)),VALUE(MID(raw_data!C285,4,2)),VALUE(LEFT(raw_data!C285,2))),IF(MID(raw_data!C285,5,1)="-",DATE(VALUE(LEFT(raw_data!C285,4)),VALUE(MID(raw_data!C285,6,2)),VALUE(RIGHT(raw_data!C285,2))),DATE(VALUE(RIGHT(raw_data!C285,4)),MATCH(MID(raw_data!C285,4,3),{"Jan","Feb","Mar","Apr","May","Jun","Jul","Aug","Sep","Oct","Nov","Dec"},0),VALUE(LEFT(raw_data!C285,2)))))),"")</f>
        <v>45736</v>
      </c>
      <c r="D285" s="3" t="str">
        <f aca="false">IF(TRIM(raw_data!B285)="","Missing",IF(B285="","Invalid/Unrecognized","Valid"))</f>
        <v>Valid</v>
      </c>
      <c r="E285" s="3" t="str">
        <f aca="false">IF(TRIM(raw_data!C285)="","Missing",IF(C285="","Invalid/Unrecognized","Valid"))</f>
        <v>Valid</v>
      </c>
      <c r="F285" s="5" t="n">
        <f aca="false">IF(OR(B285="",C285=""),"",C285-B285)</f>
        <v>7</v>
      </c>
      <c r="G285" s="3" t="str">
        <f aca="false">IF(F285="","N/A",IF(F285&lt;0,"Invalid - Ship Before Order","OK"))</f>
        <v>OK</v>
      </c>
      <c r="H285" s="3" t="str">
        <f aca="false">raw_data!D285</f>
        <v>CUST-6568</v>
      </c>
      <c r="I285" s="3" t="str">
        <f aca="false">PROPER(TRIM(raw_data!E285))</f>
        <v>Vikram Iyer</v>
      </c>
      <c r="J285" s="3" t="str">
        <f aca="false">PROPER(TRIM(raw_data!F285))</f>
        <v>Consumer</v>
      </c>
      <c r="K285" s="3" t="str">
        <f aca="false">IF(TRIM(raw_data!G285)="","Unknown",PROPER(TRIM(raw_data!G285)))</f>
        <v>West</v>
      </c>
      <c r="L285" s="3" t="str">
        <f aca="false">IF(TRIM(raw_data!G285)="","Filled - Unknown","OK")</f>
        <v>OK</v>
      </c>
      <c r="M285" s="3" t="str">
        <f aca="false">PROPER(TRIM(raw_data!H285))</f>
        <v>Maharashtra</v>
      </c>
      <c r="N285" s="3" t="str">
        <f aca="false">PROPER(TRIM(raw_data!I285))</f>
        <v>Mumbai</v>
      </c>
      <c r="O285" s="3" t="str">
        <f aca="false">PROPER(TRIM(raw_data!J285))</f>
        <v>Furniture</v>
      </c>
      <c r="P285" s="3" t="str">
        <f aca="false">PROPER(TRIM(raw_data!K285))</f>
        <v>Furnishings</v>
      </c>
      <c r="Q285" s="3" t="str">
        <f aca="false">TRIM(raw_data!L285)</f>
        <v>Classic Furnishings 819</v>
      </c>
      <c r="R285" s="3" t="str">
        <f aca="false">IF(TRIM(raw_data!M285)="","Unknown",PROPER(TRIM(raw_data!M285)))</f>
        <v>First Class</v>
      </c>
      <c r="S285" s="3" t="str">
        <f aca="false">IF(TRIM(raw_data!M285)="","Filled - Unknown","OK")</f>
        <v>OK</v>
      </c>
      <c r="T285" s="6" t="n">
        <f aca="false">raw_data!N285</f>
        <v>1</v>
      </c>
      <c r="U285" s="7" t="n">
        <f aca="false">raw_data!O285</f>
        <v>1814.01</v>
      </c>
      <c r="V285" s="8" t="n">
        <f aca="false">raw_data!P285</f>
        <v>0</v>
      </c>
      <c r="W285" s="8" t="n">
        <f aca="false">IF(raw_data!P285="",0,IF(ISTEXT(raw_data!P285),IF(RIGHT(raw_data!P285,1)="%",VALUE(LEFT(raw_data!P285,LEN(raw_data!P285)-1))/100,VALUE(raw_data!P285)),raw_data!P285))</f>
        <v>0</v>
      </c>
      <c r="X285" s="3" t="str">
        <f aca="false">IF(raw_data!P285="","Missing - Defaulted to 0",IF(W285&lt;0,"Negative - Invalid",IF(W285&gt;0.3,"Above Allowed Range - Invalid","Valid")))</f>
        <v>Valid</v>
      </c>
      <c r="Y285" s="7" t="n">
        <f aca="false">raw_data!Q285</f>
        <v>1814.01</v>
      </c>
      <c r="Z285" s="7" t="n">
        <f aca="false">raw_data!R285</f>
        <v>1033.47</v>
      </c>
      <c r="AA285" s="7" t="n">
        <f aca="false">raw_data!S285</f>
        <v>780.54</v>
      </c>
      <c r="AB285" s="3" t="str">
        <f aca="false">PROPER(TRIM(raw_data!T285))</f>
        <v>Paid</v>
      </c>
      <c r="AC285" s="3" t="str">
        <f aca="false">PROPER(TRIM(raw_data!U285))</f>
        <v>Completed</v>
      </c>
      <c r="AD285" s="7" t="n">
        <f aca="false">T285*U285*(1-W285)</f>
        <v>1814.01</v>
      </c>
      <c r="AE285" s="7" t="n">
        <f aca="false">AD285-Z285</f>
        <v>780.54</v>
      </c>
      <c r="AF285" s="8" t="n">
        <f aca="false">IF(AD285=0,0,AE285/AD285)</f>
        <v>0.430284287297203</v>
      </c>
      <c r="AG285" s="3" t="str">
        <f aca="false">IF(ABS(Y285-AD285)&gt;1,"Mismatch","OK")</f>
        <v>OK</v>
      </c>
      <c r="AH285" s="3" t="str">
        <f aca="false">IF(ABS(AA285-AE285)&gt;1,"Mismatch","OK")</f>
        <v>OK</v>
      </c>
      <c r="AI285" s="6" t="n">
        <f aca="false">IF(B285="","",MONTH(B285))</f>
        <v>3</v>
      </c>
      <c r="AJ285" s="6" t="n">
        <f aca="false">IF(B285="","",YEAR(B285))</f>
        <v>2025</v>
      </c>
      <c r="AK285" s="3" t="str">
        <f aca="false">IF(COUNTIF(raw_data!$A$2:$A$913,A285)&gt;1,"Conflicting Duplicate - Flagged for Review","Unique")</f>
        <v>Unique</v>
      </c>
      <c r="AL285" s="3" t="str">
        <f aca="false">IF(AB285="Refunded","Yes","No")</f>
        <v>No</v>
      </c>
      <c r="AM285" s="3" t="str">
        <f aca="false">IF(OR(AC285&lt;&gt;"Completed",AB285="Failed"),"Excluded","Included")</f>
        <v>Included</v>
      </c>
      <c r="AN285" s="3" t="str">
        <f aca="false">IF(OR(D285="Invalid/Unrecognized",E285="Invalid/Unrecognized",G285="Invalid - Ship Before Order",X285="Negative - Invalid",X285="Above Allowed Range - Invalid",AG285="Mismatch",AH285="Mismatch",AK285="Conflicting Duplicate - Flagged for Review"),"Invalid",IF(OR(L285="Filled - Unknown",S285="Filled - Unknown",X285="Missing - Defaulted to 0",AL285="Yes",AC285="Cancelled",AC285="Returned"),"Warning","Clean"))</f>
        <v>Clean</v>
      </c>
    </row>
    <row r="286" customFormat="false" ht="15" hidden="false" customHeight="false" outlineLevel="0" collapsed="false">
      <c r="A286" s="3" t="str">
        <f aca="false">raw_data!A286</f>
        <v>ORD-2024-10285</v>
      </c>
      <c r="B286" s="4" t="n">
        <f aca="false">IFERROR(IF(MID(raw_data!B286,3,1)="/",DATE(VALUE(RIGHT(raw_data!B286,4)),VALUE(LEFT(raw_data!B286,2)),VALUE(MID(raw_data!B286,4,2))),IF(MID(raw_data!B286,3,1)="-",DATE(VALUE(RIGHT(raw_data!B286,4)),VALUE(MID(raw_data!B286,4,2)),VALUE(LEFT(raw_data!B286,2))),IF(MID(raw_data!B286,5,1)="-",DATE(VALUE(LEFT(raw_data!B286,4)),VALUE(MID(raw_data!B286,6,2)),VALUE(RIGHT(raw_data!B286,2))),DATE(VALUE(RIGHT(raw_data!B286,4)),MATCH(MID(raw_data!B286,4,3),{"Jan","Feb","Mar","Apr","May","Jun","Jul","Aug","Sep","Oct","Nov","Dec"},0),VALUE(LEFT(raw_data!B286,2)))))),"")</f>
        <v>45634</v>
      </c>
      <c r="C286" s="4" t="n">
        <f aca="false">IFERROR(IF(MID(raw_data!C286,3,1)="/",DATE(VALUE(RIGHT(raw_data!C286,4)),VALUE(LEFT(raw_data!C286,2)),VALUE(MID(raw_data!C286,4,2))),IF(MID(raw_data!C286,3,1)="-",DATE(VALUE(RIGHT(raw_data!C286,4)),VALUE(MID(raw_data!C286,4,2)),VALUE(LEFT(raw_data!C286,2))),IF(MID(raw_data!C286,5,1)="-",DATE(VALUE(LEFT(raw_data!C286,4)),VALUE(MID(raw_data!C286,6,2)),VALUE(RIGHT(raw_data!C286,2))),DATE(VALUE(RIGHT(raw_data!C286,4)),MATCH(MID(raw_data!C286,4,3),{"Jan","Feb","Mar","Apr","May","Jun","Jul","Aug","Sep","Oct","Nov","Dec"},0),VALUE(LEFT(raw_data!C286,2)))))),"")</f>
        <v>45640</v>
      </c>
      <c r="D286" s="3" t="str">
        <f aca="false">IF(TRIM(raw_data!B286)="","Missing",IF(B286="","Invalid/Unrecognized","Valid"))</f>
        <v>Valid</v>
      </c>
      <c r="E286" s="3" t="str">
        <f aca="false">IF(TRIM(raw_data!C286)="","Missing",IF(C286="","Invalid/Unrecognized","Valid"))</f>
        <v>Valid</v>
      </c>
      <c r="F286" s="5" t="n">
        <f aca="false">IF(OR(B286="",C286=""),"",C286-B286)</f>
        <v>6</v>
      </c>
      <c r="G286" s="3" t="str">
        <f aca="false">IF(F286="","N/A",IF(F286&lt;0,"Invalid - Ship Before Order","OK"))</f>
        <v>OK</v>
      </c>
      <c r="H286" s="3" t="str">
        <f aca="false">raw_data!D286</f>
        <v>CUST-2076</v>
      </c>
      <c r="I286" s="3" t="str">
        <f aca="false">PROPER(TRIM(raw_data!E286))</f>
        <v>Karan Malhotra</v>
      </c>
      <c r="J286" s="3" t="str">
        <f aca="false">PROPER(TRIM(raw_data!F286))</f>
        <v>Consumer</v>
      </c>
      <c r="K286" s="3" t="str">
        <f aca="false">IF(TRIM(raw_data!G286)="","Unknown",PROPER(TRIM(raw_data!G286)))</f>
        <v>East</v>
      </c>
      <c r="L286" s="3" t="str">
        <f aca="false">IF(TRIM(raw_data!G286)="","Filled - Unknown","OK")</f>
        <v>OK</v>
      </c>
      <c r="M286" s="3" t="str">
        <f aca="false">PROPER(TRIM(raw_data!H286))</f>
        <v>Odisha</v>
      </c>
      <c r="N286" s="3" t="str">
        <f aca="false">PROPER(TRIM(raw_data!I286))</f>
        <v>Bhubaneswar</v>
      </c>
      <c r="O286" s="3" t="str">
        <f aca="false">PROPER(TRIM(raw_data!J286))</f>
        <v>Furniture</v>
      </c>
      <c r="P286" s="3" t="str">
        <f aca="false">PROPER(TRIM(raw_data!K286))</f>
        <v>Tables</v>
      </c>
      <c r="Q286" s="3" t="str">
        <f aca="false">TRIM(raw_data!L286)</f>
        <v>Prime Tables 542</v>
      </c>
      <c r="R286" s="3" t="str">
        <f aca="false">IF(TRIM(raw_data!M286)="","Unknown",PROPER(TRIM(raw_data!M286)))</f>
        <v>Same Day</v>
      </c>
      <c r="S286" s="3" t="str">
        <f aca="false">IF(TRIM(raw_data!M286)="","Filled - Unknown","OK")</f>
        <v>OK</v>
      </c>
      <c r="T286" s="6" t="n">
        <f aca="false">raw_data!N286</f>
        <v>3</v>
      </c>
      <c r="U286" s="7" t="n">
        <f aca="false">raw_data!O286</f>
        <v>1576.92</v>
      </c>
      <c r="V286" s="8" t="n">
        <f aca="false">raw_data!P286</f>
        <v>0</v>
      </c>
      <c r="W286" s="8" t="n">
        <f aca="false">IF(raw_data!P286="",0,IF(ISTEXT(raw_data!P286),IF(RIGHT(raw_data!P286,1)="%",VALUE(LEFT(raw_data!P286,LEN(raw_data!P286)-1))/100,VALUE(raw_data!P286)),raw_data!P286))</f>
        <v>0</v>
      </c>
      <c r="X286" s="3" t="str">
        <f aca="false">IF(raw_data!P286="","Missing - Defaulted to 0",IF(W286&lt;0,"Negative - Invalid",IF(W286&gt;0.3,"Above Allowed Range - Invalid","Valid")))</f>
        <v>Valid</v>
      </c>
      <c r="Y286" s="7" t="n">
        <f aca="false">raw_data!Q286</f>
        <v>4730.76</v>
      </c>
      <c r="Z286" s="7" t="n">
        <f aca="false">raw_data!R286</f>
        <v>3139.73</v>
      </c>
      <c r="AA286" s="7" t="n">
        <f aca="false">raw_data!S286</f>
        <v>1591.03</v>
      </c>
      <c r="AB286" s="3" t="str">
        <f aca="false">PROPER(TRIM(raw_data!T286))</f>
        <v>Paid</v>
      </c>
      <c r="AC286" s="3" t="str">
        <f aca="false">PROPER(TRIM(raw_data!U286))</f>
        <v>Returned</v>
      </c>
      <c r="AD286" s="7" t="n">
        <f aca="false">T286*U286*(1-W286)</f>
        <v>4730.76</v>
      </c>
      <c r="AE286" s="7" t="n">
        <f aca="false">AD286-Z286</f>
        <v>1591.03</v>
      </c>
      <c r="AF286" s="8" t="n">
        <f aca="false">IF(AD286=0,0,AE286/AD286)</f>
        <v>0.336315940779071</v>
      </c>
      <c r="AG286" s="3" t="str">
        <f aca="false">IF(ABS(Y286-AD286)&gt;1,"Mismatch","OK")</f>
        <v>OK</v>
      </c>
      <c r="AH286" s="3" t="str">
        <f aca="false">IF(ABS(AA286-AE286)&gt;1,"Mismatch","OK")</f>
        <v>OK</v>
      </c>
      <c r="AI286" s="6" t="n">
        <f aca="false">IF(B286="","",MONTH(B286))</f>
        <v>12</v>
      </c>
      <c r="AJ286" s="6" t="n">
        <f aca="false">IF(B286="","",YEAR(B286))</f>
        <v>2024</v>
      </c>
      <c r="AK286" s="3" t="str">
        <f aca="false">IF(COUNTIF(raw_data!$A$2:$A$913,A286)&gt;1,"Conflicting Duplicate - Flagged for Review","Unique")</f>
        <v>Unique</v>
      </c>
      <c r="AL286" s="3" t="str">
        <f aca="false">IF(AB286="Refunded","Yes","No")</f>
        <v>No</v>
      </c>
      <c r="AM286" s="3" t="str">
        <f aca="false">IF(OR(AC286&lt;&gt;"Completed",AB286="Failed"),"Excluded","Included")</f>
        <v>Excluded</v>
      </c>
      <c r="AN286" s="3" t="str">
        <f aca="false">IF(OR(D286="Invalid/Unrecognized",E286="Invalid/Unrecognized",G286="Invalid - Ship Before Order",X286="Negative - Invalid",X286="Above Allowed Range - Invalid",AG286="Mismatch",AH286="Mismatch",AK286="Conflicting Duplicate - Flagged for Review"),"Invalid",IF(OR(L286="Filled - Unknown",S286="Filled - Unknown",X286="Missing - Defaulted to 0",AL286="Yes",AC286="Cancelled",AC286="Returned"),"Warning","Clean"))</f>
        <v>Warning</v>
      </c>
    </row>
    <row r="287" customFormat="false" ht="15" hidden="false" customHeight="false" outlineLevel="0" collapsed="false">
      <c r="A287" s="3" t="str">
        <f aca="false">raw_data!A287</f>
        <v>ORD-2025-10286</v>
      </c>
      <c r="B287" s="4" t="n">
        <f aca="false">IFERROR(IF(MID(raw_data!B287,3,1)="/",DATE(VALUE(RIGHT(raw_data!B287,4)),VALUE(LEFT(raw_data!B287,2)),VALUE(MID(raw_data!B287,4,2))),IF(MID(raw_data!B287,3,1)="-",DATE(VALUE(RIGHT(raw_data!B287,4)),VALUE(MID(raw_data!B287,4,2)),VALUE(LEFT(raw_data!B287,2))),IF(MID(raw_data!B287,5,1)="-",DATE(VALUE(LEFT(raw_data!B287,4)),VALUE(MID(raw_data!B287,6,2)),VALUE(RIGHT(raw_data!B287,2))),DATE(VALUE(RIGHT(raw_data!B287,4)),MATCH(MID(raw_data!B287,4,3),{"Jan","Feb","Mar","Apr","May","Jun","Jul","Aug","Sep","Oct","Nov","Dec"},0),VALUE(LEFT(raw_data!B287,2)))))),"")</f>
        <v>45884</v>
      </c>
      <c r="C287" s="4" t="n">
        <f aca="false">IFERROR(IF(MID(raw_data!C287,3,1)="/",DATE(VALUE(RIGHT(raw_data!C287,4)),VALUE(LEFT(raw_data!C287,2)),VALUE(MID(raw_data!C287,4,2))),IF(MID(raw_data!C287,3,1)="-",DATE(VALUE(RIGHT(raw_data!C287,4)),VALUE(MID(raw_data!C287,4,2)),VALUE(LEFT(raw_data!C287,2))),IF(MID(raw_data!C287,5,1)="-",DATE(VALUE(LEFT(raw_data!C287,4)),VALUE(MID(raw_data!C287,6,2)),VALUE(RIGHT(raw_data!C287,2))),DATE(VALUE(RIGHT(raw_data!C287,4)),MATCH(MID(raw_data!C287,4,3),{"Jan","Feb","Mar","Apr","May","Jun","Jul","Aug","Sep","Oct","Nov","Dec"},0),VALUE(LEFT(raw_data!C287,2)))))),"")</f>
        <v>45889</v>
      </c>
      <c r="D287" s="3" t="str">
        <f aca="false">IF(TRIM(raw_data!B287)="","Missing",IF(B287="","Invalid/Unrecognized","Valid"))</f>
        <v>Valid</v>
      </c>
      <c r="E287" s="3" t="str">
        <f aca="false">IF(TRIM(raw_data!C287)="","Missing",IF(C287="","Invalid/Unrecognized","Valid"))</f>
        <v>Valid</v>
      </c>
      <c r="F287" s="5" t="n">
        <f aca="false">IF(OR(B287="",C287=""),"",C287-B287)</f>
        <v>5</v>
      </c>
      <c r="G287" s="3" t="str">
        <f aca="false">IF(F287="","N/A",IF(F287&lt;0,"Invalid - Ship Before Order","OK"))</f>
        <v>OK</v>
      </c>
      <c r="H287" s="3" t="str">
        <f aca="false">raw_data!D287</f>
        <v>CUST-5610</v>
      </c>
      <c r="I287" s="3" t="str">
        <f aca="false">PROPER(TRIM(raw_data!E287))</f>
        <v>Neha Gupta</v>
      </c>
      <c r="J287" s="3" t="str">
        <f aca="false">PROPER(TRIM(raw_data!F287))</f>
        <v>Home Office</v>
      </c>
      <c r="K287" s="3" t="str">
        <f aca="false">IF(TRIM(raw_data!G287)="","Unknown",PROPER(TRIM(raw_data!G287)))</f>
        <v>North</v>
      </c>
      <c r="L287" s="3" t="str">
        <f aca="false">IF(TRIM(raw_data!G287)="","Filled - Unknown","OK")</f>
        <v>OK</v>
      </c>
      <c r="M287" s="3" t="str">
        <f aca="false">PROPER(TRIM(raw_data!H287))</f>
        <v>Rajasthan</v>
      </c>
      <c r="N287" s="3" t="str">
        <f aca="false">PROPER(TRIM(raw_data!I287))</f>
        <v>Jaipur</v>
      </c>
      <c r="O287" s="3" t="str">
        <f aca="false">PROPER(TRIM(raw_data!J287))</f>
        <v>Office Supplies</v>
      </c>
      <c r="P287" s="3" t="str">
        <f aca="false">PROPER(TRIM(raw_data!K287))</f>
        <v>Storage</v>
      </c>
      <c r="Q287" s="3" t="str">
        <f aca="false">TRIM(raw_data!L287)</f>
        <v>Basic Storage 771</v>
      </c>
      <c r="R287" s="3" t="str">
        <f aca="false">IF(TRIM(raw_data!M287)="","Unknown",PROPER(TRIM(raw_data!M287)))</f>
        <v>Standard Class</v>
      </c>
      <c r="S287" s="3" t="str">
        <f aca="false">IF(TRIM(raw_data!M287)="","Filled - Unknown","OK")</f>
        <v>OK</v>
      </c>
      <c r="T287" s="6" t="n">
        <f aca="false">raw_data!N287</f>
        <v>9</v>
      </c>
      <c r="U287" s="7" t="n">
        <f aca="false">raw_data!O287</f>
        <v>4081.77</v>
      </c>
      <c r="V287" s="8" t="n">
        <f aca="false">raw_data!P287</f>
        <v>0</v>
      </c>
      <c r="W287" s="8" t="n">
        <f aca="false">IF(raw_data!P287="",0,IF(ISTEXT(raw_data!P287),IF(RIGHT(raw_data!P287,1)="%",VALUE(LEFT(raw_data!P287,LEN(raw_data!P287)-1))/100,VALUE(raw_data!P287)),raw_data!P287))</f>
        <v>0</v>
      </c>
      <c r="X287" s="3" t="str">
        <f aca="false">IF(raw_data!P287="","Missing - Defaulted to 0",IF(W287&lt;0,"Negative - Invalid",IF(W287&gt;0.3,"Above Allowed Range - Invalid","Valid")))</f>
        <v>Valid</v>
      </c>
      <c r="Y287" s="7" t="n">
        <f aca="false">raw_data!Q287</f>
        <v>36735.93</v>
      </c>
      <c r="Z287" s="7" t="n">
        <f aca="false">raw_data!R287</f>
        <v>30820.84</v>
      </c>
      <c r="AA287" s="7" t="n">
        <f aca="false">raw_data!S287</f>
        <v>5915.09</v>
      </c>
      <c r="AB287" s="3" t="str">
        <f aca="false">PROPER(TRIM(raw_data!T287))</f>
        <v>Paid</v>
      </c>
      <c r="AC287" s="3" t="str">
        <f aca="false">PROPER(TRIM(raw_data!U287))</f>
        <v>Completed</v>
      </c>
      <c r="AD287" s="7" t="n">
        <f aca="false">T287*U287*(1-W287)</f>
        <v>36735.93</v>
      </c>
      <c r="AE287" s="7" t="n">
        <f aca="false">AD287-Z287</f>
        <v>5915.09</v>
      </c>
      <c r="AF287" s="8" t="n">
        <f aca="false">IF(AD287=0,0,AE287/AD287)</f>
        <v>0.161016476240019</v>
      </c>
      <c r="AG287" s="3" t="str">
        <f aca="false">IF(ABS(Y287-AD287)&gt;1,"Mismatch","OK")</f>
        <v>OK</v>
      </c>
      <c r="AH287" s="3" t="str">
        <f aca="false">IF(ABS(AA287-AE287)&gt;1,"Mismatch","OK")</f>
        <v>OK</v>
      </c>
      <c r="AI287" s="6" t="n">
        <f aca="false">IF(B287="","",MONTH(B287))</f>
        <v>8</v>
      </c>
      <c r="AJ287" s="6" t="n">
        <f aca="false">IF(B287="","",YEAR(B287))</f>
        <v>2025</v>
      </c>
      <c r="AK287" s="3" t="str">
        <f aca="false">IF(COUNTIF(raw_data!$A$2:$A$913,A287)&gt;1,"Conflicting Duplicate - Flagged for Review","Unique")</f>
        <v>Unique</v>
      </c>
      <c r="AL287" s="3" t="str">
        <f aca="false">IF(AB287="Refunded","Yes","No")</f>
        <v>No</v>
      </c>
      <c r="AM287" s="3" t="str">
        <f aca="false">IF(OR(AC287&lt;&gt;"Completed",AB287="Failed"),"Excluded","Included")</f>
        <v>Included</v>
      </c>
      <c r="AN287" s="3" t="str">
        <f aca="false">IF(OR(D287="Invalid/Unrecognized",E287="Invalid/Unrecognized",G287="Invalid - Ship Before Order",X287="Negative - Invalid",X287="Above Allowed Range - Invalid",AG287="Mismatch",AH287="Mismatch",AK287="Conflicting Duplicate - Flagged for Review"),"Invalid",IF(OR(L287="Filled - Unknown",S287="Filled - Unknown",X287="Missing - Defaulted to 0",AL287="Yes",AC287="Cancelled",AC287="Returned"),"Warning","Clean"))</f>
        <v>Clean</v>
      </c>
    </row>
    <row r="288" customFormat="false" ht="15" hidden="false" customHeight="false" outlineLevel="0" collapsed="false">
      <c r="A288" s="3" t="str">
        <f aca="false">raw_data!A288</f>
        <v>ORD-2024-10287</v>
      </c>
      <c r="B288" s="4" t="n">
        <f aca="false">IFERROR(IF(MID(raw_data!B288,3,1)="/",DATE(VALUE(RIGHT(raw_data!B288,4)),VALUE(LEFT(raw_data!B288,2)),VALUE(MID(raw_data!B288,4,2))),IF(MID(raw_data!B288,3,1)="-",DATE(VALUE(RIGHT(raw_data!B288,4)),VALUE(MID(raw_data!B288,4,2)),VALUE(LEFT(raw_data!B288,2))),IF(MID(raw_data!B288,5,1)="-",DATE(VALUE(LEFT(raw_data!B288,4)),VALUE(MID(raw_data!B288,6,2)),VALUE(RIGHT(raw_data!B288,2))),DATE(VALUE(RIGHT(raw_data!B288,4)),MATCH(MID(raw_data!B288,4,3),{"Jan","Feb","Mar","Apr","May","Jun","Jul","Aug","Sep","Oct","Nov","Dec"},0),VALUE(LEFT(raw_data!B288,2)))))),"")</f>
        <v>45350</v>
      </c>
      <c r="C288" s="4" t="n">
        <f aca="false">IFERROR(IF(MID(raw_data!C288,3,1)="/",DATE(VALUE(RIGHT(raw_data!C288,4)),VALUE(LEFT(raw_data!C288,2)),VALUE(MID(raw_data!C288,4,2))),IF(MID(raw_data!C288,3,1)="-",DATE(VALUE(RIGHT(raw_data!C288,4)),VALUE(MID(raw_data!C288,4,2)),VALUE(LEFT(raw_data!C288,2))),IF(MID(raw_data!C288,5,1)="-",DATE(VALUE(LEFT(raw_data!C288,4)),VALUE(MID(raw_data!C288,6,2)),VALUE(RIGHT(raw_data!C288,2))),DATE(VALUE(RIGHT(raw_data!C288,4)),MATCH(MID(raw_data!C288,4,3),{"Jan","Feb","Mar","Apr","May","Jun","Jul","Aug","Sep","Oct","Nov","Dec"},0),VALUE(LEFT(raw_data!C288,2)))))),"")</f>
        <v>45353</v>
      </c>
      <c r="D288" s="3" t="str">
        <f aca="false">IF(TRIM(raw_data!B288)="","Missing",IF(B288="","Invalid/Unrecognized","Valid"))</f>
        <v>Valid</v>
      </c>
      <c r="E288" s="3" t="str">
        <f aca="false">IF(TRIM(raw_data!C288)="","Missing",IF(C288="","Invalid/Unrecognized","Valid"))</f>
        <v>Valid</v>
      </c>
      <c r="F288" s="5" t="n">
        <f aca="false">IF(OR(B288="",C288=""),"",C288-B288)</f>
        <v>3</v>
      </c>
      <c r="G288" s="3" t="str">
        <f aca="false">IF(F288="","N/A",IF(F288&lt;0,"Invalid - Ship Before Order","OK"))</f>
        <v>OK</v>
      </c>
      <c r="H288" s="3" t="str">
        <f aca="false">raw_data!D288</f>
        <v>CUST-5823</v>
      </c>
      <c r="I288" s="3" t="str">
        <f aca="false">PROPER(TRIM(raw_data!E288))</f>
        <v>Priya Menon</v>
      </c>
      <c r="J288" s="3" t="str">
        <f aca="false">PROPER(TRIM(raw_data!F288))</f>
        <v>Small Business</v>
      </c>
      <c r="K288" s="3" t="str">
        <f aca="false">IF(TRIM(raw_data!G288)="","Unknown",PROPER(TRIM(raw_data!G288)))</f>
        <v>North</v>
      </c>
      <c r="L288" s="3" t="str">
        <f aca="false">IF(TRIM(raw_data!G288)="","Filled - Unknown","OK")</f>
        <v>OK</v>
      </c>
      <c r="M288" s="3" t="str">
        <f aca="false">PROPER(TRIM(raw_data!H288))</f>
        <v>Delhi</v>
      </c>
      <c r="N288" s="3" t="str">
        <f aca="false">PROPER(TRIM(raw_data!I288))</f>
        <v>New Delhi</v>
      </c>
      <c r="O288" s="3" t="str">
        <f aca="false">PROPER(TRIM(raw_data!J288))</f>
        <v>Furniture</v>
      </c>
      <c r="P288" s="3" t="str">
        <f aca="false">PROPER(TRIM(raw_data!K288))</f>
        <v>Furnishings</v>
      </c>
      <c r="Q288" s="3" t="str">
        <f aca="false">TRIM(raw_data!L288)</f>
        <v>Pro Furnishings 848</v>
      </c>
      <c r="R288" s="3" t="str">
        <f aca="false">IF(TRIM(raw_data!M288)="","Unknown",PROPER(TRIM(raw_data!M288)))</f>
        <v>First Class</v>
      </c>
      <c r="S288" s="3" t="str">
        <f aca="false">IF(TRIM(raw_data!M288)="","Filled - Unknown","OK")</f>
        <v>OK</v>
      </c>
      <c r="T288" s="6" t="n">
        <f aca="false">raw_data!N288</f>
        <v>7</v>
      </c>
      <c r="U288" s="7" t="n">
        <f aca="false">raw_data!O288</f>
        <v>701.8</v>
      </c>
      <c r="V288" s="8" t="n">
        <f aca="false">raw_data!P288</f>
        <v>0.1</v>
      </c>
      <c r="W288" s="8" t="n">
        <f aca="false">IF(raw_data!P288="",0,IF(ISTEXT(raw_data!P288),IF(RIGHT(raw_data!P288,1)="%",VALUE(LEFT(raw_data!P288,LEN(raw_data!P288)-1))/100,VALUE(raw_data!P288)),raw_data!P288))</f>
        <v>0.1</v>
      </c>
      <c r="X288" s="3" t="str">
        <f aca="false">IF(raw_data!P288="","Missing - Defaulted to 0",IF(W288&lt;0,"Negative - Invalid",IF(W288&gt;0.3,"Above Allowed Range - Invalid","Valid")))</f>
        <v>Valid</v>
      </c>
      <c r="Y288" s="7" t="n">
        <f aca="false">raw_data!Q288</f>
        <v>4421.34</v>
      </c>
      <c r="Z288" s="7" t="n">
        <f aca="false">raw_data!R288</f>
        <v>2489.98</v>
      </c>
      <c r="AA288" s="7" t="n">
        <f aca="false">raw_data!S288</f>
        <v>1931.36</v>
      </c>
      <c r="AB288" s="3" t="str">
        <f aca="false">PROPER(TRIM(raw_data!T288))</f>
        <v>Pending</v>
      </c>
      <c r="AC288" s="3" t="str">
        <f aca="false">PROPER(TRIM(raw_data!U288))</f>
        <v>Returned</v>
      </c>
      <c r="AD288" s="7" t="n">
        <f aca="false">T288*U288*(1-W288)</f>
        <v>4421.34</v>
      </c>
      <c r="AE288" s="7" t="n">
        <f aca="false">AD288-Z288</f>
        <v>1931.36</v>
      </c>
      <c r="AF288" s="8" t="n">
        <f aca="false">IF(AD288=0,0,AE288/AD288)</f>
        <v>0.436826844350355</v>
      </c>
      <c r="AG288" s="3" t="str">
        <f aca="false">IF(ABS(Y288-AD288)&gt;1,"Mismatch","OK")</f>
        <v>OK</v>
      </c>
      <c r="AH288" s="3" t="str">
        <f aca="false">IF(ABS(AA288-AE288)&gt;1,"Mismatch","OK")</f>
        <v>OK</v>
      </c>
      <c r="AI288" s="6" t="n">
        <f aca="false">IF(B288="","",MONTH(B288))</f>
        <v>2</v>
      </c>
      <c r="AJ288" s="6" t="n">
        <f aca="false">IF(B288="","",YEAR(B288))</f>
        <v>2024</v>
      </c>
      <c r="AK288" s="3" t="str">
        <f aca="false">IF(COUNTIF(raw_data!$A$2:$A$913,A288)&gt;1,"Conflicting Duplicate - Flagged for Review","Unique")</f>
        <v>Unique</v>
      </c>
      <c r="AL288" s="3" t="str">
        <f aca="false">IF(AB288="Refunded","Yes","No")</f>
        <v>No</v>
      </c>
      <c r="AM288" s="3" t="str">
        <f aca="false">IF(OR(AC288&lt;&gt;"Completed",AB288="Failed"),"Excluded","Included")</f>
        <v>Excluded</v>
      </c>
      <c r="AN288" s="3" t="str">
        <f aca="false">IF(OR(D288="Invalid/Unrecognized",E288="Invalid/Unrecognized",G288="Invalid - Ship Before Order",X288="Negative - Invalid",X288="Above Allowed Range - Invalid",AG288="Mismatch",AH288="Mismatch",AK288="Conflicting Duplicate - Flagged for Review"),"Invalid",IF(OR(L288="Filled - Unknown",S288="Filled - Unknown",X288="Missing - Defaulted to 0",AL288="Yes",AC288="Cancelled",AC288="Returned"),"Warning","Clean"))</f>
        <v>Warning</v>
      </c>
    </row>
    <row r="289" customFormat="false" ht="15" hidden="false" customHeight="false" outlineLevel="0" collapsed="false">
      <c r="A289" s="3" t="str">
        <f aca="false">raw_data!A289</f>
        <v>ORD-2024-10288</v>
      </c>
      <c r="B289" s="4" t="n">
        <f aca="false">IFERROR(IF(MID(raw_data!B289,3,1)="/",DATE(VALUE(RIGHT(raw_data!B289,4)),VALUE(LEFT(raw_data!B289,2)),VALUE(MID(raw_data!B289,4,2))),IF(MID(raw_data!B289,3,1)="-",DATE(VALUE(RIGHT(raw_data!B289,4)),VALUE(MID(raw_data!B289,4,2)),VALUE(LEFT(raw_data!B289,2))),IF(MID(raw_data!B289,5,1)="-",DATE(VALUE(LEFT(raw_data!B289,4)),VALUE(MID(raw_data!B289,6,2)),VALUE(RIGHT(raw_data!B289,2))),DATE(VALUE(RIGHT(raw_data!B289,4)),MATCH(MID(raw_data!B289,4,3),{"Jan","Feb","Mar","Apr","May","Jun","Jul","Aug","Sep","Oct","Nov","Dec"},0),VALUE(LEFT(raw_data!B289,2)))))),"")</f>
        <v>45540</v>
      </c>
      <c r="C289" s="4" t="n">
        <f aca="false">IFERROR(IF(MID(raw_data!C289,3,1)="/",DATE(VALUE(RIGHT(raw_data!C289,4)),VALUE(LEFT(raw_data!C289,2)),VALUE(MID(raw_data!C289,4,2))),IF(MID(raw_data!C289,3,1)="-",DATE(VALUE(RIGHT(raw_data!C289,4)),VALUE(MID(raw_data!C289,4,2)),VALUE(LEFT(raw_data!C289,2))),IF(MID(raw_data!C289,5,1)="-",DATE(VALUE(LEFT(raw_data!C289,4)),VALUE(MID(raw_data!C289,6,2)),VALUE(RIGHT(raw_data!C289,2))),DATE(VALUE(RIGHT(raw_data!C289,4)),MATCH(MID(raw_data!C289,4,3),{"Jan","Feb","Mar","Apr","May","Jun","Jul","Aug","Sep","Oct","Nov","Dec"},0),VALUE(LEFT(raw_data!C289,2)))))),"")</f>
        <v>45542</v>
      </c>
      <c r="D289" s="3" t="str">
        <f aca="false">IF(TRIM(raw_data!B289)="","Missing",IF(B289="","Invalid/Unrecognized","Valid"))</f>
        <v>Valid</v>
      </c>
      <c r="E289" s="3" t="str">
        <f aca="false">IF(TRIM(raw_data!C289)="","Missing",IF(C289="","Invalid/Unrecognized","Valid"))</f>
        <v>Valid</v>
      </c>
      <c r="F289" s="5" t="n">
        <f aca="false">IF(OR(B289="",C289=""),"",C289-B289)</f>
        <v>2</v>
      </c>
      <c r="G289" s="3" t="str">
        <f aca="false">IF(F289="","N/A",IF(F289&lt;0,"Invalid - Ship Before Order","OK"))</f>
        <v>OK</v>
      </c>
      <c r="H289" s="3" t="str">
        <f aca="false">raw_data!D289</f>
        <v>CUST-7095</v>
      </c>
      <c r="I289" s="3" t="str">
        <f aca="false">PROPER(TRIM(raw_data!E289))</f>
        <v>Neha Gupta</v>
      </c>
      <c r="J289" s="3" t="str">
        <f aca="false">PROPER(TRIM(raw_data!F289))</f>
        <v>Small Business</v>
      </c>
      <c r="K289" s="3" t="str">
        <f aca="false">IF(TRIM(raw_data!G289)="","Unknown",PROPER(TRIM(raw_data!G289)))</f>
        <v>South</v>
      </c>
      <c r="L289" s="3" t="str">
        <f aca="false">IF(TRIM(raw_data!G289)="","Filled - Unknown","OK")</f>
        <v>OK</v>
      </c>
      <c r="M289" s="3" t="str">
        <f aca="false">PROPER(TRIM(raw_data!H289))</f>
        <v>Tamil Nadu</v>
      </c>
      <c r="N289" s="3" t="str">
        <f aca="false">PROPER(TRIM(raw_data!I289))</f>
        <v>Chennai</v>
      </c>
      <c r="O289" s="3" t="str">
        <f aca="false">PROPER(TRIM(raw_data!J289))</f>
        <v>Technology</v>
      </c>
      <c r="P289" s="3" t="str">
        <f aca="false">PROPER(TRIM(raw_data!K289))</f>
        <v>Copiers</v>
      </c>
      <c r="Q289" s="3" t="str">
        <f aca="false">TRIM(raw_data!L289)</f>
        <v>Prime Copiers 924</v>
      </c>
      <c r="R289" s="3" t="str">
        <f aca="false">IF(TRIM(raw_data!M289)="","Unknown",PROPER(TRIM(raw_data!M289)))</f>
        <v>Standard Class</v>
      </c>
      <c r="S289" s="3" t="str">
        <f aca="false">IF(TRIM(raw_data!M289)="","Filled - Unknown","OK")</f>
        <v>OK</v>
      </c>
      <c r="T289" s="6" t="n">
        <f aca="false">raw_data!N289</f>
        <v>3</v>
      </c>
      <c r="U289" s="7" t="n">
        <f aca="false">raw_data!O289</f>
        <v>2555.66</v>
      </c>
      <c r="V289" s="8" t="n">
        <f aca="false">raw_data!P289</f>
        <v>0.15</v>
      </c>
      <c r="W289" s="8" t="n">
        <f aca="false">IF(raw_data!P289="",0,IF(ISTEXT(raw_data!P289),IF(RIGHT(raw_data!P289,1)="%",VALUE(LEFT(raw_data!P289,LEN(raw_data!P289)-1))/100,VALUE(raw_data!P289)),raw_data!P289))</f>
        <v>0.15</v>
      </c>
      <c r="X289" s="3" t="str">
        <f aca="false">IF(raw_data!P289="","Missing - Defaulted to 0",IF(W289&lt;0,"Negative - Invalid",IF(W289&gt;0.3,"Above Allowed Range - Invalid","Valid")))</f>
        <v>Valid</v>
      </c>
      <c r="Y289" s="7" t="n">
        <f aca="false">raw_data!Q289</f>
        <v>6516.93</v>
      </c>
      <c r="Z289" s="7" t="n">
        <f aca="false">raw_data!R289</f>
        <v>4511.54</v>
      </c>
      <c r="AA289" s="7" t="n">
        <f aca="false">raw_data!S289</f>
        <v>2005.39</v>
      </c>
      <c r="AB289" s="3" t="str">
        <f aca="false">PROPER(TRIM(raw_data!T289))</f>
        <v>Paid</v>
      </c>
      <c r="AC289" s="3" t="str">
        <f aca="false">PROPER(TRIM(raw_data!U289))</f>
        <v>Cancelled</v>
      </c>
      <c r="AD289" s="7" t="n">
        <f aca="false">T289*U289*(1-W289)</f>
        <v>6516.933</v>
      </c>
      <c r="AE289" s="7" t="n">
        <f aca="false">AD289-Z289</f>
        <v>2005.393</v>
      </c>
      <c r="AF289" s="8" t="n">
        <f aca="false">IF(AD289=0,0,AE289/AD289)</f>
        <v>0.307720364778953</v>
      </c>
      <c r="AG289" s="3" t="str">
        <f aca="false">IF(ABS(Y289-AD289)&gt;1,"Mismatch","OK")</f>
        <v>OK</v>
      </c>
      <c r="AH289" s="3" t="str">
        <f aca="false">IF(ABS(AA289-AE289)&gt;1,"Mismatch","OK")</f>
        <v>OK</v>
      </c>
      <c r="AI289" s="6" t="n">
        <f aca="false">IF(B289="","",MONTH(B289))</f>
        <v>9</v>
      </c>
      <c r="AJ289" s="6" t="n">
        <f aca="false">IF(B289="","",YEAR(B289))</f>
        <v>2024</v>
      </c>
      <c r="AK289" s="3" t="str">
        <f aca="false">IF(COUNTIF(raw_data!$A$2:$A$913,A289)&gt;1,"Conflicting Duplicate - Flagged for Review","Unique")</f>
        <v>Unique</v>
      </c>
      <c r="AL289" s="3" t="str">
        <f aca="false">IF(AB289="Refunded","Yes","No")</f>
        <v>No</v>
      </c>
      <c r="AM289" s="3" t="str">
        <f aca="false">IF(OR(AC289&lt;&gt;"Completed",AB289="Failed"),"Excluded","Included")</f>
        <v>Excluded</v>
      </c>
      <c r="AN289" s="3" t="str">
        <f aca="false">IF(OR(D289="Invalid/Unrecognized",E289="Invalid/Unrecognized",G289="Invalid - Ship Before Order",X289="Negative - Invalid",X289="Above Allowed Range - Invalid",AG289="Mismatch",AH289="Mismatch",AK289="Conflicting Duplicate - Flagged for Review"),"Invalid",IF(OR(L289="Filled - Unknown",S289="Filled - Unknown",X289="Missing - Defaulted to 0",AL289="Yes",AC289="Cancelled",AC289="Returned"),"Warning","Clean"))</f>
        <v>Warning</v>
      </c>
    </row>
    <row r="290" customFormat="false" ht="15" hidden="false" customHeight="false" outlineLevel="0" collapsed="false">
      <c r="A290" s="3" t="str">
        <f aca="false">raw_data!A290</f>
        <v>ORD-2024-10289</v>
      </c>
      <c r="B290" s="4" t="n">
        <f aca="false">IFERROR(IF(MID(raw_data!B290,3,1)="/",DATE(VALUE(RIGHT(raw_data!B290,4)),VALUE(LEFT(raw_data!B290,2)),VALUE(MID(raw_data!B290,4,2))),IF(MID(raw_data!B290,3,1)="-",DATE(VALUE(RIGHT(raw_data!B290,4)),VALUE(MID(raw_data!B290,4,2)),VALUE(LEFT(raw_data!B290,2))),IF(MID(raw_data!B290,5,1)="-",DATE(VALUE(LEFT(raw_data!B290,4)),VALUE(MID(raw_data!B290,6,2)),VALUE(RIGHT(raw_data!B290,2))),DATE(VALUE(RIGHT(raw_data!B290,4)),MATCH(MID(raw_data!B290,4,3),{"Jan","Feb","Mar","Apr","May","Jun","Jul","Aug","Sep","Oct","Nov","Dec"},0),VALUE(LEFT(raw_data!B290,2)))))),"")</f>
        <v>45467</v>
      </c>
      <c r="C290" s="4" t="n">
        <f aca="false">IFERROR(IF(MID(raw_data!C290,3,1)="/",DATE(VALUE(RIGHT(raw_data!C290,4)),VALUE(LEFT(raw_data!C290,2)),VALUE(MID(raw_data!C290,4,2))),IF(MID(raw_data!C290,3,1)="-",DATE(VALUE(RIGHT(raw_data!C290,4)),VALUE(MID(raw_data!C290,4,2)),VALUE(LEFT(raw_data!C290,2))),IF(MID(raw_data!C290,5,1)="-",DATE(VALUE(LEFT(raw_data!C290,4)),VALUE(MID(raw_data!C290,6,2)),VALUE(RIGHT(raw_data!C290,2))),DATE(VALUE(RIGHT(raw_data!C290,4)),MATCH(MID(raw_data!C290,4,3),{"Jan","Feb","Mar","Apr","May","Jun","Jul","Aug","Sep","Oct","Nov","Dec"},0),VALUE(LEFT(raw_data!C290,2)))))),"")</f>
        <v>45467</v>
      </c>
      <c r="D290" s="3" t="str">
        <f aca="false">IF(TRIM(raw_data!B290)="","Missing",IF(B290="","Invalid/Unrecognized","Valid"))</f>
        <v>Valid</v>
      </c>
      <c r="E290" s="3" t="str">
        <f aca="false">IF(TRIM(raw_data!C290)="","Missing",IF(C290="","Invalid/Unrecognized","Valid"))</f>
        <v>Valid</v>
      </c>
      <c r="F290" s="5" t="n">
        <f aca="false">IF(OR(B290="",C290=""),"",C290-B290)</f>
        <v>0</v>
      </c>
      <c r="G290" s="3" t="str">
        <f aca="false">IF(F290="","N/A",IF(F290&lt;0,"Invalid - Ship Before Order","OK"))</f>
        <v>OK</v>
      </c>
      <c r="H290" s="3" t="str">
        <f aca="false">raw_data!D290</f>
        <v>CUST-4805</v>
      </c>
      <c r="I290" s="3" t="str">
        <f aca="false">PROPER(TRIM(raw_data!E290))</f>
        <v>Rohan Mehta</v>
      </c>
      <c r="J290" s="3" t="str">
        <f aca="false">PROPER(TRIM(raw_data!F290))</f>
        <v>Small Business</v>
      </c>
      <c r="K290" s="3" t="str">
        <f aca="false">IF(TRIM(raw_data!G290)="","Unknown",PROPER(TRIM(raw_data!G290)))</f>
        <v>East</v>
      </c>
      <c r="L290" s="3" t="str">
        <f aca="false">IF(TRIM(raw_data!G290)="","Filled - Unknown","OK")</f>
        <v>OK</v>
      </c>
      <c r="M290" s="3" t="str">
        <f aca="false">PROPER(TRIM(raw_data!H290))</f>
        <v>Bihar</v>
      </c>
      <c r="N290" s="3" t="str">
        <f aca="false">PROPER(TRIM(raw_data!I290))</f>
        <v>Patna</v>
      </c>
      <c r="O290" s="3" t="str">
        <f aca="false">PROPER(TRIM(raw_data!J290))</f>
        <v>Office Supplies</v>
      </c>
      <c r="P290" s="3" t="str">
        <f aca="false">PROPER(TRIM(raw_data!K290))</f>
        <v>Binders</v>
      </c>
      <c r="Q290" s="3" t="str">
        <f aca="false">TRIM(raw_data!L290)</f>
        <v>Classic Binders 721</v>
      </c>
      <c r="R290" s="3" t="str">
        <f aca="false">IF(TRIM(raw_data!M290)="","Unknown",PROPER(TRIM(raw_data!M290)))</f>
        <v>Same Day</v>
      </c>
      <c r="S290" s="3" t="str">
        <f aca="false">IF(TRIM(raw_data!M290)="","Filled - Unknown","OK")</f>
        <v>OK</v>
      </c>
      <c r="T290" s="6" t="n">
        <f aca="false">raw_data!N290</f>
        <v>2</v>
      </c>
      <c r="U290" s="7" t="n">
        <f aca="false">raw_data!O290</f>
        <v>4359.9</v>
      </c>
      <c r="V290" s="8" t="n">
        <f aca="false">raw_data!P290</f>
        <v>0.15</v>
      </c>
      <c r="W290" s="8" t="n">
        <f aca="false">IF(raw_data!P290="",0,IF(ISTEXT(raw_data!P290),IF(RIGHT(raw_data!P290,1)="%",VALUE(LEFT(raw_data!P290,LEN(raw_data!P290)-1))/100,VALUE(raw_data!P290)),raw_data!P290))</f>
        <v>0.15</v>
      </c>
      <c r="X290" s="3" t="str">
        <f aca="false">IF(raw_data!P290="","Missing - Defaulted to 0",IF(W290&lt;0,"Negative - Invalid",IF(W290&gt;0.3,"Above Allowed Range - Invalid","Valid")))</f>
        <v>Valid</v>
      </c>
      <c r="Y290" s="7" t="n">
        <f aca="false">raw_data!Q290</f>
        <v>7411.83</v>
      </c>
      <c r="Z290" s="7" t="n">
        <f aca="false">raw_data!R290</f>
        <v>4904.63</v>
      </c>
      <c r="AA290" s="7" t="n">
        <f aca="false">raw_data!S290</f>
        <v>2507.2</v>
      </c>
      <c r="AB290" s="3" t="str">
        <f aca="false">PROPER(TRIM(raw_data!T290))</f>
        <v>Paid</v>
      </c>
      <c r="AC290" s="3" t="str">
        <f aca="false">PROPER(TRIM(raw_data!U290))</f>
        <v>Completed</v>
      </c>
      <c r="AD290" s="7" t="n">
        <f aca="false">T290*U290*(1-W290)</f>
        <v>7411.83</v>
      </c>
      <c r="AE290" s="7" t="n">
        <f aca="false">AD290-Z290</f>
        <v>2507.2</v>
      </c>
      <c r="AF290" s="8" t="n">
        <f aca="false">IF(AD290=0,0,AE290/AD290)</f>
        <v>0.338270035875081</v>
      </c>
      <c r="AG290" s="3" t="str">
        <f aca="false">IF(ABS(Y290-AD290)&gt;1,"Mismatch","OK")</f>
        <v>OK</v>
      </c>
      <c r="AH290" s="3" t="str">
        <f aca="false">IF(ABS(AA290-AE290)&gt;1,"Mismatch","OK")</f>
        <v>OK</v>
      </c>
      <c r="AI290" s="6" t="n">
        <f aca="false">IF(B290="","",MONTH(B290))</f>
        <v>6</v>
      </c>
      <c r="AJ290" s="6" t="n">
        <f aca="false">IF(B290="","",YEAR(B290))</f>
        <v>2024</v>
      </c>
      <c r="AK290" s="3" t="str">
        <f aca="false">IF(COUNTIF(raw_data!$A$2:$A$913,A290)&gt;1,"Conflicting Duplicate - Flagged for Review","Unique")</f>
        <v>Unique</v>
      </c>
      <c r="AL290" s="3" t="str">
        <f aca="false">IF(AB290="Refunded","Yes","No")</f>
        <v>No</v>
      </c>
      <c r="AM290" s="3" t="str">
        <f aca="false">IF(OR(AC290&lt;&gt;"Completed",AB290="Failed"),"Excluded","Included")</f>
        <v>Included</v>
      </c>
      <c r="AN290" s="3" t="str">
        <f aca="false">IF(OR(D290="Invalid/Unrecognized",E290="Invalid/Unrecognized",G290="Invalid - Ship Before Order",X290="Negative - Invalid",X290="Above Allowed Range - Invalid",AG290="Mismatch",AH290="Mismatch",AK290="Conflicting Duplicate - Flagged for Review"),"Invalid",IF(OR(L290="Filled - Unknown",S290="Filled - Unknown",X290="Missing - Defaulted to 0",AL290="Yes",AC290="Cancelled",AC290="Returned"),"Warning","Clean"))</f>
        <v>Clean</v>
      </c>
    </row>
    <row r="291" customFormat="false" ht="15" hidden="false" customHeight="false" outlineLevel="0" collapsed="false">
      <c r="A291" s="3" t="str">
        <f aca="false">raw_data!A291</f>
        <v>ORD-2025-10290</v>
      </c>
      <c r="B291" s="4" t="n">
        <f aca="false">IFERROR(IF(MID(raw_data!B291,3,1)="/",DATE(VALUE(RIGHT(raw_data!B291,4)),VALUE(LEFT(raw_data!B291,2)),VALUE(MID(raw_data!B291,4,2))),IF(MID(raw_data!B291,3,1)="-",DATE(VALUE(RIGHT(raw_data!B291,4)),VALUE(MID(raw_data!B291,4,2)),VALUE(LEFT(raw_data!B291,2))),IF(MID(raw_data!B291,5,1)="-",DATE(VALUE(LEFT(raw_data!B291,4)),VALUE(MID(raw_data!B291,6,2)),VALUE(RIGHT(raw_data!B291,2))),DATE(VALUE(RIGHT(raw_data!B291,4)),MATCH(MID(raw_data!B291,4,3),{"Jan","Feb","Mar","Apr","May","Jun","Jul","Aug","Sep","Oct","Nov","Dec"},0),VALUE(LEFT(raw_data!B291,2)))))),"")</f>
        <v>45827</v>
      </c>
      <c r="C291" s="4" t="n">
        <f aca="false">IFERROR(IF(MID(raw_data!C291,3,1)="/",DATE(VALUE(RIGHT(raw_data!C291,4)),VALUE(LEFT(raw_data!C291,2)),VALUE(MID(raw_data!C291,4,2))),IF(MID(raw_data!C291,3,1)="-",DATE(VALUE(RIGHT(raw_data!C291,4)),VALUE(MID(raw_data!C291,4,2)),VALUE(LEFT(raw_data!C291,2))),IF(MID(raw_data!C291,5,1)="-",DATE(VALUE(LEFT(raw_data!C291,4)),VALUE(MID(raw_data!C291,6,2)),VALUE(RIGHT(raw_data!C291,2))),DATE(VALUE(RIGHT(raw_data!C291,4)),MATCH(MID(raw_data!C291,4,3),{"Jan","Feb","Mar","Apr","May","Jun","Jul","Aug","Sep","Oct","Nov","Dec"},0),VALUE(LEFT(raw_data!C291,2)))))),"")</f>
        <v>45835</v>
      </c>
      <c r="D291" s="3" t="str">
        <f aca="false">IF(TRIM(raw_data!B291)="","Missing",IF(B291="","Invalid/Unrecognized","Valid"))</f>
        <v>Valid</v>
      </c>
      <c r="E291" s="3" t="str">
        <f aca="false">IF(TRIM(raw_data!C291)="","Missing",IF(C291="","Invalid/Unrecognized","Valid"))</f>
        <v>Valid</v>
      </c>
      <c r="F291" s="5" t="n">
        <f aca="false">IF(OR(B291="",C291=""),"",C291-B291)</f>
        <v>8</v>
      </c>
      <c r="G291" s="3" t="str">
        <f aca="false">IF(F291="","N/A",IF(F291&lt;0,"Invalid - Ship Before Order","OK"))</f>
        <v>OK</v>
      </c>
      <c r="H291" s="3" t="str">
        <f aca="false">raw_data!D291</f>
        <v>CUST-9114</v>
      </c>
      <c r="I291" s="3" t="str">
        <f aca="false">PROPER(TRIM(raw_data!E291))</f>
        <v>Karan Malhotra</v>
      </c>
      <c r="J291" s="3" t="str">
        <f aca="false">PROPER(TRIM(raw_data!F291))</f>
        <v>Home Office</v>
      </c>
      <c r="K291" s="3" t="str">
        <f aca="false">IF(TRIM(raw_data!G291)="","Unknown",PROPER(TRIM(raw_data!G291)))</f>
        <v>South</v>
      </c>
      <c r="L291" s="3" t="str">
        <f aca="false">IF(TRIM(raw_data!G291)="","Filled - Unknown","OK")</f>
        <v>OK</v>
      </c>
      <c r="M291" s="3" t="str">
        <f aca="false">PROPER(TRIM(raw_data!H291))</f>
        <v>Tamil Nadu</v>
      </c>
      <c r="N291" s="3" t="str">
        <f aca="false">PROPER(TRIM(raw_data!I291))</f>
        <v>Chennai</v>
      </c>
      <c r="O291" s="3" t="str">
        <f aca="false">PROPER(TRIM(raw_data!J291))</f>
        <v>Furniture</v>
      </c>
      <c r="P291" s="3" t="str">
        <f aca="false">PROPER(TRIM(raw_data!K291))</f>
        <v>Bookcases</v>
      </c>
      <c r="Q291" s="3" t="str">
        <f aca="false">TRIM(raw_data!L291)</f>
        <v>Basic Bookcases 823</v>
      </c>
      <c r="R291" s="3" t="str">
        <f aca="false">IF(TRIM(raw_data!M291)="","Unknown",PROPER(TRIM(raw_data!M291)))</f>
        <v>First Class</v>
      </c>
      <c r="S291" s="3" t="str">
        <f aca="false">IF(TRIM(raw_data!M291)="","Filled - Unknown","OK")</f>
        <v>OK</v>
      </c>
      <c r="T291" s="6" t="n">
        <f aca="false">raw_data!N291</f>
        <v>2</v>
      </c>
      <c r="U291" s="7" t="n">
        <f aca="false">raw_data!O291</f>
        <v>4346.69</v>
      </c>
      <c r="V291" s="8" t="n">
        <f aca="false">raw_data!P291</f>
        <v>0.05</v>
      </c>
      <c r="W291" s="8" t="n">
        <f aca="false">IF(raw_data!P291="",0,IF(ISTEXT(raw_data!P291),IF(RIGHT(raw_data!P291,1)="%",VALUE(LEFT(raw_data!P291,LEN(raw_data!P291)-1))/100,VALUE(raw_data!P291)),raw_data!P291))</f>
        <v>0.05</v>
      </c>
      <c r="X291" s="3" t="str">
        <f aca="false">IF(raw_data!P291="","Missing - Defaulted to 0",IF(W291&lt;0,"Negative - Invalid",IF(W291&gt;0.3,"Above Allowed Range - Invalid","Valid")))</f>
        <v>Valid</v>
      </c>
      <c r="Y291" s="7" t="n">
        <f aca="false">raw_data!Q291</f>
        <v>8258.71</v>
      </c>
      <c r="Z291" s="7" t="n">
        <f aca="false">raw_data!R291</f>
        <v>7018.97</v>
      </c>
      <c r="AA291" s="7" t="n">
        <f aca="false">raw_data!S291</f>
        <v>1239.74</v>
      </c>
      <c r="AB291" s="3" t="str">
        <f aca="false">PROPER(TRIM(raw_data!T291))</f>
        <v>Paid</v>
      </c>
      <c r="AC291" s="3" t="str">
        <f aca="false">PROPER(TRIM(raw_data!U291))</f>
        <v>Completed</v>
      </c>
      <c r="AD291" s="7" t="n">
        <f aca="false">T291*U291*(1-W291)</f>
        <v>8258.711</v>
      </c>
      <c r="AE291" s="7" t="n">
        <f aca="false">AD291-Z291</f>
        <v>1239.741</v>
      </c>
      <c r="AF291" s="8" t="n">
        <f aca="false">IF(AD291=0,0,AE291/AD291)</f>
        <v>0.150113135088514</v>
      </c>
      <c r="AG291" s="3" t="str">
        <f aca="false">IF(ABS(Y291-AD291)&gt;1,"Mismatch","OK")</f>
        <v>OK</v>
      </c>
      <c r="AH291" s="3" t="str">
        <f aca="false">IF(ABS(AA291-AE291)&gt;1,"Mismatch","OK")</f>
        <v>OK</v>
      </c>
      <c r="AI291" s="6" t="n">
        <f aca="false">IF(B291="","",MONTH(B291))</f>
        <v>6</v>
      </c>
      <c r="AJ291" s="6" t="n">
        <f aca="false">IF(B291="","",YEAR(B291))</f>
        <v>2025</v>
      </c>
      <c r="AK291" s="3" t="str">
        <f aca="false">IF(COUNTIF(raw_data!$A$2:$A$913,A291)&gt;1,"Conflicting Duplicate - Flagged for Review","Unique")</f>
        <v>Unique</v>
      </c>
      <c r="AL291" s="3" t="str">
        <f aca="false">IF(AB291="Refunded","Yes","No")</f>
        <v>No</v>
      </c>
      <c r="AM291" s="3" t="str">
        <f aca="false">IF(OR(AC291&lt;&gt;"Completed",AB291="Failed"),"Excluded","Included")</f>
        <v>Included</v>
      </c>
      <c r="AN291" s="3" t="str">
        <f aca="false">IF(OR(D291="Invalid/Unrecognized",E291="Invalid/Unrecognized",G291="Invalid - Ship Before Order",X291="Negative - Invalid",X291="Above Allowed Range - Invalid",AG291="Mismatch",AH291="Mismatch",AK291="Conflicting Duplicate - Flagged for Review"),"Invalid",IF(OR(L291="Filled - Unknown",S291="Filled - Unknown",X291="Missing - Defaulted to 0",AL291="Yes",AC291="Cancelled",AC291="Returned"),"Warning","Clean"))</f>
        <v>Clean</v>
      </c>
    </row>
    <row r="292" customFormat="false" ht="15" hidden="false" customHeight="false" outlineLevel="0" collapsed="false">
      <c r="A292" s="3" t="str">
        <f aca="false">raw_data!A292</f>
        <v>ORD-2025-10291</v>
      </c>
      <c r="B292" s="4" t="n">
        <f aca="false">IFERROR(IF(MID(raw_data!B292,3,1)="/",DATE(VALUE(RIGHT(raw_data!B292,4)),VALUE(LEFT(raw_data!B292,2)),VALUE(MID(raw_data!B292,4,2))),IF(MID(raw_data!B292,3,1)="-",DATE(VALUE(RIGHT(raw_data!B292,4)),VALUE(MID(raw_data!B292,4,2)),VALUE(LEFT(raw_data!B292,2))),IF(MID(raw_data!B292,5,1)="-",DATE(VALUE(LEFT(raw_data!B292,4)),VALUE(MID(raw_data!B292,6,2)),VALUE(RIGHT(raw_data!B292,2))),DATE(VALUE(RIGHT(raw_data!B292,4)),MATCH(MID(raw_data!B292,4,3),{"Jan","Feb","Mar","Apr","May","Jun","Jul","Aug","Sep","Oct","Nov","Dec"},0),VALUE(LEFT(raw_data!B292,2)))))),"")</f>
        <v>45891</v>
      </c>
      <c r="C292" s="4" t="n">
        <f aca="false">IFERROR(IF(MID(raw_data!C292,3,1)="/",DATE(VALUE(RIGHT(raw_data!C292,4)),VALUE(LEFT(raw_data!C292,2)),VALUE(MID(raw_data!C292,4,2))),IF(MID(raw_data!C292,3,1)="-",DATE(VALUE(RIGHT(raw_data!C292,4)),VALUE(MID(raw_data!C292,4,2)),VALUE(LEFT(raw_data!C292,2))),IF(MID(raw_data!C292,5,1)="-",DATE(VALUE(LEFT(raw_data!C292,4)),VALUE(MID(raw_data!C292,6,2)),VALUE(RIGHT(raw_data!C292,2))),DATE(VALUE(RIGHT(raw_data!C292,4)),MATCH(MID(raw_data!C292,4,3),{"Jan","Feb","Mar","Apr","May","Jun","Jul","Aug","Sep","Oct","Nov","Dec"},0),VALUE(LEFT(raw_data!C292,2)))))),"")</f>
        <v>45895</v>
      </c>
      <c r="D292" s="3" t="str">
        <f aca="false">IF(TRIM(raw_data!B292)="","Missing",IF(B292="","Invalid/Unrecognized","Valid"))</f>
        <v>Valid</v>
      </c>
      <c r="E292" s="3" t="str">
        <f aca="false">IF(TRIM(raw_data!C292)="","Missing",IF(C292="","Invalid/Unrecognized","Valid"))</f>
        <v>Valid</v>
      </c>
      <c r="F292" s="5" t="n">
        <f aca="false">IF(OR(B292="",C292=""),"",C292-B292)</f>
        <v>4</v>
      </c>
      <c r="G292" s="3" t="str">
        <f aca="false">IF(F292="","N/A",IF(F292&lt;0,"Invalid - Ship Before Order","OK"))</f>
        <v>OK</v>
      </c>
      <c r="H292" s="3" t="str">
        <f aca="false">raw_data!D292</f>
        <v>CUST-8557</v>
      </c>
      <c r="I292" s="3" t="str">
        <f aca="false">PROPER(TRIM(raw_data!E292))</f>
        <v>Diya Patel</v>
      </c>
      <c r="J292" s="3" t="str">
        <f aca="false">PROPER(TRIM(raw_data!F292))</f>
        <v>Home Office</v>
      </c>
      <c r="K292" s="3" t="str">
        <f aca="false">IF(TRIM(raw_data!G292)="","Unknown",PROPER(TRIM(raw_data!G292)))</f>
        <v>East</v>
      </c>
      <c r="L292" s="3" t="str">
        <f aca="false">IF(TRIM(raw_data!G292)="","Filled - Unknown","OK")</f>
        <v>OK</v>
      </c>
      <c r="M292" s="3" t="str">
        <f aca="false">PROPER(TRIM(raw_data!H292))</f>
        <v>Jharkhand</v>
      </c>
      <c r="N292" s="3" t="str">
        <f aca="false">PROPER(TRIM(raw_data!I292))</f>
        <v>Ranchi</v>
      </c>
      <c r="O292" s="3" t="str">
        <f aca="false">PROPER(TRIM(raw_data!J292))</f>
        <v>Furniture</v>
      </c>
      <c r="P292" s="3" t="str">
        <f aca="false">PROPER(TRIM(raw_data!K292))</f>
        <v>Tables</v>
      </c>
      <c r="Q292" s="3" t="str">
        <f aca="false">TRIM(raw_data!L292)</f>
        <v>Classic Tables 178</v>
      </c>
      <c r="R292" s="3" t="str">
        <f aca="false">IF(TRIM(raw_data!M292)="","Unknown",PROPER(TRIM(raw_data!M292)))</f>
        <v>Standard Class</v>
      </c>
      <c r="S292" s="3" t="str">
        <f aca="false">IF(TRIM(raw_data!M292)="","Filled - Unknown","OK")</f>
        <v>OK</v>
      </c>
      <c r="T292" s="6" t="n">
        <f aca="false">raw_data!N292</f>
        <v>1</v>
      </c>
      <c r="U292" s="7" t="n">
        <f aca="false">raw_data!O292</f>
        <v>1842.63</v>
      </c>
      <c r="V292" s="8" t="n">
        <f aca="false">raw_data!P292</f>
        <v>0.1</v>
      </c>
      <c r="W292" s="8" t="n">
        <f aca="false">IF(raw_data!P292="",0,IF(ISTEXT(raw_data!P292),IF(RIGHT(raw_data!P292,1)="%",VALUE(LEFT(raw_data!P292,LEN(raw_data!P292)-1))/100,VALUE(raw_data!P292)),raw_data!P292))</f>
        <v>0.1</v>
      </c>
      <c r="X292" s="3" t="str">
        <f aca="false">IF(raw_data!P292="","Missing - Defaulted to 0",IF(W292&lt;0,"Negative - Invalid",IF(W292&gt;0.3,"Above Allowed Range - Invalid","Valid")))</f>
        <v>Valid</v>
      </c>
      <c r="Y292" s="7" t="n">
        <f aca="false">raw_data!Q292</f>
        <v>1658.37</v>
      </c>
      <c r="Z292" s="7" t="n">
        <f aca="false">raw_data!R292</f>
        <v>971.12</v>
      </c>
      <c r="AA292" s="7" t="n">
        <f aca="false">raw_data!S292</f>
        <v>687.25</v>
      </c>
      <c r="AB292" s="3" t="str">
        <f aca="false">PROPER(TRIM(raw_data!T292))</f>
        <v>Paid</v>
      </c>
      <c r="AC292" s="3" t="str">
        <f aca="false">PROPER(TRIM(raw_data!U292))</f>
        <v>Completed</v>
      </c>
      <c r="AD292" s="7" t="n">
        <f aca="false">T292*U292*(1-W292)</f>
        <v>1658.367</v>
      </c>
      <c r="AE292" s="7" t="n">
        <f aca="false">AD292-Z292</f>
        <v>687.247</v>
      </c>
      <c r="AF292" s="8" t="n">
        <f aca="false">IF(AD292=0,0,AE292/AD292)</f>
        <v>0.414411888321463</v>
      </c>
      <c r="AG292" s="3" t="str">
        <f aca="false">IF(ABS(Y292-AD292)&gt;1,"Mismatch","OK")</f>
        <v>OK</v>
      </c>
      <c r="AH292" s="3" t="str">
        <f aca="false">IF(ABS(AA292-AE292)&gt;1,"Mismatch","OK")</f>
        <v>OK</v>
      </c>
      <c r="AI292" s="6" t="n">
        <f aca="false">IF(B292="","",MONTH(B292))</f>
        <v>8</v>
      </c>
      <c r="AJ292" s="6" t="n">
        <f aca="false">IF(B292="","",YEAR(B292))</f>
        <v>2025</v>
      </c>
      <c r="AK292" s="3" t="str">
        <f aca="false">IF(COUNTIF(raw_data!$A$2:$A$913,A292)&gt;1,"Conflicting Duplicate - Flagged for Review","Unique")</f>
        <v>Unique</v>
      </c>
      <c r="AL292" s="3" t="str">
        <f aca="false">IF(AB292="Refunded","Yes","No")</f>
        <v>No</v>
      </c>
      <c r="AM292" s="3" t="str">
        <f aca="false">IF(OR(AC292&lt;&gt;"Completed",AB292="Failed"),"Excluded","Included")</f>
        <v>Included</v>
      </c>
      <c r="AN292" s="3" t="str">
        <f aca="false">IF(OR(D292="Invalid/Unrecognized",E292="Invalid/Unrecognized",G292="Invalid - Ship Before Order",X292="Negative - Invalid",X292="Above Allowed Range - Invalid",AG292="Mismatch",AH292="Mismatch",AK292="Conflicting Duplicate - Flagged for Review"),"Invalid",IF(OR(L292="Filled - Unknown",S292="Filled - Unknown",X292="Missing - Defaulted to 0",AL292="Yes",AC292="Cancelled",AC292="Returned"),"Warning","Clean"))</f>
        <v>Clean</v>
      </c>
    </row>
    <row r="293" customFormat="false" ht="15" hidden="false" customHeight="false" outlineLevel="0" collapsed="false">
      <c r="A293" s="3" t="str">
        <f aca="false">raw_data!A293</f>
        <v>ORD-2024-10292</v>
      </c>
      <c r="B293" s="4" t="n">
        <f aca="false">IFERROR(IF(MID(raw_data!B293,3,1)="/",DATE(VALUE(RIGHT(raw_data!B293,4)),VALUE(LEFT(raw_data!B293,2)),VALUE(MID(raw_data!B293,4,2))),IF(MID(raw_data!B293,3,1)="-",DATE(VALUE(RIGHT(raw_data!B293,4)),VALUE(MID(raw_data!B293,4,2)),VALUE(LEFT(raw_data!B293,2))),IF(MID(raw_data!B293,5,1)="-",DATE(VALUE(LEFT(raw_data!B293,4)),VALUE(MID(raw_data!B293,6,2)),VALUE(RIGHT(raw_data!B293,2))),DATE(VALUE(RIGHT(raw_data!B293,4)),MATCH(MID(raw_data!B293,4,3),{"Jan","Feb","Mar","Apr","May","Jun","Jul","Aug","Sep","Oct","Nov","Dec"},0),VALUE(LEFT(raw_data!B293,2)))))),"")</f>
        <v>45387</v>
      </c>
      <c r="C293" s="4" t="n">
        <f aca="false">IFERROR(IF(MID(raw_data!C293,3,1)="/",DATE(VALUE(RIGHT(raw_data!C293,4)),VALUE(LEFT(raw_data!C293,2)),VALUE(MID(raw_data!C293,4,2))),IF(MID(raw_data!C293,3,1)="-",DATE(VALUE(RIGHT(raw_data!C293,4)),VALUE(MID(raw_data!C293,4,2)),VALUE(LEFT(raw_data!C293,2))),IF(MID(raw_data!C293,5,1)="-",DATE(VALUE(LEFT(raw_data!C293,4)),VALUE(MID(raw_data!C293,6,2)),VALUE(RIGHT(raw_data!C293,2))),DATE(VALUE(RIGHT(raw_data!C293,4)),MATCH(MID(raw_data!C293,4,3),{"Jan","Feb","Mar","Apr","May","Jun","Jul","Aug","Sep","Oct","Nov","Dec"},0),VALUE(LEFT(raw_data!C293,2)))))),"")</f>
        <v>45392</v>
      </c>
      <c r="D293" s="3" t="str">
        <f aca="false">IF(TRIM(raw_data!B293)="","Missing",IF(B293="","Invalid/Unrecognized","Valid"))</f>
        <v>Valid</v>
      </c>
      <c r="E293" s="3" t="str">
        <f aca="false">IF(TRIM(raw_data!C293)="","Missing",IF(C293="","Invalid/Unrecognized","Valid"))</f>
        <v>Valid</v>
      </c>
      <c r="F293" s="5" t="n">
        <f aca="false">IF(OR(B293="",C293=""),"",C293-B293)</f>
        <v>5</v>
      </c>
      <c r="G293" s="3" t="str">
        <f aca="false">IF(F293="","N/A",IF(F293&lt;0,"Invalid - Ship Before Order","OK"))</f>
        <v>OK</v>
      </c>
      <c r="H293" s="3" t="str">
        <f aca="false">raw_data!D293</f>
        <v>CUST-2860</v>
      </c>
      <c r="I293" s="3" t="str">
        <f aca="false">PROPER(TRIM(raw_data!E293))</f>
        <v>Priya Menon</v>
      </c>
      <c r="J293" s="3" t="str">
        <f aca="false">PROPER(TRIM(raw_data!F293))</f>
        <v>Home Office</v>
      </c>
      <c r="K293" s="3" t="str">
        <f aca="false">IF(TRIM(raw_data!G293)="","Unknown",PROPER(TRIM(raw_data!G293)))</f>
        <v>North</v>
      </c>
      <c r="L293" s="3" t="str">
        <f aca="false">IF(TRIM(raw_data!G293)="","Filled - Unknown","OK")</f>
        <v>OK</v>
      </c>
      <c r="M293" s="3" t="str">
        <f aca="false">PROPER(TRIM(raw_data!H293))</f>
        <v>Rajasthan</v>
      </c>
      <c r="N293" s="3" t="str">
        <f aca="false">PROPER(TRIM(raw_data!I293))</f>
        <v>Jaipur</v>
      </c>
      <c r="O293" s="3" t="str">
        <f aca="false">PROPER(TRIM(raw_data!J293))</f>
        <v>Office Supplies</v>
      </c>
      <c r="P293" s="3" t="str">
        <f aca="false">PROPER(TRIM(raw_data!K293))</f>
        <v>Binders</v>
      </c>
      <c r="Q293" s="3" t="str">
        <f aca="false">TRIM(raw_data!L293)</f>
        <v>Eco Binders 153</v>
      </c>
      <c r="R293" s="3" t="str">
        <f aca="false">IF(TRIM(raw_data!M293)="","Unknown",PROPER(TRIM(raw_data!M293)))</f>
        <v>Standard Class</v>
      </c>
      <c r="S293" s="3" t="str">
        <f aca="false">IF(TRIM(raw_data!M293)="","Filled - Unknown","OK")</f>
        <v>OK</v>
      </c>
      <c r="T293" s="6" t="n">
        <f aca="false">raw_data!N293</f>
        <v>4</v>
      </c>
      <c r="U293" s="7" t="n">
        <f aca="false">raw_data!O293</f>
        <v>3228.66</v>
      </c>
      <c r="V293" s="8" t="n">
        <f aca="false">raw_data!P293</f>
        <v>0.25</v>
      </c>
      <c r="W293" s="8" t="n">
        <f aca="false">IF(raw_data!P293="",0,IF(ISTEXT(raw_data!P293),IF(RIGHT(raw_data!P293,1)="%",VALUE(LEFT(raw_data!P293,LEN(raw_data!P293)-1))/100,VALUE(raw_data!P293)),raw_data!P293))</f>
        <v>0.25</v>
      </c>
      <c r="X293" s="3" t="str">
        <f aca="false">IF(raw_data!P293="","Missing - Defaulted to 0",IF(W293&lt;0,"Negative - Invalid",IF(W293&gt;0.3,"Above Allowed Range - Invalid","Valid")))</f>
        <v>Valid</v>
      </c>
      <c r="Y293" s="7" t="n">
        <f aca="false">raw_data!Q293</f>
        <v>9685.98</v>
      </c>
      <c r="Z293" s="7" t="n">
        <f aca="false">raw_data!R293</f>
        <v>7730.04</v>
      </c>
      <c r="AA293" s="7" t="n">
        <f aca="false">raw_data!S293</f>
        <v>1955.94</v>
      </c>
      <c r="AB293" s="3" t="str">
        <f aca="false">PROPER(TRIM(raw_data!T293))</f>
        <v>Paid</v>
      </c>
      <c r="AC293" s="3" t="str">
        <f aca="false">PROPER(TRIM(raw_data!U293))</f>
        <v>Completed</v>
      </c>
      <c r="AD293" s="7" t="n">
        <f aca="false">T293*U293*(1-W293)</f>
        <v>9685.98</v>
      </c>
      <c r="AE293" s="7" t="n">
        <f aca="false">AD293-Z293</f>
        <v>1955.94</v>
      </c>
      <c r="AF293" s="8" t="n">
        <f aca="false">IF(AD293=0,0,AE293/AD293)</f>
        <v>0.201935168150254</v>
      </c>
      <c r="AG293" s="3" t="str">
        <f aca="false">IF(ABS(Y293-AD293)&gt;1,"Mismatch","OK")</f>
        <v>OK</v>
      </c>
      <c r="AH293" s="3" t="str">
        <f aca="false">IF(ABS(AA293-AE293)&gt;1,"Mismatch","OK")</f>
        <v>OK</v>
      </c>
      <c r="AI293" s="6" t="n">
        <f aca="false">IF(B293="","",MONTH(B293))</f>
        <v>4</v>
      </c>
      <c r="AJ293" s="6" t="n">
        <f aca="false">IF(B293="","",YEAR(B293))</f>
        <v>2024</v>
      </c>
      <c r="AK293" s="3" t="str">
        <f aca="false">IF(COUNTIF(raw_data!$A$2:$A$913,A293)&gt;1,"Conflicting Duplicate - Flagged for Review","Unique")</f>
        <v>Unique</v>
      </c>
      <c r="AL293" s="3" t="str">
        <f aca="false">IF(AB293="Refunded","Yes","No")</f>
        <v>No</v>
      </c>
      <c r="AM293" s="3" t="str">
        <f aca="false">IF(OR(AC293&lt;&gt;"Completed",AB293="Failed"),"Excluded","Included")</f>
        <v>Included</v>
      </c>
      <c r="AN293" s="3" t="str">
        <f aca="false">IF(OR(D293="Invalid/Unrecognized",E293="Invalid/Unrecognized",G293="Invalid - Ship Before Order",X293="Negative - Invalid",X293="Above Allowed Range - Invalid",AG293="Mismatch",AH293="Mismatch",AK293="Conflicting Duplicate - Flagged for Review"),"Invalid",IF(OR(L293="Filled - Unknown",S293="Filled - Unknown",X293="Missing - Defaulted to 0",AL293="Yes",AC293="Cancelled",AC293="Returned"),"Warning","Clean"))</f>
        <v>Clean</v>
      </c>
    </row>
    <row r="294" customFormat="false" ht="15" hidden="false" customHeight="false" outlineLevel="0" collapsed="false">
      <c r="A294" s="3" t="str">
        <f aca="false">raw_data!A294</f>
        <v>ORD-2025-10293</v>
      </c>
      <c r="B294" s="4" t="n">
        <f aca="false">IFERROR(IF(MID(raw_data!B294,3,1)="/",DATE(VALUE(RIGHT(raw_data!B294,4)),VALUE(LEFT(raw_data!B294,2)),VALUE(MID(raw_data!B294,4,2))),IF(MID(raw_data!B294,3,1)="-",DATE(VALUE(RIGHT(raw_data!B294,4)),VALUE(MID(raw_data!B294,4,2)),VALUE(LEFT(raw_data!B294,2))),IF(MID(raw_data!B294,5,1)="-",DATE(VALUE(LEFT(raw_data!B294,4)),VALUE(MID(raw_data!B294,6,2)),VALUE(RIGHT(raw_data!B294,2))),DATE(VALUE(RIGHT(raw_data!B294,4)),MATCH(MID(raw_data!B294,4,3),{"Jan","Feb","Mar","Apr","May","Jun","Jul","Aug","Sep","Oct","Nov","Dec"},0),VALUE(LEFT(raw_data!B294,2)))))),"")</f>
        <v>45716</v>
      </c>
      <c r="C294" s="4" t="n">
        <f aca="false">IFERROR(IF(MID(raw_data!C294,3,1)="/",DATE(VALUE(RIGHT(raw_data!C294,4)),VALUE(LEFT(raw_data!C294,2)),VALUE(MID(raw_data!C294,4,2))),IF(MID(raw_data!C294,3,1)="-",DATE(VALUE(RIGHT(raw_data!C294,4)),VALUE(MID(raw_data!C294,4,2)),VALUE(LEFT(raw_data!C294,2))),IF(MID(raw_data!C294,5,1)="-",DATE(VALUE(LEFT(raw_data!C294,4)),VALUE(MID(raw_data!C294,6,2)),VALUE(RIGHT(raw_data!C294,2))),DATE(VALUE(RIGHT(raw_data!C294,4)),MATCH(MID(raw_data!C294,4,3),{"Jan","Feb","Mar","Apr","May","Jun","Jul","Aug","Sep","Oct","Nov","Dec"},0),VALUE(LEFT(raw_data!C294,2)))))),"")</f>
        <v>45719</v>
      </c>
      <c r="D294" s="3" t="str">
        <f aca="false">IF(TRIM(raw_data!B294)="","Missing",IF(B294="","Invalid/Unrecognized","Valid"))</f>
        <v>Valid</v>
      </c>
      <c r="E294" s="3" t="str">
        <f aca="false">IF(TRIM(raw_data!C294)="","Missing",IF(C294="","Invalid/Unrecognized","Valid"))</f>
        <v>Valid</v>
      </c>
      <c r="F294" s="5" t="n">
        <f aca="false">IF(OR(B294="",C294=""),"",C294-B294)</f>
        <v>3</v>
      </c>
      <c r="G294" s="3" t="str">
        <f aca="false">IF(F294="","N/A",IF(F294&lt;0,"Invalid - Ship Before Order","OK"))</f>
        <v>OK</v>
      </c>
      <c r="H294" s="3" t="str">
        <f aca="false">raw_data!D294</f>
        <v>CUST-7837</v>
      </c>
      <c r="I294" s="3" t="str">
        <f aca="false">PROPER(TRIM(raw_data!E294))</f>
        <v>Kabir Singh</v>
      </c>
      <c r="J294" s="3" t="str">
        <f aca="false">PROPER(TRIM(raw_data!F294))</f>
        <v>Home Office</v>
      </c>
      <c r="K294" s="3" t="str">
        <f aca="false">IF(TRIM(raw_data!G294)="","Unknown",PROPER(TRIM(raw_data!G294)))</f>
        <v>North</v>
      </c>
      <c r="L294" s="3" t="str">
        <f aca="false">IF(TRIM(raw_data!G294)="","Filled - Unknown","OK")</f>
        <v>OK</v>
      </c>
      <c r="M294" s="3" t="str">
        <f aca="false">PROPER(TRIM(raw_data!H294))</f>
        <v>Haryana</v>
      </c>
      <c r="N294" s="3" t="str">
        <f aca="false">PROPER(TRIM(raw_data!I294))</f>
        <v>Gurugram</v>
      </c>
      <c r="O294" s="3" t="str">
        <f aca="false">PROPER(TRIM(raw_data!J294))</f>
        <v>Office Supplies</v>
      </c>
      <c r="P294" s="3" t="str">
        <f aca="false">PROPER(TRIM(raw_data!K294))</f>
        <v>Art</v>
      </c>
      <c r="Q294" s="3" t="str">
        <f aca="false">TRIM(raw_data!L294)</f>
        <v>Classic Art 183</v>
      </c>
      <c r="R294" s="3" t="str">
        <f aca="false">IF(TRIM(raw_data!M294)="","Unknown",PROPER(TRIM(raw_data!M294)))</f>
        <v>Same Day</v>
      </c>
      <c r="S294" s="3" t="str">
        <f aca="false">IF(TRIM(raw_data!M294)="","Filled - Unknown","OK")</f>
        <v>OK</v>
      </c>
      <c r="T294" s="6" t="n">
        <f aca="false">raw_data!N294</f>
        <v>9</v>
      </c>
      <c r="U294" s="7" t="n">
        <f aca="false">raw_data!O294</f>
        <v>3748.95</v>
      </c>
      <c r="V294" s="8" t="n">
        <f aca="false">raw_data!P294</f>
        <v>0</v>
      </c>
      <c r="W294" s="8" t="n">
        <f aca="false">IF(raw_data!P294="",0,IF(ISTEXT(raw_data!P294),IF(RIGHT(raw_data!P294,1)="%",VALUE(LEFT(raw_data!P294,LEN(raw_data!P294)-1))/100,VALUE(raw_data!P294)),raw_data!P294))</f>
        <v>0</v>
      </c>
      <c r="X294" s="3" t="str">
        <f aca="false">IF(raw_data!P294="","Missing - Defaulted to 0",IF(W294&lt;0,"Negative - Invalid",IF(W294&gt;0.3,"Above Allowed Range - Invalid","Valid")))</f>
        <v>Valid</v>
      </c>
      <c r="Y294" s="7" t="n">
        <f aca="false">raw_data!Q294</f>
        <v>33740.55</v>
      </c>
      <c r="Z294" s="7" t="n">
        <f aca="false">raw_data!R294</f>
        <v>24621.89</v>
      </c>
      <c r="AA294" s="7" t="n">
        <f aca="false">raw_data!S294</f>
        <v>9118.66</v>
      </c>
      <c r="AB294" s="3" t="str">
        <f aca="false">PROPER(TRIM(raw_data!T294))</f>
        <v>Pending</v>
      </c>
      <c r="AC294" s="3" t="str">
        <f aca="false">PROPER(TRIM(raw_data!U294))</f>
        <v>Cancelled</v>
      </c>
      <c r="AD294" s="7" t="n">
        <f aca="false">T294*U294*(1-W294)</f>
        <v>33740.55</v>
      </c>
      <c r="AE294" s="7" t="n">
        <f aca="false">AD294-Z294</f>
        <v>9118.66</v>
      </c>
      <c r="AF294" s="8" t="n">
        <f aca="false">IF(AD294=0,0,AE294/AD294)</f>
        <v>0.270258190811946</v>
      </c>
      <c r="AG294" s="3" t="str">
        <f aca="false">IF(ABS(Y294-AD294)&gt;1,"Mismatch","OK")</f>
        <v>OK</v>
      </c>
      <c r="AH294" s="3" t="str">
        <f aca="false">IF(ABS(AA294-AE294)&gt;1,"Mismatch","OK")</f>
        <v>OK</v>
      </c>
      <c r="AI294" s="6" t="n">
        <f aca="false">IF(B294="","",MONTH(B294))</f>
        <v>2</v>
      </c>
      <c r="AJ294" s="6" t="n">
        <f aca="false">IF(B294="","",YEAR(B294))</f>
        <v>2025</v>
      </c>
      <c r="AK294" s="3" t="str">
        <f aca="false">IF(COUNTIF(raw_data!$A$2:$A$913,A294)&gt;1,"Conflicting Duplicate - Flagged for Review","Unique")</f>
        <v>Unique</v>
      </c>
      <c r="AL294" s="3" t="str">
        <f aca="false">IF(AB294="Refunded","Yes","No")</f>
        <v>No</v>
      </c>
      <c r="AM294" s="3" t="str">
        <f aca="false">IF(OR(AC294&lt;&gt;"Completed",AB294="Failed"),"Excluded","Included")</f>
        <v>Excluded</v>
      </c>
      <c r="AN294" s="3" t="str">
        <f aca="false">IF(OR(D294="Invalid/Unrecognized",E294="Invalid/Unrecognized",G294="Invalid - Ship Before Order",X294="Negative - Invalid",X294="Above Allowed Range - Invalid",AG294="Mismatch",AH294="Mismatch",AK294="Conflicting Duplicate - Flagged for Review"),"Invalid",IF(OR(L294="Filled - Unknown",S294="Filled - Unknown",X294="Missing - Defaulted to 0",AL294="Yes",AC294="Cancelled",AC294="Returned"),"Warning","Clean"))</f>
        <v>Warning</v>
      </c>
    </row>
    <row r="295" customFormat="false" ht="15" hidden="false" customHeight="false" outlineLevel="0" collapsed="false">
      <c r="A295" s="3" t="str">
        <f aca="false">raw_data!A295</f>
        <v>ORD-2024-10294</v>
      </c>
      <c r="B295" s="4" t="n">
        <f aca="false">IFERROR(IF(MID(raw_data!B295,3,1)="/",DATE(VALUE(RIGHT(raw_data!B295,4)),VALUE(LEFT(raw_data!B295,2)),VALUE(MID(raw_data!B295,4,2))),IF(MID(raw_data!B295,3,1)="-",DATE(VALUE(RIGHT(raw_data!B295,4)),VALUE(MID(raw_data!B295,4,2)),VALUE(LEFT(raw_data!B295,2))),IF(MID(raw_data!B295,5,1)="-",DATE(VALUE(LEFT(raw_data!B295,4)),VALUE(MID(raw_data!B295,6,2)),VALUE(RIGHT(raw_data!B295,2))),DATE(VALUE(RIGHT(raw_data!B295,4)),MATCH(MID(raw_data!B295,4,3),{"Jan","Feb","Mar","Apr","May","Jun","Jul","Aug","Sep","Oct","Nov","Dec"},0),VALUE(LEFT(raw_data!B295,2)))))),"")</f>
        <v>45358</v>
      </c>
      <c r="C295" s="4" t="n">
        <f aca="false">IFERROR(IF(MID(raw_data!C295,3,1)="/",DATE(VALUE(RIGHT(raw_data!C295,4)),VALUE(LEFT(raw_data!C295,2)),VALUE(MID(raw_data!C295,4,2))),IF(MID(raw_data!C295,3,1)="-",DATE(VALUE(RIGHT(raw_data!C295,4)),VALUE(MID(raw_data!C295,4,2)),VALUE(LEFT(raw_data!C295,2))),IF(MID(raw_data!C295,5,1)="-",DATE(VALUE(LEFT(raw_data!C295,4)),VALUE(MID(raw_data!C295,6,2)),VALUE(RIGHT(raw_data!C295,2))),DATE(VALUE(RIGHT(raw_data!C295,4)),MATCH(MID(raw_data!C295,4,3),{"Jan","Feb","Mar","Apr","May","Jun","Jul","Aug","Sep","Oct","Nov","Dec"},0),VALUE(LEFT(raw_data!C295,2)))))),"")</f>
        <v>45362</v>
      </c>
      <c r="D295" s="3" t="str">
        <f aca="false">IF(TRIM(raw_data!B295)="","Missing",IF(B295="","Invalid/Unrecognized","Valid"))</f>
        <v>Valid</v>
      </c>
      <c r="E295" s="3" t="str">
        <f aca="false">IF(TRIM(raw_data!C295)="","Missing",IF(C295="","Invalid/Unrecognized","Valid"))</f>
        <v>Valid</v>
      </c>
      <c r="F295" s="5" t="n">
        <f aca="false">IF(OR(B295="",C295=""),"",C295-B295)</f>
        <v>4</v>
      </c>
      <c r="G295" s="3" t="str">
        <f aca="false">IF(F295="","N/A",IF(F295&lt;0,"Invalid - Ship Before Order","OK"))</f>
        <v>OK</v>
      </c>
      <c r="H295" s="3" t="str">
        <f aca="false">raw_data!D295</f>
        <v>CUST-7010</v>
      </c>
      <c r="I295" s="3" t="str">
        <f aca="false">PROPER(TRIM(raw_data!E295))</f>
        <v>Arjun Bose</v>
      </c>
      <c r="J295" s="3" t="str">
        <f aca="false">PROPER(TRIM(raw_data!F295))</f>
        <v>Home Office</v>
      </c>
      <c r="K295" s="3" t="str">
        <f aca="false">IF(TRIM(raw_data!G295)="","Unknown",PROPER(TRIM(raw_data!G295)))</f>
        <v>South</v>
      </c>
      <c r="L295" s="3" t="str">
        <f aca="false">IF(TRIM(raw_data!G295)="","Filled - Unknown","OK")</f>
        <v>OK</v>
      </c>
      <c r="M295" s="3" t="str">
        <f aca="false">PROPER(TRIM(raw_data!H295))</f>
        <v>Telangana</v>
      </c>
      <c r="N295" s="3" t="str">
        <f aca="false">PROPER(TRIM(raw_data!I295))</f>
        <v>Hyderabad</v>
      </c>
      <c r="O295" s="3" t="str">
        <f aca="false">PROPER(TRIM(raw_data!J295))</f>
        <v>Technology</v>
      </c>
      <c r="P295" s="3" t="str">
        <f aca="false">PROPER(TRIM(raw_data!K295))</f>
        <v>Phones</v>
      </c>
      <c r="Q295" s="3" t="str">
        <f aca="false">TRIM(raw_data!L295)</f>
        <v>Pro Phones 455</v>
      </c>
      <c r="R295" s="3" t="str">
        <f aca="false">IF(TRIM(raw_data!M295)="","Unknown",PROPER(TRIM(raw_data!M295)))</f>
        <v>First Class</v>
      </c>
      <c r="S295" s="3" t="str">
        <f aca="false">IF(TRIM(raw_data!M295)="","Filled - Unknown","OK")</f>
        <v>OK</v>
      </c>
      <c r="T295" s="6" t="n">
        <f aca="false">raw_data!N295</f>
        <v>2</v>
      </c>
      <c r="U295" s="7" t="n">
        <f aca="false">raw_data!O295</f>
        <v>4401.51</v>
      </c>
      <c r="V295" s="8" t="n">
        <f aca="false">raw_data!P295</f>
        <v>0.65</v>
      </c>
      <c r="W295" s="8" t="n">
        <f aca="false">IF(raw_data!P295="",0,IF(ISTEXT(raw_data!P295),IF(RIGHT(raw_data!P295,1)="%",VALUE(LEFT(raw_data!P295,LEN(raw_data!P295)-1))/100,VALUE(raw_data!P295)),raw_data!P295))</f>
        <v>0.65</v>
      </c>
      <c r="X295" s="3" t="str">
        <f aca="false">IF(raw_data!P295="","Missing - Defaulted to 0",IF(W295&lt;0,"Negative - Invalid",IF(W295&gt;0.3,"Above Allowed Range - Invalid","Valid")))</f>
        <v>Above Allowed Range - Invalid</v>
      </c>
      <c r="Y295" s="7" t="n">
        <f aca="false">raw_data!Q295</f>
        <v>8362.87</v>
      </c>
      <c r="Z295" s="7" t="n">
        <f aca="false">raw_data!R295</f>
        <v>6541.04</v>
      </c>
      <c r="AA295" s="7" t="n">
        <f aca="false">raw_data!S295</f>
        <v>1821.83</v>
      </c>
      <c r="AB295" s="3" t="str">
        <f aca="false">PROPER(TRIM(raw_data!T295))</f>
        <v>Paid</v>
      </c>
      <c r="AC295" s="3" t="str">
        <f aca="false">PROPER(TRIM(raw_data!U295))</f>
        <v>Completed</v>
      </c>
      <c r="AD295" s="7" t="n">
        <f aca="false">T295*U295*(1-W295)</f>
        <v>3081.057</v>
      </c>
      <c r="AE295" s="7" t="n">
        <f aca="false">AD295-Z295</f>
        <v>-3459.983</v>
      </c>
      <c r="AF295" s="8" t="n">
        <f aca="false">IF(AD295=0,0,AE295/AD295)</f>
        <v>-1.12298571561643</v>
      </c>
      <c r="AG295" s="3" t="str">
        <f aca="false">IF(ABS(Y295-AD295)&gt;1,"Mismatch","OK")</f>
        <v>Mismatch</v>
      </c>
      <c r="AH295" s="3" t="str">
        <f aca="false">IF(ABS(AA295-AE295)&gt;1,"Mismatch","OK")</f>
        <v>Mismatch</v>
      </c>
      <c r="AI295" s="6" t="n">
        <f aca="false">IF(B295="","",MONTH(B295))</f>
        <v>3</v>
      </c>
      <c r="AJ295" s="6" t="n">
        <f aca="false">IF(B295="","",YEAR(B295))</f>
        <v>2024</v>
      </c>
      <c r="AK295" s="3" t="str">
        <f aca="false">IF(COUNTIF(raw_data!$A$2:$A$913,A295)&gt;1,"Conflicting Duplicate - Flagged for Review","Unique")</f>
        <v>Unique</v>
      </c>
      <c r="AL295" s="3" t="str">
        <f aca="false">IF(AB295="Refunded","Yes","No")</f>
        <v>No</v>
      </c>
      <c r="AM295" s="3" t="str">
        <f aca="false">IF(OR(AC295&lt;&gt;"Completed",AB295="Failed"),"Excluded","Included")</f>
        <v>Included</v>
      </c>
      <c r="AN295" s="3" t="str">
        <f aca="false">IF(OR(D295="Invalid/Unrecognized",E295="Invalid/Unrecognized",G295="Invalid - Ship Before Order",X295="Negative - Invalid",X295="Above Allowed Range - Invalid",AG295="Mismatch",AH295="Mismatch",AK295="Conflicting Duplicate - Flagged for Review"),"Invalid",IF(OR(L295="Filled - Unknown",S295="Filled - Unknown",X295="Missing - Defaulted to 0",AL295="Yes",AC295="Cancelled",AC295="Returned"),"Warning","Clean"))</f>
        <v>Invalid</v>
      </c>
    </row>
    <row r="296" customFormat="false" ht="15" hidden="false" customHeight="false" outlineLevel="0" collapsed="false">
      <c r="A296" s="3" t="str">
        <f aca="false">raw_data!A296</f>
        <v>ORD-2025-10295</v>
      </c>
      <c r="B296" s="4" t="n">
        <f aca="false">IFERROR(IF(MID(raw_data!B296,3,1)="/",DATE(VALUE(RIGHT(raw_data!B296,4)),VALUE(LEFT(raw_data!B296,2)),VALUE(MID(raw_data!B296,4,2))),IF(MID(raw_data!B296,3,1)="-",DATE(VALUE(RIGHT(raw_data!B296,4)),VALUE(MID(raw_data!B296,4,2)),VALUE(LEFT(raw_data!B296,2))),IF(MID(raw_data!B296,5,1)="-",DATE(VALUE(LEFT(raw_data!B296,4)),VALUE(MID(raw_data!B296,6,2)),VALUE(RIGHT(raw_data!B296,2))),DATE(VALUE(RIGHT(raw_data!B296,4)),MATCH(MID(raw_data!B296,4,3),{"Jan","Feb","Mar","Apr","May","Jun","Jul","Aug","Sep","Oct","Nov","Dec"},0),VALUE(LEFT(raw_data!B296,2)))))),"")</f>
        <v>45854</v>
      </c>
      <c r="C296" s="4" t="n">
        <f aca="false">IFERROR(IF(MID(raw_data!C296,3,1)="/",DATE(VALUE(RIGHT(raw_data!C296,4)),VALUE(LEFT(raw_data!C296,2)),VALUE(MID(raw_data!C296,4,2))),IF(MID(raw_data!C296,3,1)="-",DATE(VALUE(RIGHT(raw_data!C296,4)),VALUE(MID(raw_data!C296,4,2)),VALUE(LEFT(raw_data!C296,2))),IF(MID(raw_data!C296,5,1)="-",DATE(VALUE(LEFT(raw_data!C296,4)),VALUE(MID(raw_data!C296,6,2)),VALUE(RIGHT(raw_data!C296,2))),DATE(VALUE(RIGHT(raw_data!C296,4)),MATCH(MID(raw_data!C296,4,3),{"Jan","Feb","Mar","Apr","May","Jun","Jul","Aug","Sep","Oct","Nov","Dec"},0),VALUE(LEFT(raw_data!C296,2)))))),"")</f>
        <v>45860</v>
      </c>
      <c r="D296" s="3" t="str">
        <f aca="false">IF(TRIM(raw_data!B296)="","Missing",IF(B296="","Invalid/Unrecognized","Valid"))</f>
        <v>Valid</v>
      </c>
      <c r="E296" s="3" t="str">
        <f aca="false">IF(TRIM(raw_data!C296)="","Missing",IF(C296="","Invalid/Unrecognized","Valid"))</f>
        <v>Valid</v>
      </c>
      <c r="F296" s="5" t="n">
        <f aca="false">IF(OR(B296="",C296=""),"",C296-B296)</f>
        <v>6</v>
      </c>
      <c r="G296" s="3" t="str">
        <f aca="false">IF(F296="","N/A",IF(F296&lt;0,"Invalid - Ship Before Order","OK"))</f>
        <v>OK</v>
      </c>
      <c r="H296" s="3" t="str">
        <f aca="false">raw_data!D296</f>
        <v>CUST-4755</v>
      </c>
      <c r="I296" s="3" t="str">
        <f aca="false">PROPER(TRIM(raw_data!E296))</f>
        <v>Priya Menon</v>
      </c>
      <c r="J296" s="3" t="str">
        <f aca="false">PROPER(TRIM(raw_data!F296))</f>
        <v>Consumer</v>
      </c>
      <c r="K296" s="3" t="str">
        <f aca="false">IF(TRIM(raw_data!G296)="","Unknown",PROPER(TRIM(raw_data!G296)))</f>
        <v>East</v>
      </c>
      <c r="L296" s="3" t="str">
        <f aca="false">IF(TRIM(raw_data!G296)="","Filled - Unknown","OK")</f>
        <v>OK</v>
      </c>
      <c r="M296" s="3" t="str">
        <f aca="false">PROPER(TRIM(raw_data!H296))</f>
        <v>Odisha</v>
      </c>
      <c r="N296" s="3" t="str">
        <f aca="false">PROPER(TRIM(raw_data!I296))</f>
        <v>Bhubaneswar</v>
      </c>
      <c r="O296" s="3" t="str">
        <f aca="false">PROPER(TRIM(raw_data!J296))</f>
        <v>Technology</v>
      </c>
      <c r="P296" s="3" t="str">
        <f aca="false">PROPER(TRIM(raw_data!K296))</f>
        <v>Phones</v>
      </c>
      <c r="Q296" s="3" t="str">
        <f aca="false">TRIM(raw_data!L296)</f>
        <v>Basic Phones 326</v>
      </c>
      <c r="R296" s="3" t="str">
        <f aca="false">IF(TRIM(raw_data!M296)="","Unknown",PROPER(TRIM(raw_data!M296)))</f>
        <v>Second Class</v>
      </c>
      <c r="S296" s="3" t="str">
        <f aca="false">IF(TRIM(raw_data!M296)="","Filled - Unknown","OK")</f>
        <v>OK</v>
      </c>
      <c r="T296" s="6" t="n">
        <f aca="false">raw_data!N296</f>
        <v>6</v>
      </c>
      <c r="U296" s="7" t="n">
        <f aca="false">raw_data!O296</f>
        <v>4159.33</v>
      </c>
      <c r="V296" s="8" t="n">
        <f aca="false">raw_data!P296</f>
        <v>0.25</v>
      </c>
      <c r="W296" s="8" t="n">
        <f aca="false">IF(raw_data!P296="",0,IF(ISTEXT(raw_data!P296),IF(RIGHT(raw_data!P296,1)="%",VALUE(LEFT(raw_data!P296,LEN(raw_data!P296)-1))/100,VALUE(raw_data!P296)),raw_data!P296))</f>
        <v>0.25</v>
      </c>
      <c r="X296" s="3" t="str">
        <f aca="false">IF(raw_data!P296="","Missing - Defaulted to 0",IF(W296&lt;0,"Negative - Invalid",IF(W296&gt;0.3,"Above Allowed Range - Invalid","Valid")))</f>
        <v>Valid</v>
      </c>
      <c r="Y296" s="7" t="n">
        <f aca="false">raw_data!Q296</f>
        <v>18716.99</v>
      </c>
      <c r="Z296" s="7" t="n">
        <f aca="false">raw_data!R296</f>
        <v>12282.43</v>
      </c>
      <c r="AA296" s="7" t="n">
        <f aca="false">raw_data!S296</f>
        <v>6434.56</v>
      </c>
      <c r="AB296" s="3" t="str">
        <f aca="false">PROPER(TRIM(raw_data!T296))</f>
        <v>Paid</v>
      </c>
      <c r="AC296" s="3" t="str">
        <f aca="false">PROPER(TRIM(raw_data!U296))</f>
        <v>Returned</v>
      </c>
      <c r="AD296" s="7" t="n">
        <f aca="false">T296*U296*(1-W296)</f>
        <v>18716.985</v>
      </c>
      <c r="AE296" s="7" t="n">
        <f aca="false">AD296-Z296</f>
        <v>6434.555</v>
      </c>
      <c r="AF296" s="8" t="n">
        <f aca="false">IF(AD296=0,0,AE296/AD296)</f>
        <v>0.343781597303198</v>
      </c>
      <c r="AG296" s="3" t="str">
        <f aca="false">IF(ABS(Y296-AD296)&gt;1,"Mismatch","OK")</f>
        <v>OK</v>
      </c>
      <c r="AH296" s="3" t="str">
        <f aca="false">IF(ABS(AA296-AE296)&gt;1,"Mismatch","OK")</f>
        <v>OK</v>
      </c>
      <c r="AI296" s="6" t="n">
        <f aca="false">IF(B296="","",MONTH(B296))</f>
        <v>7</v>
      </c>
      <c r="AJ296" s="6" t="n">
        <f aca="false">IF(B296="","",YEAR(B296))</f>
        <v>2025</v>
      </c>
      <c r="AK296" s="3" t="str">
        <f aca="false">IF(COUNTIF(raw_data!$A$2:$A$913,A296)&gt;1,"Conflicting Duplicate - Flagged for Review","Unique")</f>
        <v>Unique</v>
      </c>
      <c r="AL296" s="3" t="str">
        <f aca="false">IF(AB296="Refunded","Yes","No")</f>
        <v>No</v>
      </c>
      <c r="AM296" s="3" t="str">
        <f aca="false">IF(OR(AC296&lt;&gt;"Completed",AB296="Failed"),"Excluded","Included")</f>
        <v>Excluded</v>
      </c>
      <c r="AN296" s="3" t="str">
        <f aca="false">IF(OR(D296="Invalid/Unrecognized",E296="Invalid/Unrecognized",G296="Invalid - Ship Before Order",X296="Negative - Invalid",X296="Above Allowed Range - Invalid",AG296="Mismatch",AH296="Mismatch",AK296="Conflicting Duplicate - Flagged for Review"),"Invalid",IF(OR(L296="Filled - Unknown",S296="Filled - Unknown",X296="Missing - Defaulted to 0",AL296="Yes",AC296="Cancelled",AC296="Returned"),"Warning","Clean"))</f>
        <v>Warning</v>
      </c>
    </row>
    <row r="297" customFormat="false" ht="15" hidden="false" customHeight="false" outlineLevel="0" collapsed="false">
      <c r="A297" s="3" t="str">
        <f aca="false">raw_data!A297</f>
        <v>ORD-2025-10296</v>
      </c>
      <c r="B297" s="4" t="n">
        <f aca="false">IFERROR(IF(MID(raw_data!B297,3,1)="/",DATE(VALUE(RIGHT(raw_data!B297,4)),VALUE(LEFT(raw_data!B297,2)),VALUE(MID(raw_data!B297,4,2))),IF(MID(raw_data!B297,3,1)="-",DATE(VALUE(RIGHT(raw_data!B297,4)),VALUE(MID(raw_data!B297,4,2)),VALUE(LEFT(raw_data!B297,2))),IF(MID(raw_data!B297,5,1)="-",DATE(VALUE(LEFT(raw_data!B297,4)),VALUE(MID(raw_data!B297,6,2)),VALUE(RIGHT(raw_data!B297,2))),DATE(VALUE(RIGHT(raw_data!B297,4)),MATCH(MID(raw_data!B297,4,3),{"Jan","Feb","Mar","Apr","May","Jun","Jul","Aug","Sep","Oct","Nov","Dec"},0),VALUE(LEFT(raw_data!B297,2)))))),"")</f>
        <v>45833</v>
      </c>
      <c r="C297" s="4" t="n">
        <f aca="false">IFERROR(IF(MID(raw_data!C297,3,1)="/",DATE(VALUE(RIGHT(raw_data!C297,4)),VALUE(LEFT(raw_data!C297,2)),VALUE(MID(raw_data!C297,4,2))),IF(MID(raw_data!C297,3,1)="-",DATE(VALUE(RIGHT(raw_data!C297,4)),VALUE(MID(raw_data!C297,4,2)),VALUE(LEFT(raw_data!C297,2))),IF(MID(raw_data!C297,5,1)="-",DATE(VALUE(LEFT(raw_data!C297,4)),VALUE(MID(raw_data!C297,6,2)),VALUE(RIGHT(raw_data!C297,2))),DATE(VALUE(RIGHT(raw_data!C297,4)),MATCH(MID(raw_data!C297,4,3),{"Jan","Feb","Mar","Apr","May","Jun","Jul","Aug","Sep","Oct","Nov","Dec"},0),VALUE(LEFT(raw_data!C297,2)))))),"")</f>
        <v>45836</v>
      </c>
      <c r="D297" s="3" t="str">
        <f aca="false">IF(TRIM(raw_data!B297)="","Missing",IF(B297="","Invalid/Unrecognized","Valid"))</f>
        <v>Valid</v>
      </c>
      <c r="E297" s="3" t="str">
        <f aca="false">IF(TRIM(raw_data!C297)="","Missing",IF(C297="","Invalid/Unrecognized","Valid"))</f>
        <v>Valid</v>
      </c>
      <c r="F297" s="5" t="n">
        <f aca="false">IF(OR(B297="",C297=""),"",C297-B297)</f>
        <v>3</v>
      </c>
      <c r="G297" s="3" t="str">
        <f aca="false">IF(F297="","N/A",IF(F297&lt;0,"Invalid - Ship Before Order","OK"))</f>
        <v>OK</v>
      </c>
      <c r="H297" s="3" t="str">
        <f aca="false">raw_data!D297</f>
        <v>CUST-6778</v>
      </c>
      <c r="I297" s="3" t="str">
        <f aca="false">PROPER(TRIM(raw_data!E297))</f>
        <v>Aditi Sen</v>
      </c>
      <c r="J297" s="3" t="str">
        <f aca="false">PROPER(TRIM(raw_data!F297))</f>
        <v>Small Business</v>
      </c>
      <c r="K297" s="3" t="str">
        <f aca="false">IF(TRIM(raw_data!G297)="","Unknown",PROPER(TRIM(raw_data!G297)))</f>
        <v>East</v>
      </c>
      <c r="L297" s="3" t="str">
        <f aca="false">IF(TRIM(raw_data!G297)="","Filled - Unknown","OK")</f>
        <v>OK</v>
      </c>
      <c r="M297" s="3" t="str">
        <f aca="false">PROPER(TRIM(raw_data!H297))</f>
        <v>Assam</v>
      </c>
      <c r="N297" s="3" t="str">
        <f aca="false">PROPER(TRIM(raw_data!I297))</f>
        <v>Guwahati</v>
      </c>
      <c r="O297" s="3" t="str">
        <f aca="false">PROPER(TRIM(raw_data!J297))</f>
        <v>Office Supplies</v>
      </c>
      <c r="P297" s="3" t="str">
        <f aca="false">PROPER(TRIM(raw_data!K297))</f>
        <v>Binders</v>
      </c>
      <c r="Q297" s="3" t="str">
        <f aca="false">TRIM(raw_data!L297)</f>
        <v>Max Binders 587</v>
      </c>
      <c r="R297" s="3" t="str">
        <f aca="false">IF(TRIM(raw_data!M297)="","Unknown",PROPER(TRIM(raw_data!M297)))</f>
        <v>Standard Class</v>
      </c>
      <c r="S297" s="3" t="str">
        <f aca="false">IF(TRIM(raw_data!M297)="","Filled - Unknown","OK")</f>
        <v>OK</v>
      </c>
      <c r="T297" s="6" t="n">
        <f aca="false">raw_data!N297</f>
        <v>3</v>
      </c>
      <c r="U297" s="7" t="n">
        <f aca="false">raw_data!O297</f>
        <v>3476.05</v>
      </c>
      <c r="V297" s="8" t="n">
        <f aca="false">raw_data!P297</f>
        <v>0.1</v>
      </c>
      <c r="W297" s="8" t="n">
        <f aca="false">IF(raw_data!P297="",0,IF(ISTEXT(raw_data!P297),IF(RIGHT(raw_data!P297,1)="%",VALUE(LEFT(raw_data!P297,LEN(raw_data!P297)-1))/100,VALUE(raw_data!P297)),raw_data!P297))</f>
        <v>0.1</v>
      </c>
      <c r="X297" s="3" t="str">
        <f aca="false">IF(raw_data!P297="","Missing - Defaulted to 0",IF(W297&lt;0,"Negative - Invalid",IF(W297&gt;0.3,"Above Allowed Range - Invalid","Valid")))</f>
        <v>Valid</v>
      </c>
      <c r="Y297" s="7" t="n">
        <f aca="false">raw_data!Q297</f>
        <v>9385.34</v>
      </c>
      <c r="Z297" s="7" t="n">
        <f aca="false">raw_data!R297</f>
        <v>5828.54</v>
      </c>
      <c r="AA297" s="7" t="n">
        <f aca="false">raw_data!S297</f>
        <v>3556.8</v>
      </c>
      <c r="AB297" s="3" t="str">
        <f aca="false">PROPER(TRIM(raw_data!T297))</f>
        <v>Paid</v>
      </c>
      <c r="AC297" s="3" t="str">
        <f aca="false">PROPER(TRIM(raw_data!U297))</f>
        <v>Completed</v>
      </c>
      <c r="AD297" s="7" t="n">
        <f aca="false">T297*U297*(1-W297)</f>
        <v>9385.335</v>
      </c>
      <c r="AE297" s="7" t="n">
        <f aca="false">AD297-Z297</f>
        <v>3556.795</v>
      </c>
      <c r="AF297" s="8" t="n">
        <f aca="false">IF(AD297=0,0,AE297/AD297)</f>
        <v>0.378973686075138</v>
      </c>
      <c r="AG297" s="3" t="str">
        <f aca="false">IF(ABS(Y297-AD297)&gt;1,"Mismatch","OK")</f>
        <v>OK</v>
      </c>
      <c r="AH297" s="3" t="str">
        <f aca="false">IF(ABS(AA297-AE297)&gt;1,"Mismatch","OK")</f>
        <v>OK</v>
      </c>
      <c r="AI297" s="6" t="n">
        <f aca="false">IF(B297="","",MONTH(B297))</f>
        <v>6</v>
      </c>
      <c r="AJ297" s="6" t="n">
        <f aca="false">IF(B297="","",YEAR(B297))</f>
        <v>2025</v>
      </c>
      <c r="AK297" s="3" t="str">
        <f aca="false">IF(COUNTIF(raw_data!$A$2:$A$913,A297)&gt;1,"Conflicting Duplicate - Flagged for Review","Unique")</f>
        <v>Unique</v>
      </c>
      <c r="AL297" s="3" t="str">
        <f aca="false">IF(AB297="Refunded","Yes","No")</f>
        <v>No</v>
      </c>
      <c r="AM297" s="3" t="str">
        <f aca="false">IF(OR(AC297&lt;&gt;"Completed",AB297="Failed"),"Excluded","Included")</f>
        <v>Included</v>
      </c>
      <c r="AN297" s="3" t="str">
        <f aca="false">IF(OR(D297="Invalid/Unrecognized",E297="Invalid/Unrecognized",G297="Invalid - Ship Before Order",X297="Negative - Invalid",X297="Above Allowed Range - Invalid",AG297="Mismatch",AH297="Mismatch",AK297="Conflicting Duplicate - Flagged for Review"),"Invalid",IF(OR(L297="Filled - Unknown",S297="Filled - Unknown",X297="Missing - Defaulted to 0",AL297="Yes",AC297="Cancelled",AC297="Returned"),"Warning","Clean"))</f>
        <v>Clean</v>
      </c>
    </row>
    <row r="298" customFormat="false" ht="15" hidden="false" customHeight="false" outlineLevel="0" collapsed="false">
      <c r="A298" s="3" t="str">
        <f aca="false">raw_data!A298</f>
        <v>ORD-2025-10297</v>
      </c>
      <c r="B298" s="4" t="n">
        <f aca="false">IFERROR(IF(MID(raw_data!B298,3,1)="/",DATE(VALUE(RIGHT(raw_data!B298,4)),VALUE(LEFT(raw_data!B298,2)),VALUE(MID(raw_data!B298,4,2))),IF(MID(raw_data!B298,3,1)="-",DATE(VALUE(RIGHT(raw_data!B298,4)),VALUE(MID(raw_data!B298,4,2)),VALUE(LEFT(raw_data!B298,2))),IF(MID(raw_data!B298,5,1)="-",DATE(VALUE(LEFT(raw_data!B298,4)),VALUE(MID(raw_data!B298,6,2)),VALUE(RIGHT(raw_data!B298,2))),DATE(VALUE(RIGHT(raw_data!B298,4)),MATCH(MID(raw_data!B298,4,3),{"Jan","Feb","Mar","Apr","May","Jun","Jul","Aug","Sep","Oct","Nov","Dec"},0),VALUE(LEFT(raw_data!B298,2)))))),"")</f>
        <v>45801</v>
      </c>
      <c r="C298" s="4" t="n">
        <f aca="false">IFERROR(IF(MID(raw_data!C298,3,1)="/",DATE(VALUE(RIGHT(raw_data!C298,4)),VALUE(LEFT(raw_data!C298,2)),VALUE(MID(raw_data!C298,4,2))),IF(MID(raw_data!C298,3,1)="-",DATE(VALUE(RIGHT(raw_data!C298,4)),VALUE(MID(raw_data!C298,4,2)),VALUE(LEFT(raw_data!C298,2))),IF(MID(raw_data!C298,5,1)="-",DATE(VALUE(LEFT(raw_data!C298,4)),VALUE(MID(raw_data!C298,6,2)),VALUE(RIGHT(raw_data!C298,2))),DATE(VALUE(RIGHT(raw_data!C298,4)),MATCH(MID(raw_data!C298,4,3),{"Jan","Feb","Mar","Apr","May","Jun","Jul","Aug","Sep","Oct","Nov","Dec"},0),VALUE(LEFT(raw_data!C298,2)))))),"")</f>
        <v>45803</v>
      </c>
      <c r="D298" s="3" t="str">
        <f aca="false">IF(TRIM(raw_data!B298)="","Missing",IF(B298="","Invalid/Unrecognized","Valid"))</f>
        <v>Valid</v>
      </c>
      <c r="E298" s="3" t="str">
        <f aca="false">IF(TRIM(raw_data!C298)="","Missing",IF(C298="","Invalid/Unrecognized","Valid"))</f>
        <v>Valid</v>
      </c>
      <c r="F298" s="5" t="n">
        <f aca="false">IF(OR(B298="",C298=""),"",C298-B298)</f>
        <v>2</v>
      </c>
      <c r="G298" s="3" t="str">
        <f aca="false">IF(F298="","N/A",IF(F298&lt;0,"Invalid - Ship Before Order","OK"))</f>
        <v>OK</v>
      </c>
      <c r="H298" s="3" t="str">
        <f aca="false">raw_data!D298</f>
        <v>CUST-7629</v>
      </c>
      <c r="I298" s="3" t="str">
        <f aca="false">PROPER(TRIM(raw_data!E298))</f>
        <v>Aditi Sen</v>
      </c>
      <c r="J298" s="3" t="str">
        <f aca="false">PROPER(TRIM(raw_data!F298))</f>
        <v>Home Office</v>
      </c>
      <c r="K298" s="3" t="str">
        <f aca="false">IF(TRIM(raw_data!G298)="","Unknown",PROPER(TRIM(raw_data!G298)))</f>
        <v>North</v>
      </c>
      <c r="L298" s="3" t="str">
        <f aca="false">IF(TRIM(raw_data!G298)="","Filled - Unknown","OK")</f>
        <v>OK</v>
      </c>
      <c r="M298" s="3" t="str">
        <f aca="false">PROPER(TRIM(raw_data!H298))</f>
        <v>Haryana</v>
      </c>
      <c r="N298" s="3" t="str">
        <f aca="false">PROPER(TRIM(raw_data!I298))</f>
        <v>Gurugram</v>
      </c>
      <c r="O298" s="3" t="str">
        <f aca="false">PROPER(TRIM(raw_data!J298))</f>
        <v>Furniture</v>
      </c>
      <c r="P298" s="3" t="str">
        <f aca="false">PROPER(TRIM(raw_data!K298))</f>
        <v>Furnishings</v>
      </c>
      <c r="Q298" s="3" t="str">
        <f aca="false">TRIM(raw_data!L298)</f>
        <v>Basic Furnishings 617</v>
      </c>
      <c r="R298" s="3" t="str">
        <f aca="false">IF(TRIM(raw_data!M298)="","Unknown",PROPER(TRIM(raw_data!M298)))</f>
        <v>Same Day</v>
      </c>
      <c r="S298" s="3" t="str">
        <f aca="false">IF(TRIM(raw_data!M298)="","Filled - Unknown","OK")</f>
        <v>OK</v>
      </c>
      <c r="T298" s="6" t="n">
        <f aca="false">raw_data!N298</f>
        <v>6</v>
      </c>
      <c r="U298" s="7" t="n">
        <f aca="false">raw_data!O298</f>
        <v>3495.41</v>
      </c>
      <c r="V298" s="8" t="n">
        <f aca="false">raw_data!P298</f>
        <v>0.15</v>
      </c>
      <c r="W298" s="8" t="n">
        <f aca="false">IF(raw_data!P298="",0,IF(ISTEXT(raw_data!P298),IF(RIGHT(raw_data!P298,1)="%",VALUE(LEFT(raw_data!P298,LEN(raw_data!P298)-1))/100,VALUE(raw_data!P298)),raw_data!P298))</f>
        <v>0.15</v>
      </c>
      <c r="X298" s="3" t="str">
        <f aca="false">IF(raw_data!P298="","Missing - Defaulted to 0",IF(W298&lt;0,"Negative - Invalid",IF(W298&gt;0.3,"Above Allowed Range - Invalid","Valid")))</f>
        <v>Valid</v>
      </c>
      <c r="Y298" s="7" t="n">
        <f aca="false">raw_data!Q298</f>
        <v>17826.59</v>
      </c>
      <c r="Z298" s="7" t="n">
        <f aca="false">raw_data!R298</f>
        <v>10855.35</v>
      </c>
      <c r="AA298" s="7" t="n">
        <f aca="false">raw_data!S298</f>
        <v>6971.24</v>
      </c>
      <c r="AB298" s="3" t="str">
        <f aca="false">PROPER(TRIM(raw_data!T298))</f>
        <v>Paid</v>
      </c>
      <c r="AC298" s="3" t="str">
        <f aca="false">PROPER(TRIM(raw_data!U298))</f>
        <v>Completed</v>
      </c>
      <c r="AD298" s="7" t="n">
        <f aca="false">T298*U298*(1-W298)</f>
        <v>17826.591</v>
      </c>
      <c r="AE298" s="7" t="n">
        <f aca="false">AD298-Z298</f>
        <v>6971.241</v>
      </c>
      <c r="AF298" s="8" t="n">
        <f aca="false">IF(AD298=0,0,AE298/AD298)</f>
        <v>0.391058559653946</v>
      </c>
      <c r="AG298" s="3" t="str">
        <f aca="false">IF(ABS(Y298-AD298)&gt;1,"Mismatch","OK")</f>
        <v>OK</v>
      </c>
      <c r="AH298" s="3" t="str">
        <f aca="false">IF(ABS(AA298-AE298)&gt;1,"Mismatch","OK")</f>
        <v>OK</v>
      </c>
      <c r="AI298" s="6" t="n">
        <f aca="false">IF(B298="","",MONTH(B298))</f>
        <v>5</v>
      </c>
      <c r="AJ298" s="6" t="n">
        <f aca="false">IF(B298="","",YEAR(B298))</f>
        <v>2025</v>
      </c>
      <c r="AK298" s="3" t="str">
        <f aca="false">IF(COUNTIF(raw_data!$A$2:$A$913,A298)&gt;1,"Conflicting Duplicate - Flagged for Review","Unique")</f>
        <v>Unique</v>
      </c>
      <c r="AL298" s="3" t="str">
        <f aca="false">IF(AB298="Refunded","Yes","No")</f>
        <v>No</v>
      </c>
      <c r="AM298" s="3" t="str">
        <f aca="false">IF(OR(AC298&lt;&gt;"Completed",AB298="Failed"),"Excluded","Included")</f>
        <v>Included</v>
      </c>
      <c r="AN298" s="3" t="str">
        <f aca="false">IF(OR(D298="Invalid/Unrecognized",E298="Invalid/Unrecognized",G298="Invalid - Ship Before Order",X298="Negative - Invalid",X298="Above Allowed Range - Invalid",AG298="Mismatch",AH298="Mismatch",AK298="Conflicting Duplicate - Flagged for Review"),"Invalid",IF(OR(L298="Filled - Unknown",S298="Filled - Unknown",X298="Missing - Defaulted to 0",AL298="Yes",AC298="Cancelled",AC298="Returned"),"Warning","Clean"))</f>
        <v>Clean</v>
      </c>
    </row>
    <row r="299" customFormat="false" ht="15" hidden="false" customHeight="false" outlineLevel="0" collapsed="false">
      <c r="A299" s="3" t="str">
        <f aca="false">raw_data!A299</f>
        <v>ORD-2024-10298</v>
      </c>
      <c r="B299" s="4" t="n">
        <f aca="false">IFERROR(IF(MID(raw_data!B299,3,1)="/",DATE(VALUE(RIGHT(raw_data!B299,4)),VALUE(LEFT(raw_data!B299,2)),VALUE(MID(raw_data!B299,4,2))),IF(MID(raw_data!B299,3,1)="-",DATE(VALUE(RIGHT(raw_data!B299,4)),VALUE(MID(raw_data!B299,4,2)),VALUE(LEFT(raw_data!B299,2))),IF(MID(raw_data!B299,5,1)="-",DATE(VALUE(LEFT(raw_data!B299,4)),VALUE(MID(raw_data!B299,6,2)),VALUE(RIGHT(raw_data!B299,2))),DATE(VALUE(RIGHT(raw_data!B299,4)),MATCH(MID(raw_data!B299,4,3),{"Jan","Feb","Mar","Apr","May","Jun","Jul","Aug","Sep","Oct","Nov","Dec"},0),VALUE(LEFT(raw_data!B299,2)))))),"")</f>
        <v>45594</v>
      </c>
      <c r="C299" s="4" t="n">
        <f aca="false">IFERROR(IF(MID(raw_data!C299,3,1)="/",DATE(VALUE(RIGHT(raw_data!C299,4)),VALUE(LEFT(raw_data!C299,2)),VALUE(MID(raw_data!C299,4,2))),IF(MID(raw_data!C299,3,1)="-",DATE(VALUE(RIGHT(raw_data!C299,4)),VALUE(MID(raw_data!C299,4,2)),VALUE(LEFT(raw_data!C299,2))),IF(MID(raw_data!C299,5,1)="-",DATE(VALUE(LEFT(raw_data!C299,4)),VALUE(MID(raw_data!C299,6,2)),VALUE(RIGHT(raw_data!C299,2))),DATE(VALUE(RIGHT(raw_data!C299,4)),MATCH(MID(raw_data!C299,4,3),{"Jan","Feb","Mar","Apr","May","Jun","Jul","Aug","Sep","Oct","Nov","Dec"},0),VALUE(LEFT(raw_data!C299,2)))))),"")</f>
        <v>45602</v>
      </c>
      <c r="D299" s="3" t="str">
        <f aca="false">IF(TRIM(raw_data!B299)="","Missing",IF(B299="","Invalid/Unrecognized","Valid"))</f>
        <v>Valid</v>
      </c>
      <c r="E299" s="3" t="str">
        <f aca="false">IF(TRIM(raw_data!C299)="","Missing",IF(C299="","Invalid/Unrecognized","Valid"))</f>
        <v>Valid</v>
      </c>
      <c r="F299" s="5" t="n">
        <f aca="false">IF(OR(B299="",C299=""),"",C299-B299)</f>
        <v>8</v>
      </c>
      <c r="G299" s="3" t="str">
        <f aca="false">IF(F299="","N/A",IF(F299&lt;0,"Invalid - Ship Before Order","OK"))</f>
        <v>OK</v>
      </c>
      <c r="H299" s="3" t="str">
        <f aca="false">raw_data!D299</f>
        <v>CUST-6724</v>
      </c>
      <c r="I299" s="3" t="str">
        <f aca="false">PROPER(TRIM(raw_data!E299))</f>
        <v>Sneha Kapoor</v>
      </c>
      <c r="J299" s="3" t="str">
        <f aca="false">PROPER(TRIM(raw_data!F299))</f>
        <v>Corporate</v>
      </c>
      <c r="K299" s="3" t="str">
        <f aca="false">IF(TRIM(raw_data!G299)="","Unknown",PROPER(TRIM(raw_data!G299)))</f>
        <v>South</v>
      </c>
      <c r="L299" s="3" t="str">
        <f aca="false">IF(TRIM(raw_data!G299)="","Filled - Unknown","OK")</f>
        <v>OK</v>
      </c>
      <c r="M299" s="3" t="str">
        <f aca="false">PROPER(TRIM(raw_data!H299))</f>
        <v>Tamil Nadu</v>
      </c>
      <c r="N299" s="3" t="str">
        <f aca="false">PROPER(TRIM(raw_data!I299))</f>
        <v>Chennai</v>
      </c>
      <c r="O299" s="3" t="str">
        <f aca="false">PROPER(TRIM(raw_data!J299))</f>
        <v>Technology</v>
      </c>
      <c r="P299" s="3" t="str">
        <f aca="false">PROPER(TRIM(raw_data!K299))</f>
        <v>Copiers</v>
      </c>
      <c r="Q299" s="3" t="str">
        <f aca="false">TRIM(raw_data!L299)</f>
        <v>Prime Copiers 669</v>
      </c>
      <c r="R299" s="3" t="str">
        <f aca="false">IF(TRIM(raw_data!M299)="","Unknown",PROPER(TRIM(raw_data!M299)))</f>
        <v>Same Day</v>
      </c>
      <c r="S299" s="3" t="str">
        <f aca="false">IF(TRIM(raw_data!M299)="","Filled - Unknown","OK")</f>
        <v>OK</v>
      </c>
      <c r="T299" s="6" t="n">
        <f aca="false">raw_data!N299</f>
        <v>6</v>
      </c>
      <c r="U299" s="7" t="n">
        <f aca="false">raw_data!O299</f>
        <v>1169.92</v>
      </c>
      <c r="V299" s="8" t="n">
        <f aca="false">raw_data!P299</f>
        <v>0.15</v>
      </c>
      <c r="W299" s="8" t="n">
        <f aca="false">IF(raw_data!P299="",0,IF(ISTEXT(raw_data!P299),IF(RIGHT(raw_data!P299,1)="%",VALUE(LEFT(raw_data!P299,LEN(raw_data!P299)-1))/100,VALUE(raw_data!P299)),raw_data!P299))</f>
        <v>0.15</v>
      </c>
      <c r="X299" s="3" t="str">
        <f aca="false">IF(raw_data!P299="","Missing - Defaulted to 0",IF(W299&lt;0,"Negative - Invalid",IF(W299&gt;0.3,"Above Allowed Range - Invalid","Valid")))</f>
        <v>Valid</v>
      </c>
      <c r="Y299" s="7" t="n">
        <f aca="false">raw_data!Q299</f>
        <v>5966.59</v>
      </c>
      <c r="Z299" s="7" t="n">
        <f aca="false">raw_data!R299</f>
        <v>3994.72</v>
      </c>
      <c r="AA299" s="7" t="n">
        <f aca="false">raw_data!S299</f>
        <v>1971.87</v>
      </c>
      <c r="AB299" s="3" t="str">
        <f aca="false">PROPER(TRIM(raw_data!T299))</f>
        <v>Paid</v>
      </c>
      <c r="AC299" s="3" t="str">
        <f aca="false">PROPER(TRIM(raw_data!U299))</f>
        <v>Completed</v>
      </c>
      <c r="AD299" s="7" t="n">
        <f aca="false">T299*U299*(1-W299)</f>
        <v>5966.592</v>
      </c>
      <c r="AE299" s="7" t="n">
        <f aca="false">AD299-Z299</f>
        <v>1971.872</v>
      </c>
      <c r="AF299" s="8" t="n">
        <f aca="false">IF(AD299=0,0,AE299/AD299)</f>
        <v>0.330485476466298</v>
      </c>
      <c r="AG299" s="3" t="str">
        <f aca="false">IF(ABS(Y299-AD299)&gt;1,"Mismatch","OK")</f>
        <v>OK</v>
      </c>
      <c r="AH299" s="3" t="str">
        <f aca="false">IF(ABS(AA299-AE299)&gt;1,"Mismatch","OK")</f>
        <v>OK</v>
      </c>
      <c r="AI299" s="6" t="n">
        <f aca="false">IF(B299="","",MONTH(B299))</f>
        <v>10</v>
      </c>
      <c r="AJ299" s="6" t="n">
        <f aca="false">IF(B299="","",YEAR(B299))</f>
        <v>2024</v>
      </c>
      <c r="AK299" s="3" t="str">
        <f aca="false">IF(COUNTIF(raw_data!$A$2:$A$913,A299)&gt;1,"Conflicting Duplicate - Flagged for Review","Unique")</f>
        <v>Unique</v>
      </c>
      <c r="AL299" s="3" t="str">
        <f aca="false">IF(AB299="Refunded","Yes","No")</f>
        <v>No</v>
      </c>
      <c r="AM299" s="3" t="str">
        <f aca="false">IF(OR(AC299&lt;&gt;"Completed",AB299="Failed"),"Excluded","Included")</f>
        <v>Included</v>
      </c>
      <c r="AN299" s="3" t="str">
        <f aca="false">IF(OR(D299="Invalid/Unrecognized",E299="Invalid/Unrecognized",G299="Invalid - Ship Before Order",X299="Negative - Invalid",X299="Above Allowed Range - Invalid",AG299="Mismatch",AH299="Mismatch",AK299="Conflicting Duplicate - Flagged for Review"),"Invalid",IF(OR(L299="Filled - Unknown",S299="Filled - Unknown",X299="Missing - Defaulted to 0",AL299="Yes",AC299="Cancelled",AC299="Returned"),"Warning","Clean"))</f>
        <v>Clean</v>
      </c>
    </row>
    <row r="300" customFormat="false" ht="15" hidden="false" customHeight="false" outlineLevel="0" collapsed="false">
      <c r="A300" s="3" t="str">
        <f aca="false">raw_data!A300</f>
        <v>ORD-2025-10299</v>
      </c>
      <c r="B300" s="4" t="n">
        <f aca="false">IFERROR(IF(MID(raw_data!B300,3,1)="/",DATE(VALUE(RIGHT(raw_data!B300,4)),VALUE(LEFT(raw_data!B300,2)),VALUE(MID(raw_data!B300,4,2))),IF(MID(raw_data!B300,3,1)="-",DATE(VALUE(RIGHT(raw_data!B300,4)),VALUE(MID(raw_data!B300,4,2)),VALUE(LEFT(raw_data!B300,2))),IF(MID(raw_data!B300,5,1)="-",DATE(VALUE(LEFT(raw_data!B300,4)),VALUE(MID(raw_data!B300,6,2)),VALUE(RIGHT(raw_data!B300,2))),DATE(VALUE(RIGHT(raw_data!B300,4)),MATCH(MID(raw_data!B300,4,3),{"Jan","Feb","Mar","Apr","May","Jun","Jul","Aug","Sep","Oct","Nov","Dec"},0),VALUE(LEFT(raw_data!B300,2)))))),"")</f>
        <v>45680</v>
      </c>
      <c r="C300" s="4" t="n">
        <f aca="false">IFERROR(IF(MID(raw_data!C300,3,1)="/",DATE(VALUE(RIGHT(raw_data!C300,4)),VALUE(LEFT(raw_data!C300,2)),VALUE(MID(raw_data!C300,4,2))),IF(MID(raw_data!C300,3,1)="-",DATE(VALUE(RIGHT(raw_data!C300,4)),VALUE(MID(raw_data!C300,4,2)),VALUE(LEFT(raw_data!C300,2))),IF(MID(raw_data!C300,5,1)="-",DATE(VALUE(LEFT(raw_data!C300,4)),VALUE(MID(raw_data!C300,6,2)),VALUE(RIGHT(raw_data!C300,2))),DATE(VALUE(RIGHT(raw_data!C300,4)),MATCH(MID(raw_data!C300,4,3),{"Jan","Feb","Mar","Apr","May","Jun","Jul","Aug","Sep","Oct","Nov","Dec"},0),VALUE(LEFT(raw_data!C300,2)))))),"")</f>
        <v>45683</v>
      </c>
      <c r="D300" s="3" t="str">
        <f aca="false">IF(TRIM(raw_data!B300)="","Missing",IF(B300="","Invalid/Unrecognized","Valid"))</f>
        <v>Valid</v>
      </c>
      <c r="E300" s="3" t="str">
        <f aca="false">IF(TRIM(raw_data!C300)="","Missing",IF(C300="","Invalid/Unrecognized","Valid"))</f>
        <v>Valid</v>
      </c>
      <c r="F300" s="5" t="n">
        <f aca="false">IF(OR(B300="",C300=""),"",C300-B300)</f>
        <v>3</v>
      </c>
      <c r="G300" s="3" t="str">
        <f aca="false">IF(F300="","N/A",IF(F300&lt;0,"Invalid - Ship Before Order","OK"))</f>
        <v>OK</v>
      </c>
      <c r="H300" s="3" t="str">
        <f aca="false">raw_data!D300</f>
        <v>CUST-2141</v>
      </c>
      <c r="I300" s="3" t="str">
        <f aca="false">PROPER(TRIM(raw_data!E300))</f>
        <v>Isha Nair</v>
      </c>
      <c r="J300" s="3" t="str">
        <f aca="false">PROPER(TRIM(raw_data!F300))</f>
        <v>Consumer</v>
      </c>
      <c r="K300" s="3" t="str">
        <f aca="false">IF(TRIM(raw_data!G300)="","Unknown",PROPER(TRIM(raw_data!G300)))</f>
        <v>South</v>
      </c>
      <c r="L300" s="3" t="str">
        <f aca="false">IF(TRIM(raw_data!G300)="","Filled - Unknown","OK")</f>
        <v>OK</v>
      </c>
      <c r="M300" s="3" t="str">
        <f aca="false">PROPER(TRIM(raw_data!H300))</f>
        <v>Kerala</v>
      </c>
      <c r="N300" s="3" t="str">
        <f aca="false">PROPER(TRIM(raw_data!I300))</f>
        <v>Kochi</v>
      </c>
      <c r="O300" s="3" t="str">
        <f aca="false">PROPER(TRIM(raw_data!J300))</f>
        <v>Technology</v>
      </c>
      <c r="P300" s="3" t="str">
        <f aca="false">PROPER(TRIM(raw_data!K300))</f>
        <v>Copiers</v>
      </c>
      <c r="Q300" s="3" t="str">
        <f aca="false">TRIM(raw_data!L300)</f>
        <v>Eco Copiers 894</v>
      </c>
      <c r="R300" s="3" t="str">
        <f aca="false">IF(TRIM(raw_data!M300)="","Unknown",PROPER(TRIM(raw_data!M300)))</f>
        <v>First Class</v>
      </c>
      <c r="S300" s="3" t="str">
        <f aca="false">IF(TRIM(raw_data!M300)="","Filled - Unknown","OK")</f>
        <v>OK</v>
      </c>
      <c r="T300" s="6" t="n">
        <f aca="false">raw_data!N300</f>
        <v>7</v>
      </c>
      <c r="U300" s="7" t="n">
        <f aca="false">raw_data!O300</f>
        <v>348.49</v>
      </c>
      <c r="V300" s="8" t="n">
        <f aca="false">raw_data!P300</f>
        <v>0.2</v>
      </c>
      <c r="W300" s="8" t="n">
        <f aca="false">IF(raw_data!P300="",0,IF(ISTEXT(raw_data!P300),IF(RIGHT(raw_data!P300,1)="%",VALUE(LEFT(raw_data!P300,LEN(raw_data!P300)-1))/100,VALUE(raw_data!P300)),raw_data!P300))</f>
        <v>0.2</v>
      </c>
      <c r="X300" s="3" t="str">
        <f aca="false">IF(raw_data!P300="","Missing - Defaulted to 0",IF(W300&lt;0,"Negative - Invalid",IF(W300&gt;0.3,"Above Allowed Range - Invalid","Valid")))</f>
        <v>Valid</v>
      </c>
      <c r="Y300" s="7" t="n">
        <f aca="false">raw_data!Q300</f>
        <v>1951.54</v>
      </c>
      <c r="Z300" s="7" t="n">
        <f aca="false">raw_data!R300</f>
        <v>1609.95</v>
      </c>
      <c r="AA300" s="7" t="n">
        <f aca="false">raw_data!S300</f>
        <v>341.59</v>
      </c>
      <c r="AB300" s="3" t="str">
        <f aca="false">PROPER(TRIM(raw_data!T300))</f>
        <v>Failed</v>
      </c>
      <c r="AC300" s="3" t="str">
        <f aca="false">PROPER(TRIM(raw_data!U300))</f>
        <v>Returned</v>
      </c>
      <c r="AD300" s="7" t="n">
        <f aca="false">T300*U300*(1-W300)</f>
        <v>1951.544</v>
      </c>
      <c r="AE300" s="7" t="n">
        <f aca="false">AD300-Z300</f>
        <v>341.594</v>
      </c>
      <c r="AF300" s="8" t="n">
        <f aca="false">IF(AD300=0,0,AE300/AD300)</f>
        <v>0.175037816211164</v>
      </c>
      <c r="AG300" s="3" t="str">
        <f aca="false">IF(ABS(Y300-AD300)&gt;1,"Mismatch","OK")</f>
        <v>OK</v>
      </c>
      <c r="AH300" s="3" t="str">
        <f aca="false">IF(ABS(AA300-AE300)&gt;1,"Mismatch","OK")</f>
        <v>OK</v>
      </c>
      <c r="AI300" s="6" t="n">
        <f aca="false">IF(B300="","",MONTH(B300))</f>
        <v>1</v>
      </c>
      <c r="AJ300" s="6" t="n">
        <f aca="false">IF(B300="","",YEAR(B300))</f>
        <v>2025</v>
      </c>
      <c r="AK300" s="3" t="str">
        <f aca="false">IF(COUNTIF(raw_data!$A$2:$A$913,A300)&gt;1,"Conflicting Duplicate - Flagged for Review","Unique")</f>
        <v>Unique</v>
      </c>
      <c r="AL300" s="3" t="str">
        <f aca="false">IF(AB300="Refunded","Yes","No")</f>
        <v>No</v>
      </c>
      <c r="AM300" s="3" t="str">
        <f aca="false">IF(OR(AC300&lt;&gt;"Completed",AB300="Failed"),"Excluded","Included")</f>
        <v>Excluded</v>
      </c>
      <c r="AN300" s="3" t="str">
        <f aca="false">IF(OR(D300="Invalid/Unrecognized",E300="Invalid/Unrecognized",G300="Invalid - Ship Before Order",X300="Negative - Invalid",X300="Above Allowed Range - Invalid",AG300="Mismatch",AH300="Mismatch",AK300="Conflicting Duplicate - Flagged for Review"),"Invalid",IF(OR(L300="Filled - Unknown",S300="Filled - Unknown",X300="Missing - Defaulted to 0",AL300="Yes",AC300="Cancelled",AC300="Returned"),"Warning","Clean"))</f>
        <v>Warning</v>
      </c>
    </row>
    <row r="301" customFormat="false" ht="15" hidden="false" customHeight="false" outlineLevel="0" collapsed="false">
      <c r="A301" s="3" t="str">
        <f aca="false">raw_data!A301</f>
        <v>ORD-2024-10300</v>
      </c>
      <c r="B301" s="4" t="n">
        <f aca="false">IFERROR(IF(MID(raw_data!B301,3,1)="/",DATE(VALUE(RIGHT(raw_data!B301,4)),VALUE(LEFT(raw_data!B301,2)),VALUE(MID(raw_data!B301,4,2))),IF(MID(raw_data!B301,3,1)="-",DATE(VALUE(RIGHT(raw_data!B301,4)),VALUE(MID(raw_data!B301,4,2)),VALUE(LEFT(raw_data!B301,2))),IF(MID(raw_data!B301,5,1)="-",DATE(VALUE(LEFT(raw_data!B301,4)),VALUE(MID(raw_data!B301,6,2)),VALUE(RIGHT(raw_data!B301,2))),DATE(VALUE(RIGHT(raw_data!B301,4)),MATCH(MID(raw_data!B301,4,3),{"Jan","Feb","Mar","Apr","May","Jun","Jul","Aug","Sep","Oct","Nov","Dec"},0),VALUE(LEFT(raw_data!B301,2)))))),"")</f>
        <v>45602</v>
      </c>
      <c r="C301" s="4" t="n">
        <f aca="false">IFERROR(IF(MID(raw_data!C301,3,1)="/",DATE(VALUE(RIGHT(raw_data!C301,4)),VALUE(LEFT(raw_data!C301,2)),VALUE(MID(raw_data!C301,4,2))),IF(MID(raw_data!C301,3,1)="-",DATE(VALUE(RIGHT(raw_data!C301,4)),VALUE(MID(raw_data!C301,4,2)),VALUE(LEFT(raw_data!C301,2))),IF(MID(raw_data!C301,5,1)="-",DATE(VALUE(LEFT(raw_data!C301,4)),VALUE(MID(raw_data!C301,6,2)),VALUE(RIGHT(raw_data!C301,2))),DATE(VALUE(RIGHT(raw_data!C301,4)),MATCH(MID(raw_data!C301,4,3),{"Jan","Feb","Mar","Apr","May","Jun","Jul","Aug","Sep","Oct","Nov","Dec"},0),VALUE(LEFT(raw_data!C301,2)))))),"")</f>
        <v>45608</v>
      </c>
      <c r="D301" s="3" t="str">
        <f aca="false">IF(TRIM(raw_data!B301)="","Missing",IF(B301="","Invalid/Unrecognized","Valid"))</f>
        <v>Valid</v>
      </c>
      <c r="E301" s="3" t="str">
        <f aca="false">IF(TRIM(raw_data!C301)="","Missing",IF(C301="","Invalid/Unrecognized","Valid"))</f>
        <v>Valid</v>
      </c>
      <c r="F301" s="5" t="n">
        <f aca="false">IF(OR(B301="",C301=""),"",C301-B301)</f>
        <v>6</v>
      </c>
      <c r="G301" s="3" t="str">
        <f aca="false">IF(F301="","N/A",IF(F301&lt;0,"Invalid - Ship Before Order","OK"))</f>
        <v>OK</v>
      </c>
      <c r="H301" s="3" t="str">
        <f aca="false">raw_data!D301</f>
        <v>CUST-7264</v>
      </c>
      <c r="I301" s="3" t="str">
        <f aca="false">PROPER(TRIM(raw_data!E301))</f>
        <v>Rahul Verma</v>
      </c>
      <c r="J301" s="3" t="str">
        <f aca="false">PROPER(TRIM(raw_data!F301))</f>
        <v>Small Business</v>
      </c>
      <c r="K301" s="3" t="str">
        <f aca="false">IF(TRIM(raw_data!G301)="","Unknown",PROPER(TRIM(raw_data!G301)))</f>
        <v>West</v>
      </c>
      <c r="L301" s="3" t="str">
        <f aca="false">IF(TRIM(raw_data!G301)="","Filled - Unknown","OK")</f>
        <v>OK</v>
      </c>
      <c r="M301" s="3" t="str">
        <f aca="false">PROPER(TRIM(raw_data!H301))</f>
        <v>Gujarat</v>
      </c>
      <c r="N301" s="3" t="str">
        <f aca="false">PROPER(TRIM(raw_data!I301))</f>
        <v>Ahmedabad</v>
      </c>
      <c r="O301" s="3" t="str">
        <f aca="false">PROPER(TRIM(raw_data!J301))</f>
        <v>Technology</v>
      </c>
      <c r="P301" s="3" t="str">
        <f aca="false">PROPER(TRIM(raw_data!K301))</f>
        <v>Accessories</v>
      </c>
      <c r="Q301" s="3" t="str">
        <f aca="false">TRIM(raw_data!L301)</f>
        <v>Max Accessories 145</v>
      </c>
      <c r="R301" s="3" t="str">
        <f aca="false">IF(TRIM(raw_data!M301)="","Unknown",PROPER(TRIM(raw_data!M301)))</f>
        <v>Standard Class</v>
      </c>
      <c r="S301" s="3" t="str">
        <f aca="false">IF(TRIM(raw_data!M301)="","Filled - Unknown","OK")</f>
        <v>OK</v>
      </c>
      <c r="T301" s="6" t="n">
        <f aca="false">raw_data!N301</f>
        <v>7</v>
      </c>
      <c r="U301" s="7" t="n">
        <f aca="false">raw_data!O301</f>
        <v>1719.05</v>
      </c>
      <c r="V301" s="8" t="n">
        <f aca="false">raw_data!P301</f>
        <v>0.1</v>
      </c>
      <c r="W301" s="8" t="n">
        <f aca="false">IF(raw_data!P301="",0,IF(ISTEXT(raw_data!P301),IF(RIGHT(raw_data!P301,1)="%",VALUE(LEFT(raw_data!P301,LEN(raw_data!P301)-1))/100,VALUE(raw_data!P301)),raw_data!P301))</f>
        <v>0.1</v>
      </c>
      <c r="X301" s="3" t="str">
        <f aca="false">IF(raw_data!P301="","Missing - Defaulted to 0",IF(W301&lt;0,"Negative - Invalid",IF(W301&gt;0.3,"Above Allowed Range - Invalid","Valid")))</f>
        <v>Valid</v>
      </c>
      <c r="Y301" s="7" t="n">
        <f aca="false">raw_data!Q301</f>
        <v>10830.02</v>
      </c>
      <c r="Z301" s="7" t="n">
        <f aca="false">raw_data!R301</f>
        <v>7055.31</v>
      </c>
      <c r="AA301" s="7" t="n">
        <f aca="false">raw_data!S301</f>
        <v>3774.71</v>
      </c>
      <c r="AB301" s="3" t="str">
        <f aca="false">PROPER(TRIM(raw_data!T301))</f>
        <v>Paid</v>
      </c>
      <c r="AC301" s="3" t="str">
        <f aca="false">PROPER(TRIM(raw_data!U301))</f>
        <v>Completed</v>
      </c>
      <c r="AD301" s="7" t="n">
        <f aca="false">T301*U301*(1-W301)</f>
        <v>10830.015</v>
      </c>
      <c r="AE301" s="7" t="n">
        <f aca="false">AD301-Z301</f>
        <v>3774.705</v>
      </c>
      <c r="AF301" s="8" t="n">
        <f aca="false">IF(AD301=0,0,AE301/AD301)</f>
        <v>0.348541068502675</v>
      </c>
      <c r="AG301" s="3" t="str">
        <f aca="false">IF(ABS(Y301-AD301)&gt;1,"Mismatch","OK")</f>
        <v>OK</v>
      </c>
      <c r="AH301" s="3" t="str">
        <f aca="false">IF(ABS(AA301-AE301)&gt;1,"Mismatch","OK")</f>
        <v>OK</v>
      </c>
      <c r="AI301" s="6" t="n">
        <f aca="false">IF(B301="","",MONTH(B301))</f>
        <v>11</v>
      </c>
      <c r="AJ301" s="6" t="n">
        <f aca="false">IF(B301="","",YEAR(B301))</f>
        <v>2024</v>
      </c>
      <c r="AK301" s="3" t="str">
        <f aca="false">IF(COUNTIF(raw_data!$A$2:$A$913,A301)&gt;1,"Conflicting Duplicate - Flagged for Review","Unique")</f>
        <v>Unique</v>
      </c>
      <c r="AL301" s="3" t="str">
        <f aca="false">IF(AB301="Refunded","Yes","No")</f>
        <v>No</v>
      </c>
      <c r="AM301" s="3" t="str">
        <f aca="false">IF(OR(AC301&lt;&gt;"Completed",AB301="Failed"),"Excluded","Included")</f>
        <v>Included</v>
      </c>
      <c r="AN301" s="3" t="str">
        <f aca="false">IF(OR(D301="Invalid/Unrecognized",E301="Invalid/Unrecognized",G301="Invalid - Ship Before Order",X301="Negative - Invalid",X301="Above Allowed Range - Invalid",AG301="Mismatch",AH301="Mismatch",AK301="Conflicting Duplicate - Flagged for Review"),"Invalid",IF(OR(L301="Filled - Unknown",S301="Filled - Unknown",X301="Missing - Defaulted to 0",AL301="Yes",AC301="Cancelled",AC301="Returned"),"Warning","Clean"))</f>
        <v>Clean</v>
      </c>
    </row>
    <row r="302" customFormat="false" ht="15" hidden="false" customHeight="false" outlineLevel="0" collapsed="false">
      <c r="A302" s="3" t="str">
        <f aca="false">raw_data!A302</f>
        <v>ORD-2024-10301</v>
      </c>
      <c r="B302" s="4" t="n">
        <f aca="false">IFERROR(IF(MID(raw_data!B302,3,1)="/",DATE(VALUE(RIGHT(raw_data!B302,4)),VALUE(LEFT(raw_data!B302,2)),VALUE(MID(raw_data!B302,4,2))),IF(MID(raw_data!B302,3,1)="-",DATE(VALUE(RIGHT(raw_data!B302,4)),VALUE(MID(raw_data!B302,4,2)),VALUE(LEFT(raw_data!B302,2))),IF(MID(raw_data!B302,5,1)="-",DATE(VALUE(LEFT(raw_data!B302,4)),VALUE(MID(raw_data!B302,6,2)),VALUE(RIGHT(raw_data!B302,2))),DATE(VALUE(RIGHT(raw_data!B302,4)),MATCH(MID(raw_data!B302,4,3),{"Jan","Feb","Mar","Apr","May","Jun","Jul","Aug","Sep","Oct","Nov","Dec"},0),VALUE(LEFT(raw_data!B302,2)))))),"")</f>
        <v>45397</v>
      </c>
      <c r="C302" s="4" t="n">
        <f aca="false">IFERROR(IF(MID(raw_data!C302,3,1)="/",DATE(VALUE(RIGHT(raw_data!C302,4)),VALUE(LEFT(raw_data!C302,2)),VALUE(MID(raw_data!C302,4,2))),IF(MID(raw_data!C302,3,1)="-",DATE(VALUE(RIGHT(raw_data!C302,4)),VALUE(MID(raw_data!C302,4,2)),VALUE(LEFT(raw_data!C302,2))),IF(MID(raw_data!C302,5,1)="-",DATE(VALUE(LEFT(raw_data!C302,4)),VALUE(MID(raw_data!C302,6,2)),VALUE(RIGHT(raw_data!C302,2))),DATE(VALUE(RIGHT(raw_data!C302,4)),MATCH(MID(raw_data!C302,4,3),{"Jan","Feb","Mar","Apr","May","Jun","Jul","Aug","Sep","Oct","Nov","Dec"},0),VALUE(LEFT(raw_data!C302,2)))))),"")</f>
        <v>45405</v>
      </c>
      <c r="D302" s="3" t="str">
        <f aca="false">IF(TRIM(raw_data!B302)="","Missing",IF(B302="","Invalid/Unrecognized","Valid"))</f>
        <v>Valid</v>
      </c>
      <c r="E302" s="3" t="str">
        <f aca="false">IF(TRIM(raw_data!C302)="","Missing",IF(C302="","Invalid/Unrecognized","Valid"))</f>
        <v>Valid</v>
      </c>
      <c r="F302" s="5" t="n">
        <f aca="false">IF(OR(B302="",C302=""),"",C302-B302)</f>
        <v>8</v>
      </c>
      <c r="G302" s="3" t="str">
        <f aca="false">IF(F302="","N/A",IF(F302&lt;0,"Invalid - Ship Before Order","OK"))</f>
        <v>OK</v>
      </c>
      <c r="H302" s="3" t="str">
        <f aca="false">raw_data!D302</f>
        <v>CUST-2668</v>
      </c>
      <c r="I302" s="3" t="str">
        <f aca="false">PROPER(TRIM(raw_data!E302))</f>
        <v>Diya Patel</v>
      </c>
      <c r="J302" s="3" t="str">
        <f aca="false">PROPER(TRIM(raw_data!F302))</f>
        <v>Small Business</v>
      </c>
      <c r="K302" s="3" t="str">
        <f aca="false">IF(TRIM(raw_data!G302)="","Unknown",PROPER(TRIM(raw_data!G302)))</f>
        <v>North</v>
      </c>
      <c r="L302" s="3" t="str">
        <f aca="false">IF(TRIM(raw_data!G302)="","Filled - Unknown","OK")</f>
        <v>OK</v>
      </c>
      <c r="M302" s="3" t="str">
        <f aca="false">PROPER(TRIM(raw_data!H302))</f>
        <v>Punjab</v>
      </c>
      <c r="N302" s="3" t="str">
        <f aca="false">PROPER(TRIM(raw_data!I302))</f>
        <v>Ludhiana</v>
      </c>
      <c r="O302" s="3" t="str">
        <f aca="false">PROPER(TRIM(raw_data!J302))</f>
        <v>Technology</v>
      </c>
      <c r="P302" s="3" t="str">
        <f aca="false">PROPER(TRIM(raw_data!K302))</f>
        <v>Accessories</v>
      </c>
      <c r="Q302" s="3" t="str">
        <f aca="false">TRIM(raw_data!L302)</f>
        <v>Classic Accessories 126</v>
      </c>
      <c r="R302" s="3" t="str">
        <f aca="false">IF(TRIM(raw_data!M302)="","Unknown",PROPER(TRIM(raw_data!M302)))</f>
        <v>Second Class</v>
      </c>
      <c r="S302" s="3" t="str">
        <f aca="false">IF(TRIM(raw_data!M302)="","Filled - Unknown","OK")</f>
        <v>OK</v>
      </c>
      <c r="T302" s="6" t="n">
        <f aca="false">raw_data!N302</f>
        <v>9</v>
      </c>
      <c r="U302" s="7" t="n">
        <f aca="false">raw_data!O302</f>
        <v>3893.74</v>
      </c>
      <c r="V302" s="8" t="n">
        <f aca="false">raw_data!P302</f>
        <v>0.1</v>
      </c>
      <c r="W302" s="8" t="n">
        <f aca="false">IF(raw_data!P302="",0,IF(ISTEXT(raw_data!P302),IF(RIGHT(raw_data!P302,1)="%",VALUE(LEFT(raw_data!P302,LEN(raw_data!P302)-1))/100,VALUE(raw_data!P302)),raw_data!P302))</f>
        <v>0.1</v>
      </c>
      <c r="X302" s="3" t="str">
        <f aca="false">IF(raw_data!P302="","Missing - Defaulted to 0",IF(W302&lt;0,"Negative - Invalid",IF(W302&gt;0.3,"Above Allowed Range - Invalid","Valid")))</f>
        <v>Valid</v>
      </c>
      <c r="Y302" s="7" t="n">
        <f aca="false">raw_data!Q302</f>
        <v>31539.29</v>
      </c>
      <c r="Z302" s="7" t="n">
        <f aca="false">raw_data!R302</f>
        <v>22100.14</v>
      </c>
      <c r="AA302" s="7" t="n">
        <f aca="false">raw_data!S302</f>
        <v>9439.15</v>
      </c>
      <c r="AB302" s="3" t="str">
        <f aca="false">PROPER(TRIM(raw_data!T302))</f>
        <v>Paid</v>
      </c>
      <c r="AC302" s="3" t="str">
        <f aca="false">PROPER(TRIM(raw_data!U302))</f>
        <v>Completed</v>
      </c>
      <c r="AD302" s="7" t="n">
        <f aca="false">T302*U302*(1-W302)</f>
        <v>31539.294</v>
      </c>
      <c r="AE302" s="7" t="n">
        <f aca="false">AD302-Z302</f>
        <v>9439.154</v>
      </c>
      <c r="AF302" s="8" t="n">
        <f aca="false">IF(AD302=0,0,AE302/AD302)</f>
        <v>0.299282349186383</v>
      </c>
      <c r="AG302" s="3" t="str">
        <f aca="false">IF(ABS(Y302-AD302)&gt;1,"Mismatch","OK")</f>
        <v>OK</v>
      </c>
      <c r="AH302" s="3" t="str">
        <f aca="false">IF(ABS(AA302-AE302)&gt;1,"Mismatch","OK")</f>
        <v>OK</v>
      </c>
      <c r="AI302" s="6" t="n">
        <f aca="false">IF(B302="","",MONTH(B302))</f>
        <v>4</v>
      </c>
      <c r="AJ302" s="6" t="n">
        <f aca="false">IF(B302="","",YEAR(B302))</f>
        <v>2024</v>
      </c>
      <c r="AK302" s="3" t="str">
        <f aca="false">IF(COUNTIF(raw_data!$A$2:$A$913,A302)&gt;1,"Conflicting Duplicate - Flagged for Review","Unique")</f>
        <v>Unique</v>
      </c>
      <c r="AL302" s="3" t="str">
        <f aca="false">IF(AB302="Refunded","Yes","No")</f>
        <v>No</v>
      </c>
      <c r="AM302" s="3" t="str">
        <f aca="false">IF(OR(AC302&lt;&gt;"Completed",AB302="Failed"),"Excluded","Included")</f>
        <v>Included</v>
      </c>
      <c r="AN302" s="3" t="str">
        <f aca="false">IF(OR(D302="Invalid/Unrecognized",E302="Invalid/Unrecognized",G302="Invalid - Ship Before Order",X302="Negative - Invalid",X302="Above Allowed Range - Invalid",AG302="Mismatch",AH302="Mismatch",AK302="Conflicting Duplicate - Flagged for Review"),"Invalid",IF(OR(L302="Filled - Unknown",S302="Filled - Unknown",X302="Missing - Defaulted to 0",AL302="Yes",AC302="Cancelled",AC302="Returned"),"Warning","Clean"))</f>
        <v>Clean</v>
      </c>
    </row>
    <row r="303" customFormat="false" ht="15" hidden="false" customHeight="false" outlineLevel="0" collapsed="false">
      <c r="A303" s="3" t="str">
        <f aca="false">raw_data!A303</f>
        <v>ORD-2025-10302</v>
      </c>
      <c r="B303" s="4" t="n">
        <f aca="false">IFERROR(IF(MID(raw_data!B303,3,1)="/",DATE(VALUE(RIGHT(raw_data!B303,4)),VALUE(LEFT(raw_data!B303,2)),VALUE(MID(raw_data!B303,4,2))),IF(MID(raw_data!B303,3,1)="-",DATE(VALUE(RIGHT(raw_data!B303,4)),VALUE(MID(raw_data!B303,4,2)),VALUE(LEFT(raw_data!B303,2))),IF(MID(raw_data!B303,5,1)="-",DATE(VALUE(LEFT(raw_data!B303,4)),VALUE(MID(raw_data!B303,6,2)),VALUE(RIGHT(raw_data!B303,2))),DATE(VALUE(RIGHT(raw_data!B303,4)),MATCH(MID(raw_data!B303,4,3),{"Jan","Feb","Mar","Apr","May","Jun","Jul","Aug","Sep","Oct","Nov","Dec"},0),VALUE(LEFT(raw_data!B303,2)))))),"")</f>
        <v>45805</v>
      </c>
      <c r="C303" s="4" t="n">
        <f aca="false">IFERROR(IF(MID(raw_data!C303,3,1)="/",DATE(VALUE(RIGHT(raw_data!C303,4)),VALUE(LEFT(raw_data!C303,2)),VALUE(MID(raw_data!C303,4,2))),IF(MID(raw_data!C303,3,1)="-",DATE(VALUE(RIGHT(raw_data!C303,4)),VALUE(MID(raw_data!C303,4,2)),VALUE(LEFT(raw_data!C303,2))),IF(MID(raw_data!C303,5,1)="-",DATE(VALUE(LEFT(raw_data!C303,4)),VALUE(MID(raw_data!C303,6,2)),VALUE(RIGHT(raw_data!C303,2))),DATE(VALUE(RIGHT(raw_data!C303,4)),MATCH(MID(raw_data!C303,4,3),{"Jan","Feb","Mar","Apr","May","Jun","Jul","Aug","Sep","Oct","Nov","Dec"},0),VALUE(LEFT(raw_data!C303,2)))))),"")</f>
        <v>45809</v>
      </c>
      <c r="D303" s="3" t="str">
        <f aca="false">IF(TRIM(raw_data!B303)="","Missing",IF(B303="","Invalid/Unrecognized","Valid"))</f>
        <v>Valid</v>
      </c>
      <c r="E303" s="3" t="str">
        <f aca="false">IF(TRIM(raw_data!C303)="","Missing",IF(C303="","Invalid/Unrecognized","Valid"))</f>
        <v>Valid</v>
      </c>
      <c r="F303" s="5" t="n">
        <f aca="false">IF(OR(B303="",C303=""),"",C303-B303)</f>
        <v>4</v>
      </c>
      <c r="G303" s="3" t="str">
        <f aca="false">IF(F303="","N/A",IF(F303&lt;0,"Invalid - Ship Before Order","OK"))</f>
        <v>OK</v>
      </c>
      <c r="H303" s="3" t="str">
        <f aca="false">raw_data!D303</f>
        <v>CUST-5599</v>
      </c>
      <c r="I303" s="3" t="str">
        <f aca="false">PROPER(TRIM(raw_data!E303))</f>
        <v>Isha Nair</v>
      </c>
      <c r="J303" s="3" t="str">
        <f aca="false">PROPER(TRIM(raw_data!F303))</f>
        <v>Home Office</v>
      </c>
      <c r="K303" s="3" t="str">
        <f aca="false">IF(TRIM(raw_data!G303)="","Unknown",PROPER(TRIM(raw_data!G303)))</f>
        <v>East</v>
      </c>
      <c r="L303" s="3" t="str">
        <f aca="false">IF(TRIM(raw_data!G303)="","Filled - Unknown","OK")</f>
        <v>OK</v>
      </c>
      <c r="M303" s="3" t="str">
        <f aca="false">PROPER(TRIM(raw_data!H303))</f>
        <v>Bihar</v>
      </c>
      <c r="N303" s="3" t="str">
        <f aca="false">PROPER(TRIM(raw_data!I303))</f>
        <v>Patna</v>
      </c>
      <c r="O303" s="3" t="str">
        <f aca="false">PROPER(TRIM(raw_data!J303))</f>
        <v>Technology</v>
      </c>
      <c r="P303" s="3" t="str">
        <f aca="false">PROPER(TRIM(raw_data!K303))</f>
        <v>Phones</v>
      </c>
      <c r="Q303" s="3" t="str">
        <f aca="false">TRIM(raw_data!L303)</f>
        <v>Elite Phones 202</v>
      </c>
      <c r="R303" s="3" t="str">
        <f aca="false">IF(TRIM(raw_data!M303)="","Unknown",PROPER(TRIM(raw_data!M303)))</f>
        <v>Same Day</v>
      </c>
      <c r="S303" s="3" t="str">
        <f aca="false">IF(TRIM(raw_data!M303)="","Filled - Unknown","OK")</f>
        <v>OK</v>
      </c>
      <c r="T303" s="6" t="n">
        <f aca="false">raw_data!N303</f>
        <v>4</v>
      </c>
      <c r="U303" s="7" t="n">
        <f aca="false">raw_data!O303</f>
        <v>1654.11</v>
      </c>
      <c r="V303" s="8" t="n">
        <f aca="false">raw_data!P303</f>
        <v>0.05</v>
      </c>
      <c r="W303" s="8" t="n">
        <f aca="false">IF(raw_data!P303="",0,IF(ISTEXT(raw_data!P303),IF(RIGHT(raw_data!P303,1)="%",VALUE(LEFT(raw_data!P303,LEN(raw_data!P303)-1))/100,VALUE(raw_data!P303)),raw_data!P303))</f>
        <v>0.05</v>
      </c>
      <c r="X303" s="3" t="str">
        <f aca="false">IF(raw_data!P303="","Missing - Defaulted to 0",IF(W303&lt;0,"Negative - Invalid",IF(W303&gt;0.3,"Above Allowed Range - Invalid","Valid")))</f>
        <v>Valid</v>
      </c>
      <c r="Y303" s="7" t="n">
        <f aca="false">raw_data!Q303</f>
        <v>6285.62</v>
      </c>
      <c r="Z303" s="7" t="n">
        <f aca="false">raw_data!R303</f>
        <v>3705.38</v>
      </c>
      <c r="AA303" s="7" t="n">
        <f aca="false">raw_data!S303</f>
        <v>2580.24</v>
      </c>
      <c r="AB303" s="3" t="str">
        <f aca="false">PROPER(TRIM(raw_data!T303))</f>
        <v>Paid</v>
      </c>
      <c r="AC303" s="3" t="str">
        <f aca="false">PROPER(TRIM(raw_data!U303))</f>
        <v>Completed</v>
      </c>
      <c r="AD303" s="7" t="n">
        <f aca="false">T303*U303*(1-W303)</f>
        <v>6285.618</v>
      </c>
      <c r="AE303" s="7" t="n">
        <f aca="false">AD303-Z303</f>
        <v>2580.238</v>
      </c>
      <c r="AF303" s="8" t="n">
        <f aca="false">IF(AD303=0,0,AE303/AD303)</f>
        <v>0.410498697184589</v>
      </c>
      <c r="AG303" s="3" t="str">
        <f aca="false">IF(ABS(Y303-AD303)&gt;1,"Mismatch","OK")</f>
        <v>OK</v>
      </c>
      <c r="AH303" s="3" t="str">
        <f aca="false">IF(ABS(AA303-AE303)&gt;1,"Mismatch","OK")</f>
        <v>OK</v>
      </c>
      <c r="AI303" s="6" t="n">
        <f aca="false">IF(B303="","",MONTH(B303))</f>
        <v>5</v>
      </c>
      <c r="AJ303" s="6" t="n">
        <f aca="false">IF(B303="","",YEAR(B303))</f>
        <v>2025</v>
      </c>
      <c r="AK303" s="3" t="str">
        <f aca="false">IF(COUNTIF(raw_data!$A$2:$A$913,A303)&gt;1,"Conflicting Duplicate - Flagged for Review","Unique")</f>
        <v>Unique</v>
      </c>
      <c r="AL303" s="3" t="str">
        <f aca="false">IF(AB303="Refunded","Yes","No")</f>
        <v>No</v>
      </c>
      <c r="AM303" s="3" t="str">
        <f aca="false">IF(OR(AC303&lt;&gt;"Completed",AB303="Failed"),"Excluded","Included")</f>
        <v>Included</v>
      </c>
      <c r="AN303" s="3" t="str">
        <f aca="false">IF(OR(D303="Invalid/Unrecognized",E303="Invalid/Unrecognized",G303="Invalid - Ship Before Order",X303="Negative - Invalid",X303="Above Allowed Range - Invalid",AG303="Mismatch",AH303="Mismatch",AK303="Conflicting Duplicate - Flagged for Review"),"Invalid",IF(OR(L303="Filled - Unknown",S303="Filled - Unknown",X303="Missing - Defaulted to 0",AL303="Yes",AC303="Cancelled",AC303="Returned"),"Warning","Clean"))</f>
        <v>Clean</v>
      </c>
    </row>
    <row r="304" customFormat="false" ht="15" hidden="false" customHeight="false" outlineLevel="0" collapsed="false">
      <c r="A304" s="3" t="str">
        <f aca="false">raw_data!A304</f>
        <v>ORD-2025-10303</v>
      </c>
      <c r="B304" s="4" t="n">
        <f aca="false">IFERROR(IF(MID(raw_data!B304,3,1)="/",DATE(VALUE(RIGHT(raw_data!B304,4)),VALUE(LEFT(raw_data!B304,2)),VALUE(MID(raw_data!B304,4,2))),IF(MID(raw_data!B304,3,1)="-",DATE(VALUE(RIGHT(raw_data!B304,4)),VALUE(MID(raw_data!B304,4,2)),VALUE(LEFT(raw_data!B304,2))),IF(MID(raw_data!B304,5,1)="-",DATE(VALUE(LEFT(raw_data!B304,4)),VALUE(MID(raw_data!B304,6,2)),VALUE(RIGHT(raw_data!B304,2))),DATE(VALUE(RIGHT(raw_data!B304,4)),MATCH(MID(raw_data!B304,4,3),{"Jan","Feb","Mar","Apr","May","Jun","Jul","Aug","Sep","Oct","Nov","Dec"},0),VALUE(LEFT(raw_data!B304,2)))))),"")</f>
        <v>45812</v>
      </c>
      <c r="C304" s="4" t="n">
        <f aca="false">IFERROR(IF(MID(raw_data!C304,3,1)="/",DATE(VALUE(RIGHT(raw_data!C304,4)),VALUE(LEFT(raw_data!C304,2)),VALUE(MID(raw_data!C304,4,2))),IF(MID(raw_data!C304,3,1)="-",DATE(VALUE(RIGHT(raw_data!C304,4)),VALUE(MID(raw_data!C304,4,2)),VALUE(LEFT(raw_data!C304,2))),IF(MID(raw_data!C304,5,1)="-",DATE(VALUE(LEFT(raw_data!C304,4)),VALUE(MID(raw_data!C304,6,2)),VALUE(RIGHT(raw_data!C304,2))),DATE(VALUE(RIGHT(raw_data!C304,4)),MATCH(MID(raw_data!C304,4,3),{"Jan","Feb","Mar","Apr","May","Jun","Jul","Aug","Sep","Oct","Nov","Dec"},0),VALUE(LEFT(raw_data!C304,2)))))),"")</f>
        <v>45820</v>
      </c>
      <c r="D304" s="3" t="str">
        <f aca="false">IF(TRIM(raw_data!B304)="","Missing",IF(B304="","Invalid/Unrecognized","Valid"))</f>
        <v>Valid</v>
      </c>
      <c r="E304" s="3" t="str">
        <f aca="false">IF(TRIM(raw_data!C304)="","Missing",IF(C304="","Invalid/Unrecognized","Valid"))</f>
        <v>Valid</v>
      </c>
      <c r="F304" s="5" t="n">
        <f aca="false">IF(OR(B304="",C304=""),"",C304-B304)</f>
        <v>8</v>
      </c>
      <c r="G304" s="3" t="str">
        <f aca="false">IF(F304="","N/A",IF(F304&lt;0,"Invalid - Ship Before Order","OK"))</f>
        <v>OK</v>
      </c>
      <c r="H304" s="3" t="str">
        <f aca="false">raw_data!D304</f>
        <v>CUST-1623</v>
      </c>
      <c r="I304" s="3" t="str">
        <f aca="false">PROPER(TRIM(raw_data!E304))</f>
        <v>Neha Gupta</v>
      </c>
      <c r="J304" s="3" t="str">
        <f aca="false">PROPER(TRIM(raw_data!F304))</f>
        <v>Consumer</v>
      </c>
      <c r="K304" s="3" t="str">
        <f aca="false">IF(TRIM(raw_data!G304)="","Unknown",PROPER(TRIM(raw_data!G304)))</f>
        <v>West</v>
      </c>
      <c r="L304" s="3" t="str">
        <f aca="false">IF(TRIM(raw_data!G304)="","Filled - Unknown","OK")</f>
        <v>OK</v>
      </c>
      <c r="M304" s="3" t="str">
        <f aca="false">PROPER(TRIM(raw_data!H304))</f>
        <v>Goa</v>
      </c>
      <c r="N304" s="3" t="str">
        <f aca="false">PROPER(TRIM(raw_data!I304))</f>
        <v>Panaji</v>
      </c>
      <c r="O304" s="3" t="str">
        <f aca="false">PROPER(TRIM(raw_data!J304))</f>
        <v>Office Supplies</v>
      </c>
      <c r="P304" s="3" t="str">
        <f aca="false">PROPER(TRIM(raw_data!K304))</f>
        <v>Storage</v>
      </c>
      <c r="Q304" s="3" t="str">
        <f aca="false">TRIM(raw_data!L304)</f>
        <v>Elite Storage 535</v>
      </c>
      <c r="R304" s="3" t="str">
        <f aca="false">IF(TRIM(raw_data!M304)="","Unknown",PROPER(TRIM(raw_data!M304)))</f>
        <v>Same Day</v>
      </c>
      <c r="S304" s="3" t="str">
        <f aca="false">IF(TRIM(raw_data!M304)="","Filled - Unknown","OK")</f>
        <v>OK</v>
      </c>
      <c r="T304" s="6" t="n">
        <f aca="false">raw_data!N304</f>
        <v>2</v>
      </c>
      <c r="U304" s="7" t="n">
        <f aca="false">raw_data!O304</f>
        <v>2703.28</v>
      </c>
      <c r="V304" s="8" t="n">
        <f aca="false">raw_data!P304</f>
        <v>0.25</v>
      </c>
      <c r="W304" s="8" t="n">
        <f aca="false">IF(raw_data!P304="",0,IF(ISTEXT(raw_data!P304),IF(RIGHT(raw_data!P304,1)="%",VALUE(LEFT(raw_data!P304,LEN(raw_data!P304)-1))/100,VALUE(raw_data!P304)),raw_data!P304))</f>
        <v>0.25</v>
      </c>
      <c r="X304" s="3" t="str">
        <f aca="false">IF(raw_data!P304="","Missing - Defaulted to 0",IF(W304&lt;0,"Negative - Invalid",IF(W304&gt;0.3,"Above Allowed Range - Invalid","Valid")))</f>
        <v>Valid</v>
      </c>
      <c r="Y304" s="7" t="n">
        <f aca="false">raw_data!Q304</f>
        <v>4054.92</v>
      </c>
      <c r="Z304" s="7" t="n">
        <f aca="false">raw_data!R304</f>
        <v>2424.83</v>
      </c>
      <c r="AA304" s="7" t="n">
        <f aca="false">raw_data!S304</f>
        <v>1630.09</v>
      </c>
      <c r="AB304" s="3" t="str">
        <f aca="false">PROPER(TRIM(raw_data!T304))</f>
        <v>Paid</v>
      </c>
      <c r="AC304" s="3" t="str">
        <f aca="false">PROPER(TRIM(raw_data!U304))</f>
        <v>Completed</v>
      </c>
      <c r="AD304" s="7" t="n">
        <f aca="false">T304*U304*(1-W304)</f>
        <v>4054.92</v>
      </c>
      <c r="AE304" s="7" t="n">
        <f aca="false">AD304-Z304</f>
        <v>1630.09</v>
      </c>
      <c r="AF304" s="8" t="n">
        <f aca="false">IF(AD304=0,0,AE304/AD304)</f>
        <v>0.402002998826117</v>
      </c>
      <c r="AG304" s="3" t="str">
        <f aca="false">IF(ABS(Y304-AD304)&gt;1,"Mismatch","OK")</f>
        <v>OK</v>
      </c>
      <c r="AH304" s="3" t="str">
        <f aca="false">IF(ABS(AA304-AE304)&gt;1,"Mismatch","OK")</f>
        <v>OK</v>
      </c>
      <c r="AI304" s="6" t="n">
        <f aca="false">IF(B304="","",MONTH(B304))</f>
        <v>6</v>
      </c>
      <c r="AJ304" s="6" t="n">
        <f aca="false">IF(B304="","",YEAR(B304))</f>
        <v>2025</v>
      </c>
      <c r="AK304" s="3" t="str">
        <f aca="false">IF(COUNTIF(raw_data!$A$2:$A$913,A304)&gt;1,"Conflicting Duplicate - Flagged for Review","Unique")</f>
        <v>Unique</v>
      </c>
      <c r="AL304" s="3" t="str">
        <f aca="false">IF(AB304="Refunded","Yes","No")</f>
        <v>No</v>
      </c>
      <c r="AM304" s="3" t="str">
        <f aca="false">IF(OR(AC304&lt;&gt;"Completed",AB304="Failed"),"Excluded","Included")</f>
        <v>Included</v>
      </c>
      <c r="AN304" s="3" t="str">
        <f aca="false">IF(OR(D304="Invalid/Unrecognized",E304="Invalid/Unrecognized",G304="Invalid - Ship Before Order",X304="Negative - Invalid",X304="Above Allowed Range - Invalid",AG304="Mismatch",AH304="Mismatch",AK304="Conflicting Duplicate - Flagged for Review"),"Invalid",IF(OR(L304="Filled - Unknown",S304="Filled - Unknown",X304="Missing - Defaulted to 0",AL304="Yes",AC304="Cancelled",AC304="Returned"),"Warning","Clean"))</f>
        <v>Clean</v>
      </c>
    </row>
    <row r="305" customFormat="false" ht="15" hidden="false" customHeight="false" outlineLevel="0" collapsed="false">
      <c r="A305" s="3" t="str">
        <f aca="false">raw_data!A305</f>
        <v>ORD-2024-10304</v>
      </c>
      <c r="B305" s="4" t="n">
        <f aca="false">IFERROR(IF(MID(raw_data!B305,3,1)="/",DATE(VALUE(RIGHT(raw_data!B305,4)),VALUE(LEFT(raw_data!B305,2)),VALUE(MID(raw_data!B305,4,2))),IF(MID(raw_data!B305,3,1)="-",DATE(VALUE(RIGHT(raw_data!B305,4)),VALUE(MID(raw_data!B305,4,2)),VALUE(LEFT(raw_data!B305,2))),IF(MID(raw_data!B305,5,1)="-",DATE(VALUE(LEFT(raw_data!B305,4)),VALUE(MID(raw_data!B305,6,2)),VALUE(RIGHT(raw_data!B305,2))),DATE(VALUE(RIGHT(raw_data!B305,4)),MATCH(MID(raw_data!B305,4,3),{"Jan","Feb","Mar","Apr","May","Jun","Jul","Aug","Sep","Oct","Nov","Dec"},0),VALUE(LEFT(raw_data!B305,2)))))),"")</f>
        <v>45466</v>
      </c>
      <c r="C305" s="4" t="n">
        <f aca="false">IFERROR(IF(MID(raw_data!C305,3,1)="/",DATE(VALUE(RIGHT(raw_data!C305,4)),VALUE(LEFT(raw_data!C305,2)),VALUE(MID(raw_data!C305,4,2))),IF(MID(raw_data!C305,3,1)="-",DATE(VALUE(RIGHT(raw_data!C305,4)),VALUE(MID(raw_data!C305,4,2)),VALUE(LEFT(raw_data!C305,2))),IF(MID(raw_data!C305,5,1)="-",DATE(VALUE(LEFT(raw_data!C305,4)),VALUE(MID(raw_data!C305,6,2)),VALUE(RIGHT(raw_data!C305,2))),DATE(VALUE(RIGHT(raw_data!C305,4)),MATCH(MID(raw_data!C305,4,3),{"Jan","Feb","Mar","Apr","May","Jun","Jul","Aug","Sep","Oct","Nov","Dec"},0),VALUE(LEFT(raw_data!C305,2)))))),"")</f>
        <v>45471</v>
      </c>
      <c r="D305" s="3" t="str">
        <f aca="false">IF(TRIM(raw_data!B305)="","Missing",IF(B305="","Invalid/Unrecognized","Valid"))</f>
        <v>Valid</v>
      </c>
      <c r="E305" s="3" t="str">
        <f aca="false">IF(TRIM(raw_data!C305)="","Missing",IF(C305="","Invalid/Unrecognized","Valid"))</f>
        <v>Valid</v>
      </c>
      <c r="F305" s="5" t="n">
        <f aca="false">IF(OR(B305="",C305=""),"",C305-B305)</f>
        <v>5</v>
      </c>
      <c r="G305" s="3" t="str">
        <f aca="false">IF(F305="","N/A",IF(F305&lt;0,"Invalid - Ship Before Order","OK"))</f>
        <v>OK</v>
      </c>
      <c r="H305" s="3" t="str">
        <f aca="false">raw_data!D305</f>
        <v>CUST-9035</v>
      </c>
      <c r="I305" s="3" t="str">
        <f aca="false">PROPER(TRIM(raw_data!E305))</f>
        <v>Diya Patel</v>
      </c>
      <c r="J305" s="3" t="str">
        <f aca="false">PROPER(TRIM(raw_data!F305))</f>
        <v>Home Office</v>
      </c>
      <c r="K305" s="3" t="str">
        <f aca="false">IF(TRIM(raw_data!G305)="","Unknown",PROPER(TRIM(raw_data!G305)))</f>
        <v>West</v>
      </c>
      <c r="L305" s="3" t="str">
        <f aca="false">IF(TRIM(raw_data!G305)="","Filled - Unknown","OK")</f>
        <v>OK</v>
      </c>
      <c r="M305" s="3" t="str">
        <f aca="false">PROPER(TRIM(raw_data!H305))</f>
        <v>Gujarat</v>
      </c>
      <c r="N305" s="3" t="str">
        <f aca="false">PROPER(TRIM(raw_data!I305))</f>
        <v>Ahmedabad</v>
      </c>
      <c r="O305" s="3" t="str">
        <f aca="false">PROPER(TRIM(raw_data!J305))</f>
        <v>Furniture</v>
      </c>
      <c r="P305" s="3" t="str">
        <f aca="false">PROPER(TRIM(raw_data!K305))</f>
        <v>Chairs</v>
      </c>
      <c r="Q305" s="3" t="str">
        <f aca="false">TRIM(raw_data!L305)</f>
        <v>Elite Chairs 107</v>
      </c>
      <c r="R305" s="3" t="str">
        <f aca="false">IF(TRIM(raw_data!M305)="","Unknown",PROPER(TRIM(raw_data!M305)))</f>
        <v>Standard Class</v>
      </c>
      <c r="S305" s="3" t="str">
        <f aca="false">IF(TRIM(raw_data!M305)="","Filled - Unknown","OK")</f>
        <v>OK</v>
      </c>
      <c r="T305" s="6" t="n">
        <f aca="false">raw_data!N305</f>
        <v>2</v>
      </c>
      <c r="U305" s="7" t="n">
        <f aca="false">raw_data!O305</f>
        <v>1313.14</v>
      </c>
      <c r="V305" s="8" t="n">
        <f aca="false">raw_data!P305</f>
        <v>0.1</v>
      </c>
      <c r="W305" s="8" t="n">
        <f aca="false">IF(raw_data!P305="",0,IF(ISTEXT(raw_data!P305),IF(RIGHT(raw_data!P305,1)="%",VALUE(LEFT(raw_data!P305,LEN(raw_data!P305)-1))/100,VALUE(raw_data!P305)),raw_data!P305))</f>
        <v>0.1</v>
      </c>
      <c r="X305" s="3" t="str">
        <f aca="false">IF(raw_data!P305="","Missing - Defaulted to 0",IF(W305&lt;0,"Negative - Invalid",IF(W305&gt;0.3,"Above Allowed Range - Invalid","Valid")))</f>
        <v>Valid</v>
      </c>
      <c r="Y305" s="7" t="n">
        <f aca="false">raw_data!Q305</f>
        <v>2363.65</v>
      </c>
      <c r="Z305" s="7" t="n">
        <f aca="false">raw_data!R305</f>
        <v>1876.1</v>
      </c>
      <c r="AA305" s="7" t="n">
        <f aca="false">raw_data!S305</f>
        <v>487.55</v>
      </c>
      <c r="AB305" s="3" t="str">
        <f aca="false">PROPER(TRIM(raw_data!T305))</f>
        <v>Pending</v>
      </c>
      <c r="AC305" s="3" t="str">
        <f aca="false">PROPER(TRIM(raw_data!U305))</f>
        <v>Returned</v>
      </c>
      <c r="AD305" s="7" t="n">
        <f aca="false">T305*U305*(1-W305)</f>
        <v>2363.652</v>
      </c>
      <c r="AE305" s="7" t="n">
        <f aca="false">AD305-Z305</f>
        <v>487.552</v>
      </c>
      <c r="AF305" s="8" t="n">
        <f aca="false">IF(AD305=0,0,AE305/AD305)</f>
        <v>0.206270635440412</v>
      </c>
      <c r="AG305" s="3" t="str">
        <f aca="false">IF(ABS(Y305-AD305)&gt;1,"Mismatch","OK")</f>
        <v>OK</v>
      </c>
      <c r="AH305" s="3" t="str">
        <f aca="false">IF(ABS(AA305-AE305)&gt;1,"Mismatch","OK")</f>
        <v>OK</v>
      </c>
      <c r="AI305" s="6" t="n">
        <f aca="false">IF(B305="","",MONTH(B305))</f>
        <v>6</v>
      </c>
      <c r="AJ305" s="6" t="n">
        <f aca="false">IF(B305="","",YEAR(B305))</f>
        <v>2024</v>
      </c>
      <c r="AK305" s="3" t="str">
        <f aca="false">IF(COUNTIF(raw_data!$A$2:$A$913,A305)&gt;1,"Conflicting Duplicate - Flagged for Review","Unique")</f>
        <v>Unique</v>
      </c>
      <c r="AL305" s="3" t="str">
        <f aca="false">IF(AB305="Refunded","Yes","No")</f>
        <v>No</v>
      </c>
      <c r="AM305" s="3" t="str">
        <f aca="false">IF(OR(AC305&lt;&gt;"Completed",AB305="Failed"),"Excluded","Included")</f>
        <v>Excluded</v>
      </c>
      <c r="AN305" s="3" t="str">
        <f aca="false">IF(OR(D305="Invalid/Unrecognized",E305="Invalid/Unrecognized",G305="Invalid - Ship Before Order",X305="Negative - Invalid",X305="Above Allowed Range - Invalid",AG305="Mismatch",AH305="Mismatch",AK305="Conflicting Duplicate - Flagged for Review"),"Invalid",IF(OR(L305="Filled - Unknown",S305="Filled - Unknown",X305="Missing - Defaulted to 0",AL305="Yes",AC305="Cancelled",AC305="Returned"),"Warning","Clean"))</f>
        <v>Warning</v>
      </c>
    </row>
    <row r="306" customFormat="false" ht="15" hidden="false" customHeight="false" outlineLevel="0" collapsed="false">
      <c r="A306" s="3" t="str">
        <f aca="false">raw_data!A306</f>
        <v>ORD-2024-10305</v>
      </c>
      <c r="B306" s="4" t="n">
        <f aca="false">IFERROR(IF(MID(raw_data!B306,3,1)="/",DATE(VALUE(RIGHT(raw_data!B306,4)),VALUE(LEFT(raw_data!B306,2)),VALUE(MID(raw_data!B306,4,2))),IF(MID(raw_data!B306,3,1)="-",DATE(VALUE(RIGHT(raw_data!B306,4)),VALUE(MID(raw_data!B306,4,2)),VALUE(LEFT(raw_data!B306,2))),IF(MID(raw_data!B306,5,1)="-",DATE(VALUE(LEFT(raw_data!B306,4)),VALUE(MID(raw_data!B306,6,2)),VALUE(RIGHT(raw_data!B306,2))),DATE(VALUE(RIGHT(raw_data!B306,4)),MATCH(MID(raw_data!B306,4,3),{"Jan","Feb","Mar","Apr","May","Jun","Jul","Aug","Sep","Oct","Nov","Dec"},0),VALUE(LEFT(raw_data!B306,2)))))),"")</f>
        <v>45357</v>
      </c>
      <c r="C306" s="4" t="n">
        <f aca="false">IFERROR(IF(MID(raw_data!C306,3,1)="/",DATE(VALUE(RIGHT(raw_data!C306,4)),VALUE(LEFT(raw_data!C306,2)),VALUE(MID(raw_data!C306,4,2))),IF(MID(raw_data!C306,3,1)="-",DATE(VALUE(RIGHT(raw_data!C306,4)),VALUE(MID(raw_data!C306,4,2)),VALUE(LEFT(raw_data!C306,2))),IF(MID(raw_data!C306,5,1)="-",DATE(VALUE(LEFT(raw_data!C306,4)),VALUE(MID(raw_data!C306,6,2)),VALUE(RIGHT(raw_data!C306,2))),DATE(VALUE(RIGHT(raw_data!C306,4)),MATCH(MID(raw_data!C306,4,3),{"Jan","Feb","Mar","Apr","May","Jun","Jul","Aug","Sep","Oct","Nov","Dec"},0),VALUE(LEFT(raw_data!C306,2)))))),"")</f>
        <v>45364</v>
      </c>
      <c r="D306" s="3" t="str">
        <f aca="false">IF(TRIM(raw_data!B306)="","Missing",IF(B306="","Invalid/Unrecognized","Valid"))</f>
        <v>Valid</v>
      </c>
      <c r="E306" s="3" t="str">
        <f aca="false">IF(TRIM(raw_data!C306)="","Missing",IF(C306="","Invalid/Unrecognized","Valid"))</f>
        <v>Valid</v>
      </c>
      <c r="F306" s="5" t="n">
        <f aca="false">IF(OR(B306="",C306=""),"",C306-B306)</f>
        <v>7</v>
      </c>
      <c r="G306" s="3" t="str">
        <f aca="false">IF(F306="","N/A",IF(F306&lt;0,"Invalid - Ship Before Order","OK"))</f>
        <v>OK</v>
      </c>
      <c r="H306" s="3" t="str">
        <f aca="false">raw_data!D306</f>
        <v>CUST-6286</v>
      </c>
      <c r="I306" s="3" t="str">
        <f aca="false">PROPER(TRIM(raw_data!E306))</f>
        <v>Karan Malhotra</v>
      </c>
      <c r="J306" s="3" t="str">
        <f aca="false">PROPER(TRIM(raw_data!F306))</f>
        <v>Consumer</v>
      </c>
      <c r="K306" s="3" t="str">
        <f aca="false">IF(TRIM(raw_data!G306)="","Unknown",PROPER(TRIM(raw_data!G306)))</f>
        <v>North</v>
      </c>
      <c r="L306" s="3" t="str">
        <f aca="false">IF(TRIM(raw_data!G306)="","Filled - Unknown","OK")</f>
        <v>OK</v>
      </c>
      <c r="M306" s="3" t="str">
        <f aca="false">PROPER(TRIM(raw_data!H306))</f>
        <v>Punjab</v>
      </c>
      <c r="N306" s="3" t="str">
        <f aca="false">PROPER(TRIM(raw_data!I306))</f>
        <v>Ludhiana</v>
      </c>
      <c r="O306" s="3" t="str">
        <f aca="false">PROPER(TRIM(raw_data!J306))</f>
        <v>Furniture</v>
      </c>
      <c r="P306" s="3" t="str">
        <f aca="false">PROPER(TRIM(raw_data!K306))</f>
        <v>Furnishings</v>
      </c>
      <c r="Q306" s="3" t="str">
        <f aca="false">TRIM(raw_data!L306)</f>
        <v>Pro Furnishings 991</v>
      </c>
      <c r="R306" s="3" t="str">
        <f aca="false">IF(TRIM(raw_data!M306)="","Unknown",PROPER(TRIM(raw_data!M306)))</f>
        <v>Standard Class</v>
      </c>
      <c r="S306" s="3" t="str">
        <f aca="false">IF(TRIM(raw_data!M306)="","Filled - Unknown","OK")</f>
        <v>OK</v>
      </c>
      <c r="T306" s="6" t="n">
        <f aca="false">raw_data!N306</f>
        <v>6</v>
      </c>
      <c r="U306" s="7" t="n">
        <f aca="false">raw_data!O306</f>
        <v>2403.05</v>
      </c>
      <c r="V306" s="8" t="n">
        <f aca="false">raw_data!P306</f>
        <v>0.1</v>
      </c>
      <c r="W306" s="8" t="n">
        <f aca="false">IF(raw_data!P306="",0,IF(ISTEXT(raw_data!P306),IF(RIGHT(raw_data!P306,1)="%",VALUE(LEFT(raw_data!P306,LEN(raw_data!P306)-1))/100,VALUE(raw_data!P306)),raw_data!P306))</f>
        <v>0.1</v>
      </c>
      <c r="X306" s="3" t="str">
        <f aca="false">IF(raw_data!P306="","Missing - Defaulted to 0",IF(W306&lt;0,"Negative - Invalid",IF(W306&gt;0.3,"Above Allowed Range - Invalid","Valid")))</f>
        <v>Valid</v>
      </c>
      <c r="Y306" s="7" t="n">
        <f aca="false">raw_data!Q306</f>
        <v>12976.47</v>
      </c>
      <c r="Z306" s="7" t="n">
        <f aca="false">raw_data!R306</f>
        <v>10019.98</v>
      </c>
      <c r="AA306" s="7" t="n">
        <f aca="false">raw_data!S306</f>
        <v>2956.49</v>
      </c>
      <c r="AB306" s="3" t="str">
        <f aca="false">PROPER(TRIM(raw_data!T306))</f>
        <v>Paid</v>
      </c>
      <c r="AC306" s="3" t="str">
        <f aca="false">PROPER(TRIM(raw_data!U306))</f>
        <v>Completed</v>
      </c>
      <c r="AD306" s="7" t="n">
        <f aca="false">T306*U306*(1-W306)</f>
        <v>12976.47</v>
      </c>
      <c r="AE306" s="7" t="n">
        <f aca="false">AD306-Z306</f>
        <v>2956.49</v>
      </c>
      <c r="AF306" s="8" t="n">
        <f aca="false">IF(AD306=0,0,AE306/AD306)</f>
        <v>0.227834688478454</v>
      </c>
      <c r="AG306" s="3" t="str">
        <f aca="false">IF(ABS(Y306-AD306)&gt;1,"Mismatch","OK")</f>
        <v>OK</v>
      </c>
      <c r="AH306" s="3" t="str">
        <f aca="false">IF(ABS(AA306-AE306)&gt;1,"Mismatch","OK")</f>
        <v>OK</v>
      </c>
      <c r="AI306" s="6" t="n">
        <f aca="false">IF(B306="","",MONTH(B306))</f>
        <v>3</v>
      </c>
      <c r="AJ306" s="6" t="n">
        <f aca="false">IF(B306="","",YEAR(B306))</f>
        <v>2024</v>
      </c>
      <c r="AK306" s="3" t="str">
        <f aca="false">IF(COUNTIF(raw_data!$A$2:$A$913,A306)&gt;1,"Conflicting Duplicate - Flagged for Review","Unique")</f>
        <v>Unique</v>
      </c>
      <c r="AL306" s="3" t="str">
        <f aca="false">IF(AB306="Refunded","Yes","No")</f>
        <v>No</v>
      </c>
      <c r="AM306" s="3" t="str">
        <f aca="false">IF(OR(AC306&lt;&gt;"Completed",AB306="Failed"),"Excluded","Included")</f>
        <v>Included</v>
      </c>
      <c r="AN306" s="3" t="str">
        <f aca="false">IF(OR(D306="Invalid/Unrecognized",E306="Invalid/Unrecognized",G306="Invalid - Ship Before Order",X306="Negative - Invalid",X306="Above Allowed Range - Invalid",AG306="Mismatch",AH306="Mismatch",AK306="Conflicting Duplicate - Flagged for Review"),"Invalid",IF(OR(L306="Filled - Unknown",S306="Filled - Unknown",X306="Missing - Defaulted to 0",AL306="Yes",AC306="Cancelled",AC306="Returned"),"Warning","Clean"))</f>
        <v>Clean</v>
      </c>
    </row>
    <row r="307" customFormat="false" ht="15" hidden="false" customHeight="false" outlineLevel="0" collapsed="false">
      <c r="A307" s="3" t="str">
        <f aca="false">raw_data!A307</f>
        <v>ORD-2024-10306</v>
      </c>
      <c r="B307" s="4" t="n">
        <f aca="false">IFERROR(IF(MID(raw_data!B307,3,1)="/",DATE(VALUE(RIGHT(raw_data!B307,4)),VALUE(LEFT(raw_data!B307,2)),VALUE(MID(raw_data!B307,4,2))),IF(MID(raw_data!B307,3,1)="-",DATE(VALUE(RIGHT(raw_data!B307,4)),VALUE(MID(raw_data!B307,4,2)),VALUE(LEFT(raw_data!B307,2))),IF(MID(raw_data!B307,5,1)="-",DATE(VALUE(LEFT(raw_data!B307,4)),VALUE(MID(raw_data!B307,6,2)),VALUE(RIGHT(raw_data!B307,2))),DATE(VALUE(RIGHT(raw_data!B307,4)),MATCH(MID(raw_data!B307,4,3),{"Jan","Feb","Mar","Apr","May","Jun","Jul","Aug","Sep","Oct","Nov","Dec"},0),VALUE(LEFT(raw_data!B307,2)))))),"")</f>
        <v>45413</v>
      </c>
      <c r="C307" s="4" t="n">
        <f aca="false">IFERROR(IF(MID(raw_data!C307,3,1)="/",DATE(VALUE(RIGHT(raw_data!C307,4)),VALUE(LEFT(raw_data!C307,2)),VALUE(MID(raw_data!C307,4,2))),IF(MID(raw_data!C307,3,1)="-",DATE(VALUE(RIGHT(raw_data!C307,4)),VALUE(MID(raw_data!C307,4,2)),VALUE(LEFT(raw_data!C307,2))),IF(MID(raw_data!C307,5,1)="-",DATE(VALUE(LEFT(raw_data!C307,4)),VALUE(MID(raw_data!C307,6,2)),VALUE(RIGHT(raw_data!C307,2))),DATE(VALUE(RIGHT(raw_data!C307,4)),MATCH(MID(raw_data!C307,4,3),{"Jan","Feb","Mar","Apr","May","Jun","Jul","Aug","Sep","Oct","Nov","Dec"},0),VALUE(LEFT(raw_data!C307,2)))))),"")</f>
        <v>45414</v>
      </c>
      <c r="D307" s="3" t="str">
        <f aca="false">IF(TRIM(raw_data!B307)="","Missing",IF(B307="","Invalid/Unrecognized","Valid"))</f>
        <v>Valid</v>
      </c>
      <c r="E307" s="3" t="str">
        <f aca="false">IF(TRIM(raw_data!C307)="","Missing",IF(C307="","Invalid/Unrecognized","Valid"))</f>
        <v>Valid</v>
      </c>
      <c r="F307" s="5" t="n">
        <f aca="false">IF(OR(B307="",C307=""),"",C307-B307)</f>
        <v>1</v>
      </c>
      <c r="G307" s="3" t="str">
        <f aca="false">IF(F307="","N/A",IF(F307&lt;0,"Invalid - Ship Before Order","OK"))</f>
        <v>OK</v>
      </c>
      <c r="H307" s="3" t="str">
        <f aca="false">raw_data!D307</f>
        <v>CUST-7246</v>
      </c>
      <c r="I307" s="3" t="str">
        <f aca="false">PROPER(TRIM(raw_data!E307))</f>
        <v>Ananya Rao</v>
      </c>
      <c r="J307" s="3" t="str">
        <f aca="false">PROPER(TRIM(raw_data!F307))</f>
        <v>Consumer</v>
      </c>
      <c r="K307" s="3" t="str">
        <f aca="false">IF(TRIM(raw_data!G307)="","Unknown",PROPER(TRIM(raw_data!G307)))</f>
        <v>East</v>
      </c>
      <c r="L307" s="3" t="str">
        <f aca="false">IF(TRIM(raw_data!G307)="","Filled - Unknown","OK")</f>
        <v>OK</v>
      </c>
      <c r="M307" s="3" t="str">
        <f aca="false">PROPER(TRIM(raw_data!H307))</f>
        <v>Assam</v>
      </c>
      <c r="N307" s="3" t="str">
        <f aca="false">PROPER(TRIM(raw_data!I307))</f>
        <v>Guwahati</v>
      </c>
      <c r="O307" s="3" t="str">
        <f aca="false">PROPER(TRIM(raw_data!J307))</f>
        <v>Furniture</v>
      </c>
      <c r="P307" s="3" t="str">
        <f aca="false">PROPER(TRIM(raw_data!K307))</f>
        <v>Chairs</v>
      </c>
      <c r="Q307" s="3" t="str">
        <f aca="false">TRIM(raw_data!L307)</f>
        <v>Eco Chairs 105</v>
      </c>
      <c r="R307" s="3" t="str">
        <f aca="false">IF(TRIM(raw_data!M307)="","Unknown",PROPER(TRIM(raw_data!M307)))</f>
        <v>First Class</v>
      </c>
      <c r="S307" s="3" t="str">
        <f aca="false">IF(TRIM(raw_data!M307)="","Filled - Unknown","OK")</f>
        <v>OK</v>
      </c>
      <c r="T307" s="6" t="n">
        <f aca="false">raw_data!N307</f>
        <v>4</v>
      </c>
      <c r="U307" s="7" t="n">
        <f aca="false">raw_data!O307</f>
        <v>4156.06</v>
      </c>
      <c r="V307" s="8" t="n">
        <f aca="false">raw_data!P307</f>
        <v>0.55</v>
      </c>
      <c r="W307" s="8" t="n">
        <f aca="false">IF(raw_data!P307="",0,IF(ISTEXT(raw_data!P307),IF(RIGHT(raw_data!P307,1)="%",VALUE(LEFT(raw_data!P307,LEN(raw_data!P307)-1))/100,VALUE(raw_data!P307)),raw_data!P307))</f>
        <v>0.55</v>
      </c>
      <c r="X307" s="3" t="str">
        <f aca="false">IF(raw_data!P307="","Missing - Defaulted to 0",IF(W307&lt;0,"Negative - Invalid",IF(W307&gt;0.3,"Above Allowed Range - Invalid","Valid")))</f>
        <v>Above Allowed Range - Invalid</v>
      </c>
      <c r="Y307" s="7" t="n">
        <f aca="false">raw_data!Q307</f>
        <v>13299.39</v>
      </c>
      <c r="Z307" s="7" t="n">
        <f aca="false">raw_data!R307</f>
        <v>9851.91</v>
      </c>
      <c r="AA307" s="7" t="n">
        <f aca="false">raw_data!S307</f>
        <v>3447.48</v>
      </c>
      <c r="AB307" s="3" t="str">
        <f aca="false">PROPER(TRIM(raw_data!T307))</f>
        <v>Paid</v>
      </c>
      <c r="AC307" s="3" t="str">
        <f aca="false">PROPER(TRIM(raw_data!U307))</f>
        <v>Cancelled</v>
      </c>
      <c r="AD307" s="7" t="n">
        <f aca="false">T307*U307*(1-W307)</f>
        <v>7480.908</v>
      </c>
      <c r="AE307" s="7" t="n">
        <f aca="false">AD307-Z307</f>
        <v>-2371.002</v>
      </c>
      <c r="AF307" s="8" t="n">
        <f aca="false">IF(AD307=0,0,AE307/AD307)</f>
        <v>-0.316940403491127</v>
      </c>
      <c r="AG307" s="3" t="str">
        <f aca="false">IF(ABS(Y307-AD307)&gt;1,"Mismatch","OK")</f>
        <v>Mismatch</v>
      </c>
      <c r="AH307" s="3" t="str">
        <f aca="false">IF(ABS(AA307-AE307)&gt;1,"Mismatch","OK")</f>
        <v>Mismatch</v>
      </c>
      <c r="AI307" s="6" t="n">
        <f aca="false">IF(B307="","",MONTH(B307))</f>
        <v>5</v>
      </c>
      <c r="AJ307" s="6" t="n">
        <f aca="false">IF(B307="","",YEAR(B307))</f>
        <v>2024</v>
      </c>
      <c r="AK307" s="3" t="str">
        <f aca="false">IF(COUNTIF(raw_data!$A$2:$A$913,A307)&gt;1,"Conflicting Duplicate - Flagged for Review","Unique")</f>
        <v>Unique</v>
      </c>
      <c r="AL307" s="3" t="str">
        <f aca="false">IF(AB307="Refunded","Yes","No")</f>
        <v>No</v>
      </c>
      <c r="AM307" s="3" t="str">
        <f aca="false">IF(OR(AC307&lt;&gt;"Completed",AB307="Failed"),"Excluded","Included")</f>
        <v>Excluded</v>
      </c>
      <c r="AN307" s="3" t="str">
        <f aca="false">IF(OR(D307="Invalid/Unrecognized",E307="Invalid/Unrecognized",G307="Invalid - Ship Before Order",X307="Negative - Invalid",X307="Above Allowed Range - Invalid",AG307="Mismatch",AH307="Mismatch",AK307="Conflicting Duplicate - Flagged for Review"),"Invalid",IF(OR(L307="Filled - Unknown",S307="Filled - Unknown",X307="Missing - Defaulted to 0",AL307="Yes",AC307="Cancelled",AC307="Returned"),"Warning","Clean"))</f>
        <v>Invalid</v>
      </c>
    </row>
    <row r="308" customFormat="false" ht="15" hidden="false" customHeight="false" outlineLevel="0" collapsed="false">
      <c r="A308" s="3" t="str">
        <f aca="false">raw_data!A308</f>
        <v>ORD-2025-10307</v>
      </c>
      <c r="B308" s="4" t="n">
        <f aca="false">IFERROR(IF(MID(raw_data!B308,3,1)="/",DATE(VALUE(RIGHT(raw_data!B308,4)),VALUE(LEFT(raw_data!B308,2)),VALUE(MID(raw_data!B308,4,2))),IF(MID(raw_data!B308,3,1)="-",DATE(VALUE(RIGHT(raw_data!B308,4)),VALUE(MID(raw_data!B308,4,2)),VALUE(LEFT(raw_data!B308,2))),IF(MID(raw_data!B308,5,1)="-",DATE(VALUE(LEFT(raw_data!B308,4)),VALUE(MID(raw_data!B308,6,2)),VALUE(RIGHT(raw_data!B308,2))),DATE(VALUE(RIGHT(raw_data!B308,4)),MATCH(MID(raw_data!B308,4,3),{"Jan","Feb","Mar","Apr","May","Jun","Jul","Aug","Sep","Oct","Nov","Dec"},0),VALUE(LEFT(raw_data!B308,2)))))),"")</f>
        <v>45708</v>
      </c>
      <c r="C308" s="4" t="n">
        <f aca="false">IFERROR(IF(MID(raw_data!C308,3,1)="/",DATE(VALUE(RIGHT(raw_data!C308,4)),VALUE(LEFT(raw_data!C308,2)),VALUE(MID(raw_data!C308,4,2))),IF(MID(raw_data!C308,3,1)="-",DATE(VALUE(RIGHT(raw_data!C308,4)),VALUE(MID(raw_data!C308,4,2)),VALUE(LEFT(raw_data!C308,2))),IF(MID(raw_data!C308,5,1)="-",DATE(VALUE(LEFT(raw_data!C308,4)),VALUE(MID(raw_data!C308,6,2)),VALUE(RIGHT(raw_data!C308,2))),DATE(VALUE(RIGHT(raw_data!C308,4)),MATCH(MID(raw_data!C308,4,3),{"Jan","Feb","Mar","Apr","May","Jun","Jul","Aug","Sep","Oct","Nov","Dec"},0),VALUE(LEFT(raw_data!C308,2)))))),"")</f>
        <v>45711</v>
      </c>
      <c r="D308" s="3" t="str">
        <f aca="false">IF(TRIM(raw_data!B308)="","Missing",IF(B308="","Invalid/Unrecognized","Valid"))</f>
        <v>Valid</v>
      </c>
      <c r="E308" s="3" t="str">
        <f aca="false">IF(TRIM(raw_data!C308)="","Missing",IF(C308="","Invalid/Unrecognized","Valid"))</f>
        <v>Valid</v>
      </c>
      <c r="F308" s="5" t="n">
        <f aca="false">IF(OR(B308="",C308=""),"",C308-B308)</f>
        <v>3</v>
      </c>
      <c r="G308" s="3" t="str">
        <f aca="false">IF(F308="","N/A",IF(F308&lt;0,"Invalid - Ship Before Order","OK"))</f>
        <v>OK</v>
      </c>
      <c r="H308" s="3" t="str">
        <f aca="false">raw_data!D308</f>
        <v>CUST-2589</v>
      </c>
      <c r="I308" s="3" t="str">
        <f aca="false">PROPER(TRIM(raw_data!E308))</f>
        <v>Aarav Sharma</v>
      </c>
      <c r="J308" s="3" t="str">
        <f aca="false">PROPER(TRIM(raw_data!F308))</f>
        <v>Consumer</v>
      </c>
      <c r="K308" s="3" t="str">
        <f aca="false">IF(TRIM(raw_data!G308)="","Unknown",PROPER(TRIM(raw_data!G308)))</f>
        <v>North</v>
      </c>
      <c r="L308" s="3" t="str">
        <f aca="false">IF(TRIM(raw_data!G308)="","Filled - Unknown","OK")</f>
        <v>OK</v>
      </c>
      <c r="M308" s="3" t="str">
        <f aca="false">PROPER(TRIM(raw_data!H308))</f>
        <v>Rajasthan</v>
      </c>
      <c r="N308" s="3" t="str">
        <f aca="false">PROPER(TRIM(raw_data!I308))</f>
        <v>Jaipur</v>
      </c>
      <c r="O308" s="3" t="str">
        <f aca="false">PROPER(TRIM(raw_data!J308))</f>
        <v>Technology</v>
      </c>
      <c r="P308" s="3" t="str">
        <f aca="false">PROPER(TRIM(raw_data!K308))</f>
        <v>Phones</v>
      </c>
      <c r="Q308" s="3" t="str">
        <f aca="false">TRIM(raw_data!L308)</f>
        <v>Pro Phones 530</v>
      </c>
      <c r="R308" s="3" t="str">
        <f aca="false">IF(TRIM(raw_data!M308)="","Unknown",PROPER(TRIM(raw_data!M308)))</f>
        <v>Second Class</v>
      </c>
      <c r="S308" s="3" t="str">
        <f aca="false">IF(TRIM(raw_data!M308)="","Filled - Unknown","OK")</f>
        <v>OK</v>
      </c>
      <c r="T308" s="6" t="n">
        <f aca="false">raw_data!N308</f>
        <v>4</v>
      </c>
      <c r="U308" s="7" t="n">
        <f aca="false">raw_data!O308</f>
        <v>3673.11</v>
      </c>
      <c r="V308" s="8" t="n">
        <f aca="false">raw_data!P308</f>
        <v>0</v>
      </c>
      <c r="W308" s="8" t="n">
        <f aca="false">IF(raw_data!P308="",0,IF(ISTEXT(raw_data!P308),IF(RIGHT(raw_data!P308,1)="%",VALUE(LEFT(raw_data!P308,LEN(raw_data!P308)-1))/100,VALUE(raw_data!P308)),raw_data!P308))</f>
        <v>0</v>
      </c>
      <c r="X308" s="3" t="str">
        <f aca="false">IF(raw_data!P308="","Missing - Defaulted to 0",IF(W308&lt;0,"Negative - Invalid",IF(W308&gt;0.3,"Above Allowed Range - Invalid","Valid")))</f>
        <v>Valid</v>
      </c>
      <c r="Y308" s="7" t="n">
        <f aca="false">raw_data!Q308</f>
        <v>14692.44</v>
      </c>
      <c r="Z308" s="7" t="n">
        <f aca="false">raw_data!R308</f>
        <v>10082.19</v>
      </c>
      <c r="AA308" s="7" t="n">
        <f aca="false">raw_data!S308</f>
        <v>4610.25</v>
      </c>
      <c r="AB308" s="3" t="str">
        <f aca="false">PROPER(TRIM(raw_data!T308))</f>
        <v>Paid</v>
      </c>
      <c r="AC308" s="3" t="str">
        <f aca="false">PROPER(TRIM(raw_data!U308))</f>
        <v>Completed</v>
      </c>
      <c r="AD308" s="7" t="n">
        <f aca="false">T308*U308*(1-W308)</f>
        <v>14692.44</v>
      </c>
      <c r="AE308" s="7" t="n">
        <f aca="false">AD308-Z308</f>
        <v>4610.25</v>
      </c>
      <c r="AF308" s="8" t="n">
        <f aca="false">IF(AD308=0,0,AE308/AD308)</f>
        <v>0.313783823517401</v>
      </c>
      <c r="AG308" s="3" t="str">
        <f aca="false">IF(ABS(Y308-AD308)&gt;1,"Mismatch","OK")</f>
        <v>OK</v>
      </c>
      <c r="AH308" s="3" t="str">
        <f aca="false">IF(ABS(AA308-AE308)&gt;1,"Mismatch","OK")</f>
        <v>OK</v>
      </c>
      <c r="AI308" s="6" t="n">
        <f aca="false">IF(B308="","",MONTH(B308))</f>
        <v>2</v>
      </c>
      <c r="AJ308" s="6" t="n">
        <f aca="false">IF(B308="","",YEAR(B308))</f>
        <v>2025</v>
      </c>
      <c r="AK308" s="3" t="str">
        <f aca="false">IF(COUNTIF(raw_data!$A$2:$A$913,A308)&gt;1,"Conflicting Duplicate - Flagged for Review","Unique")</f>
        <v>Unique</v>
      </c>
      <c r="AL308" s="3" t="str">
        <f aca="false">IF(AB308="Refunded","Yes","No")</f>
        <v>No</v>
      </c>
      <c r="AM308" s="3" t="str">
        <f aca="false">IF(OR(AC308&lt;&gt;"Completed",AB308="Failed"),"Excluded","Included")</f>
        <v>Included</v>
      </c>
      <c r="AN308" s="3" t="str">
        <f aca="false">IF(OR(D308="Invalid/Unrecognized",E308="Invalid/Unrecognized",G308="Invalid - Ship Before Order",X308="Negative - Invalid",X308="Above Allowed Range - Invalid",AG308="Mismatch",AH308="Mismatch",AK308="Conflicting Duplicate - Flagged for Review"),"Invalid",IF(OR(L308="Filled - Unknown",S308="Filled - Unknown",X308="Missing - Defaulted to 0",AL308="Yes",AC308="Cancelled",AC308="Returned"),"Warning","Clean"))</f>
        <v>Clean</v>
      </c>
    </row>
    <row r="309" customFormat="false" ht="15" hidden="false" customHeight="false" outlineLevel="0" collapsed="false">
      <c r="A309" s="3" t="str">
        <f aca="false">raw_data!A309</f>
        <v>ORD-2025-10308</v>
      </c>
      <c r="B309" s="4" t="n">
        <f aca="false">IFERROR(IF(MID(raw_data!B309,3,1)="/",DATE(VALUE(RIGHT(raw_data!B309,4)),VALUE(LEFT(raw_data!B309,2)),VALUE(MID(raw_data!B309,4,2))),IF(MID(raw_data!B309,3,1)="-",DATE(VALUE(RIGHT(raw_data!B309,4)),VALUE(MID(raw_data!B309,4,2)),VALUE(LEFT(raw_data!B309,2))),IF(MID(raw_data!B309,5,1)="-",DATE(VALUE(LEFT(raw_data!B309,4)),VALUE(MID(raw_data!B309,6,2)),VALUE(RIGHT(raw_data!B309,2))),DATE(VALUE(RIGHT(raw_data!B309,4)),MATCH(MID(raw_data!B309,4,3),{"Jan","Feb","Mar","Apr","May","Jun","Jul","Aug","Sep","Oct","Nov","Dec"},0),VALUE(LEFT(raw_data!B309,2)))))),"")</f>
        <v>45850</v>
      </c>
      <c r="C309" s="4" t="n">
        <f aca="false">IFERROR(IF(MID(raw_data!C309,3,1)="/",DATE(VALUE(RIGHT(raw_data!C309,4)),VALUE(LEFT(raw_data!C309,2)),VALUE(MID(raw_data!C309,4,2))),IF(MID(raw_data!C309,3,1)="-",DATE(VALUE(RIGHT(raw_data!C309,4)),VALUE(MID(raw_data!C309,4,2)),VALUE(LEFT(raw_data!C309,2))),IF(MID(raw_data!C309,5,1)="-",DATE(VALUE(LEFT(raw_data!C309,4)),VALUE(MID(raw_data!C309,6,2)),VALUE(RIGHT(raw_data!C309,2))),DATE(VALUE(RIGHT(raw_data!C309,4)),MATCH(MID(raw_data!C309,4,3),{"Jan","Feb","Mar","Apr","May","Jun","Jul","Aug","Sep","Oct","Nov","Dec"},0),VALUE(LEFT(raw_data!C309,2)))))),"")</f>
        <v>45857</v>
      </c>
      <c r="D309" s="3" t="str">
        <f aca="false">IF(TRIM(raw_data!B309)="","Missing",IF(B309="","Invalid/Unrecognized","Valid"))</f>
        <v>Valid</v>
      </c>
      <c r="E309" s="3" t="str">
        <f aca="false">IF(TRIM(raw_data!C309)="","Missing",IF(C309="","Invalid/Unrecognized","Valid"))</f>
        <v>Valid</v>
      </c>
      <c r="F309" s="5" t="n">
        <f aca="false">IF(OR(B309="",C309=""),"",C309-B309)</f>
        <v>7</v>
      </c>
      <c r="G309" s="3" t="str">
        <f aca="false">IF(F309="","N/A",IF(F309&lt;0,"Invalid - Ship Before Order","OK"))</f>
        <v>OK</v>
      </c>
      <c r="H309" s="3" t="str">
        <f aca="false">raw_data!D309</f>
        <v>CUST-4153</v>
      </c>
      <c r="I309" s="3" t="str">
        <f aca="false">PROPER(TRIM(raw_data!E309))</f>
        <v>Ananya Rao</v>
      </c>
      <c r="J309" s="3" t="str">
        <f aca="false">PROPER(TRIM(raw_data!F309))</f>
        <v>Corporate</v>
      </c>
      <c r="K309" s="3" t="str">
        <f aca="false">IF(TRIM(raw_data!G309)="","Unknown",PROPER(TRIM(raw_data!G309)))</f>
        <v>North</v>
      </c>
      <c r="L309" s="3" t="str">
        <f aca="false">IF(TRIM(raw_data!G309)="","Filled - Unknown","OK")</f>
        <v>OK</v>
      </c>
      <c r="M309" s="3" t="str">
        <f aca="false">PROPER(TRIM(raw_data!H309))</f>
        <v>Uttar Pradesh</v>
      </c>
      <c r="N309" s="3" t="str">
        <f aca="false">PROPER(TRIM(raw_data!I309))</f>
        <v>Noida</v>
      </c>
      <c r="O309" s="3" t="str">
        <f aca="false">PROPER(TRIM(raw_data!J309))</f>
        <v>Furniture</v>
      </c>
      <c r="P309" s="3" t="str">
        <f aca="false">PROPER(TRIM(raw_data!K309))</f>
        <v>Tables</v>
      </c>
      <c r="Q309" s="3" t="str">
        <f aca="false">TRIM(raw_data!L309)</f>
        <v>Basic Tables 911</v>
      </c>
      <c r="R309" s="3" t="str">
        <f aca="false">IF(TRIM(raw_data!M309)="","Unknown",PROPER(TRIM(raw_data!M309)))</f>
        <v>First Class</v>
      </c>
      <c r="S309" s="3" t="str">
        <f aca="false">IF(TRIM(raw_data!M309)="","Filled - Unknown","OK")</f>
        <v>OK</v>
      </c>
      <c r="T309" s="6" t="n">
        <f aca="false">raw_data!N309</f>
        <v>9</v>
      </c>
      <c r="U309" s="7" t="n">
        <f aca="false">raw_data!O309</f>
        <v>4093.04</v>
      </c>
      <c r="V309" s="8" t="n">
        <f aca="false">raw_data!P309</f>
        <v>0.2</v>
      </c>
      <c r="W309" s="8" t="n">
        <f aca="false">IF(raw_data!P309="",0,IF(ISTEXT(raw_data!P309),IF(RIGHT(raw_data!P309,1)="%",VALUE(LEFT(raw_data!P309,LEN(raw_data!P309)-1))/100,VALUE(raw_data!P309)),raw_data!P309))</f>
        <v>0.2</v>
      </c>
      <c r="X309" s="3" t="str">
        <f aca="false">IF(raw_data!P309="","Missing - Defaulted to 0",IF(W309&lt;0,"Negative - Invalid",IF(W309&gt;0.3,"Above Allowed Range - Invalid","Valid")))</f>
        <v>Valid</v>
      </c>
      <c r="Y309" s="7" t="n">
        <f aca="false">raw_data!Q309</f>
        <v>29469.89</v>
      </c>
      <c r="Z309" s="7" t="n">
        <f aca="false">raw_data!R309</f>
        <v>18935.51</v>
      </c>
      <c r="AA309" s="7" t="n">
        <f aca="false">raw_data!S309</f>
        <v>10534.38</v>
      </c>
      <c r="AB309" s="3" t="str">
        <f aca="false">PROPER(TRIM(raw_data!T309))</f>
        <v>Pending</v>
      </c>
      <c r="AC309" s="3" t="str">
        <f aca="false">PROPER(TRIM(raw_data!U309))</f>
        <v>Cancelled</v>
      </c>
      <c r="AD309" s="7" t="n">
        <f aca="false">T309*U309*(1-W309)</f>
        <v>29469.888</v>
      </c>
      <c r="AE309" s="7" t="n">
        <f aca="false">AD309-Z309</f>
        <v>10534.378</v>
      </c>
      <c r="AF309" s="8" t="n">
        <f aca="false">IF(AD309=0,0,AE309/AD309)</f>
        <v>0.357462437590533</v>
      </c>
      <c r="AG309" s="3" t="str">
        <f aca="false">IF(ABS(Y309-AD309)&gt;1,"Mismatch","OK")</f>
        <v>OK</v>
      </c>
      <c r="AH309" s="3" t="str">
        <f aca="false">IF(ABS(AA309-AE309)&gt;1,"Mismatch","OK")</f>
        <v>OK</v>
      </c>
      <c r="AI309" s="6" t="n">
        <f aca="false">IF(B309="","",MONTH(B309))</f>
        <v>7</v>
      </c>
      <c r="AJ309" s="6" t="n">
        <f aca="false">IF(B309="","",YEAR(B309))</f>
        <v>2025</v>
      </c>
      <c r="AK309" s="3" t="str">
        <f aca="false">IF(COUNTIF(raw_data!$A$2:$A$913,A309)&gt;1,"Conflicting Duplicate - Flagged for Review","Unique")</f>
        <v>Unique</v>
      </c>
      <c r="AL309" s="3" t="str">
        <f aca="false">IF(AB309="Refunded","Yes","No")</f>
        <v>No</v>
      </c>
      <c r="AM309" s="3" t="str">
        <f aca="false">IF(OR(AC309&lt;&gt;"Completed",AB309="Failed"),"Excluded","Included")</f>
        <v>Excluded</v>
      </c>
      <c r="AN309" s="3" t="str">
        <f aca="false">IF(OR(D309="Invalid/Unrecognized",E309="Invalid/Unrecognized",G309="Invalid - Ship Before Order",X309="Negative - Invalid",X309="Above Allowed Range - Invalid",AG309="Mismatch",AH309="Mismatch",AK309="Conflicting Duplicate - Flagged for Review"),"Invalid",IF(OR(L309="Filled - Unknown",S309="Filled - Unknown",X309="Missing - Defaulted to 0",AL309="Yes",AC309="Cancelled",AC309="Returned"),"Warning","Clean"))</f>
        <v>Warning</v>
      </c>
    </row>
    <row r="310" customFormat="false" ht="15" hidden="false" customHeight="false" outlineLevel="0" collapsed="false">
      <c r="A310" s="3" t="str">
        <f aca="false">raw_data!A310</f>
        <v>ORD-2025-10309</v>
      </c>
      <c r="B310" s="4" t="n">
        <f aca="false">IFERROR(IF(MID(raw_data!B310,3,1)="/",DATE(VALUE(RIGHT(raw_data!B310,4)),VALUE(LEFT(raw_data!B310,2)),VALUE(MID(raw_data!B310,4,2))),IF(MID(raw_data!B310,3,1)="-",DATE(VALUE(RIGHT(raw_data!B310,4)),VALUE(MID(raw_data!B310,4,2)),VALUE(LEFT(raw_data!B310,2))),IF(MID(raw_data!B310,5,1)="-",DATE(VALUE(LEFT(raw_data!B310,4)),VALUE(MID(raw_data!B310,6,2)),VALUE(RIGHT(raw_data!B310,2))),DATE(VALUE(RIGHT(raw_data!B310,4)),MATCH(MID(raw_data!B310,4,3),{"Jan","Feb","Mar","Apr","May","Jun","Jul","Aug","Sep","Oct","Nov","Dec"},0),VALUE(LEFT(raw_data!B310,2)))))),"")</f>
        <v>45821</v>
      </c>
      <c r="C310" s="4" t="n">
        <f aca="false">IFERROR(IF(MID(raw_data!C310,3,1)="/",DATE(VALUE(RIGHT(raw_data!C310,4)),VALUE(LEFT(raw_data!C310,2)),VALUE(MID(raw_data!C310,4,2))),IF(MID(raw_data!C310,3,1)="-",DATE(VALUE(RIGHT(raw_data!C310,4)),VALUE(MID(raw_data!C310,4,2)),VALUE(LEFT(raw_data!C310,2))),IF(MID(raw_data!C310,5,1)="-",DATE(VALUE(LEFT(raw_data!C310,4)),VALUE(MID(raw_data!C310,6,2)),VALUE(RIGHT(raw_data!C310,2))),DATE(VALUE(RIGHT(raw_data!C310,4)),MATCH(MID(raw_data!C310,4,3),{"Jan","Feb","Mar","Apr","May","Jun","Jul","Aug","Sep","Oct","Nov","Dec"},0),VALUE(LEFT(raw_data!C310,2)))))),"")</f>
        <v>45827</v>
      </c>
      <c r="D310" s="3" t="str">
        <f aca="false">IF(TRIM(raw_data!B310)="","Missing",IF(B310="","Invalid/Unrecognized","Valid"))</f>
        <v>Valid</v>
      </c>
      <c r="E310" s="3" t="str">
        <f aca="false">IF(TRIM(raw_data!C310)="","Missing",IF(C310="","Invalid/Unrecognized","Valid"))</f>
        <v>Valid</v>
      </c>
      <c r="F310" s="5" t="n">
        <f aca="false">IF(OR(B310="",C310=""),"",C310-B310)</f>
        <v>6</v>
      </c>
      <c r="G310" s="3" t="str">
        <f aca="false">IF(F310="","N/A",IF(F310&lt;0,"Invalid - Ship Before Order","OK"))</f>
        <v>OK</v>
      </c>
      <c r="H310" s="3" t="str">
        <f aca="false">raw_data!D310</f>
        <v>CUST-6727</v>
      </c>
      <c r="I310" s="3" t="str">
        <f aca="false">PROPER(TRIM(raw_data!E310))</f>
        <v>Rohan Mehta</v>
      </c>
      <c r="J310" s="3" t="str">
        <f aca="false">PROPER(TRIM(raw_data!F310))</f>
        <v>Consumer</v>
      </c>
      <c r="K310" s="3" t="str">
        <f aca="false">IF(TRIM(raw_data!G310)="","Unknown",PROPER(TRIM(raw_data!G310)))</f>
        <v>North</v>
      </c>
      <c r="L310" s="3" t="str">
        <f aca="false">IF(TRIM(raw_data!G310)="","Filled - Unknown","OK")</f>
        <v>OK</v>
      </c>
      <c r="M310" s="3" t="str">
        <f aca="false">PROPER(TRIM(raw_data!H310))</f>
        <v>Rajasthan</v>
      </c>
      <c r="N310" s="3" t="str">
        <f aca="false">PROPER(TRIM(raw_data!I310))</f>
        <v>Jaipur</v>
      </c>
      <c r="O310" s="3" t="str">
        <f aca="false">PROPER(TRIM(raw_data!J310))</f>
        <v>Furniture</v>
      </c>
      <c r="P310" s="3" t="str">
        <f aca="false">PROPER(TRIM(raw_data!K310))</f>
        <v>Tables</v>
      </c>
      <c r="Q310" s="3" t="str">
        <f aca="false">TRIM(raw_data!L310)</f>
        <v>Classic Tables 224</v>
      </c>
      <c r="R310" s="3" t="str">
        <f aca="false">IF(TRIM(raw_data!M310)="","Unknown",PROPER(TRIM(raw_data!M310)))</f>
        <v>First Class</v>
      </c>
      <c r="S310" s="3" t="str">
        <f aca="false">IF(TRIM(raw_data!M310)="","Filled - Unknown","OK")</f>
        <v>OK</v>
      </c>
      <c r="T310" s="6" t="n">
        <f aca="false">raw_data!N310</f>
        <v>4</v>
      </c>
      <c r="U310" s="7" t="n">
        <f aca="false">raw_data!O310</f>
        <v>731.57</v>
      </c>
      <c r="V310" s="8" t="n">
        <f aca="false">raw_data!P310</f>
        <v>0.2</v>
      </c>
      <c r="W310" s="8" t="n">
        <f aca="false">IF(raw_data!P310="",0,IF(ISTEXT(raw_data!P310),IF(RIGHT(raw_data!P310,1)="%",VALUE(LEFT(raw_data!P310,LEN(raw_data!P310)-1))/100,VALUE(raw_data!P310)),raw_data!P310))</f>
        <v>0.2</v>
      </c>
      <c r="X310" s="3" t="str">
        <f aca="false">IF(raw_data!P310="","Missing - Defaulted to 0",IF(W310&lt;0,"Negative - Invalid",IF(W310&gt;0.3,"Above Allowed Range - Invalid","Valid")))</f>
        <v>Valid</v>
      </c>
      <c r="Y310" s="7" t="n">
        <f aca="false">raw_data!Q310</f>
        <v>2341.02</v>
      </c>
      <c r="Z310" s="7" t="n">
        <f aca="false">raw_data!R310</f>
        <v>1565.49</v>
      </c>
      <c r="AA310" s="7" t="n">
        <f aca="false">raw_data!S310</f>
        <v>775.53</v>
      </c>
      <c r="AB310" s="3" t="str">
        <f aca="false">PROPER(TRIM(raw_data!T310))</f>
        <v>Paid</v>
      </c>
      <c r="AC310" s="3" t="str">
        <f aca="false">PROPER(TRIM(raw_data!U310))</f>
        <v>Completed</v>
      </c>
      <c r="AD310" s="7" t="n">
        <f aca="false">T310*U310*(1-W310)</f>
        <v>2341.024</v>
      </c>
      <c r="AE310" s="7" t="n">
        <f aca="false">AD310-Z310</f>
        <v>775.534</v>
      </c>
      <c r="AF310" s="8" t="n">
        <f aca="false">IF(AD310=0,0,AE310/AD310)</f>
        <v>0.331279816012138</v>
      </c>
      <c r="AG310" s="3" t="str">
        <f aca="false">IF(ABS(Y310-AD310)&gt;1,"Mismatch","OK")</f>
        <v>OK</v>
      </c>
      <c r="AH310" s="3" t="str">
        <f aca="false">IF(ABS(AA310-AE310)&gt;1,"Mismatch","OK")</f>
        <v>OK</v>
      </c>
      <c r="AI310" s="6" t="n">
        <f aca="false">IF(B310="","",MONTH(B310))</f>
        <v>6</v>
      </c>
      <c r="AJ310" s="6" t="n">
        <f aca="false">IF(B310="","",YEAR(B310))</f>
        <v>2025</v>
      </c>
      <c r="AK310" s="3" t="str">
        <f aca="false">IF(COUNTIF(raw_data!$A$2:$A$913,A310)&gt;1,"Conflicting Duplicate - Flagged for Review","Unique")</f>
        <v>Unique</v>
      </c>
      <c r="AL310" s="3" t="str">
        <f aca="false">IF(AB310="Refunded","Yes","No")</f>
        <v>No</v>
      </c>
      <c r="AM310" s="3" t="str">
        <f aca="false">IF(OR(AC310&lt;&gt;"Completed",AB310="Failed"),"Excluded","Included")</f>
        <v>Included</v>
      </c>
      <c r="AN310" s="3" t="str">
        <f aca="false">IF(OR(D310="Invalid/Unrecognized",E310="Invalid/Unrecognized",G310="Invalid - Ship Before Order",X310="Negative - Invalid",X310="Above Allowed Range - Invalid",AG310="Mismatch",AH310="Mismatch",AK310="Conflicting Duplicate - Flagged for Review"),"Invalid",IF(OR(L310="Filled - Unknown",S310="Filled - Unknown",X310="Missing - Defaulted to 0",AL310="Yes",AC310="Cancelled",AC310="Returned"),"Warning","Clean"))</f>
        <v>Clean</v>
      </c>
    </row>
    <row r="311" customFormat="false" ht="15" hidden="false" customHeight="false" outlineLevel="0" collapsed="false">
      <c r="A311" s="3" t="str">
        <f aca="false">raw_data!A311</f>
        <v>ORD-2024-10310</v>
      </c>
      <c r="B311" s="4" t="n">
        <f aca="false">IFERROR(IF(MID(raw_data!B311,3,1)="/",DATE(VALUE(RIGHT(raw_data!B311,4)),VALUE(LEFT(raw_data!B311,2)),VALUE(MID(raw_data!B311,4,2))),IF(MID(raw_data!B311,3,1)="-",DATE(VALUE(RIGHT(raw_data!B311,4)),VALUE(MID(raw_data!B311,4,2)),VALUE(LEFT(raw_data!B311,2))),IF(MID(raw_data!B311,5,1)="-",DATE(VALUE(LEFT(raw_data!B311,4)),VALUE(MID(raw_data!B311,6,2)),VALUE(RIGHT(raw_data!B311,2))),DATE(VALUE(RIGHT(raw_data!B311,4)),MATCH(MID(raw_data!B311,4,3),{"Jan","Feb","Mar","Apr","May","Jun","Jul","Aug","Sep","Oct","Nov","Dec"},0),VALUE(LEFT(raw_data!B311,2)))))),"")</f>
        <v>45493</v>
      </c>
      <c r="C311" s="4" t="n">
        <f aca="false">IFERROR(IF(MID(raw_data!C311,3,1)="/",DATE(VALUE(RIGHT(raw_data!C311,4)),VALUE(LEFT(raw_data!C311,2)),VALUE(MID(raw_data!C311,4,2))),IF(MID(raw_data!C311,3,1)="-",DATE(VALUE(RIGHT(raw_data!C311,4)),VALUE(MID(raw_data!C311,4,2)),VALUE(LEFT(raw_data!C311,2))),IF(MID(raw_data!C311,5,1)="-",DATE(VALUE(LEFT(raw_data!C311,4)),VALUE(MID(raw_data!C311,6,2)),VALUE(RIGHT(raw_data!C311,2))),DATE(VALUE(RIGHT(raw_data!C311,4)),MATCH(MID(raw_data!C311,4,3),{"Jan","Feb","Mar","Apr","May","Jun","Jul","Aug","Sep","Oct","Nov","Dec"},0),VALUE(LEFT(raw_data!C311,2)))))),"")</f>
        <v>45495</v>
      </c>
      <c r="D311" s="3" t="str">
        <f aca="false">IF(TRIM(raw_data!B311)="","Missing",IF(B311="","Invalid/Unrecognized","Valid"))</f>
        <v>Valid</v>
      </c>
      <c r="E311" s="3" t="str">
        <f aca="false">IF(TRIM(raw_data!C311)="","Missing",IF(C311="","Invalid/Unrecognized","Valid"))</f>
        <v>Valid</v>
      </c>
      <c r="F311" s="5" t="n">
        <f aca="false">IF(OR(B311="",C311=""),"",C311-B311)</f>
        <v>2</v>
      </c>
      <c r="G311" s="3" t="str">
        <f aca="false">IF(F311="","N/A",IF(F311&lt;0,"Invalid - Ship Before Order","OK"))</f>
        <v>OK</v>
      </c>
      <c r="H311" s="3" t="str">
        <f aca="false">raw_data!D311</f>
        <v>CUST-8860</v>
      </c>
      <c r="I311" s="3" t="str">
        <f aca="false">PROPER(TRIM(raw_data!E311))</f>
        <v>Ananya Rao</v>
      </c>
      <c r="J311" s="3" t="str">
        <f aca="false">PROPER(TRIM(raw_data!F311))</f>
        <v>Consumer</v>
      </c>
      <c r="K311" s="3" t="str">
        <f aca="false">IF(TRIM(raw_data!G311)="","Unknown",PROPER(TRIM(raw_data!G311)))</f>
        <v>South</v>
      </c>
      <c r="L311" s="3" t="str">
        <f aca="false">IF(TRIM(raw_data!G311)="","Filled - Unknown","OK")</f>
        <v>OK</v>
      </c>
      <c r="M311" s="3" t="str">
        <f aca="false">PROPER(TRIM(raw_data!H311))</f>
        <v>Tamil Nadu</v>
      </c>
      <c r="N311" s="3" t="str">
        <f aca="false">PROPER(TRIM(raw_data!I311))</f>
        <v>Chennai</v>
      </c>
      <c r="O311" s="3" t="str">
        <f aca="false">PROPER(TRIM(raw_data!J311))</f>
        <v>Furniture</v>
      </c>
      <c r="P311" s="3" t="str">
        <f aca="false">PROPER(TRIM(raw_data!K311))</f>
        <v>Tables</v>
      </c>
      <c r="Q311" s="3" t="str">
        <f aca="false">TRIM(raw_data!L311)</f>
        <v>Prime Tables 214</v>
      </c>
      <c r="R311" s="3" t="str">
        <f aca="false">IF(TRIM(raw_data!M311)="","Unknown",PROPER(TRIM(raw_data!M311)))</f>
        <v>First Class</v>
      </c>
      <c r="S311" s="3" t="str">
        <f aca="false">IF(TRIM(raw_data!M311)="","Filled - Unknown","OK")</f>
        <v>OK</v>
      </c>
      <c r="T311" s="6" t="n">
        <f aca="false">raw_data!N311</f>
        <v>7</v>
      </c>
      <c r="U311" s="7" t="n">
        <f aca="false">raw_data!O311</f>
        <v>2060.73</v>
      </c>
      <c r="V311" s="8" t="n">
        <f aca="false">raw_data!P311</f>
        <v>0.1</v>
      </c>
      <c r="W311" s="8" t="n">
        <f aca="false">IF(raw_data!P311="",0,IF(ISTEXT(raw_data!P311),IF(RIGHT(raw_data!P311,1)="%",VALUE(LEFT(raw_data!P311,LEN(raw_data!P311)-1))/100,VALUE(raw_data!P311)),raw_data!P311))</f>
        <v>0.1</v>
      </c>
      <c r="X311" s="3" t="str">
        <f aca="false">IF(raw_data!P311="","Missing - Defaulted to 0",IF(W311&lt;0,"Negative - Invalid",IF(W311&gt;0.3,"Above Allowed Range - Invalid","Valid")))</f>
        <v>Valid</v>
      </c>
      <c r="Y311" s="7" t="n">
        <f aca="false">raw_data!Q311</f>
        <v>12982.6</v>
      </c>
      <c r="Z311" s="7" t="n">
        <f aca="false">raw_data!R311</f>
        <v>7246.36</v>
      </c>
      <c r="AA311" s="7" t="n">
        <f aca="false">raw_data!S311</f>
        <v>5736.24</v>
      </c>
      <c r="AB311" s="3" t="str">
        <f aca="false">PROPER(TRIM(raw_data!T311))</f>
        <v>Paid</v>
      </c>
      <c r="AC311" s="3" t="str">
        <f aca="false">PROPER(TRIM(raw_data!U311))</f>
        <v>Cancelled</v>
      </c>
      <c r="AD311" s="7" t="n">
        <f aca="false">T311*U311*(1-W311)</f>
        <v>12982.599</v>
      </c>
      <c r="AE311" s="7" t="n">
        <f aca="false">AD311-Z311</f>
        <v>5736.239</v>
      </c>
      <c r="AF311" s="8" t="n">
        <f aca="false">IF(AD311=0,0,AE311/AD311)</f>
        <v>0.441840574448922</v>
      </c>
      <c r="AG311" s="3" t="str">
        <f aca="false">IF(ABS(Y311-AD311)&gt;1,"Mismatch","OK")</f>
        <v>OK</v>
      </c>
      <c r="AH311" s="3" t="str">
        <f aca="false">IF(ABS(AA311-AE311)&gt;1,"Mismatch","OK")</f>
        <v>OK</v>
      </c>
      <c r="AI311" s="6" t="n">
        <f aca="false">IF(B311="","",MONTH(B311))</f>
        <v>7</v>
      </c>
      <c r="AJ311" s="6" t="n">
        <f aca="false">IF(B311="","",YEAR(B311))</f>
        <v>2024</v>
      </c>
      <c r="AK311" s="3" t="str">
        <f aca="false">IF(COUNTIF(raw_data!$A$2:$A$913,A311)&gt;1,"Conflicting Duplicate - Flagged for Review","Unique")</f>
        <v>Unique</v>
      </c>
      <c r="AL311" s="3" t="str">
        <f aca="false">IF(AB311="Refunded","Yes","No")</f>
        <v>No</v>
      </c>
      <c r="AM311" s="3" t="str">
        <f aca="false">IF(OR(AC311&lt;&gt;"Completed",AB311="Failed"),"Excluded","Included")</f>
        <v>Excluded</v>
      </c>
      <c r="AN311" s="3" t="str">
        <f aca="false">IF(OR(D311="Invalid/Unrecognized",E311="Invalid/Unrecognized",G311="Invalid - Ship Before Order",X311="Negative - Invalid",X311="Above Allowed Range - Invalid",AG311="Mismatch",AH311="Mismatch",AK311="Conflicting Duplicate - Flagged for Review"),"Invalid",IF(OR(L311="Filled - Unknown",S311="Filled - Unknown",X311="Missing - Defaulted to 0",AL311="Yes",AC311="Cancelled",AC311="Returned"),"Warning","Clean"))</f>
        <v>Warning</v>
      </c>
    </row>
    <row r="312" customFormat="false" ht="15" hidden="false" customHeight="false" outlineLevel="0" collapsed="false">
      <c r="A312" s="3" t="str">
        <f aca="false">raw_data!A312</f>
        <v>ORD-2024-10311</v>
      </c>
      <c r="B312" s="4" t="n">
        <f aca="false">IFERROR(IF(MID(raw_data!B312,3,1)="/",DATE(VALUE(RIGHT(raw_data!B312,4)),VALUE(LEFT(raw_data!B312,2)),VALUE(MID(raw_data!B312,4,2))),IF(MID(raw_data!B312,3,1)="-",DATE(VALUE(RIGHT(raw_data!B312,4)),VALUE(MID(raw_data!B312,4,2)),VALUE(LEFT(raw_data!B312,2))),IF(MID(raw_data!B312,5,1)="-",DATE(VALUE(LEFT(raw_data!B312,4)),VALUE(MID(raw_data!B312,6,2)),VALUE(RIGHT(raw_data!B312,2))),DATE(VALUE(RIGHT(raw_data!B312,4)),MATCH(MID(raw_data!B312,4,3),{"Jan","Feb","Mar","Apr","May","Jun","Jul","Aug","Sep","Oct","Nov","Dec"},0),VALUE(LEFT(raw_data!B312,2)))))),"")</f>
        <v>45477</v>
      </c>
      <c r="C312" s="4" t="n">
        <f aca="false">IFERROR(IF(MID(raw_data!C312,3,1)="/",DATE(VALUE(RIGHT(raw_data!C312,4)),VALUE(LEFT(raw_data!C312,2)),VALUE(MID(raw_data!C312,4,2))),IF(MID(raw_data!C312,3,1)="-",DATE(VALUE(RIGHT(raw_data!C312,4)),VALUE(MID(raw_data!C312,4,2)),VALUE(LEFT(raw_data!C312,2))),IF(MID(raw_data!C312,5,1)="-",DATE(VALUE(LEFT(raw_data!C312,4)),VALUE(MID(raw_data!C312,6,2)),VALUE(RIGHT(raw_data!C312,2))),DATE(VALUE(RIGHT(raw_data!C312,4)),MATCH(MID(raw_data!C312,4,3),{"Jan","Feb","Mar","Apr","May","Jun","Jul","Aug","Sep","Oct","Nov","Dec"},0),VALUE(LEFT(raw_data!C312,2)))))),"")</f>
        <v>45481</v>
      </c>
      <c r="D312" s="3" t="str">
        <f aca="false">IF(TRIM(raw_data!B312)="","Missing",IF(B312="","Invalid/Unrecognized","Valid"))</f>
        <v>Valid</v>
      </c>
      <c r="E312" s="3" t="str">
        <f aca="false">IF(TRIM(raw_data!C312)="","Missing",IF(C312="","Invalid/Unrecognized","Valid"))</f>
        <v>Valid</v>
      </c>
      <c r="F312" s="5" t="n">
        <f aca="false">IF(OR(B312="",C312=""),"",C312-B312)</f>
        <v>4</v>
      </c>
      <c r="G312" s="3" t="str">
        <f aca="false">IF(F312="","N/A",IF(F312&lt;0,"Invalid - Ship Before Order","OK"))</f>
        <v>OK</v>
      </c>
      <c r="H312" s="3" t="str">
        <f aca="false">raw_data!D312</f>
        <v>CUST-3784</v>
      </c>
      <c r="I312" s="3" t="str">
        <f aca="false">PROPER(TRIM(raw_data!E312))</f>
        <v>Rohan Mehta</v>
      </c>
      <c r="J312" s="3" t="str">
        <f aca="false">PROPER(TRIM(raw_data!F312))</f>
        <v>Small Business</v>
      </c>
      <c r="K312" s="3" t="str">
        <f aca="false">IF(TRIM(raw_data!G312)="","Unknown",PROPER(TRIM(raw_data!G312)))</f>
        <v>South</v>
      </c>
      <c r="L312" s="3" t="str">
        <f aca="false">IF(TRIM(raw_data!G312)="","Filled - Unknown","OK")</f>
        <v>OK</v>
      </c>
      <c r="M312" s="3" t="str">
        <f aca="false">PROPER(TRIM(raw_data!H312))</f>
        <v>Tamil Nadu</v>
      </c>
      <c r="N312" s="3" t="str">
        <f aca="false">PROPER(TRIM(raw_data!I312))</f>
        <v>Chennai</v>
      </c>
      <c r="O312" s="3" t="str">
        <f aca="false">PROPER(TRIM(raw_data!J312))</f>
        <v>Technology</v>
      </c>
      <c r="P312" s="3" t="str">
        <f aca="false">PROPER(TRIM(raw_data!K312))</f>
        <v>Machines</v>
      </c>
      <c r="Q312" s="3" t="str">
        <f aca="false">TRIM(raw_data!L312)</f>
        <v>Max Machines 988</v>
      </c>
      <c r="R312" s="3" t="str">
        <f aca="false">IF(TRIM(raw_data!M312)="","Unknown",PROPER(TRIM(raw_data!M312)))</f>
        <v>First Class</v>
      </c>
      <c r="S312" s="3" t="str">
        <f aca="false">IF(TRIM(raw_data!M312)="","Filled - Unknown","OK")</f>
        <v>OK</v>
      </c>
      <c r="T312" s="6" t="n">
        <f aca="false">raw_data!N312</f>
        <v>8</v>
      </c>
      <c r="U312" s="7" t="n">
        <f aca="false">raw_data!O312</f>
        <v>2034.25</v>
      </c>
      <c r="V312" s="8" t="n">
        <f aca="false">raw_data!P312</f>
        <v>0</v>
      </c>
      <c r="W312" s="8" t="n">
        <f aca="false">IF(raw_data!P312="",0,IF(ISTEXT(raw_data!P312),IF(RIGHT(raw_data!P312,1)="%",VALUE(LEFT(raw_data!P312,LEN(raw_data!P312)-1))/100,VALUE(raw_data!P312)),raw_data!P312))</f>
        <v>0</v>
      </c>
      <c r="X312" s="3" t="str">
        <f aca="false">IF(raw_data!P312="","Missing - Defaulted to 0",IF(W312&lt;0,"Negative - Invalid",IF(W312&gt;0.3,"Above Allowed Range - Invalid","Valid")))</f>
        <v>Valid</v>
      </c>
      <c r="Y312" s="7" t="n">
        <f aca="false">raw_data!Q312</f>
        <v>16274</v>
      </c>
      <c r="Z312" s="7" t="n">
        <f aca="false">raw_data!R312</f>
        <v>9424.25</v>
      </c>
      <c r="AA312" s="7" t="n">
        <f aca="false">raw_data!S312</f>
        <v>6849.75</v>
      </c>
      <c r="AB312" s="3" t="str">
        <f aca="false">PROPER(TRIM(raw_data!T312))</f>
        <v>Paid</v>
      </c>
      <c r="AC312" s="3" t="str">
        <f aca="false">PROPER(TRIM(raw_data!U312))</f>
        <v>Completed</v>
      </c>
      <c r="AD312" s="7" t="n">
        <f aca="false">T312*U312*(1-W312)</f>
        <v>16274</v>
      </c>
      <c r="AE312" s="7" t="n">
        <f aca="false">AD312-Z312</f>
        <v>6849.75</v>
      </c>
      <c r="AF312" s="8" t="n">
        <f aca="false">IF(AD312=0,0,AE312/AD312)</f>
        <v>0.420901437876367</v>
      </c>
      <c r="AG312" s="3" t="str">
        <f aca="false">IF(ABS(Y312-AD312)&gt;1,"Mismatch","OK")</f>
        <v>OK</v>
      </c>
      <c r="AH312" s="3" t="str">
        <f aca="false">IF(ABS(AA312-AE312)&gt;1,"Mismatch","OK")</f>
        <v>OK</v>
      </c>
      <c r="AI312" s="6" t="n">
        <f aca="false">IF(B312="","",MONTH(B312))</f>
        <v>7</v>
      </c>
      <c r="AJ312" s="6" t="n">
        <f aca="false">IF(B312="","",YEAR(B312))</f>
        <v>2024</v>
      </c>
      <c r="AK312" s="3" t="str">
        <f aca="false">IF(COUNTIF(raw_data!$A$2:$A$913,A312)&gt;1,"Conflicting Duplicate - Flagged for Review","Unique")</f>
        <v>Unique</v>
      </c>
      <c r="AL312" s="3" t="str">
        <f aca="false">IF(AB312="Refunded","Yes","No")</f>
        <v>No</v>
      </c>
      <c r="AM312" s="3" t="str">
        <f aca="false">IF(OR(AC312&lt;&gt;"Completed",AB312="Failed"),"Excluded","Included")</f>
        <v>Included</v>
      </c>
      <c r="AN312" s="3" t="str">
        <f aca="false">IF(OR(D312="Invalid/Unrecognized",E312="Invalid/Unrecognized",G312="Invalid - Ship Before Order",X312="Negative - Invalid",X312="Above Allowed Range - Invalid",AG312="Mismatch",AH312="Mismatch",AK312="Conflicting Duplicate - Flagged for Review"),"Invalid",IF(OR(L312="Filled - Unknown",S312="Filled - Unknown",X312="Missing - Defaulted to 0",AL312="Yes",AC312="Cancelled",AC312="Returned"),"Warning","Clean"))</f>
        <v>Clean</v>
      </c>
    </row>
    <row r="313" customFormat="false" ht="15" hidden="false" customHeight="false" outlineLevel="0" collapsed="false">
      <c r="A313" s="3" t="str">
        <f aca="false">raw_data!A313</f>
        <v>ORD-2024-10312</v>
      </c>
      <c r="B313" s="4" t="n">
        <f aca="false">IFERROR(IF(MID(raw_data!B313,3,1)="/",DATE(VALUE(RIGHT(raw_data!B313,4)),VALUE(LEFT(raw_data!B313,2)),VALUE(MID(raw_data!B313,4,2))),IF(MID(raw_data!B313,3,1)="-",DATE(VALUE(RIGHT(raw_data!B313,4)),VALUE(MID(raw_data!B313,4,2)),VALUE(LEFT(raw_data!B313,2))),IF(MID(raw_data!B313,5,1)="-",DATE(VALUE(LEFT(raw_data!B313,4)),VALUE(MID(raw_data!B313,6,2)),VALUE(RIGHT(raw_data!B313,2))),DATE(VALUE(RIGHT(raw_data!B313,4)),MATCH(MID(raw_data!B313,4,3),{"Jan","Feb","Mar","Apr","May","Jun","Jul","Aug","Sep","Oct","Nov","Dec"},0),VALUE(LEFT(raw_data!B313,2)))))),"")</f>
        <v>45409</v>
      </c>
      <c r="C313" s="4" t="n">
        <f aca="false">IFERROR(IF(MID(raw_data!C313,3,1)="/",DATE(VALUE(RIGHT(raw_data!C313,4)),VALUE(LEFT(raw_data!C313,2)),VALUE(MID(raw_data!C313,4,2))),IF(MID(raw_data!C313,3,1)="-",DATE(VALUE(RIGHT(raw_data!C313,4)),VALUE(MID(raw_data!C313,4,2)),VALUE(LEFT(raw_data!C313,2))),IF(MID(raw_data!C313,5,1)="-",DATE(VALUE(LEFT(raw_data!C313,4)),VALUE(MID(raw_data!C313,6,2)),VALUE(RIGHT(raw_data!C313,2))),DATE(VALUE(RIGHT(raw_data!C313,4)),MATCH(MID(raw_data!C313,4,3),{"Jan","Feb","Mar","Apr","May","Jun","Jul","Aug","Sep","Oct","Nov","Dec"},0),VALUE(LEFT(raw_data!C313,2)))))),"")</f>
        <v>45414</v>
      </c>
      <c r="D313" s="3" t="str">
        <f aca="false">IF(TRIM(raw_data!B313)="","Missing",IF(B313="","Invalid/Unrecognized","Valid"))</f>
        <v>Valid</v>
      </c>
      <c r="E313" s="3" t="str">
        <f aca="false">IF(TRIM(raw_data!C313)="","Missing",IF(C313="","Invalid/Unrecognized","Valid"))</f>
        <v>Valid</v>
      </c>
      <c r="F313" s="5" t="n">
        <f aca="false">IF(OR(B313="",C313=""),"",C313-B313)</f>
        <v>5</v>
      </c>
      <c r="G313" s="3" t="str">
        <f aca="false">IF(F313="","N/A",IF(F313&lt;0,"Invalid - Ship Before Order","OK"))</f>
        <v>OK</v>
      </c>
      <c r="H313" s="3" t="str">
        <f aca="false">raw_data!D313</f>
        <v>CUST-3545</v>
      </c>
      <c r="I313" s="3" t="str">
        <f aca="false">PROPER(TRIM(raw_data!E313))</f>
        <v>Mira Das</v>
      </c>
      <c r="J313" s="3" t="str">
        <f aca="false">PROPER(TRIM(raw_data!F313))</f>
        <v>Corporate</v>
      </c>
      <c r="K313" s="3" t="str">
        <f aca="false">IF(TRIM(raw_data!G313)="","Unknown",PROPER(TRIM(raw_data!G313)))</f>
        <v>South</v>
      </c>
      <c r="L313" s="3" t="str">
        <f aca="false">IF(TRIM(raw_data!G313)="","Filled - Unknown","OK")</f>
        <v>OK</v>
      </c>
      <c r="M313" s="3" t="str">
        <f aca="false">PROPER(TRIM(raw_data!H313))</f>
        <v>Karnataka</v>
      </c>
      <c r="N313" s="3" t="str">
        <f aca="false">PROPER(TRIM(raw_data!I313))</f>
        <v>Bengaluru</v>
      </c>
      <c r="O313" s="3" t="str">
        <f aca="false">PROPER(TRIM(raw_data!J313))</f>
        <v>Office Supplies</v>
      </c>
      <c r="P313" s="3" t="str">
        <f aca="false">PROPER(TRIM(raw_data!K313))</f>
        <v>Binders</v>
      </c>
      <c r="Q313" s="3" t="str">
        <f aca="false">TRIM(raw_data!L313)</f>
        <v>Max Binders 425</v>
      </c>
      <c r="R313" s="3" t="str">
        <f aca="false">IF(TRIM(raw_data!M313)="","Unknown",PROPER(TRIM(raw_data!M313)))</f>
        <v>Second Class</v>
      </c>
      <c r="S313" s="3" t="str">
        <f aca="false">IF(TRIM(raw_data!M313)="","Filled - Unknown","OK")</f>
        <v>OK</v>
      </c>
      <c r="T313" s="6" t="n">
        <f aca="false">raw_data!N313</f>
        <v>5</v>
      </c>
      <c r="U313" s="7" t="n">
        <f aca="false">raw_data!O313</f>
        <v>554.04</v>
      </c>
      <c r="V313" s="8" t="n">
        <f aca="false">raw_data!P313</f>
        <v>0.1</v>
      </c>
      <c r="W313" s="8" t="n">
        <f aca="false">IF(raw_data!P313="",0,IF(ISTEXT(raw_data!P313),IF(RIGHT(raw_data!P313,1)="%",VALUE(LEFT(raw_data!P313,LEN(raw_data!P313)-1))/100,VALUE(raw_data!P313)),raw_data!P313))</f>
        <v>0.1</v>
      </c>
      <c r="X313" s="3" t="str">
        <f aca="false">IF(raw_data!P313="","Missing - Defaulted to 0",IF(W313&lt;0,"Negative - Invalid",IF(W313&gt;0.3,"Above Allowed Range - Invalid","Valid")))</f>
        <v>Valid</v>
      </c>
      <c r="Y313" s="7" t="n">
        <f aca="false">raw_data!Q313</f>
        <v>2493.18</v>
      </c>
      <c r="Z313" s="7" t="n">
        <f aca="false">raw_data!R313</f>
        <v>1764</v>
      </c>
      <c r="AA313" s="7" t="n">
        <f aca="false">raw_data!S313</f>
        <v>729.18</v>
      </c>
      <c r="AB313" s="3" t="str">
        <f aca="false">PROPER(TRIM(raw_data!T313))</f>
        <v>Paid</v>
      </c>
      <c r="AC313" s="3" t="str">
        <f aca="false">PROPER(TRIM(raw_data!U313))</f>
        <v>Completed</v>
      </c>
      <c r="AD313" s="7" t="n">
        <f aca="false">T313*U313*(1-W313)</f>
        <v>2493.18</v>
      </c>
      <c r="AE313" s="7" t="n">
        <f aca="false">AD313-Z313</f>
        <v>729.18</v>
      </c>
      <c r="AF313" s="8" t="n">
        <f aca="false">IF(AD313=0,0,AE313/AD313)</f>
        <v>0.292469857772002</v>
      </c>
      <c r="AG313" s="3" t="str">
        <f aca="false">IF(ABS(Y313-AD313)&gt;1,"Mismatch","OK")</f>
        <v>OK</v>
      </c>
      <c r="AH313" s="3" t="str">
        <f aca="false">IF(ABS(AA313-AE313)&gt;1,"Mismatch","OK")</f>
        <v>OK</v>
      </c>
      <c r="AI313" s="6" t="n">
        <f aca="false">IF(B313="","",MONTH(B313))</f>
        <v>4</v>
      </c>
      <c r="AJ313" s="6" t="n">
        <f aca="false">IF(B313="","",YEAR(B313))</f>
        <v>2024</v>
      </c>
      <c r="AK313" s="3" t="str">
        <f aca="false">IF(COUNTIF(raw_data!$A$2:$A$913,A313)&gt;1,"Conflicting Duplicate - Flagged for Review","Unique")</f>
        <v>Unique</v>
      </c>
      <c r="AL313" s="3" t="str">
        <f aca="false">IF(AB313="Refunded","Yes","No")</f>
        <v>No</v>
      </c>
      <c r="AM313" s="3" t="str">
        <f aca="false">IF(OR(AC313&lt;&gt;"Completed",AB313="Failed"),"Excluded","Included")</f>
        <v>Included</v>
      </c>
      <c r="AN313" s="3" t="str">
        <f aca="false">IF(OR(D313="Invalid/Unrecognized",E313="Invalid/Unrecognized",G313="Invalid - Ship Before Order",X313="Negative - Invalid",X313="Above Allowed Range - Invalid",AG313="Mismatch",AH313="Mismatch",AK313="Conflicting Duplicate - Flagged for Review"),"Invalid",IF(OR(L313="Filled - Unknown",S313="Filled - Unknown",X313="Missing - Defaulted to 0",AL313="Yes",AC313="Cancelled",AC313="Returned"),"Warning","Clean"))</f>
        <v>Clean</v>
      </c>
    </row>
    <row r="314" customFormat="false" ht="15" hidden="false" customHeight="false" outlineLevel="0" collapsed="false">
      <c r="A314" s="3" t="str">
        <f aca="false">raw_data!A314</f>
        <v>ORD-2024-10313</v>
      </c>
      <c r="B314" s="4" t="n">
        <f aca="false">IFERROR(IF(MID(raw_data!B314,3,1)="/",DATE(VALUE(RIGHT(raw_data!B314,4)),VALUE(LEFT(raw_data!B314,2)),VALUE(MID(raw_data!B314,4,2))),IF(MID(raw_data!B314,3,1)="-",DATE(VALUE(RIGHT(raw_data!B314,4)),VALUE(MID(raw_data!B314,4,2)),VALUE(LEFT(raw_data!B314,2))),IF(MID(raw_data!B314,5,1)="-",DATE(VALUE(LEFT(raw_data!B314,4)),VALUE(MID(raw_data!B314,6,2)),VALUE(RIGHT(raw_data!B314,2))),DATE(VALUE(RIGHT(raw_data!B314,4)),MATCH(MID(raw_data!B314,4,3),{"Jan","Feb","Mar","Apr","May","Jun","Jul","Aug","Sep","Oct","Nov","Dec"},0),VALUE(LEFT(raw_data!B314,2)))))),"")</f>
        <v>45504</v>
      </c>
      <c r="C314" s="4" t="n">
        <f aca="false">IFERROR(IF(MID(raw_data!C314,3,1)="/",DATE(VALUE(RIGHT(raw_data!C314,4)),VALUE(LEFT(raw_data!C314,2)),VALUE(MID(raw_data!C314,4,2))),IF(MID(raw_data!C314,3,1)="-",DATE(VALUE(RIGHT(raw_data!C314,4)),VALUE(MID(raw_data!C314,4,2)),VALUE(LEFT(raw_data!C314,2))),IF(MID(raw_data!C314,5,1)="-",DATE(VALUE(LEFT(raw_data!C314,4)),VALUE(MID(raw_data!C314,6,2)),VALUE(RIGHT(raw_data!C314,2))),DATE(VALUE(RIGHT(raw_data!C314,4)),MATCH(MID(raw_data!C314,4,3),{"Jan","Feb","Mar","Apr","May","Jun","Jul","Aug","Sep","Oct","Nov","Dec"},0),VALUE(LEFT(raw_data!C314,2)))))),"")</f>
        <v>45508</v>
      </c>
      <c r="D314" s="3" t="str">
        <f aca="false">IF(TRIM(raw_data!B314)="","Missing",IF(B314="","Invalid/Unrecognized","Valid"))</f>
        <v>Valid</v>
      </c>
      <c r="E314" s="3" t="str">
        <f aca="false">IF(TRIM(raw_data!C314)="","Missing",IF(C314="","Invalid/Unrecognized","Valid"))</f>
        <v>Valid</v>
      </c>
      <c r="F314" s="5" t="n">
        <f aca="false">IF(OR(B314="",C314=""),"",C314-B314)</f>
        <v>4</v>
      </c>
      <c r="G314" s="3" t="str">
        <f aca="false">IF(F314="","N/A",IF(F314&lt;0,"Invalid - Ship Before Order","OK"))</f>
        <v>OK</v>
      </c>
      <c r="H314" s="3" t="str">
        <f aca="false">raw_data!D314</f>
        <v>CUST-4851</v>
      </c>
      <c r="I314" s="3" t="str">
        <f aca="false">PROPER(TRIM(raw_data!E314))</f>
        <v>Karan Malhotra</v>
      </c>
      <c r="J314" s="3" t="str">
        <f aca="false">PROPER(TRIM(raw_data!F314))</f>
        <v>Small Business</v>
      </c>
      <c r="K314" s="3" t="str">
        <f aca="false">IF(TRIM(raw_data!G314)="","Unknown",PROPER(TRIM(raw_data!G314)))</f>
        <v>East</v>
      </c>
      <c r="L314" s="3" t="str">
        <f aca="false">IF(TRIM(raw_data!G314)="","Filled - Unknown","OK")</f>
        <v>OK</v>
      </c>
      <c r="M314" s="3" t="str">
        <f aca="false">PROPER(TRIM(raw_data!H314))</f>
        <v>Assam</v>
      </c>
      <c r="N314" s="3" t="str">
        <f aca="false">PROPER(TRIM(raw_data!I314))</f>
        <v>Guwahati</v>
      </c>
      <c r="O314" s="3" t="str">
        <f aca="false">PROPER(TRIM(raw_data!J314))</f>
        <v>Technology</v>
      </c>
      <c r="P314" s="3" t="str">
        <f aca="false">PROPER(TRIM(raw_data!K314))</f>
        <v>Phones</v>
      </c>
      <c r="Q314" s="3" t="str">
        <f aca="false">TRIM(raw_data!L314)</f>
        <v>Elite Phones 679</v>
      </c>
      <c r="R314" s="3" t="str">
        <f aca="false">IF(TRIM(raw_data!M314)="","Unknown",PROPER(TRIM(raw_data!M314)))</f>
        <v>Standard Class</v>
      </c>
      <c r="S314" s="3" t="str">
        <f aca="false">IF(TRIM(raw_data!M314)="","Filled - Unknown","OK")</f>
        <v>OK</v>
      </c>
      <c r="T314" s="6" t="n">
        <f aca="false">raw_data!N314</f>
        <v>8</v>
      </c>
      <c r="U314" s="7" t="n">
        <f aca="false">raw_data!O314</f>
        <v>2614.74</v>
      </c>
      <c r="V314" s="8" t="n">
        <f aca="false">raw_data!P314</f>
        <v>0</v>
      </c>
      <c r="W314" s="8" t="n">
        <f aca="false">IF(raw_data!P314="",0,IF(ISTEXT(raw_data!P314),IF(RIGHT(raw_data!P314,1)="%",VALUE(LEFT(raw_data!P314,LEN(raw_data!P314)-1))/100,VALUE(raw_data!P314)),raw_data!P314))</f>
        <v>0</v>
      </c>
      <c r="X314" s="3" t="str">
        <f aca="false">IF(raw_data!P314="","Missing - Defaulted to 0",IF(W314&lt;0,"Negative - Invalid",IF(W314&gt;0.3,"Above Allowed Range - Invalid","Valid")))</f>
        <v>Missing - Defaulted to 0</v>
      </c>
      <c r="Y314" s="7" t="n">
        <f aca="false">raw_data!Q314</f>
        <v>15688.44</v>
      </c>
      <c r="Z314" s="7" t="n">
        <f aca="false">raw_data!R314</f>
        <v>10047.33</v>
      </c>
      <c r="AA314" s="7" t="n">
        <f aca="false">raw_data!S314</f>
        <v>5641.11</v>
      </c>
      <c r="AB314" s="3" t="str">
        <f aca="false">PROPER(TRIM(raw_data!T314))</f>
        <v>Paid</v>
      </c>
      <c r="AC314" s="3" t="str">
        <f aca="false">PROPER(TRIM(raw_data!U314))</f>
        <v>Cancelled</v>
      </c>
      <c r="AD314" s="7" t="n">
        <f aca="false">T314*U314*(1-W314)</f>
        <v>20917.92</v>
      </c>
      <c r="AE314" s="7" t="n">
        <f aca="false">AD314-Z314</f>
        <v>10870.59</v>
      </c>
      <c r="AF314" s="8" t="n">
        <f aca="false">IF(AD314=0,0,AE314/AD314)</f>
        <v>0.519678342779779</v>
      </c>
      <c r="AG314" s="3" t="str">
        <f aca="false">IF(ABS(Y314-AD314)&gt;1,"Mismatch","OK")</f>
        <v>Mismatch</v>
      </c>
      <c r="AH314" s="3" t="str">
        <f aca="false">IF(ABS(AA314-AE314)&gt;1,"Mismatch","OK")</f>
        <v>Mismatch</v>
      </c>
      <c r="AI314" s="6" t="n">
        <f aca="false">IF(B314="","",MONTH(B314))</f>
        <v>7</v>
      </c>
      <c r="AJ314" s="6" t="n">
        <f aca="false">IF(B314="","",YEAR(B314))</f>
        <v>2024</v>
      </c>
      <c r="AK314" s="3" t="str">
        <f aca="false">IF(COUNTIF(raw_data!$A$2:$A$913,A314)&gt;1,"Conflicting Duplicate - Flagged for Review","Unique")</f>
        <v>Unique</v>
      </c>
      <c r="AL314" s="3" t="str">
        <f aca="false">IF(AB314="Refunded","Yes","No")</f>
        <v>No</v>
      </c>
      <c r="AM314" s="3" t="str">
        <f aca="false">IF(OR(AC314&lt;&gt;"Completed",AB314="Failed"),"Excluded","Included")</f>
        <v>Excluded</v>
      </c>
      <c r="AN314" s="3" t="str">
        <f aca="false">IF(OR(D314="Invalid/Unrecognized",E314="Invalid/Unrecognized",G314="Invalid - Ship Before Order",X314="Negative - Invalid",X314="Above Allowed Range - Invalid",AG314="Mismatch",AH314="Mismatch",AK314="Conflicting Duplicate - Flagged for Review"),"Invalid",IF(OR(L314="Filled - Unknown",S314="Filled - Unknown",X314="Missing - Defaulted to 0",AL314="Yes",AC314="Cancelled",AC314="Returned"),"Warning","Clean"))</f>
        <v>Invalid</v>
      </c>
    </row>
    <row r="315" customFormat="false" ht="15" hidden="false" customHeight="false" outlineLevel="0" collapsed="false">
      <c r="A315" s="3" t="str">
        <f aca="false">raw_data!A315</f>
        <v>ORD-2025-10314</v>
      </c>
      <c r="B315" s="4" t="n">
        <f aca="false">IFERROR(IF(MID(raw_data!B315,3,1)="/",DATE(VALUE(RIGHT(raw_data!B315,4)),VALUE(LEFT(raw_data!B315,2)),VALUE(MID(raw_data!B315,4,2))),IF(MID(raw_data!B315,3,1)="-",DATE(VALUE(RIGHT(raw_data!B315,4)),VALUE(MID(raw_data!B315,4,2)),VALUE(LEFT(raw_data!B315,2))),IF(MID(raw_data!B315,5,1)="-",DATE(VALUE(LEFT(raw_data!B315,4)),VALUE(MID(raw_data!B315,6,2)),VALUE(RIGHT(raw_data!B315,2))),DATE(VALUE(RIGHT(raw_data!B315,4)),MATCH(MID(raw_data!B315,4,3),{"Jan","Feb","Mar","Apr","May","Jun","Jul","Aug","Sep","Oct","Nov","Dec"},0),VALUE(LEFT(raw_data!B315,2)))))),"")</f>
        <v>45807</v>
      </c>
      <c r="C315" s="4" t="n">
        <f aca="false">IFERROR(IF(MID(raw_data!C315,3,1)="/",DATE(VALUE(RIGHT(raw_data!C315,4)),VALUE(LEFT(raw_data!C315,2)),VALUE(MID(raw_data!C315,4,2))),IF(MID(raw_data!C315,3,1)="-",DATE(VALUE(RIGHT(raw_data!C315,4)),VALUE(MID(raw_data!C315,4,2)),VALUE(LEFT(raw_data!C315,2))),IF(MID(raw_data!C315,5,1)="-",DATE(VALUE(LEFT(raw_data!C315,4)),VALUE(MID(raw_data!C315,6,2)),VALUE(RIGHT(raw_data!C315,2))),DATE(VALUE(RIGHT(raw_data!C315,4)),MATCH(MID(raw_data!C315,4,3),{"Jan","Feb","Mar","Apr","May","Jun","Jul","Aug","Sep","Oct","Nov","Dec"},0),VALUE(LEFT(raw_data!C315,2)))))),"")</f>
        <v>45808</v>
      </c>
      <c r="D315" s="3" t="str">
        <f aca="false">IF(TRIM(raw_data!B315)="","Missing",IF(B315="","Invalid/Unrecognized","Valid"))</f>
        <v>Valid</v>
      </c>
      <c r="E315" s="3" t="str">
        <f aca="false">IF(TRIM(raw_data!C315)="","Missing",IF(C315="","Invalid/Unrecognized","Valid"))</f>
        <v>Valid</v>
      </c>
      <c r="F315" s="5" t="n">
        <f aca="false">IF(OR(B315="",C315=""),"",C315-B315)</f>
        <v>1</v>
      </c>
      <c r="G315" s="3" t="str">
        <f aca="false">IF(F315="","N/A",IF(F315&lt;0,"Invalid - Ship Before Order","OK"))</f>
        <v>OK</v>
      </c>
      <c r="H315" s="3" t="str">
        <f aca="false">raw_data!D315</f>
        <v>CUST-4770</v>
      </c>
      <c r="I315" s="3" t="str">
        <f aca="false">PROPER(TRIM(raw_data!E315))</f>
        <v>Rahul Verma</v>
      </c>
      <c r="J315" s="3" t="str">
        <f aca="false">PROPER(TRIM(raw_data!F315))</f>
        <v>Corporate</v>
      </c>
      <c r="K315" s="3" t="str">
        <f aca="false">IF(TRIM(raw_data!G315)="","Unknown",PROPER(TRIM(raw_data!G315)))</f>
        <v>North</v>
      </c>
      <c r="L315" s="3" t="str">
        <f aca="false">IF(TRIM(raw_data!G315)="","Filled - Unknown","OK")</f>
        <v>OK</v>
      </c>
      <c r="M315" s="3" t="str">
        <f aca="false">PROPER(TRIM(raw_data!H315))</f>
        <v>Uttar Pradesh</v>
      </c>
      <c r="N315" s="3" t="str">
        <f aca="false">PROPER(TRIM(raw_data!I315))</f>
        <v>Noida</v>
      </c>
      <c r="O315" s="3" t="str">
        <f aca="false">PROPER(TRIM(raw_data!J315))</f>
        <v>Technology</v>
      </c>
      <c r="P315" s="3" t="str">
        <f aca="false">PROPER(TRIM(raw_data!K315))</f>
        <v>Phones</v>
      </c>
      <c r="Q315" s="3" t="str">
        <f aca="false">TRIM(raw_data!L315)</f>
        <v>Pro Phones 764</v>
      </c>
      <c r="R315" s="3" t="str">
        <f aca="false">IF(TRIM(raw_data!M315)="","Unknown",PROPER(TRIM(raw_data!M315)))</f>
        <v>First Class</v>
      </c>
      <c r="S315" s="3" t="str">
        <f aca="false">IF(TRIM(raw_data!M315)="","Filled - Unknown","OK")</f>
        <v>OK</v>
      </c>
      <c r="T315" s="6" t="n">
        <f aca="false">raw_data!N315</f>
        <v>8</v>
      </c>
      <c r="U315" s="7" t="n">
        <f aca="false">raw_data!O315</f>
        <v>2081.43</v>
      </c>
      <c r="V315" s="8" t="n">
        <f aca="false">raw_data!P315</f>
        <v>0.25</v>
      </c>
      <c r="W315" s="8" t="n">
        <f aca="false">IF(raw_data!P315="",0,IF(ISTEXT(raw_data!P315),IF(RIGHT(raw_data!P315,1)="%",VALUE(LEFT(raw_data!P315,LEN(raw_data!P315)-1))/100,VALUE(raw_data!P315)),raw_data!P315))</f>
        <v>0.25</v>
      </c>
      <c r="X315" s="3" t="str">
        <f aca="false">IF(raw_data!P315="","Missing - Defaulted to 0",IF(W315&lt;0,"Negative - Invalid",IF(W315&gt;0.3,"Above Allowed Range - Invalid","Valid")))</f>
        <v>Valid</v>
      </c>
      <c r="Y315" s="7" t="n">
        <f aca="false">raw_data!Q315</f>
        <v>12488.58</v>
      </c>
      <c r="Z315" s="7" t="n">
        <f aca="false">raw_data!R315</f>
        <v>10717.4</v>
      </c>
      <c r="AA315" s="7" t="n">
        <f aca="false">raw_data!S315</f>
        <v>1771.18</v>
      </c>
      <c r="AB315" s="3" t="str">
        <f aca="false">PROPER(TRIM(raw_data!T315))</f>
        <v>Refunded</v>
      </c>
      <c r="AC315" s="3" t="str">
        <f aca="false">PROPER(TRIM(raw_data!U315))</f>
        <v>Cancelled</v>
      </c>
      <c r="AD315" s="7" t="n">
        <f aca="false">T315*U315*(1-W315)</f>
        <v>12488.58</v>
      </c>
      <c r="AE315" s="7" t="n">
        <f aca="false">AD315-Z315</f>
        <v>1771.18</v>
      </c>
      <c r="AF315" s="8" t="n">
        <f aca="false">IF(AD315=0,0,AE315/AD315)</f>
        <v>0.141823970379338</v>
      </c>
      <c r="AG315" s="3" t="str">
        <f aca="false">IF(ABS(Y315-AD315)&gt;1,"Mismatch","OK")</f>
        <v>OK</v>
      </c>
      <c r="AH315" s="3" t="str">
        <f aca="false">IF(ABS(AA315-AE315)&gt;1,"Mismatch","OK")</f>
        <v>OK</v>
      </c>
      <c r="AI315" s="6" t="n">
        <f aca="false">IF(B315="","",MONTH(B315))</f>
        <v>5</v>
      </c>
      <c r="AJ315" s="6" t="n">
        <f aca="false">IF(B315="","",YEAR(B315))</f>
        <v>2025</v>
      </c>
      <c r="AK315" s="3" t="str">
        <f aca="false">IF(COUNTIF(raw_data!$A$2:$A$913,A315)&gt;1,"Conflicting Duplicate - Flagged for Review","Unique")</f>
        <v>Unique</v>
      </c>
      <c r="AL315" s="3" t="str">
        <f aca="false">IF(AB315="Refunded","Yes","No")</f>
        <v>Yes</v>
      </c>
      <c r="AM315" s="3" t="str">
        <f aca="false">IF(OR(AC315&lt;&gt;"Completed",AB315="Failed"),"Excluded","Included")</f>
        <v>Excluded</v>
      </c>
      <c r="AN315" s="3" t="str">
        <f aca="false">IF(OR(D315="Invalid/Unrecognized",E315="Invalid/Unrecognized",G315="Invalid - Ship Before Order",X315="Negative - Invalid",X315="Above Allowed Range - Invalid",AG315="Mismatch",AH315="Mismatch",AK315="Conflicting Duplicate - Flagged for Review"),"Invalid",IF(OR(L315="Filled - Unknown",S315="Filled - Unknown",X315="Missing - Defaulted to 0",AL315="Yes",AC315="Cancelled",AC315="Returned"),"Warning","Clean"))</f>
        <v>Warning</v>
      </c>
    </row>
    <row r="316" customFormat="false" ht="15" hidden="false" customHeight="false" outlineLevel="0" collapsed="false">
      <c r="A316" s="3" t="str">
        <f aca="false">raw_data!A316</f>
        <v>ORD-2025-10315</v>
      </c>
      <c r="B316" s="4" t="n">
        <f aca="false">IFERROR(IF(MID(raw_data!B316,3,1)="/",DATE(VALUE(RIGHT(raw_data!B316,4)),VALUE(LEFT(raw_data!B316,2)),VALUE(MID(raw_data!B316,4,2))),IF(MID(raw_data!B316,3,1)="-",DATE(VALUE(RIGHT(raw_data!B316,4)),VALUE(MID(raw_data!B316,4,2)),VALUE(LEFT(raw_data!B316,2))),IF(MID(raw_data!B316,5,1)="-",DATE(VALUE(LEFT(raw_data!B316,4)),VALUE(MID(raw_data!B316,6,2)),VALUE(RIGHT(raw_data!B316,2))),DATE(VALUE(RIGHT(raw_data!B316,4)),MATCH(MID(raw_data!B316,4,3),{"Jan","Feb","Mar","Apr","May","Jun","Jul","Aug","Sep","Oct","Nov","Dec"},0),VALUE(LEFT(raw_data!B316,2)))))),"")</f>
        <v>45795</v>
      </c>
      <c r="C316" s="4" t="n">
        <f aca="false">IFERROR(IF(MID(raw_data!C316,3,1)="/",DATE(VALUE(RIGHT(raw_data!C316,4)),VALUE(LEFT(raw_data!C316,2)),VALUE(MID(raw_data!C316,4,2))),IF(MID(raw_data!C316,3,1)="-",DATE(VALUE(RIGHT(raw_data!C316,4)),VALUE(MID(raw_data!C316,4,2)),VALUE(LEFT(raw_data!C316,2))),IF(MID(raw_data!C316,5,1)="-",DATE(VALUE(LEFT(raw_data!C316,4)),VALUE(MID(raw_data!C316,6,2)),VALUE(RIGHT(raw_data!C316,2))),DATE(VALUE(RIGHT(raw_data!C316,4)),MATCH(MID(raw_data!C316,4,3),{"Jan","Feb","Mar","Apr","May","Jun","Jul","Aug","Sep","Oct","Nov","Dec"},0),VALUE(LEFT(raw_data!C316,2)))))),"")</f>
        <v>45797</v>
      </c>
      <c r="D316" s="3" t="str">
        <f aca="false">IF(TRIM(raw_data!B316)="","Missing",IF(B316="","Invalid/Unrecognized","Valid"))</f>
        <v>Valid</v>
      </c>
      <c r="E316" s="3" t="str">
        <f aca="false">IF(TRIM(raw_data!C316)="","Missing",IF(C316="","Invalid/Unrecognized","Valid"))</f>
        <v>Valid</v>
      </c>
      <c r="F316" s="5" t="n">
        <f aca="false">IF(OR(B316="",C316=""),"",C316-B316)</f>
        <v>2</v>
      </c>
      <c r="G316" s="3" t="str">
        <f aca="false">IF(F316="","N/A",IF(F316&lt;0,"Invalid - Ship Before Order","OK"))</f>
        <v>OK</v>
      </c>
      <c r="H316" s="3" t="str">
        <f aca="false">raw_data!D316</f>
        <v>CUST-1945</v>
      </c>
      <c r="I316" s="3" t="str">
        <f aca="false">PROPER(TRIM(raw_data!E316))</f>
        <v>Isha Nair</v>
      </c>
      <c r="J316" s="3" t="str">
        <f aca="false">PROPER(TRIM(raw_data!F316))</f>
        <v>Corporate</v>
      </c>
      <c r="K316" s="3" t="str">
        <f aca="false">IF(TRIM(raw_data!G316)="","Unknown",PROPER(TRIM(raw_data!G316)))</f>
        <v>West</v>
      </c>
      <c r="L316" s="3" t="str">
        <f aca="false">IF(TRIM(raw_data!G316)="","Filled - Unknown","OK")</f>
        <v>OK</v>
      </c>
      <c r="M316" s="3" t="str">
        <f aca="false">PROPER(TRIM(raw_data!H316))</f>
        <v>Madhya Pradesh</v>
      </c>
      <c r="N316" s="3" t="str">
        <f aca="false">PROPER(TRIM(raw_data!I316))</f>
        <v>Indore</v>
      </c>
      <c r="O316" s="3" t="str">
        <f aca="false">PROPER(TRIM(raw_data!J316))</f>
        <v>Office Supplies</v>
      </c>
      <c r="P316" s="3" t="str">
        <f aca="false">PROPER(TRIM(raw_data!K316))</f>
        <v>Labels</v>
      </c>
      <c r="Q316" s="3" t="str">
        <f aca="false">TRIM(raw_data!L316)</f>
        <v>Elite Labels 544</v>
      </c>
      <c r="R316" s="3" t="str">
        <f aca="false">IF(TRIM(raw_data!M316)="","Unknown",PROPER(TRIM(raw_data!M316)))</f>
        <v>Standard Class</v>
      </c>
      <c r="S316" s="3" t="str">
        <f aca="false">IF(TRIM(raw_data!M316)="","Filled - Unknown","OK")</f>
        <v>OK</v>
      </c>
      <c r="T316" s="6" t="n">
        <f aca="false">raw_data!N316</f>
        <v>9</v>
      </c>
      <c r="U316" s="7" t="n">
        <f aca="false">raw_data!O316</f>
        <v>847.76</v>
      </c>
      <c r="V316" s="8" t="n">
        <f aca="false">raw_data!P316</f>
        <v>0.15</v>
      </c>
      <c r="W316" s="8" t="n">
        <f aca="false">IF(raw_data!P316="",0,IF(ISTEXT(raw_data!P316),IF(RIGHT(raw_data!P316,1)="%",VALUE(LEFT(raw_data!P316,LEN(raw_data!P316)-1))/100,VALUE(raw_data!P316)),raw_data!P316))</f>
        <v>0.15</v>
      </c>
      <c r="X316" s="3" t="str">
        <f aca="false">IF(raw_data!P316="","Missing - Defaulted to 0",IF(W316&lt;0,"Negative - Invalid",IF(W316&gt;0.3,"Above Allowed Range - Invalid","Valid")))</f>
        <v>Valid</v>
      </c>
      <c r="Y316" s="7" t="n">
        <f aca="false">raw_data!Q316</f>
        <v>6485.36</v>
      </c>
      <c r="Z316" s="7" t="n">
        <f aca="false">raw_data!R316</f>
        <v>5376.17</v>
      </c>
      <c r="AA316" s="7" t="n">
        <f aca="false">raw_data!S316</f>
        <v>1109.19</v>
      </c>
      <c r="AB316" s="3" t="str">
        <f aca="false">PROPER(TRIM(raw_data!T316))</f>
        <v>Failed</v>
      </c>
      <c r="AC316" s="3" t="str">
        <f aca="false">PROPER(TRIM(raw_data!U316))</f>
        <v>Returned</v>
      </c>
      <c r="AD316" s="7" t="n">
        <f aca="false">T316*U316*(1-W316)</f>
        <v>6485.364</v>
      </c>
      <c r="AE316" s="7" t="n">
        <f aca="false">AD316-Z316</f>
        <v>1109.194</v>
      </c>
      <c r="AF316" s="8" t="n">
        <f aca="false">IF(AD316=0,0,AE316/AD316)</f>
        <v>0.171030338466738</v>
      </c>
      <c r="AG316" s="3" t="str">
        <f aca="false">IF(ABS(Y316-AD316)&gt;1,"Mismatch","OK")</f>
        <v>OK</v>
      </c>
      <c r="AH316" s="3" t="str">
        <f aca="false">IF(ABS(AA316-AE316)&gt;1,"Mismatch","OK")</f>
        <v>OK</v>
      </c>
      <c r="AI316" s="6" t="n">
        <f aca="false">IF(B316="","",MONTH(B316))</f>
        <v>5</v>
      </c>
      <c r="AJ316" s="6" t="n">
        <f aca="false">IF(B316="","",YEAR(B316))</f>
        <v>2025</v>
      </c>
      <c r="AK316" s="3" t="str">
        <f aca="false">IF(COUNTIF(raw_data!$A$2:$A$913,A316)&gt;1,"Conflicting Duplicate - Flagged for Review","Unique")</f>
        <v>Conflicting Duplicate - Flagged for Review</v>
      </c>
      <c r="AL316" s="3" t="str">
        <f aca="false">IF(AB316="Refunded","Yes","No")</f>
        <v>No</v>
      </c>
      <c r="AM316" s="3" t="str">
        <f aca="false">IF(OR(AC316&lt;&gt;"Completed",AB316="Failed"),"Excluded","Included")</f>
        <v>Excluded</v>
      </c>
      <c r="AN316" s="3" t="str">
        <f aca="false">IF(OR(D316="Invalid/Unrecognized",E316="Invalid/Unrecognized",G316="Invalid - Ship Before Order",X316="Negative - Invalid",X316="Above Allowed Range - Invalid",AG316="Mismatch",AH316="Mismatch",AK316="Conflicting Duplicate - Flagged for Review"),"Invalid",IF(OR(L316="Filled - Unknown",S316="Filled - Unknown",X316="Missing - Defaulted to 0",AL316="Yes",AC316="Cancelled",AC316="Returned"),"Warning","Clean"))</f>
        <v>Invalid</v>
      </c>
    </row>
    <row r="317" customFormat="false" ht="15" hidden="false" customHeight="false" outlineLevel="0" collapsed="false">
      <c r="A317" s="3" t="str">
        <f aca="false">raw_data!A317</f>
        <v>ORD-2024-10316</v>
      </c>
      <c r="B317" s="4" t="n">
        <f aca="false">IFERROR(IF(MID(raw_data!B317,3,1)="/",DATE(VALUE(RIGHT(raw_data!B317,4)),VALUE(LEFT(raw_data!B317,2)),VALUE(MID(raw_data!B317,4,2))),IF(MID(raw_data!B317,3,1)="-",DATE(VALUE(RIGHT(raw_data!B317,4)),VALUE(MID(raw_data!B317,4,2)),VALUE(LEFT(raw_data!B317,2))),IF(MID(raw_data!B317,5,1)="-",DATE(VALUE(LEFT(raw_data!B317,4)),VALUE(MID(raw_data!B317,6,2)),VALUE(RIGHT(raw_data!B317,2))),DATE(VALUE(RIGHT(raw_data!B317,4)),MATCH(MID(raw_data!B317,4,3),{"Jan","Feb","Mar","Apr","May","Jun","Jul","Aug","Sep","Oct","Nov","Dec"},0),VALUE(LEFT(raw_data!B317,2)))))),"")</f>
        <v>45475</v>
      </c>
      <c r="C317" s="4" t="n">
        <f aca="false">IFERROR(IF(MID(raw_data!C317,3,1)="/",DATE(VALUE(RIGHT(raw_data!C317,4)),VALUE(LEFT(raw_data!C317,2)),VALUE(MID(raw_data!C317,4,2))),IF(MID(raw_data!C317,3,1)="-",DATE(VALUE(RIGHT(raw_data!C317,4)),VALUE(MID(raw_data!C317,4,2)),VALUE(LEFT(raw_data!C317,2))),IF(MID(raw_data!C317,5,1)="-",DATE(VALUE(LEFT(raw_data!C317,4)),VALUE(MID(raw_data!C317,6,2)),VALUE(RIGHT(raw_data!C317,2))),DATE(VALUE(RIGHT(raw_data!C317,4)),MATCH(MID(raw_data!C317,4,3),{"Jan","Feb","Mar","Apr","May","Jun","Jul","Aug","Sep","Oct","Nov","Dec"},0),VALUE(LEFT(raw_data!C317,2)))))),"")</f>
        <v>45481</v>
      </c>
      <c r="D317" s="3" t="str">
        <f aca="false">IF(TRIM(raw_data!B317)="","Missing",IF(B317="","Invalid/Unrecognized","Valid"))</f>
        <v>Valid</v>
      </c>
      <c r="E317" s="3" t="str">
        <f aca="false">IF(TRIM(raw_data!C317)="","Missing",IF(C317="","Invalid/Unrecognized","Valid"))</f>
        <v>Valid</v>
      </c>
      <c r="F317" s="5" t="n">
        <f aca="false">IF(OR(B317="",C317=""),"",C317-B317)</f>
        <v>6</v>
      </c>
      <c r="G317" s="3" t="str">
        <f aca="false">IF(F317="","N/A",IF(F317&lt;0,"Invalid - Ship Before Order","OK"))</f>
        <v>OK</v>
      </c>
      <c r="H317" s="3" t="str">
        <f aca="false">raw_data!D317</f>
        <v>CUST-7565</v>
      </c>
      <c r="I317" s="3" t="str">
        <f aca="false">PROPER(TRIM(raw_data!E317))</f>
        <v>Rohan Mehta</v>
      </c>
      <c r="J317" s="3" t="str">
        <f aca="false">PROPER(TRIM(raw_data!F317))</f>
        <v>Consumer</v>
      </c>
      <c r="K317" s="3" t="str">
        <f aca="false">IF(TRIM(raw_data!G317)="","Unknown",PROPER(TRIM(raw_data!G317)))</f>
        <v>North</v>
      </c>
      <c r="L317" s="3" t="str">
        <f aca="false">IF(TRIM(raw_data!G317)="","Filled - Unknown","OK")</f>
        <v>OK</v>
      </c>
      <c r="M317" s="3" t="str">
        <f aca="false">PROPER(TRIM(raw_data!H317))</f>
        <v>Delhi</v>
      </c>
      <c r="N317" s="3" t="str">
        <f aca="false">PROPER(TRIM(raw_data!I317))</f>
        <v>New Delhi</v>
      </c>
      <c r="O317" s="3" t="str">
        <f aca="false">PROPER(TRIM(raw_data!J317))</f>
        <v>Office Supplies</v>
      </c>
      <c r="P317" s="3" t="str">
        <f aca="false">PROPER(TRIM(raw_data!K317))</f>
        <v>Paper</v>
      </c>
      <c r="Q317" s="3" t="str">
        <f aca="false">TRIM(raw_data!L317)</f>
        <v>Smart Paper 817</v>
      </c>
      <c r="R317" s="3" t="str">
        <f aca="false">IF(TRIM(raw_data!M317)="","Unknown",PROPER(TRIM(raw_data!M317)))</f>
        <v>Standard Class</v>
      </c>
      <c r="S317" s="3" t="str">
        <f aca="false">IF(TRIM(raw_data!M317)="","Filled - Unknown","OK")</f>
        <v>OK</v>
      </c>
      <c r="T317" s="6" t="n">
        <f aca="false">raw_data!N317</f>
        <v>9</v>
      </c>
      <c r="U317" s="7" t="n">
        <f aca="false">raw_data!O317</f>
        <v>3450.4</v>
      </c>
      <c r="V317" s="8" t="n">
        <f aca="false">raw_data!P317</f>
        <v>0.05</v>
      </c>
      <c r="W317" s="8" t="n">
        <f aca="false">IF(raw_data!P317="",0,IF(ISTEXT(raw_data!P317),IF(RIGHT(raw_data!P317,1)="%",VALUE(LEFT(raw_data!P317,LEN(raw_data!P317)-1))/100,VALUE(raw_data!P317)),raw_data!P317))</f>
        <v>0.05</v>
      </c>
      <c r="X317" s="3" t="str">
        <f aca="false">IF(raw_data!P317="","Missing - Defaulted to 0",IF(W317&lt;0,"Negative - Invalid",IF(W317&gt;0.3,"Above Allowed Range - Invalid","Valid")))</f>
        <v>Valid</v>
      </c>
      <c r="Y317" s="7" t="n">
        <f aca="false">raw_data!Q317</f>
        <v>29500.92</v>
      </c>
      <c r="Z317" s="7" t="n">
        <f aca="false">raw_data!R317</f>
        <v>17989.68</v>
      </c>
      <c r="AA317" s="7" t="n">
        <f aca="false">raw_data!S317</f>
        <v>11511.24</v>
      </c>
      <c r="AB317" s="3" t="str">
        <f aca="false">PROPER(TRIM(raw_data!T317))</f>
        <v>Pending</v>
      </c>
      <c r="AC317" s="3" t="str">
        <f aca="false">PROPER(TRIM(raw_data!U317))</f>
        <v>Returned</v>
      </c>
      <c r="AD317" s="7" t="n">
        <f aca="false">T317*U317*(1-W317)</f>
        <v>29500.92</v>
      </c>
      <c r="AE317" s="7" t="n">
        <f aca="false">AD317-Z317</f>
        <v>11511.24</v>
      </c>
      <c r="AF317" s="8" t="n">
        <f aca="false">IF(AD317=0,0,AE317/AD317)</f>
        <v>0.390199356494645</v>
      </c>
      <c r="AG317" s="3" t="str">
        <f aca="false">IF(ABS(Y317-AD317)&gt;1,"Mismatch","OK")</f>
        <v>OK</v>
      </c>
      <c r="AH317" s="3" t="str">
        <f aca="false">IF(ABS(AA317-AE317)&gt;1,"Mismatch","OK")</f>
        <v>OK</v>
      </c>
      <c r="AI317" s="6" t="n">
        <f aca="false">IF(B317="","",MONTH(B317))</f>
        <v>7</v>
      </c>
      <c r="AJ317" s="6" t="n">
        <f aca="false">IF(B317="","",YEAR(B317))</f>
        <v>2024</v>
      </c>
      <c r="AK317" s="3" t="str">
        <f aca="false">IF(COUNTIF(raw_data!$A$2:$A$913,A317)&gt;1,"Conflicting Duplicate - Flagged for Review","Unique")</f>
        <v>Unique</v>
      </c>
      <c r="AL317" s="3" t="str">
        <f aca="false">IF(AB317="Refunded","Yes","No")</f>
        <v>No</v>
      </c>
      <c r="AM317" s="3" t="str">
        <f aca="false">IF(OR(AC317&lt;&gt;"Completed",AB317="Failed"),"Excluded","Included")</f>
        <v>Excluded</v>
      </c>
      <c r="AN317" s="3" t="str">
        <f aca="false">IF(OR(D317="Invalid/Unrecognized",E317="Invalid/Unrecognized",G317="Invalid - Ship Before Order",X317="Negative - Invalid",X317="Above Allowed Range - Invalid",AG317="Mismatch",AH317="Mismatch",AK317="Conflicting Duplicate - Flagged for Review"),"Invalid",IF(OR(L317="Filled - Unknown",S317="Filled - Unknown",X317="Missing - Defaulted to 0",AL317="Yes",AC317="Cancelled",AC317="Returned"),"Warning","Clean"))</f>
        <v>Warning</v>
      </c>
    </row>
    <row r="318" customFormat="false" ht="15" hidden="false" customHeight="false" outlineLevel="0" collapsed="false">
      <c r="A318" s="3" t="str">
        <f aca="false">raw_data!A318</f>
        <v>ORD-2024-10317</v>
      </c>
      <c r="B318" s="4" t="n">
        <f aca="false">IFERROR(IF(MID(raw_data!B318,3,1)="/",DATE(VALUE(RIGHT(raw_data!B318,4)),VALUE(LEFT(raw_data!B318,2)),VALUE(MID(raw_data!B318,4,2))),IF(MID(raw_data!B318,3,1)="-",DATE(VALUE(RIGHT(raw_data!B318,4)),VALUE(MID(raw_data!B318,4,2)),VALUE(LEFT(raw_data!B318,2))),IF(MID(raw_data!B318,5,1)="-",DATE(VALUE(LEFT(raw_data!B318,4)),VALUE(MID(raw_data!B318,6,2)),VALUE(RIGHT(raw_data!B318,2))),DATE(VALUE(RIGHT(raw_data!B318,4)),MATCH(MID(raw_data!B318,4,3),{"Jan","Feb","Mar","Apr","May","Jun","Jul","Aug","Sep","Oct","Nov","Dec"},0),VALUE(LEFT(raw_data!B318,2)))))),"")</f>
        <v>45338</v>
      </c>
      <c r="C318" s="4" t="n">
        <f aca="false">IFERROR(IF(MID(raw_data!C318,3,1)="/",DATE(VALUE(RIGHT(raw_data!C318,4)),VALUE(LEFT(raw_data!C318,2)),VALUE(MID(raw_data!C318,4,2))),IF(MID(raw_data!C318,3,1)="-",DATE(VALUE(RIGHT(raw_data!C318,4)),VALUE(MID(raw_data!C318,4,2)),VALUE(LEFT(raw_data!C318,2))),IF(MID(raw_data!C318,5,1)="-",DATE(VALUE(LEFT(raw_data!C318,4)),VALUE(MID(raw_data!C318,6,2)),VALUE(RIGHT(raw_data!C318,2))),DATE(VALUE(RIGHT(raw_data!C318,4)),MATCH(MID(raw_data!C318,4,3),{"Jan","Feb","Mar","Apr","May","Jun","Jul","Aug","Sep","Oct","Nov","Dec"},0),VALUE(LEFT(raw_data!C318,2)))))),"")</f>
        <v>45340</v>
      </c>
      <c r="D318" s="3" t="str">
        <f aca="false">IF(TRIM(raw_data!B318)="","Missing",IF(B318="","Invalid/Unrecognized","Valid"))</f>
        <v>Valid</v>
      </c>
      <c r="E318" s="3" t="str">
        <f aca="false">IF(TRIM(raw_data!C318)="","Missing",IF(C318="","Invalid/Unrecognized","Valid"))</f>
        <v>Valid</v>
      </c>
      <c r="F318" s="5" t="n">
        <f aca="false">IF(OR(B318="",C318=""),"",C318-B318)</f>
        <v>2</v>
      </c>
      <c r="G318" s="3" t="str">
        <f aca="false">IF(F318="","N/A",IF(F318&lt;0,"Invalid - Ship Before Order","OK"))</f>
        <v>OK</v>
      </c>
      <c r="H318" s="3" t="str">
        <f aca="false">raw_data!D318</f>
        <v>CUST-9913</v>
      </c>
      <c r="I318" s="3" t="str">
        <f aca="false">PROPER(TRIM(raw_data!E318))</f>
        <v>Karan Malhotra</v>
      </c>
      <c r="J318" s="3" t="str">
        <f aca="false">PROPER(TRIM(raw_data!F318))</f>
        <v>Corporate</v>
      </c>
      <c r="K318" s="3" t="str">
        <f aca="false">IF(TRIM(raw_data!G318)="","Unknown",PROPER(TRIM(raw_data!G318)))</f>
        <v>North</v>
      </c>
      <c r="L318" s="3" t="str">
        <f aca="false">IF(TRIM(raw_data!G318)="","Filled - Unknown","OK")</f>
        <v>OK</v>
      </c>
      <c r="M318" s="3" t="str">
        <f aca="false">PROPER(TRIM(raw_data!H318))</f>
        <v>Punjab</v>
      </c>
      <c r="N318" s="3" t="str">
        <f aca="false">PROPER(TRIM(raw_data!I318))</f>
        <v>Ludhiana</v>
      </c>
      <c r="O318" s="3" t="str">
        <f aca="false">PROPER(TRIM(raw_data!J318))</f>
        <v>Office Supplies</v>
      </c>
      <c r="P318" s="3" t="str">
        <f aca="false">PROPER(TRIM(raw_data!K318))</f>
        <v>Labels</v>
      </c>
      <c r="Q318" s="3" t="str">
        <f aca="false">TRIM(raw_data!L318)</f>
        <v>Classic Labels 466</v>
      </c>
      <c r="R318" s="3" t="str">
        <f aca="false">IF(TRIM(raw_data!M318)="","Unknown",PROPER(TRIM(raw_data!M318)))</f>
        <v>Standard Class</v>
      </c>
      <c r="S318" s="3" t="str">
        <f aca="false">IF(TRIM(raw_data!M318)="","Filled - Unknown","OK")</f>
        <v>OK</v>
      </c>
      <c r="T318" s="6" t="n">
        <f aca="false">raw_data!N318</f>
        <v>2</v>
      </c>
      <c r="U318" s="7" t="n">
        <f aca="false">raw_data!O318</f>
        <v>1947.53</v>
      </c>
      <c r="V318" s="8" t="n">
        <f aca="false">raw_data!P318</f>
        <v>0.2</v>
      </c>
      <c r="W318" s="8" t="n">
        <f aca="false">IF(raw_data!P318="",0,IF(ISTEXT(raw_data!P318),IF(RIGHT(raw_data!P318,1)="%",VALUE(LEFT(raw_data!P318,LEN(raw_data!P318)-1))/100,VALUE(raw_data!P318)),raw_data!P318))</f>
        <v>0.2</v>
      </c>
      <c r="X318" s="3" t="str">
        <f aca="false">IF(raw_data!P318="","Missing - Defaulted to 0",IF(W318&lt;0,"Negative - Invalid",IF(W318&gt;0.3,"Above Allowed Range - Invalid","Valid")))</f>
        <v>Valid</v>
      </c>
      <c r="Y318" s="7" t="n">
        <f aca="false">raw_data!Q318</f>
        <v>3116.05</v>
      </c>
      <c r="Z318" s="7" t="n">
        <f aca="false">raw_data!R318</f>
        <v>1956.63</v>
      </c>
      <c r="AA318" s="7" t="n">
        <f aca="false">raw_data!S318</f>
        <v>1159.42</v>
      </c>
      <c r="AB318" s="3" t="str">
        <f aca="false">PROPER(TRIM(raw_data!T318))</f>
        <v>Paid</v>
      </c>
      <c r="AC318" s="3" t="str">
        <f aca="false">PROPER(TRIM(raw_data!U318))</f>
        <v>Cancelled</v>
      </c>
      <c r="AD318" s="7" t="n">
        <f aca="false">T318*U318*(1-W318)</f>
        <v>3116.048</v>
      </c>
      <c r="AE318" s="7" t="n">
        <f aca="false">AD318-Z318</f>
        <v>1159.418</v>
      </c>
      <c r="AF318" s="8" t="n">
        <f aca="false">IF(AD318=0,0,AE318/AD318)</f>
        <v>0.372079634203324</v>
      </c>
      <c r="AG318" s="3" t="str">
        <f aca="false">IF(ABS(Y318-AD318)&gt;1,"Mismatch","OK")</f>
        <v>OK</v>
      </c>
      <c r="AH318" s="3" t="str">
        <f aca="false">IF(ABS(AA318-AE318)&gt;1,"Mismatch","OK")</f>
        <v>OK</v>
      </c>
      <c r="AI318" s="6" t="n">
        <f aca="false">IF(B318="","",MONTH(B318))</f>
        <v>2</v>
      </c>
      <c r="AJ318" s="6" t="n">
        <f aca="false">IF(B318="","",YEAR(B318))</f>
        <v>2024</v>
      </c>
      <c r="AK318" s="3" t="str">
        <f aca="false">IF(COUNTIF(raw_data!$A$2:$A$913,A318)&gt;1,"Conflicting Duplicate - Flagged for Review","Unique")</f>
        <v>Unique</v>
      </c>
      <c r="AL318" s="3" t="str">
        <f aca="false">IF(AB318="Refunded","Yes","No")</f>
        <v>No</v>
      </c>
      <c r="AM318" s="3" t="str">
        <f aca="false">IF(OR(AC318&lt;&gt;"Completed",AB318="Failed"),"Excluded","Included")</f>
        <v>Excluded</v>
      </c>
      <c r="AN318" s="3" t="str">
        <f aca="false">IF(OR(D318="Invalid/Unrecognized",E318="Invalid/Unrecognized",G318="Invalid - Ship Before Order",X318="Negative - Invalid",X318="Above Allowed Range - Invalid",AG318="Mismatch",AH318="Mismatch",AK318="Conflicting Duplicate - Flagged for Review"),"Invalid",IF(OR(L318="Filled - Unknown",S318="Filled - Unknown",X318="Missing - Defaulted to 0",AL318="Yes",AC318="Cancelled",AC318="Returned"),"Warning","Clean"))</f>
        <v>Warning</v>
      </c>
    </row>
    <row r="319" customFormat="false" ht="15" hidden="false" customHeight="false" outlineLevel="0" collapsed="false">
      <c r="A319" s="3" t="str">
        <f aca="false">raw_data!A319</f>
        <v>ORD-2025-10318</v>
      </c>
      <c r="B319" s="4" t="n">
        <f aca="false">IFERROR(IF(MID(raw_data!B319,3,1)="/",DATE(VALUE(RIGHT(raw_data!B319,4)),VALUE(LEFT(raw_data!B319,2)),VALUE(MID(raw_data!B319,4,2))),IF(MID(raw_data!B319,3,1)="-",DATE(VALUE(RIGHT(raw_data!B319,4)),VALUE(MID(raw_data!B319,4,2)),VALUE(LEFT(raw_data!B319,2))),IF(MID(raw_data!B319,5,1)="-",DATE(VALUE(LEFT(raw_data!B319,4)),VALUE(MID(raw_data!B319,6,2)),VALUE(RIGHT(raw_data!B319,2))),DATE(VALUE(RIGHT(raw_data!B319,4)),MATCH(MID(raw_data!B319,4,3),{"Jan","Feb","Mar","Apr","May","Jun","Jul","Aug","Sep","Oct","Nov","Dec"},0),VALUE(LEFT(raw_data!B319,2)))))),"")</f>
        <v>45898</v>
      </c>
      <c r="C319" s="4" t="n">
        <f aca="false">IFERROR(IF(MID(raw_data!C319,3,1)="/",DATE(VALUE(RIGHT(raw_data!C319,4)),VALUE(LEFT(raw_data!C319,2)),VALUE(MID(raw_data!C319,4,2))),IF(MID(raw_data!C319,3,1)="-",DATE(VALUE(RIGHT(raw_data!C319,4)),VALUE(MID(raw_data!C319,4,2)),VALUE(LEFT(raw_data!C319,2))),IF(MID(raw_data!C319,5,1)="-",DATE(VALUE(LEFT(raw_data!C319,4)),VALUE(MID(raw_data!C319,6,2)),VALUE(RIGHT(raw_data!C319,2))),DATE(VALUE(RIGHT(raw_data!C319,4)),MATCH(MID(raw_data!C319,4,3),{"Jan","Feb","Mar","Apr","May","Jun","Jul","Aug","Sep","Oct","Nov","Dec"},0),VALUE(LEFT(raw_data!C319,2)))))),"")</f>
        <v>45904</v>
      </c>
      <c r="D319" s="3" t="str">
        <f aca="false">IF(TRIM(raw_data!B319)="","Missing",IF(B319="","Invalid/Unrecognized","Valid"))</f>
        <v>Valid</v>
      </c>
      <c r="E319" s="3" t="str">
        <f aca="false">IF(TRIM(raw_data!C319)="","Missing",IF(C319="","Invalid/Unrecognized","Valid"))</f>
        <v>Valid</v>
      </c>
      <c r="F319" s="5" t="n">
        <f aca="false">IF(OR(B319="",C319=""),"",C319-B319)</f>
        <v>6</v>
      </c>
      <c r="G319" s="3" t="str">
        <f aca="false">IF(F319="","N/A",IF(F319&lt;0,"Invalid - Ship Before Order","OK"))</f>
        <v>OK</v>
      </c>
      <c r="H319" s="3" t="str">
        <f aca="false">raw_data!D319</f>
        <v>CUST-7992</v>
      </c>
      <c r="I319" s="3" t="str">
        <f aca="false">PROPER(TRIM(raw_data!E319))</f>
        <v>Neha Gupta</v>
      </c>
      <c r="J319" s="3" t="str">
        <f aca="false">PROPER(TRIM(raw_data!F319))</f>
        <v>Corporate</v>
      </c>
      <c r="K319" s="3" t="str">
        <f aca="false">IF(TRIM(raw_data!G319)="","Unknown",PROPER(TRIM(raw_data!G319)))</f>
        <v>South</v>
      </c>
      <c r="L319" s="3" t="str">
        <f aca="false">IF(TRIM(raw_data!G319)="","Filled - Unknown","OK")</f>
        <v>OK</v>
      </c>
      <c r="M319" s="3" t="str">
        <f aca="false">PROPER(TRIM(raw_data!H319))</f>
        <v>Kerala</v>
      </c>
      <c r="N319" s="3" t="str">
        <f aca="false">PROPER(TRIM(raw_data!I319))</f>
        <v>Kochi</v>
      </c>
      <c r="O319" s="3" t="str">
        <f aca="false">PROPER(TRIM(raw_data!J319))</f>
        <v>Furniture</v>
      </c>
      <c r="P319" s="3" t="str">
        <f aca="false">PROPER(TRIM(raw_data!K319))</f>
        <v>Tables</v>
      </c>
      <c r="Q319" s="3" t="str">
        <f aca="false">TRIM(raw_data!L319)</f>
        <v>Pro Tables 778</v>
      </c>
      <c r="R319" s="3" t="str">
        <f aca="false">IF(TRIM(raw_data!M319)="","Unknown",PROPER(TRIM(raw_data!M319)))</f>
        <v>First Class</v>
      </c>
      <c r="S319" s="3" t="str">
        <f aca="false">IF(TRIM(raw_data!M319)="","Filled - Unknown","OK")</f>
        <v>OK</v>
      </c>
      <c r="T319" s="6" t="n">
        <f aca="false">raw_data!N319</f>
        <v>9</v>
      </c>
      <c r="U319" s="7" t="n">
        <f aca="false">raw_data!O319</f>
        <v>2996.97</v>
      </c>
      <c r="V319" s="8" t="n">
        <f aca="false">raw_data!P319</f>
        <v>0.15</v>
      </c>
      <c r="W319" s="8" t="n">
        <f aca="false">IF(raw_data!P319="",0,IF(ISTEXT(raw_data!P319),IF(RIGHT(raw_data!P319,1)="%",VALUE(LEFT(raw_data!P319,LEN(raw_data!P319)-1))/100,VALUE(raw_data!P319)),raw_data!P319))</f>
        <v>0.15</v>
      </c>
      <c r="X319" s="3" t="str">
        <f aca="false">IF(raw_data!P319="","Missing - Defaulted to 0",IF(W319&lt;0,"Negative - Invalid",IF(W319&gt;0.3,"Above Allowed Range - Invalid","Valid")))</f>
        <v>Valid</v>
      </c>
      <c r="Y319" s="7" t="n">
        <f aca="false">raw_data!Q319</f>
        <v>22926.82</v>
      </c>
      <c r="Z319" s="7" t="n">
        <f aca="false">raw_data!R319</f>
        <v>14621.59</v>
      </c>
      <c r="AA319" s="7" t="n">
        <f aca="false">raw_data!S319</f>
        <v>8305.23</v>
      </c>
      <c r="AB319" s="3" t="str">
        <f aca="false">PROPER(TRIM(raw_data!T319))</f>
        <v>Paid</v>
      </c>
      <c r="AC319" s="3" t="str">
        <f aca="false">PROPER(TRIM(raw_data!U319))</f>
        <v>Completed</v>
      </c>
      <c r="AD319" s="7" t="n">
        <f aca="false">T319*U319*(1-W319)</f>
        <v>22926.8205</v>
      </c>
      <c r="AE319" s="7" t="n">
        <f aca="false">AD319-Z319</f>
        <v>8305.2305</v>
      </c>
      <c r="AF319" s="8" t="n">
        <f aca="false">IF(AD319=0,0,AE319/AD319)</f>
        <v>0.362249553966718</v>
      </c>
      <c r="AG319" s="3" t="str">
        <f aca="false">IF(ABS(Y319-AD319)&gt;1,"Mismatch","OK")</f>
        <v>OK</v>
      </c>
      <c r="AH319" s="3" t="str">
        <f aca="false">IF(ABS(AA319-AE319)&gt;1,"Mismatch","OK")</f>
        <v>OK</v>
      </c>
      <c r="AI319" s="6" t="n">
        <f aca="false">IF(B319="","",MONTH(B319))</f>
        <v>8</v>
      </c>
      <c r="AJ319" s="6" t="n">
        <f aca="false">IF(B319="","",YEAR(B319))</f>
        <v>2025</v>
      </c>
      <c r="AK319" s="3" t="str">
        <f aca="false">IF(COUNTIF(raw_data!$A$2:$A$913,A319)&gt;1,"Conflicting Duplicate - Flagged for Review","Unique")</f>
        <v>Unique</v>
      </c>
      <c r="AL319" s="3" t="str">
        <f aca="false">IF(AB319="Refunded","Yes","No")</f>
        <v>No</v>
      </c>
      <c r="AM319" s="3" t="str">
        <f aca="false">IF(OR(AC319&lt;&gt;"Completed",AB319="Failed"),"Excluded","Included")</f>
        <v>Included</v>
      </c>
      <c r="AN319" s="3" t="str">
        <f aca="false">IF(OR(D319="Invalid/Unrecognized",E319="Invalid/Unrecognized",G319="Invalid - Ship Before Order",X319="Negative - Invalid",X319="Above Allowed Range - Invalid",AG319="Mismatch",AH319="Mismatch",AK319="Conflicting Duplicate - Flagged for Review"),"Invalid",IF(OR(L319="Filled - Unknown",S319="Filled - Unknown",X319="Missing - Defaulted to 0",AL319="Yes",AC319="Cancelled",AC319="Returned"),"Warning","Clean"))</f>
        <v>Clean</v>
      </c>
    </row>
    <row r="320" customFormat="false" ht="15" hidden="false" customHeight="false" outlineLevel="0" collapsed="false">
      <c r="A320" s="3" t="str">
        <f aca="false">raw_data!A320</f>
        <v>ORD-2024-10319</v>
      </c>
      <c r="B320" s="4" t="n">
        <f aca="false">IFERROR(IF(MID(raw_data!B320,3,1)="/",DATE(VALUE(RIGHT(raw_data!B320,4)),VALUE(LEFT(raw_data!B320,2)),VALUE(MID(raw_data!B320,4,2))),IF(MID(raw_data!B320,3,1)="-",DATE(VALUE(RIGHT(raw_data!B320,4)),VALUE(MID(raw_data!B320,4,2)),VALUE(LEFT(raw_data!B320,2))),IF(MID(raw_data!B320,5,1)="-",DATE(VALUE(LEFT(raw_data!B320,4)),VALUE(MID(raw_data!B320,6,2)),VALUE(RIGHT(raw_data!B320,2))),DATE(VALUE(RIGHT(raw_data!B320,4)),MATCH(MID(raw_data!B320,4,3),{"Jan","Feb","Mar","Apr","May","Jun","Jul","Aug","Sep","Oct","Nov","Dec"},0),VALUE(LEFT(raw_data!B320,2)))))),"")</f>
        <v>45407</v>
      </c>
      <c r="C320" s="4" t="n">
        <f aca="false">IFERROR(IF(MID(raw_data!C320,3,1)="/",DATE(VALUE(RIGHT(raw_data!C320,4)),VALUE(LEFT(raw_data!C320,2)),VALUE(MID(raw_data!C320,4,2))),IF(MID(raw_data!C320,3,1)="-",DATE(VALUE(RIGHT(raw_data!C320,4)),VALUE(MID(raw_data!C320,4,2)),VALUE(LEFT(raw_data!C320,2))),IF(MID(raw_data!C320,5,1)="-",DATE(VALUE(LEFT(raw_data!C320,4)),VALUE(MID(raw_data!C320,6,2)),VALUE(RIGHT(raw_data!C320,2))),DATE(VALUE(RIGHT(raw_data!C320,4)),MATCH(MID(raw_data!C320,4,3),{"Jan","Feb","Mar","Apr","May","Jun","Jul","Aug","Sep","Oct","Nov","Dec"},0),VALUE(LEFT(raw_data!C320,2)))))),"")</f>
        <v>45412</v>
      </c>
      <c r="D320" s="3" t="str">
        <f aca="false">IF(TRIM(raw_data!B320)="","Missing",IF(B320="","Invalid/Unrecognized","Valid"))</f>
        <v>Valid</v>
      </c>
      <c r="E320" s="3" t="str">
        <f aca="false">IF(TRIM(raw_data!C320)="","Missing",IF(C320="","Invalid/Unrecognized","Valid"))</f>
        <v>Valid</v>
      </c>
      <c r="F320" s="5" t="n">
        <f aca="false">IF(OR(B320="",C320=""),"",C320-B320)</f>
        <v>5</v>
      </c>
      <c r="G320" s="3" t="str">
        <f aca="false">IF(F320="","N/A",IF(F320&lt;0,"Invalid - Ship Before Order","OK"))</f>
        <v>OK</v>
      </c>
      <c r="H320" s="3" t="str">
        <f aca="false">raw_data!D320</f>
        <v>CUST-8877</v>
      </c>
      <c r="I320" s="3" t="str">
        <f aca="false">PROPER(TRIM(raw_data!E320))</f>
        <v>Mira Das</v>
      </c>
      <c r="J320" s="3" t="str">
        <f aca="false">PROPER(TRIM(raw_data!F320))</f>
        <v>Small Business</v>
      </c>
      <c r="K320" s="3" t="str">
        <f aca="false">IF(TRIM(raw_data!G320)="","Unknown",PROPER(TRIM(raw_data!G320)))</f>
        <v>South</v>
      </c>
      <c r="L320" s="3" t="str">
        <f aca="false">IF(TRIM(raw_data!G320)="","Filled - Unknown","OK")</f>
        <v>OK</v>
      </c>
      <c r="M320" s="3" t="str">
        <f aca="false">PROPER(TRIM(raw_data!H320))</f>
        <v>Karnataka</v>
      </c>
      <c r="N320" s="3" t="str">
        <f aca="false">PROPER(TRIM(raw_data!I320))</f>
        <v>Bengaluru</v>
      </c>
      <c r="O320" s="3" t="str">
        <f aca="false">PROPER(TRIM(raw_data!J320))</f>
        <v>Technology</v>
      </c>
      <c r="P320" s="3" t="str">
        <f aca="false">PROPER(TRIM(raw_data!K320))</f>
        <v>Phones</v>
      </c>
      <c r="Q320" s="3" t="str">
        <f aca="false">TRIM(raw_data!L320)</f>
        <v>Basic Phones 789</v>
      </c>
      <c r="R320" s="3" t="str">
        <f aca="false">IF(TRIM(raw_data!M320)="","Unknown",PROPER(TRIM(raw_data!M320)))</f>
        <v>Standard Class</v>
      </c>
      <c r="S320" s="3" t="str">
        <f aca="false">IF(TRIM(raw_data!M320)="","Filled - Unknown","OK")</f>
        <v>OK</v>
      </c>
      <c r="T320" s="6" t="n">
        <f aca="false">raw_data!N320</f>
        <v>3</v>
      </c>
      <c r="U320" s="7" t="n">
        <f aca="false">raw_data!O320</f>
        <v>4149.46</v>
      </c>
      <c r="V320" s="8" t="n">
        <f aca="false">raw_data!P320</f>
        <v>0.1</v>
      </c>
      <c r="W320" s="8" t="n">
        <f aca="false">IF(raw_data!P320="",0,IF(ISTEXT(raw_data!P320),IF(RIGHT(raw_data!P320,1)="%",VALUE(LEFT(raw_data!P320,LEN(raw_data!P320)-1))/100,VALUE(raw_data!P320)),raw_data!P320))</f>
        <v>0.1</v>
      </c>
      <c r="X320" s="3" t="str">
        <f aca="false">IF(raw_data!P320="","Missing - Defaulted to 0",IF(W320&lt;0,"Negative - Invalid",IF(W320&gt;0.3,"Above Allowed Range - Invalid","Valid")))</f>
        <v>Valid</v>
      </c>
      <c r="Y320" s="7" t="n">
        <f aca="false">raw_data!Q320</f>
        <v>11203.54</v>
      </c>
      <c r="Z320" s="7" t="n">
        <f aca="false">raw_data!R320</f>
        <v>8452.93</v>
      </c>
      <c r="AA320" s="7" t="n">
        <f aca="false">raw_data!S320</f>
        <v>2750.61</v>
      </c>
      <c r="AB320" s="3" t="str">
        <f aca="false">PROPER(TRIM(raw_data!T320))</f>
        <v>Paid</v>
      </c>
      <c r="AC320" s="3" t="str">
        <f aca="false">PROPER(TRIM(raw_data!U320))</f>
        <v>Completed</v>
      </c>
      <c r="AD320" s="7" t="n">
        <f aca="false">T320*U320*(1-W320)</f>
        <v>11203.542</v>
      </c>
      <c r="AE320" s="7" t="n">
        <f aca="false">AD320-Z320</f>
        <v>2750.612</v>
      </c>
      <c r="AF320" s="8" t="n">
        <f aca="false">IF(AD320=0,0,AE320/AD320)</f>
        <v>0.245512713747135</v>
      </c>
      <c r="AG320" s="3" t="str">
        <f aca="false">IF(ABS(Y320-AD320)&gt;1,"Mismatch","OK")</f>
        <v>OK</v>
      </c>
      <c r="AH320" s="3" t="str">
        <f aca="false">IF(ABS(AA320-AE320)&gt;1,"Mismatch","OK")</f>
        <v>OK</v>
      </c>
      <c r="AI320" s="6" t="n">
        <f aca="false">IF(B320="","",MONTH(B320))</f>
        <v>4</v>
      </c>
      <c r="AJ320" s="6" t="n">
        <f aca="false">IF(B320="","",YEAR(B320))</f>
        <v>2024</v>
      </c>
      <c r="AK320" s="3" t="str">
        <f aca="false">IF(COUNTIF(raw_data!$A$2:$A$913,A320)&gt;1,"Conflicting Duplicate - Flagged for Review","Unique")</f>
        <v>Unique</v>
      </c>
      <c r="AL320" s="3" t="str">
        <f aca="false">IF(AB320="Refunded","Yes","No")</f>
        <v>No</v>
      </c>
      <c r="AM320" s="3" t="str">
        <f aca="false">IF(OR(AC320&lt;&gt;"Completed",AB320="Failed"),"Excluded","Included")</f>
        <v>Included</v>
      </c>
      <c r="AN320" s="3" t="str">
        <f aca="false">IF(OR(D320="Invalid/Unrecognized",E320="Invalid/Unrecognized",G320="Invalid - Ship Before Order",X320="Negative - Invalid",X320="Above Allowed Range - Invalid",AG320="Mismatch",AH320="Mismatch",AK320="Conflicting Duplicate - Flagged for Review"),"Invalid",IF(OR(L320="Filled - Unknown",S320="Filled - Unknown",X320="Missing - Defaulted to 0",AL320="Yes",AC320="Cancelled",AC320="Returned"),"Warning","Clean"))</f>
        <v>Clean</v>
      </c>
    </row>
    <row r="321" customFormat="false" ht="15" hidden="false" customHeight="false" outlineLevel="0" collapsed="false">
      <c r="A321" s="3" t="str">
        <f aca="false">raw_data!A321</f>
        <v>ORD-2024-10320</v>
      </c>
      <c r="B321" s="4" t="n">
        <f aca="false">IFERROR(IF(MID(raw_data!B321,3,1)="/",DATE(VALUE(RIGHT(raw_data!B321,4)),VALUE(LEFT(raw_data!B321,2)),VALUE(MID(raw_data!B321,4,2))),IF(MID(raw_data!B321,3,1)="-",DATE(VALUE(RIGHT(raw_data!B321,4)),VALUE(MID(raw_data!B321,4,2)),VALUE(LEFT(raw_data!B321,2))),IF(MID(raw_data!B321,5,1)="-",DATE(VALUE(LEFT(raw_data!B321,4)),VALUE(MID(raw_data!B321,6,2)),VALUE(RIGHT(raw_data!B321,2))),DATE(VALUE(RIGHT(raw_data!B321,4)),MATCH(MID(raw_data!B321,4,3),{"Jan","Feb","Mar","Apr","May","Jun","Jul","Aug","Sep","Oct","Nov","Dec"},0),VALUE(LEFT(raw_data!B321,2)))))),"")</f>
        <v>45525</v>
      </c>
      <c r="C321" s="4" t="n">
        <f aca="false">IFERROR(IF(MID(raw_data!C321,3,1)="/",DATE(VALUE(RIGHT(raw_data!C321,4)),VALUE(LEFT(raw_data!C321,2)),VALUE(MID(raw_data!C321,4,2))),IF(MID(raw_data!C321,3,1)="-",DATE(VALUE(RIGHT(raw_data!C321,4)),VALUE(MID(raw_data!C321,4,2)),VALUE(LEFT(raw_data!C321,2))),IF(MID(raw_data!C321,5,1)="-",DATE(VALUE(LEFT(raw_data!C321,4)),VALUE(MID(raw_data!C321,6,2)),VALUE(RIGHT(raw_data!C321,2))),DATE(VALUE(RIGHT(raw_data!C321,4)),MATCH(MID(raw_data!C321,4,3),{"Jan","Feb","Mar","Apr","May","Jun","Jul","Aug","Sep","Oct","Nov","Dec"},0),VALUE(LEFT(raw_data!C321,2)))))),"")</f>
        <v>45529</v>
      </c>
      <c r="D321" s="3" t="str">
        <f aca="false">IF(TRIM(raw_data!B321)="","Missing",IF(B321="","Invalid/Unrecognized","Valid"))</f>
        <v>Valid</v>
      </c>
      <c r="E321" s="3" t="str">
        <f aca="false">IF(TRIM(raw_data!C321)="","Missing",IF(C321="","Invalid/Unrecognized","Valid"))</f>
        <v>Valid</v>
      </c>
      <c r="F321" s="5" t="n">
        <f aca="false">IF(OR(B321="",C321=""),"",C321-B321)</f>
        <v>4</v>
      </c>
      <c r="G321" s="3" t="str">
        <f aca="false">IF(F321="","N/A",IF(F321&lt;0,"Invalid - Ship Before Order","OK"))</f>
        <v>OK</v>
      </c>
      <c r="H321" s="3" t="str">
        <f aca="false">raw_data!D321</f>
        <v>CUST-4589</v>
      </c>
      <c r="I321" s="3" t="str">
        <f aca="false">PROPER(TRIM(raw_data!E321))</f>
        <v>Diya Patel</v>
      </c>
      <c r="J321" s="3" t="str">
        <f aca="false">PROPER(TRIM(raw_data!F321))</f>
        <v>Consumer</v>
      </c>
      <c r="K321" s="3" t="str">
        <f aca="false">IF(TRIM(raw_data!G321)="","Unknown",PROPER(TRIM(raw_data!G321)))</f>
        <v>West</v>
      </c>
      <c r="L321" s="3" t="str">
        <f aca="false">IF(TRIM(raw_data!G321)="","Filled - Unknown","OK")</f>
        <v>OK</v>
      </c>
      <c r="M321" s="3" t="str">
        <f aca="false">PROPER(TRIM(raw_data!H321))</f>
        <v>Gujarat</v>
      </c>
      <c r="N321" s="3" t="str">
        <f aca="false">PROPER(TRIM(raw_data!I321))</f>
        <v>Ahmedabad</v>
      </c>
      <c r="O321" s="3" t="str">
        <f aca="false">PROPER(TRIM(raw_data!J321))</f>
        <v>Office Supplies</v>
      </c>
      <c r="P321" s="3" t="str">
        <f aca="false">PROPER(TRIM(raw_data!K321))</f>
        <v>Binders</v>
      </c>
      <c r="Q321" s="3" t="str">
        <f aca="false">TRIM(raw_data!L321)</f>
        <v>Prime Binders 554</v>
      </c>
      <c r="R321" s="3" t="str">
        <f aca="false">IF(TRIM(raw_data!M321)="","Unknown",PROPER(TRIM(raw_data!M321)))</f>
        <v>First Class</v>
      </c>
      <c r="S321" s="3" t="str">
        <f aca="false">IF(TRIM(raw_data!M321)="","Filled - Unknown","OK")</f>
        <v>OK</v>
      </c>
      <c r="T321" s="6" t="n">
        <f aca="false">raw_data!N321</f>
        <v>1</v>
      </c>
      <c r="U321" s="7" t="n">
        <f aca="false">raw_data!O321</f>
        <v>270.28</v>
      </c>
      <c r="V321" s="8" t="n">
        <f aca="false">raw_data!P321</f>
        <v>0</v>
      </c>
      <c r="W321" s="8" t="n">
        <f aca="false">IF(raw_data!P321="",0,IF(ISTEXT(raw_data!P321),IF(RIGHT(raw_data!P321,1)="%",VALUE(LEFT(raw_data!P321,LEN(raw_data!P321)-1))/100,VALUE(raw_data!P321)),raw_data!P321))</f>
        <v>0</v>
      </c>
      <c r="X321" s="3" t="str">
        <f aca="false">IF(raw_data!P321="","Missing - Defaulted to 0",IF(W321&lt;0,"Negative - Invalid",IF(W321&gt;0.3,"Above Allowed Range - Invalid","Valid")))</f>
        <v>Valid</v>
      </c>
      <c r="Y321" s="7" t="n">
        <f aca="false">raw_data!Q321</f>
        <v>270.28</v>
      </c>
      <c r="Z321" s="7" t="n">
        <f aca="false">raw_data!R321</f>
        <v>156.34</v>
      </c>
      <c r="AA321" s="7" t="n">
        <f aca="false">raw_data!S321</f>
        <v>113.94</v>
      </c>
      <c r="AB321" s="3" t="str">
        <f aca="false">PROPER(TRIM(raw_data!T321))</f>
        <v>Paid</v>
      </c>
      <c r="AC321" s="3" t="str">
        <f aca="false">PROPER(TRIM(raw_data!U321))</f>
        <v>Completed</v>
      </c>
      <c r="AD321" s="7" t="n">
        <f aca="false">T321*U321*(1-W321)</f>
        <v>270.28</v>
      </c>
      <c r="AE321" s="7" t="n">
        <f aca="false">AD321-Z321</f>
        <v>113.94</v>
      </c>
      <c r="AF321" s="8" t="n">
        <f aca="false">IF(AD321=0,0,AE321/AD321)</f>
        <v>0.421562823738345</v>
      </c>
      <c r="AG321" s="3" t="str">
        <f aca="false">IF(ABS(Y321-AD321)&gt;1,"Mismatch","OK")</f>
        <v>OK</v>
      </c>
      <c r="AH321" s="3" t="str">
        <f aca="false">IF(ABS(AA321-AE321)&gt;1,"Mismatch","OK")</f>
        <v>OK</v>
      </c>
      <c r="AI321" s="6" t="n">
        <f aca="false">IF(B321="","",MONTH(B321))</f>
        <v>8</v>
      </c>
      <c r="AJ321" s="6" t="n">
        <f aca="false">IF(B321="","",YEAR(B321))</f>
        <v>2024</v>
      </c>
      <c r="AK321" s="3" t="str">
        <f aca="false">IF(COUNTIF(raw_data!$A$2:$A$913,A321)&gt;1,"Conflicting Duplicate - Flagged for Review","Unique")</f>
        <v>Unique</v>
      </c>
      <c r="AL321" s="3" t="str">
        <f aca="false">IF(AB321="Refunded","Yes","No")</f>
        <v>No</v>
      </c>
      <c r="AM321" s="3" t="str">
        <f aca="false">IF(OR(AC321&lt;&gt;"Completed",AB321="Failed"),"Excluded","Included")</f>
        <v>Included</v>
      </c>
      <c r="AN321" s="3" t="str">
        <f aca="false">IF(OR(D321="Invalid/Unrecognized",E321="Invalid/Unrecognized",G321="Invalid - Ship Before Order",X321="Negative - Invalid",X321="Above Allowed Range - Invalid",AG321="Mismatch",AH321="Mismatch",AK321="Conflicting Duplicate - Flagged for Review"),"Invalid",IF(OR(L321="Filled - Unknown",S321="Filled - Unknown",X321="Missing - Defaulted to 0",AL321="Yes",AC321="Cancelled",AC321="Returned"),"Warning","Clean"))</f>
        <v>Clean</v>
      </c>
    </row>
    <row r="322" customFormat="false" ht="15" hidden="false" customHeight="false" outlineLevel="0" collapsed="false">
      <c r="A322" s="3" t="str">
        <f aca="false">raw_data!A322</f>
        <v>ORD-2024-10321</v>
      </c>
      <c r="B322" s="4" t="n">
        <f aca="false">IFERROR(IF(MID(raw_data!B322,3,1)="/",DATE(VALUE(RIGHT(raw_data!B322,4)),VALUE(LEFT(raw_data!B322,2)),VALUE(MID(raw_data!B322,4,2))),IF(MID(raw_data!B322,3,1)="-",DATE(VALUE(RIGHT(raw_data!B322,4)),VALUE(MID(raw_data!B322,4,2)),VALUE(LEFT(raw_data!B322,2))),IF(MID(raw_data!B322,5,1)="-",DATE(VALUE(LEFT(raw_data!B322,4)),VALUE(MID(raw_data!B322,6,2)),VALUE(RIGHT(raw_data!B322,2))),DATE(VALUE(RIGHT(raw_data!B322,4)),MATCH(MID(raw_data!B322,4,3),{"Jan","Feb","Mar","Apr","May","Jun","Jul","Aug","Sep","Oct","Nov","Dec"},0),VALUE(LEFT(raw_data!B322,2)))))),"")</f>
        <v>45630</v>
      </c>
      <c r="C322" s="4" t="n">
        <f aca="false">IFERROR(IF(MID(raw_data!C322,3,1)="/",DATE(VALUE(RIGHT(raw_data!C322,4)),VALUE(LEFT(raw_data!C322,2)),VALUE(MID(raw_data!C322,4,2))),IF(MID(raw_data!C322,3,1)="-",DATE(VALUE(RIGHT(raw_data!C322,4)),VALUE(MID(raw_data!C322,4,2)),VALUE(LEFT(raw_data!C322,2))),IF(MID(raw_data!C322,5,1)="-",DATE(VALUE(LEFT(raw_data!C322,4)),VALUE(MID(raw_data!C322,6,2)),VALUE(RIGHT(raw_data!C322,2))),DATE(VALUE(RIGHT(raw_data!C322,4)),MATCH(MID(raw_data!C322,4,3),{"Jan","Feb","Mar","Apr","May","Jun","Jul","Aug","Sep","Oct","Nov","Dec"},0),VALUE(LEFT(raw_data!C322,2)))))),"")</f>
        <v>45632</v>
      </c>
      <c r="D322" s="3" t="str">
        <f aca="false">IF(TRIM(raw_data!B322)="","Missing",IF(B322="","Invalid/Unrecognized","Valid"))</f>
        <v>Valid</v>
      </c>
      <c r="E322" s="3" t="str">
        <f aca="false">IF(TRIM(raw_data!C322)="","Missing",IF(C322="","Invalid/Unrecognized","Valid"))</f>
        <v>Valid</v>
      </c>
      <c r="F322" s="5" t="n">
        <f aca="false">IF(OR(B322="",C322=""),"",C322-B322)</f>
        <v>2</v>
      </c>
      <c r="G322" s="3" t="str">
        <f aca="false">IF(F322="","N/A",IF(F322&lt;0,"Invalid - Ship Before Order","OK"))</f>
        <v>OK</v>
      </c>
      <c r="H322" s="3" t="str">
        <f aca="false">raw_data!D322</f>
        <v>CUST-4667</v>
      </c>
      <c r="I322" s="3" t="str">
        <f aca="false">PROPER(TRIM(raw_data!E322))</f>
        <v>Aarav Sharma</v>
      </c>
      <c r="J322" s="3" t="str">
        <f aca="false">PROPER(TRIM(raw_data!F322))</f>
        <v>Home Office</v>
      </c>
      <c r="K322" s="3" t="str">
        <f aca="false">IF(TRIM(raw_data!G322)="","Unknown",PROPER(TRIM(raw_data!G322)))</f>
        <v>East</v>
      </c>
      <c r="L322" s="3" t="str">
        <f aca="false">IF(TRIM(raw_data!G322)="","Filled - Unknown","OK")</f>
        <v>OK</v>
      </c>
      <c r="M322" s="3" t="str">
        <f aca="false">PROPER(TRIM(raw_data!H322))</f>
        <v>West Bengal</v>
      </c>
      <c r="N322" s="3" t="str">
        <f aca="false">PROPER(TRIM(raw_data!I322))</f>
        <v>Kolkata</v>
      </c>
      <c r="O322" s="3" t="str">
        <f aca="false">PROPER(TRIM(raw_data!J322))</f>
        <v>Office Supplies</v>
      </c>
      <c r="P322" s="3" t="str">
        <f aca="false">PROPER(TRIM(raw_data!K322))</f>
        <v>Art</v>
      </c>
      <c r="Q322" s="3" t="str">
        <f aca="false">TRIM(raw_data!L322)</f>
        <v>Classic Art 299</v>
      </c>
      <c r="R322" s="3" t="str">
        <f aca="false">IF(TRIM(raw_data!M322)="","Unknown",PROPER(TRIM(raw_data!M322)))</f>
        <v>Second Class</v>
      </c>
      <c r="S322" s="3" t="str">
        <f aca="false">IF(TRIM(raw_data!M322)="","Filled - Unknown","OK")</f>
        <v>OK</v>
      </c>
      <c r="T322" s="6" t="n">
        <f aca="false">raw_data!N322</f>
        <v>3</v>
      </c>
      <c r="U322" s="7" t="n">
        <f aca="false">raw_data!O322</f>
        <v>876.14</v>
      </c>
      <c r="V322" s="8" t="str">
        <f aca="false">raw_data!P322</f>
        <v>70%</v>
      </c>
      <c r="W322" s="8" t="n">
        <f aca="false">IF(raw_data!P322="",0,IF(ISTEXT(raw_data!P322),IF(RIGHT(raw_data!P322,1)="%",VALUE(LEFT(raw_data!P322,LEN(raw_data!P322)-1))/100,VALUE(raw_data!P322)),raw_data!P322))</f>
        <v>0.7</v>
      </c>
      <c r="X322" s="3" t="str">
        <f aca="false">IF(raw_data!P322="","Missing - Defaulted to 0",IF(W322&lt;0,"Negative - Invalid",IF(W322&gt;0.3,"Above Allowed Range - Invalid","Valid")))</f>
        <v>Above Allowed Range - Invalid</v>
      </c>
      <c r="Y322" s="7" t="n">
        <f aca="false">raw_data!Q322</f>
        <v>2628.42</v>
      </c>
      <c r="Z322" s="7" t="n">
        <f aca="false">raw_data!R322</f>
        <v>1541.54</v>
      </c>
      <c r="AA322" s="7" t="n">
        <f aca="false">raw_data!S322</f>
        <v>1086.88</v>
      </c>
      <c r="AB322" s="3" t="str">
        <f aca="false">PROPER(TRIM(raw_data!T322))</f>
        <v>Pending</v>
      </c>
      <c r="AC322" s="3" t="str">
        <f aca="false">PROPER(TRIM(raw_data!U322))</f>
        <v>Returned</v>
      </c>
      <c r="AD322" s="7" t="n">
        <f aca="false">T322*U322*(1-W322)</f>
        <v>788.526</v>
      </c>
      <c r="AE322" s="7" t="n">
        <f aca="false">AD322-Z322</f>
        <v>-753.014</v>
      </c>
      <c r="AF322" s="8" t="n">
        <f aca="false">IF(AD322=0,0,AE322/AD322)</f>
        <v>-0.954964072205608</v>
      </c>
      <c r="AG322" s="3" t="str">
        <f aca="false">IF(ABS(Y322-AD322)&gt;1,"Mismatch","OK")</f>
        <v>Mismatch</v>
      </c>
      <c r="AH322" s="3" t="str">
        <f aca="false">IF(ABS(AA322-AE322)&gt;1,"Mismatch","OK")</f>
        <v>Mismatch</v>
      </c>
      <c r="AI322" s="6" t="n">
        <f aca="false">IF(B322="","",MONTH(B322))</f>
        <v>12</v>
      </c>
      <c r="AJ322" s="6" t="n">
        <f aca="false">IF(B322="","",YEAR(B322))</f>
        <v>2024</v>
      </c>
      <c r="AK322" s="3" t="str">
        <f aca="false">IF(COUNTIF(raw_data!$A$2:$A$913,A322)&gt;1,"Conflicting Duplicate - Flagged for Review","Unique")</f>
        <v>Unique</v>
      </c>
      <c r="AL322" s="3" t="str">
        <f aca="false">IF(AB322="Refunded","Yes","No")</f>
        <v>No</v>
      </c>
      <c r="AM322" s="3" t="str">
        <f aca="false">IF(OR(AC322&lt;&gt;"Completed",AB322="Failed"),"Excluded","Included")</f>
        <v>Excluded</v>
      </c>
      <c r="AN322" s="3" t="str">
        <f aca="false">IF(OR(D322="Invalid/Unrecognized",E322="Invalid/Unrecognized",G322="Invalid - Ship Before Order",X322="Negative - Invalid",X322="Above Allowed Range - Invalid",AG322="Mismatch",AH322="Mismatch",AK322="Conflicting Duplicate - Flagged for Review"),"Invalid",IF(OR(L322="Filled - Unknown",S322="Filled - Unknown",X322="Missing - Defaulted to 0",AL322="Yes",AC322="Cancelled",AC322="Returned"),"Warning","Clean"))</f>
        <v>Invalid</v>
      </c>
    </row>
    <row r="323" customFormat="false" ht="15" hidden="false" customHeight="false" outlineLevel="0" collapsed="false">
      <c r="A323" s="3" t="str">
        <f aca="false">raw_data!A323</f>
        <v>ORD-2024-10322</v>
      </c>
      <c r="B323" s="4" t="n">
        <f aca="false">IFERROR(IF(MID(raw_data!B323,3,1)="/",DATE(VALUE(RIGHT(raw_data!B323,4)),VALUE(LEFT(raw_data!B323,2)),VALUE(MID(raw_data!B323,4,2))),IF(MID(raw_data!B323,3,1)="-",DATE(VALUE(RIGHT(raw_data!B323,4)),VALUE(MID(raw_data!B323,4,2)),VALUE(LEFT(raw_data!B323,2))),IF(MID(raw_data!B323,5,1)="-",DATE(VALUE(LEFT(raw_data!B323,4)),VALUE(MID(raw_data!B323,6,2)),VALUE(RIGHT(raw_data!B323,2))),DATE(VALUE(RIGHT(raw_data!B323,4)),MATCH(MID(raw_data!B323,4,3),{"Jan","Feb","Mar","Apr","May","Jun","Jul","Aug","Sep","Oct","Nov","Dec"},0),VALUE(LEFT(raw_data!B323,2)))))),"")</f>
        <v>45466</v>
      </c>
      <c r="C323" s="4" t="n">
        <f aca="false">IFERROR(IF(MID(raw_data!C323,3,1)="/",DATE(VALUE(RIGHT(raw_data!C323,4)),VALUE(LEFT(raw_data!C323,2)),VALUE(MID(raw_data!C323,4,2))),IF(MID(raw_data!C323,3,1)="-",DATE(VALUE(RIGHT(raw_data!C323,4)),VALUE(MID(raw_data!C323,4,2)),VALUE(LEFT(raw_data!C323,2))),IF(MID(raw_data!C323,5,1)="-",DATE(VALUE(LEFT(raw_data!C323,4)),VALUE(MID(raw_data!C323,6,2)),VALUE(RIGHT(raw_data!C323,2))),DATE(VALUE(RIGHT(raw_data!C323,4)),MATCH(MID(raw_data!C323,4,3),{"Jan","Feb","Mar","Apr","May","Jun","Jul","Aug","Sep","Oct","Nov","Dec"},0),VALUE(LEFT(raw_data!C323,2)))))),"")</f>
        <v>45473</v>
      </c>
      <c r="D323" s="3" t="str">
        <f aca="false">IF(TRIM(raw_data!B323)="","Missing",IF(B323="","Invalid/Unrecognized","Valid"))</f>
        <v>Valid</v>
      </c>
      <c r="E323" s="3" t="str">
        <f aca="false">IF(TRIM(raw_data!C323)="","Missing",IF(C323="","Invalid/Unrecognized","Valid"))</f>
        <v>Valid</v>
      </c>
      <c r="F323" s="5" t="n">
        <f aca="false">IF(OR(B323="",C323=""),"",C323-B323)</f>
        <v>7</v>
      </c>
      <c r="G323" s="3" t="str">
        <f aca="false">IF(F323="","N/A",IF(F323&lt;0,"Invalid - Ship Before Order","OK"))</f>
        <v>OK</v>
      </c>
      <c r="H323" s="3" t="str">
        <f aca="false">raw_data!D323</f>
        <v>CUST-7821</v>
      </c>
      <c r="I323" s="3" t="str">
        <f aca="false">PROPER(TRIM(raw_data!E323))</f>
        <v>Neha Gupta</v>
      </c>
      <c r="J323" s="3" t="str">
        <f aca="false">PROPER(TRIM(raw_data!F323))</f>
        <v>Small Business</v>
      </c>
      <c r="K323" s="3" t="str">
        <f aca="false">IF(TRIM(raw_data!G323)="","Unknown",PROPER(TRIM(raw_data!G323)))</f>
        <v>West</v>
      </c>
      <c r="L323" s="3" t="str">
        <f aca="false">IF(TRIM(raw_data!G323)="","Filled - Unknown","OK")</f>
        <v>OK</v>
      </c>
      <c r="M323" s="3" t="str">
        <f aca="false">PROPER(TRIM(raw_data!H323))</f>
        <v>Goa</v>
      </c>
      <c r="N323" s="3" t="str">
        <f aca="false">PROPER(TRIM(raw_data!I323))</f>
        <v>Panaji</v>
      </c>
      <c r="O323" s="3" t="str">
        <f aca="false">PROPER(TRIM(raw_data!J323))</f>
        <v>Technology</v>
      </c>
      <c r="P323" s="3" t="str">
        <f aca="false">PROPER(TRIM(raw_data!K323))</f>
        <v>Accessories</v>
      </c>
      <c r="Q323" s="3" t="str">
        <f aca="false">TRIM(raw_data!L323)</f>
        <v>Eco Accessories 220</v>
      </c>
      <c r="R323" s="3" t="str">
        <f aca="false">IF(TRIM(raw_data!M323)="","Unknown",PROPER(TRIM(raw_data!M323)))</f>
        <v>Same Day</v>
      </c>
      <c r="S323" s="3" t="str">
        <f aca="false">IF(TRIM(raw_data!M323)="","Filled - Unknown","OK")</f>
        <v>OK</v>
      </c>
      <c r="T323" s="6" t="n">
        <f aca="false">raw_data!N323</f>
        <v>4</v>
      </c>
      <c r="U323" s="7" t="n">
        <f aca="false">raw_data!O323</f>
        <v>674.82</v>
      </c>
      <c r="V323" s="8" t="n">
        <f aca="false">raw_data!P323</f>
        <v>0</v>
      </c>
      <c r="W323" s="8" t="n">
        <f aca="false">IF(raw_data!P323="",0,IF(ISTEXT(raw_data!P323),IF(RIGHT(raw_data!P323,1)="%",VALUE(LEFT(raw_data!P323,LEN(raw_data!P323)-1))/100,VALUE(raw_data!P323)),raw_data!P323))</f>
        <v>0</v>
      </c>
      <c r="X323" s="3" t="str">
        <f aca="false">IF(raw_data!P323="","Missing - Defaulted to 0",IF(W323&lt;0,"Negative - Invalid",IF(W323&gt;0.3,"Above Allowed Range - Invalid","Valid")))</f>
        <v>Valid</v>
      </c>
      <c r="Y323" s="7" t="n">
        <f aca="false">raw_data!Q323</f>
        <v>2699.28</v>
      </c>
      <c r="Z323" s="7" t="n">
        <f aca="false">raw_data!R323</f>
        <v>1759.76</v>
      </c>
      <c r="AA323" s="7" t="n">
        <f aca="false">raw_data!S323</f>
        <v>939.52</v>
      </c>
      <c r="AB323" s="3" t="str">
        <f aca="false">PROPER(TRIM(raw_data!T323))</f>
        <v>Failed</v>
      </c>
      <c r="AC323" s="3" t="str">
        <f aca="false">PROPER(TRIM(raw_data!U323))</f>
        <v>Cancelled</v>
      </c>
      <c r="AD323" s="7" t="n">
        <f aca="false">T323*U323*(1-W323)</f>
        <v>2699.28</v>
      </c>
      <c r="AE323" s="7" t="n">
        <f aca="false">AD323-Z323</f>
        <v>939.52</v>
      </c>
      <c r="AF323" s="8" t="n">
        <f aca="false">IF(AD323=0,0,AE323/AD323)</f>
        <v>0.348063187220296</v>
      </c>
      <c r="AG323" s="3" t="str">
        <f aca="false">IF(ABS(Y323-AD323)&gt;1,"Mismatch","OK")</f>
        <v>OK</v>
      </c>
      <c r="AH323" s="3" t="str">
        <f aca="false">IF(ABS(AA323-AE323)&gt;1,"Mismatch","OK")</f>
        <v>OK</v>
      </c>
      <c r="AI323" s="6" t="n">
        <f aca="false">IF(B323="","",MONTH(B323))</f>
        <v>6</v>
      </c>
      <c r="AJ323" s="6" t="n">
        <f aca="false">IF(B323="","",YEAR(B323))</f>
        <v>2024</v>
      </c>
      <c r="AK323" s="3" t="str">
        <f aca="false">IF(COUNTIF(raw_data!$A$2:$A$913,A323)&gt;1,"Conflicting Duplicate - Flagged for Review","Unique")</f>
        <v>Unique</v>
      </c>
      <c r="AL323" s="3" t="str">
        <f aca="false">IF(AB323="Refunded","Yes","No")</f>
        <v>No</v>
      </c>
      <c r="AM323" s="3" t="str">
        <f aca="false">IF(OR(AC323&lt;&gt;"Completed",AB323="Failed"),"Excluded","Included")</f>
        <v>Excluded</v>
      </c>
      <c r="AN323" s="3" t="str">
        <f aca="false">IF(OR(D323="Invalid/Unrecognized",E323="Invalid/Unrecognized",G323="Invalid - Ship Before Order",X323="Negative - Invalid",X323="Above Allowed Range - Invalid",AG323="Mismatch",AH323="Mismatch",AK323="Conflicting Duplicate - Flagged for Review"),"Invalid",IF(OR(L323="Filled - Unknown",S323="Filled - Unknown",X323="Missing - Defaulted to 0",AL323="Yes",AC323="Cancelled",AC323="Returned"),"Warning","Clean"))</f>
        <v>Warning</v>
      </c>
    </row>
    <row r="324" customFormat="false" ht="15" hidden="false" customHeight="false" outlineLevel="0" collapsed="false">
      <c r="A324" s="3" t="str">
        <f aca="false">raw_data!A324</f>
        <v>ORD-2024-10323</v>
      </c>
      <c r="B324" s="4" t="n">
        <f aca="false">IFERROR(IF(MID(raw_data!B324,3,1)="/",DATE(VALUE(RIGHT(raw_data!B324,4)),VALUE(LEFT(raw_data!B324,2)),VALUE(MID(raw_data!B324,4,2))),IF(MID(raw_data!B324,3,1)="-",DATE(VALUE(RIGHT(raw_data!B324,4)),VALUE(MID(raw_data!B324,4,2)),VALUE(LEFT(raw_data!B324,2))),IF(MID(raw_data!B324,5,1)="-",DATE(VALUE(LEFT(raw_data!B324,4)),VALUE(MID(raw_data!B324,6,2)),VALUE(RIGHT(raw_data!B324,2))),DATE(VALUE(RIGHT(raw_data!B324,4)),MATCH(MID(raw_data!B324,4,3),{"Jan","Feb","Mar","Apr","May","Jun","Jul","Aug","Sep","Oct","Nov","Dec"},0),VALUE(LEFT(raw_data!B324,2)))))),"")</f>
        <v>45608</v>
      </c>
      <c r="C324" s="4" t="n">
        <f aca="false">IFERROR(IF(MID(raw_data!C324,3,1)="/",DATE(VALUE(RIGHT(raw_data!C324,4)),VALUE(LEFT(raw_data!C324,2)),VALUE(MID(raw_data!C324,4,2))),IF(MID(raw_data!C324,3,1)="-",DATE(VALUE(RIGHT(raw_data!C324,4)),VALUE(MID(raw_data!C324,4,2)),VALUE(LEFT(raw_data!C324,2))),IF(MID(raw_data!C324,5,1)="-",DATE(VALUE(LEFT(raw_data!C324,4)),VALUE(MID(raw_data!C324,6,2)),VALUE(RIGHT(raw_data!C324,2))),DATE(VALUE(RIGHT(raw_data!C324,4)),MATCH(MID(raw_data!C324,4,3),{"Jan","Feb","Mar","Apr","May","Jun","Jul","Aug","Sep","Oct","Nov","Dec"},0),VALUE(LEFT(raw_data!C324,2)))))),"")</f>
        <v>45608</v>
      </c>
      <c r="D324" s="3" t="str">
        <f aca="false">IF(TRIM(raw_data!B324)="","Missing",IF(B324="","Invalid/Unrecognized","Valid"))</f>
        <v>Valid</v>
      </c>
      <c r="E324" s="3" t="str">
        <f aca="false">IF(TRIM(raw_data!C324)="","Missing",IF(C324="","Invalid/Unrecognized","Valid"))</f>
        <v>Valid</v>
      </c>
      <c r="F324" s="5" t="n">
        <f aca="false">IF(OR(B324="",C324=""),"",C324-B324)</f>
        <v>0</v>
      </c>
      <c r="G324" s="3" t="str">
        <f aca="false">IF(F324="","N/A",IF(F324&lt;0,"Invalid - Ship Before Order","OK"))</f>
        <v>OK</v>
      </c>
      <c r="H324" s="3" t="str">
        <f aca="false">raw_data!D324</f>
        <v>CUST-8579</v>
      </c>
      <c r="I324" s="3" t="str">
        <f aca="false">PROPER(TRIM(raw_data!E324))</f>
        <v>Isha Nair</v>
      </c>
      <c r="J324" s="3" t="str">
        <f aca="false">PROPER(TRIM(raw_data!F324))</f>
        <v>Consumer</v>
      </c>
      <c r="K324" s="3" t="str">
        <f aca="false">IF(TRIM(raw_data!G324)="","Unknown",PROPER(TRIM(raw_data!G324)))</f>
        <v>North</v>
      </c>
      <c r="L324" s="3" t="str">
        <f aca="false">IF(TRIM(raw_data!G324)="","Filled - Unknown","OK")</f>
        <v>OK</v>
      </c>
      <c r="M324" s="3" t="str">
        <f aca="false">PROPER(TRIM(raw_data!H324))</f>
        <v>Uttar Pradesh</v>
      </c>
      <c r="N324" s="3" t="str">
        <f aca="false">PROPER(TRIM(raw_data!I324))</f>
        <v>Noida</v>
      </c>
      <c r="O324" s="3" t="str">
        <f aca="false">PROPER(TRIM(raw_data!J324))</f>
        <v>Technology</v>
      </c>
      <c r="P324" s="3" t="str">
        <f aca="false">PROPER(TRIM(raw_data!K324))</f>
        <v>Phones</v>
      </c>
      <c r="Q324" s="3" t="str">
        <f aca="false">TRIM(raw_data!L324)</f>
        <v>Max Phones 422</v>
      </c>
      <c r="R324" s="3" t="str">
        <f aca="false">IF(TRIM(raw_data!M324)="","Unknown",PROPER(TRIM(raw_data!M324)))</f>
        <v>Second Class</v>
      </c>
      <c r="S324" s="3" t="str">
        <f aca="false">IF(TRIM(raw_data!M324)="","Filled - Unknown","OK")</f>
        <v>OK</v>
      </c>
      <c r="T324" s="6" t="n">
        <f aca="false">raw_data!N324</f>
        <v>6</v>
      </c>
      <c r="U324" s="7" t="n">
        <f aca="false">raw_data!O324</f>
        <v>1369.48</v>
      </c>
      <c r="V324" s="8" t="n">
        <f aca="false">raw_data!P324</f>
        <v>0.15</v>
      </c>
      <c r="W324" s="8" t="n">
        <f aca="false">IF(raw_data!P324="",0,IF(ISTEXT(raw_data!P324),IF(RIGHT(raw_data!P324,1)="%",VALUE(LEFT(raw_data!P324,LEN(raw_data!P324)-1))/100,VALUE(raw_data!P324)),raw_data!P324))</f>
        <v>0.15</v>
      </c>
      <c r="X324" s="3" t="str">
        <f aca="false">IF(raw_data!P324="","Missing - Defaulted to 0",IF(W324&lt;0,"Negative - Invalid",IF(W324&gt;0.3,"Above Allowed Range - Invalid","Valid")))</f>
        <v>Valid</v>
      </c>
      <c r="Y324" s="7" t="n">
        <f aca="false">raw_data!Q324</f>
        <v>6984.35</v>
      </c>
      <c r="Z324" s="7" t="n">
        <f aca="false">raw_data!R324</f>
        <v>4023.63</v>
      </c>
      <c r="AA324" s="7" t="n">
        <f aca="false">raw_data!S324</f>
        <v>2960.72</v>
      </c>
      <c r="AB324" s="3" t="str">
        <f aca="false">PROPER(TRIM(raw_data!T324))</f>
        <v>Paid</v>
      </c>
      <c r="AC324" s="3" t="str">
        <f aca="false">PROPER(TRIM(raw_data!U324))</f>
        <v>Completed</v>
      </c>
      <c r="AD324" s="7" t="n">
        <f aca="false">T324*U324*(1-W324)</f>
        <v>6984.348</v>
      </c>
      <c r="AE324" s="7" t="n">
        <f aca="false">AD324-Z324</f>
        <v>2960.718</v>
      </c>
      <c r="AF324" s="8" t="n">
        <f aca="false">IF(AD324=0,0,AE324/AD324)</f>
        <v>0.423907571615847</v>
      </c>
      <c r="AG324" s="3" t="str">
        <f aca="false">IF(ABS(Y324-AD324)&gt;1,"Mismatch","OK")</f>
        <v>OK</v>
      </c>
      <c r="AH324" s="3" t="str">
        <f aca="false">IF(ABS(AA324-AE324)&gt;1,"Mismatch","OK")</f>
        <v>OK</v>
      </c>
      <c r="AI324" s="6" t="n">
        <f aca="false">IF(B324="","",MONTH(B324))</f>
        <v>11</v>
      </c>
      <c r="AJ324" s="6" t="n">
        <f aca="false">IF(B324="","",YEAR(B324))</f>
        <v>2024</v>
      </c>
      <c r="AK324" s="3" t="str">
        <f aca="false">IF(COUNTIF(raw_data!$A$2:$A$913,A324)&gt;1,"Conflicting Duplicate - Flagged for Review","Unique")</f>
        <v>Unique</v>
      </c>
      <c r="AL324" s="3" t="str">
        <f aca="false">IF(AB324="Refunded","Yes","No")</f>
        <v>No</v>
      </c>
      <c r="AM324" s="3" t="str">
        <f aca="false">IF(OR(AC324&lt;&gt;"Completed",AB324="Failed"),"Excluded","Included")</f>
        <v>Included</v>
      </c>
      <c r="AN324" s="3" t="str">
        <f aca="false">IF(OR(D324="Invalid/Unrecognized",E324="Invalid/Unrecognized",G324="Invalid - Ship Before Order",X324="Negative - Invalid",X324="Above Allowed Range - Invalid",AG324="Mismatch",AH324="Mismatch",AK324="Conflicting Duplicate - Flagged for Review"),"Invalid",IF(OR(L324="Filled - Unknown",S324="Filled - Unknown",X324="Missing - Defaulted to 0",AL324="Yes",AC324="Cancelled",AC324="Returned"),"Warning","Clean"))</f>
        <v>Clean</v>
      </c>
    </row>
    <row r="325" customFormat="false" ht="15" hidden="false" customHeight="false" outlineLevel="0" collapsed="false">
      <c r="A325" s="3" t="str">
        <f aca="false">raw_data!A325</f>
        <v>ORD-2024-10324</v>
      </c>
      <c r="B325" s="4" t="n">
        <f aca="false">IFERROR(IF(MID(raw_data!B325,3,1)="/",DATE(VALUE(RIGHT(raw_data!B325,4)),VALUE(LEFT(raw_data!B325,2)),VALUE(MID(raw_data!B325,4,2))),IF(MID(raw_data!B325,3,1)="-",DATE(VALUE(RIGHT(raw_data!B325,4)),VALUE(MID(raw_data!B325,4,2)),VALUE(LEFT(raw_data!B325,2))),IF(MID(raw_data!B325,5,1)="-",DATE(VALUE(LEFT(raw_data!B325,4)),VALUE(MID(raw_data!B325,6,2)),VALUE(RIGHT(raw_data!B325,2))),DATE(VALUE(RIGHT(raw_data!B325,4)),MATCH(MID(raw_data!B325,4,3),{"Jan","Feb","Mar","Apr","May","Jun","Jul","Aug","Sep","Oct","Nov","Dec"},0),VALUE(LEFT(raw_data!B325,2)))))),"")</f>
        <v>45347</v>
      </c>
      <c r="C325" s="4" t="n">
        <f aca="false">IFERROR(IF(MID(raw_data!C325,3,1)="/",DATE(VALUE(RIGHT(raw_data!C325,4)),VALUE(LEFT(raw_data!C325,2)),VALUE(MID(raw_data!C325,4,2))),IF(MID(raw_data!C325,3,1)="-",DATE(VALUE(RIGHT(raw_data!C325,4)),VALUE(MID(raw_data!C325,4,2)),VALUE(LEFT(raw_data!C325,2))),IF(MID(raw_data!C325,5,1)="-",DATE(VALUE(LEFT(raw_data!C325,4)),VALUE(MID(raw_data!C325,6,2)),VALUE(RIGHT(raw_data!C325,2))),DATE(VALUE(RIGHT(raw_data!C325,4)),MATCH(MID(raw_data!C325,4,3),{"Jan","Feb","Mar","Apr","May","Jun","Jul","Aug","Sep","Oct","Nov","Dec"},0),VALUE(LEFT(raw_data!C325,2)))))),"")</f>
        <v>45351</v>
      </c>
      <c r="D325" s="3" t="str">
        <f aca="false">IF(TRIM(raw_data!B325)="","Missing",IF(B325="","Invalid/Unrecognized","Valid"))</f>
        <v>Valid</v>
      </c>
      <c r="E325" s="3" t="str">
        <f aca="false">IF(TRIM(raw_data!C325)="","Missing",IF(C325="","Invalid/Unrecognized","Valid"))</f>
        <v>Valid</v>
      </c>
      <c r="F325" s="5" t="n">
        <f aca="false">IF(OR(B325="",C325=""),"",C325-B325)</f>
        <v>4</v>
      </c>
      <c r="G325" s="3" t="str">
        <f aca="false">IF(F325="","N/A",IF(F325&lt;0,"Invalid - Ship Before Order","OK"))</f>
        <v>OK</v>
      </c>
      <c r="H325" s="3" t="str">
        <f aca="false">raw_data!D325</f>
        <v>CUST-6909</v>
      </c>
      <c r="I325" s="3" t="str">
        <f aca="false">PROPER(TRIM(raw_data!E325))</f>
        <v>Isha Nair</v>
      </c>
      <c r="J325" s="3" t="str">
        <f aca="false">PROPER(TRIM(raw_data!F325))</f>
        <v>Small Business</v>
      </c>
      <c r="K325" s="3" t="str">
        <f aca="false">IF(TRIM(raw_data!G325)="","Unknown",PROPER(TRIM(raw_data!G325)))</f>
        <v>West</v>
      </c>
      <c r="L325" s="3" t="str">
        <f aca="false">IF(TRIM(raw_data!G325)="","Filled - Unknown","OK")</f>
        <v>OK</v>
      </c>
      <c r="M325" s="3" t="str">
        <f aca="false">PROPER(TRIM(raw_data!H325))</f>
        <v>Goa</v>
      </c>
      <c r="N325" s="3" t="str">
        <f aca="false">PROPER(TRIM(raw_data!I325))</f>
        <v>Panaji</v>
      </c>
      <c r="O325" s="3" t="str">
        <f aca="false">PROPER(TRIM(raw_data!J325))</f>
        <v>Furniture</v>
      </c>
      <c r="P325" s="3" t="str">
        <f aca="false">PROPER(TRIM(raw_data!K325))</f>
        <v>Furnishings</v>
      </c>
      <c r="Q325" s="3" t="str">
        <f aca="false">TRIM(raw_data!L325)</f>
        <v>Eco Furnishings 897</v>
      </c>
      <c r="R325" s="3" t="str">
        <f aca="false">IF(TRIM(raw_data!M325)="","Unknown",PROPER(TRIM(raw_data!M325)))</f>
        <v>Standard Class</v>
      </c>
      <c r="S325" s="3" t="str">
        <f aca="false">IF(TRIM(raw_data!M325)="","Filled - Unknown","OK")</f>
        <v>OK</v>
      </c>
      <c r="T325" s="6" t="n">
        <f aca="false">raw_data!N325</f>
        <v>9</v>
      </c>
      <c r="U325" s="7" t="n">
        <f aca="false">raw_data!O325</f>
        <v>1331.46</v>
      </c>
      <c r="V325" s="8" t="n">
        <f aca="false">raw_data!P325</f>
        <v>0.15</v>
      </c>
      <c r="W325" s="8" t="n">
        <f aca="false">IF(raw_data!P325="",0,IF(ISTEXT(raw_data!P325),IF(RIGHT(raw_data!P325,1)="%",VALUE(LEFT(raw_data!P325,LEN(raw_data!P325)-1))/100,VALUE(raw_data!P325)),raw_data!P325))</f>
        <v>0.15</v>
      </c>
      <c r="X325" s="3" t="str">
        <f aca="false">IF(raw_data!P325="","Missing - Defaulted to 0",IF(W325&lt;0,"Negative - Invalid",IF(W325&gt;0.3,"Above Allowed Range - Invalid","Valid")))</f>
        <v>Valid</v>
      </c>
      <c r="Y325" s="7" t="n">
        <f aca="false">raw_data!Q325</f>
        <v>10185.67</v>
      </c>
      <c r="Z325" s="7" t="n">
        <f aca="false">raw_data!R325</f>
        <v>6479.31</v>
      </c>
      <c r="AA325" s="7" t="n">
        <f aca="false">raw_data!S325</f>
        <v>3706.36</v>
      </c>
      <c r="AB325" s="3" t="str">
        <f aca="false">PROPER(TRIM(raw_data!T325))</f>
        <v>Paid</v>
      </c>
      <c r="AC325" s="3" t="str">
        <f aca="false">PROPER(TRIM(raw_data!U325))</f>
        <v>Completed</v>
      </c>
      <c r="AD325" s="7" t="n">
        <f aca="false">T325*U325*(1-W325)</f>
        <v>10185.669</v>
      </c>
      <c r="AE325" s="7" t="n">
        <f aca="false">AD325-Z325</f>
        <v>3706.359</v>
      </c>
      <c r="AF325" s="8" t="n">
        <f aca="false">IF(AD325=0,0,AE325/AD325)</f>
        <v>0.363879780503372</v>
      </c>
      <c r="AG325" s="3" t="str">
        <f aca="false">IF(ABS(Y325-AD325)&gt;1,"Mismatch","OK")</f>
        <v>OK</v>
      </c>
      <c r="AH325" s="3" t="str">
        <f aca="false">IF(ABS(AA325-AE325)&gt;1,"Mismatch","OK")</f>
        <v>OK</v>
      </c>
      <c r="AI325" s="6" t="n">
        <f aca="false">IF(B325="","",MONTH(B325))</f>
        <v>2</v>
      </c>
      <c r="AJ325" s="6" t="n">
        <f aca="false">IF(B325="","",YEAR(B325))</f>
        <v>2024</v>
      </c>
      <c r="AK325" s="3" t="str">
        <f aca="false">IF(COUNTIF(raw_data!$A$2:$A$913,A325)&gt;1,"Conflicting Duplicate - Flagged for Review","Unique")</f>
        <v>Unique</v>
      </c>
      <c r="AL325" s="3" t="str">
        <f aca="false">IF(AB325="Refunded","Yes","No")</f>
        <v>No</v>
      </c>
      <c r="AM325" s="3" t="str">
        <f aca="false">IF(OR(AC325&lt;&gt;"Completed",AB325="Failed"),"Excluded","Included")</f>
        <v>Included</v>
      </c>
      <c r="AN325" s="3" t="str">
        <f aca="false">IF(OR(D325="Invalid/Unrecognized",E325="Invalid/Unrecognized",G325="Invalid - Ship Before Order",X325="Negative - Invalid",X325="Above Allowed Range - Invalid",AG325="Mismatch",AH325="Mismatch",AK325="Conflicting Duplicate - Flagged for Review"),"Invalid",IF(OR(L325="Filled - Unknown",S325="Filled - Unknown",X325="Missing - Defaulted to 0",AL325="Yes",AC325="Cancelled",AC325="Returned"),"Warning","Clean"))</f>
        <v>Clean</v>
      </c>
    </row>
    <row r="326" customFormat="false" ht="15" hidden="false" customHeight="false" outlineLevel="0" collapsed="false">
      <c r="A326" s="3" t="str">
        <f aca="false">raw_data!A326</f>
        <v>ORD-2025-10325</v>
      </c>
      <c r="B326" s="4" t="n">
        <f aca="false">IFERROR(IF(MID(raw_data!B326,3,1)="/",DATE(VALUE(RIGHT(raw_data!B326,4)),VALUE(LEFT(raw_data!B326,2)),VALUE(MID(raw_data!B326,4,2))),IF(MID(raw_data!B326,3,1)="-",DATE(VALUE(RIGHT(raw_data!B326,4)),VALUE(MID(raw_data!B326,4,2)),VALUE(LEFT(raw_data!B326,2))),IF(MID(raw_data!B326,5,1)="-",DATE(VALUE(LEFT(raw_data!B326,4)),VALUE(MID(raw_data!B326,6,2)),VALUE(RIGHT(raw_data!B326,2))),DATE(VALUE(RIGHT(raw_data!B326,4)),MATCH(MID(raw_data!B326,4,3),{"Jan","Feb","Mar","Apr","May","Jun","Jul","Aug","Sep","Oct","Nov","Dec"},0),VALUE(LEFT(raw_data!B326,2)))))),"")</f>
        <v>45869</v>
      </c>
      <c r="C326" s="4" t="n">
        <f aca="false">IFERROR(IF(MID(raw_data!C326,3,1)="/",DATE(VALUE(RIGHT(raw_data!C326,4)),VALUE(LEFT(raw_data!C326,2)),VALUE(MID(raw_data!C326,4,2))),IF(MID(raw_data!C326,3,1)="-",DATE(VALUE(RIGHT(raw_data!C326,4)),VALUE(MID(raw_data!C326,4,2)),VALUE(LEFT(raw_data!C326,2))),IF(MID(raw_data!C326,5,1)="-",DATE(VALUE(LEFT(raw_data!C326,4)),VALUE(MID(raw_data!C326,6,2)),VALUE(RIGHT(raw_data!C326,2))),DATE(VALUE(RIGHT(raw_data!C326,4)),MATCH(MID(raw_data!C326,4,3),{"Jan","Feb","Mar","Apr","May","Jun","Jul","Aug","Sep","Oct","Nov","Dec"},0),VALUE(LEFT(raw_data!C326,2)))))),"")</f>
        <v>45871</v>
      </c>
      <c r="D326" s="3" t="str">
        <f aca="false">IF(TRIM(raw_data!B326)="","Missing",IF(B326="","Invalid/Unrecognized","Valid"))</f>
        <v>Valid</v>
      </c>
      <c r="E326" s="3" t="str">
        <f aca="false">IF(TRIM(raw_data!C326)="","Missing",IF(C326="","Invalid/Unrecognized","Valid"))</f>
        <v>Valid</v>
      </c>
      <c r="F326" s="5" t="n">
        <f aca="false">IF(OR(B326="",C326=""),"",C326-B326)</f>
        <v>2</v>
      </c>
      <c r="G326" s="3" t="str">
        <f aca="false">IF(F326="","N/A",IF(F326&lt;0,"Invalid - Ship Before Order","OK"))</f>
        <v>OK</v>
      </c>
      <c r="H326" s="3" t="str">
        <f aca="false">raw_data!D326</f>
        <v>CUST-7212</v>
      </c>
      <c r="I326" s="3" t="str">
        <f aca="false">PROPER(TRIM(raw_data!E326))</f>
        <v>Rohan Mehta</v>
      </c>
      <c r="J326" s="3" t="str">
        <f aca="false">PROPER(TRIM(raw_data!F326))</f>
        <v>Home Office</v>
      </c>
      <c r="K326" s="3" t="str">
        <f aca="false">IF(TRIM(raw_data!G326)="","Unknown",PROPER(TRIM(raw_data!G326)))</f>
        <v>South</v>
      </c>
      <c r="L326" s="3" t="str">
        <f aca="false">IF(TRIM(raw_data!G326)="","Filled - Unknown","OK")</f>
        <v>OK</v>
      </c>
      <c r="M326" s="3" t="str">
        <f aca="false">PROPER(TRIM(raw_data!H326))</f>
        <v>Andhra Pradesh</v>
      </c>
      <c r="N326" s="3" t="str">
        <f aca="false">PROPER(TRIM(raw_data!I326))</f>
        <v>Vijayawada</v>
      </c>
      <c r="O326" s="3" t="str">
        <f aca="false">PROPER(TRIM(raw_data!J326))</f>
        <v>Office Supplies</v>
      </c>
      <c r="P326" s="3" t="str">
        <f aca="false">PROPER(TRIM(raw_data!K326))</f>
        <v>Labels</v>
      </c>
      <c r="Q326" s="3" t="str">
        <f aca="false">TRIM(raw_data!L326)</f>
        <v>Basic Labels 102</v>
      </c>
      <c r="R326" s="3" t="str">
        <f aca="false">IF(TRIM(raw_data!M326)="","Unknown",PROPER(TRIM(raw_data!M326)))</f>
        <v>Same Day</v>
      </c>
      <c r="S326" s="3" t="str">
        <f aca="false">IF(TRIM(raw_data!M326)="","Filled - Unknown","OK")</f>
        <v>OK</v>
      </c>
      <c r="T326" s="6" t="n">
        <f aca="false">raw_data!N326</f>
        <v>1</v>
      </c>
      <c r="U326" s="7" t="n">
        <f aca="false">raw_data!O326</f>
        <v>1947.88</v>
      </c>
      <c r="V326" s="8" t="n">
        <f aca="false">raw_data!P326</f>
        <v>0.15</v>
      </c>
      <c r="W326" s="8" t="n">
        <f aca="false">IF(raw_data!P326="",0,IF(ISTEXT(raw_data!P326),IF(RIGHT(raw_data!P326,1)="%",VALUE(LEFT(raw_data!P326,LEN(raw_data!P326)-1))/100,VALUE(raw_data!P326)),raw_data!P326))</f>
        <v>0.15</v>
      </c>
      <c r="X326" s="3" t="str">
        <f aca="false">IF(raw_data!P326="","Missing - Defaulted to 0",IF(W326&lt;0,"Negative - Invalid",IF(W326&gt;0.3,"Above Allowed Range - Invalid","Valid")))</f>
        <v>Valid</v>
      </c>
      <c r="Y326" s="7" t="n">
        <f aca="false">raw_data!Q326</f>
        <v>1655.7</v>
      </c>
      <c r="Z326" s="7" t="n">
        <f aca="false">raw_data!R326</f>
        <v>1354.8</v>
      </c>
      <c r="AA326" s="7" t="n">
        <f aca="false">raw_data!S326</f>
        <v>300.9</v>
      </c>
      <c r="AB326" s="3" t="str">
        <f aca="false">PROPER(TRIM(raw_data!T326))</f>
        <v>Paid</v>
      </c>
      <c r="AC326" s="3" t="str">
        <f aca="false">PROPER(TRIM(raw_data!U326))</f>
        <v>Returned</v>
      </c>
      <c r="AD326" s="7" t="n">
        <f aca="false">T326*U326*(1-W326)</f>
        <v>1655.698</v>
      </c>
      <c r="AE326" s="7" t="n">
        <f aca="false">AD326-Z326</f>
        <v>300.898</v>
      </c>
      <c r="AF326" s="8" t="n">
        <f aca="false">IF(AD326=0,0,AE326/AD326)</f>
        <v>0.181734833284814</v>
      </c>
      <c r="AG326" s="3" t="str">
        <f aca="false">IF(ABS(Y326-AD326)&gt;1,"Mismatch","OK")</f>
        <v>OK</v>
      </c>
      <c r="AH326" s="3" t="str">
        <f aca="false">IF(ABS(AA326-AE326)&gt;1,"Mismatch","OK")</f>
        <v>OK</v>
      </c>
      <c r="AI326" s="6" t="n">
        <f aca="false">IF(B326="","",MONTH(B326))</f>
        <v>7</v>
      </c>
      <c r="AJ326" s="6" t="n">
        <f aca="false">IF(B326="","",YEAR(B326))</f>
        <v>2025</v>
      </c>
      <c r="AK326" s="3" t="str">
        <f aca="false">IF(COUNTIF(raw_data!$A$2:$A$913,A326)&gt;1,"Conflicting Duplicate - Flagged for Review","Unique")</f>
        <v>Unique</v>
      </c>
      <c r="AL326" s="3" t="str">
        <f aca="false">IF(AB326="Refunded","Yes","No")</f>
        <v>No</v>
      </c>
      <c r="AM326" s="3" t="str">
        <f aca="false">IF(OR(AC326&lt;&gt;"Completed",AB326="Failed"),"Excluded","Included")</f>
        <v>Excluded</v>
      </c>
      <c r="AN326" s="3" t="str">
        <f aca="false">IF(OR(D326="Invalid/Unrecognized",E326="Invalid/Unrecognized",G326="Invalid - Ship Before Order",X326="Negative - Invalid",X326="Above Allowed Range - Invalid",AG326="Mismatch",AH326="Mismatch",AK326="Conflicting Duplicate - Flagged for Review"),"Invalid",IF(OR(L326="Filled - Unknown",S326="Filled - Unknown",X326="Missing - Defaulted to 0",AL326="Yes",AC326="Cancelled",AC326="Returned"),"Warning","Clean"))</f>
        <v>Warning</v>
      </c>
    </row>
    <row r="327" customFormat="false" ht="15" hidden="false" customHeight="false" outlineLevel="0" collapsed="false">
      <c r="A327" s="3" t="str">
        <f aca="false">raw_data!A327</f>
        <v>ORD-2025-10326</v>
      </c>
      <c r="B327" s="4" t="n">
        <f aca="false">IFERROR(IF(MID(raw_data!B327,3,1)="/",DATE(VALUE(RIGHT(raw_data!B327,4)),VALUE(LEFT(raw_data!B327,2)),VALUE(MID(raw_data!B327,4,2))),IF(MID(raw_data!B327,3,1)="-",DATE(VALUE(RIGHT(raw_data!B327,4)),VALUE(MID(raw_data!B327,4,2)),VALUE(LEFT(raw_data!B327,2))),IF(MID(raw_data!B327,5,1)="-",DATE(VALUE(LEFT(raw_data!B327,4)),VALUE(MID(raw_data!B327,6,2)),VALUE(RIGHT(raw_data!B327,2))),DATE(VALUE(RIGHT(raw_data!B327,4)),MATCH(MID(raw_data!B327,4,3),{"Jan","Feb","Mar","Apr","May","Jun","Jul","Aug","Sep","Oct","Nov","Dec"},0),VALUE(LEFT(raw_data!B327,2)))))),"")</f>
        <v>45916</v>
      </c>
      <c r="C327" s="4" t="n">
        <f aca="false">IFERROR(IF(MID(raw_data!C327,3,1)="/",DATE(VALUE(RIGHT(raw_data!C327,4)),VALUE(LEFT(raw_data!C327,2)),VALUE(MID(raw_data!C327,4,2))),IF(MID(raw_data!C327,3,1)="-",DATE(VALUE(RIGHT(raw_data!C327,4)),VALUE(MID(raw_data!C327,4,2)),VALUE(LEFT(raw_data!C327,2))),IF(MID(raw_data!C327,5,1)="-",DATE(VALUE(LEFT(raw_data!C327,4)),VALUE(MID(raw_data!C327,6,2)),VALUE(RIGHT(raw_data!C327,2))),DATE(VALUE(RIGHT(raw_data!C327,4)),MATCH(MID(raw_data!C327,4,3),{"Jan","Feb","Mar","Apr","May","Jun","Jul","Aug","Sep","Oct","Nov","Dec"},0),VALUE(LEFT(raw_data!C327,2)))))),"")</f>
        <v>45922</v>
      </c>
      <c r="D327" s="3" t="str">
        <f aca="false">IF(TRIM(raw_data!B327)="","Missing",IF(B327="","Invalid/Unrecognized","Valid"))</f>
        <v>Valid</v>
      </c>
      <c r="E327" s="3" t="str">
        <f aca="false">IF(TRIM(raw_data!C327)="","Missing",IF(C327="","Invalid/Unrecognized","Valid"))</f>
        <v>Valid</v>
      </c>
      <c r="F327" s="5" t="n">
        <f aca="false">IF(OR(B327="",C327=""),"",C327-B327)</f>
        <v>6</v>
      </c>
      <c r="G327" s="3" t="str">
        <f aca="false">IF(F327="","N/A",IF(F327&lt;0,"Invalid - Ship Before Order","OK"))</f>
        <v>OK</v>
      </c>
      <c r="H327" s="3" t="str">
        <f aca="false">raw_data!D327</f>
        <v>CUST-7980</v>
      </c>
      <c r="I327" s="3" t="str">
        <f aca="false">PROPER(TRIM(raw_data!E327))</f>
        <v>Sneha Kapoor</v>
      </c>
      <c r="J327" s="3" t="str">
        <f aca="false">PROPER(TRIM(raw_data!F327))</f>
        <v>Home Office</v>
      </c>
      <c r="K327" s="3" t="str">
        <f aca="false">IF(TRIM(raw_data!G327)="","Unknown",PROPER(TRIM(raw_data!G327)))</f>
        <v>East</v>
      </c>
      <c r="L327" s="3" t="str">
        <f aca="false">IF(TRIM(raw_data!G327)="","Filled - Unknown","OK")</f>
        <v>OK</v>
      </c>
      <c r="M327" s="3" t="str">
        <f aca="false">PROPER(TRIM(raw_data!H327))</f>
        <v>West Bengal</v>
      </c>
      <c r="N327" s="3" t="str">
        <f aca="false">PROPER(TRIM(raw_data!I327))</f>
        <v>Kolkata</v>
      </c>
      <c r="O327" s="3" t="str">
        <f aca="false">PROPER(TRIM(raw_data!J327))</f>
        <v>Technology</v>
      </c>
      <c r="P327" s="3" t="str">
        <f aca="false">PROPER(TRIM(raw_data!K327))</f>
        <v>Copiers</v>
      </c>
      <c r="Q327" s="3" t="str">
        <f aca="false">TRIM(raw_data!L327)</f>
        <v>Prime Copiers 170</v>
      </c>
      <c r="R327" s="3" t="str">
        <f aca="false">IF(TRIM(raw_data!M327)="","Unknown",PROPER(TRIM(raw_data!M327)))</f>
        <v>Second Class</v>
      </c>
      <c r="S327" s="3" t="str">
        <f aca="false">IF(TRIM(raw_data!M327)="","Filled - Unknown","OK")</f>
        <v>OK</v>
      </c>
      <c r="T327" s="6" t="n">
        <f aca="false">raw_data!N327</f>
        <v>5</v>
      </c>
      <c r="U327" s="7" t="n">
        <f aca="false">raw_data!O327</f>
        <v>3671.2</v>
      </c>
      <c r="V327" s="8" t="n">
        <f aca="false">raw_data!P327</f>
        <v>0.15</v>
      </c>
      <c r="W327" s="8" t="n">
        <f aca="false">IF(raw_data!P327="",0,IF(ISTEXT(raw_data!P327),IF(RIGHT(raw_data!P327,1)="%",VALUE(LEFT(raw_data!P327,LEN(raw_data!P327)-1))/100,VALUE(raw_data!P327)),raw_data!P327))</f>
        <v>0.15</v>
      </c>
      <c r="X327" s="3" t="str">
        <f aca="false">IF(raw_data!P327="","Missing - Defaulted to 0",IF(W327&lt;0,"Negative - Invalid",IF(W327&gt;0.3,"Above Allowed Range - Invalid","Valid")))</f>
        <v>Valid</v>
      </c>
      <c r="Y327" s="7" t="n">
        <f aca="false">raw_data!Q327</f>
        <v>15602.6</v>
      </c>
      <c r="Z327" s="7" t="n">
        <f aca="false">raw_data!R327</f>
        <v>11908.52</v>
      </c>
      <c r="AA327" s="7" t="n">
        <f aca="false">raw_data!S327</f>
        <v>3694.08</v>
      </c>
      <c r="AB327" s="3" t="str">
        <f aca="false">PROPER(TRIM(raw_data!T327))</f>
        <v>Paid</v>
      </c>
      <c r="AC327" s="3" t="str">
        <f aca="false">PROPER(TRIM(raw_data!U327))</f>
        <v>Completed</v>
      </c>
      <c r="AD327" s="7" t="n">
        <f aca="false">T327*U327*(1-W327)</f>
        <v>15602.6</v>
      </c>
      <c r="AE327" s="7" t="n">
        <f aca="false">AD327-Z327</f>
        <v>3694.08</v>
      </c>
      <c r="AF327" s="8" t="n">
        <f aca="false">IF(AD327=0,0,AE327/AD327)</f>
        <v>0.236760539910015</v>
      </c>
      <c r="AG327" s="3" t="str">
        <f aca="false">IF(ABS(Y327-AD327)&gt;1,"Mismatch","OK")</f>
        <v>OK</v>
      </c>
      <c r="AH327" s="3" t="str">
        <f aca="false">IF(ABS(AA327-AE327)&gt;1,"Mismatch","OK")</f>
        <v>OK</v>
      </c>
      <c r="AI327" s="6" t="n">
        <f aca="false">IF(B327="","",MONTH(B327))</f>
        <v>9</v>
      </c>
      <c r="AJ327" s="6" t="n">
        <f aca="false">IF(B327="","",YEAR(B327))</f>
        <v>2025</v>
      </c>
      <c r="AK327" s="3" t="str">
        <f aca="false">IF(COUNTIF(raw_data!$A$2:$A$913,A327)&gt;1,"Conflicting Duplicate - Flagged for Review","Unique")</f>
        <v>Unique</v>
      </c>
      <c r="AL327" s="3" t="str">
        <f aca="false">IF(AB327="Refunded","Yes","No")</f>
        <v>No</v>
      </c>
      <c r="AM327" s="3" t="str">
        <f aca="false">IF(OR(AC327&lt;&gt;"Completed",AB327="Failed"),"Excluded","Included")</f>
        <v>Included</v>
      </c>
      <c r="AN327" s="3" t="str">
        <f aca="false">IF(OR(D327="Invalid/Unrecognized",E327="Invalid/Unrecognized",G327="Invalid - Ship Before Order",X327="Negative - Invalid",X327="Above Allowed Range - Invalid",AG327="Mismatch",AH327="Mismatch",AK327="Conflicting Duplicate - Flagged for Review"),"Invalid",IF(OR(L327="Filled - Unknown",S327="Filled - Unknown",X327="Missing - Defaulted to 0",AL327="Yes",AC327="Cancelled",AC327="Returned"),"Warning","Clean"))</f>
        <v>Clean</v>
      </c>
    </row>
    <row r="328" customFormat="false" ht="15" hidden="false" customHeight="false" outlineLevel="0" collapsed="false">
      <c r="A328" s="3" t="str">
        <f aca="false">raw_data!A328</f>
        <v>ORD-2025-10327</v>
      </c>
      <c r="B328" s="4" t="n">
        <f aca="false">IFERROR(IF(MID(raw_data!B328,3,1)="/",DATE(VALUE(RIGHT(raw_data!B328,4)),VALUE(LEFT(raw_data!B328,2)),VALUE(MID(raw_data!B328,4,2))),IF(MID(raw_data!B328,3,1)="-",DATE(VALUE(RIGHT(raw_data!B328,4)),VALUE(MID(raw_data!B328,4,2)),VALUE(LEFT(raw_data!B328,2))),IF(MID(raw_data!B328,5,1)="-",DATE(VALUE(LEFT(raw_data!B328,4)),VALUE(MID(raw_data!B328,6,2)),VALUE(RIGHT(raw_data!B328,2))),DATE(VALUE(RIGHT(raw_data!B328,4)),MATCH(MID(raw_data!B328,4,3),{"Jan","Feb","Mar","Apr","May","Jun","Jul","Aug","Sep","Oct","Nov","Dec"},0),VALUE(LEFT(raw_data!B328,2)))))),"")</f>
        <v>45860</v>
      </c>
      <c r="C328" s="4" t="n">
        <f aca="false">IFERROR(IF(MID(raw_data!C328,3,1)="/",DATE(VALUE(RIGHT(raw_data!C328,4)),VALUE(LEFT(raw_data!C328,2)),VALUE(MID(raw_data!C328,4,2))),IF(MID(raw_data!C328,3,1)="-",DATE(VALUE(RIGHT(raw_data!C328,4)),VALUE(MID(raw_data!C328,4,2)),VALUE(LEFT(raw_data!C328,2))),IF(MID(raw_data!C328,5,1)="-",DATE(VALUE(LEFT(raw_data!C328,4)),VALUE(MID(raw_data!C328,6,2)),VALUE(RIGHT(raw_data!C328,2))),DATE(VALUE(RIGHT(raw_data!C328,4)),MATCH(MID(raw_data!C328,4,3),{"Jan","Feb","Mar","Apr","May","Jun","Jul","Aug","Sep","Oct","Nov","Dec"},0),VALUE(LEFT(raw_data!C328,2)))))),"")</f>
        <v>45860</v>
      </c>
      <c r="D328" s="3" t="str">
        <f aca="false">IF(TRIM(raw_data!B328)="","Missing",IF(B328="","Invalid/Unrecognized","Valid"))</f>
        <v>Valid</v>
      </c>
      <c r="E328" s="3" t="str">
        <f aca="false">IF(TRIM(raw_data!C328)="","Missing",IF(C328="","Invalid/Unrecognized","Valid"))</f>
        <v>Valid</v>
      </c>
      <c r="F328" s="5" t="n">
        <f aca="false">IF(OR(B328="",C328=""),"",C328-B328)</f>
        <v>0</v>
      </c>
      <c r="G328" s="3" t="str">
        <f aca="false">IF(F328="","N/A",IF(F328&lt;0,"Invalid - Ship Before Order","OK"))</f>
        <v>OK</v>
      </c>
      <c r="H328" s="3" t="str">
        <f aca="false">raw_data!D328</f>
        <v>CUST-1966</v>
      </c>
      <c r="I328" s="3" t="str">
        <f aca="false">PROPER(TRIM(raw_data!E328))</f>
        <v>Sneha Kapoor</v>
      </c>
      <c r="J328" s="3" t="str">
        <f aca="false">PROPER(TRIM(raw_data!F328))</f>
        <v>Corporate</v>
      </c>
      <c r="K328" s="3" t="str">
        <f aca="false">IF(TRIM(raw_data!G328)="","Unknown",PROPER(TRIM(raw_data!G328)))</f>
        <v>East</v>
      </c>
      <c r="L328" s="3" t="str">
        <f aca="false">IF(TRIM(raw_data!G328)="","Filled - Unknown","OK")</f>
        <v>OK</v>
      </c>
      <c r="M328" s="3" t="str">
        <f aca="false">PROPER(TRIM(raw_data!H328))</f>
        <v>Jharkhand</v>
      </c>
      <c r="N328" s="3" t="str">
        <f aca="false">PROPER(TRIM(raw_data!I328))</f>
        <v>Ranchi</v>
      </c>
      <c r="O328" s="3" t="str">
        <f aca="false">PROPER(TRIM(raw_data!J328))</f>
        <v>Furniture</v>
      </c>
      <c r="P328" s="3" t="str">
        <f aca="false">PROPER(TRIM(raw_data!K328))</f>
        <v>Furnishings</v>
      </c>
      <c r="Q328" s="3" t="str">
        <f aca="false">TRIM(raw_data!L328)</f>
        <v>Smart Furnishings 533</v>
      </c>
      <c r="R328" s="3" t="str">
        <f aca="false">IF(TRIM(raw_data!M328)="","Unknown",PROPER(TRIM(raw_data!M328)))</f>
        <v>Same Day</v>
      </c>
      <c r="S328" s="3" t="str">
        <f aca="false">IF(TRIM(raw_data!M328)="","Filled - Unknown","OK")</f>
        <v>OK</v>
      </c>
      <c r="T328" s="6" t="n">
        <f aca="false">raw_data!N328</f>
        <v>5</v>
      </c>
      <c r="U328" s="7" t="n">
        <f aca="false">raw_data!O328</f>
        <v>3187.05</v>
      </c>
      <c r="V328" s="8" t="n">
        <f aca="false">raw_data!P328</f>
        <v>0.05</v>
      </c>
      <c r="W328" s="8" t="n">
        <f aca="false">IF(raw_data!P328="",0,IF(ISTEXT(raw_data!P328),IF(RIGHT(raw_data!P328,1)="%",VALUE(LEFT(raw_data!P328,LEN(raw_data!P328)-1))/100,VALUE(raw_data!P328)),raw_data!P328))</f>
        <v>0.05</v>
      </c>
      <c r="X328" s="3" t="str">
        <f aca="false">IF(raw_data!P328="","Missing - Defaulted to 0",IF(W328&lt;0,"Negative - Invalid",IF(W328&gt;0.3,"Above Allowed Range - Invalid","Valid")))</f>
        <v>Valid</v>
      </c>
      <c r="Y328" s="7" t="n">
        <f aca="false">raw_data!Q328</f>
        <v>15138.49</v>
      </c>
      <c r="Z328" s="7" t="n">
        <f aca="false">raw_data!R328</f>
        <v>11235.72</v>
      </c>
      <c r="AA328" s="7" t="n">
        <f aca="false">raw_data!S328</f>
        <v>3902.77</v>
      </c>
      <c r="AB328" s="3" t="str">
        <f aca="false">PROPER(TRIM(raw_data!T328))</f>
        <v>Paid</v>
      </c>
      <c r="AC328" s="3" t="str">
        <f aca="false">PROPER(TRIM(raw_data!U328))</f>
        <v>Completed</v>
      </c>
      <c r="AD328" s="7" t="n">
        <f aca="false">T328*U328*(1-W328)</f>
        <v>15138.4875</v>
      </c>
      <c r="AE328" s="7" t="n">
        <f aca="false">AD328-Z328</f>
        <v>3902.7675</v>
      </c>
      <c r="AF328" s="8" t="n">
        <f aca="false">IF(AD328=0,0,AE328/AD328)</f>
        <v>0.25780432160082</v>
      </c>
      <c r="AG328" s="3" t="str">
        <f aca="false">IF(ABS(Y328-AD328)&gt;1,"Mismatch","OK")</f>
        <v>OK</v>
      </c>
      <c r="AH328" s="3" t="str">
        <f aca="false">IF(ABS(AA328-AE328)&gt;1,"Mismatch","OK")</f>
        <v>OK</v>
      </c>
      <c r="AI328" s="6" t="n">
        <f aca="false">IF(B328="","",MONTH(B328))</f>
        <v>7</v>
      </c>
      <c r="AJ328" s="6" t="n">
        <f aca="false">IF(B328="","",YEAR(B328))</f>
        <v>2025</v>
      </c>
      <c r="AK328" s="3" t="str">
        <f aca="false">IF(COUNTIF(raw_data!$A$2:$A$913,A328)&gt;1,"Conflicting Duplicate - Flagged for Review","Unique")</f>
        <v>Unique</v>
      </c>
      <c r="AL328" s="3" t="str">
        <f aca="false">IF(AB328="Refunded","Yes","No")</f>
        <v>No</v>
      </c>
      <c r="AM328" s="3" t="str">
        <f aca="false">IF(OR(AC328&lt;&gt;"Completed",AB328="Failed"),"Excluded","Included")</f>
        <v>Included</v>
      </c>
      <c r="AN328" s="3" t="str">
        <f aca="false">IF(OR(D328="Invalid/Unrecognized",E328="Invalid/Unrecognized",G328="Invalid - Ship Before Order",X328="Negative - Invalid",X328="Above Allowed Range - Invalid",AG328="Mismatch",AH328="Mismatch",AK328="Conflicting Duplicate - Flagged for Review"),"Invalid",IF(OR(L328="Filled - Unknown",S328="Filled - Unknown",X328="Missing - Defaulted to 0",AL328="Yes",AC328="Cancelled",AC328="Returned"),"Warning","Clean"))</f>
        <v>Clean</v>
      </c>
    </row>
    <row r="329" customFormat="false" ht="15" hidden="false" customHeight="false" outlineLevel="0" collapsed="false">
      <c r="A329" s="3" t="str">
        <f aca="false">raw_data!A329</f>
        <v>ORD-2024-10328</v>
      </c>
      <c r="B329" s="4" t="n">
        <f aca="false">IFERROR(IF(MID(raw_data!B329,3,1)="/",DATE(VALUE(RIGHT(raw_data!B329,4)),VALUE(LEFT(raw_data!B329,2)),VALUE(MID(raw_data!B329,4,2))),IF(MID(raw_data!B329,3,1)="-",DATE(VALUE(RIGHT(raw_data!B329,4)),VALUE(MID(raw_data!B329,4,2)),VALUE(LEFT(raw_data!B329,2))),IF(MID(raw_data!B329,5,1)="-",DATE(VALUE(LEFT(raw_data!B329,4)),VALUE(MID(raw_data!B329,6,2)),VALUE(RIGHT(raw_data!B329,2))),DATE(VALUE(RIGHT(raw_data!B329,4)),MATCH(MID(raw_data!B329,4,3),{"Jan","Feb","Mar","Apr","May","Jun","Jul","Aug","Sep","Oct","Nov","Dec"},0),VALUE(LEFT(raw_data!B329,2)))))),"")</f>
        <v>45497</v>
      </c>
      <c r="C329" s="4" t="n">
        <f aca="false">IFERROR(IF(MID(raw_data!C329,3,1)="/",DATE(VALUE(RIGHT(raw_data!C329,4)),VALUE(LEFT(raw_data!C329,2)),VALUE(MID(raw_data!C329,4,2))),IF(MID(raw_data!C329,3,1)="-",DATE(VALUE(RIGHT(raw_data!C329,4)),VALUE(MID(raw_data!C329,4,2)),VALUE(LEFT(raw_data!C329,2))),IF(MID(raw_data!C329,5,1)="-",DATE(VALUE(LEFT(raw_data!C329,4)),VALUE(MID(raw_data!C329,6,2)),VALUE(RIGHT(raw_data!C329,2))),DATE(VALUE(RIGHT(raw_data!C329,4)),MATCH(MID(raw_data!C329,4,3),{"Jan","Feb","Mar","Apr","May","Jun","Jul","Aug","Sep","Oct","Nov","Dec"},0),VALUE(LEFT(raw_data!C329,2)))))),"")</f>
        <v>45500</v>
      </c>
      <c r="D329" s="3" t="str">
        <f aca="false">IF(TRIM(raw_data!B329)="","Missing",IF(B329="","Invalid/Unrecognized","Valid"))</f>
        <v>Valid</v>
      </c>
      <c r="E329" s="3" t="str">
        <f aca="false">IF(TRIM(raw_data!C329)="","Missing",IF(C329="","Invalid/Unrecognized","Valid"))</f>
        <v>Valid</v>
      </c>
      <c r="F329" s="5" t="n">
        <f aca="false">IF(OR(B329="",C329=""),"",C329-B329)</f>
        <v>3</v>
      </c>
      <c r="G329" s="3" t="str">
        <f aca="false">IF(F329="","N/A",IF(F329&lt;0,"Invalid - Ship Before Order","OK"))</f>
        <v>OK</v>
      </c>
      <c r="H329" s="3" t="str">
        <f aca="false">raw_data!D329</f>
        <v>CUST-6163</v>
      </c>
      <c r="I329" s="3" t="str">
        <f aca="false">PROPER(TRIM(raw_data!E329))</f>
        <v>Isha Nair</v>
      </c>
      <c r="J329" s="3" t="str">
        <f aca="false">PROPER(TRIM(raw_data!F329))</f>
        <v>Consumer</v>
      </c>
      <c r="K329" s="3" t="str">
        <f aca="false">IF(TRIM(raw_data!G329)="","Unknown",PROPER(TRIM(raw_data!G329)))</f>
        <v>West</v>
      </c>
      <c r="L329" s="3" t="str">
        <f aca="false">IF(TRIM(raw_data!G329)="","Filled - Unknown","OK")</f>
        <v>OK</v>
      </c>
      <c r="M329" s="3" t="str">
        <f aca="false">PROPER(TRIM(raw_data!H329))</f>
        <v>Rajasthan</v>
      </c>
      <c r="N329" s="3" t="str">
        <f aca="false">PROPER(TRIM(raw_data!I329))</f>
        <v>Udaipur</v>
      </c>
      <c r="O329" s="3" t="str">
        <f aca="false">PROPER(TRIM(raw_data!J329))</f>
        <v>Technology</v>
      </c>
      <c r="P329" s="3" t="str">
        <f aca="false">PROPER(TRIM(raw_data!K329))</f>
        <v>Accessories</v>
      </c>
      <c r="Q329" s="3" t="str">
        <f aca="false">TRIM(raw_data!L329)</f>
        <v>Classic Accessories 489</v>
      </c>
      <c r="R329" s="3" t="str">
        <f aca="false">IF(TRIM(raw_data!M329)="","Unknown",PROPER(TRIM(raw_data!M329)))</f>
        <v>Second Class</v>
      </c>
      <c r="S329" s="3" t="str">
        <f aca="false">IF(TRIM(raw_data!M329)="","Filled - Unknown","OK")</f>
        <v>OK</v>
      </c>
      <c r="T329" s="6" t="n">
        <f aca="false">raw_data!N329</f>
        <v>3</v>
      </c>
      <c r="U329" s="7" t="n">
        <f aca="false">raw_data!O329</f>
        <v>1834.55</v>
      </c>
      <c r="V329" s="8" t="n">
        <f aca="false">raw_data!P329</f>
        <v>0.2</v>
      </c>
      <c r="W329" s="8" t="n">
        <f aca="false">IF(raw_data!P329="",0,IF(ISTEXT(raw_data!P329),IF(RIGHT(raw_data!P329,1)="%",VALUE(LEFT(raw_data!P329,LEN(raw_data!P329)-1))/100,VALUE(raw_data!P329)),raw_data!P329))</f>
        <v>0.2</v>
      </c>
      <c r="X329" s="3" t="str">
        <f aca="false">IF(raw_data!P329="","Missing - Defaulted to 0",IF(W329&lt;0,"Negative - Invalid",IF(W329&gt;0.3,"Above Allowed Range - Invalid","Valid")))</f>
        <v>Valid</v>
      </c>
      <c r="Y329" s="7" t="n">
        <f aca="false">raw_data!Q329</f>
        <v>4402.92</v>
      </c>
      <c r="Z329" s="7" t="n">
        <f aca="false">raw_data!R329</f>
        <v>2993.94</v>
      </c>
      <c r="AA329" s="7" t="n">
        <f aca="false">raw_data!S329</f>
        <v>1408.98</v>
      </c>
      <c r="AB329" s="3" t="str">
        <f aca="false">PROPER(TRIM(raw_data!T329))</f>
        <v>Pending</v>
      </c>
      <c r="AC329" s="3" t="str">
        <f aca="false">PROPER(TRIM(raw_data!U329))</f>
        <v>Cancelled</v>
      </c>
      <c r="AD329" s="7" t="n">
        <f aca="false">T329*U329*(1-W329)</f>
        <v>4402.92</v>
      </c>
      <c r="AE329" s="7" t="n">
        <f aca="false">AD329-Z329</f>
        <v>1408.98</v>
      </c>
      <c r="AF329" s="8" t="n">
        <f aca="false">IF(AD329=0,0,AE329/AD329)</f>
        <v>0.320010356763239</v>
      </c>
      <c r="AG329" s="3" t="str">
        <f aca="false">IF(ABS(Y329-AD329)&gt;1,"Mismatch","OK")</f>
        <v>OK</v>
      </c>
      <c r="AH329" s="3" t="str">
        <f aca="false">IF(ABS(AA329-AE329)&gt;1,"Mismatch","OK")</f>
        <v>OK</v>
      </c>
      <c r="AI329" s="6" t="n">
        <f aca="false">IF(B329="","",MONTH(B329))</f>
        <v>7</v>
      </c>
      <c r="AJ329" s="6" t="n">
        <f aca="false">IF(B329="","",YEAR(B329))</f>
        <v>2024</v>
      </c>
      <c r="AK329" s="3" t="str">
        <f aca="false">IF(COUNTIF(raw_data!$A$2:$A$913,A329)&gt;1,"Conflicting Duplicate - Flagged for Review","Unique")</f>
        <v>Unique</v>
      </c>
      <c r="AL329" s="3" t="str">
        <f aca="false">IF(AB329="Refunded","Yes","No")</f>
        <v>No</v>
      </c>
      <c r="AM329" s="3" t="str">
        <f aca="false">IF(OR(AC329&lt;&gt;"Completed",AB329="Failed"),"Excluded","Included")</f>
        <v>Excluded</v>
      </c>
      <c r="AN329" s="3" t="str">
        <f aca="false">IF(OR(D329="Invalid/Unrecognized",E329="Invalid/Unrecognized",G329="Invalid - Ship Before Order",X329="Negative - Invalid",X329="Above Allowed Range - Invalid",AG329="Mismatch",AH329="Mismatch",AK329="Conflicting Duplicate - Flagged for Review"),"Invalid",IF(OR(L329="Filled - Unknown",S329="Filled - Unknown",X329="Missing - Defaulted to 0",AL329="Yes",AC329="Cancelled",AC329="Returned"),"Warning","Clean"))</f>
        <v>Warning</v>
      </c>
    </row>
    <row r="330" customFormat="false" ht="15" hidden="false" customHeight="false" outlineLevel="0" collapsed="false">
      <c r="A330" s="3" t="str">
        <f aca="false">raw_data!A330</f>
        <v>ORD-2025-10329</v>
      </c>
      <c r="B330" s="4" t="n">
        <f aca="false">IFERROR(IF(MID(raw_data!B330,3,1)="/",DATE(VALUE(RIGHT(raw_data!B330,4)),VALUE(LEFT(raw_data!B330,2)),VALUE(MID(raw_data!B330,4,2))),IF(MID(raw_data!B330,3,1)="-",DATE(VALUE(RIGHT(raw_data!B330,4)),VALUE(MID(raw_data!B330,4,2)),VALUE(LEFT(raw_data!B330,2))),IF(MID(raw_data!B330,5,1)="-",DATE(VALUE(LEFT(raw_data!B330,4)),VALUE(MID(raw_data!B330,6,2)),VALUE(RIGHT(raw_data!B330,2))),DATE(VALUE(RIGHT(raw_data!B330,4)),MATCH(MID(raw_data!B330,4,3),{"Jan","Feb","Mar","Apr","May","Jun","Jul","Aug","Sep","Oct","Nov","Dec"},0),VALUE(LEFT(raw_data!B330,2)))))),"")</f>
        <v>45806</v>
      </c>
      <c r="C330" s="4" t="n">
        <f aca="false">IFERROR(IF(MID(raw_data!C330,3,1)="/",DATE(VALUE(RIGHT(raw_data!C330,4)),VALUE(LEFT(raw_data!C330,2)),VALUE(MID(raw_data!C330,4,2))),IF(MID(raw_data!C330,3,1)="-",DATE(VALUE(RIGHT(raw_data!C330,4)),VALUE(MID(raw_data!C330,4,2)),VALUE(LEFT(raw_data!C330,2))),IF(MID(raw_data!C330,5,1)="-",DATE(VALUE(LEFT(raw_data!C330,4)),VALUE(MID(raw_data!C330,6,2)),VALUE(RIGHT(raw_data!C330,2))),DATE(VALUE(RIGHT(raw_data!C330,4)),MATCH(MID(raw_data!C330,4,3),{"Jan","Feb","Mar","Apr","May","Jun","Jul","Aug","Sep","Oct","Nov","Dec"},0),VALUE(LEFT(raw_data!C330,2)))))),"")</f>
        <v>45812</v>
      </c>
      <c r="D330" s="3" t="str">
        <f aca="false">IF(TRIM(raw_data!B330)="","Missing",IF(B330="","Invalid/Unrecognized","Valid"))</f>
        <v>Valid</v>
      </c>
      <c r="E330" s="3" t="str">
        <f aca="false">IF(TRIM(raw_data!C330)="","Missing",IF(C330="","Invalid/Unrecognized","Valid"))</f>
        <v>Valid</v>
      </c>
      <c r="F330" s="5" t="n">
        <f aca="false">IF(OR(B330="",C330=""),"",C330-B330)</f>
        <v>6</v>
      </c>
      <c r="G330" s="3" t="str">
        <f aca="false">IF(F330="","N/A",IF(F330&lt;0,"Invalid - Ship Before Order","OK"))</f>
        <v>OK</v>
      </c>
      <c r="H330" s="3" t="str">
        <f aca="false">raw_data!D330</f>
        <v>CUST-7239</v>
      </c>
      <c r="I330" s="3" t="str">
        <f aca="false">PROPER(TRIM(raw_data!E330))</f>
        <v>Diya Patel</v>
      </c>
      <c r="J330" s="3" t="str">
        <f aca="false">PROPER(TRIM(raw_data!F330))</f>
        <v>Consumer</v>
      </c>
      <c r="K330" s="3" t="str">
        <f aca="false">IF(TRIM(raw_data!G330)="","Unknown",PROPER(TRIM(raw_data!G330)))</f>
        <v>West</v>
      </c>
      <c r="L330" s="3" t="str">
        <f aca="false">IF(TRIM(raw_data!G330)="","Filled - Unknown","OK")</f>
        <v>OK</v>
      </c>
      <c r="M330" s="3" t="str">
        <f aca="false">PROPER(TRIM(raw_data!H330))</f>
        <v>Maharashtra</v>
      </c>
      <c r="N330" s="3" t="str">
        <f aca="false">PROPER(TRIM(raw_data!I330))</f>
        <v>Mumbai</v>
      </c>
      <c r="O330" s="3" t="str">
        <f aca="false">PROPER(TRIM(raw_data!J330))</f>
        <v>Office Supplies</v>
      </c>
      <c r="P330" s="3" t="str">
        <f aca="false">PROPER(TRIM(raw_data!K330))</f>
        <v>Storage</v>
      </c>
      <c r="Q330" s="3" t="str">
        <f aca="false">TRIM(raw_data!L330)</f>
        <v>Smart Storage 439</v>
      </c>
      <c r="R330" s="3" t="str">
        <f aca="false">IF(TRIM(raw_data!M330)="","Unknown",PROPER(TRIM(raw_data!M330)))</f>
        <v>First Class</v>
      </c>
      <c r="S330" s="3" t="str">
        <f aca="false">IF(TRIM(raw_data!M330)="","Filled - Unknown","OK")</f>
        <v>OK</v>
      </c>
      <c r="T330" s="6" t="n">
        <f aca="false">raw_data!N330</f>
        <v>6</v>
      </c>
      <c r="U330" s="7" t="n">
        <f aca="false">raw_data!O330</f>
        <v>3100.68</v>
      </c>
      <c r="V330" s="8" t="n">
        <f aca="false">raw_data!P330</f>
        <v>0</v>
      </c>
      <c r="W330" s="8" t="n">
        <f aca="false">IF(raw_data!P330="",0,IF(ISTEXT(raw_data!P330),IF(RIGHT(raw_data!P330,1)="%",VALUE(LEFT(raw_data!P330,LEN(raw_data!P330)-1))/100,VALUE(raw_data!P330)),raw_data!P330))</f>
        <v>0</v>
      </c>
      <c r="X330" s="3" t="str">
        <f aca="false">IF(raw_data!P330="","Missing - Defaulted to 0",IF(W330&lt;0,"Negative - Invalid",IF(W330&gt;0.3,"Above Allowed Range - Invalid","Valid")))</f>
        <v>Valid</v>
      </c>
      <c r="Y330" s="7" t="n">
        <f aca="false">raw_data!Q330</f>
        <v>18604.08</v>
      </c>
      <c r="Z330" s="7" t="n">
        <f aca="false">raw_data!R330</f>
        <v>15834.3</v>
      </c>
      <c r="AA330" s="7" t="n">
        <f aca="false">raw_data!S330</f>
        <v>2769.78</v>
      </c>
      <c r="AB330" s="3" t="str">
        <f aca="false">PROPER(TRIM(raw_data!T330))</f>
        <v>Paid</v>
      </c>
      <c r="AC330" s="3" t="str">
        <f aca="false">PROPER(TRIM(raw_data!U330))</f>
        <v>Completed</v>
      </c>
      <c r="AD330" s="7" t="n">
        <f aca="false">T330*U330*(1-W330)</f>
        <v>18604.08</v>
      </c>
      <c r="AE330" s="7" t="n">
        <f aca="false">AD330-Z330</f>
        <v>2769.78</v>
      </c>
      <c r="AF330" s="8" t="n">
        <f aca="false">IF(AD330=0,0,AE330/AD330)</f>
        <v>0.148880245623541</v>
      </c>
      <c r="AG330" s="3" t="str">
        <f aca="false">IF(ABS(Y330-AD330)&gt;1,"Mismatch","OK")</f>
        <v>OK</v>
      </c>
      <c r="AH330" s="3" t="str">
        <f aca="false">IF(ABS(AA330-AE330)&gt;1,"Mismatch","OK")</f>
        <v>OK</v>
      </c>
      <c r="AI330" s="6" t="n">
        <f aca="false">IF(B330="","",MONTH(B330))</f>
        <v>5</v>
      </c>
      <c r="AJ330" s="6" t="n">
        <f aca="false">IF(B330="","",YEAR(B330))</f>
        <v>2025</v>
      </c>
      <c r="AK330" s="3" t="str">
        <f aca="false">IF(COUNTIF(raw_data!$A$2:$A$913,A330)&gt;1,"Conflicting Duplicate - Flagged for Review","Unique")</f>
        <v>Unique</v>
      </c>
      <c r="AL330" s="3" t="str">
        <f aca="false">IF(AB330="Refunded","Yes","No")</f>
        <v>No</v>
      </c>
      <c r="AM330" s="3" t="str">
        <f aca="false">IF(OR(AC330&lt;&gt;"Completed",AB330="Failed"),"Excluded","Included")</f>
        <v>Included</v>
      </c>
      <c r="AN330" s="3" t="str">
        <f aca="false">IF(OR(D330="Invalid/Unrecognized",E330="Invalid/Unrecognized",G330="Invalid - Ship Before Order",X330="Negative - Invalid",X330="Above Allowed Range - Invalid",AG330="Mismatch",AH330="Mismatch",AK330="Conflicting Duplicate - Flagged for Review"),"Invalid",IF(OR(L330="Filled - Unknown",S330="Filled - Unknown",X330="Missing - Defaulted to 0",AL330="Yes",AC330="Cancelled",AC330="Returned"),"Warning","Clean"))</f>
        <v>Clean</v>
      </c>
    </row>
    <row r="331" customFormat="false" ht="15" hidden="false" customHeight="false" outlineLevel="0" collapsed="false">
      <c r="A331" s="3" t="str">
        <f aca="false">raw_data!A331</f>
        <v>ORD-2025-10330</v>
      </c>
      <c r="B331" s="4" t="n">
        <f aca="false">IFERROR(IF(MID(raw_data!B331,3,1)="/",DATE(VALUE(RIGHT(raw_data!B331,4)),VALUE(LEFT(raw_data!B331,2)),VALUE(MID(raw_data!B331,4,2))),IF(MID(raw_data!B331,3,1)="-",DATE(VALUE(RIGHT(raw_data!B331,4)),VALUE(MID(raw_data!B331,4,2)),VALUE(LEFT(raw_data!B331,2))),IF(MID(raw_data!B331,5,1)="-",DATE(VALUE(LEFT(raw_data!B331,4)),VALUE(MID(raw_data!B331,6,2)),VALUE(RIGHT(raw_data!B331,2))),DATE(VALUE(RIGHT(raw_data!B331,4)),MATCH(MID(raw_data!B331,4,3),{"Jan","Feb","Mar","Apr","May","Jun","Jul","Aug","Sep","Oct","Nov","Dec"},0),VALUE(LEFT(raw_data!B331,2)))))),"")</f>
        <v>45789</v>
      </c>
      <c r="C331" s="4" t="n">
        <f aca="false">IFERROR(IF(MID(raw_data!C331,3,1)="/",DATE(VALUE(RIGHT(raw_data!C331,4)),VALUE(LEFT(raw_data!C331,2)),VALUE(MID(raw_data!C331,4,2))),IF(MID(raw_data!C331,3,1)="-",DATE(VALUE(RIGHT(raw_data!C331,4)),VALUE(MID(raw_data!C331,4,2)),VALUE(LEFT(raw_data!C331,2))),IF(MID(raw_data!C331,5,1)="-",DATE(VALUE(LEFT(raw_data!C331,4)),VALUE(MID(raw_data!C331,6,2)),VALUE(RIGHT(raw_data!C331,2))),DATE(VALUE(RIGHT(raw_data!C331,4)),MATCH(MID(raw_data!C331,4,3),{"Jan","Feb","Mar","Apr","May","Jun","Jul","Aug","Sep","Oct","Nov","Dec"},0),VALUE(LEFT(raw_data!C331,2)))))),"")</f>
        <v>45795</v>
      </c>
      <c r="D331" s="3" t="str">
        <f aca="false">IF(TRIM(raw_data!B331)="","Missing",IF(B331="","Invalid/Unrecognized","Valid"))</f>
        <v>Valid</v>
      </c>
      <c r="E331" s="3" t="str">
        <f aca="false">IF(TRIM(raw_data!C331)="","Missing",IF(C331="","Invalid/Unrecognized","Valid"))</f>
        <v>Valid</v>
      </c>
      <c r="F331" s="5" t="n">
        <f aca="false">IF(OR(B331="",C331=""),"",C331-B331)</f>
        <v>6</v>
      </c>
      <c r="G331" s="3" t="str">
        <f aca="false">IF(F331="","N/A",IF(F331&lt;0,"Invalid - Ship Before Order","OK"))</f>
        <v>OK</v>
      </c>
      <c r="H331" s="3" t="str">
        <f aca="false">raw_data!D331</f>
        <v>CUST-9718</v>
      </c>
      <c r="I331" s="3" t="str">
        <f aca="false">PROPER(TRIM(raw_data!E331))</f>
        <v>Neha Gupta</v>
      </c>
      <c r="J331" s="3" t="str">
        <f aca="false">PROPER(TRIM(raw_data!F331))</f>
        <v>Small Business</v>
      </c>
      <c r="K331" s="3" t="str">
        <f aca="false">IF(TRIM(raw_data!G331)="","Unknown",PROPER(TRIM(raw_data!G331)))</f>
        <v>West</v>
      </c>
      <c r="L331" s="3" t="str">
        <f aca="false">IF(TRIM(raw_data!G331)="","Filled - Unknown","OK")</f>
        <v>OK</v>
      </c>
      <c r="M331" s="3" t="str">
        <f aca="false">PROPER(TRIM(raw_data!H331))</f>
        <v>Maharashtra</v>
      </c>
      <c r="N331" s="3" t="str">
        <f aca="false">PROPER(TRIM(raw_data!I331))</f>
        <v>Mumbai</v>
      </c>
      <c r="O331" s="3" t="str">
        <f aca="false">PROPER(TRIM(raw_data!J331))</f>
        <v>Office Supplies</v>
      </c>
      <c r="P331" s="3" t="str">
        <f aca="false">PROPER(TRIM(raw_data!K331))</f>
        <v>Storage</v>
      </c>
      <c r="Q331" s="3" t="str">
        <f aca="false">TRIM(raw_data!L331)</f>
        <v>Prime Storage 232</v>
      </c>
      <c r="R331" s="3" t="str">
        <f aca="false">IF(TRIM(raw_data!M331)="","Unknown",PROPER(TRIM(raw_data!M331)))</f>
        <v>Standard Class</v>
      </c>
      <c r="S331" s="3" t="str">
        <f aca="false">IF(TRIM(raw_data!M331)="","Filled - Unknown","OK")</f>
        <v>OK</v>
      </c>
      <c r="T331" s="6" t="n">
        <f aca="false">raw_data!N331</f>
        <v>4</v>
      </c>
      <c r="U331" s="7" t="n">
        <f aca="false">raw_data!O331</f>
        <v>4053.03</v>
      </c>
      <c r="V331" s="8" t="n">
        <f aca="false">raw_data!P331</f>
        <v>0.05</v>
      </c>
      <c r="W331" s="8" t="n">
        <f aca="false">IF(raw_data!P331="",0,IF(ISTEXT(raw_data!P331),IF(RIGHT(raw_data!P331,1)="%",VALUE(LEFT(raw_data!P331,LEN(raw_data!P331)-1))/100,VALUE(raw_data!P331)),raw_data!P331))</f>
        <v>0.05</v>
      </c>
      <c r="X331" s="3" t="str">
        <f aca="false">IF(raw_data!P331="","Missing - Defaulted to 0",IF(W331&lt;0,"Negative - Invalid",IF(W331&gt;0.3,"Above Allowed Range - Invalid","Valid")))</f>
        <v>Valid</v>
      </c>
      <c r="Y331" s="7" t="n">
        <f aca="false">raw_data!Q331</f>
        <v>15401.51</v>
      </c>
      <c r="Z331" s="7" t="n">
        <f aca="false">raw_data!R331</f>
        <v>8650.42</v>
      </c>
      <c r="AA331" s="7" t="n">
        <f aca="false">raw_data!S331</f>
        <v>6751.09</v>
      </c>
      <c r="AB331" s="3" t="str">
        <f aca="false">PROPER(TRIM(raw_data!T331))</f>
        <v>Paid</v>
      </c>
      <c r="AC331" s="3" t="str">
        <f aca="false">PROPER(TRIM(raw_data!U331))</f>
        <v>Completed</v>
      </c>
      <c r="AD331" s="7" t="n">
        <f aca="false">T331*U331*(1-W331)</f>
        <v>15401.514</v>
      </c>
      <c r="AE331" s="7" t="n">
        <f aca="false">AD331-Z331</f>
        <v>6751.094</v>
      </c>
      <c r="AF331" s="8" t="n">
        <f aca="false">IF(AD331=0,0,AE331/AD331)</f>
        <v>0.438339633363317</v>
      </c>
      <c r="AG331" s="3" t="str">
        <f aca="false">IF(ABS(Y331-AD331)&gt;1,"Mismatch","OK")</f>
        <v>OK</v>
      </c>
      <c r="AH331" s="3" t="str">
        <f aca="false">IF(ABS(AA331-AE331)&gt;1,"Mismatch","OK")</f>
        <v>OK</v>
      </c>
      <c r="AI331" s="6" t="n">
        <f aca="false">IF(B331="","",MONTH(B331))</f>
        <v>5</v>
      </c>
      <c r="AJ331" s="6" t="n">
        <f aca="false">IF(B331="","",YEAR(B331))</f>
        <v>2025</v>
      </c>
      <c r="AK331" s="3" t="str">
        <f aca="false">IF(COUNTIF(raw_data!$A$2:$A$913,A331)&gt;1,"Conflicting Duplicate - Flagged for Review","Unique")</f>
        <v>Unique</v>
      </c>
      <c r="AL331" s="3" t="str">
        <f aca="false">IF(AB331="Refunded","Yes","No")</f>
        <v>No</v>
      </c>
      <c r="AM331" s="3" t="str">
        <f aca="false">IF(OR(AC331&lt;&gt;"Completed",AB331="Failed"),"Excluded","Included")</f>
        <v>Included</v>
      </c>
      <c r="AN331" s="3" t="str">
        <f aca="false">IF(OR(D331="Invalid/Unrecognized",E331="Invalid/Unrecognized",G331="Invalid - Ship Before Order",X331="Negative - Invalid",X331="Above Allowed Range - Invalid",AG331="Mismatch",AH331="Mismatch",AK331="Conflicting Duplicate - Flagged for Review"),"Invalid",IF(OR(L331="Filled - Unknown",S331="Filled - Unknown",X331="Missing - Defaulted to 0",AL331="Yes",AC331="Cancelled",AC331="Returned"),"Warning","Clean"))</f>
        <v>Clean</v>
      </c>
    </row>
    <row r="332" customFormat="false" ht="15" hidden="false" customHeight="false" outlineLevel="0" collapsed="false">
      <c r="A332" s="3" t="str">
        <f aca="false">raw_data!A332</f>
        <v>ORD-2024-10331</v>
      </c>
      <c r="B332" s="4" t="n">
        <f aca="false">IFERROR(IF(MID(raw_data!B332,3,1)="/",DATE(VALUE(RIGHT(raw_data!B332,4)),VALUE(LEFT(raw_data!B332,2)),VALUE(MID(raw_data!B332,4,2))),IF(MID(raw_data!B332,3,1)="-",DATE(VALUE(RIGHT(raw_data!B332,4)),VALUE(MID(raw_data!B332,4,2)),VALUE(LEFT(raw_data!B332,2))),IF(MID(raw_data!B332,5,1)="-",DATE(VALUE(LEFT(raw_data!B332,4)),VALUE(MID(raw_data!B332,6,2)),VALUE(RIGHT(raw_data!B332,2))),DATE(VALUE(RIGHT(raw_data!B332,4)),MATCH(MID(raw_data!B332,4,3),{"Jan","Feb","Mar","Apr","May","Jun","Jul","Aug","Sep","Oct","Nov","Dec"},0),VALUE(LEFT(raw_data!B332,2)))))),"")</f>
        <v>45428</v>
      </c>
      <c r="C332" s="4" t="n">
        <f aca="false">IFERROR(IF(MID(raw_data!C332,3,1)="/",DATE(VALUE(RIGHT(raw_data!C332,4)),VALUE(LEFT(raw_data!C332,2)),VALUE(MID(raw_data!C332,4,2))),IF(MID(raw_data!C332,3,1)="-",DATE(VALUE(RIGHT(raw_data!C332,4)),VALUE(MID(raw_data!C332,4,2)),VALUE(LEFT(raw_data!C332,2))),IF(MID(raw_data!C332,5,1)="-",DATE(VALUE(LEFT(raw_data!C332,4)),VALUE(MID(raw_data!C332,6,2)),VALUE(RIGHT(raw_data!C332,2))),DATE(VALUE(RIGHT(raw_data!C332,4)),MATCH(MID(raw_data!C332,4,3),{"Jan","Feb","Mar","Apr","May","Jun","Jul","Aug","Sep","Oct","Nov","Dec"},0),VALUE(LEFT(raw_data!C332,2)))))),"")</f>
        <v>45436</v>
      </c>
      <c r="D332" s="3" t="str">
        <f aca="false">IF(TRIM(raw_data!B332)="","Missing",IF(B332="","Invalid/Unrecognized","Valid"))</f>
        <v>Valid</v>
      </c>
      <c r="E332" s="3" t="str">
        <f aca="false">IF(TRIM(raw_data!C332)="","Missing",IF(C332="","Invalid/Unrecognized","Valid"))</f>
        <v>Valid</v>
      </c>
      <c r="F332" s="5" t="n">
        <f aca="false">IF(OR(B332="",C332=""),"",C332-B332)</f>
        <v>8</v>
      </c>
      <c r="G332" s="3" t="str">
        <f aca="false">IF(F332="","N/A",IF(F332&lt;0,"Invalid - Ship Before Order","OK"))</f>
        <v>OK</v>
      </c>
      <c r="H332" s="3" t="str">
        <f aca="false">raw_data!D332</f>
        <v>CUST-1116</v>
      </c>
      <c r="I332" s="3" t="str">
        <f aca="false">PROPER(TRIM(raw_data!E332))</f>
        <v>Arjun Bose</v>
      </c>
      <c r="J332" s="3" t="str">
        <f aca="false">PROPER(TRIM(raw_data!F332))</f>
        <v>Home Office</v>
      </c>
      <c r="K332" s="3" t="str">
        <f aca="false">IF(TRIM(raw_data!G332)="","Unknown",PROPER(TRIM(raw_data!G332)))</f>
        <v>North</v>
      </c>
      <c r="L332" s="3" t="str">
        <f aca="false">IF(TRIM(raw_data!G332)="","Filled - Unknown","OK")</f>
        <v>OK</v>
      </c>
      <c r="M332" s="3" t="str">
        <f aca="false">PROPER(TRIM(raw_data!H332))</f>
        <v>Punjab</v>
      </c>
      <c r="N332" s="3" t="str">
        <f aca="false">PROPER(TRIM(raw_data!I332))</f>
        <v>Ludhiana</v>
      </c>
      <c r="O332" s="3" t="str">
        <f aca="false">PROPER(TRIM(raw_data!J332))</f>
        <v>Technology</v>
      </c>
      <c r="P332" s="3" t="str">
        <f aca="false">PROPER(TRIM(raw_data!K332))</f>
        <v>Accessories</v>
      </c>
      <c r="Q332" s="3" t="str">
        <f aca="false">TRIM(raw_data!L332)</f>
        <v>Prime Accessories 335</v>
      </c>
      <c r="R332" s="3" t="str">
        <f aca="false">IF(TRIM(raw_data!M332)="","Unknown",PROPER(TRIM(raw_data!M332)))</f>
        <v>Same Day</v>
      </c>
      <c r="S332" s="3" t="str">
        <f aca="false">IF(TRIM(raw_data!M332)="","Filled - Unknown","OK")</f>
        <v>OK</v>
      </c>
      <c r="T332" s="6" t="n">
        <f aca="false">raw_data!N332</f>
        <v>1</v>
      </c>
      <c r="U332" s="7" t="n">
        <f aca="false">raw_data!O332</f>
        <v>783.09</v>
      </c>
      <c r="V332" s="8" t="n">
        <f aca="false">raw_data!P332</f>
        <v>0</v>
      </c>
      <c r="W332" s="8" t="n">
        <f aca="false">IF(raw_data!P332="",0,IF(ISTEXT(raw_data!P332),IF(RIGHT(raw_data!P332,1)="%",VALUE(LEFT(raw_data!P332,LEN(raw_data!P332)-1))/100,VALUE(raw_data!P332)),raw_data!P332))</f>
        <v>0</v>
      </c>
      <c r="X332" s="3" t="str">
        <f aca="false">IF(raw_data!P332="","Missing - Defaulted to 0",IF(W332&lt;0,"Negative - Invalid",IF(W332&gt;0.3,"Above Allowed Range - Invalid","Valid")))</f>
        <v>Valid</v>
      </c>
      <c r="Y332" s="7" t="n">
        <f aca="false">raw_data!Q332</f>
        <v>783.09</v>
      </c>
      <c r="Z332" s="7" t="n">
        <f aca="false">raw_data!R332</f>
        <v>503.89</v>
      </c>
      <c r="AA332" s="7" t="n">
        <f aca="false">raw_data!S332</f>
        <v>279.2</v>
      </c>
      <c r="AB332" s="3" t="str">
        <f aca="false">PROPER(TRIM(raw_data!T332))</f>
        <v>Failed</v>
      </c>
      <c r="AC332" s="3" t="str">
        <f aca="false">PROPER(TRIM(raw_data!U332))</f>
        <v>Cancelled</v>
      </c>
      <c r="AD332" s="7" t="n">
        <f aca="false">T332*U332*(1-W332)</f>
        <v>783.09</v>
      </c>
      <c r="AE332" s="7" t="n">
        <f aca="false">AD332-Z332</f>
        <v>279.2</v>
      </c>
      <c r="AF332" s="8" t="n">
        <f aca="false">IF(AD332=0,0,AE332/AD332)</f>
        <v>0.356536285739826</v>
      </c>
      <c r="AG332" s="3" t="str">
        <f aca="false">IF(ABS(Y332-AD332)&gt;1,"Mismatch","OK")</f>
        <v>OK</v>
      </c>
      <c r="AH332" s="3" t="str">
        <f aca="false">IF(ABS(AA332-AE332)&gt;1,"Mismatch","OK")</f>
        <v>OK</v>
      </c>
      <c r="AI332" s="6" t="n">
        <f aca="false">IF(B332="","",MONTH(B332))</f>
        <v>5</v>
      </c>
      <c r="AJ332" s="6" t="n">
        <f aca="false">IF(B332="","",YEAR(B332))</f>
        <v>2024</v>
      </c>
      <c r="AK332" s="3" t="str">
        <f aca="false">IF(COUNTIF(raw_data!$A$2:$A$913,A332)&gt;1,"Conflicting Duplicate - Flagged for Review","Unique")</f>
        <v>Unique</v>
      </c>
      <c r="AL332" s="3" t="str">
        <f aca="false">IF(AB332="Refunded","Yes","No")</f>
        <v>No</v>
      </c>
      <c r="AM332" s="3" t="str">
        <f aca="false">IF(OR(AC332&lt;&gt;"Completed",AB332="Failed"),"Excluded","Included")</f>
        <v>Excluded</v>
      </c>
      <c r="AN332" s="3" t="str">
        <f aca="false">IF(OR(D332="Invalid/Unrecognized",E332="Invalid/Unrecognized",G332="Invalid - Ship Before Order",X332="Negative - Invalid",X332="Above Allowed Range - Invalid",AG332="Mismatch",AH332="Mismatch",AK332="Conflicting Duplicate - Flagged for Review"),"Invalid",IF(OR(L332="Filled - Unknown",S332="Filled - Unknown",X332="Missing - Defaulted to 0",AL332="Yes",AC332="Cancelled",AC332="Returned"),"Warning","Clean"))</f>
        <v>Warning</v>
      </c>
    </row>
    <row r="333" customFormat="false" ht="15" hidden="false" customHeight="false" outlineLevel="0" collapsed="false">
      <c r="A333" s="3" t="str">
        <f aca="false">raw_data!A333</f>
        <v>ORD-2024-10332</v>
      </c>
      <c r="B333" s="4" t="n">
        <f aca="false">IFERROR(IF(MID(raw_data!B333,3,1)="/",DATE(VALUE(RIGHT(raw_data!B333,4)),VALUE(LEFT(raw_data!B333,2)),VALUE(MID(raw_data!B333,4,2))),IF(MID(raw_data!B333,3,1)="-",DATE(VALUE(RIGHT(raw_data!B333,4)),VALUE(MID(raw_data!B333,4,2)),VALUE(LEFT(raw_data!B333,2))),IF(MID(raw_data!B333,5,1)="-",DATE(VALUE(LEFT(raw_data!B333,4)),VALUE(MID(raw_data!B333,6,2)),VALUE(RIGHT(raw_data!B333,2))),DATE(VALUE(RIGHT(raw_data!B333,4)),MATCH(MID(raw_data!B333,4,3),{"Jan","Feb","Mar","Apr","May","Jun","Jul","Aug","Sep","Oct","Nov","Dec"},0),VALUE(LEFT(raw_data!B333,2)))))),"")</f>
        <v>45630</v>
      </c>
      <c r="C333" s="4" t="n">
        <f aca="false">IFERROR(IF(MID(raw_data!C333,3,1)="/",DATE(VALUE(RIGHT(raw_data!C333,4)),VALUE(LEFT(raw_data!C333,2)),VALUE(MID(raw_data!C333,4,2))),IF(MID(raw_data!C333,3,1)="-",DATE(VALUE(RIGHT(raw_data!C333,4)),VALUE(MID(raw_data!C333,4,2)),VALUE(LEFT(raw_data!C333,2))),IF(MID(raw_data!C333,5,1)="-",DATE(VALUE(LEFT(raw_data!C333,4)),VALUE(MID(raw_data!C333,6,2)),VALUE(RIGHT(raw_data!C333,2))),DATE(VALUE(RIGHT(raw_data!C333,4)),MATCH(MID(raw_data!C333,4,3),{"Jan","Feb","Mar","Apr","May","Jun","Jul","Aug","Sep","Oct","Nov","Dec"},0),VALUE(LEFT(raw_data!C333,2)))))),"")</f>
        <v>45632</v>
      </c>
      <c r="D333" s="3" t="str">
        <f aca="false">IF(TRIM(raw_data!B333)="","Missing",IF(B333="","Invalid/Unrecognized","Valid"))</f>
        <v>Valid</v>
      </c>
      <c r="E333" s="3" t="str">
        <f aca="false">IF(TRIM(raw_data!C333)="","Missing",IF(C333="","Invalid/Unrecognized","Valid"))</f>
        <v>Valid</v>
      </c>
      <c r="F333" s="5" t="n">
        <f aca="false">IF(OR(B333="",C333=""),"",C333-B333)</f>
        <v>2</v>
      </c>
      <c r="G333" s="3" t="str">
        <f aca="false">IF(F333="","N/A",IF(F333&lt;0,"Invalid - Ship Before Order","OK"))</f>
        <v>OK</v>
      </c>
      <c r="H333" s="3" t="str">
        <f aca="false">raw_data!D333</f>
        <v>CUST-9346</v>
      </c>
      <c r="I333" s="3" t="str">
        <f aca="false">PROPER(TRIM(raw_data!E333))</f>
        <v>Sneha Kapoor</v>
      </c>
      <c r="J333" s="3" t="str">
        <f aca="false">PROPER(TRIM(raw_data!F333))</f>
        <v>Home Office</v>
      </c>
      <c r="K333" s="3" t="str">
        <f aca="false">IF(TRIM(raw_data!G333)="","Unknown",PROPER(TRIM(raw_data!G333)))</f>
        <v>East</v>
      </c>
      <c r="L333" s="3" t="str">
        <f aca="false">IF(TRIM(raw_data!G333)="","Filled - Unknown","OK")</f>
        <v>OK</v>
      </c>
      <c r="M333" s="3" t="str">
        <f aca="false">PROPER(TRIM(raw_data!H333))</f>
        <v>Odisha</v>
      </c>
      <c r="N333" s="3" t="str">
        <f aca="false">PROPER(TRIM(raw_data!I333))</f>
        <v>Bhubaneswar</v>
      </c>
      <c r="O333" s="3" t="str">
        <f aca="false">PROPER(TRIM(raw_data!J333))</f>
        <v>Office Supplies</v>
      </c>
      <c r="P333" s="3" t="str">
        <f aca="false">PROPER(TRIM(raw_data!K333))</f>
        <v>Binders</v>
      </c>
      <c r="Q333" s="3" t="str">
        <f aca="false">TRIM(raw_data!L333)</f>
        <v>Smart Binders 939</v>
      </c>
      <c r="R333" s="3" t="str">
        <f aca="false">IF(TRIM(raw_data!M333)="","Unknown",PROPER(TRIM(raw_data!M333)))</f>
        <v>Second Class</v>
      </c>
      <c r="S333" s="3" t="str">
        <f aca="false">IF(TRIM(raw_data!M333)="","Filled - Unknown","OK")</f>
        <v>OK</v>
      </c>
      <c r="T333" s="6" t="n">
        <f aca="false">raw_data!N333</f>
        <v>4</v>
      </c>
      <c r="U333" s="7" t="n">
        <f aca="false">raw_data!O333</f>
        <v>2685.66</v>
      </c>
      <c r="V333" s="8" t="n">
        <f aca="false">raw_data!P333</f>
        <v>0</v>
      </c>
      <c r="W333" s="8" t="n">
        <f aca="false">IF(raw_data!P333="",0,IF(ISTEXT(raw_data!P333),IF(RIGHT(raw_data!P333,1)="%",VALUE(LEFT(raw_data!P333,LEN(raw_data!P333)-1))/100,VALUE(raw_data!P333)),raw_data!P333))</f>
        <v>0</v>
      </c>
      <c r="X333" s="3" t="str">
        <f aca="false">IF(raw_data!P333="","Missing - Defaulted to 0",IF(W333&lt;0,"Negative - Invalid",IF(W333&gt;0.3,"Above Allowed Range - Invalid","Valid")))</f>
        <v>Valid</v>
      </c>
      <c r="Y333" s="7" t="n">
        <f aca="false">raw_data!Q333</f>
        <v>10742.64</v>
      </c>
      <c r="Z333" s="7" t="n">
        <f aca="false">raw_data!R333</f>
        <v>6477.37</v>
      </c>
      <c r="AA333" s="7" t="n">
        <f aca="false">raw_data!S333</f>
        <v>4265.27</v>
      </c>
      <c r="AB333" s="3" t="str">
        <f aca="false">PROPER(TRIM(raw_data!T333))</f>
        <v>Paid</v>
      </c>
      <c r="AC333" s="3" t="str">
        <f aca="false">PROPER(TRIM(raw_data!U333))</f>
        <v>Returned</v>
      </c>
      <c r="AD333" s="7" t="n">
        <f aca="false">T333*U333*(1-W333)</f>
        <v>10742.64</v>
      </c>
      <c r="AE333" s="7" t="n">
        <f aca="false">AD333-Z333</f>
        <v>4265.27</v>
      </c>
      <c r="AF333" s="8" t="n">
        <f aca="false">IF(AD333=0,0,AE333/AD333)</f>
        <v>0.397041137001705</v>
      </c>
      <c r="AG333" s="3" t="str">
        <f aca="false">IF(ABS(Y333-AD333)&gt;1,"Mismatch","OK")</f>
        <v>OK</v>
      </c>
      <c r="AH333" s="3" t="str">
        <f aca="false">IF(ABS(AA333-AE333)&gt;1,"Mismatch","OK")</f>
        <v>OK</v>
      </c>
      <c r="AI333" s="6" t="n">
        <f aca="false">IF(B333="","",MONTH(B333))</f>
        <v>12</v>
      </c>
      <c r="AJ333" s="6" t="n">
        <f aca="false">IF(B333="","",YEAR(B333))</f>
        <v>2024</v>
      </c>
      <c r="AK333" s="3" t="str">
        <f aca="false">IF(COUNTIF(raw_data!$A$2:$A$913,A333)&gt;1,"Conflicting Duplicate - Flagged for Review","Unique")</f>
        <v>Conflicting Duplicate - Flagged for Review</v>
      </c>
      <c r="AL333" s="3" t="str">
        <f aca="false">IF(AB333="Refunded","Yes","No")</f>
        <v>No</v>
      </c>
      <c r="AM333" s="3" t="str">
        <f aca="false">IF(OR(AC333&lt;&gt;"Completed",AB333="Failed"),"Excluded","Included")</f>
        <v>Excluded</v>
      </c>
      <c r="AN333" s="3" t="str">
        <f aca="false">IF(OR(D333="Invalid/Unrecognized",E333="Invalid/Unrecognized",G333="Invalid - Ship Before Order",X333="Negative - Invalid",X333="Above Allowed Range - Invalid",AG333="Mismatch",AH333="Mismatch",AK333="Conflicting Duplicate - Flagged for Review"),"Invalid",IF(OR(L333="Filled - Unknown",S333="Filled - Unknown",X333="Missing - Defaulted to 0",AL333="Yes",AC333="Cancelled",AC333="Returned"),"Warning","Clean"))</f>
        <v>Invalid</v>
      </c>
    </row>
    <row r="334" customFormat="false" ht="15" hidden="false" customHeight="false" outlineLevel="0" collapsed="false">
      <c r="A334" s="3" t="str">
        <f aca="false">raw_data!A334</f>
        <v>ORD-2025-10333</v>
      </c>
      <c r="B334" s="4" t="n">
        <f aca="false">IFERROR(IF(MID(raw_data!B334,3,1)="/",DATE(VALUE(RIGHT(raw_data!B334,4)),VALUE(LEFT(raw_data!B334,2)),VALUE(MID(raw_data!B334,4,2))),IF(MID(raw_data!B334,3,1)="-",DATE(VALUE(RIGHT(raw_data!B334,4)),VALUE(MID(raw_data!B334,4,2)),VALUE(LEFT(raw_data!B334,2))),IF(MID(raw_data!B334,5,1)="-",DATE(VALUE(LEFT(raw_data!B334,4)),VALUE(MID(raw_data!B334,6,2)),VALUE(RIGHT(raw_data!B334,2))),DATE(VALUE(RIGHT(raw_data!B334,4)),MATCH(MID(raw_data!B334,4,3),{"Jan","Feb","Mar","Apr","May","Jun","Jul","Aug","Sep","Oct","Nov","Dec"},0),VALUE(LEFT(raw_data!B334,2)))))),"")</f>
        <v>45804</v>
      </c>
      <c r="C334" s="4" t="n">
        <f aca="false">IFERROR(IF(MID(raw_data!C334,3,1)="/",DATE(VALUE(RIGHT(raw_data!C334,4)),VALUE(LEFT(raw_data!C334,2)),VALUE(MID(raw_data!C334,4,2))),IF(MID(raw_data!C334,3,1)="-",DATE(VALUE(RIGHT(raw_data!C334,4)),VALUE(MID(raw_data!C334,4,2)),VALUE(LEFT(raw_data!C334,2))),IF(MID(raw_data!C334,5,1)="-",DATE(VALUE(LEFT(raw_data!C334,4)),VALUE(MID(raw_data!C334,6,2)),VALUE(RIGHT(raw_data!C334,2))),DATE(VALUE(RIGHT(raw_data!C334,4)),MATCH(MID(raw_data!C334,4,3),{"Jan","Feb","Mar","Apr","May","Jun","Jul","Aug","Sep","Oct","Nov","Dec"},0),VALUE(LEFT(raw_data!C334,2)))))),"")</f>
        <v>45805</v>
      </c>
      <c r="D334" s="3" t="str">
        <f aca="false">IF(TRIM(raw_data!B334)="","Missing",IF(B334="","Invalid/Unrecognized","Valid"))</f>
        <v>Valid</v>
      </c>
      <c r="E334" s="3" t="str">
        <f aca="false">IF(TRIM(raw_data!C334)="","Missing",IF(C334="","Invalid/Unrecognized","Valid"))</f>
        <v>Valid</v>
      </c>
      <c r="F334" s="5" t="n">
        <f aca="false">IF(OR(B334="",C334=""),"",C334-B334)</f>
        <v>1</v>
      </c>
      <c r="G334" s="3" t="str">
        <f aca="false">IF(F334="","N/A",IF(F334&lt;0,"Invalid - Ship Before Order","OK"))</f>
        <v>OK</v>
      </c>
      <c r="H334" s="3" t="str">
        <f aca="false">raw_data!D334</f>
        <v>CUST-5332</v>
      </c>
      <c r="I334" s="3" t="str">
        <f aca="false">PROPER(TRIM(raw_data!E334))</f>
        <v>Aarav Sharma</v>
      </c>
      <c r="J334" s="3" t="str">
        <f aca="false">PROPER(TRIM(raw_data!F334))</f>
        <v>Consumer</v>
      </c>
      <c r="K334" s="3" t="str">
        <f aca="false">IF(TRIM(raw_data!G334)="","Unknown",PROPER(TRIM(raw_data!G334)))</f>
        <v>South</v>
      </c>
      <c r="L334" s="3" t="str">
        <f aca="false">IF(TRIM(raw_data!G334)="","Filled - Unknown","OK")</f>
        <v>OK</v>
      </c>
      <c r="M334" s="3" t="str">
        <f aca="false">PROPER(TRIM(raw_data!H334))</f>
        <v>Andhra Pradesh</v>
      </c>
      <c r="N334" s="3" t="str">
        <f aca="false">PROPER(TRIM(raw_data!I334))</f>
        <v>Vijayawada</v>
      </c>
      <c r="O334" s="3" t="str">
        <f aca="false">PROPER(TRIM(raw_data!J334))</f>
        <v>Technology</v>
      </c>
      <c r="P334" s="3" t="str">
        <f aca="false">PROPER(TRIM(raw_data!K334))</f>
        <v>Machines</v>
      </c>
      <c r="Q334" s="3" t="str">
        <f aca="false">TRIM(raw_data!L334)</f>
        <v>Basic Machines 601</v>
      </c>
      <c r="R334" s="3" t="str">
        <f aca="false">IF(TRIM(raw_data!M334)="","Unknown",PROPER(TRIM(raw_data!M334)))</f>
        <v>Second Class</v>
      </c>
      <c r="S334" s="3" t="str">
        <f aca="false">IF(TRIM(raw_data!M334)="","Filled - Unknown","OK")</f>
        <v>OK</v>
      </c>
      <c r="T334" s="6" t="n">
        <f aca="false">raw_data!N334</f>
        <v>2</v>
      </c>
      <c r="U334" s="7" t="n">
        <f aca="false">raw_data!O334</f>
        <v>3911.96</v>
      </c>
      <c r="V334" s="8" t="n">
        <f aca="false">raw_data!P334</f>
        <v>0</v>
      </c>
      <c r="W334" s="8" t="n">
        <f aca="false">IF(raw_data!P334="",0,IF(ISTEXT(raw_data!P334),IF(RIGHT(raw_data!P334,1)="%",VALUE(LEFT(raw_data!P334,LEN(raw_data!P334)-1))/100,VALUE(raw_data!P334)),raw_data!P334))</f>
        <v>0</v>
      </c>
      <c r="X334" s="3" t="str">
        <f aca="false">IF(raw_data!P334="","Missing - Defaulted to 0",IF(W334&lt;0,"Negative - Invalid",IF(W334&gt;0.3,"Above Allowed Range - Invalid","Valid")))</f>
        <v>Valid</v>
      </c>
      <c r="Y334" s="7" t="n">
        <f aca="false">raw_data!Q334</f>
        <v>7823.92</v>
      </c>
      <c r="Z334" s="7" t="n">
        <f aca="false">raw_data!R334</f>
        <v>6034.63</v>
      </c>
      <c r="AA334" s="7" t="n">
        <f aca="false">raw_data!S334</f>
        <v>1789.29</v>
      </c>
      <c r="AB334" s="3" t="str">
        <f aca="false">PROPER(TRIM(raw_data!T334))</f>
        <v>Paid</v>
      </c>
      <c r="AC334" s="3" t="str">
        <f aca="false">PROPER(TRIM(raw_data!U334))</f>
        <v>Completed</v>
      </c>
      <c r="AD334" s="7" t="n">
        <f aca="false">T334*U334*(1-W334)</f>
        <v>7823.92</v>
      </c>
      <c r="AE334" s="7" t="n">
        <f aca="false">AD334-Z334</f>
        <v>1789.29</v>
      </c>
      <c r="AF334" s="8" t="n">
        <f aca="false">IF(AD334=0,0,AE334/AD334)</f>
        <v>0.22869482305545</v>
      </c>
      <c r="AG334" s="3" t="str">
        <f aca="false">IF(ABS(Y334-AD334)&gt;1,"Mismatch","OK")</f>
        <v>OK</v>
      </c>
      <c r="AH334" s="3" t="str">
        <f aca="false">IF(ABS(AA334-AE334)&gt;1,"Mismatch","OK")</f>
        <v>OK</v>
      </c>
      <c r="AI334" s="6" t="n">
        <f aca="false">IF(B334="","",MONTH(B334))</f>
        <v>5</v>
      </c>
      <c r="AJ334" s="6" t="n">
        <f aca="false">IF(B334="","",YEAR(B334))</f>
        <v>2025</v>
      </c>
      <c r="AK334" s="3" t="str">
        <f aca="false">IF(COUNTIF(raw_data!$A$2:$A$913,A334)&gt;1,"Conflicting Duplicate - Flagged for Review","Unique")</f>
        <v>Unique</v>
      </c>
      <c r="AL334" s="3" t="str">
        <f aca="false">IF(AB334="Refunded","Yes","No")</f>
        <v>No</v>
      </c>
      <c r="AM334" s="3" t="str">
        <f aca="false">IF(OR(AC334&lt;&gt;"Completed",AB334="Failed"),"Excluded","Included")</f>
        <v>Included</v>
      </c>
      <c r="AN334" s="3" t="str">
        <f aca="false">IF(OR(D334="Invalid/Unrecognized",E334="Invalid/Unrecognized",G334="Invalid - Ship Before Order",X334="Negative - Invalid",X334="Above Allowed Range - Invalid",AG334="Mismatch",AH334="Mismatch",AK334="Conflicting Duplicate - Flagged for Review"),"Invalid",IF(OR(L334="Filled - Unknown",S334="Filled - Unknown",X334="Missing - Defaulted to 0",AL334="Yes",AC334="Cancelled",AC334="Returned"),"Warning","Clean"))</f>
        <v>Clean</v>
      </c>
    </row>
    <row r="335" customFormat="false" ht="15" hidden="false" customHeight="false" outlineLevel="0" collapsed="false">
      <c r="A335" s="3" t="str">
        <f aca="false">raw_data!A335</f>
        <v>ORD-2025-10334</v>
      </c>
      <c r="B335" s="4" t="n">
        <f aca="false">IFERROR(IF(MID(raw_data!B335,3,1)="/",DATE(VALUE(RIGHT(raw_data!B335,4)),VALUE(LEFT(raw_data!B335,2)),VALUE(MID(raw_data!B335,4,2))),IF(MID(raw_data!B335,3,1)="-",DATE(VALUE(RIGHT(raw_data!B335,4)),VALUE(MID(raw_data!B335,4,2)),VALUE(LEFT(raw_data!B335,2))),IF(MID(raw_data!B335,5,1)="-",DATE(VALUE(LEFT(raw_data!B335,4)),VALUE(MID(raw_data!B335,6,2)),VALUE(RIGHT(raw_data!B335,2))),DATE(VALUE(RIGHT(raw_data!B335,4)),MATCH(MID(raw_data!B335,4,3),{"Jan","Feb","Mar","Apr","May","Jun","Jul","Aug","Sep","Oct","Nov","Dec"},0),VALUE(LEFT(raw_data!B335,2)))))),"")</f>
        <v>45830</v>
      </c>
      <c r="C335" s="4" t="n">
        <f aca="false">IFERROR(IF(MID(raw_data!C335,3,1)="/",DATE(VALUE(RIGHT(raw_data!C335,4)),VALUE(LEFT(raw_data!C335,2)),VALUE(MID(raw_data!C335,4,2))),IF(MID(raw_data!C335,3,1)="-",DATE(VALUE(RIGHT(raw_data!C335,4)),VALUE(MID(raw_data!C335,4,2)),VALUE(LEFT(raw_data!C335,2))),IF(MID(raw_data!C335,5,1)="-",DATE(VALUE(LEFT(raw_data!C335,4)),VALUE(MID(raw_data!C335,6,2)),VALUE(RIGHT(raw_data!C335,2))),DATE(VALUE(RIGHT(raw_data!C335,4)),MATCH(MID(raw_data!C335,4,3),{"Jan","Feb","Mar","Apr","May","Jun","Jul","Aug","Sep","Oct","Nov","Dec"},0),VALUE(LEFT(raw_data!C335,2)))))),"")</f>
        <v>45835</v>
      </c>
      <c r="D335" s="3" t="str">
        <f aca="false">IF(TRIM(raw_data!B335)="","Missing",IF(B335="","Invalid/Unrecognized","Valid"))</f>
        <v>Valid</v>
      </c>
      <c r="E335" s="3" t="str">
        <f aca="false">IF(TRIM(raw_data!C335)="","Missing",IF(C335="","Invalid/Unrecognized","Valid"))</f>
        <v>Valid</v>
      </c>
      <c r="F335" s="5" t="n">
        <f aca="false">IF(OR(B335="",C335=""),"",C335-B335)</f>
        <v>5</v>
      </c>
      <c r="G335" s="3" t="str">
        <f aca="false">IF(F335="","N/A",IF(F335&lt;0,"Invalid - Ship Before Order","OK"))</f>
        <v>OK</v>
      </c>
      <c r="H335" s="3" t="str">
        <f aca="false">raw_data!D335</f>
        <v>CUST-8081</v>
      </c>
      <c r="I335" s="3" t="str">
        <f aca="false">PROPER(TRIM(raw_data!E335))</f>
        <v>Rohan Mehta</v>
      </c>
      <c r="J335" s="3" t="str">
        <f aca="false">PROPER(TRIM(raw_data!F335))</f>
        <v>Home Office</v>
      </c>
      <c r="K335" s="3" t="str">
        <f aca="false">IF(TRIM(raw_data!G335)="","Unknown",PROPER(TRIM(raw_data!G335)))</f>
        <v>Unknown</v>
      </c>
      <c r="L335" s="3" t="str">
        <f aca="false">IF(TRIM(raw_data!G335)="","Filled - Unknown","OK")</f>
        <v>Filled - Unknown</v>
      </c>
      <c r="M335" s="3" t="str">
        <f aca="false">PROPER(TRIM(raw_data!H335))</f>
        <v>Delhi</v>
      </c>
      <c r="N335" s="3" t="str">
        <f aca="false">PROPER(TRIM(raw_data!I335))</f>
        <v>New Delhi</v>
      </c>
      <c r="O335" s="3" t="str">
        <f aca="false">PROPER(TRIM(raw_data!J335))</f>
        <v>Technology</v>
      </c>
      <c r="P335" s="3" t="str">
        <f aca="false">PROPER(TRIM(raw_data!K335))</f>
        <v>Phones</v>
      </c>
      <c r="Q335" s="3" t="str">
        <f aca="false">TRIM(raw_data!L335)</f>
        <v>Pro Phones 968</v>
      </c>
      <c r="R335" s="3" t="str">
        <f aca="false">IF(TRIM(raw_data!M335)="","Unknown",PROPER(TRIM(raw_data!M335)))</f>
        <v>First Class</v>
      </c>
      <c r="S335" s="3" t="str">
        <f aca="false">IF(TRIM(raw_data!M335)="","Filled - Unknown","OK")</f>
        <v>OK</v>
      </c>
      <c r="T335" s="6" t="n">
        <f aca="false">raw_data!N335</f>
        <v>2</v>
      </c>
      <c r="U335" s="7" t="n">
        <f aca="false">raw_data!O335</f>
        <v>1468.05</v>
      </c>
      <c r="V335" s="8" t="n">
        <f aca="false">raw_data!P335</f>
        <v>0</v>
      </c>
      <c r="W335" s="8" t="n">
        <f aca="false">IF(raw_data!P335="",0,IF(ISTEXT(raw_data!P335),IF(RIGHT(raw_data!P335,1)="%",VALUE(LEFT(raw_data!P335,LEN(raw_data!P335)-1))/100,VALUE(raw_data!P335)),raw_data!P335))</f>
        <v>0</v>
      </c>
      <c r="X335" s="3" t="str">
        <f aca="false">IF(raw_data!P335="","Missing - Defaulted to 0",IF(W335&lt;0,"Negative - Invalid",IF(W335&gt;0.3,"Above Allowed Range - Invalid","Valid")))</f>
        <v>Valid</v>
      </c>
      <c r="Y335" s="7" t="n">
        <f aca="false">raw_data!Q335</f>
        <v>2936.1</v>
      </c>
      <c r="Z335" s="7" t="n">
        <f aca="false">raw_data!R335</f>
        <v>1923.1</v>
      </c>
      <c r="AA335" s="7" t="n">
        <f aca="false">raw_data!S335</f>
        <v>1013</v>
      </c>
      <c r="AB335" s="3" t="str">
        <f aca="false">PROPER(TRIM(raw_data!T335))</f>
        <v>Paid</v>
      </c>
      <c r="AC335" s="3" t="str">
        <f aca="false">PROPER(TRIM(raw_data!U335))</f>
        <v>Completed</v>
      </c>
      <c r="AD335" s="7" t="n">
        <f aca="false">T335*U335*(1-W335)</f>
        <v>2936.1</v>
      </c>
      <c r="AE335" s="7" t="n">
        <f aca="false">AD335-Z335</f>
        <v>1013</v>
      </c>
      <c r="AF335" s="8" t="n">
        <f aca="false">IF(AD335=0,0,AE335/AD335)</f>
        <v>0.345015496747386</v>
      </c>
      <c r="AG335" s="3" t="str">
        <f aca="false">IF(ABS(Y335-AD335)&gt;1,"Mismatch","OK")</f>
        <v>OK</v>
      </c>
      <c r="AH335" s="3" t="str">
        <f aca="false">IF(ABS(AA335-AE335)&gt;1,"Mismatch","OK")</f>
        <v>OK</v>
      </c>
      <c r="AI335" s="6" t="n">
        <f aca="false">IF(B335="","",MONTH(B335))</f>
        <v>6</v>
      </c>
      <c r="AJ335" s="6" t="n">
        <f aca="false">IF(B335="","",YEAR(B335))</f>
        <v>2025</v>
      </c>
      <c r="AK335" s="3" t="str">
        <f aca="false">IF(COUNTIF(raw_data!$A$2:$A$913,A335)&gt;1,"Conflicting Duplicate - Flagged for Review","Unique")</f>
        <v>Unique</v>
      </c>
      <c r="AL335" s="3" t="str">
        <f aca="false">IF(AB335="Refunded","Yes","No")</f>
        <v>No</v>
      </c>
      <c r="AM335" s="3" t="str">
        <f aca="false">IF(OR(AC335&lt;&gt;"Completed",AB335="Failed"),"Excluded","Included")</f>
        <v>Included</v>
      </c>
      <c r="AN335" s="3" t="str">
        <f aca="false">IF(OR(D335="Invalid/Unrecognized",E335="Invalid/Unrecognized",G335="Invalid - Ship Before Order",X335="Negative - Invalid",X335="Above Allowed Range - Invalid",AG335="Mismatch",AH335="Mismatch",AK335="Conflicting Duplicate - Flagged for Review"),"Invalid",IF(OR(L335="Filled - Unknown",S335="Filled - Unknown",X335="Missing - Defaulted to 0",AL335="Yes",AC335="Cancelled",AC335="Returned"),"Warning","Clean"))</f>
        <v>Warning</v>
      </c>
    </row>
    <row r="336" customFormat="false" ht="15" hidden="false" customHeight="false" outlineLevel="0" collapsed="false">
      <c r="A336" s="3" t="str">
        <f aca="false">raw_data!A336</f>
        <v>ORD-2024-10335</v>
      </c>
      <c r="B336" s="4" t="n">
        <f aca="false">IFERROR(IF(MID(raw_data!B336,3,1)="/",DATE(VALUE(RIGHT(raw_data!B336,4)),VALUE(LEFT(raw_data!B336,2)),VALUE(MID(raw_data!B336,4,2))),IF(MID(raw_data!B336,3,1)="-",DATE(VALUE(RIGHT(raw_data!B336,4)),VALUE(MID(raw_data!B336,4,2)),VALUE(LEFT(raw_data!B336,2))),IF(MID(raw_data!B336,5,1)="-",DATE(VALUE(LEFT(raw_data!B336,4)),VALUE(MID(raw_data!B336,6,2)),VALUE(RIGHT(raw_data!B336,2))),DATE(VALUE(RIGHT(raw_data!B336,4)),MATCH(MID(raw_data!B336,4,3),{"Jan","Feb","Mar","Apr","May","Jun","Jul","Aug","Sep","Oct","Nov","Dec"},0),VALUE(LEFT(raw_data!B336,2)))))),"")</f>
        <v>45547</v>
      </c>
      <c r="C336" s="4" t="n">
        <f aca="false">IFERROR(IF(MID(raw_data!C336,3,1)="/",DATE(VALUE(RIGHT(raw_data!C336,4)),VALUE(LEFT(raw_data!C336,2)),VALUE(MID(raw_data!C336,4,2))),IF(MID(raw_data!C336,3,1)="-",DATE(VALUE(RIGHT(raw_data!C336,4)),VALUE(MID(raw_data!C336,4,2)),VALUE(LEFT(raw_data!C336,2))),IF(MID(raw_data!C336,5,1)="-",DATE(VALUE(LEFT(raw_data!C336,4)),VALUE(MID(raw_data!C336,6,2)),VALUE(RIGHT(raw_data!C336,2))),DATE(VALUE(RIGHT(raw_data!C336,4)),MATCH(MID(raw_data!C336,4,3),{"Jan","Feb","Mar","Apr","May","Jun","Jul","Aug","Sep","Oct","Nov","Dec"},0),VALUE(LEFT(raw_data!C336,2)))))),"")</f>
        <v>45552</v>
      </c>
      <c r="D336" s="3" t="str">
        <f aca="false">IF(TRIM(raw_data!B336)="","Missing",IF(B336="","Invalid/Unrecognized","Valid"))</f>
        <v>Valid</v>
      </c>
      <c r="E336" s="3" t="str">
        <f aca="false">IF(TRIM(raw_data!C336)="","Missing",IF(C336="","Invalid/Unrecognized","Valid"))</f>
        <v>Valid</v>
      </c>
      <c r="F336" s="5" t="n">
        <f aca="false">IF(OR(B336="",C336=""),"",C336-B336)</f>
        <v>5</v>
      </c>
      <c r="G336" s="3" t="str">
        <f aca="false">IF(F336="","N/A",IF(F336&lt;0,"Invalid - Ship Before Order","OK"))</f>
        <v>OK</v>
      </c>
      <c r="H336" s="3" t="str">
        <f aca="false">raw_data!D336</f>
        <v>CUST-3062</v>
      </c>
      <c r="I336" s="3" t="str">
        <f aca="false">PROPER(TRIM(raw_data!E336))</f>
        <v>Ananya Rao</v>
      </c>
      <c r="J336" s="3" t="str">
        <f aca="false">PROPER(TRIM(raw_data!F336))</f>
        <v>Consumer</v>
      </c>
      <c r="K336" s="3" t="str">
        <f aca="false">IF(TRIM(raw_data!G336)="","Unknown",PROPER(TRIM(raw_data!G336)))</f>
        <v>East</v>
      </c>
      <c r="L336" s="3" t="str">
        <f aca="false">IF(TRIM(raw_data!G336)="","Filled - Unknown","OK")</f>
        <v>OK</v>
      </c>
      <c r="M336" s="3" t="str">
        <f aca="false">PROPER(TRIM(raw_data!H336))</f>
        <v>Jharkhand</v>
      </c>
      <c r="N336" s="3" t="str">
        <f aca="false">PROPER(TRIM(raw_data!I336))</f>
        <v>Ranchi</v>
      </c>
      <c r="O336" s="3" t="str">
        <f aca="false">PROPER(TRIM(raw_data!J336))</f>
        <v>Office Supplies</v>
      </c>
      <c r="P336" s="3" t="str">
        <f aca="false">PROPER(TRIM(raw_data!K336))</f>
        <v>Storage</v>
      </c>
      <c r="Q336" s="3" t="str">
        <f aca="false">TRIM(raw_data!L336)</f>
        <v>Pro Storage 563</v>
      </c>
      <c r="R336" s="3" t="str">
        <f aca="false">IF(TRIM(raw_data!M336)="","Unknown",PROPER(TRIM(raw_data!M336)))</f>
        <v>First Class</v>
      </c>
      <c r="S336" s="3" t="str">
        <f aca="false">IF(TRIM(raw_data!M336)="","Filled - Unknown","OK")</f>
        <v>OK</v>
      </c>
      <c r="T336" s="6" t="n">
        <f aca="false">raw_data!N336</f>
        <v>9</v>
      </c>
      <c r="U336" s="7" t="n">
        <f aca="false">raw_data!O336</f>
        <v>1921.47</v>
      </c>
      <c r="V336" s="8" t="n">
        <f aca="false">raw_data!P336</f>
        <v>0.25</v>
      </c>
      <c r="W336" s="8" t="n">
        <f aca="false">IF(raw_data!P336="",0,IF(ISTEXT(raw_data!P336),IF(RIGHT(raw_data!P336,1)="%",VALUE(LEFT(raw_data!P336,LEN(raw_data!P336)-1))/100,VALUE(raw_data!P336)),raw_data!P336))</f>
        <v>0.25</v>
      </c>
      <c r="X336" s="3" t="str">
        <f aca="false">IF(raw_data!P336="","Missing - Defaulted to 0",IF(W336&lt;0,"Negative - Invalid",IF(W336&gt;0.3,"Above Allowed Range - Invalid","Valid")))</f>
        <v>Valid</v>
      </c>
      <c r="Y336" s="7" t="n">
        <f aca="false">raw_data!Q336</f>
        <v>12969.92</v>
      </c>
      <c r="Z336" s="7" t="n">
        <f aca="false">raw_data!R336</f>
        <v>9398.46</v>
      </c>
      <c r="AA336" s="7" t="n">
        <f aca="false">raw_data!S336</f>
        <v>3571.46</v>
      </c>
      <c r="AB336" s="3" t="str">
        <f aca="false">PROPER(TRIM(raw_data!T336))</f>
        <v>Paid</v>
      </c>
      <c r="AC336" s="3" t="str">
        <f aca="false">PROPER(TRIM(raw_data!U336))</f>
        <v>Completed</v>
      </c>
      <c r="AD336" s="7" t="n">
        <f aca="false">T336*U336*(1-W336)</f>
        <v>12969.9225</v>
      </c>
      <c r="AE336" s="7" t="n">
        <f aca="false">AD336-Z336</f>
        <v>3571.4625</v>
      </c>
      <c r="AF336" s="8" t="n">
        <f aca="false">IF(AD336=0,0,AE336/AD336)</f>
        <v>0.27536498386941</v>
      </c>
      <c r="AG336" s="3" t="str">
        <f aca="false">IF(ABS(Y336-AD336)&gt;1,"Mismatch","OK")</f>
        <v>OK</v>
      </c>
      <c r="AH336" s="3" t="str">
        <f aca="false">IF(ABS(AA336-AE336)&gt;1,"Mismatch","OK")</f>
        <v>OK</v>
      </c>
      <c r="AI336" s="6" t="n">
        <f aca="false">IF(B336="","",MONTH(B336))</f>
        <v>9</v>
      </c>
      <c r="AJ336" s="6" t="n">
        <f aca="false">IF(B336="","",YEAR(B336))</f>
        <v>2024</v>
      </c>
      <c r="AK336" s="3" t="str">
        <f aca="false">IF(COUNTIF(raw_data!$A$2:$A$913,A336)&gt;1,"Conflicting Duplicate - Flagged for Review","Unique")</f>
        <v>Unique</v>
      </c>
      <c r="AL336" s="3" t="str">
        <f aca="false">IF(AB336="Refunded","Yes","No")</f>
        <v>No</v>
      </c>
      <c r="AM336" s="3" t="str">
        <f aca="false">IF(OR(AC336&lt;&gt;"Completed",AB336="Failed"),"Excluded","Included")</f>
        <v>Included</v>
      </c>
      <c r="AN336" s="3" t="str">
        <f aca="false">IF(OR(D336="Invalid/Unrecognized",E336="Invalid/Unrecognized",G336="Invalid - Ship Before Order",X336="Negative - Invalid",X336="Above Allowed Range - Invalid",AG336="Mismatch",AH336="Mismatch",AK336="Conflicting Duplicate - Flagged for Review"),"Invalid",IF(OR(L336="Filled - Unknown",S336="Filled - Unknown",X336="Missing - Defaulted to 0",AL336="Yes",AC336="Cancelled",AC336="Returned"),"Warning","Clean"))</f>
        <v>Clean</v>
      </c>
    </row>
    <row r="337" customFormat="false" ht="15" hidden="false" customHeight="false" outlineLevel="0" collapsed="false">
      <c r="A337" s="3" t="str">
        <f aca="false">raw_data!A337</f>
        <v>ORD-2025-10336</v>
      </c>
      <c r="B337" s="4" t="n">
        <f aca="false">IFERROR(IF(MID(raw_data!B337,3,1)="/",DATE(VALUE(RIGHT(raw_data!B337,4)),VALUE(LEFT(raw_data!B337,2)),VALUE(MID(raw_data!B337,4,2))),IF(MID(raw_data!B337,3,1)="-",DATE(VALUE(RIGHT(raw_data!B337,4)),VALUE(MID(raw_data!B337,4,2)),VALUE(LEFT(raw_data!B337,2))),IF(MID(raw_data!B337,5,1)="-",DATE(VALUE(LEFT(raw_data!B337,4)),VALUE(MID(raw_data!B337,6,2)),VALUE(RIGHT(raw_data!B337,2))),DATE(VALUE(RIGHT(raw_data!B337,4)),MATCH(MID(raw_data!B337,4,3),{"Jan","Feb","Mar","Apr","May","Jun","Jul","Aug","Sep","Oct","Nov","Dec"},0),VALUE(LEFT(raw_data!B337,2)))))),"")</f>
        <v>45824</v>
      </c>
      <c r="C337" s="4" t="n">
        <f aca="false">IFERROR(IF(MID(raw_data!C337,3,1)="/",DATE(VALUE(RIGHT(raw_data!C337,4)),VALUE(LEFT(raw_data!C337,2)),VALUE(MID(raw_data!C337,4,2))),IF(MID(raw_data!C337,3,1)="-",DATE(VALUE(RIGHT(raw_data!C337,4)),VALUE(MID(raw_data!C337,4,2)),VALUE(LEFT(raw_data!C337,2))),IF(MID(raw_data!C337,5,1)="-",DATE(VALUE(LEFT(raw_data!C337,4)),VALUE(MID(raw_data!C337,6,2)),VALUE(RIGHT(raw_data!C337,2))),DATE(VALUE(RIGHT(raw_data!C337,4)),MATCH(MID(raw_data!C337,4,3),{"Jan","Feb","Mar","Apr","May","Jun","Jul","Aug","Sep","Oct","Nov","Dec"},0),VALUE(LEFT(raw_data!C337,2)))))),"")</f>
        <v>45826</v>
      </c>
      <c r="D337" s="3" t="str">
        <f aca="false">IF(TRIM(raw_data!B337)="","Missing",IF(B337="","Invalid/Unrecognized","Valid"))</f>
        <v>Valid</v>
      </c>
      <c r="E337" s="3" t="str">
        <f aca="false">IF(TRIM(raw_data!C337)="","Missing",IF(C337="","Invalid/Unrecognized","Valid"))</f>
        <v>Valid</v>
      </c>
      <c r="F337" s="5" t="n">
        <f aca="false">IF(OR(B337="",C337=""),"",C337-B337)</f>
        <v>2</v>
      </c>
      <c r="G337" s="3" t="str">
        <f aca="false">IF(F337="","N/A",IF(F337&lt;0,"Invalid - Ship Before Order","OK"))</f>
        <v>OK</v>
      </c>
      <c r="H337" s="3" t="str">
        <f aca="false">raw_data!D337</f>
        <v>CUST-3621</v>
      </c>
      <c r="I337" s="3" t="str">
        <f aca="false">PROPER(TRIM(raw_data!E337))</f>
        <v>Rahul Verma</v>
      </c>
      <c r="J337" s="3" t="str">
        <f aca="false">PROPER(TRIM(raw_data!F337))</f>
        <v>Home Office</v>
      </c>
      <c r="K337" s="3" t="str">
        <f aca="false">IF(TRIM(raw_data!G337)="","Unknown",PROPER(TRIM(raw_data!G337)))</f>
        <v>West</v>
      </c>
      <c r="L337" s="3" t="str">
        <f aca="false">IF(TRIM(raw_data!G337)="","Filled - Unknown","OK")</f>
        <v>OK</v>
      </c>
      <c r="M337" s="3" t="str">
        <f aca="false">PROPER(TRIM(raw_data!H337))</f>
        <v>Madhya Pradesh</v>
      </c>
      <c r="N337" s="3" t="str">
        <f aca="false">PROPER(TRIM(raw_data!I337))</f>
        <v>Indore</v>
      </c>
      <c r="O337" s="3" t="str">
        <f aca="false">PROPER(TRIM(raw_data!J337))</f>
        <v>Office Supplies</v>
      </c>
      <c r="P337" s="3" t="str">
        <f aca="false">PROPER(TRIM(raw_data!K337))</f>
        <v>Paper</v>
      </c>
      <c r="Q337" s="3" t="str">
        <f aca="false">TRIM(raw_data!L337)</f>
        <v>Prime Paper 559</v>
      </c>
      <c r="R337" s="3" t="str">
        <f aca="false">IF(TRIM(raw_data!M337)="","Unknown",PROPER(TRIM(raw_data!M337)))</f>
        <v>First Class</v>
      </c>
      <c r="S337" s="3" t="str">
        <f aca="false">IF(TRIM(raw_data!M337)="","Filled - Unknown","OK")</f>
        <v>OK</v>
      </c>
      <c r="T337" s="6" t="n">
        <f aca="false">raw_data!N337</f>
        <v>3</v>
      </c>
      <c r="U337" s="7" t="n">
        <f aca="false">raw_data!O337</f>
        <v>4289.37</v>
      </c>
      <c r="V337" s="8" t="n">
        <f aca="false">raw_data!P337</f>
        <v>0.1</v>
      </c>
      <c r="W337" s="8" t="n">
        <f aca="false">IF(raw_data!P337="",0,IF(ISTEXT(raw_data!P337),IF(RIGHT(raw_data!P337,1)="%",VALUE(LEFT(raw_data!P337,LEN(raw_data!P337)-1))/100,VALUE(raw_data!P337)),raw_data!P337))</f>
        <v>0.1</v>
      </c>
      <c r="X337" s="3" t="str">
        <f aca="false">IF(raw_data!P337="","Missing - Defaulted to 0",IF(W337&lt;0,"Negative - Invalid",IF(W337&gt;0.3,"Above Allowed Range - Invalid","Valid")))</f>
        <v>Valid</v>
      </c>
      <c r="Y337" s="7" t="n">
        <f aca="false">raw_data!Q337</f>
        <v>11581.3</v>
      </c>
      <c r="Z337" s="7" t="n">
        <f aca="false">raw_data!R337</f>
        <v>6829.43</v>
      </c>
      <c r="AA337" s="7" t="n">
        <f aca="false">raw_data!S337</f>
        <v>4751.87</v>
      </c>
      <c r="AB337" s="3" t="str">
        <f aca="false">PROPER(TRIM(raw_data!T337))</f>
        <v>Paid</v>
      </c>
      <c r="AC337" s="3" t="str">
        <f aca="false">PROPER(TRIM(raw_data!U337))</f>
        <v>Completed</v>
      </c>
      <c r="AD337" s="7" t="n">
        <f aca="false">T337*U337*(1-W337)</f>
        <v>11581.299</v>
      </c>
      <c r="AE337" s="7" t="n">
        <f aca="false">AD337-Z337</f>
        <v>4751.869</v>
      </c>
      <c r="AF337" s="8" t="n">
        <f aca="false">IF(AD337=0,0,AE337/AD337)</f>
        <v>0.410305355211017</v>
      </c>
      <c r="AG337" s="3" t="str">
        <f aca="false">IF(ABS(Y337-AD337)&gt;1,"Mismatch","OK")</f>
        <v>OK</v>
      </c>
      <c r="AH337" s="3" t="str">
        <f aca="false">IF(ABS(AA337-AE337)&gt;1,"Mismatch","OK")</f>
        <v>OK</v>
      </c>
      <c r="AI337" s="6" t="n">
        <f aca="false">IF(B337="","",MONTH(B337))</f>
        <v>6</v>
      </c>
      <c r="AJ337" s="6" t="n">
        <f aca="false">IF(B337="","",YEAR(B337))</f>
        <v>2025</v>
      </c>
      <c r="AK337" s="3" t="str">
        <f aca="false">IF(COUNTIF(raw_data!$A$2:$A$913,A337)&gt;1,"Conflicting Duplicate - Flagged for Review","Unique")</f>
        <v>Conflicting Duplicate - Flagged for Review</v>
      </c>
      <c r="AL337" s="3" t="str">
        <f aca="false">IF(AB337="Refunded","Yes","No")</f>
        <v>No</v>
      </c>
      <c r="AM337" s="3" t="str">
        <f aca="false">IF(OR(AC337&lt;&gt;"Completed",AB337="Failed"),"Excluded","Included")</f>
        <v>Included</v>
      </c>
      <c r="AN337" s="3" t="str">
        <f aca="false">IF(OR(D337="Invalid/Unrecognized",E337="Invalid/Unrecognized",G337="Invalid - Ship Before Order",X337="Negative - Invalid",X337="Above Allowed Range - Invalid",AG337="Mismatch",AH337="Mismatch",AK337="Conflicting Duplicate - Flagged for Review"),"Invalid",IF(OR(L337="Filled - Unknown",S337="Filled - Unknown",X337="Missing - Defaulted to 0",AL337="Yes",AC337="Cancelled",AC337="Returned"),"Warning","Clean"))</f>
        <v>Invalid</v>
      </c>
    </row>
    <row r="338" customFormat="false" ht="15" hidden="false" customHeight="false" outlineLevel="0" collapsed="false">
      <c r="A338" s="3" t="str">
        <f aca="false">raw_data!A338</f>
        <v>ORD-2024-10337</v>
      </c>
      <c r="B338" s="4" t="n">
        <f aca="false">IFERROR(IF(MID(raw_data!B338,3,1)="/",DATE(VALUE(RIGHT(raw_data!B338,4)),VALUE(LEFT(raw_data!B338,2)),VALUE(MID(raw_data!B338,4,2))),IF(MID(raw_data!B338,3,1)="-",DATE(VALUE(RIGHT(raw_data!B338,4)),VALUE(MID(raw_data!B338,4,2)),VALUE(LEFT(raw_data!B338,2))),IF(MID(raw_data!B338,5,1)="-",DATE(VALUE(LEFT(raw_data!B338,4)),VALUE(MID(raw_data!B338,6,2)),VALUE(RIGHT(raw_data!B338,2))),DATE(VALUE(RIGHT(raw_data!B338,4)),MATCH(MID(raw_data!B338,4,3),{"Jan","Feb","Mar","Apr","May","Jun","Jul","Aug","Sep","Oct","Nov","Dec"},0),VALUE(LEFT(raw_data!B338,2)))))),"")</f>
        <v>45368</v>
      </c>
      <c r="C338" s="4" t="n">
        <f aca="false">IFERROR(IF(MID(raw_data!C338,3,1)="/",DATE(VALUE(RIGHT(raw_data!C338,4)),VALUE(LEFT(raw_data!C338,2)),VALUE(MID(raw_data!C338,4,2))),IF(MID(raw_data!C338,3,1)="-",DATE(VALUE(RIGHT(raw_data!C338,4)),VALUE(MID(raw_data!C338,4,2)),VALUE(LEFT(raw_data!C338,2))),IF(MID(raw_data!C338,5,1)="-",DATE(VALUE(LEFT(raw_data!C338,4)),VALUE(MID(raw_data!C338,6,2)),VALUE(RIGHT(raw_data!C338,2))),DATE(VALUE(RIGHT(raw_data!C338,4)),MATCH(MID(raw_data!C338,4,3),{"Jan","Feb","Mar","Apr","May","Jun","Jul","Aug","Sep","Oct","Nov","Dec"},0),VALUE(LEFT(raw_data!C338,2)))))),"")</f>
        <v>45372</v>
      </c>
      <c r="D338" s="3" t="str">
        <f aca="false">IF(TRIM(raw_data!B338)="","Missing",IF(B338="","Invalid/Unrecognized","Valid"))</f>
        <v>Valid</v>
      </c>
      <c r="E338" s="3" t="str">
        <f aca="false">IF(TRIM(raw_data!C338)="","Missing",IF(C338="","Invalid/Unrecognized","Valid"))</f>
        <v>Valid</v>
      </c>
      <c r="F338" s="5" t="n">
        <f aca="false">IF(OR(B338="",C338=""),"",C338-B338)</f>
        <v>4</v>
      </c>
      <c r="G338" s="3" t="str">
        <f aca="false">IF(F338="","N/A",IF(F338&lt;0,"Invalid - Ship Before Order","OK"))</f>
        <v>OK</v>
      </c>
      <c r="H338" s="3" t="str">
        <f aca="false">raw_data!D338</f>
        <v>CUST-2103</v>
      </c>
      <c r="I338" s="3" t="str">
        <f aca="false">PROPER(TRIM(raw_data!E338))</f>
        <v>Aarav Sharma</v>
      </c>
      <c r="J338" s="3" t="str">
        <f aca="false">PROPER(TRIM(raw_data!F338))</f>
        <v>Consumer</v>
      </c>
      <c r="K338" s="3" t="str">
        <f aca="false">IF(TRIM(raw_data!G338)="","Unknown",PROPER(TRIM(raw_data!G338)))</f>
        <v>North</v>
      </c>
      <c r="L338" s="3" t="str">
        <f aca="false">IF(TRIM(raw_data!G338)="","Filled - Unknown","OK")</f>
        <v>OK</v>
      </c>
      <c r="M338" s="3" t="str">
        <f aca="false">PROPER(TRIM(raw_data!H338))</f>
        <v>Rajasthan</v>
      </c>
      <c r="N338" s="3" t="str">
        <f aca="false">PROPER(TRIM(raw_data!I338))</f>
        <v>Jaipur</v>
      </c>
      <c r="O338" s="3" t="str">
        <f aca="false">PROPER(TRIM(raw_data!J338))</f>
        <v>Technology</v>
      </c>
      <c r="P338" s="3" t="str">
        <f aca="false">PROPER(TRIM(raw_data!K338))</f>
        <v>Copiers</v>
      </c>
      <c r="Q338" s="3" t="str">
        <f aca="false">TRIM(raw_data!L338)</f>
        <v>Pro Copiers 999</v>
      </c>
      <c r="R338" s="3" t="str">
        <f aca="false">IF(TRIM(raw_data!M338)="","Unknown",PROPER(TRIM(raw_data!M338)))</f>
        <v>First Class</v>
      </c>
      <c r="S338" s="3" t="str">
        <f aca="false">IF(TRIM(raw_data!M338)="","Filled - Unknown","OK")</f>
        <v>OK</v>
      </c>
      <c r="T338" s="6" t="n">
        <f aca="false">raw_data!N338</f>
        <v>8</v>
      </c>
      <c r="U338" s="7" t="n">
        <f aca="false">raw_data!O338</f>
        <v>1992.57</v>
      </c>
      <c r="V338" s="8" t="n">
        <f aca="false">raw_data!P338</f>
        <v>0</v>
      </c>
      <c r="W338" s="8" t="n">
        <f aca="false">IF(raw_data!P338="",0,IF(ISTEXT(raw_data!P338),IF(RIGHT(raw_data!P338,1)="%",VALUE(LEFT(raw_data!P338,LEN(raw_data!P338)-1))/100,VALUE(raw_data!P338)),raw_data!P338))</f>
        <v>0</v>
      </c>
      <c r="X338" s="3" t="str">
        <f aca="false">IF(raw_data!P338="","Missing - Defaulted to 0",IF(W338&lt;0,"Negative - Invalid",IF(W338&gt;0.3,"Above Allowed Range - Invalid","Valid")))</f>
        <v>Valid</v>
      </c>
      <c r="Y338" s="7" t="n">
        <f aca="false">raw_data!Q338</f>
        <v>15940.56</v>
      </c>
      <c r="Z338" s="7" t="n">
        <f aca="false">raw_data!R338</f>
        <v>12347.15</v>
      </c>
      <c r="AA338" s="7" t="n">
        <f aca="false">raw_data!S338</f>
        <v>3593.41</v>
      </c>
      <c r="AB338" s="3" t="str">
        <f aca="false">PROPER(TRIM(raw_data!T338))</f>
        <v>Paid</v>
      </c>
      <c r="AC338" s="3" t="str">
        <f aca="false">PROPER(TRIM(raw_data!U338))</f>
        <v>Completed</v>
      </c>
      <c r="AD338" s="7" t="n">
        <f aca="false">T338*U338*(1-W338)</f>
        <v>15940.56</v>
      </c>
      <c r="AE338" s="7" t="n">
        <f aca="false">AD338-Z338</f>
        <v>3593.41</v>
      </c>
      <c r="AF338" s="8" t="n">
        <f aca="false">IF(AD338=0,0,AE338/AD338)</f>
        <v>0.22542558103354</v>
      </c>
      <c r="AG338" s="3" t="str">
        <f aca="false">IF(ABS(Y338-AD338)&gt;1,"Mismatch","OK")</f>
        <v>OK</v>
      </c>
      <c r="AH338" s="3" t="str">
        <f aca="false">IF(ABS(AA338-AE338)&gt;1,"Mismatch","OK")</f>
        <v>OK</v>
      </c>
      <c r="AI338" s="6" t="n">
        <f aca="false">IF(B338="","",MONTH(B338))</f>
        <v>3</v>
      </c>
      <c r="AJ338" s="6" t="n">
        <f aca="false">IF(B338="","",YEAR(B338))</f>
        <v>2024</v>
      </c>
      <c r="AK338" s="3" t="str">
        <f aca="false">IF(COUNTIF(raw_data!$A$2:$A$913,A338)&gt;1,"Conflicting Duplicate - Flagged for Review","Unique")</f>
        <v>Unique</v>
      </c>
      <c r="AL338" s="3" t="str">
        <f aca="false">IF(AB338="Refunded","Yes","No")</f>
        <v>No</v>
      </c>
      <c r="AM338" s="3" t="str">
        <f aca="false">IF(OR(AC338&lt;&gt;"Completed",AB338="Failed"),"Excluded","Included")</f>
        <v>Included</v>
      </c>
      <c r="AN338" s="3" t="str">
        <f aca="false">IF(OR(D338="Invalid/Unrecognized",E338="Invalid/Unrecognized",G338="Invalid - Ship Before Order",X338="Negative - Invalid",X338="Above Allowed Range - Invalid",AG338="Mismatch",AH338="Mismatch",AK338="Conflicting Duplicate - Flagged for Review"),"Invalid",IF(OR(L338="Filled - Unknown",S338="Filled - Unknown",X338="Missing - Defaulted to 0",AL338="Yes",AC338="Cancelled",AC338="Returned"),"Warning","Clean"))</f>
        <v>Clean</v>
      </c>
    </row>
    <row r="339" customFormat="false" ht="15" hidden="false" customHeight="false" outlineLevel="0" collapsed="false">
      <c r="A339" s="3" t="str">
        <f aca="false">raw_data!A339</f>
        <v>ORD-2024-10338</v>
      </c>
      <c r="B339" s="4" t="n">
        <f aca="false">IFERROR(IF(MID(raw_data!B339,3,1)="/",DATE(VALUE(RIGHT(raw_data!B339,4)),VALUE(LEFT(raw_data!B339,2)),VALUE(MID(raw_data!B339,4,2))),IF(MID(raw_data!B339,3,1)="-",DATE(VALUE(RIGHT(raw_data!B339,4)),VALUE(MID(raw_data!B339,4,2)),VALUE(LEFT(raw_data!B339,2))),IF(MID(raw_data!B339,5,1)="-",DATE(VALUE(LEFT(raw_data!B339,4)),VALUE(MID(raw_data!B339,6,2)),VALUE(RIGHT(raw_data!B339,2))),DATE(VALUE(RIGHT(raw_data!B339,4)),MATCH(MID(raw_data!B339,4,3),{"Jan","Feb","Mar","Apr","May","Jun","Jul","Aug","Sep","Oct","Nov","Dec"},0),VALUE(LEFT(raw_data!B339,2)))))),"")</f>
        <v>45516</v>
      </c>
      <c r="C339" s="4" t="n">
        <f aca="false">IFERROR(IF(MID(raw_data!C339,3,1)="/",DATE(VALUE(RIGHT(raw_data!C339,4)),VALUE(LEFT(raw_data!C339,2)),VALUE(MID(raw_data!C339,4,2))),IF(MID(raw_data!C339,3,1)="-",DATE(VALUE(RIGHT(raw_data!C339,4)),VALUE(MID(raw_data!C339,4,2)),VALUE(LEFT(raw_data!C339,2))),IF(MID(raw_data!C339,5,1)="-",DATE(VALUE(LEFT(raw_data!C339,4)),VALUE(MID(raw_data!C339,6,2)),VALUE(RIGHT(raw_data!C339,2))),DATE(VALUE(RIGHT(raw_data!C339,4)),MATCH(MID(raw_data!C339,4,3),{"Jan","Feb","Mar","Apr","May","Jun","Jul","Aug","Sep","Oct","Nov","Dec"},0),VALUE(LEFT(raw_data!C339,2)))))),"")</f>
        <v>45522</v>
      </c>
      <c r="D339" s="3" t="str">
        <f aca="false">IF(TRIM(raw_data!B339)="","Missing",IF(B339="","Invalid/Unrecognized","Valid"))</f>
        <v>Valid</v>
      </c>
      <c r="E339" s="3" t="str">
        <f aca="false">IF(TRIM(raw_data!C339)="","Missing",IF(C339="","Invalid/Unrecognized","Valid"))</f>
        <v>Valid</v>
      </c>
      <c r="F339" s="5" t="n">
        <f aca="false">IF(OR(B339="",C339=""),"",C339-B339)</f>
        <v>6</v>
      </c>
      <c r="G339" s="3" t="str">
        <f aca="false">IF(F339="","N/A",IF(F339&lt;0,"Invalid - Ship Before Order","OK"))</f>
        <v>OK</v>
      </c>
      <c r="H339" s="3" t="str">
        <f aca="false">raw_data!D339</f>
        <v>CUST-4599</v>
      </c>
      <c r="I339" s="3" t="str">
        <f aca="false">PROPER(TRIM(raw_data!E339))</f>
        <v>Ananya Rao</v>
      </c>
      <c r="J339" s="3" t="str">
        <f aca="false">PROPER(TRIM(raw_data!F339))</f>
        <v>Consumer</v>
      </c>
      <c r="K339" s="3" t="str">
        <f aca="false">IF(TRIM(raw_data!G339)="","Unknown",PROPER(TRIM(raw_data!G339)))</f>
        <v>East</v>
      </c>
      <c r="L339" s="3" t="str">
        <f aca="false">IF(TRIM(raw_data!G339)="","Filled - Unknown","OK")</f>
        <v>OK</v>
      </c>
      <c r="M339" s="3" t="str">
        <f aca="false">PROPER(TRIM(raw_data!H339))</f>
        <v>Assam</v>
      </c>
      <c r="N339" s="3" t="str">
        <f aca="false">PROPER(TRIM(raw_data!I339))</f>
        <v>Guwahati</v>
      </c>
      <c r="O339" s="3" t="str">
        <f aca="false">PROPER(TRIM(raw_data!J339))</f>
        <v>Office Supplies</v>
      </c>
      <c r="P339" s="3" t="str">
        <f aca="false">PROPER(TRIM(raw_data!K339))</f>
        <v>Labels</v>
      </c>
      <c r="Q339" s="3" t="str">
        <f aca="false">TRIM(raw_data!L339)</f>
        <v>Classic Labels 206</v>
      </c>
      <c r="R339" s="3" t="str">
        <f aca="false">IF(TRIM(raw_data!M339)="","Unknown",PROPER(TRIM(raw_data!M339)))</f>
        <v>Same Day</v>
      </c>
      <c r="S339" s="3" t="str">
        <f aca="false">IF(TRIM(raw_data!M339)="","Filled - Unknown","OK")</f>
        <v>OK</v>
      </c>
      <c r="T339" s="6" t="n">
        <f aca="false">raw_data!N339</f>
        <v>6</v>
      </c>
      <c r="U339" s="7" t="n">
        <f aca="false">raw_data!O339</f>
        <v>1181.74</v>
      </c>
      <c r="V339" s="8" t="n">
        <f aca="false">raw_data!P339</f>
        <v>0</v>
      </c>
      <c r="W339" s="8" t="n">
        <f aca="false">IF(raw_data!P339="",0,IF(ISTEXT(raw_data!P339),IF(RIGHT(raw_data!P339,1)="%",VALUE(LEFT(raw_data!P339,LEN(raw_data!P339)-1))/100,VALUE(raw_data!P339)),raw_data!P339))</f>
        <v>0</v>
      </c>
      <c r="X339" s="3" t="str">
        <f aca="false">IF(raw_data!P339="","Missing - Defaulted to 0",IF(W339&lt;0,"Negative - Invalid",IF(W339&gt;0.3,"Above Allowed Range - Invalid","Valid")))</f>
        <v>Valid</v>
      </c>
      <c r="Y339" s="7" t="n">
        <f aca="false">raw_data!Q339</f>
        <v>7090.44</v>
      </c>
      <c r="Z339" s="7" t="n">
        <f aca="false">raw_data!R339</f>
        <v>5672.27</v>
      </c>
      <c r="AA339" s="7" t="n">
        <f aca="false">raw_data!S339</f>
        <v>1262.87</v>
      </c>
      <c r="AB339" s="3" t="str">
        <f aca="false">PROPER(TRIM(raw_data!T339))</f>
        <v>Paid</v>
      </c>
      <c r="AC339" s="3" t="str">
        <f aca="false">PROPER(TRIM(raw_data!U339))</f>
        <v>Completed</v>
      </c>
      <c r="AD339" s="7" t="n">
        <f aca="false">T339*U339*(1-W339)</f>
        <v>7090.44</v>
      </c>
      <c r="AE339" s="7" t="n">
        <f aca="false">AD339-Z339</f>
        <v>1418.17</v>
      </c>
      <c r="AF339" s="8" t="n">
        <f aca="false">IF(AD339=0,0,AE339/AD339)</f>
        <v>0.200011564867625</v>
      </c>
      <c r="AG339" s="3" t="str">
        <f aca="false">IF(ABS(Y339-AD339)&gt;1,"Mismatch","OK")</f>
        <v>OK</v>
      </c>
      <c r="AH339" s="3" t="str">
        <f aca="false">IF(ABS(AA339-AE339)&gt;1,"Mismatch","OK")</f>
        <v>Mismatch</v>
      </c>
      <c r="AI339" s="6" t="n">
        <f aca="false">IF(B339="","",MONTH(B339))</f>
        <v>8</v>
      </c>
      <c r="AJ339" s="6" t="n">
        <f aca="false">IF(B339="","",YEAR(B339))</f>
        <v>2024</v>
      </c>
      <c r="AK339" s="3" t="str">
        <f aca="false">IF(COUNTIF(raw_data!$A$2:$A$913,A339)&gt;1,"Conflicting Duplicate - Flagged for Review","Unique")</f>
        <v>Unique</v>
      </c>
      <c r="AL339" s="3" t="str">
        <f aca="false">IF(AB339="Refunded","Yes","No")</f>
        <v>No</v>
      </c>
      <c r="AM339" s="3" t="str">
        <f aca="false">IF(OR(AC339&lt;&gt;"Completed",AB339="Failed"),"Excluded","Included")</f>
        <v>Included</v>
      </c>
      <c r="AN339" s="3" t="str">
        <f aca="false">IF(OR(D339="Invalid/Unrecognized",E339="Invalid/Unrecognized",G339="Invalid - Ship Before Order",X339="Negative - Invalid",X339="Above Allowed Range - Invalid",AG339="Mismatch",AH339="Mismatch",AK339="Conflicting Duplicate - Flagged for Review"),"Invalid",IF(OR(L339="Filled - Unknown",S339="Filled - Unknown",X339="Missing - Defaulted to 0",AL339="Yes",AC339="Cancelled",AC339="Returned"),"Warning","Clean"))</f>
        <v>Invalid</v>
      </c>
    </row>
    <row r="340" customFormat="false" ht="15" hidden="false" customHeight="false" outlineLevel="0" collapsed="false">
      <c r="A340" s="3" t="str">
        <f aca="false">raw_data!A340</f>
        <v>ORD-2024-10339</v>
      </c>
      <c r="B340" s="4" t="n">
        <f aca="false">IFERROR(IF(MID(raw_data!B340,3,1)="/",DATE(VALUE(RIGHT(raw_data!B340,4)),VALUE(LEFT(raw_data!B340,2)),VALUE(MID(raw_data!B340,4,2))),IF(MID(raw_data!B340,3,1)="-",DATE(VALUE(RIGHT(raw_data!B340,4)),VALUE(MID(raw_data!B340,4,2)),VALUE(LEFT(raw_data!B340,2))),IF(MID(raw_data!B340,5,1)="-",DATE(VALUE(LEFT(raw_data!B340,4)),VALUE(MID(raw_data!B340,6,2)),VALUE(RIGHT(raw_data!B340,2))),DATE(VALUE(RIGHT(raw_data!B340,4)),MATCH(MID(raw_data!B340,4,3),{"Jan","Feb","Mar","Apr","May","Jun","Jul","Aug","Sep","Oct","Nov","Dec"},0),VALUE(LEFT(raw_data!B340,2)))))),"")</f>
        <v>45634</v>
      </c>
      <c r="C340" s="4" t="n">
        <f aca="false">IFERROR(IF(MID(raw_data!C340,3,1)="/",DATE(VALUE(RIGHT(raw_data!C340,4)),VALUE(LEFT(raw_data!C340,2)),VALUE(MID(raw_data!C340,4,2))),IF(MID(raw_data!C340,3,1)="-",DATE(VALUE(RIGHT(raw_data!C340,4)),VALUE(MID(raw_data!C340,4,2)),VALUE(LEFT(raw_data!C340,2))),IF(MID(raw_data!C340,5,1)="-",DATE(VALUE(LEFT(raw_data!C340,4)),VALUE(MID(raw_data!C340,6,2)),VALUE(RIGHT(raw_data!C340,2))),DATE(VALUE(RIGHT(raw_data!C340,4)),MATCH(MID(raw_data!C340,4,3),{"Jan","Feb","Mar","Apr","May","Jun","Jul","Aug","Sep","Oct","Nov","Dec"},0),VALUE(LEFT(raw_data!C340,2)))))),"")</f>
        <v>45634</v>
      </c>
      <c r="D340" s="3" t="str">
        <f aca="false">IF(TRIM(raw_data!B340)="","Missing",IF(B340="","Invalid/Unrecognized","Valid"))</f>
        <v>Valid</v>
      </c>
      <c r="E340" s="3" t="str">
        <f aca="false">IF(TRIM(raw_data!C340)="","Missing",IF(C340="","Invalid/Unrecognized","Valid"))</f>
        <v>Valid</v>
      </c>
      <c r="F340" s="5" t="n">
        <f aca="false">IF(OR(B340="",C340=""),"",C340-B340)</f>
        <v>0</v>
      </c>
      <c r="G340" s="3" t="str">
        <f aca="false">IF(F340="","N/A",IF(F340&lt;0,"Invalid - Ship Before Order","OK"))</f>
        <v>OK</v>
      </c>
      <c r="H340" s="3" t="str">
        <f aca="false">raw_data!D340</f>
        <v>CUST-3066</v>
      </c>
      <c r="I340" s="3" t="str">
        <f aca="false">PROPER(TRIM(raw_data!E340))</f>
        <v>Arjun Bose</v>
      </c>
      <c r="J340" s="3" t="str">
        <f aca="false">PROPER(TRIM(raw_data!F340))</f>
        <v>Small Business</v>
      </c>
      <c r="K340" s="3" t="str">
        <f aca="false">IF(TRIM(raw_data!G340)="","Unknown",PROPER(TRIM(raw_data!G340)))</f>
        <v>South</v>
      </c>
      <c r="L340" s="3" t="str">
        <f aca="false">IF(TRIM(raw_data!G340)="","Filled - Unknown","OK")</f>
        <v>OK</v>
      </c>
      <c r="M340" s="3" t="str">
        <f aca="false">PROPER(TRIM(raw_data!H340))</f>
        <v>Andhra Pradesh</v>
      </c>
      <c r="N340" s="3" t="str">
        <f aca="false">PROPER(TRIM(raw_data!I340))</f>
        <v>Vijayawada</v>
      </c>
      <c r="O340" s="3" t="str">
        <f aca="false">PROPER(TRIM(raw_data!J340))</f>
        <v>Technology</v>
      </c>
      <c r="P340" s="3" t="str">
        <f aca="false">PROPER(TRIM(raw_data!K340))</f>
        <v>Accessories</v>
      </c>
      <c r="Q340" s="3" t="str">
        <f aca="false">TRIM(raw_data!L340)</f>
        <v>Eco Accessories 315</v>
      </c>
      <c r="R340" s="3" t="str">
        <f aca="false">IF(TRIM(raw_data!M340)="","Unknown",PROPER(TRIM(raw_data!M340)))</f>
        <v>First Class</v>
      </c>
      <c r="S340" s="3" t="str">
        <f aca="false">IF(TRIM(raw_data!M340)="","Filled - Unknown","OK")</f>
        <v>OK</v>
      </c>
      <c r="T340" s="6" t="n">
        <f aca="false">raw_data!N340</f>
        <v>8</v>
      </c>
      <c r="U340" s="7" t="n">
        <f aca="false">raw_data!O340</f>
        <v>4402.36</v>
      </c>
      <c r="V340" s="8" t="n">
        <f aca="false">raw_data!P340</f>
        <v>0.25</v>
      </c>
      <c r="W340" s="8" t="n">
        <f aca="false">IF(raw_data!P340="",0,IF(ISTEXT(raw_data!P340),IF(RIGHT(raw_data!P340,1)="%",VALUE(LEFT(raw_data!P340,LEN(raw_data!P340)-1))/100,VALUE(raw_data!P340)),raw_data!P340))</f>
        <v>0.25</v>
      </c>
      <c r="X340" s="3" t="str">
        <f aca="false">IF(raw_data!P340="","Missing - Defaulted to 0",IF(W340&lt;0,"Negative - Invalid",IF(W340&gt;0.3,"Above Allowed Range - Invalid","Valid")))</f>
        <v>Valid</v>
      </c>
      <c r="Y340" s="7" t="n">
        <f aca="false">raw_data!Q340</f>
        <v>26414.16</v>
      </c>
      <c r="Z340" s="7" t="n">
        <f aca="false">raw_data!R340</f>
        <v>21822.53</v>
      </c>
      <c r="AA340" s="7" t="n">
        <f aca="false">raw_data!S340</f>
        <v>4591.63</v>
      </c>
      <c r="AB340" s="3" t="str">
        <f aca="false">PROPER(TRIM(raw_data!T340))</f>
        <v>Paid</v>
      </c>
      <c r="AC340" s="3" t="str">
        <f aca="false">PROPER(TRIM(raw_data!U340))</f>
        <v>Completed</v>
      </c>
      <c r="AD340" s="7" t="n">
        <f aca="false">T340*U340*(1-W340)</f>
        <v>26414.16</v>
      </c>
      <c r="AE340" s="7" t="n">
        <f aca="false">AD340-Z340</f>
        <v>4591.63</v>
      </c>
      <c r="AF340" s="8" t="n">
        <f aca="false">IF(AD340=0,0,AE340/AD340)</f>
        <v>0.173832141548321</v>
      </c>
      <c r="AG340" s="3" t="str">
        <f aca="false">IF(ABS(Y340-AD340)&gt;1,"Mismatch","OK")</f>
        <v>OK</v>
      </c>
      <c r="AH340" s="3" t="str">
        <f aca="false">IF(ABS(AA340-AE340)&gt;1,"Mismatch","OK")</f>
        <v>OK</v>
      </c>
      <c r="AI340" s="6" t="n">
        <f aca="false">IF(B340="","",MONTH(B340))</f>
        <v>12</v>
      </c>
      <c r="AJ340" s="6" t="n">
        <f aca="false">IF(B340="","",YEAR(B340))</f>
        <v>2024</v>
      </c>
      <c r="AK340" s="3" t="str">
        <f aca="false">IF(COUNTIF(raw_data!$A$2:$A$913,A340)&gt;1,"Conflicting Duplicate - Flagged for Review","Unique")</f>
        <v>Unique</v>
      </c>
      <c r="AL340" s="3" t="str">
        <f aca="false">IF(AB340="Refunded","Yes","No")</f>
        <v>No</v>
      </c>
      <c r="AM340" s="3" t="str">
        <f aca="false">IF(OR(AC340&lt;&gt;"Completed",AB340="Failed"),"Excluded","Included")</f>
        <v>Included</v>
      </c>
      <c r="AN340" s="3" t="str">
        <f aca="false">IF(OR(D340="Invalid/Unrecognized",E340="Invalid/Unrecognized",G340="Invalid - Ship Before Order",X340="Negative - Invalid",X340="Above Allowed Range - Invalid",AG340="Mismatch",AH340="Mismatch",AK340="Conflicting Duplicate - Flagged for Review"),"Invalid",IF(OR(L340="Filled - Unknown",S340="Filled - Unknown",X340="Missing - Defaulted to 0",AL340="Yes",AC340="Cancelled",AC340="Returned"),"Warning","Clean"))</f>
        <v>Clean</v>
      </c>
    </row>
    <row r="341" customFormat="false" ht="15" hidden="false" customHeight="false" outlineLevel="0" collapsed="false">
      <c r="A341" s="3" t="str">
        <f aca="false">raw_data!A341</f>
        <v>ORD-2025-10340</v>
      </c>
      <c r="B341" s="4" t="n">
        <f aca="false">IFERROR(IF(MID(raw_data!B341,3,1)="/",DATE(VALUE(RIGHT(raw_data!B341,4)),VALUE(LEFT(raw_data!B341,2)),VALUE(MID(raw_data!B341,4,2))),IF(MID(raw_data!B341,3,1)="-",DATE(VALUE(RIGHT(raw_data!B341,4)),VALUE(MID(raw_data!B341,4,2)),VALUE(LEFT(raw_data!B341,2))),IF(MID(raw_data!B341,5,1)="-",DATE(VALUE(LEFT(raw_data!B341,4)),VALUE(MID(raw_data!B341,6,2)),VALUE(RIGHT(raw_data!B341,2))),DATE(VALUE(RIGHT(raw_data!B341,4)),MATCH(MID(raw_data!B341,4,3),{"Jan","Feb","Mar","Apr","May","Jun","Jul","Aug","Sep","Oct","Nov","Dec"},0),VALUE(LEFT(raw_data!B341,2)))))),"")</f>
        <v>45708</v>
      </c>
      <c r="C341" s="4" t="n">
        <f aca="false">IFERROR(IF(MID(raw_data!C341,3,1)="/",DATE(VALUE(RIGHT(raw_data!C341,4)),VALUE(LEFT(raw_data!C341,2)),VALUE(MID(raw_data!C341,4,2))),IF(MID(raw_data!C341,3,1)="-",DATE(VALUE(RIGHT(raw_data!C341,4)),VALUE(MID(raw_data!C341,4,2)),VALUE(LEFT(raw_data!C341,2))),IF(MID(raw_data!C341,5,1)="-",DATE(VALUE(LEFT(raw_data!C341,4)),VALUE(MID(raw_data!C341,6,2)),VALUE(RIGHT(raw_data!C341,2))),DATE(VALUE(RIGHT(raw_data!C341,4)),MATCH(MID(raw_data!C341,4,3),{"Jan","Feb","Mar","Apr","May","Jun","Jul","Aug","Sep","Oct","Nov","Dec"},0),VALUE(LEFT(raw_data!C341,2)))))),"")</f>
        <v>45710</v>
      </c>
      <c r="D341" s="3" t="str">
        <f aca="false">IF(TRIM(raw_data!B341)="","Missing",IF(B341="","Invalid/Unrecognized","Valid"))</f>
        <v>Valid</v>
      </c>
      <c r="E341" s="3" t="str">
        <f aca="false">IF(TRIM(raw_data!C341)="","Missing",IF(C341="","Invalid/Unrecognized","Valid"))</f>
        <v>Valid</v>
      </c>
      <c r="F341" s="5" t="n">
        <f aca="false">IF(OR(B341="",C341=""),"",C341-B341)</f>
        <v>2</v>
      </c>
      <c r="G341" s="3" t="str">
        <f aca="false">IF(F341="","N/A",IF(F341&lt;0,"Invalid - Ship Before Order","OK"))</f>
        <v>OK</v>
      </c>
      <c r="H341" s="3" t="str">
        <f aca="false">raw_data!D341</f>
        <v>CUST-2752</v>
      </c>
      <c r="I341" s="3" t="str">
        <f aca="false">PROPER(TRIM(raw_data!E341))</f>
        <v>Neha Gupta</v>
      </c>
      <c r="J341" s="3" t="str">
        <f aca="false">PROPER(TRIM(raw_data!F341))</f>
        <v>Corporate</v>
      </c>
      <c r="K341" s="3" t="str">
        <f aca="false">IF(TRIM(raw_data!G341)="","Unknown",PROPER(TRIM(raw_data!G341)))</f>
        <v>East</v>
      </c>
      <c r="L341" s="3" t="str">
        <f aca="false">IF(TRIM(raw_data!G341)="","Filled - Unknown","OK")</f>
        <v>OK</v>
      </c>
      <c r="M341" s="3" t="str">
        <f aca="false">PROPER(TRIM(raw_data!H341))</f>
        <v>Jharkhand</v>
      </c>
      <c r="N341" s="3" t="str">
        <f aca="false">PROPER(TRIM(raw_data!I341))</f>
        <v>Ranchi</v>
      </c>
      <c r="O341" s="3" t="str">
        <f aca="false">PROPER(TRIM(raw_data!J341))</f>
        <v>Furniture</v>
      </c>
      <c r="P341" s="3" t="str">
        <f aca="false">PROPER(TRIM(raw_data!K341))</f>
        <v>Bookcases</v>
      </c>
      <c r="Q341" s="3" t="str">
        <f aca="false">TRIM(raw_data!L341)</f>
        <v>Elite Bookcases 988</v>
      </c>
      <c r="R341" s="3" t="str">
        <f aca="false">IF(TRIM(raw_data!M341)="","Unknown",PROPER(TRIM(raw_data!M341)))</f>
        <v>Standard Class</v>
      </c>
      <c r="S341" s="3" t="str">
        <f aca="false">IF(TRIM(raw_data!M341)="","Filled - Unknown","OK")</f>
        <v>OK</v>
      </c>
      <c r="T341" s="6" t="n">
        <f aca="false">raw_data!N341</f>
        <v>8</v>
      </c>
      <c r="U341" s="7" t="n">
        <f aca="false">raw_data!O341</f>
        <v>3265.76</v>
      </c>
      <c r="V341" s="8" t="n">
        <f aca="false">raw_data!P341</f>
        <v>0.2</v>
      </c>
      <c r="W341" s="8" t="n">
        <f aca="false">IF(raw_data!P341="",0,IF(ISTEXT(raw_data!P341),IF(RIGHT(raw_data!P341,1)="%",VALUE(LEFT(raw_data!P341,LEN(raw_data!P341)-1))/100,VALUE(raw_data!P341)),raw_data!P341))</f>
        <v>0.2</v>
      </c>
      <c r="X341" s="3" t="str">
        <f aca="false">IF(raw_data!P341="","Missing - Defaulted to 0",IF(W341&lt;0,"Negative - Invalid",IF(W341&gt;0.3,"Above Allowed Range - Invalid","Valid")))</f>
        <v>Valid</v>
      </c>
      <c r="Y341" s="7" t="n">
        <f aca="false">raw_data!Q341</f>
        <v>20900.86</v>
      </c>
      <c r="Z341" s="7" t="n">
        <f aca="false">raw_data!R341</f>
        <v>12513.14</v>
      </c>
      <c r="AA341" s="7" t="n">
        <f aca="false">raw_data!S341</f>
        <v>8387.72</v>
      </c>
      <c r="AB341" s="3" t="str">
        <f aca="false">PROPER(TRIM(raw_data!T341))</f>
        <v>Paid</v>
      </c>
      <c r="AC341" s="3" t="str">
        <f aca="false">PROPER(TRIM(raw_data!U341))</f>
        <v>Completed</v>
      </c>
      <c r="AD341" s="7" t="n">
        <f aca="false">T341*U341*(1-W341)</f>
        <v>20900.864</v>
      </c>
      <c r="AE341" s="7" t="n">
        <f aca="false">AD341-Z341</f>
        <v>8387.724</v>
      </c>
      <c r="AF341" s="8" t="n">
        <f aca="false">IF(AD341=0,0,AE341/AD341)</f>
        <v>0.401309917140268</v>
      </c>
      <c r="AG341" s="3" t="str">
        <f aca="false">IF(ABS(Y341-AD341)&gt;1,"Mismatch","OK")</f>
        <v>OK</v>
      </c>
      <c r="AH341" s="3" t="str">
        <f aca="false">IF(ABS(AA341-AE341)&gt;1,"Mismatch","OK")</f>
        <v>OK</v>
      </c>
      <c r="AI341" s="6" t="n">
        <f aca="false">IF(B341="","",MONTH(B341))</f>
        <v>2</v>
      </c>
      <c r="AJ341" s="6" t="n">
        <f aca="false">IF(B341="","",YEAR(B341))</f>
        <v>2025</v>
      </c>
      <c r="AK341" s="3" t="str">
        <f aca="false">IF(COUNTIF(raw_data!$A$2:$A$913,A341)&gt;1,"Conflicting Duplicate - Flagged for Review","Unique")</f>
        <v>Unique</v>
      </c>
      <c r="AL341" s="3" t="str">
        <f aca="false">IF(AB341="Refunded","Yes","No")</f>
        <v>No</v>
      </c>
      <c r="AM341" s="3" t="str">
        <f aca="false">IF(OR(AC341&lt;&gt;"Completed",AB341="Failed"),"Excluded","Included")</f>
        <v>Included</v>
      </c>
      <c r="AN341" s="3" t="str">
        <f aca="false">IF(OR(D341="Invalid/Unrecognized",E341="Invalid/Unrecognized",G341="Invalid - Ship Before Order",X341="Negative - Invalid",X341="Above Allowed Range - Invalid",AG341="Mismatch",AH341="Mismatch",AK341="Conflicting Duplicate - Flagged for Review"),"Invalid",IF(OR(L341="Filled - Unknown",S341="Filled - Unknown",X341="Missing - Defaulted to 0",AL341="Yes",AC341="Cancelled",AC341="Returned"),"Warning","Clean"))</f>
        <v>Clean</v>
      </c>
    </row>
    <row r="342" customFormat="false" ht="15" hidden="false" customHeight="false" outlineLevel="0" collapsed="false">
      <c r="A342" s="3" t="str">
        <f aca="false">raw_data!A342</f>
        <v>ORD-2024-10341</v>
      </c>
      <c r="B342" s="4" t="n">
        <f aca="false">IFERROR(IF(MID(raw_data!B342,3,1)="/",DATE(VALUE(RIGHT(raw_data!B342,4)),VALUE(LEFT(raw_data!B342,2)),VALUE(MID(raw_data!B342,4,2))),IF(MID(raw_data!B342,3,1)="-",DATE(VALUE(RIGHT(raw_data!B342,4)),VALUE(MID(raw_data!B342,4,2)),VALUE(LEFT(raw_data!B342,2))),IF(MID(raw_data!B342,5,1)="-",DATE(VALUE(LEFT(raw_data!B342,4)),VALUE(MID(raw_data!B342,6,2)),VALUE(RIGHT(raw_data!B342,2))),DATE(VALUE(RIGHT(raw_data!B342,4)),MATCH(MID(raw_data!B342,4,3),{"Jan","Feb","Mar","Apr","May","Jun","Jul","Aug","Sep","Oct","Nov","Dec"},0),VALUE(LEFT(raw_data!B342,2)))))),"")</f>
        <v>45312</v>
      </c>
      <c r="C342" s="4" t="n">
        <f aca="false">IFERROR(IF(MID(raw_data!C342,3,1)="/",DATE(VALUE(RIGHT(raw_data!C342,4)),VALUE(LEFT(raw_data!C342,2)),VALUE(MID(raw_data!C342,4,2))),IF(MID(raw_data!C342,3,1)="-",DATE(VALUE(RIGHT(raw_data!C342,4)),VALUE(MID(raw_data!C342,4,2)),VALUE(LEFT(raw_data!C342,2))),IF(MID(raw_data!C342,5,1)="-",DATE(VALUE(LEFT(raw_data!C342,4)),VALUE(MID(raw_data!C342,6,2)),VALUE(RIGHT(raw_data!C342,2))),DATE(VALUE(RIGHT(raw_data!C342,4)),MATCH(MID(raw_data!C342,4,3),{"Jan","Feb","Mar","Apr","May","Jun","Jul","Aug","Sep","Oct","Nov","Dec"},0),VALUE(LEFT(raw_data!C342,2)))))),"")</f>
        <v>45320</v>
      </c>
      <c r="D342" s="3" t="str">
        <f aca="false">IF(TRIM(raw_data!B342)="","Missing",IF(B342="","Invalid/Unrecognized","Valid"))</f>
        <v>Valid</v>
      </c>
      <c r="E342" s="3" t="str">
        <f aca="false">IF(TRIM(raw_data!C342)="","Missing",IF(C342="","Invalid/Unrecognized","Valid"))</f>
        <v>Valid</v>
      </c>
      <c r="F342" s="5" t="n">
        <f aca="false">IF(OR(B342="",C342=""),"",C342-B342)</f>
        <v>8</v>
      </c>
      <c r="G342" s="3" t="str">
        <f aca="false">IF(F342="","N/A",IF(F342&lt;0,"Invalid - Ship Before Order","OK"))</f>
        <v>OK</v>
      </c>
      <c r="H342" s="3" t="str">
        <f aca="false">raw_data!D342</f>
        <v>CUST-6291</v>
      </c>
      <c r="I342" s="3" t="str">
        <f aca="false">PROPER(TRIM(raw_data!E342))</f>
        <v>Neha Gupta</v>
      </c>
      <c r="J342" s="3" t="str">
        <f aca="false">PROPER(TRIM(raw_data!F342))</f>
        <v>Consumer</v>
      </c>
      <c r="K342" s="3" t="str">
        <f aca="false">IF(TRIM(raw_data!G342)="","Unknown",PROPER(TRIM(raw_data!G342)))</f>
        <v>South</v>
      </c>
      <c r="L342" s="3" t="str">
        <f aca="false">IF(TRIM(raw_data!G342)="","Filled - Unknown","OK")</f>
        <v>OK</v>
      </c>
      <c r="M342" s="3" t="str">
        <f aca="false">PROPER(TRIM(raw_data!H342))</f>
        <v>Karnataka</v>
      </c>
      <c r="N342" s="3" t="str">
        <f aca="false">PROPER(TRIM(raw_data!I342))</f>
        <v>Bengaluru</v>
      </c>
      <c r="O342" s="3" t="str">
        <f aca="false">PROPER(TRIM(raw_data!J342))</f>
        <v>Office Supplies</v>
      </c>
      <c r="P342" s="3" t="str">
        <f aca="false">PROPER(TRIM(raw_data!K342))</f>
        <v>Binders</v>
      </c>
      <c r="Q342" s="3" t="str">
        <f aca="false">TRIM(raw_data!L342)</f>
        <v>Smart Binders 414</v>
      </c>
      <c r="R342" s="3" t="str">
        <f aca="false">IF(TRIM(raw_data!M342)="","Unknown",PROPER(TRIM(raw_data!M342)))</f>
        <v>Standard Class</v>
      </c>
      <c r="S342" s="3" t="str">
        <f aca="false">IF(TRIM(raw_data!M342)="","Filled - Unknown","OK")</f>
        <v>OK</v>
      </c>
      <c r="T342" s="6" t="n">
        <f aca="false">raw_data!N342</f>
        <v>5</v>
      </c>
      <c r="U342" s="7" t="n">
        <f aca="false">raw_data!O342</f>
        <v>4058.08</v>
      </c>
      <c r="V342" s="8" t="n">
        <f aca="false">raw_data!P342</f>
        <v>0.1</v>
      </c>
      <c r="W342" s="8" t="n">
        <f aca="false">IF(raw_data!P342="",0,IF(ISTEXT(raw_data!P342),IF(RIGHT(raw_data!P342,1)="%",VALUE(LEFT(raw_data!P342,LEN(raw_data!P342)-1))/100,VALUE(raw_data!P342)),raw_data!P342))</f>
        <v>0.1</v>
      </c>
      <c r="X342" s="3" t="str">
        <f aca="false">IF(raw_data!P342="","Missing - Defaulted to 0",IF(W342&lt;0,"Negative - Invalid",IF(W342&gt;0.3,"Above Allowed Range - Invalid","Valid")))</f>
        <v>Valid</v>
      </c>
      <c r="Y342" s="7" t="n">
        <f aca="false">raw_data!Q342</f>
        <v>18261.36</v>
      </c>
      <c r="Z342" s="7" t="n">
        <f aca="false">raw_data!R342</f>
        <v>11399.94</v>
      </c>
      <c r="AA342" s="7" t="n">
        <f aca="false">raw_data!S342</f>
        <v>6861.42</v>
      </c>
      <c r="AB342" s="3" t="str">
        <f aca="false">PROPER(TRIM(raw_data!T342))</f>
        <v>Paid</v>
      </c>
      <c r="AC342" s="3" t="str">
        <f aca="false">PROPER(TRIM(raw_data!U342))</f>
        <v>Completed</v>
      </c>
      <c r="AD342" s="7" t="n">
        <f aca="false">T342*U342*(1-W342)</f>
        <v>18261.36</v>
      </c>
      <c r="AE342" s="7" t="n">
        <f aca="false">AD342-Z342</f>
        <v>6861.42</v>
      </c>
      <c r="AF342" s="8" t="n">
        <f aca="false">IF(AD342=0,0,AE342/AD342)</f>
        <v>0.375734337420652</v>
      </c>
      <c r="AG342" s="3" t="str">
        <f aca="false">IF(ABS(Y342-AD342)&gt;1,"Mismatch","OK")</f>
        <v>OK</v>
      </c>
      <c r="AH342" s="3" t="str">
        <f aca="false">IF(ABS(AA342-AE342)&gt;1,"Mismatch","OK")</f>
        <v>OK</v>
      </c>
      <c r="AI342" s="6" t="n">
        <f aca="false">IF(B342="","",MONTH(B342))</f>
        <v>1</v>
      </c>
      <c r="AJ342" s="6" t="n">
        <f aca="false">IF(B342="","",YEAR(B342))</f>
        <v>2024</v>
      </c>
      <c r="AK342" s="3" t="str">
        <f aca="false">IF(COUNTIF(raw_data!$A$2:$A$913,A342)&gt;1,"Conflicting Duplicate - Flagged for Review","Unique")</f>
        <v>Unique</v>
      </c>
      <c r="AL342" s="3" t="str">
        <f aca="false">IF(AB342="Refunded","Yes","No")</f>
        <v>No</v>
      </c>
      <c r="AM342" s="3" t="str">
        <f aca="false">IF(OR(AC342&lt;&gt;"Completed",AB342="Failed"),"Excluded","Included")</f>
        <v>Included</v>
      </c>
      <c r="AN342" s="3" t="str">
        <f aca="false">IF(OR(D342="Invalid/Unrecognized",E342="Invalid/Unrecognized",G342="Invalid - Ship Before Order",X342="Negative - Invalid",X342="Above Allowed Range - Invalid",AG342="Mismatch",AH342="Mismatch",AK342="Conflicting Duplicate - Flagged for Review"),"Invalid",IF(OR(L342="Filled - Unknown",S342="Filled - Unknown",X342="Missing - Defaulted to 0",AL342="Yes",AC342="Cancelled",AC342="Returned"),"Warning","Clean"))</f>
        <v>Clean</v>
      </c>
    </row>
    <row r="343" customFormat="false" ht="15" hidden="false" customHeight="false" outlineLevel="0" collapsed="false">
      <c r="A343" s="3" t="str">
        <f aca="false">raw_data!A343</f>
        <v>ORD-2025-10342</v>
      </c>
      <c r="B343" s="4" t="n">
        <f aca="false">IFERROR(IF(MID(raw_data!B343,3,1)="/",DATE(VALUE(RIGHT(raw_data!B343,4)),VALUE(LEFT(raw_data!B343,2)),VALUE(MID(raw_data!B343,4,2))),IF(MID(raw_data!B343,3,1)="-",DATE(VALUE(RIGHT(raw_data!B343,4)),VALUE(MID(raw_data!B343,4,2)),VALUE(LEFT(raw_data!B343,2))),IF(MID(raw_data!B343,5,1)="-",DATE(VALUE(LEFT(raw_data!B343,4)),VALUE(MID(raw_data!B343,6,2)),VALUE(RIGHT(raw_data!B343,2))),DATE(VALUE(RIGHT(raw_data!B343,4)),MATCH(MID(raw_data!B343,4,3),{"Jan","Feb","Mar","Apr","May","Jun","Jul","Aug","Sep","Oct","Nov","Dec"},0),VALUE(LEFT(raw_data!B343,2)))))),"")</f>
        <v>45908</v>
      </c>
      <c r="C343" s="4" t="n">
        <f aca="false">IFERROR(IF(MID(raw_data!C343,3,1)="/",DATE(VALUE(RIGHT(raw_data!C343,4)),VALUE(LEFT(raw_data!C343,2)),VALUE(MID(raw_data!C343,4,2))),IF(MID(raw_data!C343,3,1)="-",DATE(VALUE(RIGHT(raw_data!C343,4)),VALUE(MID(raw_data!C343,4,2)),VALUE(LEFT(raw_data!C343,2))),IF(MID(raw_data!C343,5,1)="-",DATE(VALUE(LEFT(raw_data!C343,4)),VALUE(MID(raw_data!C343,6,2)),VALUE(RIGHT(raw_data!C343,2))),DATE(VALUE(RIGHT(raw_data!C343,4)),MATCH(MID(raw_data!C343,4,3),{"Jan","Feb","Mar","Apr","May","Jun","Jul","Aug","Sep","Oct","Nov","Dec"},0),VALUE(LEFT(raw_data!C343,2)))))),"")</f>
        <v>45909</v>
      </c>
      <c r="D343" s="3" t="str">
        <f aca="false">IF(TRIM(raw_data!B343)="","Missing",IF(B343="","Invalid/Unrecognized","Valid"))</f>
        <v>Valid</v>
      </c>
      <c r="E343" s="3" t="str">
        <f aca="false">IF(TRIM(raw_data!C343)="","Missing",IF(C343="","Invalid/Unrecognized","Valid"))</f>
        <v>Valid</v>
      </c>
      <c r="F343" s="5" t="n">
        <f aca="false">IF(OR(B343="",C343=""),"",C343-B343)</f>
        <v>1</v>
      </c>
      <c r="G343" s="3" t="str">
        <f aca="false">IF(F343="","N/A",IF(F343&lt;0,"Invalid - Ship Before Order","OK"))</f>
        <v>OK</v>
      </c>
      <c r="H343" s="3" t="str">
        <f aca="false">raw_data!D343</f>
        <v>CUST-9969</v>
      </c>
      <c r="I343" s="3" t="str">
        <f aca="false">PROPER(TRIM(raw_data!E343))</f>
        <v>Rohan Mehta</v>
      </c>
      <c r="J343" s="3" t="str">
        <f aca="false">PROPER(TRIM(raw_data!F343))</f>
        <v>Home Office</v>
      </c>
      <c r="K343" s="3" t="str">
        <f aca="false">IF(TRIM(raw_data!G343)="","Unknown",PROPER(TRIM(raw_data!G343)))</f>
        <v>West</v>
      </c>
      <c r="L343" s="3" t="str">
        <f aca="false">IF(TRIM(raw_data!G343)="","Filled - Unknown","OK")</f>
        <v>OK</v>
      </c>
      <c r="M343" s="3" t="str">
        <f aca="false">PROPER(TRIM(raw_data!H343))</f>
        <v>Gujarat</v>
      </c>
      <c r="N343" s="3" t="str">
        <f aca="false">PROPER(TRIM(raw_data!I343))</f>
        <v>Ahmedabad</v>
      </c>
      <c r="O343" s="3" t="str">
        <f aca="false">PROPER(TRIM(raw_data!J343))</f>
        <v>Furniture</v>
      </c>
      <c r="P343" s="3" t="str">
        <f aca="false">PROPER(TRIM(raw_data!K343))</f>
        <v>Chairs</v>
      </c>
      <c r="Q343" s="3" t="str">
        <f aca="false">TRIM(raw_data!L343)</f>
        <v>Eco Chairs 552</v>
      </c>
      <c r="R343" s="3" t="str">
        <f aca="false">IF(TRIM(raw_data!M343)="","Unknown",PROPER(TRIM(raw_data!M343)))</f>
        <v>Second Class</v>
      </c>
      <c r="S343" s="3" t="str">
        <f aca="false">IF(TRIM(raw_data!M343)="","Filled - Unknown","OK")</f>
        <v>OK</v>
      </c>
      <c r="T343" s="6" t="n">
        <f aca="false">raw_data!N343</f>
        <v>2</v>
      </c>
      <c r="U343" s="7" t="n">
        <f aca="false">raw_data!O343</f>
        <v>3960.33</v>
      </c>
      <c r="V343" s="8" t="n">
        <f aca="false">raw_data!P343</f>
        <v>0.05</v>
      </c>
      <c r="W343" s="8" t="n">
        <f aca="false">IF(raw_data!P343="",0,IF(ISTEXT(raw_data!P343),IF(RIGHT(raw_data!P343,1)="%",VALUE(LEFT(raw_data!P343,LEN(raw_data!P343)-1))/100,VALUE(raw_data!P343)),raw_data!P343))</f>
        <v>0.05</v>
      </c>
      <c r="X343" s="3" t="str">
        <f aca="false">IF(raw_data!P343="","Missing - Defaulted to 0",IF(W343&lt;0,"Negative - Invalid",IF(W343&gt;0.3,"Above Allowed Range - Invalid","Valid")))</f>
        <v>Valid</v>
      </c>
      <c r="Y343" s="7" t="n">
        <f aca="false">raw_data!Q343</f>
        <v>7524.63</v>
      </c>
      <c r="Z343" s="7" t="n">
        <f aca="false">raw_data!R343</f>
        <v>6229.6</v>
      </c>
      <c r="AA343" s="7" t="n">
        <f aca="false">raw_data!S343</f>
        <v>1295.03</v>
      </c>
      <c r="AB343" s="3" t="str">
        <f aca="false">PROPER(TRIM(raw_data!T343))</f>
        <v>Paid</v>
      </c>
      <c r="AC343" s="3" t="str">
        <f aca="false">PROPER(TRIM(raw_data!U343))</f>
        <v>Completed</v>
      </c>
      <c r="AD343" s="7" t="n">
        <f aca="false">T343*U343*(1-W343)</f>
        <v>7524.627</v>
      </c>
      <c r="AE343" s="7" t="n">
        <f aca="false">AD343-Z343</f>
        <v>1295.027</v>
      </c>
      <c r="AF343" s="8" t="n">
        <f aca="false">IF(AD343=0,0,AE343/AD343)</f>
        <v>0.172105142221668</v>
      </c>
      <c r="AG343" s="3" t="str">
        <f aca="false">IF(ABS(Y343-AD343)&gt;1,"Mismatch","OK")</f>
        <v>OK</v>
      </c>
      <c r="AH343" s="3" t="str">
        <f aca="false">IF(ABS(AA343-AE343)&gt;1,"Mismatch","OK")</f>
        <v>OK</v>
      </c>
      <c r="AI343" s="6" t="n">
        <f aca="false">IF(B343="","",MONTH(B343))</f>
        <v>9</v>
      </c>
      <c r="AJ343" s="6" t="n">
        <f aca="false">IF(B343="","",YEAR(B343))</f>
        <v>2025</v>
      </c>
      <c r="AK343" s="3" t="str">
        <f aca="false">IF(COUNTIF(raw_data!$A$2:$A$913,A343)&gt;1,"Conflicting Duplicate - Flagged for Review","Unique")</f>
        <v>Unique</v>
      </c>
      <c r="AL343" s="3" t="str">
        <f aca="false">IF(AB343="Refunded","Yes","No")</f>
        <v>No</v>
      </c>
      <c r="AM343" s="3" t="str">
        <f aca="false">IF(OR(AC343&lt;&gt;"Completed",AB343="Failed"),"Excluded","Included")</f>
        <v>Included</v>
      </c>
      <c r="AN343" s="3" t="str">
        <f aca="false">IF(OR(D343="Invalid/Unrecognized",E343="Invalid/Unrecognized",G343="Invalid - Ship Before Order",X343="Negative - Invalid",X343="Above Allowed Range - Invalid",AG343="Mismatch",AH343="Mismatch",AK343="Conflicting Duplicate - Flagged for Review"),"Invalid",IF(OR(L343="Filled - Unknown",S343="Filled - Unknown",X343="Missing - Defaulted to 0",AL343="Yes",AC343="Cancelled",AC343="Returned"),"Warning","Clean"))</f>
        <v>Clean</v>
      </c>
    </row>
    <row r="344" customFormat="false" ht="15" hidden="false" customHeight="false" outlineLevel="0" collapsed="false">
      <c r="A344" s="3" t="str">
        <f aca="false">raw_data!A344</f>
        <v>ORD-2025-10343</v>
      </c>
      <c r="B344" s="4" t="n">
        <f aca="false">IFERROR(IF(MID(raw_data!B344,3,1)="/",DATE(VALUE(RIGHT(raw_data!B344,4)),VALUE(LEFT(raw_data!B344,2)),VALUE(MID(raw_data!B344,4,2))),IF(MID(raw_data!B344,3,1)="-",DATE(VALUE(RIGHT(raw_data!B344,4)),VALUE(MID(raw_data!B344,4,2)),VALUE(LEFT(raw_data!B344,2))),IF(MID(raw_data!B344,5,1)="-",DATE(VALUE(LEFT(raw_data!B344,4)),VALUE(MID(raw_data!B344,6,2)),VALUE(RIGHT(raw_data!B344,2))),DATE(VALUE(RIGHT(raw_data!B344,4)),MATCH(MID(raw_data!B344,4,3),{"Jan","Feb","Mar","Apr","May","Jun","Jul","Aug","Sep","Oct","Nov","Dec"},0),VALUE(LEFT(raw_data!B344,2)))))),"")</f>
        <v>45862</v>
      </c>
      <c r="C344" s="4" t="n">
        <f aca="false">IFERROR(IF(MID(raw_data!C344,3,1)="/",DATE(VALUE(RIGHT(raw_data!C344,4)),VALUE(LEFT(raw_data!C344,2)),VALUE(MID(raw_data!C344,4,2))),IF(MID(raw_data!C344,3,1)="-",DATE(VALUE(RIGHT(raw_data!C344,4)),VALUE(MID(raw_data!C344,4,2)),VALUE(LEFT(raw_data!C344,2))),IF(MID(raw_data!C344,5,1)="-",DATE(VALUE(LEFT(raw_data!C344,4)),VALUE(MID(raw_data!C344,6,2)),VALUE(RIGHT(raw_data!C344,2))),DATE(VALUE(RIGHT(raw_data!C344,4)),MATCH(MID(raw_data!C344,4,3),{"Jan","Feb","Mar","Apr","May","Jun","Jul","Aug","Sep","Oct","Nov","Dec"},0),VALUE(LEFT(raw_data!C344,2)))))),"")</f>
        <v>45870</v>
      </c>
      <c r="D344" s="3" t="str">
        <f aca="false">IF(TRIM(raw_data!B344)="","Missing",IF(B344="","Invalid/Unrecognized","Valid"))</f>
        <v>Valid</v>
      </c>
      <c r="E344" s="3" t="str">
        <f aca="false">IF(TRIM(raw_data!C344)="","Missing",IF(C344="","Invalid/Unrecognized","Valid"))</f>
        <v>Valid</v>
      </c>
      <c r="F344" s="5" t="n">
        <f aca="false">IF(OR(B344="",C344=""),"",C344-B344)</f>
        <v>8</v>
      </c>
      <c r="G344" s="3" t="str">
        <f aca="false">IF(F344="","N/A",IF(F344&lt;0,"Invalid - Ship Before Order","OK"))</f>
        <v>OK</v>
      </c>
      <c r="H344" s="3" t="str">
        <f aca="false">raw_data!D344</f>
        <v>CUST-3335</v>
      </c>
      <c r="I344" s="3" t="str">
        <f aca="false">PROPER(TRIM(raw_data!E344))</f>
        <v>Kabir Singh</v>
      </c>
      <c r="J344" s="3" t="str">
        <f aca="false">PROPER(TRIM(raw_data!F344))</f>
        <v>Small Business</v>
      </c>
      <c r="K344" s="3" t="str">
        <f aca="false">IF(TRIM(raw_data!G344)="","Unknown",PROPER(TRIM(raw_data!G344)))</f>
        <v>East</v>
      </c>
      <c r="L344" s="3" t="str">
        <f aca="false">IF(TRIM(raw_data!G344)="","Filled - Unknown","OK")</f>
        <v>OK</v>
      </c>
      <c r="M344" s="3" t="str">
        <f aca="false">PROPER(TRIM(raw_data!H344))</f>
        <v>Jharkhand</v>
      </c>
      <c r="N344" s="3" t="str">
        <f aca="false">PROPER(TRIM(raw_data!I344))</f>
        <v>Ranchi</v>
      </c>
      <c r="O344" s="3" t="str">
        <f aca="false">PROPER(TRIM(raw_data!J344))</f>
        <v>Office Supplies</v>
      </c>
      <c r="P344" s="3" t="str">
        <f aca="false">PROPER(TRIM(raw_data!K344))</f>
        <v>Binders</v>
      </c>
      <c r="Q344" s="3" t="str">
        <f aca="false">TRIM(raw_data!L344)</f>
        <v>Smart Binders 574</v>
      </c>
      <c r="R344" s="3" t="str">
        <f aca="false">IF(TRIM(raw_data!M344)="","Unknown",PROPER(TRIM(raw_data!M344)))</f>
        <v>First Class</v>
      </c>
      <c r="S344" s="3" t="str">
        <f aca="false">IF(TRIM(raw_data!M344)="","Filled - Unknown","OK")</f>
        <v>OK</v>
      </c>
      <c r="T344" s="6" t="n">
        <f aca="false">raw_data!N344</f>
        <v>8</v>
      </c>
      <c r="U344" s="7" t="n">
        <f aca="false">raw_data!O344</f>
        <v>1528.92</v>
      </c>
      <c r="V344" s="8" t="n">
        <f aca="false">raw_data!P344</f>
        <v>0</v>
      </c>
      <c r="W344" s="8" t="n">
        <f aca="false">IF(raw_data!P344="",0,IF(ISTEXT(raw_data!P344),IF(RIGHT(raw_data!P344,1)="%",VALUE(LEFT(raw_data!P344,LEN(raw_data!P344)-1))/100,VALUE(raw_data!P344)),raw_data!P344))</f>
        <v>0</v>
      </c>
      <c r="X344" s="3" t="str">
        <f aca="false">IF(raw_data!P344="","Missing - Defaulted to 0",IF(W344&lt;0,"Negative - Invalid",IF(W344&gt;0.3,"Above Allowed Range - Invalid","Valid")))</f>
        <v>Valid</v>
      </c>
      <c r="Y344" s="7" t="n">
        <f aca="false">raw_data!Q344</f>
        <v>12231.36</v>
      </c>
      <c r="Z344" s="7" t="n">
        <f aca="false">raw_data!R344</f>
        <v>8766.9</v>
      </c>
      <c r="AA344" s="7" t="n">
        <f aca="false">raw_data!S344</f>
        <v>3464.46</v>
      </c>
      <c r="AB344" s="3" t="str">
        <f aca="false">PROPER(TRIM(raw_data!T344))</f>
        <v>Paid</v>
      </c>
      <c r="AC344" s="3" t="str">
        <f aca="false">PROPER(TRIM(raw_data!U344))</f>
        <v>Completed</v>
      </c>
      <c r="AD344" s="7" t="n">
        <f aca="false">T344*U344*(1-W344)</f>
        <v>12231.36</v>
      </c>
      <c r="AE344" s="7" t="n">
        <f aca="false">AD344-Z344</f>
        <v>3464.46</v>
      </c>
      <c r="AF344" s="8" t="n">
        <f aca="false">IF(AD344=0,0,AE344/AD344)</f>
        <v>0.283244054626795</v>
      </c>
      <c r="AG344" s="3" t="str">
        <f aca="false">IF(ABS(Y344-AD344)&gt;1,"Mismatch","OK")</f>
        <v>OK</v>
      </c>
      <c r="AH344" s="3" t="str">
        <f aca="false">IF(ABS(AA344-AE344)&gt;1,"Mismatch","OK")</f>
        <v>OK</v>
      </c>
      <c r="AI344" s="6" t="n">
        <f aca="false">IF(B344="","",MONTH(B344))</f>
        <v>7</v>
      </c>
      <c r="AJ344" s="6" t="n">
        <f aca="false">IF(B344="","",YEAR(B344))</f>
        <v>2025</v>
      </c>
      <c r="AK344" s="3" t="str">
        <f aca="false">IF(COUNTIF(raw_data!$A$2:$A$913,A344)&gt;1,"Conflicting Duplicate - Flagged for Review","Unique")</f>
        <v>Unique</v>
      </c>
      <c r="AL344" s="3" t="str">
        <f aca="false">IF(AB344="Refunded","Yes","No")</f>
        <v>No</v>
      </c>
      <c r="AM344" s="3" t="str">
        <f aca="false">IF(OR(AC344&lt;&gt;"Completed",AB344="Failed"),"Excluded","Included")</f>
        <v>Included</v>
      </c>
      <c r="AN344" s="3" t="str">
        <f aca="false">IF(OR(D344="Invalid/Unrecognized",E344="Invalid/Unrecognized",G344="Invalid - Ship Before Order",X344="Negative - Invalid",X344="Above Allowed Range - Invalid",AG344="Mismatch",AH344="Mismatch",AK344="Conflicting Duplicate - Flagged for Review"),"Invalid",IF(OR(L344="Filled - Unknown",S344="Filled - Unknown",X344="Missing - Defaulted to 0",AL344="Yes",AC344="Cancelled",AC344="Returned"),"Warning","Clean"))</f>
        <v>Clean</v>
      </c>
    </row>
    <row r="345" customFormat="false" ht="15" hidden="false" customHeight="false" outlineLevel="0" collapsed="false">
      <c r="A345" s="3" t="str">
        <f aca="false">raw_data!A345</f>
        <v>ORD-2025-10344</v>
      </c>
      <c r="B345" s="4" t="n">
        <f aca="false">IFERROR(IF(MID(raw_data!B345,3,1)="/",DATE(VALUE(RIGHT(raw_data!B345,4)),VALUE(LEFT(raw_data!B345,2)),VALUE(MID(raw_data!B345,4,2))),IF(MID(raw_data!B345,3,1)="-",DATE(VALUE(RIGHT(raw_data!B345,4)),VALUE(MID(raw_data!B345,4,2)),VALUE(LEFT(raw_data!B345,2))),IF(MID(raw_data!B345,5,1)="-",DATE(VALUE(LEFT(raw_data!B345,4)),VALUE(MID(raw_data!B345,6,2)),VALUE(RIGHT(raw_data!B345,2))),DATE(VALUE(RIGHT(raw_data!B345,4)),MATCH(MID(raw_data!B345,4,3),{"Jan","Feb","Mar","Apr","May","Jun","Jul","Aug","Sep","Oct","Nov","Dec"},0),VALUE(LEFT(raw_data!B345,2)))))),"")</f>
        <v>45933</v>
      </c>
      <c r="C345" s="4" t="n">
        <f aca="false">IFERROR(IF(MID(raw_data!C345,3,1)="/",DATE(VALUE(RIGHT(raw_data!C345,4)),VALUE(LEFT(raw_data!C345,2)),VALUE(MID(raw_data!C345,4,2))),IF(MID(raw_data!C345,3,1)="-",DATE(VALUE(RIGHT(raw_data!C345,4)),VALUE(MID(raw_data!C345,4,2)),VALUE(LEFT(raw_data!C345,2))),IF(MID(raw_data!C345,5,1)="-",DATE(VALUE(LEFT(raw_data!C345,4)),VALUE(MID(raw_data!C345,6,2)),VALUE(RIGHT(raw_data!C345,2))),DATE(VALUE(RIGHT(raw_data!C345,4)),MATCH(MID(raw_data!C345,4,3),{"Jan","Feb","Mar","Apr","May","Jun","Jul","Aug","Sep","Oct","Nov","Dec"},0),VALUE(LEFT(raw_data!C345,2)))))),"")</f>
        <v>45938</v>
      </c>
      <c r="D345" s="3" t="str">
        <f aca="false">IF(TRIM(raw_data!B345)="","Missing",IF(B345="","Invalid/Unrecognized","Valid"))</f>
        <v>Valid</v>
      </c>
      <c r="E345" s="3" t="str">
        <f aca="false">IF(TRIM(raw_data!C345)="","Missing",IF(C345="","Invalid/Unrecognized","Valid"))</f>
        <v>Valid</v>
      </c>
      <c r="F345" s="5" t="n">
        <f aca="false">IF(OR(B345="",C345=""),"",C345-B345)</f>
        <v>5</v>
      </c>
      <c r="G345" s="3" t="str">
        <f aca="false">IF(F345="","N/A",IF(F345&lt;0,"Invalid - Ship Before Order","OK"))</f>
        <v>OK</v>
      </c>
      <c r="H345" s="3" t="str">
        <f aca="false">raw_data!D345</f>
        <v>CUST-7358</v>
      </c>
      <c r="I345" s="3" t="str">
        <f aca="false">PROPER(TRIM(raw_data!E345))</f>
        <v>Aarav Sharma</v>
      </c>
      <c r="J345" s="3" t="str">
        <f aca="false">PROPER(TRIM(raw_data!F345))</f>
        <v>Corporate</v>
      </c>
      <c r="K345" s="3" t="str">
        <f aca="false">IF(TRIM(raw_data!G345)="","Unknown",PROPER(TRIM(raw_data!G345)))</f>
        <v>West</v>
      </c>
      <c r="L345" s="3" t="str">
        <f aca="false">IF(TRIM(raw_data!G345)="","Filled - Unknown","OK")</f>
        <v>OK</v>
      </c>
      <c r="M345" s="3" t="str">
        <f aca="false">PROPER(TRIM(raw_data!H345))</f>
        <v>Madhya Pradesh</v>
      </c>
      <c r="N345" s="3" t="str">
        <f aca="false">PROPER(TRIM(raw_data!I345))</f>
        <v>Indore</v>
      </c>
      <c r="O345" s="3" t="str">
        <f aca="false">PROPER(TRIM(raw_data!J345))</f>
        <v>Technology</v>
      </c>
      <c r="P345" s="3" t="str">
        <f aca="false">PROPER(TRIM(raw_data!K345))</f>
        <v>Machines</v>
      </c>
      <c r="Q345" s="3" t="str">
        <f aca="false">TRIM(raw_data!L345)</f>
        <v>Pro Machines 444</v>
      </c>
      <c r="R345" s="3" t="str">
        <f aca="false">IF(TRIM(raw_data!M345)="","Unknown",PROPER(TRIM(raw_data!M345)))</f>
        <v>Same Day</v>
      </c>
      <c r="S345" s="3" t="str">
        <f aca="false">IF(TRIM(raw_data!M345)="","Filled - Unknown","OK")</f>
        <v>OK</v>
      </c>
      <c r="T345" s="6" t="n">
        <f aca="false">raw_data!N345</f>
        <v>9</v>
      </c>
      <c r="U345" s="7" t="n">
        <f aca="false">raw_data!O345</f>
        <v>3837</v>
      </c>
      <c r="V345" s="8" t="n">
        <f aca="false">raw_data!P345</f>
        <v>0.1</v>
      </c>
      <c r="W345" s="8" t="n">
        <f aca="false">IF(raw_data!P345="",0,IF(ISTEXT(raw_data!P345),IF(RIGHT(raw_data!P345,1)="%",VALUE(LEFT(raw_data!P345,LEN(raw_data!P345)-1))/100,VALUE(raw_data!P345)),raw_data!P345))</f>
        <v>0.1</v>
      </c>
      <c r="X345" s="3" t="str">
        <f aca="false">IF(raw_data!P345="","Missing - Defaulted to 0",IF(W345&lt;0,"Negative - Invalid",IF(W345&gt;0.3,"Above Allowed Range - Invalid","Valid")))</f>
        <v>Valid</v>
      </c>
      <c r="Y345" s="7" t="n">
        <f aca="false">raw_data!Q345</f>
        <v>31079.7</v>
      </c>
      <c r="Z345" s="7" t="n">
        <f aca="false">raw_data!R345</f>
        <v>17758.25</v>
      </c>
      <c r="AA345" s="7" t="n">
        <f aca="false">raw_data!S345</f>
        <v>13321.45</v>
      </c>
      <c r="AB345" s="3" t="str">
        <f aca="false">PROPER(TRIM(raw_data!T345))</f>
        <v>Paid</v>
      </c>
      <c r="AC345" s="3" t="str">
        <f aca="false">PROPER(TRIM(raw_data!U345))</f>
        <v>Completed</v>
      </c>
      <c r="AD345" s="7" t="n">
        <f aca="false">T345*U345*(1-W345)</f>
        <v>31079.7</v>
      </c>
      <c r="AE345" s="7" t="n">
        <f aca="false">AD345-Z345</f>
        <v>13321.45</v>
      </c>
      <c r="AF345" s="8" t="n">
        <f aca="false">IF(AD345=0,0,AE345/AD345)</f>
        <v>0.428622219648195</v>
      </c>
      <c r="AG345" s="3" t="str">
        <f aca="false">IF(ABS(Y345-AD345)&gt;1,"Mismatch","OK")</f>
        <v>OK</v>
      </c>
      <c r="AH345" s="3" t="str">
        <f aca="false">IF(ABS(AA345-AE345)&gt;1,"Mismatch","OK")</f>
        <v>OK</v>
      </c>
      <c r="AI345" s="6" t="n">
        <f aca="false">IF(B345="","",MONTH(B345))</f>
        <v>10</v>
      </c>
      <c r="AJ345" s="6" t="n">
        <f aca="false">IF(B345="","",YEAR(B345))</f>
        <v>2025</v>
      </c>
      <c r="AK345" s="3" t="str">
        <f aca="false">IF(COUNTIF(raw_data!$A$2:$A$913,A345)&gt;1,"Conflicting Duplicate - Flagged for Review","Unique")</f>
        <v>Unique</v>
      </c>
      <c r="AL345" s="3" t="str">
        <f aca="false">IF(AB345="Refunded","Yes","No")</f>
        <v>No</v>
      </c>
      <c r="AM345" s="3" t="str">
        <f aca="false">IF(OR(AC345&lt;&gt;"Completed",AB345="Failed"),"Excluded","Included")</f>
        <v>Included</v>
      </c>
      <c r="AN345" s="3" t="str">
        <f aca="false">IF(OR(D345="Invalid/Unrecognized",E345="Invalid/Unrecognized",G345="Invalid - Ship Before Order",X345="Negative - Invalid",X345="Above Allowed Range - Invalid",AG345="Mismatch",AH345="Mismatch",AK345="Conflicting Duplicate - Flagged for Review"),"Invalid",IF(OR(L345="Filled - Unknown",S345="Filled - Unknown",X345="Missing - Defaulted to 0",AL345="Yes",AC345="Cancelled",AC345="Returned"),"Warning","Clean"))</f>
        <v>Clean</v>
      </c>
    </row>
    <row r="346" customFormat="false" ht="15" hidden="false" customHeight="false" outlineLevel="0" collapsed="false">
      <c r="A346" s="3" t="str">
        <f aca="false">raw_data!A346</f>
        <v>ORD-2024-10345</v>
      </c>
      <c r="B346" s="4" t="n">
        <f aca="false">IFERROR(IF(MID(raw_data!B346,3,1)="/",DATE(VALUE(RIGHT(raw_data!B346,4)),VALUE(LEFT(raw_data!B346,2)),VALUE(MID(raw_data!B346,4,2))),IF(MID(raw_data!B346,3,1)="-",DATE(VALUE(RIGHT(raw_data!B346,4)),VALUE(MID(raw_data!B346,4,2)),VALUE(LEFT(raw_data!B346,2))),IF(MID(raw_data!B346,5,1)="-",DATE(VALUE(LEFT(raw_data!B346,4)),VALUE(MID(raw_data!B346,6,2)),VALUE(RIGHT(raw_data!B346,2))),DATE(VALUE(RIGHT(raw_data!B346,4)),MATCH(MID(raw_data!B346,4,3),{"Jan","Feb","Mar","Apr","May","Jun","Jul","Aug","Sep","Oct","Nov","Dec"},0),VALUE(LEFT(raw_data!B346,2)))))),"")</f>
        <v>45362</v>
      </c>
      <c r="C346" s="4" t="n">
        <f aca="false">IFERROR(IF(MID(raw_data!C346,3,1)="/",DATE(VALUE(RIGHT(raw_data!C346,4)),VALUE(LEFT(raw_data!C346,2)),VALUE(MID(raw_data!C346,4,2))),IF(MID(raw_data!C346,3,1)="-",DATE(VALUE(RIGHT(raw_data!C346,4)),VALUE(MID(raw_data!C346,4,2)),VALUE(LEFT(raw_data!C346,2))),IF(MID(raw_data!C346,5,1)="-",DATE(VALUE(LEFT(raw_data!C346,4)),VALUE(MID(raw_data!C346,6,2)),VALUE(RIGHT(raw_data!C346,2))),DATE(VALUE(RIGHT(raw_data!C346,4)),MATCH(MID(raw_data!C346,4,3),{"Jan","Feb","Mar","Apr","May","Jun","Jul","Aug","Sep","Oct","Nov","Dec"},0),VALUE(LEFT(raw_data!C346,2)))))),"")</f>
        <v>45362</v>
      </c>
      <c r="D346" s="3" t="str">
        <f aca="false">IF(TRIM(raw_data!B346)="","Missing",IF(B346="","Invalid/Unrecognized","Valid"))</f>
        <v>Valid</v>
      </c>
      <c r="E346" s="3" t="str">
        <f aca="false">IF(TRIM(raw_data!C346)="","Missing",IF(C346="","Invalid/Unrecognized","Valid"))</f>
        <v>Valid</v>
      </c>
      <c r="F346" s="5" t="n">
        <f aca="false">IF(OR(B346="",C346=""),"",C346-B346)</f>
        <v>0</v>
      </c>
      <c r="G346" s="3" t="str">
        <f aca="false">IF(F346="","N/A",IF(F346&lt;0,"Invalid - Ship Before Order","OK"))</f>
        <v>OK</v>
      </c>
      <c r="H346" s="3" t="str">
        <f aca="false">raw_data!D346</f>
        <v>CUST-8025</v>
      </c>
      <c r="I346" s="3" t="str">
        <f aca="false">PROPER(TRIM(raw_data!E346))</f>
        <v>Priya Menon</v>
      </c>
      <c r="J346" s="3" t="str">
        <f aca="false">PROPER(TRIM(raw_data!F346))</f>
        <v>Consumer</v>
      </c>
      <c r="K346" s="3" t="str">
        <f aca="false">IF(TRIM(raw_data!G346)="","Unknown",PROPER(TRIM(raw_data!G346)))</f>
        <v>North</v>
      </c>
      <c r="L346" s="3" t="str">
        <f aca="false">IF(TRIM(raw_data!G346)="","Filled - Unknown","OK")</f>
        <v>OK</v>
      </c>
      <c r="M346" s="3" t="str">
        <f aca="false">PROPER(TRIM(raw_data!H346))</f>
        <v>Punjab</v>
      </c>
      <c r="N346" s="3" t="str">
        <f aca="false">PROPER(TRIM(raw_data!I346))</f>
        <v>Ludhiana</v>
      </c>
      <c r="O346" s="3" t="str">
        <f aca="false">PROPER(TRIM(raw_data!J346))</f>
        <v>Furniture</v>
      </c>
      <c r="P346" s="3" t="str">
        <f aca="false">PROPER(TRIM(raw_data!K346))</f>
        <v>Bookcases</v>
      </c>
      <c r="Q346" s="3" t="str">
        <f aca="false">TRIM(raw_data!L346)</f>
        <v>Elite Bookcases 184</v>
      </c>
      <c r="R346" s="3" t="str">
        <f aca="false">IF(TRIM(raw_data!M346)="","Unknown",PROPER(TRIM(raw_data!M346)))</f>
        <v>Same Day</v>
      </c>
      <c r="S346" s="3" t="str">
        <f aca="false">IF(TRIM(raw_data!M346)="","Filled - Unknown","OK")</f>
        <v>OK</v>
      </c>
      <c r="T346" s="6" t="n">
        <f aca="false">raw_data!N346</f>
        <v>9</v>
      </c>
      <c r="U346" s="7" t="n">
        <f aca="false">raw_data!O346</f>
        <v>3456.38</v>
      </c>
      <c r="V346" s="8" t="n">
        <f aca="false">raw_data!P346</f>
        <v>0</v>
      </c>
      <c r="W346" s="8" t="n">
        <f aca="false">IF(raw_data!P346="",0,IF(ISTEXT(raw_data!P346),IF(RIGHT(raw_data!P346,1)="%",VALUE(LEFT(raw_data!P346,LEN(raw_data!P346)-1))/100,VALUE(raw_data!P346)),raw_data!P346))</f>
        <v>0</v>
      </c>
      <c r="X346" s="3" t="str">
        <f aca="false">IF(raw_data!P346="","Missing - Defaulted to 0",IF(W346&lt;0,"Negative - Invalid",IF(W346&gt;0.3,"Above Allowed Range - Invalid","Valid")))</f>
        <v>Valid</v>
      </c>
      <c r="Y346" s="7" t="n">
        <f aca="false">raw_data!Q346</f>
        <v>31107.42</v>
      </c>
      <c r="Z346" s="7" t="n">
        <f aca="false">raw_data!R346</f>
        <v>20146.66</v>
      </c>
      <c r="AA346" s="7" t="n">
        <f aca="false">raw_data!S346</f>
        <v>10960.76</v>
      </c>
      <c r="AB346" s="3" t="str">
        <f aca="false">PROPER(TRIM(raw_data!T346))</f>
        <v>Pending</v>
      </c>
      <c r="AC346" s="3" t="str">
        <f aca="false">PROPER(TRIM(raw_data!U346))</f>
        <v>Returned</v>
      </c>
      <c r="AD346" s="7" t="n">
        <f aca="false">T346*U346*(1-W346)</f>
        <v>31107.42</v>
      </c>
      <c r="AE346" s="7" t="n">
        <f aca="false">AD346-Z346</f>
        <v>10960.76</v>
      </c>
      <c r="AF346" s="8" t="n">
        <f aca="false">IF(AD346=0,0,AE346/AD346)</f>
        <v>0.352351946898843</v>
      </c>
      <c r="AG346" s="3" t="str">
        <f aca="false">IF(ABS(Y346-AD346)&gt;1,"Mismatch","OK")</f>
        <v>OK</v>
      </c>
      <c r="AH346" s="3" t="str">
        <f aca="false">IF(ABS(AA346-AE346)&gt;1,"Mismatch","OK")</f>
        <v>OK</v>
      </c>
      <c r="AI346" s="6" t="n">
        <f aca="false">IF(B346="","",MONTH(B346))</f>
        <v>3</v>
      </c>
      <c r="AJ346" s="6" t="n">
        <f aca="false">IF(B346="","",YEAR(B346))</f>
        <v>2024</v>
      </c>
      <c r="AK346" s="3" t="str">
        <f aca="false">IF(COUNTIF(raw_data!$A$2:$A$913,A346)&gt;1,"Conflicting Duplicate - Flagged for Review","Unique")</f>
        <v>Unique</v>
      </c>
      <c r="AL346" s="3" t="str">
        <f aca="false">IF(AB346="Refunded","Yes","No")</f>
        <v>No</v>
      </c>
      <c r="AM346" s="3" t="str">
        <f aca="false">IF(OR(AC346&lt;&gt;"Completed",AB346="Failed"),"Excluded","Included")</f>
        <v>Excluded</v>
      </c>
      <c r="AN346" s="3" t="str">
        <f aca="false">IF(OR(D346="Invalid/Unrecognized",E346="Invalid/Unrecognized",G346="Invalid - Ship Before Order",X346="Negative - Invalid",X346="Above Allowed Range - Invalid",AG346="Mismatch",AH346="Mismatch",AK346="Conflicting Duplicate - Flagged for Review"),"Invalid",IF(OR(L346="Filled - Unknown",S346="Filled - Unknown",X346="Missing - Defaulted to 0",AL346="Yes",AC346="Cancelled",AC346="Returned"),"Warning","Clean"))</f>
        <v>Warning</v>
      </c>
    </row>
    <row r="347" customFormat="false" ht="15" hidden="false" customHeight="false" outlineLevel="0" collapsed="false">
      <c r="A347" s="3" t="str">
        <f aca="false">raw_data!A347</f>
        <v>ORD-2024-10346</v>
      </c>
      <c r="B347" s="4" t="n">
        <f aca="false">IFERROR(IF(MID(raw_data!B347,3,1)="/",DATE(VALUE(RIGHT(raw_data!B347,4)),VALUE(LEFT(raw_data!B347,2)),VALUE(MID(raw_data!B347,4,2))),IF(MID(raw_data!B347,3,1)="-",DATE(VALUE(RIGHT(raw_data!B347,4)),VALUE(MID(raw_data!B347,4,2)),VALUE(LEFT(raw_data!B347,2))),IF(MID(raw_data!B347,5,1)="-",DATE(VALUE(LEFT(raw_data!B347,4)),VALUE(MID(raw_data!B347,6,2)),VALUE(RIGHT(raw_data!B347,2))),DATE(VALUE(RIGHT(raw_data!B347,4)),MATCH(MID(raw_data!B347,4,3),{"Jan","Feb","Mar","Apr","May","Jun","Jul","Aug","Sep","Oct","Nov","Dec"},0),VALUE(LEFT(raw_data!B347,2)))))),"")</f>
        <v>45549</v>
      </c>
      <c r="C347" s="4" t="n">
        <f aca="false">IFERROR(IF(MID(raw_data!C347,3,1)="/",DATE(VALUE(RIGHT(raw_data!C347,4)),VALUE(LEFT(raw_data!C347,2)),VALUE(MID(raw_data!C347,4,2))),IF(MID(raw_data!C347,3,1)="-",DATE(VALUE(RIGHT(raw_data!C347,4)),VALUE(MID(raw_data!C347,4,2)),VALUE(LEFT(raw_data!C347,2))),IF(MID(raw_data!C347,5,1)="-",DATE(VALUE(LEFT(raw_data!C347,4)),VALUE(MID(raw_data!C347,6,2)),VALUE(RIGHT(raw_data!C347,2))),DATE(VALUE(RIGHT(raw_data!C347,4)),MATCH(MID(raw_data!C347,4,3),{"Jan","Feb","Mar","Apr","May","Jun","Jul","Aug","Sep","Oct","Nov","Dec"},0),VALUE(LEFT(raw_data!C347,2)))))),"")</f>
        <v>45557</v>
      </c>
      <c r="D347" s="3" t="str">
        <f aca="false">IF(TRIM(raw_data!B347)="","Missing",IF(B347="","Invalid/Unrecognized","Valid"))</f>
        <v>Valid</v>
      </c>
      <c r="E347" s="3" t="str">
        <f aca="false">IF(TRIM(raw_data!C347)="","Missing",IF(C347="","Invalid/Unrecognized","Valid"))</f>
        <v>Valid</v>
      </c>
      <c r="F347" s="5" t="n">
        <f aca="false">IF(OR(B347="",C347=""),"",C347-B347)</f>
        <v>8</v>
      </c>
      <c r="G347" s="3" t="str">
        <f aca="false">IF(F347="","N/A",IF(F347&lt;0,"Invalid - Ship Before Order","OK"))</f>
        <v>OK</v>
      </c>
      <c r="H347" s="3" t="str">
        <f aca="false">raw_data!D347</f>
        <v>CUST-4634</v>
      </c>
      <c r="I347" s="3" t="str">
        <f aca="false">PROPER(TRIM(raw_data!E347))</f>
        <v>Karan Malhotra</v>
      </c>
      <c r="J347" s="3" t="str">
        <f aca="false">PROPER(TRIM(raw_data!F347))</f>
        <v>Consumer</v>
      </c>
      <c r="K347" s="3" t="str">
        <f aca="false">IF(TRIM(raw_data!G347)="","Unknown",PROPER(TRIM(raw_data!G347)))</f>
        <v>West</v>
      </c>
      <c r="L347" s="3" t="str">
        <f aca="false">IF(TRIM(raw_data!G347)="","Filled - Unknown","OK")</f>
        <v>OK</v>
      </c>
      <c r="M347" s="3" t="str">
        <f aca="false">PROPER(TRIM(raw_data!H347))</f>
        <v>Madhya Pradesh</v>
      </c>
      <c r="N347" s="3" t="str">
        <f aca="false">PROPER(TRIM(raw_data!I347))</f>
        <v>Indore</v>
      </c>
      <c r="O347" s="3" t="str">
        <f aca="false">PROPER(TRIM(raw_data!J347))</f>
        <v>Furniture</v>
      </c>
      <c r="P347" s="3" t="str">
        <f aca="false">PROPER(TRIM(raw_data!K347))</f>
        <v>Furnishings</v>
      </c>
      <c r="Q347" s="3" t="str">
        <f aca="false">TRIM(raw_data!L347)</f>
        <v>Elite Furnishings 138</v>
      </c>
      <c r="R347" s="3" t="str">
        <f aca="false">IF(TRIM(raw_data!M347)="","Unknown",PROPER(TRIM(raw_data!M347)))</f>
        <v>Second Class</v>
      </c>
      <c r="S347" s="3" t="str">
        <f aca="false">IF(TRIM(raw_data!M347)="","Filled - Unknown","OK")</f>
        <v>OK</v>
      </c>
      <c r="T347" s="6" t="n">
        <f aca="false">raw_data!N347</f>
        <v>2</v>
      </c>
      <c r="U347" s="7" t="n">
        <f aca="false">raw_data!O347</f>
        <v>2765.3</v>
      </c>
      <c r="V347" s="8" t="n">
        <f aca="false">raw_data!P347</f>
        <v>0</v>
      </c>
      <c r="W347" s="8" t="n">
        <f aca="false">IF(raw_data!P347="",0,IF(ISTEXT(raw_data!P347),IF(RIGHT(raw_data!P347,1)="%",VALUE(LEFT(raw_data!P347,LEN(raw_data!P347)-1))/100,VALUE(raw_data!P347)),raw_data!P347))</f>
        <v>0</v>
      </c>
      <c r="X347" s="3" t="str">
        <f aca="false">IF(raw_data!P347="","Missing - Defaulted to 0",IF(W347&lt;0,"Negative - Invalid",IF(W347&gt;0.3,"Above Allowed Range - Invalid","Valid")))</f>
        <v>Valid</v>
      </c>
      <c r="Y347" s="7" t="n">
        <f aca="false">raw_data!Q347</f>
        <v>5530.6</v>
      </c>
      <c r="Z347" s="7" t="n">
        <f aca="false">raw_data!R347</f>
        <v>4453.11</v>
      </c>
      <c r="AA347" s="7" t="n">
        <f aca="false">raw_data!S347</f>
        <v>1077.49</v>
      </c>
      <c r="AB347" s="3" t="str">
        <f aca="false">PROPER(TRIM(raw_data!T347))</f>
        <v>Paid</v>
      </c>
      <c r="AC347" s="3" t="str">
        <f aca="false">PROPER(TRIM(raw_data!U347))</f>
        <v>Completed</v>
      </c>
      <c r="AD347" s="7" t="n">
        <f aca="false">T347*U347*(1-W347)</f>
        <v>5530.6</v>
      </c>
      <c r="AE347" s="7" t="n">
        <f aca="false">AD347-Z347</f>
        <v>1077.49</v>
      </c>
      <c r="AF347" s="8" t="n">
        <f aca="false">IF(AD347=0,0,AE347/AD347)</f>
        <v>0.194823346472354</v>
      </c>
      <c r="AG347" s="3" t="str">
        <f aca="false">IF(ABS(Y347-AD347)&gt;1,"Mismatch","OK")</f>
        <v>OK</v>
      </c>
      <c r="AH347" s="3" t="str">
        <f aca="false">IF(ABS(AA347-AE347)&gt;1,"Mismatch","OK")</f>
        <v>OK</v>
      </c>
      <c r="AI347" s="6" t="n">
        <f aca="false">IF(B347="","",MONTH(B347))</f>
        <v>9</v>
      </c>
      <c r="AJ347" s="6" t="n">
        <f aca="false">IF(B347="","",YEAR(B347))</f>
        <v>2024</v>
      </c>
      <c r="AK347" s="3" t="str">
        <f aca="false">IF(COUNTIF(raw_data!$A$2:$A$913,A347)&gt;1,"Conflicting Duplicate - Flagged for Review","Unique")</f>
        <v>Unique</v>
      </c>
      <c r="AL347" s="3" t="str">
        <f aca="false">IF(AB347="Refunded","Yes","No")</f>
        <v>No</v>
      </c>
      <c r="AM347" s="3" t="str">
        <f aca="false">IF(OR(AC347&lt;&gt;"Completed",AB347="Failed"),"Excluded","Included")</f>
        <v>Included</v>
      </c>
      <c r="AN347" s="3" t="str">
        <f aca="false">IF(OR(D347="Invalid/Unrecognized",E347="Invalid/Unrecognized",G347="Invalid - Ship Before Order",X347="Negative - Invalid",X347="Above Allowed Range - Invalid",AG347="Mismatch",AH347="Mismatch",AK347="Conflicting Duplicate - Flagged for Review"),"Invalid",IF(OR(L347="Filled - Unknown",S347="Filled - Unknown",X347="Missing - Defaulted to 0",AL347="Yes",AC347="Cancelled",AC347="Returned"),"Warning","Clean"))</f>
        <v>Clean</v>
      </c>
    </row>
    <row r="348" customFormat="false" ht="15" hidden="false" customHeight="false" outlineLevel="0" collapsed="false">
      <c r="A348" s="3" t="str">
        <f aca="false">raw_data!A348</f>
        <v>ORD-2025-10347</v>
      </c>
      <c r="B348" s="4" t="n">
        <f aca="false">IFERROR(IF(MID(raw_data!B348,3,1)="/",DATE(VALUE(RIGHT(raw_data!B348,4)),VALUE(LEFT(raw_data!B348,2)),VALUE(MID(raw_data!B348,4,2))),IF(MID(raw_data!B348,3,1)="-",DATE(VALUE(RIGHT(raw_data!B348,4)),VALUE(MID(raw_data!B348,4,2)),VALUE(LEFT(raw_data!B348,2))),IF(MID(raw_data!B348,5,1)="-",DATE(VALUE(LEFT(raw_data!B348,4)),VALUE(MID(raw_data!B348,6,2)),VALUE(RIGHT(raw_data!B348,2))),DATE(VALUE(RIGHT(raw_data!B348,4)),MATCH(MID(raw_data!B348,4,3),{"Jan","Feb","Mar","Apr","May","Jun","Jul","Aug","Sep","Oct","Nov","Dec"},0),VALUE(LEFT(raw_data!B348,2)))))),"")</f>
        <v>45860</v>
      </c>
      <c r="C348" s="4" t="n">
        <f aca="false">IFERROR(IF(MID(raw_data!C348,3,1)="/",DATE(VALUE(RIGHT(raw_data!C348,4)),VALUE(LEFT(raw_data!C348,2)),VALUE(MID(raw_data!C348,4,2))),IF(MID(raw_data!C348,3,1)="-",DATE(VALUE(RIGHT(raw_data!C348,4)),VALUE(MID(raw_data!C348,4,2)),VALUE(LEFT(raw_data!C348,2))),IF(MID(raw_data!C348,5,1)="-",DATE(VALUE(LEFT(raw_data!C348,4)),VALUE(MID(raw_data!C348,6,2)),VALUE(RIGHT(raw_data!C348,2))),DATE(VALUE(RIGHT(raw_data!C348,4)),MATCH(MID(raw_data!C348,4,3),{"Jan","Feb","Mar","Apr","May","Jun","Jul","Aug","Sep","Oct","Nov","Dec"},0),VALUE(LEFT(raw_data!C348,2)))))),"")</f>
        <v>45866</v>
      </c>
      <c r="D348" s="3" t="str">
        <f aca="false">IF(TRIM(raw_data!B348)="","Missing",IF(B348="","Invalid/Unrecognized","Valid"))</f>
        <v>Valid</v>
      </c>
      <c r="E348" s="3" t="str">
        <f aca="false">IF(TRIM(raw_data!C348)="","Missing",IF(C348="","Invalid/Unrecognized","Valid"))</f>
        <v>Valid</v>
      </c>
      <c r="F348" s="5" t="n">
        <f aca="false">IF(OR(B348="",C348=""),"",C348-B348)</f>
        <v>6</v>
      </c>
      <c r="G348" s="3" t="str">
        <f aca="false">IF(F348="","N/A",IF(F348&lt;0,"Invalid - Ship Before Order","OK"))</f>
        <v>OK</v>
      </c>
      <c r="H348" s="3" t="str">
        <f aca="false">raw_data!D348</f>
        <v>CUST-3400</v>
      </c>
      <c r="I348" s="3" t="str">
        <f aca="false">PROPER(TRIM(raw_data!E348))</f>
        <v>Rahul Verma</v>
      </c>
      <c r="J348" s="3" t="str">
        <f aca="false">PROPER(TRIM(raw_data!F348))</f>
        <v>Corporate</v>
      </c>
      <c r="K348" s="3" t="str">
        <f aca="false">IF(TRIM(raw_data!G348)="","Unknown",PROPER(TRIM(raw_data!G348)))</f>
        <v>South</v>
      </c>
      <c r="L348" s="3" t="str">
        <f aca="false">IF(TRIM(raw_data!G348)="","Filled - Unknown","OK")</f>
        <v>OK</v>
      </c>
      <c r="M348" s="3" t="str">
        <f aca="false">PROPER(TRIM(raw_data!H348))</f>
        <v>Kerala</v>
      </c>
      <c r="N348" s="3" t="str">
        <f aca="false">PROPER(TRIM(raw_data!I348))</f>
        <v>Kochi</v>
      </c>
      <c r="O348" s="3" t="str">
        <f aca="false">PROPER(TRIM(raw_data!J348))</f>
        <v>Furniture</v>
      </c>
      <c r="P348" s="3" t="str">
        <f aca="false">PROPER(TRIM(raw_data!K348))</f>
        <v>Chairs</v>
      </c>
      <c r="Q348" s="3" t="str">
        <f aca="false">TRIM(raw_data!L348)</f>
        <v>Eco Chairs 369</v>
      </c>
      <c r="R348" s="3" t="str">
        <f aca="false">IF(TRIM(raw_data!M348)="","Unknown",PROPER(TRIM(raw_data!M348)))</f>
        <v>Second Class</v>
      </c>
      <c r="S348" s="3" t="str">
        <f aca="false">IF(TRIM(raw_data!M348)="","Filled - Unknown","OK")</f>
        <v>OK</v>
      </c>
      <c r="T348" s="6" t="n">
        <f aca="false">raw_data!N348</f>
        <v>6</v>
      </c>
      <c r="U348" s="7" t="n">
        <f aca="false">raw_data!O348</f>
        <v>1607.46</v>
      </c>
      <c r="V348" s="8" t="n">
        <f aca="false">raw_data!P348</f>
        <v>0.2</v>
      </c>
      <c r="W348" s="8" t="n">
        <f aca="false">IF(raw_data!P348="",0,IF(ISTEXT(raw_data!P348),IF(RIGHT(raw_data!P348,1)="%",VALUE(LEFT(raw_data!P348,LEN(raw_data!P348)-1))/100,VALUE(raw_data!P348)),raw_data!P348))</f>
        <v>0.2</v>
      </c>
      <c r="X348" s="3" t="str">
        <f aca="false">IF(raw_data!P348="","Missing - Defaulted to 0",IF(W348&lt;0,"Negative - Invalid",IF(W348&gt;0.3,"Above Allowed Range - Invalid","Valid")))</f>
        <v>Valid</v>
      </c>
      <c r="Y348" s="7" t="n">
        <f aca="false">raw_data!Q348</f>
        <v>7715.81</v>
      </c>
      <c r="Z348" s="7" t="n">
        <f aca="false">raw_data!R348</f>
        <v>4258.42</v>
      </c>
      <c r="AA348" s="7" t="n">
        <f aca="false">raw_data!S348</f>
        <v>3457.39</v>
      </c>
      <c r="AB348" s="3" t="str">
        <f aca="false">PROPER(TRIM(raw_data!T348))</f>
        <v>Paid</v>
      </c>
      <c r="AC348" s="3" t="str">
        <f aca="false">PROPER(TRIM(raw_data!U348))</f>
        <v>Completed</v>
      </c>
      <c r="AD348" s="7" t="n">
        <f aca="false">T348*U348*(1-W348)</f>
        <v>7715.808</v>
      </c>
      <c r="AE348" s="7" t="n">
        <f aca="false">AD348-Z348</f>
        <v>3457.388</v>
      </c>
      <c r="AF348" s="8" t="n">
        <f aca="false">IF(AD348=0,0,AE348/AD348)</f>
        <v>0.448091502536092</v>
      </c>
      <c r="AG348" s="3" t="str">
        <f aca="false">IF(ABS(Y348-AD348)&gt;1,"Mismatch","OK")</f>
        <v>OK</v>
      </c>
      <c r="AH348" s="3" t="str">
        <f aca="false">IF(ABS(AA348-AE348)&gt;1,"Mismatch","OK")</f>
        <v>OK</v>
      </c>
      <c r="AI348" s="6" t="n">
        <f aca="false">IF(B348="","",MONTH(B348))</f>
        <v>7</v>
      </c>
      <c r="AJ348" s="6" t="n">
        <f aca="false">IF(B348="","",YEAR(B348))</f>
        <v>2025</v>
      </c>
      <c r="AK348" s="3" t="str">
        <f aca="false">IF(COUNTIF(raw_data!$A$2:$A$913,A348)&gt;1,"Conflicting Duplicate - Flagged for Review","Unique")</f>
        <v>Unique</v>
      </c>
      <c r="AL348" s="3" t="str">
        <f aca="false">IF(AB348="Refunded","Yes","No")</f>
        <v>No</v>
      </c>
      <c r="AM348" s="3" t="str">
        <f aca="false">IF(OR(AC348&lt;&gt;"Completed",AB348="Failed"),"Excluded","Included")</f>
        <v>Included</v>
      </c>
      <c r="AN348" s="3" t="str">
        <f aca="false">IF(OR(D348="Invalid/Unrecognized",E348="Invalid/Unrecognized",G348="Invalid - Ship Before Order",X348="Negative - Invalid",X348="Above Allowed Range - Invalid",AG348="Mismatch",AH348="Mismatch",AK348="Conflicting Duplicate - Flagged for Review"),"Invalid",IF(OR(L348="Filled - Unknown",S348="Filled - Unknown",X348="Missing - Defaulted to 0",AL348="Yes",AC348="Cancelled",AC348="Returned"),"Warning","Clean"))</f>
        <v>Clean</v>
      </c>
    </row>
    <row r="349" customFormat="false" ht="15" hidden="false" customHeight="false" outlineLevel="0" collapsed="false">
      <c r="A349" s="3" t="str">
        <f aca="false">raw_data!A349</f>
        <v>ORD-2024-10348</v>
      </c>
      <c r="B349" s="4" t="n">
        <f aca="false">IFERROR(IF(MID(raw_data!B349,3,1)="/",DATE(VALUE(RIGHT(raw_data!B349,4)),VALUE(LEFT(raw_data!B349,2)),VALUE(MID(raw_data!B349,4,2))),IF(MID(raw_data!B349,3,1)="-",DATE(VALUE(RIGHT(raw_data!B349,4)),VALUE(MID(raw_data!B349,4,2)),VALUE(LEFT(raw_data!B349,2))),IF(MID(raw_data!B349,5,1)="-",DATE(VALUE(LEFT(raw_data!B349,4)),VALUE(MID(raw_data!B349,6,2)),VALUE(RIGHT(raw_data!B349,2))),DATE(VALUE(RIGHT(raw_data!B349,4)),MATCH(MID(raw_data!B349,4,3),{"Jan","Feb","Mar","Apr","May","Jun","Jul","Aug","Sep","Oct","Nov","Dec"},0),VALUE(LEFT(raw_data!B349,2)))))),"")</f>
        <v>45627</v>
      </c>
      <c r="C349" s="4" t="n">
        <f aca="false">IFERROR(IF(MID(raw_data!C349,3,1)="/",DATE(VALUE(RIGHT(raw_data!C349,4)),VALUE(LEFT(raw_data!C349,2)),VALUE(MID(raw_data!C349,4,2))),IF(MID(raw_data!C349,3,1)="-",DATE(VALUE(RIGHT(raw_data!C349,4)),VALUE(MID(raw_data!C349,4,2)),VALUE(LEFT(raw_data!C349,2))),IF(MID(raw_data!C349,5,1)="-",DATE(VALUE(LEFT(raw_data!C349,4)),VALUE(MID(raw_data!C349,6,2)),VALUE(RIGHT(raw_data!C349,2))),DATE(VALUE(RIGHT(raw_data!C349,4)),MATCH(MID(raw_data!C349,4,3),{"Jan","Feb","Mar","Apr","May","Jun","Jul","Aug","Sep","Oct","Nov","Dec"},0),VALUE(LEFT(raw_data!C349,2)))))),"")</f>
        <v>45634</v>
      </c>
      <c r="D349" s="3" t="str">
        <f aca="false">IF(TRIM(raw_data!B349)="","Missing",IF(B349="","Invalid/Unrecognized","Valid"))</f>
        <v>Valid</v>
      </c>
      <c r="E349" s="3" t="str">
        <f aca="false">IF(TRIM(raw_data!C349)="","Missing",IF(C349="","Invalid/Unrecognized","Valid"))</f>
        <v>Valid</v>
      </c>
      <c r="F349" s="5" t="n">
        <f aca="false">IF(OR(B349="",C349=""),"",C349-B349)</f>
        <v>7</v>
      </c>
      <c r="G349" s="3" t="str">
        <f aca="false">IF(F349="","N/A",IF(F349&lt;0,"Invalid - Ship Before Order","OK"))</f>
        <v>OK</v>
      </c>
      <c r="H349" s="3" t="str">
        <f aca="false">raw_data!D349</f>
        <v>CUST-1172</v>
      </c>
      <c r="I349" s="3" t="str">
        <f aca="false">PROPER(TRIM(raw_data!E349))</f>
        <v>Aarav Sharma</v>
      </c>
      <c r="J349" s="3" t="str">
        <f aca="false">PROPER(TRIM(raw_data!F349))</f>
        <v>Small Business</v>
      </c>
      <c r="K349" s="3" t="str">
        <f aca="false">IF(TRIM(raw_data!G349)="","Unknown",PROPER(TRIM(raw_data!G349)))</f>
        <v>West</v>
      </c>
      <c r="L349" s="3" t="str">
        <f aca="false">IF(TRIM(raw_data!G349)="","Filled - Unknown","OK")</f>
        <v>OK</v>
      </c>
      <c r="M349" s="3" t="str">
        <f aca="false">PROPER(TRIM(raw_data!H349))</f>
        <v>Goa</v>
      </c>
      <c r="N349" s="3" t="str">
        <f aca="false">PROPER(TRIM(raw_data!I349))</f>
        <v>Panaji</v>
      </c>
      <c r="O349" s="3" t="str">
        <f aca="false">PROPER(TRIM(raw_data!J349))</f>
        <v>Furniture</v>
      </c>
      <c r="P349" s="3" t="str">
        <f aca="false">PROPER(TRIM(raw_data!K349))</f>
        <v>Chairs</v>
      </c>
      <c r="Q349" s="3" t="str">
        <f aca="false">TRIM(raw_data!L349)</f>
        <v>Max Chairs 487</v>
      </c>
      <c r="R349" s="3" t="str">
        <f aca="false">IF(TRIM(raw_data!M349)="","Unknown",PROPER(TRIM(raw_data!M349)))</f>
        <v>Second Class</v>
      </c>
      <c r="S349" s="3" t="str">
        <f aca="false">IF(TRIM(raw_data!M349)="","Filled - Unknown","OK")</f>
        <v>OK</v>
      </c>
      <c r="T349" s="6" t="n">
        <f aca="false">raw_data!N349</f>
        <v>5</v>
      </c>
      <c r="U349" s="7" t="n">
        <f aca="false">raw_data!O349</f>
        <v>2981.49</v>
      </c>
      <c r="V349" s="8" t="n">
        <f aca="false">raw_data!P349</f>
        <v>0.2</v>
      </c>
      <c r="W349" s="8" t="n">
        <f aca="false">IF(raw_data!P349="",0,IF(ISTEXT(raw_data!P349),IF(RIGHT(raw_data!P349,1)="%",VALUE(LEFT(raw_data!P349,LEN(raw_data!P349)-1))/100,VALUE(raw_data!P349)),raw_data!P349))</f>
        <v>0.2</v>
      </c>
      <c r="X349" s="3" t="str">
        <f aca="false">IF(raw_data!P349="","Missing - Defaulted to 0",IF(W349&lt;0,"Negative - Invalid",IF(W349&gt;0.3,"Above Allowed Range - Invalid","Valid")))</f>
        <v>Valid</v>
      </c>
      <c r="Y349" s="7" t="n">
        <f aca="false">raw_data!Q349</f>
        <v>11925.96</v>
      </c>
      <c r="Z349" s="7" t="n">
        <f aca="false">raw_data!R349</f>
        <v>10103.51</v>
      </c>
      <c r="AA349" s="7" t="n">
        <f aca="false">raw_data!S349</f>
        <v>1822.45</v>
      </c>
      <c r="AB349" s="3" t="str">
        <f aca="false">PROPER(TRIM(raw_data!T349))</f>
        <v>Refunded</v>
      </c>
      <c r="AC349" s="3" t="str">
        <f aca="false">PROPER(TRIM(raw_data!U349))</f>
        <v>Returned</v>
      </c>
      <c r="AD349" s="7" t="n">
        <f aca="false">T349*U349*(1-W349)</f>
        <v>11925.96</v>
      </c>
      <c r="AE349" s="7" t="n">
        <f aca="false">AD349-Z349</f>
        <v>1822.45</v>
      </c>
      <c r="AF349" s="8" t="n">
        <f aca="false">IF(AD349=0,0,AE349/AD349)</f>
        <v>0.152813693824229</v>
      </c>
      <c r="AG349" s="3" t="str">
        <f aca="false">IF(ABS(Y349-AD349)&gt;1,"Mismatch","OK")</f>
        <v>OK</v>
      </c>
      <c r="AH349" s="3" t="str">
        <f aca="false">IF(ABS(AA349-AE349)&gt;1,"Mismatch","OK")</f>
        <v>OK</v>
      </c>
      <c r="AI349" s="6" t="n">
        <f aca="false">IF(B349="","",MONTH(B349))</f>
        <v>12</v>
      </c>
      <c r="AJ349" s="6" t="n">
        <f aca="false">IF(B349="","",YEAR(B349))</f>
        <v>2024</v>
      </c>
      <c r="AK349" s="3" t="str">
        <f aca="false">IF(COUNTIF(raw_data!$A$2:$A$913,A349)&gt;1,"Conflicting Duplicate - Flagged for Review","Unique")</f>
        <v>Unique</v>
      </c>
      <c r="AL349" s="3" t="str">
        <f aca="false">IF(AB349="Refunded","Yes","No")</f>
        <v>Yes</v>
      </c>
      <c r="AM349" s="3" t="str">
        <f aca="false">IF(OR(AC349&lt;&gt;"Completed",AB349="Failed"),"Excluded","Included")</f>
        <v>Excluded</v>
      </c>
      <c r="AN349" s="3" t="str">
        <f aca="false">IF(OR(D349="Invalid/Unrecognized",E349="Invalid/Unrecognized",G349="Invalid - Ship Before Order",X349="Negative - Invalid",X349="Above Allowed Range - Invalid",AG349="Mismatch",AH349="Mismatch",AK349="Conflicting Duplicate - Flagged for Review"),"Invalid",IF(OR(L349="Filled - Unknown",S349="Filled - Unknown",X349="Missing - Defaulted to 0",AL349="Yes",AC349="Cancelled",AC349="Returned"),"Warning","Clean"))</f>
        <v>Warning</v>
      </c>
    </row>
    <row r="350" customFormat="false" ht="15" hidden="false" customHeight="false" outlineLevel="0" collapsed="false">
      <c r="A350" s="3" t="str">
        <f aca="false">raw_data!A350</f>
        <v>ORD-2024-10349</v>
      </c>
      <c r="B350" s="4" t="n">
        <f aca="false">IFERROR(IF(MID(raw_data!B350,3,1)="/",DATE(VALUE(RIGHT(raw_data!B350,4)),VALUE(LEFT(raw_data!B350,2)),VALUE(MID(raw_data!B350,4,2))),IF(MID(raw_data!B350,3,1)="-",DATE(VALUE(RIGHT(raw_data!B350,4)),VALUE(MID(raw_data!B350,4,2)),VALUE(LEFT(raw_data!B350,2))),IF(MID(raw_data!B350,5,1)="-",DATE(VALUE(LEFT(raw_data!B350,4)),VALUE(MID(raw_data!B350,6,2)),VALUE(RIGHT(raw_data!B350,2))),DATE(VALUE(RIGHT(raw_data!B350,4)),MATCH(MID(raw_data!B350,4,3),{"Jan","Feb","Mar","Apr","May","Jun","Jul","Aug","Sep","Oct","Nov","Dec"},0),VALUE(LEFT(raw_data!B350,2)))))),"")</f>
        <v>45445</v>
      </c>
      <c r="C350" s="4" t="n">
        <f aca="false">IFERROR(IF(MID(raw_data!C350,3,1)="/",DATE(VALUE(RIGHT(raw_data!C350,4)),VALUE(LEFT(raw_data!C350,2)),VALUE(MID(raw_data!C350,4,2))),IF(MID(raw_data!C350,3,1)="-",DATE(VALUE(RIGHT(raw_data!C350,4)),VALUE(MID(raw_data!C350,4,2)),VALUE(LEFT(raw_data!C350,2))),IF(MID(raw_data!C350,5,1)="-",DATE(VALUE(LEFT(raw_data!C350,4)),VALUE(MID(raw_data!C350,6,2)),VALUE(RIGHT(raw_data!C350,2))),DATE(VALUE(RIGHT(raw_data!C350,4)),MATCH(MID(raw_data!C350,4,3),{"Jan","Feb","Mar","Apr","May","Jun","Jul","Aug","Sep","Oct","Nov","Dec"},0),VALUE(LEFT(raw_data!C350,2)))))),"")</f>
        <v>45450</v>
      </c>
      <c r="D350" s="3" t="str">
        <f aca="false">IF(TRIM(raw_data!B350)="","Missing",IF(B350="","Invalid/Unrecognized","Valid"))</f>
        <v>Valid</v>
      </c>
      <c r="E350" s="3" t="str">
        <f aca="false">IF(TRIM(raw_data!C350)="","Missing",IF(C350="","Invalid/Unrecognized","Valid"))</f>
        <v>Valid</v>
      </c>
      <c r="F350" s="5" t="n">
        <f aca="false">IF(OR(B350="",C350=""),"",C350-B350)</f>
        <v>5</v>
      </c>
      <c r="G350" s="3" t="str">
        <f aca="false">IF(F350="","N/A",IF(F350&lt;0,"Invalid - Ship Before Order","OK"))</f>
        <v>OK</v>
      </c>
      <c r="H350" s="3" t="str">
        <f aca="false">raw_data!D350</f>
        <v>CUST-9517</v>
      </c>
      <c r="I350" s="3" t="str">
        <f aca="false">PROPER(TRIM(raw_data!E350))</f>
        <v>Aarav Sharma</v>
      </c>
      <c r="J350" s="3" t="str">
        <f aca="false">PROPER(TRIM(raw_data!F350))</f>
        <v>Corporate</v>
      </c>
      <c r="K350" s="3" t="str">
        <f aca="false">IF(TRIM(raw_data!G350)="","Unknown",PROPER(TRIM(raw_data!G350)))</f>
        <v>South</v>
      </c>
      <c r="L350" s="3" t="str">
        <f aca="false">IF(TRIM(raw_data!G350)="","Filled - Unknown","OK")</f>
        <v>OK</v>
      </c>
      <c r="M350" s="3" t="str">
        <f aca="false">PROPER(TRIM(raw_data!H350))</f>
        <v>Karnataka</v>
      </c>
      <c r="N350" s="3" t="str">
        <f aca="false">PROPER(TRIM(raw_data!I350))</f>
        <v>Bengaluru</v>
      </c>
      <c r="O350" s="3" t="str">
        <f aca="false">PROPER(TRIM(raw_data!J350))</f>
        <v>Technology</v>
      </c>
      <c r="P350" s="3" t="str">
        <f aca="false">PROPER(TRIM(raw_data!K350))</f>
        <v>Phones</v>
      </c>
      <c r="Q350" s="3" t="str">
        <f aca="false">TRIM(raw_data!L350)</f>
        <v>Classic Phones 989</v>
      </c>
      <c r="R350" s="3" t="str">
        <f aca="false">IF(TRIM(raw_data!M350)="","Unknown",PROPER(TRIM(raw_data!M350)))</f>
        <v>Same Day</v>
      </c>
      <c r="S350" s="3" t="str">
        <f aca="false">IF(TRIM(raw_data!M350)="","Filled - Unknown","OK")</f>
        <v>OK</v>
      </c>
      <c r="T350" s="6" t="n">
        <f aca="false">raw_data!N350</f>
        <v>9</v>
      </c>
      <c r="U350" s="7" t="n">
        <f aca="false">raw_data!O350</f>
        <v>2860.26</v>
      </c>
      <c r="V350" s="8" t="n">
        <f aca="false">raw_data!P350</f>
        <v>0.25</v>
      </c>
      <c r="W350" s="8" t="n">
        <f aca="false">IF(raw_data!P350="",0,IF(ISTEXT(raw_data!P350),IF(RIGHT(raw_data!P350,1)="%",VALUE(LEFT(raw_data!P350,LEN(raw_data!P350)-1))/100,VALUE(raw_data!P350)),raw_data!P350))</f>
        <v>0.25</v>
      </c>
      <c r="X350" s="3" t="str">
        <f aca="false">IF(raw_data!P350="","Missing - Defaulted to 0",IF(W350&lt;0,"Negative - Invalid",IF(W350&gt;0.3,"Above Allowed Range - Invalid","Valid")))</f>
        <v>Valid</v>
      </c>
      <c r="Y350" s="7" t="n">
        <f aca="false">raw_data!Q350</f>
        <v>19306.76</v>
      </c>
      <c r="Z350" s="7" t="n">
        <f aca="false">raw_data!R350</f>
        <v>14442.38</v>
      </c>
      <c r="AA350" s="7" t="n">
        <f aca="false">raw_data!S350</f>
        <v>4864.38</v>
      </c>
      <c r="AB350" s="3" t="str">
        <f aca="false">PROPER(TRIM(raw_data!T350))</f>
        <v>Paid</v>
      </c>
      <c r="AC350" s="3" t="str">
        <f aca="false">PROPER(TRIM(raw_data!U350))</f>
        <v>Completed</v>
      </c>
      <c r="AD350" s="7" t="n">
        <f aca="false">T350*U350*(1-W350)</f>
        <v>19306.755</v>
      </c>
      <c r="AE350" s="7" t="n">
        <f aca="false">AD350-Z350</f>
        <v>4864.37500000001</v>
      </c>
      <c r="AF350" s="8" t="n">
        <f aca="false">IF(AD350=0,0,AE350/AD350)</f>
        <v>0.251951972250127</v>
      </c>
      <c r="AG350" s="3" t="str">
        <f aca="false">IF(ABS(Y350-AD350)&gt;1,"Mismatch","OK")</f>
        <v>OK</v>
      </c>
      <c r="AH350" s="3" t="str">
        <f aca="false">IF(ABS(AA350-AE350)&gt;1,"Mismatch","OK")</f>
        <v>OK</v>
      </c>
      <c r="AI350" s="6" t="n">
        <f aca="false">IF(B350="","",MONTH(B350))</f>
        <v>6</v>
      </c>
      <c r="AJ350" s="6" t="n">
        <f aca="false">IF(B350="","",YEAR(B350))</f>
        <v>2024</v>
      </c>
      <c r="AK350" s="3" t="str">
        <f aca="false">IF(COUNTIF(raw_data!$A$2:$A$913,A350)&gt;1,"Conflicting Duplicate - Flagged for Review","Unique")</f>
        <v>Unique</v>
      </c>
      <c r="AL350" s="3" t="str">
        <f aca="false">IF(AB350="Refunded","Yes","No")</f>
        <v>No</v>
      </c>
      <c r="AM350" s="3" t="str">
        <f aca="false">IF(OR(AC350&lt;&gt;"Completed",AB350="Failed"),"Excluded","Included")</f>
        <v>Included</v>
      </c>
      <c r="AN350" s="3" t="str">
        <f aca="false">IF(OR(D350="Invalid/Unrecognized",E350="Invalid/Unrecognized",G350="Invalid - Ship Before Order",X350="Negative - Invalid",X350="Above Allowed Range - Invalid",AG350="Mismatch",AH350="Mismatch",AK350="Conflicting Duplicate - Flagged for Review"),"Invalid",IF(OR(L350="Filled - Unknown",S350="Filled - Unknown",X350="Missing - Defaulted to 0",AL350="Yes",AC350="Cancelled",AC350="Returned"),"Warning","Clean"))</f>
        <v>Clean</v>
      </c>
    </row>
    <row r="351" customFormat="false" ht="15" hidden="false" customHeight="false" outlineLevel="0" collapsed="false">
      <c r="A351" s="3" t="str">
        <f aca="false">raw_data!A351</f>
        <v>ORD-2025-10350</v>
      </c>
      <c r="B351" s="4" t="n">
        <f aca="false">IFERROR(IF(MID(raw_data!B351,3,1)="/",DATE(VALUE(RIGHT(raw_data!B351,4)),VALUE(LEFT(raw_data!B351,2)),VALUE(MID(raw_data!B351,4,2))),IF(MID(raw_data!B351,3,1)="-",DATE(VALUE(RIGHT(raw_data!B351,4)),VALUE(MID(raw_data!B351,4,2)),VALUE(LEFT(raw_data!B351,2))),IF(MID(raw_data!B351,5,1)="-",DATE(VALUE(LEFT(raw_data!B351,4)),VALUE(MID(raw_data!B351,6,2)),VALUE(RIGHT(raw_data!B351,2))),DATE(VALUE(RIGHT(raw_data!B351,4)),MATCH(MID(raw_data!B351,4,3),{"Jan","Feb","Mar","Apr","May","Jun","Jul","Aug","Sep","Oct","Nov","Dec"},0),VALUE(LEFT(raw_data!B351,2)))))),"")</f>
        <v>45927</v>
      </c>
      <c r="C351" s="4" t="n">
        <f aca="false">IFERROR(IF(MID(raw_data!C351,3,1)="/",DATE(VALUE(RIGHT(raw_data!C351,4)),VALUE(LEFT(raw_data!C351,2)),VALUE(MID(raw_data!C351,4,2))),IF(MID(raw_data!C351,3,1)="-",DATE(VALUE(RIGHT(raw_data!C351,4)),VALUE(MID(raw_data!C351,4,2)),VALUE(LEFT(raw_data!C351,2))),IF(MID(raw_data!C351,5,1)="-",DATE(VALUE(LEFT(raw_data!C351,4)),VALUE(MID(raw_data!C351,6,2)),VALUE(RIGHT(raw_data!C351,2))),DATE(VALUE(RIGHT(raw_data!C351,4)),MATCH(MID(raw_data!C351,4,3),{"Jan","Feb","Mar","Apr","May","Jun","Jul","Aug","Sep","Oct","Nov","Dec"},0),VALUE(LEFT(raw_data!C351,2)))))),"")</f>
        <v>45929</v>
      </c>
      <c r="D351" s="3" t="str">
        <f aca="false">IF(TRIM(raw_data!B351)="","Missing",IF(B351="","Invalid/Unrecognized","Valid"))</f>
        <v>Valid</v>
      </c>
      <c r="E351" s="3" t="str">
        <f aca="false">IF(TRIM(raw_data!C351)="","Missing",IF(C351="","Invalid/Unrecognized","Valid"))</f>
        <v>Valid</v>
      </c>
      <c r="F351" s="5" t="n">
        <f aca="false">IF(OR(B351="",C351=""),"",C351-B351)</f>
        <v>2</v>
      </c>
      <c r="G351" s="3" t="str">
        <f aca="false">IF(F351="","N/A",IF(F351&lt;0,"Invalid - Ship Before Order","OK"))</f>
        <v>OK</v>
      </c>
      <c r="H351" s="3" t="str">
        <f aca="false">raw_data!D351</f>
        <v>CUST-6697</v>
      </c>
      <c r="I351" s="3" t="str">
        <f aca="false">PROPER(TRIM(raw_data!E351))</f>
        <v>Kabir Singh</v>
      </c>
      <c r="J351" s="3" t="str">
        <f aca="false">PROPER(TRIM(raw_data!F351))</f>
        <v>Home Office</v>
      </c>
      <c r="K351" s="3" t="str">
        <f aca="false">IF(TRIM(raw_data!G351)="","Unknown",PROPER(TRIM(raw_data!G351)))</f>
        <v>East</v>
      </c>
      <c r="L351" s="3" t="str">
        <f aca="false">IF(TRIM(raw_data!G351)="","Filled - Unknown","OK")</f>
        <v>OK</v>
      </c>
      <c r="M351" s="3" t="str">
        <f aca="false">PROPER(TRIM(raw_data!H351))</f>
        <v>Jharkhand</v>
      </c>
      <c r="N351" s="3" t="str">
        <f aca="false">PROPER(TRIM(raw_data!I351))</f>
        <v>Ranchi</v>
      </c>
      <c r="O351" s="3" t="str">
        <f aca="false">PROPER(TRIM(raw_data!J351))</f>
        <v>Furniture</v>
      </c>
      <c r="P351" s="3" t="str">
        <f aca="false">PROPER(TRIM(raw_data!K351))</f>
        <v>Furnishings</v>
      </c>
      <c r="Q351" s="3" t="str">
        <f aca="false">TRIM(raw_data!L351)</f>
        <v>Max Furnishings 628</v>
      </c>
      <c r="R351" s="3" t="str">
        <f aca="false">IF(TRIM(raw_data!M351)="","Unknown",PROPER(TRIM(raw_data!M351)))</f>
        <v>Second Class</v>
      </c>
      <c r="S351" s="3" t="str">
        <f aca="false">IF(TRIM(raw_data!M351)="","Filled - Unknown","OK")</f>
        <v>OK</v>
      </c>
      <c r="T351" s="6" t="n">
        <f aca="false">raw_data!N351</f>
        <v>9</v>
      </c>
      <c r="U351" s="7" t="n">
        <f aca="false">raw_data!O351</f>
        <v>2867.55</v>
      </c>
      <c r="V351" s="8" t="n">
        <f aca="false">raw_data!P351</f>
        <v>0.25</v>
      </c>
      <c r="W351" s="8" t="n">
        <f aca="false">IF(raw_data!P351="",0,IF(ISTEXT(raw_data!P351),IF(RIGHT(raw_data!P351,1)="%",VALUE(LEFT(raw_data!P351,LEN(raw_data!P351)-1))/100,VALUE(raw_data!P351)),raw_data!P351))</f>
        <v>0.25</v>
      </c>
      <c r="X351" s="3" t="str">
        <f aca="false">IF(raw_data!P351="","Missing - Defaulted to 0",IF(W351&lt;0,"Negative - Invalid",IF(W351&gt;0.3,"Above Allowed Range - Invalid","Valid")))</f>
        <v>Valid</v>
      </c>
      <c r="Y351" s="7" t="n">
        <f aca="false">raw_data!Q351</f>
        <v>19355.96</v>
      </c>
      <c r="Z351" s="7" t="n">
        <f aca="false">raw_data!R351</f>
        <v>15012.45</v>
      </c>
      <c r="AA351" s="7" t="n">
        <f aca="false">raw_data!S351</f>
        <v>4017.4</v>
      </c>
      <c r="AB351" s="3" t="str">
        <f aca="false">PROPER(TRIM(raw_data!T351))</f>
        <v>Paid</v>
      </c>
      <c r="AC351" s="3" t="str">
        <f aca="false">PROPER(TRIM(raw_data!U351))</f>
        <v>Completed</v>
      </c>
      <c r="AD351" s="7" t="n">
        <f aca="false">T351*U351*(1-W351)</f>
        <v>19355.9625</v>
      </c>
      <c r="AE351" s="7" t="n">
        <f aca="false">AD351-Z351</f>
        <v>4343.5125</v>
      </c>
      <c r="AF351" s="8" t="n">
        <f aca="false">IF(AD351=0,0,AE351/AD351)</f>
        <v>0.224401783171465</v>
      </c>
      <c r="AG351" s="3" t="str">
        <f aca="false">IF(ABS(Y351-AD351)&gt;1,"Mismatch","OK")</f>
        <v>OK</v>
      </c>
      <c r="AH351" s="3" t="str">
        <f aca="false">IF(ABS(AA351-AE351)&gt;1,"Mismatch","OK")</f>
        <v>Mismatch</v>
      </c>
      <c r="AI351" s="6" t="n">
        <f aca="false">IF(B351="","",MONTH(B351))</f>
        <v>9</v>
      </c>
      <c r="AJ351" s="6" t="n">
        <f aca="false">IF(B351="","",YEAR(B351))</f>
        <v>2025</v>
      </c>
      <c r="AK351" s="3" t="str">
        <f aca="false">IF(COUNTIF(raw_data!$A$2:$A$913,A351)&gt;1,"Conflicting Duplicate - Flagged for Review","Unique")</f>
        <v>Unique</v>
      </c>
      <c r="AL351" s="3" t="str">
        <f aca="false">IF(AB351="Refunded","Yes","No")</f>
        <v>No</v>
      </c>
      <c r="AM351" s="3" t="str">
        <f aca="false">IF(OR(AC351&lt;&gt;"Completed",AB351="Failed"),"Excluded","Included")</f>
        <v>Included</v>
      </c>
      <c r="AN351" s="3" t="str">
        <f aca="false">IF(OR(D351="Invalid/Unrecognized",E351="Invalid/Unrecognized",G351="Invalid - Ship Before Order",X351="Negative - Invalid",X351="Above Allowed Range - Invalid",AG351="Mismatch",AH351="Mismatch",AK351="Conflicting Duplicate - Flagged for Review"),"Invalid",IF(OR(L351="Filled - Unknown",S351="Filled - Unknown",X351="Missing - Defaulted to 0",AL351="Yes",AC351="Cancelled",AC351="Returned"),"Warning","Clean"))</f>
        <v>Invalid</v>
      </c>
    </row>
    <row r="352" customFormat="false" ht="15" hidden="false" customHeight="false" outlineLevel="0" collapsed="false">
      <c r="A352" s="3" t="str">
        <f aca="false">raw_data!A352</f>
        <v>ORD-2024-10351</v>
      </c>
      <c r="B352" s="4" t="n">
        <f aca="false">IFERROR(IF(MID(raw_data!B352,3,1)="/",DATE(VALUE(RIGHT(raw_data!B352,4)),VALUE(LEFT(raw_data!B352,2)),VALUE(MID(raw_data!B352,4,2))),IF(MID(raw_data!B352,3,1)="-",DATE(VALUE(RIGHT(raw_data!B352,4)),VALUE(MID(raw_data!B352,4,2)),VALUE(LEFT(raw_data!B352,2))),IF(MID(raw_data!B352,5,1)="-",DATE(VALUE(LEFT(raw_data!B352,4)),VALUE(MID(raw_data!B352,6,2)),VALUE(RIGHT(raw_data!B352,2))),DATE(VALUE(RIGHT(raw_data!B352,4)),MATCH(MID(raw_data!B352,4,3),{"Jan","Feb","Mar","Apr","May","Jun","Jul","Aug","Sep","Oct","Nov","Dec"},0),VALUE(LEFT(raw_data!B352,2)))))),"")</f>
        <v>45298</v>
      </c>
      <c r="C352" s="4" t="n">
        <f aca="false">IFERROR(IF(MID(raw_data!C352,3,1)="/",DATE(VALUE(RIGHT(raw_data!C352,4)),VALUE(LEFT(raw_data!C352,2)),VALUE(MID(raw_data!C352,4,2))),IF(MID(raw_data!C352,3,1)="-",DATE(VALUE(RIGHT(raw_data!C352,4)),VALUE(MID(raw_data!C352,4,2)),VALUE(LEFT(raw_data!C352,2))),IF(MID(raw_data!C352,5,1)="-",DATE(VALUE(LEFT(raw_data!C352,4)),VALUE(MID(raw_data!C352,6,2)),VALUE(RIGHT(raw_data!C352,2))),DATE(VALUE(RIGHT(raw_data!C352,4)),MATCH(MID(raw_data!C352,4,3),{"Jan","Feb","Mar","Apr","May","Jun","Jul","Aug","Sep","Oct","Nov","Dec"},0),VALUE(LEFT(raw_data!C352,2)))))),"")</f>
        <v>45305</v>
      </c>
      <c r="D352" s="3" t="str">
        <f aca="false">IF(TRIM(raw_data!B352)="","Missing",IF(B352="","Invalid/Unrecognized","Valid"))</f>
        <v>Valid</v>
      </c>
      <c r="E352" s="3" t="str">
        <f aca="false">IF(TRIM(raw_data!C352)="","Missing",IF(C352="","Invalid/Unrecognized","Valid"))</f>
        <v>Valid</v>
      </c>
      <c r="F352" s="5" t="n">
        <f aca="false">IF(OR(B352="",C352=""),"",C352-B352)</f>
        <v>7</v>
      </c>
      <c r="G352" s="3" t="str">
        <f aca="false">IF(F352="","N/A",IF(F352&lt;0,"Invalid - Ship Before Order","OK"))</f>
        <v>OK</v>
      </c>
      <c r="H352" s="3" t="str">
        <f aca="false">raw_data!D352</f>
        <v>CUST-7644</v>
      </c>
      <c r="I352" s="3" t="str">
        <f aca="false">PROPER(TRIM(raw_data!E352))</f>
        <v>Sneha Kapoor</v>
      </c>
      <c r="J352" s="3" t="str">
        <f aca="false">PROPER(TRIM(raw_data!F352))</f>
        <v>Small Business</v>
      </c>
      <c r="K352" s="3" t="str">
        <f aca="false">IF(TRIM(raw_data!G352)="","Unknown",PROPER(TRIM(raw_data!G352)))</f>
        <v>East</v>
      </c>
      <c r="L352" s="3" t="str">
        <f aca="false">IF(TRIM(raw_data!G352)="","Filled - Unknown","OK")</f>
        <v>OK</v>
      </c>
      <c r="M352" s="3" t="str">
        <f aca="false">PROPER(TRIM(raw_data!H352))</f>
        <v>Jharkhand</v>
      </c>
      <c r="N352" s="3" t="str">
        <f aca="false">PROPER(TRIM(raw_data!I352))</f>
        <v>Ranchi</v>
      </c>
      <c r="O352" s="3" t="str">
        <f aca="false">PROPER(TRIM(raw_data!J352))</f>
        <v>Furniture</v>
      </c>
      <c r="P352" s="3" t="str">
        <f aca="false">PROPER(TRIM(raw_data!K352))</f>
        <v>Furnishings</v>
      </c>
      <c r="Q352" s="3" t="str">
        <f aca="false">TRIM(raw_data!L352)</f>
        <v>Elite Furnishings 279</v>
      </c>
      <c r="R352" s="3" t="str">
        <f aca="false">IF(TRIM(raw_data!M352)="","Unknown",PROPER(TRIM(raw_data!M352)))</f>
        <v>Second Class</v>
      </c>
      <c r="S352" s="3" t="str">
        <f aca="false">IF(TRIM(raw_data!M352)="","Filled - Unknown","OK")</f>
        <v>OK</v>
      </c>
      <c r="T352" s="6" t="n">
        <f aca="false">raw_data!N352</f>
        <v>4</v>
      </c>
      <c r="U352" s="7" t="n">
        <f aca="false">raw_data!O352</f>
        <v>3309.54</v>
      </c>
      <c r="V352" s="8" t="n">
        <f aca="false">raw_data!P352</f>
        <v>0.1</v>
      </c>
      <c r="W352" s="8" t="n">
        <f aca="false">IF(raw_data!P352="",0,IF(ISTEXT(raw_data!P352),IF(RIGHT(raw_data!P352,1)="%",VALUE(LEFT(raw_data!P352,LEN(raw_data!P352)-1))/100,VALUE(raw_data!P352)),raw_data!P352))</f>
        <v>0.1</v>
      </c>
      <c r="X352" s="3" t="str">
        <f aca="false">IF(raw_data!P352="","Missing - Defaulted to 0",IF(W352&lt;0,"Negative - Invalid",IF(W352&gt;0.3,"Above Allowed Range - Invalid","Valid")))</f>
        <v>Valid</v>
      </c>
      <c r="Y352" s="7" t="n">
        <f aca="false">raw_data!Q352</f>
        <v>11914.34</v>
      </c>
      <c r="Z352" s="7" t="n">
        <f aca="false">raw_data!R352</f>
        <v>9771.24</v>
      </c>
      <c r="AA352" s="7" t="n">
        <f aca="false">raw_data!S352</f>
        <v>2143.1</v>
      </c>
      <c r="AB352" s="3" t="str">
        <f aca="false">PROPER(TRIM(raw_data!T352))</f>
        <v>Refunded</v>
      </c>
      <c r="AC352" s="3" t="str">
        <f aca="false">PROPER(TRIM(raw_data!U352))</f>
        <v>Returned</v>
      </c>
      <c r="AD352" s="7" t="n">
        <f aca="false">T352*U352*(1-W352)</f>
        <v>11914.344</v>
      </c>
      <c r="AE352" s="7" t="n">
        <f aca="false">AD352-Z352</f>
        <v>2143.104</v>
      </c>
      <c r="AF352" s="8" t="n">
        <f aca="false">IF(AD352=0,0,AE352/AD352)</f>
        <v>0.179875954563676</v>
      </c>
      <c r="AG352" s="3" t="str">
        <f aca="false">IF(ABS(Y352-AD352)&gt;1,"Mismatch","OK")</f>
        <v>OK</v>
      </c>
      <c r="AH352" s="3" t="str">
        <f aca="false">IF(ABS(AA352-AE352)&gt;1,"Mismatch","OK")</f>
        <v>OK</v>
      </c>
      <c r="AI352" s="6" t="n">
        <f aca="false">IF(B352="","",MONTH(B352))</f>
        <v>1</v>
      </c>
      <c r="AJ352" s="6" t="n">
        <f aca="false">IF(B352="","",YEAR(B352))</f>
        <v>2024</v>
      </c>
      <c r="AK352" s="3" t="str">
        <f aca="false">IF(COUNTIF(raw_data!$A$2:$A$913,A352)&gt;1,"Conflicting Duplicate - Flagged for Review","Unique")</f>
        <v>Unique</v>
      </c>
      <c r="AL352" s="3" t="str">
        <f aca="false">IF(AB352="Refunded","Yes","No")</f>
        <v>Yes</v>
      </c>
      <c r="AM352" s="3" t="str">
        <f aca="false">IF(OR(AC352&lt;&gt;"Completed",AB352="Failed"),"Excluded","Included")</f>
        <v>Excluded</v>
      </c>
      <c r="AN352" s="3" t="str">
        <f aca="false">IF(OR(D352="Invalid/Unrecognized",E352="Invalid/Unrecognized",G352="Invalid - Ship Before Order",X352="Negative - Invalid",X352="Above Allowed Range - Invalid",AG352="Mismatch",AH352="Mismatch",AK352="Conflicting Duplicate - Flagged for Review"),"Invalid",IF(OR(L352="Filled - Unknown",S352="Filled - Unknown",X352="Missing - Defaulted to 0",AL352="Yes",AC352="Cancelled",AC352="Returned"),"Warning","Clean"))</f>
        <v>Warning</v>
      </c>
    </row>
    <row r="353" customFormat="false" ht="15" hidden="false" customHeight="false" outlineLevel="0" collapsed="false">
      <c r="A353" s="3" t="str">
        <f aca="false">raw_data!A353</f>
        <v>ORD-2025-10352</v>
      </c>
      <c r="B353" s="4" t="n">
        <f aca="false">IFERROR(IF(MID(raw_data!B353,3,1)="/",DATE(VALUE(RIGHT(raw_data!B353,4)),VALUE(LEFT(raw_data!B353,2)),VALUE(MID(raw_data!B353,4,2))),IF(MID(raw_data!B353,3,1)="-",DATE(VALUE(RIGHT(raw_data!B353,4)),VALUE(MID(raw_data!B353,4,2)),VALUE(LEFT(raw_data!B353,2))),IF(MID(raw_data!B353,5,1)="-",DATE(VALUE(LEFT(raw_data!B353,4)),VALUE(MID(raw_data!B353,6,2)),VALUE(RIGHT(raw_data!B353,2))),DATE(VALUE(RIGHT(raw_data!B353,4)),MATCH(MID(raw_data!B353,4,3),{"Jan","Feb","Mar","Apr","May","Jun","Jul","Aug","Sep","Oct","Nov","Dec"},0),VALUE(LEFT(raw_data!B353,2)))))),"")</f>
        <v>45800</v>
      </c>
      <c r="C353" s="4" t="n">
        <f aca="false">IFERROR(IF(MID(raw_data!C353,3,1)="/",DATE(VALUE(RIGHT(raw_data!C353,4)),VALUE(LEFT(raw_data!C353,2)),VALUE(MID(raw_data!C353,4,2))),IF(MID(raw_data!C353,3,1)="-",DATE(VALUE(RIGHT(raw_data!C353,4)),VALUE(MID(raw_data!C353,4,2)),VALUE(LEFT(raw_data!C353,2))),IF(MID(raw_data!C353,5,1)="-",DATE(VALUE(LEFT(raw_data!C353,4)),VALUE(MID(raw_data!C353,6,2)),VALUE(RIGHT(raw_data!C353,2))),DATE(VALUE(RIGHT(raw_data!C353,4)),MATCH(MID(raw_data!C353,4,3),{"Jan","Feb","Mar","Apr","May","Jun","Jul","Aug","Sep","Oct","Nov","Dec"},0),VALUE(LEFT(raw_data!C353,2)))))),"")</f>
        <v>45804</v>
      </c>
      <c r="D353" s="3" t="str">
        <f aca="false">IF(TRIM(raw_data!B353)="","Missing",IF(B353="","Invalid/Unrecognized","Valid"))</f>
        <v>Valid</v>
      </c>
      <c r="E353" s="3" t="str">
        <f aca="false">IF(TRIM(raw_data!C353)="","Missing",IF(C353="","Invalid/Unrecognized","Valid"))</f>
        <v>Valid</v>
      </c>
      <c r="F353" s="5" t="n">
        <f aca="false">IF(OR(B353="",C353=""),"",C353-B353)</f>
        <v>4</v>
      </c>
      <c r="G353" s="3" t="str">
        <f aca="false">IF(F353="","N/A",IF(F353&lt;0,"Invalid - Ship Before Order","OK"))</f>
        <v>OK</v>
      </c>
      <c r="H353" s="3" t="str">
        <f aca="false">raw_data!D353</f>
        <v>CUST-9963</v>
      </c>
      <c r="I353" s="3" t="str">
        <f aca="false">PROPER(TRIM(raw_data!E353))</f>
        <v>Vikram Iyer</v>
      </c>
      <c r="J353" s="3" t="str">
        <f aca="false">PROPER(TRIM(raw_data!F353))</f>
        <v>Small Business</v>
      </c>
      <c r="K353" s="3" t="str">
        <f aca="false">IF(TRIM(raw_data!G353)="","Unknown",PROPER(TRIM(raw_data!G353)))</f>
        <v>South</v>
      </c>
      <c r="L353" s="3" t="str">
        <f aca="false">IF(TRIM(raw_data!G353)="","Filled - Unknown","OK")</f>
        <v>OK</v>
      </c>
      <c r="M353" s="3" t="str">
        <f aca="false">PROPER(TRIM(raw_data!H353))</f>
        <v>Telangana</v>
      </c>
      <c r="N353" s="3" t="str">
        <f aca="false">PROPER(TRIM(raw_data!I353))</f>
        <v>Hyderabad</v>
      </c>
      <c r="O353" s="3" t="str">
        <f aca="false">PROPER(TRIM(raw_data!J353))</f>
        <v>Office Supplies</v>
      </c>
      <c r="P353" s="3" t="str">
        <f aca="false">PROPER(TRIM(raw_data!K353))</f>
        <v>Storage</v>
      </c>
      <c r="Q353" s="3" t="str">
        <f aca="false">TRIM(raw_data!L353)</f>
        <v>Pro Storage 847</v>
      </c>
      <c r="R353" s="3" t="str">
        <f aca="false">IF(TRIM(raw_data!M353)="","Unknown",PROPER(TRIM(raw_data!M353)))</f>
        <v>First Class</v>
      </c>
      <c r="S353" s="3" t="str">
        <f aca="false">IF(TRIM(raw_data!M353)="","Filled - Unknown","OK")</f>
        <v>OK</v>
      </c>
      <c r="T353" s="6" t="n">
        <f aca="false">raw_data!N353</f>
        <v>6</v>
      </c>
      <c r="U353" s="7" t="n">
        <f aca="false">raw_data!O353</f>
        <v>719.44</v>
      </c>
      <c r="V353" s="8" t="n">
        <f aca="false">raw_data!P353</f>
        <v>0.25</v>
      </c>
      <c r="W353" s="8" t="n">
        <f aca="false">IF(raw_data!P353="",0,IF(ISTEXT(raw_data!P353),IF(RIGHT(raw_data!P353,1)="%",VALUE(LEFT(raw_data!P353,LEN(raw_data!P353)-1))/100,VALUE(raw_data!P353)),raw_data!P353))</f>
        <v>0.25</v>
      </c>
      <c r="X353" s="3" t="str">
        <f aca="false">IF(raw_data!P353="","Missing - Defaulted to 0",IF(W353&lt;0,"Negative - Invalid",IF(W353&gt;0.3,"Above Allowed Range - Invalid","Valid")))</f>
        <v>Valid</v>
      </c>
      <c r="Y353" s="7" t="n">
        <f aca="false">raw_data!Q353</f>
        <v>3237.48</v>
      </c>
      <c r="Z353" s="7" t="n">
        <f aca="false">raw_data!R353</f>
        <v>2118.34</v>
      </c>
      <c r="AA353" s="7" t="n">
        <f aca="false">raw_data!S353</f>
        <v>1119.14</v>
      </c>
      <c r="AB353" s="3" t="str">
        <f aca="false">PROPER(TRIM(raw_data!T353))</f>
        <v>Pending</v>
      </c>
      <c r="AC353" s="3" t="str">
        <f aca="false">PROPER(TRIM(raw_data!U353))</f>
        <v>Cancelled</v>
      </c>
      <c r="AD353" s="7" t="n">
        <f aca="false">T353*U353*(1-W353)</f>
        <v>3237.48</v>
      </c>
      <c r="AE353" s="7" t="n">
        <f aca="false">AD353-Z353</f>
        <v>1119.14</v>
      </c>
      <c r="AF353" s="8" t="n">
        <f aca="false">IF(AD353=0,0,AE353/AD353)</f>
        <v>0.345682444370313</v>
      </c>
      <c r="AG353" s="3" t="str">
        <f aca="false">IF(ABS(Y353-AD353)&gt;1,"Mismatch","OK")</f>
        <v>OK</v>
      </c>
      <c r="AH353" s="3" t="str">
        <f aca="false">IF(ABS(AA353-AE353)&gt;1,"Mismatch","OK")</f>
        <v>OK</v>
      </c>
      <c r="AI353" s="6" t="n">
        <f aca="false">IF(B353="","",MONTH(B353))</f>
        <v>5</v>
      </c>
      <c r="AJ353" s="6" t="n">
        <f aca="false">IF(B353="","",YEAR(B353))</f>
        <v>2025</v>
      </c>
      <c r="AK353" s="3" t="str">
        <f aca="false">IF(COUNTIF(raw_data!$A$2:$A$913,A353)&gt;1,"Conflicting Duplicate - Flagged for Review","Unique")</f>
        <v>Unique</v>
      </c>
      <c r="AL353" s="3" t="str">
        <f aca="false">IF(AB353="Refunded","Yes","No")</f>
        <v>No</v>
      </c>
      <c r="AM353" s="3" t="str">
        <f aca="false">IF(OR(AC353&lt;&gt;"Completed",AB353="Failed"),"Excluded","Included")</f>
        <v>Excluded</v>
      </c>
      <c r="AN353" s="3" t="str">
        <f aca="false">IF(OR(D353="Invalid/Unrecognized",E353="Invalid/Unrecognized",G353="Invalid - Ship Before Order",X353="Negative - Invalid",X353="Above Allowed Range - Invalid",AG353="Mismatch",AH353="Mismatch",AK353="Conflicting Duplicate - Flagged for Review"),"Invalid",IF(OR(L353="Filled - Unknown",S353="Filled - Unknown",X353="Missing - Defaulted to 0",AL353="Yes",AC353="Cancelled",AC353="Returned"),"Warning","Clean"))</f>
        <v>Warning</v>
      </c>
    </row>
    <row r="354" customFormat="false" ht="15" hidden="false" customHeight="false" outlineLevel="0" collapsed="false">
      <c r="A354" s="3" t="str">
        <f aca="false">raw_data!A354</f>
        <v>ORD-2025-10353</v>
      </c>
      <c r="B354" s="4" t="n">
        <f aca="false">IFERROR(IF(MID(raw_data!B354,3,1)="/",DATE(VALUE(RIGHT(raw_data!B354,4)),VALUE(LEFT(raw_data!B354,2)),VALUE(MID(raw_data!B354,4,2))),IF(MID(raw_data!B354,3,1)="-",DATE(VALUE(RIGHT(raw_data!B354,4)),VALUE(MID(raw_data!B354,4,2)),VALUE(LEFT(raw_data!B354,2))),IF(MID(raw_data!B354,5,1)="-",DATE(VALUE(LEFT(raw_data!B354,4)),VALUE(MID(raw_data!B354,6,2)),VALUE(RIGHT(raw_data!B354,2))),DATE(VALUE(RIGHT(raw_data!B354,4)),MATCH(MID(raw_data!B354,4,3),{"Jan","Feb","Mar","Apr","May","Jun","Jul","Aug","Sep","Oct","Nov","Dec"},0),VALUE(LEFT(raw_data!B354,2)))))),"")</f>
        <v>45884</v>
      </c>
      <c r="C354" s="4" t="n">
        <f aca="false">IFERROR(IF(MID(raw_data!C354,3,1)="/",DATE(VALUE(RIGHT(raw_data!C354,4)),VALUE(LEFT(raw_data!C354,2)),VALUE(MID(raw_data!C354,4,2))),IF(MID(raw_data!C354,3,1)="-",DATE(VALUE(RIGHT(raw_data!C354,4)),VALUE(MID(raw_data!C354,4,2)),VALUE(LEFT(raw_data!C354,2))),IF(MID(raw_data!C354,5,1)="-",DATE(VALUE(LEFT(raw_data!C354,4)),VALUE(MID(raw_data!C354,6,2)),VALUE(RIGHT(raw_data!C354,2))),DATE(VALUE(RIGHT(raw_data!C354,4)),MATCH(MID(raw_data!C354,4,3),{"Jan","Feb","Mar","Apr","May","Jun","Jul","Aug","Sep","Oct","Nov","Dec"},0),VALUE(LEFT(raw_data!C354,2)))))),"")</f>
        <v>45886</v>
      </c>
      <c r="D354" s="3" t="str">
        <f aca="false">IF(TRIM(raw_data!B354)="","Missing",IF(B354="","Invalid/Unrecognized","Valid"))</f>
        <v>Valid</v>
      </c>
      <c r="E354" s="3" t="str">
        <f aca="false">IF(TRIM(raw_data!C354)="","Missing",IF(C354="","Invalid/Unrecognized","Valid"))</f>
        <v>Valid</v>
      </c>
      <c r="F354" s="5" t="n">
        <f aca="false">IF(OR(B354="",C354=""),"",C354-B354)</f>
        <v>2</v>
      </c>
      <c r="G354" s="3" t="str">
        <f aca="false">IF(F354="","N/A",IF(F354&lt;0,"Invalid - Ship Before Order","OK"))</f>
        <v>OK</v>
      </c>
      <c r="H354" s="3" t="str">
        <f aca="false">raw_data!D354</f>
        <v>CUST-6382</v>
      </c>
      <c r="I354" s="3" t="str">
        <f aca="false">PROPER(TRIM(raw_data!E354))</f>
        <v>Diya Patel</v>
      </c>
      <c r="J354" s="3" t="str">
        <f aca="false">PROPER(TRIM(raw_data!F354))</f>
        <v>Small Business</v>
      </c>
      <c r="K354" s="3" t="str">
        <f aca="false">IF(TRIM(raw_data!G354)="","Unknown",PROPER(TRIM(raw_data!G354)))</f>
        <v>East</v>
      </c>
      <c r="L354" s="3" t="str">
        <f aca="false">IF(TRIM(raw_data!G354)="","Filled - Unknown","OK")</f>
        <v>OK</v>
      </c>
      <c r="M354" s="3" t="str">
        <f aca="false">PROPER(TRIM(raw_data!H354))</f>
        <v>Assam</v>
      </c>
      <c r="N354" s="3" t="str">
        <f aca="false">PROPER(TRIM(raw_data!I354))</f>
        <v>Guwahati</v>
      </c>
      <c r="O354" s="3" t="str">
        <f aca="false">PROPER(TRIM(raw_data!J354))</f>
        <v>Technology</v>
      </c>
      <c r="P354" s="3" t="str">
        <f aca="false">PROPER(TRIM(raw_data!K354))</f>
        <v>Copiers</v>
      </c>
      <c r="Q354" s="3" t="str">
        <f aca="false">TRIM(raw_data!L354)</f>
        <v>Elite Copiers 706</v>
      </c>
      <c r="R354" s="3" t="str">
        <f aca="false">IF(TRIM(raw_data!M354)="","Unknown",PROPER(TRIM(raw_data!M354)))</f>
        <v>First Class</v>
      </c>
      <c r="S354" s="3" t="str">
        <f aca="false">IF(TRIM(raw_data!M354)="","Filled - Unknown","OK")</f>
        <v>OK</v>
      </c>
      <c r="T354" s="6" t="n">
        <f aca="false">raw_data!N354</f>
        <v>5</v>
      </c>
      <c r="U354" s="7" t="n">
        <f aca="false">raw_data!O354</f>
        <v>2862.6</v>
      </c>
      <c r="V354" s="8" t="n">
        <f aca="false">raw_data!P354</f>
        <v>0.25</v>
      </c>
      <c r="W354" s="8" t="n">
        <f aca="false">IF(raw_data!P354="",0,IF(ISTEXT(raw_data!P354),IF(RIGHT(raw_data!P354,1)="%",VALUE(LEFT(raw_data!P354,LEN(raw_data!P354)-1))/100,VALUE(raw_data!P354)),raw_data!P354))</f>
        <v>0.25</v>
      </c>
      <c r="X354" s="3" t="str">
        <f aca="false">IF(raw_data!P354="","Missing - Defaulted to 0",IF(W354&lt;0,"Negative - Invalid",IF(W354&gt;0.3,"Above Allowed Range - Invalid","Valid")))</f>
        <v>Valid</v>
      </c>
      <c r="Y354" s="7" t="n">
        <f aca="false">raw_data!Q354</f>
        <v>10734.75</v>
      </c>
      <c r="Z354" s="7" t="n">
        <f aca="false">raw_data!R354</f>
        <v>6475.73</v>
      </c>
      <c r="AA354" s="7" t="n">
        <f aca="false">raw_data!S354</f>
        <v>4259.02</v>
      </c>
      <c r="AB354" s="3" t="str">
        <f aca="false">PROPER(TRIM(raw_data!T354))</f>
        <v>Paid</v>
      </c>
      <c r="AC354" s="3" t="str">
        <f aca="false">PROPER(TRIM(raw_data!U354))</f>
        <v>Completed</v>
      </c>
      <c r="AD354" s="7" t="n">
        <f aca="false">T354*U354*(1-W354)</f>
        <v>10734.75</v>
      </c>
      <c r="AE354" s="7" t="n">
        <f aca="false">AD354-Z354</f>
        <v>4259.02</v>
      </c>
      <c r="AF354" s="8" t="n">
        <f aca="false">IF(AD354=0,0,AE354/AD354)</f>
        <v>0.396750739421039</v>
      </c>
      <c r="AG354" s="3" t="str">
        <f aca="false">IF(ABS(Y354-AD354)&gt;1,"Mismatch","OK")</f>
        <v>OK</v>
      </c>
      <c r="AH354" s="3" t="str">
        <f aca="false">IF(ABS(AA354-AE354)&gt;1,"Mismatch","OK")</f>
        <v>OK</v>
      </c>
      <c r="AI354" s="6" t="n">
        <f aca="false">IF(B354="","",MONTH(B354))</f>
        <v>8</v>
      </c>
      <c r="AJ354" s="6" t="n">
        <f aca="false">IF(B354="","",YEAR(B354))</f>
        <v>2025</v>
      </c>
      <c r="AK354" s="3" t="str">
        <f aca="false">IF(COUNTIF(raw_data!$A$2:$A$913,A354)&gt;1,"Conflicting Duplicate - Flagged for Review","Unique")</f>
        <v>Unique</v>
      </c>
      <c r="AL354" s="3" t="str">
        <f aca="false">IF(AB354="Refunded","Yes","No")</f>
        <v>No</v>
      </c>
      <c r="AM354" s="3" t="str">
        <f aca="false">IF(OR(AC354&lt;&gt;"Completed",AB354="Failed"),"Excluded","Included")</f>
        <v>Included</v>
      </c>
      <c r="AN354" s="3" t="str">
        <f aca="false">IF(OR(D354="Invalid/Unrecognized",E354="Invalid/Unrecognized",G354="Invalid - Ship Before Order",X354="Negative - Invalid",X354="Above Allowed Range - Invalid",AG354="Mismatch",AH354="Mismatch",AK354="Conflicting Duplicate - Flagged for Review"),"Invalid",IF(OR(L354="Filled - Unknown",S354="Filled - Unknown",X354="Missing - Defaulted to 0",AL354="Yes",AC354="Cancelled",AC354="Returned"),"Warning","Clean"))</f>
        <v>Clean</v>
      </c>
    </row>
    <row r="355" customFormat="false" ht="15" hidden="false" customHeight="false" outlineLevel="0" collapsed="false">
      <c r="A355" s="3" t="str">
        <f aca="false">raw_data!A355</f>
        <v>ORD-2025-10354</v>
      </c>
      <c r="B355" s="4" t="n">
        <f aca="false">IFERROR(IF(MID(raw_data!B355,3,1)="/",DATE(VALUE(RIGHT(raw_data!B355,4)),VALUE(LEFT(raw_data!B355,2)),VALUE(MID(raw_data!B355,4,2))),IF(MID(raw_data!B355,3,1)="-",DATE(VALUE(RIGHT(raw_data!B355,4)),VALUE(MID(raw_data!B355,4,2)),VALUE(LEFT(raw_data!B355,2))),IF(MID(raw_data!B355,5,1)="-",DATE(VALUE(LEFT(raw_data!B355,4)),VALUE(MID(raw_data!B355,6,2)),VALUE(RIGHT(raw_data!B355,2))),DATE(VALUE(RIGHT(raw_data!B355,4)),MATCH(MID(raw_data!B355,4,3),{"Jan","Feb","Mar","Apr","May","Jun","Jul","Aug","Sep","Oct","Nov","Dec"},0),VALUE(LEFT(raw_data!B355,2)))))),"")</f>
        <v>45709</v>
      </c>
      <c r="C355" s="4" t="n">
        <f aca="false">IFERROR(IF(MID(raw_data!C355,3,1)="/",DATE(VALUE(RIGHT(raw_data!C355,4)),VALUE(LEFT(raw_data!C355,2)),VALUE(MID(raw_data!C355,4,2))),IF(MID(raw_data!C355,3,1)="-",DATE(VALUE(RIGHT(raw_data!C355,4)),VALUE(MID(raw_data!C355,4,2)),VALUE(LEFT(raw_data!C355,2))),IF(MID(raw_data!C355,5,1)="-",DATE(VALUE(LEFT(raw_data!C355,4)),VALUE(MID(raw_data!C355,6,2)),VALUE(RIGHT(raw_data!C355,2))),DATE(VALUE(RIGHT(raw_data!C355,4)),MATCH(MID(raw_data!C355,4,3),{"Jan","Feb","Mar","Apr","May","Jun","Jul","Aug","Sep","Oct","Nov","Dec"},0),VALUE(LEFT(raw_data!C355,2)))))),"")</f>
        <v>45715</v>
      </c>
      <c r="D355" s="3" t="str">
        <f aca="false">IF(TRIM(raw_data!B355)="","Missing",IF(B355="","Invalid/Unrecognized","Valid"))</f>
        <v>Valid</v>
      </c>
      <c r="E355" s="3" t="str">
        <f aca="false">IF(TRIM(raw_data!C355)="","Missing",IF(C355="","Invalid/Unrecognized","Valid"))</f>
        <v>Valid</v>
      </c>
      <c r="F355" s="5" t="n">
        <f aca="false">IF(OR(B355="",C355=""),"",C355-B355)</f>
        <v>6</v>
      </c>
      <c r="G355" s="3" t="str">
        <f aca="false">IF(F355="","N/A",IF(F355&lt;0,"Invalid - Ship Before Order","OK"))</f>
        <v>OK</v>
      </c>
      <c r="H355" s="3" t="str">
        <f aca="false">raw_data!D355</f>
        <v>CUST-3253</v>
      </c>
      <c r="I355" s="3" t="str">
        <f aca="false">PROPER(TRIM(raw_data!E355))</f>
        <v>Ananya Rao</v>
      </c>
      <c r="J355" s="3" t="str">
        <f aca="false">PROPER(TRIM(raw_data!F355))</f>
        <v>Consumer</v>
      </c>
      <c r="K355" s="3" t="str">
        <f aca="false">IF(TRIM(raw_data!G355)="","Unknown",PROPER(TRIM(raw_data!G355)))</f>
        <v>North</v>
      </c>
      <c r="L355" s="3" t="str">
        <f aca="false">IF(TRIM(raw_data!G355)="","Filled - Unknown","OK")</f>
        <v>OK</v>
      </c>
      <c r="M355" s="3" t="str">
        <f aca="false">PROPER(TRIM(raw_data!H355))</f>
        <v>Rajasthan</v>
      </c>
      <c r="N355" s="3" t="str">
        <f aca="false">PROPER(TRIM(raw_data!I355))</f>
        <v>Jaipur</v>
      </c>
      <c r="O355" s="3" t="str">
        <f aca="false">PROPER(TRIM(raw_data!J355))</f>
        <v>Office Supplies</v>
      </c>
      <c r="P355" s="3" t="str">
        <f aca="false">PROPER(TRIM(raw_data!K355))</f>
        <v>Art</v>
      </c>
      <c r="Q355" s="3" t="str">
        <f aca="false">TRIM(raw_data!L355)</f>
        <v>Prime Art 978</v>
      </c>
      <c r="R355" s="3" t="str">
        <f aca="false">IF(TRIM(raw_data!M355)="","Unknown",PROPER(TRIM(raw_data!M355)))</f>
        <v>Same Day</v>
      </c>
      <c r="S355" s="3" t="str">
        <f aca="false">IF(TRIM(raw_data!M355)="","Filled - Unknown","OK")</f>
        <v>OK</v>
      </c>
      <c r="T355" s="6" t="n">
        <f aca="false">raw_data!N355</f>
        <v>9</v>
      </c>
      <c r="U355" s="7" t="n">
        <f aca="false">raw_data!O355</f>
        <v>1431.67</v>
      </c>
      <c r="V355" s="8" t="n">
        <f aca="false">raw_data!P355</f>
        <v>0.2</v>
      </c>
      <c r="W355" s="8" t="n">
        <f aca="false">IF(raw_data!P355="",0,IF(ISTEXT(raw_data!P355),IF(RIGHT(raw_data!P355,1)="%",VALUE(LEFT(raw_data!P355,LEN(raw_data!P355)-1))/100,VALUE(raw_data!P355)),raw_data!P355))</f>
        <v>0.2</v>
      </c>
      <c r="X355" s="3" t="str">
        <f aca="false">IF(raw_data!P355="","Missing - Defaulted to 0",IF(W355&lt;0,"Negative - Invalid",IF(W355&gt;0.3,"Above Allowed Range - Invalid","Valid")))</f>
        <v>Valid</v>
      </c>
      <c r="Y355" s="7" t="n">
        <f aca="false">raw_data!Q355</f>
        <v>10308.02</v>
      </c>
      <c r="Z355" s="7" t="n">
        <f aca="false">raw_data!R355</f>
        <v>5822.31</v>
      </c>
      <c r="AA355" s="7" t="n">
        <f aca="false">raw_data!S355</f>
        <v>4485.71</v>
      </c>
      <c r="AB355" s="3" t="str">
        <f aca="false">PROPER(TRIM(raw_data!T355))</f>
        <v>Paid</v>
      </c>
      <c r="AC355" s="3" t="str">
        <f aca="false">PROPER(TRIM(raw_data!U355))</f>
        <v>Completed</v>
      </c>
      <c r="AD355" s="7" t="n">
        <f aca="false">T355*U355*(1-W355)</f>
        <v>10308.024</v>
      </c>
      <c r="AE355" s="7" t="n">
        <f aca="false">AD355-Z355</f>
        <v>4485.714</v>
      </c>
      <c r="AF355" s="8" t="n">
        <f aca="false">IF(AD355=0,0,AE355/AD355)</f>
        <v>0.435167205664248</v>
      </c>
      <c r="AG355" s="3" t="str">
        <f aca="false">IF(ABS(Y355-AD355)&gt;1,"Mismatch","OK")</f>
        <v>OK</v>
      </c>
      <c r="AH355" s="3" t="str">
        <f aca="false">IF(ABS(AA355-AE355)&gt;1,"Mismatch","OK")</f>
        <v>OK</v>
      </c>
      <c r="AI355" s="6" t="n">
        <f aca="false">IF(B355="","",MONTH(B355))</f>
        <v>2</v>
      </c>
      <c r="AJ355" s="6" t="n">
        <f aca="false">IF(B355="","",YEAR(B355))</f>
        <v>2025</v>
      </c>
      <c r="AK355" s="3" t="str">
        <f aca="false">IF(COUNTIF(raw_data!$A$2:$A$913,A355)&gt;1,"Conflicting Duplicate - Flagged for Review","Unique")</f>
        <v>Unique</v>
      </c>
      <c r="AL355" s="3" t="str">
        <f aca="false">IF(AB355="Refunded","Yes","No")</f>
        <v>No</v>
      </c>
      <c r="AM355" s="3" t="str">
        <f aca="false">IF(OR(AC355&lt;&gt;"Completed",AB355="Failed"),"Excluded","Included")</f>
        <v>Included</v>
      </c>
      <c r="AN355" s="3" t="str">
        <f aca="false">IF(OR(D355="Invalid/Unrecognized",E355="Invalid/Unrecognized",G355="Invalid - Ship Before Order",X355="Negative - Invalid",X355="Above Allowed Range - Invalid",AG355="Mismatch",AH355="Mismatch",AK355="Conflicting Duplicate - Flagged for Review"),"Invalid",IF(OR(L355="Filled - Unknown",S355="Filled - Unknown",X355="Missing - Defaulted to 0",AL355="Yes",AC355="Cancelled",AC355="Returned"),"Warning","Clean"))</f>
        <v>Clean</v>
      </c>
    </row>
    <row r="356" customFormat="false" ht="15" hidden="false" customHeight="false" outlineLevel="0" collapsed="false">
      <c r="A356" s="3" t="str">
        <f aca="false">raw_data!A356</f>
        <v>ORD-2024-10355</v>
      </c>
      <c r="B356" s="4" t="n">
        <f aca="false">IFERROR(IF(MID(raw_data!B356,3,1)="/",DATE(VALUE(RIGHT(raw_data!B356,4)),VALUE(LEFT(raw_data!B356,2)),VALUE(MID(raw_data!B356,4,2))),IF(MID(raw_data!B356,3,1)="-",DATE(VALUE(RIGHT(raw_data!B356,4)),VALUE(MID(raw_data!B356,4,2)),VALUE(LEFT(raw_data!B356,2))),IF(MID(raw_data!B356,5,1)="-",DATE(VALUE(LEFT(raw_data!B356,4)),VALUE(MID(raw_data!B356,6,2)),VALUE(RIGHT(raw_data!B356,2))),DATE(VALUE(RIGHT(raw_data!B356,4)),MATCH(MID(raw_data!B356,4,3),{"Jan","Feb","Mar","Apr","May","Jun","Jul","Aug","Sep","Oct","Nov","Dec"},0),VALUE(LEFT(raw_data!B356,2)))))),"")</f>
        <v>45653</v>
      </c>
      <c r="C356" s="4" t="n">
        <f aca="false">IFERROR(IF(MID(raw_data!C356,3,1)="/",DATE(VALUE(RIGHT(raw_data!C356,4)),VALUE(LEFT(raw_data!C356,2)),VALUE(MID(raw_data!C356,4,2))),IF(MID(raw_data!C356,3,1)="-",DATE(VALUE(RIGHT(raw_data!C356,4)),VALUE(MID(raw_data!C356,4,2)),VALUE(LEFT(raw_data!C356,2))),IF(MID(raw_data!C356,5,1)="-",DATE(VALUE(LEFT(raw_data!C356,4)),VALUE(MID(raw_data!C356,6,2)),VALUE(RIGHT(raw_data!C356,2))),DATE(VALUE(RIGHT(raw_data!C356,4)),MATCH(MID(raw_data!C356,4,3),{"Jan","Feb","Mar","Apr","May","Jun","Jul","Aug","Sep","Oct","Nov","Dec"},0),VALUE(LEFT(raw_data!C356,2)))))),"")</f>
        <v>45657</v>
      </c>
      <c r="D356" s="3" t="str">
        <f aca="false">IF(TRIM(raw_data!B356)="","Missing",IF(B356="","Invalid/Unrecognized","Valid"))</f>
        <v>Valid</v>
      </c>
      <c r="E356" s="3" t="str">
        <f aca="false">IF(TRIM(raw_data!C356)="","Missing",IF(C356="","Invalid/Unrecognized","Valid"))</f>
        <v>Valid</v>
      </c>
      <c r="F356" s="5" t="n">
        <f aca="false">IF(OR(B356="",C356=""),"",C356-B356)</f>
        <v>4</v>
      </c>
      <c r="G356" s="3" t="str">
        <f aca="false">IF(F356="","N/A",IF(F356&lt;0,"Invalid - Ship Before Order","OK"))</f>
        <v>OK</v>
      </c>
      <c r="H356" s="3" t="str">
        <f aca="false">raw_data!D356</f>
        <v>CUST-1058</v>
      </c>
      <c r="I356" s="3" t="str">
        <f aca="false">PROPER(TRIM(raw_data!E356))</f>
        <v>Kabir Singh</v>
      </c>
      <c r="J356" s="3" t="str">
        <f aca="false">PROPER(TRIM(raw_data!F356))</f>
        <v>Corporate</v>
      </c>
      <c r="K356" s="3" t="str">
        <f aca="false">IF(TRIM(raw_data!G356)="","Unknown",PROPER(TRIM(raw_data!G356)))</f>
        <v>North</v>
      </c>
      <c r="L356" s="3" t="str">
        <f aca="false">IF(TRIM(raw_data!G356)="","Filled - Unknown","OK")</f>
        <v>OK</v>
      </c>
      <c r="M356" s="3" t="str">
        <f aca="false">PROPER(TRIM(raw_data!H356))</f>
        <v>Punjab</v>
      </c>
      <c r="N356" s="3" t="str">
        <f aca="false">PROPER(TRIM(raw_data!I356))</f>
        <v>Ludhiana</v>
      </c>
      <c r="O356" s="3" t="str">
        <f aca="false">PROPER(TRIM(raw_data!J356))</f>
        <v>Furniture</v>
      </c>
      <c r="P356" s="3" t="str">
        <f aca="false">PROPER(TRIM(raw_data!K356))</f>
        <v>Furnishings</v>
      </c>
      <c r="Q356" s="3" t="str">
        <f aca="false">TRIM(raw_data!L356)</f>
        <v>Classic Furnishings 498</v>
      </c>
      <c r="R356" s="3" t="str">
        <f aca="false">IF(TRIM(raw_data!M356)="","Unknown",PROPER(TRIM(raw_data!M356)))</f>
        <v>Standard Class</v>
      </c>
      <c r="S356" s="3" t="str">
        <f aca="false">IF(TRIM(raw_data!M356)="","Filled - Unknown","OK")</f>
        <v>OK</v>
      </c>
      <c r="T356" s="6" t="n">
        <f aca="false">raw_data!N356</f>
        <v>6</v>
      </c>
      <c r="U356" s="7" t="n">
        <f aca="false">raw_data!O356</f>
        <v>3346.78</v>
      </c>
      <c r="V356" s="8" t="n">
        <f aca="false">raw_data!P356</f>
        <v>-0.06</v>
      </c>
      <c r="W356" s="8" t="n">
        <f aca="false">IF(raw_data!P356="",0,IF(ISTEXT(raw_data!P356),IF(RIGHT(raw_data!P356,1)="%",VALUE(LEFT(raw_data!P356,LEN(raw_data!P356)-1))/100,VALUE(raw_data!P356)),raw_data!P356))</f>
        <v>-0.06</v>
      </c>
      <c r="X356" s="3" t="str">
        <f aca="false">IF(raw_data!P356="","Missing - Defaulted to 0",IF(W356&lt;0,"Negative - Invalid",IF(W356&gt;0.3,"Above Allowed Range - Invalid","Valid")))</f>
        <v>Negative - Invalid</v>
      </c>
      <c r="Y356" s="7" t="n">
        <f aca="false">raw_data!Q356</f>
        <v>20080.68</v>
      </c>
      <c r="Z356" s="7" t="n">
        <f aca="false">raw_data!R356</f>
        <v>12908.84</v>
      </c>
      <c r="AA356" s="7" t="n">
        <f aca="false">raw_data!S356</f>
        <v>7171.84</v>
      </c>
      <c r="AB356" s="3" t="str">
        <f aca="false">PROPER(TRIM(raw_data!T356))</f>
        <v>Pending</v>
      </c>
      <c r="AC356" s="3" t="str">
        <f aca="false">PROPER(TRIM(raw_data!U356))</f>
        <v>Cancelled</v>
      </c>
      <c r="AD356" s="7" t="n">
        <f aca="false">T356*U356*(1-W356)</f>
        <v>21285.5208</v>
      </c>
      <c r="AE356" s="7" t="n">
        <f aca="false">AD356-Z356</f>
        <v>8376.6808</v>
      </c>
      <c r="AF356" s="8" t="n">
        <f aca="false">IF(AD356=0,0,AE356/AD356)</f>
        <v>0.393538916839658</v>
      </c>
      <c r="AG356" s="3" t="str">
        <f aca="false">IF(ABS(Y356-AD356)&gt;1,"Mismatch","OK")</f>
        <v>Mismatch</v>
      </c>
      <c r="AH356" s="3" t="str">
        <f aca="false">IF(ABS(AA356-AE356)&gt;1,"Mismatch","OK")</f>
        <v>Mismatch</v>
      </c>
      <c r="AI356" s="6" t="n">
        <f aca="false">IF(B356="","",MONTH(B356))</f>
        <v>12</v>
      </c>
      <c r="AJ356" s="6" t="n">
        <f aca="false">IF(B356="","",YEAR(B356))</f>
        <v>2024</v>
      </c>
      <c r="AK356" s="3" t="str">
        <f aca="false">IF(COUNTIF(raw_data!$A$2:$A$913,A356)&gt;1,"Conflicting Duplicate - Flagged for Review","Unique")</f>
        <v>Unique</v>
      </c>
      <c r="AL356" s="3" t="str">
        <f aca="false">IF(AB356="Refunded","Yes","No")</f>
        <v>No</v>
      </c>
      <c r="AM356" s="3" t="str">
        <f aca="false">IF(OR(AC356&lt;&gt;"Completed",AB356="Failed"),"Excluded","Included")</f>
        <v>Excluded</v>
      </c>
      <c r="AN356" s="3" t="str">
        <f aca="false">IF(OR(D356="Invalid/Unrecognized",E356="Invalid/Unrecognized",G356="Invalid - Ship Before Order",X356="Negative - Invalid",X356="Above Allowed Range - Invalid",AG356="Mismatch",AH356="Mismatch",AK356="Conflicting Duplicate - Flagged for Review"),"Invalid",IF(OR(L356="Filled - Unknown",S356="Filled - Unknown",X356="Missing - Defaulted to 0",AL356="Yes",AC356="Cancelled",AC356="Returned"),"Warning","Clean"))</f>
        <v>Invalid</v>
      </c>
    </row>
    <row r="357" customFormat="false" ht="15" hidden="false" customHeight="false" outlineLevel="0" collapsed="false">
      <c r="A357" s="3" t="str">
        <f aca="false">raw_data!A357</f>
        <v>ORD-2024-10356</v>
      </c>
      <c r="B357" s="4" t="n">
        <f aca="false">IFERROR(IF(MID(raw_data!B357,3,1)="/",DATE(VALUE(RIGHT(raw_data!B357,4)),VALUE(LEFT(raw_data!B357,2)),VALUE(MID(raw_data!B357,4,2))),IF(MID(raw_data!B357,3,1)="-",DATE(VALUE(RIGHT(raw_data!B357,4)),VALUE(MID(raw_data!B357,4,2)),VALUE(LEFT(raw_data!B357,2))),IF(MID(raw_data!B357,5,1)="-",DATE(VALUE(LEFT(raw_data!B357,4)),VALUE(MID(raw_data!B357,6,2)),VALUE(RIGHT(raw_data!B357,2))),DATE(VALUE(RIGHT(raw_data!B357,4)),MATCH(MID(raw_data!B357,4,3),{"Jan","Feb","Mar","Apr","May","Jun","Jul","Aug","Sep","Oct","Nov","Dec"},0),VALUE(LEFT(raw_data!B357,2)))))),"")</f>
        <v>45424</v>
      </c>
      <c r="C357" s="4" t="n">
        <f aca="false">IFERROR(IF(MID(raw_data!C357,3,1)="/",DATE(VALUE(RIGHT(raw_data!C357,4)),VALUE(LEFT(raw_data!C357,2)),VALUE(MID(raw_data!C357,4,2))),IF(MID(raw_data!C357,3,1)="-",DATE(VALUE(RIGHT(raw_data!C357,4)),VALUE(MID(raw_data!C357,4,2)),VALUE(LEFT(raw_data!C357,2))),IF(MID(raw_data!C357,5,1)="-",DATE(VALUE(LEFT(raw_data!C357,4)),VALUE(MID(raw_data!C357,6,2)),VALUE(RIGHT(raw_data!C357,2))),DATE(VALUE(RIGHT(raw_data!C357,4)),MATCH(MID(raw_data!C357,4,3),{"Jan","Feb","Mar","Apr","May","Jun","Jul","Aug","Sep","Oct","Nov","Dec"},0),VALUE(LEFT(raw_data!C357,2)))))),"")</f>
        <v>45421</v>
      </c>
      <c r="D357" s="3" t="str">
        <f aca="false">IF(TRIM(raw_data!B357)="","Missing",IF(B357="","Invalid/Unrecognized","Valid"))</f>
        <v>Valid</v>
      </c>
      <c r="E357" s="3" t="str">
        <f aca="false">IF(TRIM(raw_data!C357)="","Missing",IF(C357="","Invalid/Unrecognized","Valid"))</f>
        <v>Valid</v>
      </c>
      <c r="F357" s="5" t="n">
        <f aca="false">IF(OR(B357="",C357=""),"",C357-B357)</f>
        <v>-3</v>
      </c>
      <c r="G357" s="3" t="str">
        <f aca="false">IF(F357="","N/A",IF(F357&lt;0,"Invalid - Ship Before Order","OK"))</f>
        <v>Invalid - Ship Before Order</v>
      </c>
      <c r="H357" s="3" t="str">
        <f aca="false">raw_data!D357</f>
        <v>CUST-6414</v>
      </c>
      <c r="I357" s="3" t="str">
        <f aca="false">PROPER(TRIM(raw_data!E357))</f>
        <v>Priya Menon</v>
      </c>
      <c r="J357" s="3" t="str">
        <f aca="false">PROPER(TRIM(raw_data!F357))</f>
        <v>Corporate</v>
      </c>
      <c r="K357" s="3" t="str">
        <f aca="false">IF(TRIM(raw_data!G357)="","Unknown",PROPER(TRIM(raw_data!G357)))</f>
        <v>West</v>
      </c>
      <c r="L357" s="3" t="str">
        <f aca="false">IF(TRIM(raw_data!G357)="","Filled - Unknown","OK")</f>
        <v>OK</v>
      </c>
      <c r="M357" s="3" t="str">
        <f aca="false">PROPER(TRIM(raw_data!H357))</f>
        <v>Rajasthan</v>
      </c>
      <c r="N357" s="3" t="str">
        <f aca="false">PROPER(TRIM(raw_data!I357))</f>
        <v>Udaipur</v>
      </c>
      <c r="O357" s="3" t="str">
        <f aca="false">PROPER(TRIM(raw_data!J357))</f>
        <v>Furniture</v>
      </c>
      <c r="P357" s="3" t="str">
        <f aca="false">PROPER(TRIM(raw_data!K357))</f>
        <v>Tables</v>
      </c>
      <c r="Q357" s="3" t="str">
        <f aca="false">TRIM(raw_data!L357)</f>
        <v>Max Tables 829</v>
      </c>
      <c r="R357" s="3" t="str">
        <f aca="false">IF(TRIM(raw_data!M357)="","Unknown",PROPER(TRIM(raw_data!M357)))</f>
        <v>Standard Class</v>
      </c>
      <c r="S357" s="3" t="str">
        <f aca="false">IF(TRIM(raw_data!M357)="","Filled - Unknown","OK")</f>
        <v>OK</v>
      </c>
      <c r="T357" s="6" t="n">
        <f aca="false">raw_data!N357</f>
        <v>5</v>
      </c>
      <c r="U357" s="7" t="n">
        <f aca="false">raw_data!O357</f>
        <v>3203.48</v>
      </c>
      <c r="V357" s="8" t="n">
        <f aca="false">raw_data!P357</f>
        <v>0</v>
      </c>
      <c r="W357" s="8" t="n">
        <f aca="false">IF(raw_data!P357="",0,IF(ISTEXT(raw_data!P357),IF(RIGHT(raw_data!P357,1)="%",VALUE(LEFT(raw_data!P357,LEN(raw_data!P357)-1))/100,VALUE(raw_data!P357)),raw_data!P357))</f>
        <v>0</v>
      </c>
      <c r="X357" s="3" t="str">
        <f aca="false">IF(raw_data!P357="","Missing - Defaulted to 0",IF(W357&lt;0,"Negative - Invalid",IF(W357&gt;0.3,"Above Allowed Range - Invalid","Valid")))</f>
        <v>Valid</v>
      </c>
      <c r="Y357" s="7" t="n">
        <f aca="false">raw_data!Q357</f>
        <v>16017.4</v>
      </c>
      <c r="Z357" s="7" t="n">
        <f aca="false">raw_data!R357</f>
        <v>9557.8</v>
      </c>
      <c r="AA357" s="7" t="n">
        <f aca="false">raw_data!S357</f>
        <v>6459.6</v>
      </c>
      <c r="AB357" s="3" t="str">
        <f aca="false">PROPER(TRIM(raw_data!T357))</f>
        <v>Pending</v>
      </c>
      <c r="AC357" s="3" t="str">
        <f aca="false">PROPER(TRIM(raw_data!U357))</f>
        <v>Cancelled</v>
      </c>
      <c r="AD357" s="7" t="n">
        <f aca="false">T357*U357*(1-W357)</f>
        <v>16017.4</v>
      </c>
      <c r="AE357" s="7" t="n">
        <f aca="false">AD357-Z357</f>
        <v>6459.6</v>
      </c>
      <c r="AF357" s="8" t="n">
        <f aca="false">IF(AD357=0,0,AE357/AD357)</f>
        <v>0.403286426011712</v>
      </c>
      <c r="AG357" s="3" t="str">
        <f aca="false">IF(ABS(Y357-AD357)&gt;1,"Mismatch","OK")</f>
        <v>OK</v>
      </c>
      <c r="AH357" s="3" t="str">
        <f aca="false">IF(ABS(AA357-AE357)&gt;1,"Mismatch","OK")</f>
        <v>OK</v>
      </c>
      <c r="AI357" s="6" t="n">
        <f aca="false">IF(B357="","",MONTH(B357))</f>
        <v>5</v>
      </c>
      <c r="AJ357" s="6" t="n">
        <f aca="false">IF(B357="","",YEAR(B357))</f>
        <v>2024</v>
      </c>
      <c r="AK357" s="3" t="str">
        <f aca="false">IF(COUNTIF(raw_data!$A$2:$A$913,A357)&gt;1,"Conflicting Duplicate - Flagged for Review","Unique")</f>
        <v>Unique</v>
      </c>
      <c r="AL357" s="3" t="str">
        <f aca="false">IF(AB357="Refunded","Yes","No")</f>
        <v>No</v>
      </c>
      <c r="AM357" s="3" t="str">
        <f aca="false">IF(OR(AC357&lt;&gt;"Completed",AB357="Failed"),"Excluded","Included")</f>
        <v>Excluded</v>
      </c>
      <c r="AN357" s="3" t="str">
        <f aca="false">IF(OR(D357="Invalid/Unrecognized",E357="Invalid/Unrecognized",G357="Invalid - Ship Before Order",X357="Negative - Invalid",X357="Above Allowed Range - Invalid",AG357="Mismatch",AH357="Mismatch",AK357="Conflicting Duplicate - Flagged for Review"),"Invalid",IF(OR(L357="Filled - Unknown",S357="Filled - Unknown",X357="Missing - Defaulted to 0",AL357="Yes",AC357="Cancelled",AC357="Returned"),"Warning","Clean"))</f>
        <v>Invalid</v>
      </c>
    </row>
    <row r="358" customFormat="false" ht="15" hidden="false" customHeight="false" outlineLevel="0" collapsed="false">
      <c r="A358" s="3" t="str">
        <f aca="false">raw_data!A358</f>
        <v>ORD-2025-10357</v>
      </c>
      <c r="B358" s="4" t="n">
        <f aca="false">IFERROR(IF(MID(raw_data!B358,3,1)="/",DATE(VALUE(RIGHT(raw_data!B358,4)),VALUE(LEFT(raw_data!B358,2)),VALUE(MID(raw_data!B358,4,2))),IF(MID(raw_data!B358,3,1)="-",DATE(VALUE(RIGHT(raw_data!B358,4)),VALUE(MID(raw_data!B358,4,2)),VALUE(LEFT(raw_data!B358,2))),IF(MID(raw_data!B358,5,1)="-",DATE(VALUE(LEFT(raw_data!B358,4)),VALUE(MID(raw_data!B358,6,2)),VALUE(RIGHT(raw_data!B358,2))),DATE(VALUE(RIGHT(raw_data!B358,4)),MATCH(MID(raw_data!B358,4,3),{"Jan","Feb","Mar","Apr","May","Jun","Jul","Aug","Sep","Oct","Nov","Dec"},0),VALUE(LEFT(raw_data!B358,2)))))),"")</f>
        <v>45835</v>
      </c>
      <c r="C358" s="4" t="n">
        <f aca="false">IFERROR(IF(MID(raw_data!C358,3,1)="/",DATE(VALUE(RIGHT(raw_data!C358,4)),VALUE(LEFT(raw_data!C358,2)),VALUE(MID(raw_data!C358,4,2))),IF(MID(raw_data!C358,3,1)="-",DATE(VALUE(RIGHT(raw_data!C358,4)),VALUE(MID(raw_data!C358,4,2)),VALUE(LEFT(raw_data!C358,2))),IF(MID(raw_data!C358,5,1)="-",DATE(VALUE(LEFT(raw_data!C358,4)),VALUE(MID(raw_data!C358,6,2)),VALUE(RIGHT(raw_data!C358,2))),DATE(VALUE(RIGHT(raw_data!C358,4)),MATCH(MID(raw_data!C358,4,3),{"Jan","Feb","Mar","Apr","May","Jun","Jul","Aug","Sep","Oct","Nov","Dec"},0),VALUE(LEFT(raw_data!C358,2)))))),"")</f>
        <v>45837</v>
      </c>
      <c r="D358" s="3" t="str">
        <f aca="false">IF(TRIM(raw_data!B358)="","Missing",IF(B358="","Invalid/Unrecognized","Valid"))</f>
        <v>Valid</v>
      </c>
      <c r="E358" s="3" t="str">
        <f aca="false">IF(TRIM(raw_data!C358)="","Missing",IF(C358="","Invalid/Unrecognized","Valid"))</f>
        <v>Valid</v>
      </c>
      <c r="F358" s="5" t="n">
        <f aca="false">IF(OR(B358="",C358=""),"",C358-B358)</f>
        <v>2</v>
      </c>
      <c r="G358" s="3" t="str">
        <f aca="false">IF(F358="","N/A",IF(F358&lt;0,"Invalid - Ship Before Order","OK"))</f>
        <v>OK</v>
      </c>
      <c r="H358" s="3" t="str">
        <f aca="false">raw_data!D358</f>
        <v>CUST-9268</v>
      </c>
      <c r="I358" s="3" t="str">
        <f aca="false">PROPER(TRIM(raw_data!E358))</f>
        <v>Rohan Mehta</v>
      </c>
      <c r="J358" s="3" t="str">
        <f aca="false">PROPER(TRIM(raw_data!F358))</f>
        <v>Home Office</v>
      </c>
      <c r="K358" s="3" t="str">
        <f aca="false">IF(TRIM(raw_data!G358)="","Unknown",PROPER(TRIM(raw_data!G358)))</f>
        <v>South</v>
      </c>
      <c r="L358" s="3" t="str">
        <f aca="false">IF(TRIM(raw_data!G358)="","Filled - Unknown","OK")</f>
        <v>OK</v>
      </c>
      <c r="M358" s="3" t="str">
        <f aca="false">PROPER(TRIM(raw_data!H358))</f>
        <v>Telangana</v>
      </c>
      <c r="N358" s="3" t="str">
        <f aca="false">PROPER(TRIM(raw_data!I358))</f>
        <v>Hyderabad</v>
      </c>
      <c r="O358" s="3" t="str">
        <f aca="false">PROPER(TRIM(raw_data!J358))</f>
        <v>Furniture</v>
      </c>
      <c r="P358" s="3" t="str">
        <f aca="false">PROPER(TRIM(raw_data!K358))</f>
        <v>Chairs</v>
      </c>
      <c r="Q358" s="3" t="str">
        <f aca="false">TRIM(raw_data!L358)</f>
        <v>Eco Chairs 346</v>
      </c>
      <c r="R358" s="3" t="str">
        <f aca="false">IF(TRIM(raw_data!M358)="","Unknown",PROPER(TRIM(raw_data!M358)))</f>
        <v>First Class</v>
      </c>
      <c r="S358" s="3" t="str">
        <f aca="false">IF(TRIM(raw_data!M358)="","Filled - Unknown","OK")</f>
        <v>OK</v>
      </c>
      <c r="T358" s="6" t="n">
        <f aca="false">raw_data!N358</f>
        <v>5</v>
      </c>
      <c r="U358" s="7" t="n">
        <f aca="false">raw_data!O358</f>
        <v>621.7</v>
      </c>
      <c r="V358" s="8" t="n">
        <f aca="false">raw_data!P358</f>
        <v>0.2</v>
      </c>
      <c r="W358" s="8" t="n">
        <f aca="false">IF(raw_data!P358="",0,IF(ISTEXT(raw_data!P358),IF(RIGHT(raw_data!P358,1)="%",VALUE(LEFT(raw_data!P358,LEN(raw_data!P358)-1))/100,VALUE(raw_data!P358)),raw_data!P358))</f>
        <v>0.2</v>
      </c>
      <c r="X358" s="3" t="str">
        <f aca="false">IF(raw_data!P358="","Missing - Defaulted to 0",IF(W358&lt;0,"Negative - Invalid",IF(W358&gt;0.3,"Above Allowed Range - Invalid","Valid")))</f>
        <v>Valid</v>
      </c>
      <c r="Y358" s="7" t="n">
        <f aca="false">raw_data!Q358</f>
        <v>2486.8</v>
      </c>
      <c r="Z358" s="7" t="n">
        <f aca="false">raw_data!R358</f>
        <v>2131.73</v>
      </c>
      <c r="AA358" s="7" t="n">
        <f aca="false">raw_data!S358</f>
        <v>355.07</v>
      </c>
      <c r="AB358" s="3" t="str">
        <f aca="false">PROPER(TRIM(raw_data!T358))</f>
        <v>Pending</v>
      </c>
      <c r="AC358" s="3" t="str">
        <f aca="false">PROPER(TRIM(raw_data!U358))</f>
        <v>Returned</v>
      </c>
      <c r="AD358" s="7" t="n">
        <f aca="false">T358*U358*(1-W358)</f>
        <v>2486.8</v>
      </c>
      <c r="AE358" s="7" t="n">
        <f aca="false">AD358-Z358</f>
        <v>355.07</v>
      </c>
      <c r="AF358" s="8" t="n">
        <f aca="false">IF(AD358=0,0,AE358/AD358)</f>
        <v>0.142781888370597</v>
      </c>
      <c r="AG358" s="3" t="str">
        <f aca="false">IF(ABS(Y358-AD358)&gt;1,"Mismatch","OK")</f>
        <v>OK</v>
      </c>
      <c r="AH358" s="3" t="str">
        <f aca="false">IF(ABS(AA358-AE358)&gt;1,"Mismatch","OK")</f>
        <v>OK</v>
      </c>
      <c r="AI358" s="6" t="n">
        <f aca="false">IF(B358="","",MONTH(B358))</f>
        <v>6</v>
      </c>
      <c r="AJ358" s="6" t="n">
        <f aca="false">IF(B358="","",YEAR(B358))</f>
        <v>2025</v>
      </c>
      <c r="AK358" s="3" t="str">
        <f aca="false">IF(COUNTIF(raw_data!$A$2:$A$913,A358)&gt;1,"Conflicting Duplicate - Flagged for Review","Unique")</f>
        <v>Unique</v>
      </c>
      <c r="AL358" s="3" t="str">
        <f aca="false">IF(AB358="Refunded","Yes","No")</f>
        <v>No</v>
      </c>
      <c r="AM358" s="3" t="str">
        <f aca="false">IF(OR(AC358&lt;&gt;"Completed",AB358="Failed"),"Excluded","Included")</f>
        <v>Excluded</v>
      </c>
      <c r="AN358" s="3" t="str">
        <f aca="false">IF(OR(D358="Invalid/Unrecognized",E358="Invalid/Unrecognized",G358="Invalid - Ship Before Order",X358="Negative - Invalid",X358="Above Allowed Range - Invalid",AG358="Mismatch",AH358="Mismatch",AK358="Conflicting Duplicate - Flagged for Review"),"Invalid",IF(OR(L358="Filled - Unknown",S358="Filled - Unknown",X358="Missing - Defaulted to 0",AL358="Yes",AC358="Cancelled",AC358="Returned"),"Warning","Clean"))</f>
        <v>Warning</v>
      </c>
    </row>
    <row r="359" customFormat="false" ht="15" hidden="false" customHeight="false" outlineLevel="0" collapsed="false">
      <c r="A359" s="3" t="str">
        <f aca="false">raw_data!A359</f>
        <v>ORD-2025-10358</v>
      </c>
      <c r="B359" s="4" t="n">
        <f aca="false">IFERROR(IF(MID(raw_data!B359,3,1)="/",DATE(VALUE(RIGHT(raw_data!B359,4)),VALUE(LEFT(raw_data!B359,2)),VALUE(MID(raw_data!B359,4,2))),IF(MID(raw_data!B359,3,1)="-",DATE(VALUE(RIGHT(raw_data!B359,4)),VALUE(MID(raw_data!B359,4,2)),VALUE(LEFT(raw_data!B359,2))),IF(MID(raw_data!B359,5,1)="-",DATE(VALUE(LEFT(raw_data!B359,4)),VALUE(MID(raw_data!B359,6,2)),VALUE(RIGHT(raw_data!B359,2))),DATE(VALUE(RIGHT(raw_data!B359,4)),MATCH(MID(raw_data!B359,4,3),{"Jan","Feb","Mar","Apr","May","Jun","Jul","Aug","Sep","Oct","Nov","Dec"},0),VALUE(LEFT(raw_data!B359,2)))))),"")</f>
        <v>45678</v>
      </c>
      <c r="C359" s="4" t="n">
        <f aca="false">IFERROR(IF(MID(raw_data!C359,3,1)="/",DATE(VALUE(RIGHT(raw_data!C359,4)),VALUE(LEFT(raw_data!C359,2)),VALUE(MID(raw_data!C359,4,2))),IF(MID(raw_data!C359,3,1)="-",DATE(VALUE(RIGHT(raw_data!C359,4)),VALUE(MID(raw_data!C359,4,2)),VALUE(LEFT(raw_data!C359,2))),IF(MID(raw_data!C359,5,1)="-",DATE(VALUE(LEFT(raw_data!C359,4)),VALUE(MID(raw_data!C359,6,2)),VALUE(RIGHT(raw_data!C359,2))),DATE(VALUE(RIGHT(raw_data!C359,4)),MATCH(MID(raw_data!C359,4,3),{"Jan","Feb","Mar","Apr","May","Jun","Jul","Aug","Sep","Oct","Nov","Dec"},0),VALUE(LEFT(raw_data!C359,2)))))),"")</f>
        <v>45686</v>
      </c>
      <c r="D359" s="3" t="str">
        <f aca="false">IF(TRIM(raw_data!B359)="","Missing",IF(B359="","Invalid/Unrecognized","Valid"))</f>
        <v>Valid</v>
      </c>
      <c r="E359" s="3" t="str">
        <f aca="false">IF(TRIM(raw_data!C359)="","Missing",IF(C359="","Invalid/Unrecognized","Valid"))</f>
        <v>Valid</v>
      </c>
      <c r="F359" s="5" t="n">
        <f aca="false">IF(OR(B359="",C359=""),"",C359-B359)</f>
        <v>8</v>
      </c>
      <c r="G359" s="3" t="str">
        <f aca="false">IF(F359="","N/A",IF(F359&lt;0,"Invalid - Ship Before Order","OK"))</f>
        <v>OK</v>
      </c>
      <c r="H359" s="3" t="str">
        <f aca="false">raw_data!D359</f>
        <v>CUST-1363</v>
      </c>
      <c r="I359" s="3" t="str">
        <f aca="false">PROPER(TRIM(raw_data!E359))</f>
        <v>Mira Das</v>
      </c>
      <c r="J359" s="3" t="str">
        <f aca="false">PROPER(TRIM(raw_data!F359))</f>
        <v>Home Office</v>
      </c>
      <c r="K359" s="3" t="str">
        <f aca="false">IF(TRIM(raw_data!G359)="","Unknown",PROPER(TRIM(raw_data!G359)))</f>
        <v>South</v>
      </c>
      <c r="L359" s="3" t="str">
        <f aca="false">IF(TRIM(raw_data!G359)="","Filled - Unknown","OK")</f>
        <v>OK</v>
      </c>
      <c r="M359" s="3" t="str">
        <f aca="false">PROPER(TRIM(raw_data!H359))</f>
        <v>Andhra Pradesh</v>
      </c>
      <c r="N359" s="3" t="str">
        <f aca="false">PROPER(TRIM(raw_data!I359))</f>
        <v>Vijayawada</v>
      </c>
      <c r="O359" s="3" t="str">
        <f aca="false">PROPER(TRIM(raw_data!J359))</f>
        <v>Technology</v>
      </c>
      <c r="P359" s="3" t="str">
        <f aca="false">PROPER(TRIM(raw_data!K359))</f>
        <v>Machines</v>
      </c>
      <c r="Q359" s="3" t="str">
        <f aca="false">TRIM(raw_data!L359)</f>
        <v>Max Machines 770</v>
      </c>
      <c r="R359" s="3" t="str">
        <f aca="false">IF(TRIM(raw_data!M359)="","Unknown",PROPER(TRIM(raw_data!M359)))</f>
        <v>Second Class</v>
      </c>
      <c r="S359" s="3" t="str">
        <f aca="false">IF(TRIM(raw_data!M359)="","Filled - Unknown","OK")</f>
        <v>OK</v>
      </c>
      <c r="T359" s="6" t="n">
        <f aca="false">raw_data!N359</f>
        <v>8</v>
      </c>
      <c r="U359" s="7" t="n">
        <f aca="false">raw_data!O359</f>
        <v>546.13</v>
      </c>
      <c r="V359" s="8" t="n">
        <f aca="false">raw_data!P359</f>
        <v>0</v>
      </c>
      <c r="W359" s="8" t="n">
        <f aca="false">IF(raw_data!P359="",0,IF(ISTEXT(raw_data!P359),IF(RIGHT(raw_data!P359,1)="%",VALUE(LEFT(raw_data!P359,LEN(raw_data!P359)-1))/100,VALUE(raw_data!P359)),raw_data!P359))</f>
        <v>0</v>
      </c>
      <c r="X359" s="3" t="str">
        <f aca="false">IF(raw_data!P359="","Missing - Defaulted to 0",IF(W359&lt;0,"Negative - Invalid",IF(W359&gt;0.3,"Above Allowed Range - Invalid","Valid")))</f>
        <v>Valid</v>
      </c>
      <c r="Y359" s="7" t="n">
        <f aca="false">raw_data!Q359</f>
        <v>4369.04</v>
      </c>
      <c r="Z359" s="7" t="n">
        <f aca="false">raw_data!R359</f>
        <v>3716.88</v>
      </c>
      <c r="AA359" s="7" t="n">
        <f aca="false">raw_data!S359</f>
        <v>652.16</v>
      </c>
      <c r="AB359" s="3" t="str">
        <f aca="false">PROPER(TRIM(raw_data!T359))</f>
        <v>Paid</v>
      </c>
      <c r="AC359" s="3" t="str">
        <f aca="false">PROPER(TRIM(raw_data!U359))</f>
        <v>Cancelled</v>
      </c>
      <c r="AD359" s="7" t="n">
        <f aca="false">T359*U359*(1-W359)</f>
        <v>4369.04</v>
      </c>
      <c r="AE359" s="7" t="n">
        <f aca="false">AD359-Z359</f>
        <v>652.16</v>
      </c>
      <c r="AF359" s="8" t="n">
        <f aca="false">IF(AD359=0,0,AE359/AD359)</f>
        <v>0.149268489187556</v>
      </c>
      <c r="AG359" s="3" t="str">
        <f aca="false">IF(ABS(Y359-AD359)&gt;1,"Mismatch","OK")</f>
        <v>OK</v>
      </c>
      <c r="AH359" s="3" t="str">
        <f aca="false">IF(ABS(AA359-AE359)&gt;1,"Mismatch","OK")</f>
        <v>OK</v>
      </c>
      <c r="AI359" s="6" t="n">
        <f aca="false">IF(B359="","",MONTH(B359))</f>
        <v>1</v>
      </c>
      <c r="AJ359" s="6" t="n">
        <f aca="false">IF(B359="","",YEAR(B359))</f>
        <v>2025</v>
      </c>
      <c r="AK359" s="3" t="str">
        <f aca="false">IF(COUNTIF(raw_data!$A$2:$A$913,A359)&gt;1,"Conflicting Duplicate - Flagged for Review","Unique")</f>
        <v>Unique</v>
      </c>
      <c r="AL359" s="3" t="str">
        <f aca="false">IF(AB359="Refunded","Yes","No")</f>
        <v>No</v>
      </c>
      <c r="AM359" s="3" t="str">
        <f aca="false">IF(OR(AC359&lt;&gt;"Completed",AB359="Failed"),"Excluded","Included")</f>
        <v>Excluded</v>
      </c>
      <c r="AN359" s="3" t="str">
        <f aca="false">IF(OR(D359="Invalid/Unrecognized",E359="Invalid/Unrecognized",G359="Invalid - Ship Before Order",X359="Negative - Invalid",X359="Above Allowed Range - Invalid",AG359="Mismatch",AH359="Mismatch",AK359="Conflicting Duplicate - Flagged for Review"),"Invalid",IF(OR(L359="Filled - Unknown",S359="Filled - Unknown",X359="Missing - Defaulted to 0",AL359="Yes",AC359="Cancelled",AC359="Returned"),"Warning","Clean"))</f>
        <v>Warning</v>
      </c>
    </row>
    <row r="360" customFormat="false" ht="15" hidden="false" customHeight="false" outlineLevel="0" collapsed="false">
      <c r="A360" s="3" t="str">
        <f aca="false">raw_data!A360</f>
        <v>ORD-2025-10359</v>
      </c>
      <c r="B360" s="4" t="n">
        <f aca="false">IFERROR(IF(MID(raw_data!B360,3,1)="/",DATE(VALUE(RIGHT(raw_data!B360,4)),VALUE(LEFT(raw_data!B360,2)),VALUE(MID(raw_data!B360,4,2))),IF(MID(raw_data!B360,3,1)="-",DATE(VALUE(RIGHT(raw_data!B360,4)),VALUE(MID(raw_data!B360,4,2)),VALUE(LEFT(raw_data!B360,2))),IF(MID(raw_data!B360,5,1)="-",DATE(VALUE(LEFT(raw_data!B360,4)),VALUE(MID(raw_data!B360,6,2)),VALUE(RIGHT(raw_data!B360,2))),DATE(VALUE(RIGHT(raw_data!B360,4)),MATCH(MID(raw_data!B360,4,3),{"Jan","Feb","Mar","Apr","May","Jun","Jul","Aug","Sep","Oct","Nov","Dec"},0),VALUE(LEFT(raw_data!B360,2)))))),"")</f>
        <v>45878</v>
      </c>
      <c r="C360" s="4" t="n">
        <f aca="false">IFERROR(IF(MID(raw_data!C360,3,1)="/",DATE(VALUE(RIGHT(raw_data!C360,4)),VALUE(LEFT(raw_data!C360,2)),VALUE(MID(raw_data!C360,4,2))),IF(MID(raw_data!C360,3,1)="-",DATE(VALUE(RIGHT(raw_data!C360,4)),VALUE(MID(raw_data!C360,4,2)),VALUE(LEFT(raw_data!C360,2))),IF(MID(raw_data!C360,5,1)="-",DATE(VALUE(LEFT(raw_data!C360,4)),VALUE(MID(raw_data!C360,6,2)),VALUE(RIGHT(raw_data!C360,2))),DATE(VALUE(RIGHT(raw_data!C360,4)),MATCH(MID(raw_data!C360,4,3),{"Jan","Feb","Mar","Apr","May","Jun","Jul","Aug","Sep","Oct","Nov","Dec"},0),VALUE(LEFT(raw_data!C360,2)))))),"")</f>
        <v>45876</v>
      </c>
      <c r="D360" s="3" t="str">
        <f aca="false">IF(TRIM(raw_data!B360)="","Missing",IF(B360="","Invalid/Unrecognized","Valid"))</f>
        <v>Valid</v>
      </c>
      <c r="E360" s="3" t="str">
        <f aca="false">IF(TRIM(raw_data!C360)="","Missing",IF(C360="","Invalid/Unrecognized","Valid"))</f>
        <v>Valid</v>
      </c>
      <c r="F360" s="5" t="n">
        <f aca="false">IF(OR(B360="",C360=""),"",C360-B360)</f>
        <v>-2</v>
      </c>
      <c r="G360" s="3" t="str">
        <f aca="false">IF(F360="","N/A",IF(F360&lt;0,"Invalid - Ship Before Order","OK"))</f>
        <v>Invalid - Ship Before Order</v>
      </c>
      <c r="H360" s="3" t="str">
        <f aca="false">raw_data!D360</f>
        <v>CUST-2477</v>
      </c>
      <c r="I360" s="3" t="str">
        <f aca="false">PROPER(TRIM(raw_data!E360))</f>
        <v>Vikram Iyer</v>
      </c>
      <c r="J360" s="3" t="str">
        <f aca="false">PROPER(TRIM(raw_data!F360))</f>
        <v>Home Office</v>
      </c>
      <c r="K360" s="3" t="str">
        <f aca="false">IF(TRIM(raw_data!G360)="","Unknown",PROPER(TRIM(raw_data!G360)))</f>
        <v>West</v>
      </c>
      <c r="L360" s="3" t="str">
        <f aca="false">IF(TRIM(raw_data!G360)="","Filled - Unknown","OK")</f>
        <v>OK</v>
      </c>
      <c r="M360" s="3" t="str">
        <f aca="false">PROPER(TRIM(raw_data!H360))</f>
        <v>Gujarat</v>
      </c>
      <c r="N360" s="3" t="str">
        <f aca="false">PROPER(TRIM(raw_data!I360))</f>
        <v>Ahmedabad</v>
      </c>
      <c r="O360" s="3" t="str">
        <f aca="false">PROPER(TRIM(raw_data!J360))</f>
        <v>Furniture</v>
      </c>
      <c r="P360" s="3" t="str">
        <f aca="false">PROPER(TRIM(raw_data!K360))</f>
        <v>Bookcases</v>
      </c>
      <c r="Q360" s="3" t="str">
        <f aca="false">TRIM(raw_data!L360)</f>
        <v>Smart Bookcases 134</v>
      </c>
      <c r="R360" s="3" t="str">
        <f aca="false">IF(TRIM(raw_data!M360)="","Unknown",PROPER(TRIM(raw_data!M360)))</f>
        <v>Second Class</v>
      </c>
      <c r="S360" s="3" t="str">
        <f aca="false">IF(TRIM(raw_data!M360)="","Filled - Unknown","OK")</f>
        <v>OK</v>
      </c>
      <c r="T360" s="6" t="n">
        <f aca="false">raw_data!N360</f>
        <v>5</v>
      </c>
      <c r="U360" s="7" t="n">
        <f aca="false">raw_data!O360</f>
        <v>1253.92</v>
      </c>
      <c r="V360" s="8" t="n">
        <f aca="false">raw_data!P360</f>
        <v>0.05</v>
      </c>
      <c r="W360" s="8" t="n">
        <f aca="false">IF(raw_data!P360="",0,IF(ISTEXT(raw_data!P360),IF(RIGHT(raw_data!P360,1)="%",VALUE(LEFT(raw_data!P360,LEN(raw_data!P360)-1))/100,VALUE(raw_data!P360)),raw_data!P360))</f>
        <v>0.05</v>
      </c>
      <c r="X360" s="3" t="str">
        <f aca="false">IF(raw_data!P360="","Missing - Defaulted to 0",IF(W360&lt;0,"Negative - Invalid",IF(W360&gt;0.3,"Above Allowed Range - Invalid","Valid")))</f>
        <v>Valid</v>
      </c>
      <c r="Y360" s="7" t="n">
        <f aca="false">raw_data!Q360</f>
        <v>5956.12</v>
      </c>
      <c r="Z360" s="7" t="n">
        <f aca="false">raw_data!R360</f>
        <v>4379.18</v>
      </c>
      <c r="AA360" s="7" t="n">
        <f aca="false">raw_data!S360</f>
        <v>1576.94</v>
      </c>
      <c r="AB360" s="3" t="str">
        <f aca="false">PROPER(TRIM(raw_data!T360))</f>
        <v>Pending</v>
      </c>
      <c r="AC360" s="3" t="str">
        <f aca="false">PROPER(TRIM(raw_data!U360))</f>
        <v>Returned</v>
      </c>
      <c r="AD360" s="7" t="n">
        <f aca="false">T360*U360*(1-W360)</f>
        <v>5956.12</v>
      </c>
      <c r="AE360" s="7" t="n">
        <f aca="false">AD360-Z360</f>
        <v>1576.94</v>
      </c>
      <c r="AF360" s="8" t="n">
        <f aca="false">IF(AD360=0,0,AE360/AD360)</f>
        <v>0.264759608604259</v>
      </c>
      <c r="AG360" s="3" t="str">
        <f aca="false">IF(ABS(Y360-AD360)&gt;1,"Mismatch","OK")</f>
        <v>OK</v>
      </c>
      <c r="AH360" s="3" t="str">
        <f aca="false">IF(ABS(AA360-AE360)&gt;1,"Mismatch","OK")</f>
        <v>OK</v>
      </c>
      <c r="AI360" s="6" t="n">
        <f aca="false">IF(B360="","",MONTH(B360))</f>
        <v>8</v>
      </c>
      <c r="AJ360" s="6" t="n">
        <f aca="false">IF(B360="","",YEAR(B360))</f>
        <v>2025</v>
      </c>
      <c r="AK360" s="3" t="str">
        <f aca="false">IF(COUNTIF(raw_data!$A$2:$A$913,A360)&gt;1,"Conflicting Duplicate - Flagged for Review","Unique")</f>
        <v>Unique</v>
      </c>
      <c r="AL360" s="3" t="str">
        <f aca="false">IF(AB360="Refunded","Yes","No")</f>
        <v>No</v>
      </c>
      <c r="AM360" s="3" t="str">
        <f aca="false">IF(OR(AC360&lt;&gt;"Completed",AB360="Failed"),"Excluded","Included")</f>
        <v>Excluded</v>
      </c>
      <c r="AN360" s="3" t="str">
        <f aca="false">IF(OR(D360="Invalid/Unrecognized",E360="Invalid/Unrecognized",G360="Invalid - Ship Before Order",X360="Negative - Invalid",X360="Above Allowed Range - Invalid",AG360="Mismatch",AH360="Mismatch",AK360="Conflicting Duplicate - Flagged for Review"),"Invalid",IF(OR(L360="Filled - Unknown",S360="Filled - Unknown",X360="Missing - Defaulted to 0",AL360="Yes",AC360="Cancelled",AC360="Returned"),"Warning","Clean"))</f>
        <v>Invalid</v>
      </c>
    </row>
    <row r="361" customFormat="false" ht="15" hidden="false" customHeight="false" outlineLevel="0" collapsed="false">
      <c r="A361" s="3" t="str">
        <f aca="false">raw_data!A361</f>
        <v>ORD-2024-10360</v>
      </c>
      <c r="B361" s="4" t="n">
        <f aca="false">IFERROR(IF(MID(raw_data!B361,3,1)="/",DATE(VALUE(RIGHT(raw_data!B361,4)),VALUE(LEFT(raw_data!B361,2)),VALUE(MID(raw_data!B361,4,2))),IF(MID(raw_data!B361,3,1)="-",DATE(VALUE(RIGHT(raw_data!B361,4)),VALUE(MID(raw_data!B361,4,2)),VALUE(LEFT(raw_data!B361,2))),IF(MID(raw_data!B361,5,1)="-",DATE(VALUE(LEFT(raw_data!B361,4)),VALUE(MID(raw_data!B361,6,2)),VALUE(RIGHT(raw_data!B361,2))),DATE(VALUE(RIGHT(raw_data!B361,4)),MATCH(MID(raw_data!B361,4,3),{"Jan","Feb","Mar","Apr","May","Jun","Jul","Aug","Sep","Oct","Nov","Dec"},0),VALUE(LEFT(raw_data!B361,2)))))),"")</f>
        <v>45525</v>
      </c>
      <c r="C361" s="4" t="n">
        <f aca="false">IFERROR(IF(MID(raw_data!C361,3,1)="/",DATE(VALUE(RIGHT(raw_data!C361,4)),VALUE(LEFT(raw_data!C361,2)),VALUE(MID(raw_data!C361,4,2))),IF(MID(raw_data!C361,3,1)="-",DATE(VALUE(RIGHT(raw_data!C361,4)),VALUE(MID(raw_data!C361,4,2)),VALUE(LEFT(raw_data!C361,2))),IF(MID(raw_data!C361,5,1)="-",DATE(VALUE(LEFT(raw_data!C361,4)),VALUE(MID(raw_data!C361,6,2)),VALUE(RIGHT(raw_data!C361,2))),DATE(VALUE(RIGHT(raw_data!C361,4)),MATCH(MID(raw_data!C361,4,3),{"Jan","Feb","Mar","Apr","May","Jun","Jul","Aug","Sep","Oct","Nov","Dec"},0),VALUE(LEFT(raw_data!C361,2)))))),"")</f>
        <v>45526</v>
      </c>
      <c r="D361" s="3" t="str">
        <f aca="false">IF(TRIM(raw_data!B361)="","Missing",IF(B361="","Invalid/Unrecognized","Valid"))</f>
        <v>Valid</v>
      </c>
      <c r="E361" s="3" t="str">
        <f aca="false">IF(TRIM(raw_data!C361)="","Missing",IF(C361="","Invalid/Unrecognized","Valid"))</f>
        <v>Valid</v>
      </c>
      <c r="F361" s="5" t="n">
        <f aca="false">IF(OR(B361="",C361=""),"",C361-B361)</f>
        <v>1</v>
      </c>
      <c r="G361" s="3" t="str">
        <f aca="false">IF(F361="","N/A",IF(F361&lt;0,"Invalid - Ship Before Order","OK"))</f>
        <v>OK</v>
      </c>
      <c r="H361" s="3" t="str">
        <f aca="false">raw_data!D361</f>
        <v>CUST-9571</v>
      </c>
      <c r="I361" s="3" t="str">
        <f aca="false">PROPER(TRIM(raw_data!E361))</f>
        <v>Isha Nair</v>
      </c>
      <c r="J361" s="3" t="str">
        <f aca="false">PROPER(TRIM(raw_data!F361))</f>
        <v>Consumer</v>
      </c>
      <c r="K361" s="3" t="str">
        <f aca="false">IF(TRIM(raw_data!G361)="","Unknown",PROPER(TRIM(raw_data!G361)))</f>
        <v>South</v>
      </c>
      <c r="L361" s="3" t="str">
        <f aca="false">IF(TRIM(raw_data!G361)="","Filled - Unknown","OK")</f>
        <v>OK</v>
      </c>
      <c r="M361" s="3" t="str">
        <f aca="false">PROPER(TRIM(raw_data!H361))</f>
        <v>Tamil Nadu</v>
      </c>
      <c r="N361" s="3" t="str">
        <f aca="false">PROPER(TRIM(raw_data!I361))</f>
        <v>Chennai</v>
      </c>
      <c r="O361" s="3" t="str">
        <f aca="false">PROPER(TRIM(raw_data!J361))</f>
        <v>Technology</v>
      </c>
      <c r="P361" s="3" t="str">
        <f aca="false">PROPER(TRIM(raw_data!K361))</f>
        <v>Phones</v>
      </c>
      <c r="Q361" s="3" t="str">
        <f aca="false">TRIM(raw_data!L361)</f>
        <v>Classic Phones 586</v>
      </c>
      <c r="R361" s="3" t="str">
        <f aca="false">IF(TRIM(raw_data!M361)="","Unknown",PROPER(TRIM(raw_data!M361)))</f>
        <v>Same Day</v>
      </c>
      <c r="S361" s="3" t="str">
        <f aca="false">IF(TRIM(raw_data!M361)="","Filled - Unknown","OK")</f>
        <v>OK</v>
      </c>
      <c r="T361" s="6" t="n">
        <f aca="false">raw_data!N361</f>
        <v>9</v>
      </c>
      <c r="U361" s="7" t="n">
        <f aca="false">raw_data!O361</f>
        <v>616.96</v>
      </c>
      <c r="V361" s="8" t="n">
        <f aca="false">raw_data!P361</f>
        <v>0.1</v>
      </c>
      <c r="W361" s="8" t="n">
        <f aca="false">IF(raw_data!P361="",0,IF(ISTEXT(raw_data!P361),IF(RIGHT(raw_data!P361,1)="%",VALUE(LEFT(raw_data!P361,LEN(raw_data!P361)-1))/100,VALUE(raw_data!P361)),raw_data!P361))</f>
        <v>0.1</v>
      </c>
      <c r="X361" s="3" t="str">
        <f aca="false">IF(raw_data!P361="","Missing - Defaulted to 0",IF(W361&lt;0,"Negative - Invalid",IF(W361&gt;0.3,"Above Allowed Range - Invalid","Valid")))</f>
        <v>Valid</v>
      </c>
      <c r="Y361" s="7" t="n">
        <f aca="false">raw_data!Q361</f>
        <v>4997.38</v>
      </c>
      <c r="Z361" s="7" t="n">
        <f aca="false">raw_data!R361</f>
        <v>2971.39</v>
      </c>
      <c r="AA361" s="7" t="n">
        <f aca="false">raw_data!S361</f>
        <v>2025.99</v>
      </c>
      <c r="AB361" s="3" t="str">
        <f aca="false">PROPER(TRIM(raw_data!T361))</f>
        <v>Paid</v>
      </c>
      <c r="AC361" s="3" t="str">
        <f aca="false">PROPER(TRIM(raw_data!U361))</f>
        <v>Completed</v>
      </c>
      <c r="AD361" s="7" t="n">
        <f aca="false">T361*U361*(1-W361)</f>
        <v>4997.376</v>
      </c>
      <c r="AE361" s="7" t="n">
        <f aca="false">AD361-Z361</f>
        <v>2025.986</v>
      </c>
      <c r="AF361" s="8" t="n">
        <f aca="false">IF(AD361=0,0,AE361/AD361)</f>
        <v>0.40540995914656</v>
      </c>
      <c r="AG361" s="3" t="str">
        <f aca="false">IF(ABS(Y361-AD361)&gt;1,"Mismatch","OK")</f>
        <v>OK</v>
      </c>
      <c r="AH361" s="3" t="str">
        <f aca="false">IF(ABS(AA361-AE361)&gt;1,"Mismatch","OK")</f>
        <v>OK</v>
      </c>
      <c r="AI361" s="6" t="n">
        <f aca="false">IF(B361="","",MONTH(B361))</f>
        <v>8</v>
      </c>
      <c r="AJ361" s="6" t="n">
        <f aca="false">IF(B361="","",YEAR(B361))</f>
        <v>2024</v>
      </c>
      <c r="AK361" s="3" t="str">
        <f aca="false">IF(COUNTIF(raw_data!$A$2:$A$913,A361)&gt;1,"Conflicting Duplicate - Flagged for Review","Unique")</f>
        <v>Unique</v>
      </c>
      <c r="AL361" s="3" t="str">
        <f aca="false">IF(AB361="Refunded","Yes","No")</f>
        <v>No</v>
      </c>
      <c r="AM361" s="3" t="str">
        <f aca="false">IF(OR(AC361&lt;&gt;"Completed",AB361="Failed"),"Excluded","Included")</f>
        <v>Included</v>
      </c>
      <c r="AN361" s="3" t="str">
        <f aca="false">IF(OR(D361="Invalid/Unrecognized",E361="Invalid/Unrecognized",G361="Invalid - Ship Before Order",X361="Negative - Invalid",X361="Above Allowed Range - Invalid",AG361="Mismatch",AH361="Mismatch",AK361="Conflicting Duplicate - Flagged for Review"),"Invalid",IF(OR(L361="Filled - Unknown",S361="Filled - Unknown",X361="Missing - Defaulted to 0",AL361="Yes",AC361="Cancelled",AC361="Returned"),"Warning","Clean"))</f>
        <v>Clean</v>
      </c>
    </row>
    <row r="362" customFormat="false" ht="15" hidden="false" customHeight="false" outlineLevel="0" collapsed="false">
      <c r="A362" s="3" t="str">
        <f aca="false">raw_data!A362</f>
        <v>ORD-2024-10361</v>
      </c>
      <c r="B362" s="4" t="n">
        <f aca="false">IFERROR(IF(MID(raw_data!B362,3,1)="/",DATE(VALUE(RIGHT(raw_data!B362,4)),VALUE(LEFT(raw_data!B362,2)),VALUE(MID(raw_data!B362,4,2))),IF(MID(raw_data!B362,3,1)="-",DATE(VALUE(RIGHT(raw_data!B362,4)),VALUE(MID(raw_data!B362,4,2)),VALUE(LEFT(raw_data!B362,2))),IF(MID(raw_data!B362,5,1)="-",DATE(VALUE(LEFT(raw_data!B362,4)),VALUE(MID(raw_data!B362,6,2)),VALUE(RIGHT(raw_data!B362,2))),DATE(VALUE(RIGHT(raw_data!B362,4)),MATCH(MID(raw_data!B362,4,3),{"Jan","Feb","Mar","Apr","May","Jun","Jul","Aug","Sep","Oct","Nov","Dec"},0),VALUE(LEFT(raw_data!B362,2)))))),"")</f>
        <v>45460</v>
      </c>
      <c r="C362" s="4" t="n">
        <f aca="false">IFERROR(IF(MID(raw_data!C362,3,1)="/",DATE(VALUE(RIGHT(raw_data!C362,4)),VALUE(LEFT(raw_data!C362,2)),VALUE(MID(raw_data!C362,4,2))),IF(MID(raw_data!C362,3,1)="-",DATE(VALUE(RIGHT(raw_data!C362,4)),VALUE(MID(raw_data!C362,4,2)),VALUE(LEFT(raw_data!C362,2))),IF(MID(raw_data!C362,5,1)="-",DATE(VALUE(LEFT(raw_data!C362,4)),VALUE(MID(raw_data!C362,6,2)),VALUE(RIGHT(raw_data!C362,2))),DATE(VALUE(RIGHT(raw_data!C362,4)),MATCH(MID(raw_data!C362,4,3),{"Jan","Feb","Mar","Apr","May","Jun","Jul","Aug","Sep","Oct","Nov","Dec"},0),VALUE(LEFT(raw_data!C362,2)))))),"")</f>
        <v>45463</v>
      </c>
      <c r="D362" s="3" t="str">
        <f aca="false">IF(TRIM(raw_data!B362)="","Missing",IF(B362="","Invalid/Unrecognized","Valid"))</f>
        <v>Valid</v>
      </c>
      <c r="E362" s="3" t="str">
        <f aca="false">IF(TRIM(raw_data!C362)="","Missing",IF(C362="","Invalid/Unrecognized","Valid"))</f>
        <v>Valid</v>
      </c>
      <c r="F362" s="5" t="n">
        <f aca="false">IF(OR(B362="",C362=""),"",C362-B362)</f>
        <v>3</v>
      </c>
      <c r="G362" s="3" t="str">
        <f aca="false">IF(F362="","N/A",IF(F362&lt;0,"Invalid - Ship Before Order","OK"))</f>
        <v>OK</v>
      </c>
      <c r="H362" s="3" t="str">
        <f aca="false">raw_data!D362</f>
        <v>CUST-3690</v>
      </c>
      <c r="I362" s="3" t="str">
        <f aca="false">PROPER(TRIM(raw_data!E362))</f>
        <v>Sneha Kapoor</v>
      </c>
      <c r="J362" s="3" t="str">
        <f aca="false">PROPER(TRIM(raw_data!F362))</f>
        <v>Small Business</v>
      </c>
      <c r="K362" s="3" t="str">
        <f aca="false">IF(TRIM(raw_data!G362)="","Unknown",PROPER(TRIM(raw_data!G362)))</f>
        <v>West</v>
      </c>
      <c r="L362" s="3" t="str">
        <f aca="false">IF(TRIM(raw_data!G362)="","Filled - Unknown","OK")</f>
        <v>OK</v>
      </c>
      <c r="M362" s="3" t="str">
        <f aca="false">PROPER(TRIM(raw_data!H362))</f>
        <v>Gujarat</v>
      </c>
      <c r="N362" s="3" t="str">
        <f aca="false">PROPER(TRIM(raw_data!I362))</f>
        <v>Ahmedabad</v>
      </c>
      <c r="O362" s="3" t="str">
        <f aca="false">PROPER(TRIM(raw_data!J362))</f>
        <v>Furniture</v>
      </c>
      <c r="P362" s="3" t="str">
        <f aca="false">PROPER(TRIM(raw_data!K362))</f>
        <v>Furnishings</v>
      </c>
      <c r="Q362" s="3" t="str">
        <f aca="false">TRIM(raw_data!L362)</f>
        <v>Elite Furnishings 634</v>
      </c>
      <c r="R362" s="3" t="str">
        <f aca="false">IF(TRIM(raw_data!M362)="","Unknown",PROPER(TRIM(raw_data!M362)))</f>
        <v>Standard Class</v>
      </c>
      <c r="S362" s="3" t="str">
        <f aca="false">IF(TRIM(raw_data!M362)="","Filled - Unknown","OK")</f>
        <v>OK</v>
      </c>
      <c r="T362" s="6" t="n">
        <f aca="false">raw_data!N362</f>
        <v>7</v>
      </c>
      <c r="U362" s="7" t="n">
        <f aca="false">raw_data!O362</f>
        <v>3155.25</v>
      </c>
      <c r="V362" s="8" t="n">
        <f aca="false">raw_data!P362</f>
        <v>0.2</v>
      </c>
      <c r="W362" s="8" t="n">
        <f aca="false">IF(raw_data!P362="",0,IF(ISTEXT(raw_data!P362),IF(RIGHT(raw_data!P362,1)="%",VALUE(LEFT(raw_data!P362,LEN(raw_data!P362)-1))/100,VALUE(raw_data!P362)),raw_data!P362))</f>
        <v>0.2</v>
      </c>
      <c r="X362" s="3" t="str">
        <f aca="false">IF(raw_data!P362="","Missing - Defaulted to 0",IF(W362&lt;0,"Negative - Invalid",IF(W362&gt;0.3,"Above Allowed Range - Invalid","Valid")))</f>
        <v>Valid</v>
      </c>
      <c r="Y362" s="7" t="n">
        <f aca="false">raw_data!Q362</f>
        <v>17669.4</v>
      </c>
      <c r="Z362" s="7" t="n">
        <f aca="false">raw_data!R362</f>
        <v>13718.77</v>
      </c>
      <c r="AA362" s="7" t="n">
        <f aca="false">raw_data!S362</f>
        <v>3950.63</v>
      </c>
      <c r="AB362" s="3" t="str">
        <f aca="false">PROPER(TRIM(raw_data!T362))</f>
        <v>Refunded</v>
      </c>
      <c r="AC362" s="3" t="str">
        <f aca="false">PROPER(TRIM(raw_data!U362))</f>
        <v>Cancelled</v>
      </c>
      <c r="AD362" s="7" t="n">
        <f aca="false">T362*U362*(1-W362)</f>
        <v>17669.4</v>
      </c>
      <c r="AE362" s="7" t="n">
        <f aca="false">AD362-Z362</f>
        <v>3950.63</v>
      </c>
      <c r="AF362" s="8" t="n">
        <f aca="false">IF(AD362=0,0,AE362/AD362)</f>
        <v>0.223585973490894</v>
      </c>
      <c r="AG362" s="3" t="str">
        <f aca="false">IF(ABS(Y362-AD362)&gt;1,"Mismatch","OK")</f>
        <v>OK</v>
      </c>
      <c r="AH362" s="3" t="str">
        <f aca="false">IF(ABS(AA362-AE362)&gt;1,"Mismatch","OK")</f>
        <v>OK</v>
      </c>
      <c r="AI362" s="6" t="n">
        <f aca="false">IF(B362="","",MONTH(B362))</f>
        <v>6</v>
      </c>
      <c r="AJ362" s="6" t="n">
        <f aca="false">IF(B362="","",YEAR(B362))</f>
        <v>2024</v>
      </c>
      <c r="AK362" s="3" t="str">
        <f aca="false">IF(COUNTIF(raw_data!$A$2:$A$913,A362)&gt;1,"Conflicting Duplicate - Flagged for Review","Unique")</f>
        <v>Unique</v>
      </c>
      <c r="AL362" s="3" t="str">
        <f aca="false">IF(AB362="Refunded","Yes","No")</f>
        <v>Yes</v>
      </c>
      <c r="AM362" s="3" t="str">
        <f aca="false">IF(OR(AC362&lt;&gt;"Completed",AB362="Failed"),"Excluded","Included")</f>
        <v>Excluded</v>
      </c>
      <c r="AN362" s="3" t="str">
        <f aca="false">IF(OR(D362="Invalid/Unrecognized",E362="Invalid/Unrecognized",G362="Invalid - Ship Before Order",X362="Negative - Invalid",X362="Above Allowed Range - Invalid",AG362="Mismatch",AH362="Mismatch",AK362="Conflicting Duplicate - Flagged for Review"),"Invalid",IF(OR(L362="Filled - Unknown",S362="Filled - Unknown",X362="Missing - Defaulted to 0",AL362="Yes",AC362="Cancelled",AC362="Returned"),"Warning","Clean"))</f>
        <v>Warning</v>
      </c>
    </row>
    <row r="363" customFormat="false" ht="15" hidden="false" customHeight="false" outlineLevel="0" collapsed="false">
      <c r="A363" s="3" t="str">
        <f aca="false">raw_data!A363</f>
        <v>ORD-2025-10362</v>
      </c>
      <c r="B363" s="4" t="n">
        <f aca="false">IFERROR(IF(MID(raw_data!B363,3,1)="/",DATE(VALUE(RIGHT(raw_data!B363,4)),VALUE(LEFT(raw_data!B363,2)),VALUE(MID(raw_data!B363,4,2))),IF(MID(raw_data!B363,3,1)="-",DATE(VALUE(RIGHT(raw_data!B363,4)),VALUE(MID(raw_data!B363,4,2)),VALUE(LEFT(raw_data!B363,2))),IF(MID(raw_data!B363,5,1)="-",DATE(VALUE(LEFT(raw_data!B363,4)),VALUE(MID(raw_data!B363,6,2)),VALUE(RIGHT(raw_data!B363,2))),DATE(VALUE(RIGHT(raw_data!B363,4)),MATCH(MID(raw_data!B363,4,3),{"Jan","Feb","Mar","Apr","May","Jun","Jul","Aug","Sep","Oct","Nov","Dec"},0),VALUE(LEFT(raw_data!B363,2)))))),"")</f>
        <v>45748</v>
      </c>
      <c r="C363" s="4" t="n">
        <f aca="false">IFERROR(IF(MID(raw_data!C363,3,1)="/",DATE(VALUE(RIGHT(raw_data!C363,4)),VALUE(LEFT(raw_data!C363,2)),VALUE(MID(raw_data!C363,4,2))),IF(MID(raw_data!C363,3,1)="-",DATE(VALUE(RIGHT(raw_data!C363,4)),VALUE(MID(raw_data!C363,4,2)),VALUE(LEFT(raw_data!C363,2))),IF(MID(raw_data!C363,5,1)="-",DATE(VALUE(LEFT(raw_data!C363,4)),VALUE(MID(raw_data!C363,6,2)),VALUE(RIGHT(raw_data!C363,2))),DATE(VALUE(RIGHT(raw_data!C363,4)),MATCH(MID(raw_data!C363,4,3),{"Jan","Feb","Mar","Apr","May","Jun","Jul","Aug","Sep","Oct","Nov","Dec"},0),VALUE(LEFT(raw_data!C363,2)))))),"")</f>
        <v>45749</v>
      </c>
      <c r="D363" s="3" t="str">
        <f aca="false">IF(TRIM(raw_data!B363)="","Missing",IF(B363="","Invalid/Unrecognized","Valid"))</f>
        <v>Valid</v>
      </c>
      <c r="E363" s="3" t="str">
        <f aca="false">IF(TRIM(raw_data!C363)="","Missing",IF(C363="","Invalid/Unrecognized","Valid"))</f>
        <v>Valid</v>
      </c>
      <c r="F363" s="5" t="n">
        <f aca="false">IF(OR(B363="",C363=""),"",C363-B363)</f>
        <v>1</v>
      </c>
      <c r="G363" s="3" t="str">
        <f aca="false">IF(F363="","N/A",IF(F363&lt;0,"Invalid - Ship Before Order","OK"))</f>
        <v>OK</v>
      </c>
      <c r="H363" s="3" t="str">
        <f aca="false">raw_data!D363</f>
        <v>CUST-2909</v>
      </c>
      <c r="I363" s="3" t="str">
        <f aca="false">PROPER(TRIM(raw_data!E363))</f>
        <v>Rohan Mehta</v>
      </c>
      <c r="J363" s="3" t="str">
        <f aca="false">PROPER(TRIM(raw_data!F363))</f>
        <v>Corporate</v>
      </c>
      <c r="K363" s="3" t="str">
        <f aca="false">IF(TRIM(raw_data!G363)="","Unknown",PROPER(TRIM(raw_data!G363)))</f>
        <v>East</v>
      </c>
      <c r="L363" s="3" t="str">
        <f aca="false">IF(TRIM(raw_data!G363)="","Filled - Unknown","OK")</f>
        <v>OK</v>
      </c>
      <c r="M363" s="3" t="str">
        <f aca="false">PROPER(TRIM(raw_data!H363))</f>
        <v>Odisha</v>
      </c>
      <c r="N363" s="3" t="str">
        <f aca="false">PROPER(TRIM(raw_data!I363))</f>
        <v>Bhubaneswar</v>
      </c>
      <c r="O363" s="3" t="str">
        <f aca="false">PROPER(TRIM(raw_data!J363))</f>
        <v>Furniture</v>
      </c>
      <c r="P363" s="3" t="str">
        <f aca="false">PROPER(TRIM(raw_data!K363))</f>
        <v>Chairs</v>
      </c>
      <c r="Q363" s="3" t="str">
        <f aca="false">TRIM(raw_data!L363)</f>
        <v>Basic Chairs 113</v>
      </c>
      <c r="R363" s="3" t="str">
        <f aca="false">IF(TRIM(raw_data!M363)="","Unknown",PROPER(TRIM(raw_data!M363)))</f>
        <v>Second Class</v>
      </c>
      <c r="S363" s="3" t="str">
        <f aca="false">IF(TRIM(raw_data!M363)="","Filled - Unknown","OK")</f>
        <v>OK</v>
      </c>
      <c r="T363" s="6" t="n">
        <f aca="false">raw_data!N363</f>
        <v>9</v>
      </c>
      <c r="U363" s="7" t="n">
        <f aca="false">raw_data!O363</f>
        <v>4165.58</v>
      </c>
      <c r="V363" s="8" t="n">
        <f aca="false">raw_data!P363</f>
        <v>0.05</v>
      </c>
      <c r="W363" s="8" t="n">
        <f aca="false">IF(raw_data!P363="",0,IF(ISTEXT(raw_data!P363),IF(RIGHT(raw_data!P363,1)="%",VALUE(LEFT(raw_data!P363,LEN(raw_data!P363)-1))/100,VALUE(raw_data!P363)),raw_data!P363))</f>
        <v>0.05</v>
      </c>
      <c r="X363" s="3" t="str">
        <f aca="false">IF(raw_data!P363="","Missing - Defaulted to 0",IF(W363&lt;0,"Negative - Invalid",IF(W363&gt;0.3,"Above Allowed Range - Invalid","Valid")))</f>
        <v>Valid</v>
      </c>
      <c r="Y363" s="7" t="n">
        <f aca="false">raw_data!Q363</f>
        <v>35615.71</v>
      </c>
      <c r="Z363" s="7" t="n">
        <f aca="false">raw_data!R363</f>
        <v>20389.71</v>
      </c>
      <c r="AA363" s="7" t="n">
        <f aca="false">raw_data!S363</f>
        <v>15226</v>
      </c>
      <c r="AB363" s="3" t="str">
        <f aca="false">PROPER(TRIM(raw_data!T363))</f>
        <v>Pending</v>
      </c>
      <c r="AC363" s="3" t="str">
        <f aca="false">PROPER(TRIM(raw_data!U363))</f>
        <v>Returned</v>
      </c>
      <c r="AD363" s="7" t="n">
        <f aca="false">T363*U363*(1-W363)</f>
        <v>35615.709</v>
      </c>
      <c r="AE363" s="7" t="n">
        <f aca="false">AD363-Z363</f>
        <v>15225.999</v>
      </c>
      <c r="AF363" s="8" t="n">
        <f aca="false">IF(AD363=0,0,AE363/AD363)</f>
        <v>0.427507957233141</v>
      </c>
      <c r="AG363" s="3" t="str">
        <f aca="false">IF(ABS(Y363-AD363)&gt;1,"Mismatch","OK")</f>
        <v>OK</v>
      </c>
      <c r="AH363" s="3" t="str">
        <f aca="false">IF(ABS(AA363-AE363)&gt;1,"Mismatch","OK")</f>
        <v>OK</v>
      </c>
      <c r="AI363" s="6" t="n">
        <f aca="false">IF(B363="","",MONTH(B363))</f>
        <v>4</v>
      </c>
      <c r="AJ363" s="6" t="n">
        <f aca="false">IF(B363="","",YEAR(B363))</f>
        <v>2025</v>
      </c>
      <c r="AK363" s="3" t="str">
        <f aca="false">IF(COUNTIF(raw_data!$A$2:$A$913,A363)&gt;1,"Conflicting Duplicate - Flagged for Review","Unique")</f>
        <v>Unique</v>
      </c>
      <c r="AL363" s="3" t="str">
        <f aca="false">IF(AB363="Refunded","Yes","No")</f>
        <v>No</v>
      </c>
      <c r="AM363" s="3" t="str">
        <f aca="false">IF(OR(AC363&lt;&gt;"Completed",AB363="Failed"),"Excluded","Included")</f>
        <v>Excluded</v>
      </c>
      <c r="AN363" s="3" t="str">
        <f aca="false">IF(OR(D363="Invalid/Unrecognized",E363="Invalid/Unrecognized",G363="Invalid - Ship Before Order",X363="Negative - Invalid",X363="Above Allowed Range - Invalid",AG363="Mismatch",AH363="Mismatch",AK363="Conflicting Duplicate - Flagged for Review"),"Invalid",IF(OR(L363="Filled - Unknown",S363="Filled - Unknown",X363="Missing - Defaulted to 0",AL363="Yes",AC363="Cancelled",AC363="Returned"),"Warning","Clean"))</f>
        <v>Warning</v>
      </c>
    </row>
    <row r="364" customFormat="false" ht="15" hidden="false" customHeight="false" outlineLevel="0" collapsed="false">
      <c r="A364" s="3" t="str">
        <f aca="false">raw_data!A364</f>
        <v>ORD-2024-10363</v>
      </c>
      <c r="B364" s="4" t="n">
        <f aca="false">IFERROR(IF(MID(raw_data!B364,3,1)="/",DATE(VALUE(RIGHT(raw_data!B364,4)),VALUE(LEFT(raw_data!B364,2)),VALUE(MID(raw_data!B364,4,2))),IF(MID(raw_data!B364,3,1)="-",DATE(VALUE(RIGHT(raw_data!B364,4)),VALUE(MID(raw_data!B364,4,2)),VALUE(LEFT(raw_data!B364,2))),IF(MID(raw_data!B364,5,1)="-",DATE(VALUE(LEFT(raw_data!B364,4)),VALUE(MID(raw_data!B364,6,2)),VALUE(RIGHT(raw_data!B364,2))),DATE(VALUE(RIGHT(raw_data!B364,4)),MATCH(MID(raw_data!B364,4,3),{"Jan","Feb","Mar","Apr","May","Jun","Jul","Aug","Sep","Oct","Nov","Dec"},0),VALUE(LEFT(raw_data!B364,2)))))),"")</f>
        <v>45527</v>
      </c>
      <c r="C364" s="4" t="n">
        <f aca="false">IFERROR(IF(MID(raw_data!C364,3,1)="/",DATE(VALUE(RIGHT(raw_data!C364,4)),VALUE(LEFT(raw_data!C364,2)),VALUE(MID(raw_data!C364,4,2))),IF(MID(raw_data!C364,3,1)="-",DATE(VALUE(RIGHT(raw_data!C364,4)),VALUE(MID(raw_data!C364,4,2)),VALUE(LEFT(raw_data!C364,2))),IF(MID(raw_data!C364,5,1)="-",DATE(VALUE(LEFT(raw_data!C364,4)),VALUE(MID(raw_data!C364,6,2)),VALUE(RIGHT(raw_data!C364,2))),DATE(VALUE(RIGHT(raw_data!C364,4)),MATCH(MID(raw_data!C364,4,3),{"Jan","Feb","Mar","Apr","May","Jun","Jul","Aug","Sep","Oct","Nov","Dec"},0),VALUE(LEFT(raw_data!C364,2)))))),"")</f>
        <v>45529</v>
      </c>
      <c r="D364" s="3" t="str">
        <f aca="false">IF(TRIM(raw_data!B364)="","Missing",IF(B364="","Invalid/Unrecognized","Valid"))</f>
        <v>Valid</v>
      </c>
      <c r="E364" s="3" t="str">
        <f aca="false">IF(TRIM(raw_data!C364)="","Missing",IF(C364="","Invalid/Unrecognized","Valid"))</f>
        <v>Valid</v>
      </c>
      <c r="F364" s="5" t="n">
        <f aca="false">IF(OR(B364="",C364=""),"",C364-B364)</f>
        <v>2</v>
      </c>
      <c r="G364" s="3" t="str">
        <f aca="false">IF(F364="","N/A",IF(F364&lt;0,"Invalid - Ship Before Order","OK"))</f>
        <v>OK</v>
      </c>
      <c r="H364" s="3" t="str">
        <f aca="false">raw_data!D364</f>
        <v>CUST-6755</v>
      </c>
      <c r="I364" s="3" t="str">
        <f aca="false">PROPER(TRIM(raw_data!E364))</f>
        <v>Vikram Iyer</v>
      </c>
      <c r="J364" s="3" t="str">
        <f aca="false">PROPER(TRIM(raw_data!F364))</f>
        <v>Consumer</v>
      </c>
      <c r="K364" s="3" t="str">
        <f aca="false">IF(TRIM(raw_data!G364)="","Unknown",PROPER(TRIM(raw_data!G364)))</f>
        <v>West</v>
      </c>
      <c r="L364" s="3" t="str">
        <f aca="false">IF(TRIM(raw_data!G364)="","Filled - Unknown","OK")</f>
        <v>OK</v>
      </c>
      <c r="M364" s="3" t="str">
        <f aca="false">PROPER(TRIM(raw_data!H364))</f>
        <v>Goa</v>
      </c>
      <c r="N364" s="3" t="str">
        <f aca="false">PROPER(TRIM(raw_data!I364))</f>
        <v>Panaji</v>
      </c>
      <c r="O364" s="3" t="str">
        <f aca="false">PROPER(TRIM(raw_data!J364))</f>
        <v>Technology</v>
      </c>
      <c r="P364" s="3" t="str">
        <f aca="false">PROPER(TRIM(raw_data!K364))</f>
        <v>Machines</v>
      </c>
      <c r="Q364" s="3" t="str">
        <f aca="false">TRIM(raw_data!L364)</f>
        <v>Elite Machines 216</v>
      </c>
      <c r="R364" s="3" t="str">
        <f aca="false">IF(TRIM(raw_data!M364)="","Unknown",PROPER(TRIM(raw_data!M364)))</f>
        <v>Same Day</v>
      </c>
      <c r="S364" s="3" t="str">
        <f aca="false">IF(TRIM(raw_data!M364)="","Filled - Unknown","OK")</f>
        <v>OK</v>
      </c>
      <c r="T364" s="6" t="n">
        <f aca="false">raw_data!N364</f>
        <v>4</v>
      </c>
      <c r="U364" s="7" t="n">
        <f aca="false">raw_data!O364</f>
        <v>491.16</v>
      </c>
      <c r="V364" s="8" t="n">
        <f aca="false">raw_data!P364</f>
        <v>0.05</v>
      </c>
      <c r="W364" s="8" t="n">
        <f aca="false">IF(raw_data!P364="",0,IF(ISTEXT(raw_data!P364),IF(RIGHT(raw_data!P364,1)="%",VALUE(LEFT(raw_data!P364,LEN(raw_data!P364)-1))/100,VALUE(raw_data!P364)),raw_data!P364))</f>
        <v>0.05</v>
      </c>
      <c r="X364" s="3" t="str">
        <f aca="false">IF(raw_data!P364="","Missing - Defaulted to 0",IF(W364&lt;0,"Negative - Invalid",IF(W364&gt;0.3,"Above Allowed Range - Invalid","Valid")))</f>
        <v>Valid</v>
      </c>
      <c r="Y364" s="7" t="n">
        <f aca="false">raw_data!Q364</f>
        <v>1866.41</v>
      </c>
      <c r="Z364" s="7" t="n">
        <f aca="false">raw_data!R364</f>
        <v>1576.49</v>
      </c>
      <c r="AA364" s="7" t="n">
        <f aca="false">raw_data!S364</f>
        <v>289.92</v>
      </c>
      <c r="AB364" s="3" t="str">
        <f aca="false">PROPER(TRIM(raw_data!T364))</f>
        <v>Paid</v>
      </c>
      <c r="AC364" s="3" t="str">
        <f aca="false">PROPER(TRIM(raw_data!U364))</f>
        <v>Completed</v>
      </c>
      <c r="AD364" s="7" t="n">
        <f aca="false">T364*U364*(1-W364)</f>
        <v>1866.408</v>
      </c>
      <c r="AE364" s="7" t="n">
        <f aca="false">AD364-Z364</f>
        <v>289.918</v>
      </c>
      <c r="AF364" s="8" t="n">
        <f aca="false">IF(AD364=0,0,AE364/AD364)</f>
        <v>0.155334739242438</v>
      </c>
      <c r="AG364" s="3" t="str">
        <f aca="false">IF(ABS(Y364-AD364)&gt;1,"Mismatch","OK")</f>
        <v>OK</v>
      </c>
      <c r="AH364" s="3" t="str">
        <f aca="false">IF(ABS(AA364-AE364)&gt;1,"Mismatch","OK")</f>
        <v>OK</v>
      </c>
      <c r="AI364" s="6" t="n">
        <f aca="false">IF(B364="","",MONTH(B364))</f>
        <v>8</v>
      </c>
      <c r="AJ364" s="6" t="n">
        <f aca="false">IF(B364="","",YEAR(B364))</f>
        <v>2024</v>
      </c>
      <c r="AK364" s="3" t="str">
        <f aca="false">IF(COUNTIF(raw_data!$A$2:$A$913,A364)&gt;1,"Conflicting Duplicate - Flagged for Review","Unique")</f>
        <v>Unique</v>
      </c>
      <c r="AL364" s="3" t="str">
        <f aca="false">IF(AB364="Refunded","Yes","No")</f>
        <v>No</v>
      </c>
      <c r="AM364" s="3" t="str">
        <f aca="false">IF(OR(AC364&lt;&gt;"Completed",AB364="Failed"),"Excluded","Included")</f>
        <v>Included</v>
      </c>
      <c r="AN364" s="3" t="str">
        <f aca="false">IF(OR(D364="Invalid/Unrecognized",E364="Invalid/Unrecognized",G364="Invalid - Ship Before Order",X364="Negative - Invalid",X364="Above Allowed Range - Invalid",AG364="Mismatch",AH364="Mismatch",AK364="Conflicting Duplicate - Flagged for Review"),"Invalid",IF(OR(L364="Filled - Unknown",S364="Filled - Unknown",X364="Missing - Defaulted to 0",AL364="Yes",AC364="Cancelled",AC364="Returned"),"Warning","Clean"))</f>
        <v>Clean</v>
      </c>
    </row>
    <row r="365" customFormat="false" ht="15" hidden="false" customHeight="false" outlineLevel="0" collapsed="false">
      <c r="A365" s="3" t="str">
        <f aca="false">raw_data!A365</f>
        <v>ORD-2025-10364</v>
      </c>
      <c r="B365" s="4" t="n">
        <f aca="false">IFERROR(IF(MID(raw_data!B365,3,1)="/",DATE(VALUE(RIGHT(raw_data!B365,4)),VALUE(LEFT(raw_data!B365,2)),VALUE(MID(raw_data!B365,4,2))),IF(MID(raw_data!B365,3,1)="-",DATE(VALUE(RIGHT(raw_data!B365,4)),VALUE(MID(raw_data!B365,4,2)),VALUE(LEFT(raw_data!B365,2))),IF(MID(raw_data!B365,5,1)="-",DATE(VALUE(LEFT(raw_data!B365,4)),VALUE(MID(raw_data!B365,6,2)),VALUE(RIGHT(raw_data!B365,2))),DATE(VALUE(RIGHT(raw_data!B365,4)),MATCH(MID(raw_data!B365,4,3),{"Jan","Feb","Mar","Apr","May","Jun","Jul","Aug","Sep","Oct","Nov","Dec"},0),VALUE(LEFT(raw_data!B365,2)))))),"")</f>
        <v>45845</v>
      </c>
      <c r="C365" s="4" t="n">
        <f aca="false">IFERROR(IF(MID(raw_data!C365,3,1)="/",DATE(VALUE(RIGHT(raw_data!C365,4)),VALUE(LEFT(raw_data!C365,2)),VALUE(MID(raw_data!C365,4,2))),IF(MID(raw_data!C365,3,1)="-",DATE(VALUE(RIGHT(raw_data!C365,4)),VALUE(MID(raw_data!C365,4,2)),VALUE(LEFT(raw_data!C365,2))),IF(MID(raw_data!C365,5,1)="-",DATE(VALUE(LEFT(raw_data!C365,4)),VALUE(MID(raw_data!C365,6,2)),VALUE(RIGHT(raw_data!C365,2))),DATE(VALUE(RIGHT(raw_data!C365,4)),MATCH(MID(raw_data!C365,4,3),{"Jan","Feb","Mar","Apr","May","Jun","Jul","Aug","Sep","Oct","Nov","Dec"},0),VALUE(LEFT(raw_data!C365,2)))))),"")</f>
        <v>45850</v>
      </c>
      <c r="D365" s="3" t="str">
        <f aca="false">IF(TRIM(raw_data!B365)="","Missing",IF(B365="","Invalid/Unrecognized","Valid"))</f>
        <v>Valid</v>
      </c>
      <c r="E365" s="3" t="str">
        <f aca="false">IF(TRIM(raw_data!C365)="","Missing",IF(C365="","Invalid/Unrecognized","Valid"))</f>
        <v>Valid</v>
      </c>
      <c r="F365" s="5" t="n">
        <f aca="false">IF(OR(B365="",C365=""),"",C365-B365)</f>
        <v>5</v>
      </c>
      <c r="G365" s="3" t="str">
        <f aca="false">IF(F365="","N/A",IF(F365&lt;0,"Invalid - Ship Before Order","OK"))</f>
        <v>OK</v>
      </c>
      <c r="H365" s="3" t="str">
        <f aca="false">raw_data!D365</f>
        <v>CUST-1832</v>
      </c>
      <c r="I365" s="3" t="str">
        <f aca="false">PROPER(TRIM(raw_data!E365))</f>
        <v>Diya Patel</v>
      </c>
      <c r="J365" s="3" t="str">
        <f aca="false">PROPER(TRIM(raw_data!F365))</f>
        <v>Corporate</v>
      </c>
      <c r="K365" s="3" t="str">
        <f aca="false">IF(TRIM(raw_data!G365)="","Unknown",PROPER(TRIM(raw_data!G365)))</f>
        <v>East</v>
      </c>
      <c r="L365" s="3" t="str">
        <f aca="false">IF(TRIM(raw_data!G365)="","Filled - Unknown","OK")</f>
        <v>OK</v>
      </c>
      <c r="M365" s="3" t="str">
        <f aca="false">PROPER(TRIM(raw_data!H365))</f>
        <v>West Bengal</v>
      </c>
      <c r="N365" s="3" t="str">
        <f aca="false">PROPER(TRIM(raw_data!I365))</f>
        <v>Kolkata</v>
      </c>
      <c r="O365" s="3" t="str">
        <f aca="false">PROPER(TRIM(raw_data!J365))</f>
        <v>Furniture</v>
      </c>
      <c r="P365" s="3" t="str">
        <f aca="false">PROPER(TRIM(raw_data!K365))</f>
        <v>Tables</v>
      </c>
      <c r="Q365" s="3" t="str">
        <f aca="false">TRIM(raw_data!L365)</f>
        <v>Smart Tables 943</v>
      </c>
      <c r="R365" s="3" t="str">
        <f aca="false">IF(TRIM(raw_data!M365)="","Unknown",PROPER(TRIM(raw_data!M365)))</f>
        <v>Second Class</v>
      </c>
      <c r="S365" s="3" t="str">
        <f aca="false">IF(TRIM(raw_data!M365)="","Filled - Unknown","OK")</f>
        <v>OK</v>
      </c>
      <c r="T365" s="6" t="n">
        <f aca="false">raw_data!N365</f>
        <v>5</v>
      </c>
      <c r="U365" s="7" t="n">
        <f aca="false">raw_data!O365</f>
        <v>1831.37</v>
      </c>
      <c r="V365" s="8" t="n">
        <f aca="false">raw_data!P365</f>
        <v>0.25</v>
      </c>
      <c r="W365" s="8" t="n">
        <f aca="false">IF(raw_data!P365="",0,IF(ISTEXT(raw_data!P365),IF(RIGHT(raw_data!P365,1)="%",VALUE(LEFT(raw_data!P365,LEN(raw_data!P365)-1))/100,VALUE(raw_data!P365)),raw_data!P365))</f>
        <v>0.25</v>
      </c>
      <c r="X365" s="3" t="str">
        <f aca="false">IF(raw_data!P365="","Missing - Defaulted to 0",IF(W365&lt;0,"Negative - Invalid",IF(W365&gt;0.3,"Above Allowed Range - Invalid","Valid")))</f>
        <v>Valid</v>
      </c>
      <c r="Y365" s="7" t="n">
        <f aca="false">raw_data!Q365</f>
        <v>6867.64</v>
      </c>
      <c r="Z365" s="7" t="n">
        <f aca="false">raw_data!R365</f>
        <v>5205.36</v>
      </c>
      <c r="AA365" s="7" t="n">
        <f aca="false">raw_data!S365</f>
        <v>1662.28</v>
      </c>
      <c r="AB365" s="3" t="str">
        <f aca="false">PROPER(TRIM(raw_data!T365))</f>
        <v>Paid</v>
      </c>
      <c r="AC365" s="3" t="str">
        <f aca="false">PROPER(TRIM(raw_data!U365))</f>
        <v>Completed</v>
      </c>
      <c r="AD365" s="7" t="n">
        <f aca="false">T365*U365*(1-W365)</f>
        <v>6867.6375</v>
      </c>
      <c r="AE365" s="7" t="n">
        <f aca="false">AD365-Z365</f>
        <v>1662.2775</v>
      </c>
      <c r="AF365" s="8" t="n">
        <f aca="false">IF(AD365=0,0,AE365/AD365)</f>
        <v>0.242045026401</v>
      </c>
      <c r="AG365" s="3" t="str">
        <f aca="false">IF(ABS(Y365-AD365)&gt;1,"Mismatch","OK")</f>
        <v>OK</v>
      </c>
      <c r="AH365" s="3" t="str">
        <f aca="false">IF(ABS(AA365-AE365)&gt;1,"Mismatch","OK")</f>
        <v>OK</v>
      </c>
      <c r="AI365" s="6" t="n">
        <f aca="false">IF(B365="","",MONTH(B365))</f>
        <v>7</v>
      </c>
      <c r="AJ365" s="6" t="n">
        <f aca="false">IF(B365="","",YEAR(B365))</f>
        <v>2025</v>
      </c>
      <c r="AK365" s="3" t="str">
        <f aca="false">IF(COUNTIF(raw_data!$A$2:$A$913,A365)&gt;1,"Conflicting Duplicate - Flagged for Review","Unique")</f>
        <v>Unique</v>
      </c>
      <c r="AL365" s="3" t="str">
        <f aca="false">IF(AB365="Refunded","Yes","No")</f>
        <v>No</v>
      </c>
      <c r="AM365" s="3" t="str">
        <f aca="false">IF(OR(AC365&lt;&gt;"Completed",AB365="Failed"),"Excluded","Included")</f>
        <v>Included</v>
      </c>
      <c r="AN365" s="3" t="str">
        <f aca="false">IF(OR(D365="Invalid/Unrecognized",E365="Invalid/Unrecognized",G365="Invalid - Ship Before Order",X365="Negative - Invalid",X365="Above Allowed Range - Invalid",AG365="Mismatch",AH365="Mismatch",AK365="Conflicting Duplicate - Flagged for Review"),"Invalid",IF(OR(L365="Filled - Unknown",S365="Filled - Unknown",X365="Missing - Defaulted to 0",AL365="Yes",AC365="Cancelled",AC365="Returned"),"Warning","Clean"))</f>
        <v>Clean</v>
      </c>
    </row>
    <row r="366" customFormat="false" ht="15" hidden="false" customHeight="false" outlineLevel="0" collapsed="false">
      <c r="A366" s="3" t="str">
        <f aca="false">raw_data!A366</f>
        <v>ORD-2025-10365</v>
      </c>
      <c r="B366" s="4" t="n">
        <f aca="false">IFERROR(IF(MID(raw_data!B366,3,1)="/",DATE(VALUE(RIGHT(raw_data!B366,4)),VALUE(LEFT(raw_data!B366,2)),VALUE(MID(raw_data!B366,4,2))),IF(MID(raw_data!B366,3,1)="-",DATE(VALUE(RIGHT(raw_data!B366,4)),VALUE(MID(raw_data!B366,4,2)),VALUE(LEFT(raw_data!B366,2))),IF(MID(raw_data!B366,5,1)="-",DATE(VALUE(LEFT(raw_data!B366,4)),VALUE(MID(raw_data!B366,6,2)),VALUE(RIGHT(raw_data!B366,2))),DATE(VALUE(RIGHT(raw_data!B366,4)),MATCH(MID(raw_data!B366,4,3),{"Jan","Feb","Mar","Apr","May","Jun","Jul","Aug","Sep","Oct","Nov","Dec"},0),VALUE(LEFT(raw_data!B366,2)))))),"")</f>
        <v>45737</v>
      </c>
      <c r="C366" s="4" t="n">
        <f aca="false">IFERROR(IF(MID(raw_data!C366,3,1)="/",DATE(VALUE(RIGHT(raw_data!C366,4)),VALUE(LEFT(raw_data!C366,2)),VALUE(MID(raw_data!C366,4,2))),IF(MID(raw_data!C366,3,1)="-",DATE(VALUE(RIGHT(raw_data!C366,4)),VALUE(MID(raw_data!C366,4,2)),VALUE(LEFT(raw_data!C366,2))),IF(MID(raw_data!C366,5,1)="-",DATE(VALUE(LEFT(raw_data!C366,4)),VALUE(MID(raw_data!C366,6,2)),VALUE(RIGHT(raw_data!C366,2))),DATE(VALUE(RIGHT(raw_data!C366,4)),MATCH(MID(raw_data!C366,4,3),{"Jan","Feb","Mar","Apr","May","Jun","Jul","Aug","Sep","Oct","Nov","Dec"},0),VALUE(LEFT(raw_data!C366,2)))))),"")</f>
        <v>45740</v>
      </c>
      <c r="D366" s="3" t="str">
        <f aca="false">IF(TRIM(raw_data!B366)="","Missing",IF(B366="","Invalid/Unrecognized","Valid"))</f>
        <v>Valid</v>
      </c>
      <c r="E366" s="3" t="str">
        <f aca="false">IF(TRIM(raw_data!C366)="","Missing",IF(C366="","Invalid/Unrecognized","Valid"))</f>
        <v>Valid</v>
      </c>
      <c r="F366" s="5" t="n">
        <f aca="false">IF(OR(B366="",C366=""),"",C366-B366)</f>
        <v>3</v>
      </c>
      <c r="G366" s="3" t="str">
        <f aca="false">IF(F366="","N/A",IF(F366&lt;0,"Invalid - Ship Before Order","OK"))</f>
        <v>OK</v>
      </c>
      <c r="H366" s="3" t="str">
        <f aca="false">raw_data!D366</f>
        <v>CUST-4452</v>
      </c>
      <c r="I366" s="3" t="str">
        <f aca="false">PROPER(TRIM(raw_data!E366))</f>
        <v>Aarav Sharma</v>
      </c>
      <c r="J366" s="3" t="str">
        <f aca="false">PROPER(TRIM(raw_data!F366))</f>
        <v>Small Business</v>
      </c>
      <c r="K366" s="3" t="str">
        <f aca="false">IF(TRIM(raw_data!G366)="","Unknown",PROPER(TRIM(raw_data!G366)))</f>
        <v>South</v>
      </c>
      <c r="L366" s="3" t="str">
        <f aca="false">IF(TRIM(raw_data!G366)="","Filled - Unknown","OK")</f>
        <v>OK</v>
      </c>
      <c r="M366" s="3" t="str">
        <f aca="false">PROPER(TRIM(raw_data!H366))</f>
        <v>Andhra Pradesh</v>
      </c>
      <c r="N366" s="3" t="str">
        <f aca="false">PROPER(TRIM(raw_data!I366))</f>
        <v>Vijayawada</v>
      </c>
      <c r="O366" s="3" t="str">
        <f aca="false">PROPER(TRIM(raw_data!J366))</f>
        <v>Furniture</v>
      </c>
      <c r="P366" s="3" t="str">
        <f aca="false">PROPER(TRIM(raw_data!K366))</f>
        <v>Chairs</v>
      </c>
      <c r="Q366" s="3" t="str">
        <f aca="false">TRIM(raw_data!L366)</f>
        <v>Prime Chairs 101</v>
      </c>
      <c r="R366" s="3" t="str">
        <f aca="false">IF(TRIM(raw_data!M366)="","Unknown",PROPER(TRIM(raw_data!M366)))</f>
        <v>Second Class</v>
      </c>
      <c r="S366" s="3" t="str">
        <f aca="false">IF(TRIM(raw_data!M366)="","Filled - Unknown","OK")</f>
        <v>OK</v>
      </c>
      <c r="T366" s="6" t="n">
        <f aca="false">raw_data!N366</f>
        <v>5</v>
      </c>
      <c r="U366" s="7" t="n">
        <f aca="false">raw_data!O366</f>
        <v>1239.15</v>
      </c>
      <c r="V366" s="8" t="n">
        <f aca="false">raw_data!P366</f>
        <v>0</v>
      </c>
      <c r="W366" s="8" t="n">
        <f aca="false">IF(raw_data!P366="",0,IF(ISTEXT(raw_data!P366),IF(RIGHT(raw_data!P366,1)="%",VALUE(LEFT(raw_data!P366,LEN(raw_data!P366)-1))/100,VALUE(raw_data!P366)),raw_data!P366))</f>
        <v>0</v>
      </c>
      <c r="X366" s="3" t="str">
        <f aca="false">IF(raw_data!P366="","Missing - Defaulted to 0",IF(W366&lt;0,"Negative - Invalid",IF(W366&gt;0.3,"Above Allowed Range - Invalid","Valid")))</f>
        <v>Valid</v>
      </c>
      <c r="Y366" s="7" t="n">
        <f aca="false">raw_data!Q366</f>
        <v>6195.75</v>
      </c>
      <c r="Z366" s="7" t="n">
        <f aca="false">raw_data!R366</f>
        <v>3967.02</v>
      </c>
      <c r="AA366" s="7" t="n">
        <f aca="false">raw_data!S366</f>
        <v>2228.73</v>
      </c>
      <c r="AB366" s="3" t="str">
        <f aca="false">PROPER(TRIM(raw_data!T366))</f>
        <v>Paid</v>
      </c>
      <c r="AC366" s="3" t="str">
        <f aca="false">PROPER(TRIM(raw_data!U366))</f>
        <v>Completed</v>
      </c>
      <c r="AD366" s="7" t="n">
        <f aca="false">T366*U366*(1-W366)</f>
        <v>6195.75</v>
      </c>
      <c r="AE366" s="7" t="n">
        <f aca="false">AD366-Z366</f>
        <v>2228.73</v>
      </c>
      <c r="AF366" s="8" t="n">
        <f aca="false">IF(AD366=0,0,AE366/AD366)</f>
        <v>0.359719162329016</v>
      </c>
      <c r="AG366" s="3" t="str">
        <f aca="false">IF(ABS(Y366-AD366)&gt;1,"Mismatch","OK")</f>
        <v>OK</v>
      </c>
      <c r="AH366" s="3" t="str">
        <f aca="false">IF(ABS(AA366-AE366)&gt;1,"Mismatch","OK")</f>
        <v>OK</v>
      </c>
      <c r="AI366" s="6" t="n">
        <f aca="false">IF(B366="","",MONTH(B366))</f>
        <v>3</v>
      </c>
      <c r="AJ366" s="6" t="n">
        <f aca="false">IF(B366="","",YEAR(B366))</f>
        <v>2025</v>
      </c>
      <c r="AK366" s="3" t="str">
        <f aca="false">IF(COUNTIF(raw_data!$A$2:$A$913,A366)&gt;1,"Conflicting Duplicate - Flagged for Review","Unique")</f>
        <v>Unique</v>
      </c>
      <c r="AL366" s="3" t="str">
        <f aca="false">IF(AB366="Refunded","Yes","No")</f>
        <v>No</v>
      </c>
      <c r="AM366" s="3" t="str">
        <f aca="false">IF(OR(AC366&lt;&gt;"Completed",AB366="Failed"),"Excluded","Included")</f>
        <v>Included</v>
      </c>
      <c r="AN366" s="3" t="str">
        <f aca="false">IF(OR(D366="Invalid/Unrecognized",E366="Invalid/Unrecognized",G366="Invalid - Ship Before Order",X366="Negative - Invalid",X366="Above Allowed Range - Invalid",AG366="Mismatch",AH366="Mismatch",AK366="Conflicting Duplicate - Flagged for Review"),"Invalid",IF(OR(L366="Filled - Unknown",S366="Filled - Unknown",X366="Missing - Defaulted to 0",AL366="Yes",AC366="Cancelled",AC366="Returned"),"Warning","Clean"))</f>
        <v>Clean</v>
      </c>
    </row>
    <row r="367" customFormat="false" ht="15" hidden="false" customHeight="false" outlineLevel="0" collapsed="false">
      <c r="A367" s="3" t="str">
        <f aca="false">raw_data!A367</f>
        <v>ORD-2024-10366</v>
      </c>
      <c r="B367" s="4" t="n">
        <f aca="false">IFERROR(IF(MID(raw_data!B367,3,1)="/",DATE(VALUE(RIGHT(raw_data!B367,4)),VALUE(LEFT(raw_data!B367,2)),VALUE(MID(raw_data!B367,4,2))),IF(MID(raw_data!B367,3,1)="-",DATE(VALUE(RIGHT(raw_data!B367,4)),VALUE(MID(raw_data!B367,4,2)),VALUE(LEFT(raw_data!B367,2))),IF(MID(raw_data!B367,5,1)="-",DATE(VALUE(LEFT(raw_data!B367,4)),VALUE(MID(raw_data!B367,6,2)),VALUE(RIGHT(raw_data!B367,2))),DATE(VALUE(RIGHT(raw_data!B367,4)),MATCH(MID(raw_data!B367,4,3),{"Jan","Feb","Mar","Apr","May","Jun","Jul","Aug","Sep","Oct","Nov","Dec"},0),VALUE(LEFT(raw_data!B367,2)))))),"")</f>
        <v>45458</v>
      </c>
      <c r="C367" s="4" t="n">
        <f aca="false">IFERROR(IF(MID(raw_data!C367,3,1)="/",DATE(VALUE(RIGHT(raw_data!C367,4)),VALUE(LEFT(raw_data!C367,2)),VALUE(MID(raw_data!C367,4,2))),IF(MID(raw_data!C367,3,1)="-",DATE(VALUE(RIGHT(raw_data!C367,4)),VALUE(MID(raw_data!C367,4,2)),VALUE(LEFT(raw_data!C367,2))),IF(MID(raw_data!C367,5,1)="-",DATE(VALUE(LEFT(raw_data!C367,4)),VALUE(MID(raw_data!C367,6,2)),VALUE(RIGHT(raw_data!C367,2))),DATE(VALUE(RIGHT(raw_data!C367,4)),MATCH(MID(raw_data!C367,4,3),{"Jan","Feb","Mar","Apr","May","Jun","Jul","Aug","Sep","Oct","Nov","Dec"},0),VALUE(LEFT(raw_data!C367,2)))))),"")</f>
        <v>45464</v>
      </c>
      <c r="D367" s="3" t="str">
        <f aca="false">IF(TRIM(raw_data!B367)="","Missing",IF(B367="","Invalid/Unrecognized","Valid"))</f>
        <v>Valid</v>
      </c>
      <c r="E367" s="3" t="str">
        <f aca="false">IF(TRIM(raw_data!C367)="","Missing",IF(C367="","Invalid/Unrecognized","Valid"))</f>
        <v>Valid</v>
      </c>
      <c r="F367" s="5" t="n">
        <f aca="false">IF(OR(B367="",C367=""),"",C367-B367)</f>
        <v>6</v>
      </c>
      <c r="G367" s="3" t="str">
        <f aca="false">IF(F367="","N/A",IF(F367&lt;0,"Invalid - Ship Before Order","OK"))</f>
        <v>OK</v>
      </c>
      <c r="H367" s="3" t="str">
        <f aca="false">raw_data!D367</f>
        <v>CUST-2203</v>
      </c>
      <c r="I367" s="3" t="str">
        <f aca="false">PROPER(TRIM(raw_data!E367))</f>
        <v>Aditi Sen</v>
      </c>
      <c r="J367" s="3" t="str">
        <f aca="false">PROPER(TRIM(raw_data!F367))</f>
        <v>Corporate</v>
      </c>
      <c r="K367" s="3" t="str">
        <f aca="false">IF(TRIM(raw_data!G367)="","Unknown",PROPER(TRIM(raw_data!G367)))</f>
        <v>West</v>
      </c>
      <c r="L367" s="3" t="str">
        <f aca="false">IF(TRIM(raw_data!G367)="","Filled - Unknown","OK")</f>
        <v>OK</v>
      </c>
      <c r="M367" s="3" t="str">
        <f aca="false">PROPER(TRIM(raw_data!H367))</f>
        <v>Goa</v>
      </c>
      <c r="N367" s="3" t="str">
        <f aca="false">PROPER(TRIM(raw_data!I367))</f>
        <v>Panaji</v>
      </c>
      <c r="O367" s="3" t="str">
        <f aca="false">PROPER(TRIM(raw_data!J367))</f>
        <v>Technology</v>
      </c>
      <c r="P367" s="3" t="str">
        <f aca="false">PROPER(TRIM(raw_data!K367))</f>
        <v>Accessories</v>
      </c>
      <c r="Q367" s="3" t="str">
        <f aca="false">TRIM(raw_data!L367)</f>
        <v>Basic Accessories 774</v>
      </c>
      <c r="R367" s="3" t="str">
        <f aca="false">IF(TRIM(raw_data!M367)="","Unknown",PROPER(TRIM(raw_data!M367)))</f>
        <v>First Class</v>
      </c>
      <c r="S367" s="3" t="str">
        <f aca="false">IF(TRIM(raw_data!M367)="","Filled - Unknown","OK")</f>
        <v>OK</v>
      </c>
      <c r="T367" s="6" t="n">
        <f aca="false">raw_data!N367</f>
        <v>8</v>
      </c>
      <c r="U367" s="7" t="n">
        <f aca="false">raw_data!O367</f>
        <v>1706.4</v>
      </c>
      <c r="V367" s="8" t="n">
        <f aca="false">raw_data!P367</f>
        <v>0</v>
      </c>
      <c r="W367" s="8" t="n">
        <f aca="false">IF(raw_data!P367="",0,IF(ISTEXT(raw_data!P367),IF(RIGHT(raw_data!P367,1)="%",VALUE(LEFT(raw_data!P367,LEN(raw_data!P367)-1))/100,VALUE(raw_data!P367)),raw_data!P367))</f>
        <v>0</v>
      </c>
      <c r="X367" s="3" t="str">
        <f aca="false">IF(raw_data!P367="","Missing - Defaulted to 0",IF(W367&lt;0,"Negative - Invalid",IF(W367&gt;0.3,"Above Allowed Range - Invalid","Valid")))</f>
        <v>Missing - Defaulted to 0</v>
      </c>
      <c r="Y367" s="7" t="n">
        <f aca="false">raw_data!Q367</f>
        <v>12968.64</v>
      </c>
      <c r="Z367" s="7" t="n">
        <f aca="false">raw_data!R367</f>
        <v>10119.61</v>
      </c>
      <c r="AA367" s="7" t="n">
        <f aca="false">raw_data!S367</f>
        <v>2849.03</v>
      </c>
      <c r="AB367" s="3" t="str">
        <f aca="false">PROPER(TRIM(raw_data!T367))</f>
        <v>Paid</v>
      </c>
      <c r="AC367" s="3" t="str">
        <f aca="false">PROPER(TRIM(raw_data!U367))</f>
        <v>Completed</v>
      </c>
      <c r="AD367" s="7" t="n">
        <f aca="false">T367*U367*(1-W367)</f>
        <v>13651.2</v>
      </c>
      <c r="AE367" s="7" t="n">
        <f aca="false">AD367-Z367</f>
        <v>3531.59</v>
      </c>
      <c r="AF367" s="8" t="n">
        <f aca="false">IF(AD367=0,0,AE367/AD367)</f>
        <v>0.258701799109236</v>
      </c>
      <c r="AG367" s="3" t="str">
        <f aca="false">IF(ABS(Y367-AD367)&gt;1,"Mismatch","OK")</f>
        <v>Mismatch</v>
      </c>
      <c r="AH367" s="3" t="str">
        <f aca="false">IF(ABS(AA367-AE367)&gt;1,"Mismatch","OK")</f>
        <v>Mismatch</v>
      </c>
      <c r="AI367" s="6" t="n">
        <f aca="false">IF(B367="","",MONTH(B367))</f>
        <v>6</v>
      </c>
      <c r="AJ367" s="6" t="n">
        <f aca="false">IF(B367="","",YEAR(B367))</f>
        <v>2024</v>
      </c>
      <c r="AK367" s="3" t="str">
        <f aca="false">IF(COUNTIF(raw_data!$A$2:$A$913,A367)&gt;1,"Conflicting Duplicate - Flagged for Review","Unique")</f>
        <v>Unique</v>
      </c>
      <c r="AL367" s="3" t="str">
        <f aca="false">IF(AB367="Refunded","Yes","No")</f>
        <v>No</v>
      </c>
      <c r="AM367" s="3" t="str">
        <f aca="false">IF(OR(AC367&lt;&gt;"Completed",AB367="Failed"),"Excluded","Included")</f>
        <v>Included</v>
      </c>
      <c r="AN367" s="3" t="str">
        <f aca="false">IF(OR(D367="Invalid/Unrecognized",E367="Invalid/Unrecognized",G367="Invalid - Ship Before Order",X367="Negative - Invalid",X367="Above Allowed Range - Invalid",AG367="Mismatch",AH367="Mismatch",AK367="Conflicting Duplicate - Flagged for Review"),"Invalid",IF(OR(L367="Filled - Unknown",S367="Filled - Unknown",X367="Missing - Defaulted to 0",AL367="Yes",AC367="Cancelled",AC367="Returned"),"Warning","Clean"))</f>
        <v>Invalid</v>
      </c>
    </row>
    <row r="368" customFormat="false" ht="15" hidden="false" customHeight="false" outlineLevel="0" collapsed="false">
      <c r="A368" s="3" t="str">
        <f aca="false">raw_data!A368</f>
        <v>ORD-2025-10367</v>
      </c>
      <c r="B368" s="4" t="n">
        <f aca="false">IFERROR(IF(MID(raw_data!B368,3,1)="/",DATE(VALUE(RIGHT(raw_data!B368,4)),VALUE(LEFT(raw_data!B368,2)),VALUE(MID(raw_data!B368,4,2))),IF(MID(raw_data!B368,3,1)="-",DATE(VALUE(RIGHT(raw_data!B368,4)),VALUE(MID(raw_data!B368,4,2)),VALUE(LEFT(raw_data!B368,2))),IF(MID(raw_data!B368,5,1)="-",DATE(VALUE(LEFT(raw_data!B368,4)),VALUE(MID(raw_data!B368,6,2)),VALUE(RIGHT(raw_data!B368,2))),DATE(VALUE(RIGHT(raw_data!B368,4)),MATCH(MID(raw_data!B368,4,3),{"Jan","Feb","Mar","Apr","May","Jun","Jul","Aug","Sep","Oct","Nov","Dec"},0),VALUE(LEFT(raw_data!B368,2)))))),"")</f>
        <v>45673</v>
      </c>
      <c r="C368" s="4" t="n">
        <f aca="false">IFERROR(IF(MID(raw_data!C368,3,1)="/",DATE(VALUE(RIGHT(raw_data!C368,4)),VALUE(LEFT(raw_data!C368,2)),VALUE(MID(raw_data!C368,4,2))),IF(MID(raw_data!C368,3,1)="-",DATE(VALUE(RIGHT(raw_data!C368,4)),VALUE(MID(raw_data!C368,4,2)),VALUE(LEFT(raw_data!C368,2))),IF(MID(raw_data!C368,5,1)="-",DATE(VALUE(LEFT(raw_data!C368,4)),VALUE(MID(raw_data!C368,6,2)),VALUE(RIGHT(raw_data!C368,2))),DATE(VALUE(RIGHT(raw_data!C368,4)),MATCH(MID(raw_data!C368,4,3),{"Jan","Feb","Mar","Apr","May","Jun","Jul","Aug","Sep","Oct","Nov","Dec"},0),VALUE(LEFT(raw_data!C368,2)))))),"")</f>
        <v>45679</v>
      </c>
      <c r="D368" s="3" t="str">
        <f aca="false">IF(TRIM(raw_data!B368)="","Missing",IF(B368="","Invalid/Unrecognized","Valid"))</f>
        <v>Valid</v>
      </c>
      <c r="E368" s="3" t="str">
        <f aca="false">IF(TRIM(raw_data!C368)="","Missing",IF(C368="","Invalid/Unrecognized","Valid"))</f>
        <v>Valid</v>
      </c>
      <c r="F368" s="5" t="n">
        <f aca="false">IF(OR(B368="",C368=""),"",C368-B368)</f>
        <v>6</v>
      </c>
      <c r="G368" s="3" t="str">
        <f aca="false">IF(F368="","N/A",IF(F368&lt;0,"Invalid - Ship Before Order","OK"))</f>
        <v>OK</v>
      </c>
      <c r="H368" s="3" t="str">
        <f aca="false">raw_data!D368</f>
        <v>CUST-5397</v>
      </c>
      <c r="I368" s="3" t="str">
        <f aca="false">PROPER(TRIM(raw_data!E368))</f>
        <v>Sneha Kapoor</v>
      </c>
      <c r="J368" s="3" t="str">
        <f aca="false">PROPER(TRIM(raw_data!F368))</f>
        <v>Corporate</v>
      </c>
      <c r="K368" s="3" t="str">
        <f aca="false">IF(TRIM(raw_data!G368)="","Unknown",PROPER(TRIM(raw_data!G368)))</f>
        <v>North</v>
      </c>
      <c r="L368" s="3" t="str">
        <f aca="false">IF(TRIM(raw_data!G368)="","Filled - Unknown","OK")</f>
        <v>OK</v>
      </c>
      <c r="M368" s="3" t="str">
        <f aca="false">PROPER(TRIM(raw_data!H368))</f>
        <v>Rajasthan</v>
      </c>
      <c r="N368" s="3" t="str">
        <f aca="false">PROPER(TRIM(raw_data!I368))</f>
        <v>Jaipur</v>
      </c>
      <c r="O368" s="3" t="str">
        <f aca="false">PROPER(TRIM(raw_data!J368))</f>
        <v>Furniture</v>
      </c>
      <c r="P368" s="3" t="str">
        <f aca="false">PROPER(TRIM(raw_data!K368))</f>
        <v>Tables</v>
      </c>
      <c r="Q368" s="3" t="str">
        <f aca="false">TRIM(raw_data!L368)</f>
        <v>Max Tables 478</v>
      </c>
      <c r="R368" s="3" t="str">
        <f aca="false">IF(TRIM(raw_data!M368)="","Unknown",PROPER(TRIM(raw_data!M368)))</f>
        <v>Same Day</v>
      </c>
      <c r="S368" s="3" t="str">
        <f aca="false">IF(TRIM(raw_data!M368)="","Filled - Unknown","OK")</f>
        <v>OK</v>
      </c>
      <c r="T368" s="6" t="n">
        <f aca="false">raw_data!N368</f>
        <v>2</v>
      </c>
      <c r="U368" s="7" t="n">
        <f aca="false">raw_data!O368</f>
        <v>4418.28</v>
      </c>
      <c r="V368" s="8" t="n">
        <f aca="false">raw_data!P368</f>
        <v>0</v>
      </c>
      <c r="W368" s="8" t="n">
        <f aca="false">IF(raw_data!P368="",0,IF(ISTEXT(raw_data!P368),IF(RIGHT(raw_data!P368,1)="%",VALUE(LEFT(raw_data!P368,LEN(raw_data!P368)-1))/100,VALUE(raw_data!P368)),raw_data!P368))</f>
        <v>0</v>
      </c>
      <c r="X368" s="3" t="str">
        <f aca="false">IF(raw_data!P368="","Missing - Defaulted to 0",IF(W368&lt;0,"Negative - Invalid",IF(W368&gt;0.3,"Above Allowed Range - Invalid","Valid")))</f>
        <v>Valid</v>
      </c>
      <c r="Y368" s="7" t="n">
        <f aca="false">raw_data!Q368</f>
        <v>8836.56</v>
      </c>
      <c r="Z368" s="7" t="n">
        <f aca="false">raw_data!R368</f>
        <v>5867.75</v>
      </c>
      <c r="AA368" s="7" t="n">
        <f aca="false">raw_data!S368</f>
        <v>2968.81</v>
      </c>
      <c r="AB368" s="3" t="str">
        <f aca="false">PROPER(TRIM(raw_data!T368))</f>
        <v>Paid</v>
      </c>
      <c r="AC368" s="3" t="str">
        <f aca="false">PROPER(TRIM(raw_data!U368))</f>
        <v>Completed</v>
      </c>
      <c r="AD368" s="7" t="n">
        <f aca="false">T368*U368*(1-W368)</f>
        <v>8836.56</v>
      </c>
      <c r="AE368" s="7" t="n">
        <f aca="false">AD368-Z368</f>
        <v>2968.81</v>
      </c>
      <c r="AF368" s="8" t="n">
        <f aca="false">IF(AD368=0,0,AE368/AD368)</f>
        <v>0.33596897435201</v>
      </c>
      <c r="AG368" s="3" t="str">
        <f aca="false">IF(ABS(Y368-AD368)&gt;1,"Mismatch","OK")</f>
        <v>OK</v>
      </c>
      <c r="AH368" s="3" t="str">
        <f aca="false">IF(ABS(AA368-AE368)&gt;1,"Mismatch","OK")</f>
        <v>OK</v>
      </c>
      <c r="AI368" s="6" t="n">
        <f aca="false">IF(B368="","",MONTH(B368))</f>
        <v>1</v>
      </c>
      <c r="AJ368" s="6" t="n">
        <f aca="false">IF(B368="","",YEAR(B368))</f>
        <v>2025</v>
      </c>
      <c r="AK368" s="3" t="str">
        <f aca="false">IF(COUNTIF(raw_data!$A$2:$A$913,A368)&gt;1,"Conflicting Duplicate - Flagged for Review","Unique")</f>
        <v>Unique</v>
      </c>
      <c r="AL368" s="3" t="str">
        <f aca="false">IF(AB368="Refunded","Yes","No")</f>
        <v>No</v>
      </c>
      <c r="AM368" s="3" t="str">
        <f aca="false">IF(OR(AC368&lt;&gt;"Completed",AB368="Failed"),"Excluded","Included")</f>
        <v>Included</v>
      </c>
      <c r="AN368" s="3" t="str">
        <f aca="false">IF(OR(D368="Invalid/Unrecognized",E368="Invalid/Unrecognized",G368="Invalid - Ship Before Order",X368="Negative - Invalid",X368="Above Allowed Range - Invalid",AG368="Mismatch",AH368="Mismatch",AK368="Conflicting Duplicate - Flagged for Review"),"Invalid",IF(OR(L368="Filled - Unknown",S368="Filled - Unknown",X368="Missing - Defaulted to 0",AL368="Yes",AC368="Cancelled",AC368="Returned"),"Warning","Clean"))</f>
        <v>Clean</v>
      </c>
    </row>
    <row r="369" customFormat="false" ht="15" hidden="false" customHeight="false" outlineLevel="0" collapsed="false">
      <c r="A369" s="3" t="str">
        <f aca="false">raw_data!A369</f>
        <v>ORD-2024-10368</v>
      </c>
      <c r="B369" s="4" t="n">
        <f aca="false">IFERROR(IF(MID(raw_data!B369,3,1)="/",DATE(VALUE(RIGHT(raw_data!B369,4)),VALUE(LEFT(raw_data!B369,2)),VALUE(MID(raw_data!B369,4,2))),IF(MID(raw_data!B369,3,1)="-",DATE(VALUE(RIGHT(raw_data!B369,4)),VALUE(MID(raw_data!B369,4,2)),VALUE(LEFT(raw_data!B369,2))),IF(MID(raw_data!B369,5,1)="-",DATE(VALUE(LEFT(raw_data!B369,4)),VALUE(MID(raw_data!B369,6,2)),VALUE(RIGHT(raw_data!B369,2))),DATE(VALUE(RIGHT(raw_data!B369,4)),MATCH(MID(raw_data!B369,4,3),{"Jan","Feb","Mar","Apr","May","Jun","Jul","Aug","Sep","Oct","Nov","Dec"},0),VALUE(LEFT(raw_data!B369,2)))))),"")</f>
        <v>45366</v>
      </c>
      <c r="C369" s="4" t="n">
        <f aca="false">IFERROR(IF(MID(raw_data!C369,3,1)="/",DATE(VALUE(RIGHT(raw_data!C369,4)),VALUE(LEFT(raw_data!C369,2)),VALUE(MID(raw_data!C369,4,2))),IF(MID(raw_data!C369,3,1)="-",DATE(VALUE(RIGHT(raw_data!C369,4)),VALUE(MID(raw_data!C369,4,2)),VALUE(LEFT(raw_data!C369,2))),IF(MID(raw_data!C369,5,1)="-",DATE(VALUE(LEFT(raw_data!C369,4)),VALUE(MID(raw_data!C369,6,2)),VALUE(RIGHT(raw_data!C369,2))),DATE(VALUE(RIGHT(raw_data!C369,4)),MATCH(MID(raw_data!C369,4,3),{"Jan","Feb","Mar","Apr","May","Jun","Jul","Aug","Sep","Oct","Nov","Dec"},0),VALUE(LEFT(raw_data!C369,2)))))),"")</f>
        <v>45367</v>
      </c>
      <c r="D369" s="3" t="str">
        <f aca="false">IF(TRIM(raw_data!B369)="","Missing",IF(B369="","Invalid/Unrecognized","Valid"))</f>
        <v>Valid</v>
      </c>
      <c r="E369" s="3" t="str">
        <f aca="false">IF(TRIM(raw_data!C369)="","Missing",IF(C369="","Invalid/Unrecognized","Valid"))</f>
        <v>Valid</v>
      </c>
      <c r="F369" s="5" t="n">
        <f aca="false">IF(OR(B369="",C369=""),"",C369-B369)</f>
        <v>1</v>
      </c>
      <c r="G369" s="3" t="str">
        <f aca="false">IF(F369="","N/A",IF(F369&lt;0,"Invalid - Ship Before Order","OK"))</f>
        <v>OK</v>
      </c>
      <c r="H369" s="3" t="str">
        <f aca="false">raw_data!D369</f>
        <v>CUST-4696</v>
      </c>
      <c r="I369" s="3" t="str">
        <f aca="false">PROPER(TRIM(raw_data!E369))</f>
        <v>Rohan Mehta</v>
      </c>
      <c r="J369" s="3" t="str">
        <f aca="false">PROPER(TRIM(raw_data!F369))</f>
        <v>Consumer</v>
      </c>
      <c r="K369" s="3" t="str">
        <f aca="false">IF(TRIM(raw_data!G369)="","Unknown",PROPER(TRIM(raw_data!G369)))</f>
        <v>North</v>
      </c>
      <c r="L369" s="3" t="str">
        <f aca="false">IF(TRIM(raw_data!G369)="","Filled - Unknown","OK")</f>
        <v>OK</v>
      </c>
      <c r="M369" s="3" t="str">
        <f aca="false">PROPER(TRIM(raw_data!H369))</f>
        <v>Delhi</v>
      </c>
      <c r="N369" s="3" t="str">
        <f aca="false">PROPER(TRIM(raw_data!I369))</f>
        <v>New Delhi</v>
      </c>
      <c r="O369" s="3" t="str">
        <f aca="false">PROPER(TRIM(raw_data!J369))</f>
        <v>Office Supplies</v>
      </c>
      <c r="P369" s="3" t="str">
        <f aca="false">PROPER(TRIM(raw_data!K369))</f>
        <v>Art</v>
      </c>
      <c r="Q369" s="3" t="str">
        <f aca="false">TRIM(raw_data!L369)</f>
        <v>Eco Art 646</v>
      </c>
      <c r="R369" s="3" t="str">
        <f aca="false">IF(TRIM(raw_data!M369)="","Unknown",PROPER(TRIM(raw_data!M369)))</f>
        <v>Standard Class</v>
      </c>
      <c r="S369" s="3" t="str">
        <f aca="false">IF(TRIM(raw_data!M369)="","Filled - Unknown","OK")</f>
        <v>OK</v>
      </c>
      <c r="T369" s="6" t="n">
        <f aca="false">raw_data!N369</f>
        <v>6</v>
      </c>
      <c r="U369" s="7" t="n">
        <f aca="false">raw_data!O369</f>
        <v>3815.09</v>
      </c>
      <c r="V369" s="8" t="n">
        <f aca="false">raw_data!P369</f>
        <v>0.15</v>
      </c>
      <c r="W369" s="8" t="n">
        <f aca="false">IF(raw_data!P369="",0,IF(ISTEXT(raw_data!P369),IF(RIGHT(raw_data!P369,1)="%",VALUE(LEFT(raw_data!P369,LEN(raw_data!P369)-1))/100,VALUE(raw_data!P369)),raw_data!P369))</f>
        <v>0.15</v>
      </c>
      <c r="X369" s="3" t="str">
        <f aca="false">IF(raw_data!P369="","Missing - Defaulted to 0",IF(W369&lt;0,"Negative - Invalid",IF(W369&gt;0.3,"Above Allowed Range - Invalid","Valid")))</f>
        <v>Valid</v>
      </c>
      <c r="Y369" s="7" t="n">
        <f aca="false">raw_data!Q369</f>
        <v>19456.96</v>
      </c>
      <c r="Z369" s="7" t="n">
        <f aca="false">raw_data!R369</f>
        <v>14520.06</v>
      </c>
      <c r="AA369" s="7" t="n">
        <f aca="false">raw_data!S369</f>
        <v>4936.9</v>
      </c>
      <c r="AB369" s="3" t="str">
        <f aca="false">PROPER(TRIM(raw_data!T369))</f>
        <v>Failed</v>
      </c>
      <c r="AC369" s="3" t="str">
        <f aca="false">PROPER(TRIM(raw_data!U369))</f>
        <v>Cancelled</v>
      </c>
      <c r="AD369" s="7" t="n">
        <f aca="false">T369*U369*(1-W369)</f>
        <v>19456.959</v>
      </c>
      <c r="AE369" s="7" t="n">
        <f aca="false">AD369-Z369</f>
        <v>4936.899</v>
      </c>
      <c r="AF369" s="8" t="n">
        <f aca="false">IF(AD369=0,0,AE369/AD369)</f>
        <v>0.25373435797444</v>
      </c>
      <c r="AG369" s="3" t="str">
        <f aca="false">IF(ABS(Y369-AD369)&gt;1,"Mismatch","OK")</f>
        <v>OK</v>
      </c>
      <c r="AH369" s="3" t="str">
        <f aca="false">IF(ABS(AA369-AE369)&gt;1,"Mismatch","OK")</f>
        <v>OK</v>
      </c>
      <c r="AI369" s="6" t="n">
        <f aca="false">IF(B369="","",MONTH(B369))</f>
        <v>3</v>
      </c>
      <c r="AJ369" s="6" t="n">
        <f aca="false">IF(B369="","",YEAR(B369))</f>
        <v>2024</v>
      </c>
      <c r="AK369" s="3" t="str">
        <f aca="false">IF(COUNTIF(raw_data!$A$2:$A$913,A369)&gt;1,"Conflicting Duplicate - Flagged for Review","Unique")</f>
        <v>Unique</v>
      </c>
      <c r="AL369" s="3" t="str">
        <f aca="false">IF(AB369="Refunded","Yes","No")</f>
        <v>No</v>
      </c>
      <c r="AM369" s="3" t="str">
        <f aca="false">IF(OR(AC369&lt;&gt;"Completed",AB369="Failed"),"Excluded","Included")</f>
        <v>Excluded</v>
      </c>
      <c r="AN369" s="3" t="str">
        <f aca="false">IF(OR(D369="Invalid/Unrecognized",E369="Invalid/Unrecognized",G369="Invalid - Ship Before Order",X369="Negative - Invalid",X369="Above Allowed Range - Invalid",AG369="Mismatch",AH369="Mismatch",AK369="Conflicting Duplicate - Flagged for Review"),"Invalid",IF(OR(L369="Filled - Unknown",S369="Filled - Unknown",X369="Missing - Defaulted to 0",AL369="Yes",AC369="Cancelled",AC369="Returned"),"Warning","Clean"))</f>
        <v>Warning</v>
      </c>
    </row>
    <row r="370" customFormat="false" ht="15" hidden="false" customHeight="false" outlineLevel="0" collapsed="false">
      <c r="A370" s="3" t="str">
        <f aca="false">raw_data!A370</f>
        <v>ORD-2025-10369</v>
      </c>
      <c r="B370" s="4" t="n">
        <f aca="false">IFERROR(IF(MID(raw_data!B370,3,1)="/",DATE(VALUE(RIGHT(raw_data!B370,4)),VALUE(LEFT(raw_data!B370,2)),VALUE(MID(raw_data!B370,4,2))),IF(MID(raw_data!B370,3,1)="-",DATE(VALUE(RIGHT(raw_data!B370,4)),VALUE(MID(raw_data!B370,4,2)),VALUE(LEFT(raw_data!B370,2))),IF(MID(raw_data!B370,5,1)="-",DATE(VALUE(LEFT(raw_data!B370,4)),VALUE(MID(raw_data!B370,6,2)),VALUE(RIGHT(raw_data!B370,2))),DATE(VALUE(RIGHT(raw_data!B370,4)),MATCH(MID(raw_data!B370,4,3),{"Jan","Feb","Mar","Apr","May","Jun","Jul","Aug","Sep","Oct","Nov","Dec"},0),VALUE(LEFT(raw_data!B370,2)))))),"")</f>
        <v>45844</v>
      </c>
      <c r="C370" s="4" t="n">
        <f aca="false">IFERROR(IF(MID(raw_data!C370,3,1)="/",DATE(VALUE(RIGHT(raw_data!C370,4)),VALUE(LEFT(raw_data!C370,2)),VALUE(MID(raw_data!C370,4,2))),IF(MID(raw_data!C370,3,1)="-",DATE(VALUE(RIGHT(raw_data!C370,4)),VALUE(MID(raw_data!C370,4,2)),VALUE(LEFT(raw_data!C370,2))),IF(MID(raw_data!C370,5,1)="-",DATE(VALUE(LEFT(raw_data!C370,4)),VALUE(MID(raw_data!C370,6,2)),VALUE(RIGHT(raw_data!C370,2))),DATE(VALUE(RIGHT(raw_data!C370,4)),MATCH(MID(raw_data!C370,4,3),{"Jan","Feb","Mar","Apr","May","Jun","Jul","Aug","Sep","Oct","Nov","Dec"},0),VALUE(LEFT(raw_data!C370,2)))))),"")</f>
        <v>45844</v>
      </c>
      <c r="D370" s="3" t="str">
        <f aca="false">IF(TRIM(raw_data!B370)="","Missing",IF(B370="","Invalid/Unrecognized","Valid"))</f>
        <v>Valid</v>
      </c>
      <c r="E370" s="3" t="str">
        <f aca="false">IF(TRIM(raw_data!C370)="","Missing",IF(C370="","Invalid/Unrecognized","Valid"))</f>
        <v>Valid</v>
      </c>
      <c r="F370" s="5" t="n">
        <f aca="false">IF(OR(B370="",C370=""),"",C370-B370)</f>
        <v>0</v>
      </c>
      <c r="G370" s="3" t="str">
        <f aca="false">IF(F370="","N/A",IF(F370&lt;0,"Invalid - Ship Before Order","OK"))</f>
        <v>OK</v>
      </c>
      <c r="H370" s="3" t="str">
        <f aca="false">raw_data!D370</f>
        <v>CUST-8246</v>
      </c>
      <c r="I370" s="3" t="str">
        <f aca="false">PROPER(TRIM(raw_data!E370))</f>
        <v>Aarav Sharma</v>
      </c>
      <c r="J370" s="3" t="str">
        <f aca="false">PROPER(TRIM(raw_data!F370))</f>
        <v>Home Office</v>
      </c>
      <c r="K370" s="3" t="str">
        <f aca="false">IF(TRIM(raw_data!G370)="","Unknown",PROPER(TRIM(raw_data!G370)))</f>
        <v>North</v>
      </c>
      <c r="L370" s="3" t="str">
        <f aca="false">IF(TRIM(raw_data!G370)="","Filled - Unknown","OK")</f>
        <v>OK</v>
      </c>
      <c r="M370" s="3" t="str">
        <f aca="false">PROPER(TRIM(raw_data!H370))</f>
        <v>Rajasthan</v>
      </c>
      <c r="N370" s="3" t="str">
        <f aca="false">PROPER(TRIM(raw_data!I370))</f>
        <v>Jaipur</v>
      </c>
      <c r="O370" s="3" t="str">
        <f aca="false">PROPER(TRIM(raw_data!J370))</f>
        <v>Technology</v>
      </c>
      <c r="P370" s="3" t="str">
        <f aca="false">PROPER(TRIM(raw_data!K370))</f>
        <v>Accessories</v>
      </c>
      <c r="Q370" s="3" t="str">
        <f aca="false">TRIM(raw_data!L370)</f>
        <v>Prime Accessories 962</v>
      </c>
      <c r="R370" s="3" t="str">
        <f aca="false">IF(TRIM(raw_data!M370)="","Unknown",PROPER(TRIM(raw_data!M370)))</f>
        <v>Same Day</v>
      </c>
      <c r="S370" s="3" t="str">
        <f aca="false">IF(TRIM(raw_data!M370)="","Filled - Unknown","OK")</f>
        <v>OK</v>
      </c>
      <c r="T370" s="6" t="n">
        <f aca="false">raw_data!N370</f>
        <v>9</v>
      </c>
      <c r="U370" s="7" t="n">
        <f aca="false">raw_data!O370</f>
        <v>243.19</v>
      </c>
      <c r="V370" s="8" t="n">
        <f aca="false">raw_data!P370</f>
        <v>0.05</v>
      </c>
      <c r="W370" s="8" t="n">
        <f aca="false">IF(raw_data!P370="",0,IF(ISTEXT(raw_data!P370),IF(RIGHT(raw_data!P370,1)="%",VALUE(LEFT(raw_data!P370,LEN(raw_data!P370)-1))/100,VALUE(raw_data!P370)),raw_data!P370))</f>
        <v>0.05</v>
      </c>
      <c r="X370" s="3" t="str">
        <f aca="false">IF(raw_data!P370="","Missing - Defaulted to 0",IF(W370&lt;0,"Negative - Invalid",IF(W370&gt;0.3,"Above Allowed Range - Invalid","Valid")))</f>
        <v>Valid</v>
      </c>
      <c r="Y370" s="7" t="n">
        <f aca="false">raw_data!Q370</f>
        <v>2079.27</v>
      </c>
      <c r="Z370" s="7" t="n">
        <f aca="false">raw_data!R370</f>
        <v>1512.17</v>
      </c>
      <c r="AA370" s="7" t="n">
        <f aca="false">raw_data!S370</f>
        <v>567.1</v>
      </c>
      <c r="AB370" s="3" t="str">
        <f aca="false">PROPER(TRIM(raw_data!T370))</f>
        <v>Refunded</v>
      </c>
      <c r="AC370" s="3" t="str">
        <f aca="false">PROPER(TRIM(raw_data!U370))</f>
        <v>Returned</v>
      </c>
      <c r="AD370" s="7" t="n">
        <f aca="false">T370*U370*(1-W370)</f>
        <v>2079.2745</v>
      </c>
      <c r="AE370" s="7" t="n">
        <f aca="false">AD370-Z370</f>
        <v>567.1045</v>
      </c>
      <c r="AF370" s="8" t="n">
        <f aca="false">IF(AD370=0,0,AE370/AD370)</f>
        <v>0.272741525950518</v>
      </c>
      <c r="AG370" s="3" t="str">
        <f aca="false">IF(ABS(Y370-AD370)&gt;1,"Mismatch","OK")</f>
        <v>OK</v>
      </c>
      <c r="AH370" s="3" t="str">
        <f aca="false">IF(ABS(AA370-AE370)&gt;1,"Mismatch","OK")</f>
        <v>OK</v>
      </c>
      <c r="AI370" s="6" t="n">
        <f aca="false">IF(B370="","",MONTH(B370))</f>
        <v>7</v>
      </c>
      <c r="AJ370" s="6" t="n">
        <f aca="false">IF(B370="","",YEAR(B370))</f>
        <v>2025</v>
      </c>
      <c r="AK370" s="3" t="str">
        <f aca="false">IF(COUNTIF(raw_data!$A$2:$A$913,A370)&gt;1,"Conflicting Duplicate - Flagged for Review","Unique")</f>
        <v>Unique</v>
      </c>
      <c r="AL370" s="3" t="str">
        <f aca="false">IF(AB370="Refunded","Yes","No")</f>
        <v>Yes</v>
      </c>
      <c r="AM370" s="3" t="str">
        <f aca="false">IF(OR(AC370&lt;&gt;"Completed",AB370="Failed"),"Excluded","Included")</f>
        <v>Excluded</v>
      </c>
      <c r="AN370" s="3" t="str">
        <f aca="false">IF(OR(D370="Invalid/Unrecognized",E370="Invalid/Unrecognized",G370="Invalid - Ship Before Order",X370="Negative - Invalid",X370="Above Allowed Range - Invalid",AG370="Mismatch",AH370="Mismatch",AK370="Conflicting Duplicate - Flagged for Review"),"Invalid",IF(OR(L370="Filled - Unknown",S370="Filled - Unknown",X370="Missing - Defaulted to 0",AL370="Yes",AC370="Cancelled",AC370="Returned"),"Warning","Clean"))</f>
        <v>Warning</v>
      </c>
    </row>
    <row r="371" customFormat="false" ht="15" hidden="false" customHeight="false" outlineLevel="0" collapsed="false">
      <c r="A371" s="3" t="str">
        <f aca="false">raw_data!A371</f>
        <v>ORD-2025-10370</v>
      </c>
      <c r="B371" s="4" t="n">
        <f aca="false">IFERROR(IF(MID(raw_data!B371,3,1)="/",DATE(VALUE(RIGHT(raw_data!B371,4)),VALUE(LEFT(raw_data!B371,2)),VALUE(MID(raw_data!B371,4,2))),IF(MID(raw_data!B371,3,1)="-",DATE(VALUE(RIGHT(raw_data!B371,4)),VALUE(MID(raw_data!B371,4,2)),VALUE(LEFT(raw_data!B371,2))),IF(MID(raw_data!B371,5,1)="-",DATE(VALUE(LEFT(raw_data!B371,4)),VALUE(MID(raw_data!B371,6,2)),VALUE(RIGHT(raw_data!B371,2))),DATE(VALUE(RIGHT(raw_data!B371,4)),MATCH(MID(raw_data!B371,4,3),{"Jan","Feb","Mar","Apr","May","Jun","Jul","Aug","Sep","Oct","Nov","Dec"},0),VALUE(LEFT(raw_data!B371,2)))))),"")</f>
        <v>45680</v>
      </c>
      <c r="C371" s="4" t="n">
        <f aca="false">IFERROR(IF(MID(raw_data!C371,3,1)="/",DATE(VALUE(RIGHT(raw_data!C371,4)),VALUE(LEFT(raw_data!C371,2)),VALUE(MID(raw_data!C371,4,2))),IF(MID(raw_data!C371,3,1)="-",DATE(VALUE(RIGHT(raw_data!C371,4)),VALUE(MID(raw_data!C371,4,2)),VALUE(LEFT(raw_data!C371,2))),IF(MID(raw_data!C371,5,1)="-",DATE(VALUE(LEFT(raw_data!C371,4)),VALUE(MID(raw_data!C371,6,2)),VALUE(RIGHT(raw_data!C371,2))),DATE(VALUE(RIGHT(raw_data!C371,4)),MATCH(MID(raw_data!C371,4,3),{"Jan","Feb","Mar","Apr","May","Jun","Jul","Aug","Sep","Oct","Nov","Dec"},0),VALUE(LEFT(raw_data!C371,2)))))),"")</f>
        <v>45687</v>
      </c>
      <c r="D371" s="3" t="str">
        <f aca="false">IF(TRIM(raw_data!B371)="","Missing",IF(B371="","Invalid/Unrecognized","Valid"))</f>
        <v>Valid</v>
      </c>
      <c r="E371" s="3" t="str">
        <f aca="false">IF(TRIM(raw_data!C371)="","Missing",IF(C371="","Invalid/Unrecognized","Valid"))</f>
        <v>Valid</v>
      </c>
      <c r="F371" s="5" t="n">
        <f aca="false">IF(OR(B371="",C371=""),"",C371-B371)</f>
        <v>7</v>
      </c>
      <c r="G371" s="3" t="str">
        <f aca="false">IF(F371="","N/A",IF(F371&lt;0,"Invalid - Ship Before Order","OK"))</f>
        <v>OK</v>
      </c>
      <c r="H371" s="3" t="str">
        <f aca="false">raw_data!D371</f>
        <v>CUST-5672</v>
      </c>
      <c r="I371" s="3" t="str">
        <f aca="false">PROPER(TRIM(raw_data!E371))</f>
        <v>Priya Menon</v>
      </c>
      <c r="J371" s="3" t="str">
        <f aca="false">PROPER(TRIM(raw_data!F371))</f>
        <v>Consumer</v>
      </c>
      <c r="K371" s="3" t="str">
        <f aca="false">IF(TRIM(raw_data!G371)="","Unknown",PROPER(TRIM(raw_data!G371)))</f>
        <v>North</v>
      </c>
      <c r="L371" s="3" t="str">
        <f aca="false">IF(TRIM(raw_data!G371)="","Filled - Unknown","OK")</f>
        <v>OK</v>
      </c>
      <c r="M371" s="3" t="str">
        <f aca="false">PROPER(TRIM(raw_data!H371))</f>
        <v>Delhi</v>
      </c>
      <c r="N371" s="3" t="str">
        <f aca="false">PROPER(TRIM(raw_data!I371))</f>
        <v>New Delhi</v>
      </c>
      <c r="O371" s="3" t="str">
        <f aca="false">PROPER(TRIM(raw_data!J371))</f>
        <v>Office Supplies</v>
      </c>
      <c r="P371" s="3" t="str">
        <f aca="false">PROPER(TRIM(raw_data!K371))</f>
        <v>Labels</v>
      </c>
      <c r="Q371" s="3" t="str">
        <f aca="false">TRIM(raw_data!L371)</f>
        <v>Eco Labels 646</v>
      </c>
      <c r="R371" s="3" t="str">
        <f aca="false">IF(TRIM(raw_data!M371)="","Unknown",PROPER(TRIM(raw_data!M371)))</f>
        <v>Standard Class</v>
      </c>
      <c r="S371" s="3" t="str">
        <f aca="false">IF(TRIM(raw_data!M371)="","Filled - Unknown","OK")</f>
        <v>OK</v>
      </c>
      <c r="T371" s="6" t="n">
        <f aca="false">raw_data!N371</f>
        <v>9</v>
      </c>
      <c r="U371" s="7" t="n">
        <f aca="false">raw_data!O371</f>
        <v>1169.37</v>
      </c>
      <c r="V371" s="8" t="n">
        <f aca="false">raw_data!P371</f>
        <v>0.15</v>
      </c>
      <c r="W371" s="8" t="n">
        <f aca="false">IF(raw_data!P371="",0,IF(ISTEXT(raw_data!P371),IF(RIGHT(raw_data!P371,1)="%",VALUE(LEFT(raw_data!P371,LEN(raw_data!P371)-1))/100,VALUE(raw_data!P371)),raw_data!P371))</f>
        <v>0.15</v>
      </c>
      <c r="X371" s="3" t="str">
        <f aca="false">IF(raw_data!P371="","Missing - Defaulted to 0",IF(W371&lt;0,"Negative - Invalid",IF(W371&gt;0.3,"Above Allowed Range - Invalid","Valid")))</f>
        <v>Valid</v>
      </c>
      <c r="Y371" s="7" t="n">
        <f aca="false">raw_data!Q371</f>
        <v>8945.68</v>
      </c>
      <c r="Z371" s="7" t="n">
        <f aca="false">raw_data!R371</f>
        <v>6740.35</v>
      </c>
      <c r="AA371" s="7" t="n">
        <f aca="false">raw_data!S371</f>
        <v>2205.33</v>
      </c>
      <c r="AB371" s="3" t="str">
        <f aca="false">PROPER(TRIM(raw_data!T371))</f>
        <v>Paid</v>
      </c>
      <c r="AC371" s="3" t="str">
        <f aca="false">PROPER(TRIM(raw_data!U371))</f>
        <v>Completed</v>
      </c>
      <c r="AD371" s="7" t="n">
        <f aca="false">T371*U371*(1-W371)</f>
        <v>8945.6805</v>
      </c>
      <c r="AE371" s="7" t="n">
        <f aca="false">AD371-Z371</f>
        <v>2205.3305</v>
      </c>
      <c r="AF371" s="8" t="n">
        <f aca="false">IF(AD371=0,0,AE371/AD371)</f>
        <v>0.246524621575742</v>
      </c>
      <c r="AG371" s="3" t="str">
        <f aca="false">IF(ABS(Y371-AD371)&gt;1,"Mismatch","OK")</f>
        <v>OK</v>
      </c>
      <c r="AH371" s="3" t="str">
        <f aca="false">IF(ABS(AA371-AE371)&gt;1,"Mismatch","OK")</f>
        <v>OK</v>
      </c>
      <c r="AI371" s="6" t="n">
        <f aca="false">IF(B371="","",MONTH(B371))</f>
        <v>1</v>
      </c>
      <c r="AJ371" s="6" t="n">
        <f aca="false">IF(B371="","",YEAR(B371))</f>
        <v>2025</v>
      </c>
      <c r="AK371" s="3" t="str">
        <f aca="false">IF(COUNTIF(raw_data!$A$2:$A$913,A371)&gt;1,"Conflicting Duplicate - Flagged for Review","Unique")</f>
        <v>Unique</v>
      </c>
      <c r="AL371" s="3" t="str">
        <f aca="false">IF(AB371="Refunded","Yes","No")</f>
        <v>No</v>
      </c>
      <c r="AM371" s="3" t="str">
        <f aca="false">IF(OR(AC371&lt;&gt;"Completed",AB371="Failed"),"Excluded","Included")</f>
        <v>Included</v>
      </c>
      <c r="AN371" s="3" t="str">
        <f aca="false">IF(OR(D371="Invalid/Unrecognized",E371="Invalid/Unrecognized",G371="Invalid - Ship Before Order",X371="Negative - Invalid",X371="Above Allowed Range - Invalid",AG371="Mismatch",AH371="Mismatch",AK371="Conflicting Duplicate - Flagged for Review"),"Invalid",IF(OR(L371="Filled - Unknown",S371="Filled - Unknown",X371="Missing - Defaulted to 0",AL371="Yes",AC371="Cancelled",AC371="Returned"),"Warning","Clean"))</f>
        <v>Clean</v>
      </c>
    </row>
    <row r="372" customFormat="false" ht="15" hidden="false" customHeight="false" outlineLevel="0" collapsed="false">
      <c r="A372" s="3" t="str">
        <f aca="false">raw_data!A372</f>
        <v>ORD-2024-10371</v>
      </c>
      <c r="B372" s="4" t="n">
        <f aca="false">IFERROR(IF(MID(raw_data!B372,3,1)="/",DATE(VALUE(RIGHT(raw_data!B372,4)),VALUE(LEFT(raw_data!B372,2)),VALUE(MID(raw_data!B372,4,2))),IF(MID(raw_data!B372,3,1)="-",DATE(VALUE(RIGHT(raw_data!B372,4)),VALUE(MID(raw_data!B372,4,2)),VALUE(LEFT(raw_data!B372,2))),IF(MID(raw_data!B372,5,1)="-",DATE(VALUE(LEFT(raw_data!B372,4)),VALUE(MID(raw_data!B372,6,2)),VALUE(RIGHT(raw_data!B372,2))),DATE(VALUE(RIGHT(raw_data!B372,4)),MATCH(MID(raw_data!B372,4,3),{"Jan","Feb","Mar","Apr","May","Jun","Jul","Aug","Sep","Oct","Nov","Dec"},0),VALUE(LEFT(raw_data!B372,2)))))),"")</f>
        <v>45519</v>
      </c>
      <c r="C372" s="4" t="n">
        <f aca="false">IFERROR(IF(MID(raw_data!C372,3,1)="/",DATE(VALUE(RIGHT(raw_data!C372,4)),VALUE(LEFT(raw_data!C372,2)),VALUE(MID(raw_data!C372,4,2))),IF(MID(raw_data!C372,3,1)="-",DATE(VALUE(RIGHT(raw_data!C372,4)),VALUE(MID(raw_data!C372,4,2)),VALUE(LEFT(raw_data!C372,2))),IF(MID(raw_data!C372,5,1)="-",DATE(VALUE(LEFT(raw_data!C372,4)),VALUE(MID(raw_data!C372,6,2)),VALUE(RIGHT(raw_data!C372,2))),DATE(VALUE(RIGHT(raw_data!C372,4)),MATCH(MID(raw_data!C372,4,3),{"Jan","Feb","Mar","Apr","May","Jun","Jul","Aug","Sep","Oct","Nov","Dec"},0),VALUE(LEFT(raw_data!C372,2)))))),"")</f>
        <v>45525</v>
      </c>
      <c r="D372" s="3" t="str">
        <f aca="false">IF(TRIM(raw_data!B372)="","Missing",IF(B372="","Invalid/Unrecognized","Valid"))</f>
        <v>Valid</v>
      </c>
      <c r="E372" s="3" t="str">
        <f aca="false">IF(TRIM(raw_data!C372)="","Missing",IF(C372="","Invalid/Unrecognized","Valid"))</f>
        <v>Valid</v>
      </c>
      <c r="F372" s="5" t="n">
        <f aca="false">IF(OR(B372="",C372=""),"",C372-B372)</f>
        <v>6</v>
      </c>
      <c r="G372" s="3" t="str">
        <f aca="false">IF(F372="","N/A",IF(F372&lt;0,"Invalid - Ship Before Order","OK"))</f>
        <v>OK</v>
      </c>
      <c r="H372" s="3" t="str">
        <f aca="false">raw_data!D372</f>
        <v>CUST-8521</v>
      </c>
      <c r="I372" s="3" t="str">
        <f aca="false">PROPER(TRIM(raw_data!E372))</f>
        <v>Ananya Rao</v>
      </c>
      <c r="J372" s="3" t="str">
        <f aca="false">PROPER(TRIM(raw_data!F372))</f>
        <v>Small Business</v>
      </c>
      <c r="K372" s="3" t="str">
        <f aca="false">IF(TRIM(raw_data!G372)="","Unknown",PROPER(TRIM(raw_data!G372)))</f>
        <v>West</v>
      </c>
      <c r="L372" s="3" t="str">
        <f aca="false">IF(TRIM(raw_data!G372)="","Filled - Unknown","OK")</f>
        <v>OK</v>
      </c>
      <c r="M372" s="3" t="str">
        <f aca="false">PROPER(TRIM(raw_data!H372))</f>
        <v>Rajasthan</v>
      </c>
      <c r="N372" s="3" t="str">
        <f aca="false">PROPER(TRIM(raw_data!I372))</f>
        <v>Udaipur</v>
      </c>
      <c r="O372" s="3" t="str">
        <f aca="false">PROPER(TRIM(raw_data!J372))</f>
        <v>Technology</v>
      </c>
      <c r="P372" s="3" t="str">
        <f aca="false">PROPER(TRIM(raw_data!K372))</f>
        <v>Copiers</v>
      </c>
      <c r="Q372" s="3" t="str">
        <f aca="false">TRIM(raw_data!L372)</f>
        <v>Classic Copiers 505</v>
      </c>
      <c r="R372" s="3" t="str">
        <f aca="false">IF(TRIM(raw_data!M372)="","Unknown",PROPER(TRIM(raw_data!M372)))</f>
        <v>First Class</v>
      </c>
      <c r="S372" s="3" t="str">
        <f aca="false">IF(TRIM(raw_data!M372)="","Filled - Unknown","OK")</f>
        <v>OK</v>
      </c>
      <c r="T372" s="6" t="n">
        <f aca="false">raw_data!N372</f>
        <v>7</v>
      </c>
      <c r="U372" s="7" t="n">
        <f aca="false">raw_data!O372</f>
        <v>2333.81</v>
      </c>
      <c r="V372" s="8" t="n">
        <f aca="false">raw_data!P372</f>
        <v>0.2</v>
      </c>
      <c r="W372" s="8" t="n">
        <f aca="false">IF(raw_data!P372="",0,IF(ISTEXT(raw_data!P372),IF(RIGHT(raw_data!P372,1)="%",VALUE(LEFT(raw_data!P372,LEN(raw_data!P372)-1))/100,VALUE(raw_data!P372)),raw_data!P372))</f>
        <v>0.2</v>
      </c>
      <c r="X372" s="3" t="str">
        <f aca="false">IF(raw_data!P372="","Missing - Defaulted to 0",IF(W372&lt;0,"Negative - Invalid",IF(W372&gt;0.3,"Above Allowed Range - Invalid","Valid")))</f>
        <v>Valid</v>
      </c>
      <c r="Y372" s="7" t="n">
        <f aca="false">raw_data!Q372</f>
        <v>13069.34</v>
      </c>
      <c r="Z372" s="7" t="n">
        <f aca="false">raw_data!R372</f>
        <v>8768.59</v>
      </c>
      <c r="AA372" s="7" t="n">
        <f aca="false">raw_data!S372</f>
        <v>4300.75</v>
      </c>
      <c r="AB372" s="3" t="str">
        <f aca="false">PROPER(TRIM(raw_data!T372))</f>
        <v>Paid</v>
      </c>
      <c r="AC372" s="3" t="str">
        <f aca="false">PROPER(TRIM(raw_data!U372))</f>
        <v>Completed</v>
      </c>
      <c r="AD372" s="7" t="n">
        <f aca="false">T372*U372*(1-W372)</f>
        <v>13069.336</v>
      </c>
      <c r="AE372" s="7" t="n">
        <f aca="false">AD372-Z372</f>
        <v>4300.746</v>
      </c>
      <c r="AF372" s="8" t="n">
        <f aca="false">IF(AD372=0,0,AE372/AD372)</f>
        <v>0.329071499883391</v>
      </c>
      <c r="AG372" s="3" t="str">
        <f aca="false">IF(ABS(Y372-AD372)&gt;1,"Mismatch","OK")</f>
        <v>OK</v>
      </c>
      <c r="AH372" s="3" t="str">
        <f aca="false">IF(ABS(AA372-AE372)&gt;1,"Mismatch","OK")</f>
        <v>OK</v>
      </c>
      <c r="AI372" s="6" t="n">
        <f aca="false">IF(B372="","",MONTH(B372))</f>
        <v>8</v>
      </c>
      <c r="AJ372" s="6" t="n">
        <f aca="false">IF(B372="","",YEAR(B372))</f>
        <v>2024</v>
      </c>
      <c r="AK372" s="3" t="str">
        <f aca="false">IF(COUNTIF(raw_data!$A$2:$A$913,A372)&gt;1,"Conflicting Duplicate - Flagged for Review","Unique")</f>
        <v>Unique</v>
      </c>
      <c r="AL372" s="3" t="str">
        <f aca="false">IF(AB372="Refunded","Yes","No")</f>
        <v>No</v>
      </c>
      <c r="AM372" s="3" t="str">
        <f aca="false">IF(OR(AC372&lt;&gt;"Completed",AB372="Failed"),"Excluded","Included")</f>
        <v>Included</v>
      </c>
      <c r="AN372" s="3" t="str">
        <f aca="false">IF(OR(D372="Invalid/Unrecognized",E372="Invalid/Unrecognized",G372="Invalid - Ship Before Order",X372="Negative - Invalid",X372="Above Allowed Range - Invalid",AG372="Mismatch",AH372="Mismatch",AK372="Conflicting Duplicate - Flagged for Review"),"Invalid",IF(OR(L372="Filled - Unknown",S372="Filled - Unknown",X372="Missing - Defaulted to 0",AL372="Yes",AC372="Cancelled",AC372="Returned"),"Warning","Clean"))</f>
        <v>Clean</v>
      </c>
    </row>
    <row r="373" customFormat="false" ht="15" hidden="false" customHeight="false" outlineLevel="0" collapsed="false">
      <c r="A373" s="3" t="str">
        <f aca="false">raw_data!A373</f>
        <v>ORD-2024-10372</v>
      </c>
      <c r="B373" s="4" t="n">
        <f aca="false">IFERROR(IF(MID(raw_data!B373,3,1)="/",DATE(VALUE(RIGHT(raw_data!B373,4)),VALUE(LEFT(raw_data!B373,2)),VALUE(MID(raw_data!B373,4,2))),IF(MID(raw_data!B373,3,1)="-",DATE(VALUE(RIGHT(raw_data!B373,4)),VALUE(MID(raw_data!B373,4,2)),VALUE(LEFT(raw_data!B373,2))),IF(MID(raw_data!B373,5,1)="-",DATE(VALUE(LEFT(raw_data!B373,4)),VALUE(MID(raw_data!B373,6,2)),VALUE(RIGHT(raw_data!B373,2))),DATE(VALUE(RIGHT(raw_data!B373,4)),MATCH(MID(raw_data!B373,4,3),{"Jan","Feb","Mar","Apr","May","Jun","Jul","Aug","Sep","Oct","Nov","Dec"},0),VALUE(LEFT(raw_data!B373,2)))))),"")</f>
        <v>45313</v>
      </c>
      <c r="C373" s="4" t="n">
        <f aca="false">IFERROR(IF(MID(raw_data!C373,3,1)="/",DATE(VALUE(RIGHT(raw_data!C373,4)),VALUE(LEFT(raw_data!C373,2)),VALUE(MID(raw_data!C373,4,2))),IF(MID(raw_data!C373,3,1)="-",DATE(VALUE(RIGHT(raw_data!C373,4)),VALUE(MID(raw_data!C373,4,2)),VALUE(LEFT(raw_data!C373,2))),IF(MID(raw_data!C373,5,1)="-",DATE(VALUE(LEFT(raw_data!C373,4)),VALUE(MID(raw_data!C373,6,2)),VALUE(RIGHT(raw_data!C373,2))),DATE(VALUE(RIGHT(raw_data!C373,4)),MATCH(MID(raw_data!C373,4,3),{"Jan","Feb","Mar","Apr","May","Jun","Jul","Aug","Sep","Oct","Nov","Dec"},0),VALUE(LEFT(raw_data!C373,2)))))),"")</f>
        <v>45315</v>
      </c>
      <c r="D373" s="3" t="str">
        <f aca="false">IF(TRIM(raw_data!B373)="","Missing",IF(B373="","Invalid/Unrecognized","Valid"))</f>
        <v>Valid</v>
      </c>
      <c r="E373" s="3" t="str">
        <f aca="false">IF(TRIM(raw_data!C373)="","Missing",IF(C373="","Invalid/Unrecognized","Valid"))</f>
        <v>Valid</v>
      </c>
      <c r="F373" s="5" t="n">
        <f aca="false">IF(OR(B373="",C373=""),"",C373-B373)</f>
        <v>2</v>
      </c>
      <c r="G373" s="3" t="str">
        <f aca="false">IF(F373="","N/A",IF(F373&lt;0,"Invalid - Ship Before Order","OK"))</f>
        <v>OK</v>
      </c>
      <c r="H373" s="3" t="str">
        <f aca="false">raw_data!D373</f>
        <v>CUST-2204</v>
      </c>
      <c r="I373" s="3" t="str">
        <f aca="false">PROPER(TRIM(raw_data!E373))</f>
        <v>Diya Patel</v>
      </c>
      <c r="J373" s="3" t="str">
        <f aca="false">PROPER(TRIM(raw_data!F373))</f>
        <v>Home Office</v>
      </c>
      <c r="K373" s="3" t="str">
        <f aca="false">IF(TRIM(raw_data!G373)="","Unknown",PROPER(TRIM(raw_data!G373)))</f>
        <v>West</v>
      </c>
      <c r="L373" s="3" t="str">
        <f aca="false">IF(TRIM(raw_data!G373)="","Filled - Unknown","OK")</f>
        <v>OK</v>
      </c>
      <c r="M373" s="3" t="str">
        <f aca="false">PROPER(TRIM(raw_data!H373))</f>
        <v>Maharashtra</v>
      </c>
      <c r="N373" s="3" t="str">
        <f aca="false">PROPER(TRIM(raw_data!I373))</f>
        <v>Mumbai</v>
      </c>
      <c r="O373" s="3" t="str">
        <f aca="false">PROPER(TRIM(raw_data!J373))</f>
        <v>Office Supplies</v>
      </c>
      <c r="P373" s="3" t="str">
        <f aca="false">PROPER(TRIM(raw_data!K373))</f>
        <v>Art</v>
      </c>
      <c r="Q373" s="3" t="str">
        <f aca="false">TRIM(raw_data!L373)</f>
        <v>Pro Art 906</v>
      </c>
      <c r="R373" s="3" t="str">
        <f aca="false">IF(TRIM(raw_data!M373)="","Unknown",PROPER(TRIM(raw_data!M373)))</f>
        <v>Standard Class</v>
      </c>
      <c r="S373" s="3" t="str">
        <f aca="false">IF(TRIM(raw_data!M373)="","Filled - Unknown","OK")</f>
        <v>OK</v>
      </c>
      <c r="T373" s="6" t="n">
        <f aca="false">raw_data!N373</f>
        <v>6</v>
      </c>
      <c r="U373" s="7" t="n">
        <f aca="false">raw_data!O373</f>
        <v>1026.06</v>
      </c>
      <c r="V373" s="8" t="n">
        <f aca="false">raw_data!P373</f>
        <v>0</v>
      </c>
      <c r="W373" s="8" t="n">
        <f aca="false">IF(raw_data!P373="",0,IF(ISTEXT(raw_data!P373),IF(RIGHT(raw_data!P373,1)="%",VALUE(LEFT(raw_data!P373,LEN(raw_data!P373)-1))/100,VALUE(raw_data!P373)),raw_data!P373))</f>
        <v>0</v>
      </c>
      <c r="X373" s="3" t="str">
        <f aca="false">IF(raw_data!P373="","Missing - Defaulted to 0",IF(W373&lt;0,"Negative - Invalid",IF(W373&gt;0.3,"Above Allowed Range - Invalid","Valid")))</f>
        <v>Missing - Defaulted to 0</v>
      </c>
      <c r="Y373" s="7" t="n">
        <f aca="false">raw_data!Q373</f>
        <v>4617.27</v>
      </c>
      <c r="Z373" s="7" t="n">
        <f aca="false">raw_data!R373</f>
        <v>2981.94</v>
      </c>
      <c r="AA373" s="7" t="n">
        <f aca="false">raw_data!S373</f>
        <v>1635.33</v>
      </c>
      <c r="AB373" s="3" t="str">
        <f aca="false">PROPER(TRIM(raw_data!T373))</f>
        <v>Refunded</v>
      </c>
      <c r="AC373" s="3" t="str">
        <f aca="false">PROPER(TRIM(raw_data!U373))</f>
        <v>Cancelled</v>
      </c>
      <c r="AD373" s="7" t="n">
        <f aca="false">T373*U373*(1-W373)</f>
        <v>6156.36</v>
      </c>
      <c r="AE373" s="7" t="n">
        <f aca="false">AD373-Z373</f>
        <v>3174.42</v>
      </c>
      <c r="AF373" s="8" t="n">
        <f aca="false">IF(AD373=0,0,AE373/AD373)</f>
        <v>0.515632614077149</v>
      </c>
      <c r="AG373" s="3" t="str">
        <f aca="false">IF(ABS(Y373-AD373)&gt;1,"Mismatch","OK")</f>
        <v>Mismatch</v>
      </c>
      <c r="AH373" s="3" t="str">
        <f aca="false">IF(ABS(AA373-AE373)&gt;1,"Mismatch","OK")</f>
        <v>Mismatch</v>
      </c>
      <c r="AI373" s="6" t="n">
        <f aca="false">IF(B373="","",MONTH(B373))</f>
        <v>1</v>
      </c>
      <c r="AJ373" s="6" t="n">
        <f aca="false">IF(B373="","",YEAR(B373))</f>
        <v>2024</v>
      </c>
      <c r="AK373" s="3" t="str">
        <f aca="false">IF(COUNTIF(raw_data!$A$2:$A$913,A373)&gt;1,"Conflicting Duplicate - Flagged for Review","Unique")</f>
        <v>Unique</v>
      </c>
      <c r="AL373" s="3" t="str">
        <f aca="false">IF(AB373="Refunded","Yes","No")</f>
        <v>Yes</v>
      </c>
      <c r="AM373" s="3" t="str">
        <f aca="false">IF(OR(AC373&lt;&gt;"Completed",AB373="Failed"),"Excluded","Included")</f>
        <v>Excluded</v>
      </c>
      <c r="AN373" s="3" t="str">
        <f aca="false">IF(OR(D373="Invalid/Unrecognized",E373="Invalid/Unrecognized",G373="Invalid - Ship Before Order",X373="Negative - Invalid",X373="Above Allowed Range - Invalid",AG373="Mismatch",AH373="Mismatch",AK373="Conflicting Duplicate - Flagged for Review"),"Invalid",IF(OR(L373="Filled - Unknown",S373="Filled - Unknown",X373="Missing - Defaulted to 0",AL373="Yes",AC373="Cancelled",AC373="Returned"),"Warning","Clean"))</f>
        <v>Invalid</v>
      </c>
    </row>
    <row r="374" customFormat="false" ht="15" hidden="false" customHeight="false" outlineLevel="0" collapsed="false">
      <c r="A374" s="3" t="str">
        <f aca="false">raw_data!A374</f>
        <v>ORD-2025-10373</v>
      </c>
      <c r="B374" s="4" t="n">
        <f aca="false">IFERROR(IF(MID(raw_data!B374,3,1)="/",DATE(VALUE(RIGHT(raw_data!B374,4)),VALUE(LEFT(raw_data!B374,2)),VALUE(MID(raw_data!B374,4,2))),IF(MID(raw_data!B374,3,1)="-",DATE(VALUE(RIGHT(raw_data!B374,4)),VALUE(MID(raw_data!B374,4,2)),VALUE(LEFT(raw_data!B374,2))),IF(MID(raw_data!B374,5,1)="-",DATE(VALUE(LEFT(raw_data!B374,4)),VALUE(MID(raw_data!B374,6,2)),VALUE(RIGHT(raw_data!B374,2))),DATE(VALUE(RIGHT(raw_data!B374,4)),MATCH(MID(raw_data!B374,4,3),{"Jan","Feb","Mar","Apr","May","Jun","Jul","Aug","Sep","Oct","Nov","Dec"},0),VALUE(LEFT(raw_data!B374,2)))))),"")</f>
        <v>45885</v>
      </c>
      <c r="C374" s="4" t="n">
        <f aca="false">IFERROR(IF(MID(raw_data!C374,3,1)="/",DATE(VALUE(RIGHT(raw_data!C374,4)),VALUE(LEFT(raw_data!C374,2)),VALUE(MID(raw_data!C374,4,2))),IF(MID(raw_data!C374,3,1)="-",DATE(VALUE(RIGHT(raw_data!C374,4)),VALUE(MID(raw_data!C374,4,2)),VALUE(LEFT(raw_data!C374,2))),IF(MID(raw_data!C374,5,1)="-",DATE(VALUE(LEFT(raw_data!C374,4)),VALUE(MID(raw_data!C374,6,2)),VALUE(RIGHT(raw_data!C374,2))),DATE(VALUE(RIGHT(raw_data!C374,4)),MATCH(MID(raw_data!C374,4,3),{"Jan","Feb","Mar","Apr","May","Jun","Jul","Aug","Sep","Oct","Nov","Dec"},0),VALUE(LEFT(raw_data!C374,2)))))),"")</f>
        <v>45887</v>
      </c>
      <c r="D374" s="3" t="str">
        <f aca="false">IF(TRIM(raw_data!B374)="","Missing",IF(B374="","Invalid/Unrecognized","Valid"))</f>
        <v>Valid</v>
      </c>
      <c r="E374" s="3" t="str">
        <f aca="false">IF(TRIM(raw_data!C374)="","Missing",IF(C374="","Invalid/Unrecognized","Valid"))</f>
        <v>Valid</v>
      </c>
      <c r="F374" s="5" t="n">
        <f aca="false">IF(OR(B374="",C374=""),"",C374-B374)</f>
        <v>2</v>
      </c>
      <c r="G374" s="3" t="str">
        <f aca="false">IF(F374="","N/A",IF(F374&lt;0,"Invalid - Ship Before Order","OK"))</f>
        <v>OK</v>
      </c>
      <c r="H374" s="3" t="str">
        <f aca="false">raw_data!D374</f>
        <v>CUST-4399</v>
      </c>
      <c r="I374" s="3" t="str">
        <f aca="false">PROPER(TRIM(raw_data!E374))</f>
        <v>Kabir Singh</v>
      </c>
      <c r="J374" s="3" t="str">
        <f aca="false">PROPER(TRIM(raw_data!F374))</f>
        <v>Consumer</v>
      </c>
      <c r="K374" s="3" t="str">
        <f aca="false">IF(TRIM(raw_data!G374)="","Unknown",PROPER(TRIM(raw_data!G374)))</f>
        <v>East</v>
      </c>
      <c r="L374" s="3" t="str">
        <f aca="false">IF(TRIM(raw_data!G374)="","Filled - Unknown","OK")</f>
        <v>OK</v>
      </c>
      <c r="M374" s="3" t="str">
        <f aca="false">PROPER(TRIM(raw_data!H374))</f>
        <v>Jharkhand</v>
      </c>
      <c r="N374" s="3" t="str">
        <f aca="false">PROPER(TRIM(raw_data!I374))</f>
        <v>Ranchi</v>
      </c>
      <c r="O374" s="3" t="str">
        <f aca="false">PROPER(TRIM(raw_data!J374))</f>
        <v>Furniture</v>
      </c>
      <c r="P374" s="3" t="str">
        <f aca="false">PROPER(TRIM(raw_data!K374))</f>
        <v>Chairs</v>
      </c>
      <c r="Q374" s="3" t="str">
        <f aca="false">TRIM(raw_data!L374)</f>
        <v>Max Chairs 181</v>
      </c>
      <c r="R374" s="3" t="str">
        <f aca="false">IF(TRIM(raw_data!M374)="","Unknown",PROPER(TRIM(raw_data!M374)))</f>
        <v>Same Day</v>
      </c>
      <c r="S374" s="3" t="str">
        <f aca="false">IF(TRIM(raw_data!M374)="","Filled - Unknown","OK")</f>
        <v>OK</v>
      </c>
      <c r="T374" s="6" t="n">
        <f aca="false">raw_data!N374</f>
        <v>5</v>
      </c>
      <c r="U374" s="7" t="n">
        <f aca="false">raw_data!O374</f>
        <v>1530.36</v>
      </c>
      <c r="V374" s="8" t="n">
        <f aca="false">raw_data!P374</f>
        <v>0</v>
      </c>
      <c r="W374" s="8" t="n">
        <f aca="false">IF(raw_data!P374="",0,IF(ISTEXT(raw_data!P374),IF(RIGHT(raw_data!P374,1)="%",VALUE(LEFT(raw_data!P374,LEN(raw_data!P374)-1))/100,VALUE(raw_data!P374)),raw_data!P374))</f>
        <v>0</v>
      </c>
      <c r="X374" s="3" t="str">
        <f aca="false">IF(raw_data!P374="","Missing - Defaulted to 0",IF(W374&lt;0,"Negative - Invalid",IF(W374&gt;0.3,"Above Allowed Range - Invalid","Valid")))</f>
        <v>Valid</v>
      </c>
      <c r="Y374" s="7" t="n">
        <f aca="false">raw_data!Q374</f>
        <v>7651.8</v>
      </c>
      <c r="Z374" s="7" t="n">
        <f aca="false">raw_data!R374</f>
        <v>5171.78</v>
      </c>
      <c r="AA374" s="7" t="n">
        <f aca="false">raw_data!S374</f>
        <v>2480.02</v>
      </c>
      <c r="AB374" s="3" t="str">
        <f aca="false">PROPER(TRIM(raw_data!T374))</f>
        <v>Paid</v>
      </c>
      <c r="AC374" s="3" t="str">
        <f aca="false">PROPER(TRIM(raw_data!U374))</f>
        <v>Completed</v>
      </c>
      <c r="AD374" s="7" t="n">
        <f aca="false">T374*U374*(1-W374)</f>
        <v>7651.8</v>
      </c>
      <c r="AE374" s="7" t="n">
        <f aca="false">AD374-Z374</f>
        <v>2480.02</v>
      </c>
      <c r="AF374" s="8" t="n">
        <f aca="false">IF(AD374=0,0,AE374/AD374)</f>
        <v>0.324109359889176</v>
      </c>
      <c r="AG374" s="3" t="str">
        <f aca="false">IF(ABS(Y374-AD374)&gt;1,"Mismatch","OK")</f>
        <v>OK</v>
      </c>
      <c r="AH374" s="3" t="str">
        <f aca="false">IF(ABS(AA374-AE374)&gt;1,"Mismatch","OK")</f>
        <v>OK</v>
      </c>
      <c r="AI374" s="6" t="n">
        <f aca="false">IF(B374="","",MONTH(B374))</f>
        <v>8</v>
      </c>
      <c r="AJ374" s="6" t="n">
        <f aca="false">IF(B374="","",YEAR(B374))</f>
        <v>2025</v>
      </c>
      <c r="AK374" s="3" t="str">
        <f aca="false">IF(COUNTIF(raw_data!$A$2:$A$913,A374)&gt;1,"Conflicting Duplicate - Flagged for Review","Unique")</f>
        <v>Unique</v>
      </c>
      <c r="AL374" s="3" t="str">
        <f aca="false">IF(AB374="Refunded","Yes","No")</f>
        <v>No</v>
      </c>
      <c r="AM374" s="3" t="str">
        <f aca="false">IF(OR(AC374&lt;&gt;"Completed",AB374="Failed"),"Excluded","Included")</f>
        <v>Included</v>
      </c>
      <c r="AN374" s="3" t="str">
        <f aca="false">IF(OR(D374="Invalid/Unrecognized",E374="Invalid/Unrecognized",G374="Invalid - Ship Before Order",X374="Negative - Invalid",X374="Above Allowed Range - Invalid",AG374="Mismatch",AH374="Mismatch",AK374="Conflicting Duplicate - Flagged for Review"),"Invalid",IF(OR(L374="Filled - Unknown",S374="Filled - Unknown",X374="Missing - Defaulted to 0",AL374="Yes",AC374="Cancelled",AC374="Returned"),"Warning","Clean"))</f>
        <v>Clean</v>
      </c>
    </row>
    <row r="375" customFormat="false" ht="15" hidden="false" customHeight="false" outlineLevel="0" collapsed="false">
      <c r="A375" s="3" t="str">
        <f aca="false">raw_data!A375</f>
        <v>ORD-2025-10374</v>
      </c>
      <c r="B375" s="4" t="n">
        <f aca="false">IFERROR(IF(MID(raw_data!B375,3,1)="/",DATE(VALUE(RIGHT(raw_data!B375,4)),VALUE(LEFT(raw_data!B375,2)),VALUE(MID(raw_data!B375,4,2))),IF(MID(raw_data!B375,3,1)="-",DATE(VALUE(RIGHT(raw_data!B375,4)),VALUE(MID(raw_data!B375,4,2)),VALUE(LEFT(raw_data!B375,2))),IF(MID(raw_data!B375,5,1)="-",DATE(VALUE(LEFT(raw_data!B375,4)),VALUE(MID(raw_data!B375,6,2)),VALUE(RIGHT(raw_data!B375,2))),DATE(VALUE(RIGHT(raw_data!B375,4)),MATCH(MID(raw_data!B375,4,3),{"Jan","Feb","Mar","Apr","May","Jun","Jul","Aug","Sep","Oct","Nov","Dec"},0),VALUE(LEFT(raw_data!B375,2)))))),"")</f>
        <v>45760</v>
      </c>
      <c r="C375" s="4" t="n">
        <f aca="false">IFERROR(IF(MID(raw_data!C375,3,1)="/",DATE(VALUE(RIGHT(raw_data!C375,4)),VALUE(LEFT(raw_data!C375,2)),VALUE(MID(raw_data!C375,4,2))),IF(MID(raw_data!C375,3,1)="-",DATE(VALUE(RIGHT(raw_data!C375,4)),VALUE(MID(raw_data!C375,4,2)),VALUE(LEFT(raw_data!C375,2))),IF(MID(raw_data!C375,5,1)="-",DATE(VALUE(LEFT(raw_data!C375,4)),VALUE(MID(raw_data!C375,6,2)),VALUE(RIGHT(raw_data!C375,2))),DATE(VALUE(RIGHT(raw_data!C375,4)),MATCH(MID(raw_data!C375,4,3),{"Jan","Feb","Mar","Apr","May","Jun","Jul","Aug","Sep","Oct","Nov","Dec"},0),VALUE(LEFT(raw_data!C375,2)))))),"")</f>
        <v>45760</v>
      </c>
      <c r="D375" s="3" t="str">
        <f aca="false">IF(TRIM(raw_data!B375)="","Missing",IF(B375="","Invalid/Unrecognized","Valid"))</f>
        <v>Valid</v>
      </c>
      <c r="E375" s="3" t="str">
        <f aca="false">IF(TRIM(raw_data!C375)="","Missing",IF(C375="","Invalid/Unrecognized","Valid"))</f>
        <v>Valid</v>
      </c>
      <c r="F375" s="5" t="n">
        <f aca="false">IF(OR(B375="",C375=""),"",C375-B375)</f>
        <v>0</v>
      </c>
      <c r="G375" s="3" t="str">
        <f aca="false">IF(F375="","N/A",IF(F375&lt;0,"Invalid - Ship Before Order","OK"))</f>
        <v>OK</v>
      </c>
      <c r="H375" s="3" t="str">
        <f aca="false">raw_data!D375</f>
        <v>CUST-8566</v>
      </c>
      <c r="I375" s="3" t="str">
        <f aca="false">PROPER(TRIM(raw_data!E375))</f>
        <v>Sneha Kapoor</v>
      </c>
      <c r="J375" s="3" t="str">
        <f aca="false">PROPER(TRIM(raw_data!F375))</f>
        <v>Small Business</v>
      </c>
      <c r="K375" s="3" t="str">
        <f aca="false">IF(TRIM(raw_data!G375)="","Unknown",PROPER(TRIM(raw_data!G375)))</f>
        <v>North</v>
      </c>
      <c r="L375" s="3" t="str">
        <f aca="false">IF(TRIM(raw_data!G375)="","Filled - Unknown","OK")</f>
        <v>OK</v>
      </c>
      <c r="M375" s="3" t="str">
        <f aca="false">PROPER(TRIM(raw_data!H375))</f>
        <v>Uttar Pradesh</v>
      </c>
      <c r="N375" s="3" t="str">
        <f aca="false">PROPER(TRIM(raw_data!I375))</f>
        <v>Noida</v>
      </c>
      <c r="O375" s="3" t="str">
        <f aca="false">PROPER(TRIM(raw_data!J375))</f>
        <v>Office Supplies</v>
      </c>
      <c r="P375" s="3" t="str">
        <f aca="false">PROPER(TRIM(raw_data!K375))</f>
        <v>Storage</v>
      </c>
      <c r="Q375" s="3" t="str">
        <f aca="false">TRIM(raw_data!L375)</f>
        <v>Prime Storage 951</v>
      </c>
      <c r="R375" s="3" t="str">
        <f aca="false">IF(TRIM(raw_data!M375)="","Unknown",PROPER(TRIM(raw_data!M375)))</f>
        <v>Second Class</v>
      </c>
      <c r="S375" s="3" t="str">
        <f aca="false">IF(TRIM(raw_data!M375)="","Filled - Unknown","OK")</f>
        <v>OK</v>
      </c>
      <c r="T375" s="6" t="n">
        <f aca="false">raw_data!N375</f>
        <v>9</v>
      </c>
      <c r="U375" s="7" t="n">
        <f aca="false">raw_data!O375</f>
        <v>1118.68</v>
      </c>
      <c r="V375" s="8" t="n">
        <f aca="false">raw_data!P375</f>
        <v>0</v>
      </c>
      <c r="W375" s="8" t="n">
        <f aca="false">IF(raw_data!P375="",0,IF(ISTEXT(raw_data!P375),IF(RIGHT(raw_data!P375,1)="%",VALUE(LEFT(raw_data!P375,LEN(raw_data!P375)-1))/100,VALUE(raw_data!P375)),raw_data!P375))</f>
        <v>0</v>
      </c>
      <c r="X375" s="3" t="str">
        <f aca="false">IF(raw_data!P375="","Missing - Defaulted to 0",IF(W375&lt;0,"Negative - Invalid",IF(W375&gt;0.3,"Above Allowed Range - Invalid","Valid")))</f>
        <v>Valid</v>
      </c>
      <c r="Y375" s="7" t="n">
        <f aca="false">raw_data!Q375</f>
        <v>10068.12</v>
      </c>
      <c r="Z375" s="7" t="n">
        <f aca="false">raw_data!R375</f>
        <v>8595.37</v>
      </c>
      <c r="AA375" s="7" t="n">
        <f aca="false">raw_data!S375</f>
        <v>1472.75</v>
      </c>
      <c r="AB375" s="3" t="str">
        <f aca="false">PROPER(TRIM(raw_data!T375))</f>
        <v>Paid</v>
      </c>
      <c r="AC375" s="3" t="str">
        <f aca="false">PROPER(TRIM(raw_data!U375))</f>
        <v>Completed</v>
      </c>
      <c r="AD375" s="7" t="n">
        <f aca="false">T375*U375*(1-W375)</f>
        <v>10068.12</v>
      </c>
      <c r="AE375" s="7" t="n">
        <f aca="false">AD375-Z375</f>
        <v>1472.75</v>
      </c>
      <c r="AF375" s="8" t="n">
        <f aca="false">IF(AD375=0,0,AE375/AD375)</f>
        <v>0.146278550513899</v>
      </c>
      <c r="AG375" s="3" t="str">
        <f aca="false">IF(ABS(Y375-AD375)&gt;1,"Mismatch","OK")</f>
        <v>OK</v>
      </c>
      <c r="AH375" s="3" t="str">
        <f aca="false">IF(ABS(AA375-AE375)&gt;1,"Mismatch","OK")</f>
        <v>OK</v>
      </c>
      <c r="AI375" s="6" t="n">
        <f aca="false">IF(B375="","",MONTH(B375))</f>
        <v>4</v>
      </c>
      <c r="AJ375" s="6" t="n">
        <f aca="false">IF(B375="","",YEAR(B375))</f>
        <v>2025</v>
      </c>
      <c r="AK375" s="3" t="str">
        <f aca="false">IF(COUNTIF(raw_data!$A$2:$A$913,A375)&gt;1,"Conflicting Duplicate - Flagged for Review","Unique")</f>
        <v>Conflicting Duplicate - Flagged for Review</v>
      </c>
      <c r="AL375" s="3" t="str">
        <f aca="false">IF(AB375="Refunded","Yes","No")</f>
        <v>No</v>
      </c>
      <c r="AM375" s="3" t="str">
        <f aca="false">IF(OR(AC375&lt;&gt;"Completed",AB375="Failed"),"Excluded","Included")</f>
        <v>Included</v>
      </c>
      <c r="AN375" s="3" t="str">
        <f aca="false">IF(OR(D375="Invalid/Unrecognized",E375="Invalid/Unrecognized",G375="Invalid - Ship Before Order",X375="Negative - Invalid",X375="Above Allowed Range - Invalid",AG375="Mismatch",AH375="Mismatch",AK375="Conflicting Duplicate - Flagged for Review"),"Invalid",IF(OR(L375="Filled - Unknown",S375="Filled - Unknown",X375="Missing - Defaulted to 0",AL375="Yes",AC375="Cancelled",AC375="Returned"),"Warning","Clean"))</f>
        <v>Invalid</v>
      </c>
    </row>
    <row r="376" customFormat="false" ht="15" hidden="false" customHeight="false" outlineLevel="0" collapsed="false">
      <c r="A376" s="3" t="str">
        <f aca="false">raw_data!A376</f>
        <v>ORD-2025-10375</v>
      </c>
      <c r="B376" s="4" t="n">
        <f aca="false">IFERROR(IF(MID(raw_data!B376,3,1)="/",DATE(VALUE(RIGHT(raw_data!B376,4)),VALUE(LEFT(raw_data!B376,2)),VALUE(MID(raw_data!B376,4,2))),IF(MID(raw_data!B376,3,1)="-",DATE(VALUE(RIGHT(raw_data!B376,4)),VALUE(MID(raw_data!B376,4,2)),VALUE(LEFT(raw_data!B376,2))),IF(MID(raw_data!B376,5,1)="-",DATE(VALUE(LEFT(raw_data!B376,4)),VALUE(MID(raw_data!B376,6,2)),VALUE(RIGHT(raw_data!B376,2))),DATE(VALUE(RIGHT(raw_data!B376,4)),MATCH(MID(raw_data!B376,4,3),{"Jan","Feb","Mar","Apr","May","Jun","Jul","Aug","Sep","Oct","Nov","Dec"},0),VALUE(LEFT(raw_data!B376,2)))))),"")</f>
        <v>45715</v>
      </c>
      <c r="C376" s="4" t="n">
        <f aca="false">IFERROR(IF(MID(raw_data!C376,3,1)="/",DATE(VALUE(RIGHT(raw_data!C376,4)),VALUE(LEFT(raw_data!C376,2)),VALUE(MID(raw_data!C376,4,2))),IF(MID(raw_data!C376,3,1)="-",DATE(VALUE(RIGHT(raw_data!C376,4)),VALUE(MID(raw_data!C376,4,2)),VALUE(LEFT(raw_data!C376,2))),IF(MID(raw_data!C376,5,1)="-",DATE(VALUE(LEFT(raw_data!C376,4)),VALUE(MID(raw_data!C376,6,2)),VALUE(RIGHT(raw_data!C376,2))),DATE(VALUE(RIGHT(raw_data!C376,4)),MATCH(MID(raw_data!C376,4,3),{"Jan","Feb","Mar","Apr","May","Jun","Jul","Aug","Sep","Oct","Nov","Dec"},0),VALUE(LEFT(raw_data!C376,2)))))),"")</f>
        <v>45716</v>
      </c>
      <c r="D376" s="3" t="str">
        <f aca="false">IF(TRIM(raw_data!B376)="","Missing",IF(B376="","Invalid/Unrecognized","Valid"))</f>
        <v>Valid</v>
      </c>
      <c r="E376" s="3" t="str">
        <f aca="false">IF(TRIM(raw_data!C376)="","Missing",IF(C376="","Invalid/Unrecognized","Valid"))</f>
        <v>Valid</v>
      </c>
      <c r="F376" s="5" t="n">
        <f aca="false">IF(OR(B376="",C376=""),"",C376-B376)</f>
        <v>1</v>
      </c>
      <c r="G376" s="3" t="str">
        <f aca="false">IF(F376="","N/A",IF(F376&lt;0,"Invalid - Ship Before Order","OK"))</f>
        <v>OK</v>
      </c>
      <c r="H376" s="3" t="str">
        <f aca="false">raw_data!D376</f>
        <v>CUST-2358</v>
      </c>
      <c r="I376" s="3" t="str">
        <f aca="false">PROPER(TRIM(raw_data!E376))</f>
        <v>Aditi Sen</v>
      </c>
      <c r="J376" s="3" t="str">
        <f aca="false">PROPER(TRIM(raw_data!F376))</f>
        <v>Small Business</v>
      </c>
      <c r="K376" s="3" t="str">
        <f aca="false">IF(TRIM(raw_data!G376)="","Unknown",PROPER(TRIM(raw_data!G376)))</f>
        <v>North</v>
      </c>
      <c r="L376" s="3" t="str">
        <f aca="false">IF(TRIM(raw_data!G376)="","Filled - Unknown","OK")</f>
        <v>OK</v>
      </c>
      <c r="M376" s="3" t="str">
        <f aca="false">PROPER(TRIM(raw_data!H376))</f>
        <v>Uttar Pradesh</v>
      </c>
      <c r="N376" s="3" t="str">
        <f aca="false">PROPER(TRIM(raw_data!I376))</f>
        <v>Noida</v>
      </c>
      <c r="O376" s="3" t="str">
        <f aca="false">PROPER(TRIM(raw_data!J376))</f>
        <v>Office Supplies</v>
      </c>
      <c r="P376" s="3" t="str">
        <f aca="false">PROPER(TRIM(raw_data!K376))</f>
        <v>Labels</v>
      </c>
      <c r="Q376" s="3" t="str">
        <f aca="false">TRIM(raw_data!L376)</f>
        <v>Smart Labels 668</v>
      </c>
      <c r="R376" s="3" t="str">
        <f aca="false">IF(TRIM(raw_data!M376)="","Unknown",PROPER(TRIM(raw_data!M376)))</f>
        <v>Standard Class</v>
      </c>
      <c r="S376" s="3" t="str">
        <f aca="false">IF(TRIM(raw_data!M376)="","Filled - Unknown","OK")</f>
        <v>OK</v>
      </c>
      <c r="T376" s="6" t="n">
        <f aca="false">raw_data!N376</f>
        <v>6</v>
      </c>
      <c r="U376" s="7" t="n">
        <f aca="false">raw_data!O376</f>
        <v>2393.25</v>
      </c>
      <c r="V376" s="8" t="n">
        <f aca="false">raw_data!P376</f>
        <v>0</v>
      </c>
      <c r="W376" s="8" t="n">
        <f aca="false">IF(raw_data!P376="",0,IF(ISTEXT(raw_data!P376),IF(RIGHT(raw_data!P376,1)="%",VALUE(LEFT(raw_data!P376,LEN(raw_data!P376)-1))/100,VALUE(raw_data!P376)),raw_data!P376))</f>
        <v>0</v>
      </c>
      <c r="X376" s="3" t="str">
        <f aca="false">IF(raw_data!P376="","Missing - Defaulted to 0",IF(W376&lt;0,"Negative - Invalid",IF(W376&gt;0.3,"Above Allowed Range - Invalid","Valid")))</f>
        <v>Valid</v>
      </c>
      <c r="Y376" s="7" t="n">
        <f aca="false">raw_data!Q376</f>
        <v>14359.5</v>
      </c>
      <c r="Z376" s="7" t="n">
        <f aca="false">raw_data!R376</f>
        <v>8117.71</v>
      </c>
      <c r="AA376" s="7" t="n">
        <f aca="false">raw_data!S376</f>
        <v>6241.79</v>
      </c>
      <c r="AB376" s="3" t="str">
        <f aca="false">PROPER(TRIM(raw_data!T376))</f>
        <v>Paid</v>
      </c>
      <c r="AC376" s="3" t="str">
        <f aca="false">PROPER(TRIM(raw_data!U376))</f>
        <v>Completed</v>
      </c>
      <c r="AD376" s="7" t="n">
        <f aca="false">T376*U376*(1-W376)</f>
        <v>14359.5</v>
      </c>
      <c r="AE376" s="7" t="n">
        <f aca="false">AD376-Z376</f>
        <v>6241.79</v>
      </c>
      <c r="AF376" s="8" t="n">
        <f aca="false">IF(AD376=0,0,AE376/AD376)</f>
        <v>0.434680176886382</v>
      </c>
      <c r="AG376" s="3" t="str">
        <f aca="false">IF(ABS(Y376-AD376)&gt;1,"Mismatch","OK")</f>
        <v>OK</v>
      </c>
      <c r="AH376" s="3" t="str">
        <f aca="false">IF(ABS(AA376-AE376)&gt;1,"Mismatch","OK")</f>
        <v>OK</v>
      </c>
      <c r="AI376" s="6" t="n">
        <f aca="false">IF(B376="","",MONTH(B376))</f>
        <v>2</v>
      </c>
      <c r="AJ376" s="6" t="n">
        <f aca="false">IF(B376="","",YEAR(B376))</f>
        <v>2025</v>
      </c>
      <c r="AK376" s="3" t="str">
        <f aca="false">IF(COUNTIF(raw_data!$A$2:$A$913,A376)&gt;1,"Conflicting Duplicate - Flagged for Review","Unique")</f>
        <v>Unique</v>
      </c>
      <c r="AL376" s="3" t="str">
        <f aca="false">IF(AB376="Refunded","Yes","No")</f>
        <v>No</v>
      </c>
      <c r="AM376" s="3" t="str">
        <f aca="false">IF(OR(AC376&lt;&gt;"Completed",AB376="Failed"),"Excluded","Included")</f>
        <v>Included</v>
      </c>
      <c r="AN376" s="3" t="str">
        <f aca="false">IF(OR(D376="Invalid/Unrecognized",E376="Invalid/Unrecognized",G376="Invalid - Ship Before Order",X376="Negative - Invalid",X376="Above Allowed Range - Invalid",AG376="Mismatch",AH376="Mismatch",AK376="Conflicting Duplicate - Flagged for Review"),"Invalid",IF(OR(L376="Filled - Unknown",S376="Filled - Unknown",X376="Missing - Defaulted to 0",AL376="Yes",AC376="Cancelled",AC376="Returned"),"Warning","Clean"))</f>
        <v>Clean</v>
      </c>
    </row>
    <row r="377" customFormat="false" ht="15" hidden="false" customHeight="false" outlineLevel="0" collapsed="false">
      <c r="A377" s="3" t="str">
        <f aca="false">raw_data!A377</f>
        <v>ORD-2024-10376</v>
      </c>
      <c r="B377" s="4" t="n">
        <f aca="false">IFERROR(IF(MID(raw_data!B377,3,1)="/",DATE(VALUE(RIGHT(raw_data!B377,4)),VALUE(LEFT(raw_data!B377,2)),VALUE(MID(raw_data!B377,4,2))),IF(MID(raw_data!B377,3,1)="-",DATE(VALUE(RIGHT(raw_data!B377,4)),VALUE(MID(raw_data!B377,4,2)),VALUE(LEFT(raw_data!B377,2))),IF(MID(raw_data!B377,5,1)="-",DATE(VALUE(LEFT(raw_data!B377,4)),VALUE(MID(raw_data!B377,6,2)),VALUE(RIGHT(raw_data!B377,2))),DATE(VALUE(RIGHT(raw_data!B377,4)),MATCH(MID(raw_data!B377,4,3),{"Jan","Feb","Mar","Apr","May","Jun","Jul","Aug","Sep","Oct","Nov","Dec"},0),VALUE(LEFT(raw_data!B377,2)))))),"")</f>
        <v>45657</v>
      </c>
      <c r="C377" s="4" t="n">
        <f aca="false">IFERROR(IF(MID(raw_data!C377,3,1)="/",DATE(VALUE(RIGHT(raw_data!C377,4)),VALUE(LEFT(raw_data!C377,2)),VALUE(MID(raw_data!C377,4,2))),IF(MID(raw_data!C377,3,1)="-",DATE(VALUE(RIGHT(raw_data!C377,4)),VALUE(MID(raw_data!C377,4,2)),VALUE(LEFT(raw_data!C377,2))),IF(MID(raw_data!C377,5,1)="-",DATE(VALUE(LEFT(raw_data!C377,4)),VALUE(MID(raw_data!C377,6,2)),VALUE(RIGHT(raw_data!C377,2))),DATE(VALUE(RIGHT(raw_data!C377,4)),MATCH(MID(raw_data!C377,4,3),{"Jan","Feb","Mar","Apr","May","Jun","Jul","Aug","Sep","Oct","Nov","Dec"},0),VALUE(LEFT(raw_data!C377,2)))))),"")</f>
        <v>45661</v>
      </c>
      <c r="D377" s="3" t="str">
        <f aca="false">IF(TRIM(raw_data!B377)="","Missing",IF(B377="","Invalid/Unrecognized","Valid"))</f>
        <v>Valid</v>
      </c>
      <c r="E377" s="3" t="str">
        <f aca="false">IF(TRIM(raw_data!C377)="","Missing",IF(C377="","Invalid/Unrecognized","Valid"))</f>
        <v>Valid</v>
      </c>
      <c r="F377" s="5" t="n">
        <f aca="false">IF(OR(B377="",C377=""),"",C377-B377)</f>
        <v>4</v>
      </c>
      <c r="G377" s="3" t="str">
        <f aca="false">IF(F377="","N/A",IF(F377&lt;0,"Invalid - Ship Before Order","OK"))</f>
        <v>OK</v>
      </c>
      <c r="H377" s="3" t="str">
        <f aca="false">raw_data!D377</f>
        <v>CUST-2810</v>
      </c>
      <c r="I377" s="3" t="str">
        <f aca="false">PROPER(TRIM(raw_data!E377))</f>
        <v>Vikram Iyer</v>
      </c>
      <c r="J377" s="3" t="str">
        <f aca="false">PROPER(TRIM(raw_data!F377))</f>
        <v>Consumer</v>
      </c>
      <c r="K377" s="3" t="str">
        <f aca="false">IF(TRIM(raw_data!G377)="","Unknown",PROPER(TRIM(raw_data!G377)))</f>
        <v>North</v>
      </c>
      <c r="L377" s="3" t="str">
        <f aca="false">IF(TRIM(raw_data!G377)="","Filled - Unknown","OK")</f>
        <v>OK</v>
      </c>
      <c r="M377" s="3" t="str">
        <f aca="false">PROPER(TRIM(raw_data!H377))</f>
        <v>Delhi</v>
      </c>
      <c r="N377" s="3" t="str">
        <f aca="false">PROPER(TRIM(raw_data!I377))</f>
        <v>New Delhi</v>
      </c>
      <c r="O377" s="3" t="str">
        <f aca="false">PROPER(TRIM(raw_data!J377))</f>
        <v>Furniture</v>
      </c>
      <c r="P377" s="3" t="str">
        <f aca="false">PROPER(TRIM(raw_data!K377))</f>
        <v>Chairs</v>
      </c>
      <c r="Q377" s="3" t="str">
        <f aca="false">TRIM(raw_data!L377)</f>
        <v>Pro Chairs 364</v>
      </c>
      <c r="R377" s="3" t="str">
        <f aca="false">IF(TRIM(raw_data!M377)="","Unknown",PROPER(TRIM(raw_data!M377)))</f>
        <v>Same Day</v>
      </c>
      <c r="S377" s="3" t="str">
        <f aca="false">IF(TRIM(raw_data!M377)="","Filled - Unknown","OK")</f>
        <v>OK</v>
      </c>
      <c r="T377" s="6" t="n">
        <f aca="false">raw_data!N377</f>
        <v>3</v>
      </c>
      <c r="U377" s="7" t="n">
        <f aca="false">raw_data!O377</f>
        <v>1166.61</v>
      </c>
      <c r="V377" s="8" t="n">
        <f aca="false">raw_data!P377</f>
        <v>0.25</v>
      </c>
      <c r="W377" s="8" t="n">
        <f aca="false">IF(raw_data!P377="",0,IF(ISTEXT(raw_data!P377),IF(RIGHT(raw_data!P377,1)="%",VALUE(LEFT(raw_data!P377,LEN(raw_data!P377)-1))/100,VALUE(raw_data!P377)),raw_data!P377))</f>
        <v>0.25</v>
      </c>
      <c r="X377" s="3" t="str">
        <f aca="false">IF(raw_data!P377="","Missing - Defaulted to 0",IF(W377&lt;0,"Negative - Invalid",IF(W377&gt;0.3,"Above Allowed Range - Invalid","Valid")))</f>
        <v>Valid</v>
      </c>
      <c r="Y377" s="7" t="n">
        <f aca="false">raw_data!Q377</f>
        <v>2624.87</v>
      </c>
      <c r="Z377" s="7" t="n">
        <f aca="false">raw_data!R377</f>
        <v>2253.88</v>
      </c>
      <c r="AA377" s="7" t="n">
        <f aca="false">raw_data!S377</f>
        <v>370.99</v>
      </c>
      <c r="AB377" s="3" t="str">
        <f aca="false">PROPER(TRIM(raw_data!T377))</f>
        <v>Paid</v>
      </c>
      <c r="AC377" s="3" t="str">
        <f aca="false">PROPER(TRIM(raw_data!U377))</f>
        <v>Completed</v>
      </c>
      <c r="AD377" s="7" t="n">
        <f aca="false">T377*U377*(1-W377)</f>
        <v>2624.8725</v>
      </c>
      <c r="AE377" s="7" t="n">
        <f aca="false">AD377-Z377</f>
        <v>370.9925</v>
      </c>
      <c r="AF377" s="8" t="n">
        <f aca="false">IF(AD377=0,0,AE377/AD377)</f>
        <v>0.141337341147046</v>
      </c>
      <c r="AG377" s="3" t="str">
        <f aca="false">IF(ABS(Y377-AD377)&gt;1,"Mismatch","OK")</f>
        <v>OK</v>
      </c>
      <c r="AH377" s="3" t="str">
        <f aca="false">IF(ABS(AA377-AE377)&gt;1,"Mismatch","OK")</f>
        <v>OK</v>
      </c>
      <c r="AI377" s="6" t="n">
        <f aca="false">IF(B377="","",MONTH(B377))</f>
        <v>12</v>
      </c>
      <c r="AJ377" s="6" t="n">
        <f aca="false">IF(B377="","",YEAR(B377))</f>
        <v>2024</v>
      </c>
      <c r="AK377" s="3" t="str">
        <f aca="false">IF(COUNTIF(raw_data!$A$2:$A$913,A377)&gt;1,"Conflicting Duplicate - Flagged for Review","Unique")</f>
        <v>Unique</v>
      </c>
      <c r="AL377" s="3" t="str">
        <f aca="false">IF(AB377="Refunded","Yes","No")</f>
        <v>No</v>
      </c>
      <c r="AM377" s="3" t="str">
        <f aca="false">IF(OR(AC377&lt;&gt;"Completed",AB377="Failed"),"Excluded","Included")</f>
        <v>Included</v>
      </c>
      <c r="AN377" s="3" t="str">
        <f aca="false">IF(OR(D377="Invalid/Unrecognized",E377="Invalid/Unrecognized",G377="Invalid - Ship Before Order",X377="Negative - Invalid",X377="Above Allowed Range - Invalid",AG377="Mismatch",AH377="Mismatch",AK377="Conflicting Duplicate - Flagged for Review"),"Invalid",IF(OR(L377="Filled - Unknown",S377="Filled - Unknown",X377="Missing - Defaulted to 0",AL377="Yes",AC377="Cancelled",AC377="Returned"),"Warning","Clean"))</f>
        <v>Clean</v>
      </c>
    </row>
    <row r="378" customFormat="false" ht="15" hidden="false" customHeight="false" outlineLevel="0" collapsed="false">
      <c r="A378" s="3" t="str">
        <f aca="false">raw_data!A378</f>
        <v>ORD-2024-10377</v>
      </c>
      <c r="B378" s="4" t="n">
        <f aca="false">IFERROR(IF(MID(raw_data!B378,3,1)="/",DATE(VALUE(RIGHT(raw_data!B378,4)),VALUE(LEFT(raw_data!B378,2)),VALUE(MID(raw_data!B378,4,2))),IF(MID(raw_data!B378,3,1)="-",DATE(VALUE(RIGHT(raw_data!B378,4)),VALUE(MID(raw_data!B378,4,2)),VALUE(LEFT(raw_data!B378,2))),IF(MID(raw_data!B378,5,1)="-",DATE(VALUE(LEFT(raw_data!B378,4)),VALUE(MID(raw_data!B378,6,2)),VALUE(RIGHT(raw_data!B378,2))),DATE(VALUE(RIGHT(raw_data!B378,4)),MATCH(MID(raw_data!B378,4,3),{"Jan","Feb","Mar","Apr","May","Jun","Jul","Aug","Sep","Oct","Nov","Dec"},0),VALUE(LEFT(raw_data!B378,2)))))),"")</f>
        <v>45655</v>
      </c>
      <c r="C378" s="4" t="n">
        <f aca="false">IFERROR(IF(MID(raw_data!C378,3,1)="/",DATE(VALUE(RIGHT(raw_data!C378,4)),VALUE(LEFT(raw_data!C378,2)),VALUE(MID(raw_data!C378,4,2))),IF(MID(raw_data!C378,3,1)="-",DATE(VALUE(RIGHT(raw_data!C378,4)),VALUE(MID(raw_data!C378,4,2)),VALUE(LEFT(raw_data!C378,2))),IF(MID(raw_data!C378,5,1)="-",DATE(VALUE(LEFT(raw_data!C378,4)),VALUE(MID(raw_data!C378,6,2)),VALUE(RIGHT(raw_data!C378,2))),DATE(VALUE(RIGHT(raw_data!C378,4)),MATCH(MID(raw_data!C378,4,3),{"Jan","Feb","Mar","Apr","May","Jun","Jul","Aug","Sep","Oct","Nov","Dec"},0),VALUE(LEFT(raw_data!C378,2)))))),"")</f>
        <v>45657</v>
      </c>
      <c r="D378" s="3" t="str">
        <f aca="false">IF(TRIM(raw_data!B378)="","Missing",IF(B378="","Invalid/Unrecognized","Valid"))</f>
        <v>Valid</v>
      </c>
      <c r="E378" s="3" t="str">
        <f aca="false">IF(TRIM(raw_data!C378)="","Missing",IF(C378="","Invalid/Unrecognized","Valid"))</f>
        <v>Valid</v>
      </c>
      <c r="F378" s="5" t="n">
        <f aca="false">IF(OR(B378="",C378=""),"",C378-B378)</f>
        <v>2</v>
      </c>
      <c r="G378" s="3" t="str">
        <f aca="false">IF(F378="","N/A",IF(F378&lt;0,"Invalid - Ship Before Order","OK"))</f>
        <v>OK</v>
      </c>
      <c r="H378" s="3" t="str">
        <f aca="false">raw_data!D378</f>
        <v>CUST-5166</v>
      </c>
      <c r="I378" s="3" t="str">
        <f aca="false">PROPER(TRIM(raw_data!E378))</f>
        <v>Isha Nair</v>
      </c>
      <c r="J378" s="3" t="str">
        <f aca="false">PROPER(TRIM(raw_data!F378))</f>
        <v>Small Business</v>
      </c>
      <c r="K378" s="3" t="str">
        <f aca="false">IF(TRIM(raw_data!G378)="","Unknown",PROPER(TRIM(raw_data!G378)))</f>
        <v>East</v>
      </c>
      <c r="L378" s="3" t="str">
        <f aca="false">IF(TRIM(raw_data!G378)="","Filled - Unknown","OK")</f>
        <v>OK</v>
      </c>
      <c r="M378" s="3" t="str">
        <f aca="false">PROPER(TRIM(raw_data!H378))</f>
        <v>Bihar</v>
      </c>
      <c r="N378" s="3" t="str">
        <f aca="false">PROPER(TRIM(raw_data!I378))</f>
        <v>Patna</v>
      </c>
      <c r="O378" s="3" t="str">
        <f aca="false">PROPER(TRIM(raw_data!J378))</f>
        <v>Furniture</v>
      </c>
      <c r="P378" s="3" t="str">
        <f aca="false">PROPER(TRIM(raw_data!K378))</f>
        <v>Chairs</v>
      </c>
      <c r="Q378" s="3" t="str">
        <f aca="false">TRIM(raw_data!L378)</f>
        <v>Basic Chairs 248</v>
      </c>
      <c r="R378" s="3" t="str">
        <f aca="false">IF(TRIM(raw_data!M378)="","Unknown",PROPER(TRIM(raw_data!M378)))</f>
        <v>First Class</v>
      </c>
      <c r="S378" s="3" t="str">
        <f aca="false">IF(TRIM(raw_data!M378)="","Filled - Unknown","OK")</f>
        <v>OK</v>
      </c>
      <c r="T378" s="6" t="n">
        <f aca="false">raw_data!N378</f>
        <v>6</v>
      </c>
      <c r="U378" s="7" t="n">
        <f aca="false">raw_data!O378</f>
        <v>1844.78</v>
      </c>
      <c r="V378" s="8" t="n">
        <f aca="false">raw_data!P378</f>
        <v>0.2</v>
      </c>
      <c r="W378" s="8" t="n">
        <f aca="false">IF(raw_data!P378="",0,IF(ISTEXT(raw_data!P378),IF(RIGHT(raw_data!P378,1)="%",VALUE(LEFT(raw_data!P378,LEN(raw_data!P378)-1))/100,VALUE(raw_data!P378)),raw_data!P378))</f>
        <v>0.2</v>
      </c>
      <c r="X378" s="3" t="str">
        <f aca="false">IF(raw_data!P378="","Missing - Defaulted to 0",IF(W378&lt;0,"Negative - Invalid",IF(W378&gt;0.3,"Above Allowed Range - Invalid","Valid")))</f>
        <v>Valid</v>
      </c>
      <c r="Y378" s="7" t="n">
        <f aca="false">raw_data!Q378</f>
        <v>8854.94</v>
      </c>
      <c r="Z378" s="7" t="n">
        <f aca="false">raw_data!R378</f>
        <v>7433.95</v>
      </c>
      <c r="AA378" s="7" t="n">
        <f aca="false">raw_data!S378</f>
        <v>1420.99</v>
      </c>
      <c r="AB378" s="3" t="str">
        <f aca="false">PROPER(TRIM(raw_data!T378))</f>
        <v>Paid</v>
      </c>
      <c r="AC378" s="3" t="str">
        <f aca="false">PROPER(TRIM(raw_data!U378))</f>
        <v>Completed</v>
      </c>
      <c r="AD378" s="7" t="n">
        <f aca="false">T378*U378*(1-W378)</f>
        <v>8854.944</v>
      </c>
      <c r="AE378" s="7" t="n">
        <f aca="false">AD378-Z378</f>
        <v>1420.994</v>
      </c>
      <c r="AF378" s="8" t="n">
        <f aca="false">IF(AD378=0,0,AE378/AD378)</f>
        <v>0.160474645576528</v>
      </c>
      <c r="AG378" s="3" t="str">
        <f aca="false">IF(ABS(Y378-AD378)&gt;1,"Mismatch","OK")</f>
        <v>OK</v>
      </c>
      <c r="AH378" s="3" t="str">
        <f aca="false">IF(ABS(AA378-AE378)&gt;1,"Mismatch","OK")</f>
        <v>OK</v>
      </c>
      <c r="AI378" s="6" t="n">
        <f aca="false">IF(B378="","",MONTH(B378))</f>
        <v>12</v>
      </c>
      <c r="AJ378" s="6" t="n">
        <f aca="false">IF(B378="","",YEAR(B378))</f>
        <v>2024</v>
      </c>
      <c r="AK378" s="3" t="str">
        <f aca="false">IF(COUNTIF(raw_data!$A$2:$A$913,A378)&gt;1,"Conflicting Duplicate - Flagged for Review","Unique")</f>
        <v>Unique</v>
      </c>
      <c r="AL378" s="3" t="str">
        <f aca="false">IF(AB378="Refunded","Yes","No")</f>
        <v>No</v>
      </c>
      <c r="AM378" s="3" t="str">
        <f aca="false">IF(OR(AC378&lt;&gt;"Completed",AB378="Failed"),"Excluded","Included")</f>
        <v>Included</v>
      </c>
      <c r="AN378" s="3" t="str">
        <f aca="false">IF(OR(D378="Invalid/Unrecognized",E378="Invalid/Unrecognized",G378="Invalid - Ship Before Order",X378="Negative - Invalid",X378="Above Allowed Range - Invalid",AG378="Mismatch",AH378="Mismatch",AK378="Conflicting Duplicate - Flagged for Review"),"Invalid",IF(OR(L378="Filled - Unknown",S378="Filled - Unknown",X378="Missing - Defaulted to 0",AL378="Yes",AC378="Cancelled",AC378="Returned"),"Warning","Clean"))</f>
        <v>Clean</v>
      </c>
    </row>
    <row r="379" customFormat="false" ht="15" hidden="false" customHeight="false" outlineLevel="0" collapsed="false">
      <c r="A379" s="3" t="str">
        <f aca="false">raw_data!A379</f>
        <v>ORD-2025-10378</v>
      </c>
      <c r="B379" s="4" t="n">
        <f aca="false">IFERROR(IF(MID(raw_data!B379,3,1)="/",DATE(VALUE(RIGHT(raw_data!B379,4)),VALUE(LEFT(raw_data!B379,2)),VALUE(MID(raw_data!B379,4,2))),IF(MID(raw_data!B379,3,1)="-",DATE(VALUE(RIGHT(raw_data!B379,4)),VALUE(MID(raw_data!B379,4,2)),VALUE(LEFT(raw_data!B379,2))),IF(MID(raw_data!B379,5,1)="-",DATE(VALUE(LEFT(raw_data!B379,4)),VALUE(MID(raw_data!B379,6,2)),VALUE(RIGHT(raw_data!B379,2))),DATE(VALUE(RIGHT(raw_data!B379,4)),MATCH(MID(raw_data!B379,4,3),{"Jan","Feb","Mar","Apr","May","Jun","Jul","Aug","Sep","Oct","Nov","Dec"},0),VALUE(LEFT(raw_data!B379,2)))))),"")</f>
        <v>45801</v>
      </c>
      <c r="C379" s="4" t="n">
        <f aca="false">IFERROR(IF(MID(raw_data!C379,3,1)="/",DATE(VALUE(RIGHT(raw_data!C379,4)),VALUE(LEFT(raw_data!C379,2)),VALUE(MID(raw_data!C379,4,2))),IF(MID(raw_data!C379,3,1)="-",DATE(VALUE(RIGHT(raw_data!C379,4)),VALUE(MID(raw_data!C379,4,2)),VALUE(LEFT(raw_data!C379,2))),IF(MID(raw_data!C379,5,1)="-",DATE(VALUE(LEFT(raw_data!C379,4)),VALUE(MID(raw_data!C379,6,2)),VALUE(RIGHT(raw_data!C379,2))),DATE(VALUE(RIGHT(raw_data!C379,4)),MATCH(MID(raw_data!C379,4,3),{"Jan","Feb","Mar","Apr","May","Jun","Jul","Aug","Sep","Oct","Nov","Dec"},0),VALUE(LEFT(raw_data!C379,2)))))),"")</f>
        <v>45807</v>
      </c>
      <c r="D379" s="3" t="str">
        <f aca="false">IF(TRIM(raw_data!B379)="","Missing",IF(B379="","Invalid/Unrecognized","Valid"))</f>
        <v>Valid</v>
      </c>
      <c r="E379" s="3" t="str">
        <f aca="false">IF(TRIM(raw_data!C379)="","Missing",IF(C379="","Invalid/Unrecognized","Valid"))</f>
        <v>Valid</v>
      </c>
      <c r="F379" s="5" t="n">
        <f aca="false">IF(OR(B379="",C379=""),"",C379-B379)</f>
        <v>6</v>
      </c>
      <c r="G379" s="3" t="str">
        <f aca="false">IF(F379="","N/A",IF(F379&lt;0,"Invalid - Ship Before Order","OK"))</f>
        <v>OK</v>
      </c>
      <c r="H379" s="3" t="str">
        <f aca="false">raw_data!D379</f>
        <v>CUST-4875</v>
      </c>
      <c r="I379" s="3" t="str">
        <f aca="false">PROPER(TRIM(raw_data!E379))</f>
        <v>Kabir Singh</v>
      </c>
      <c r="J379" s="3" t="str">
        <f aca="false">PROPER(TRIM(raw_data!F379))</f>
        <v>Small Business</v>
      </c>
      <c r="K379" s="3" t="str">
        <f aca="false">IF(TRIM(raw_data!G379)="","Unknown",PROPER(TRIM(raw_data!G379)))</f>
        <v>East</v>
      </c>
      <c r="L379" s="3" t="str">
        <f aca="false">IF(TRIM(raw_data!G379)="","Filled - Unknown","OK")</f>
        <v>OK</v>
      </c>
      <c r="M379" s="3" t="str">
        <f aca="false">PROPER(TRIM(raw_data!H379))</f>
        <v>Odisha</v>
      </c>
      <c r="N379" s="3" t="str">
        <f aca="false">PROPER(TRIM(raw_data!I379))</f>
        <v>Bhubaneswar</v>
      </c>
      <c r="O379" s="3" t="str">
        <f aca="false">PROPER(TRIM(raw_data!J379))</f>
        <v>Office Supplies</v>
      </c>
      <c r="P379" s="3" t="str">
        <f aca="false">PROPER(TRIM(raw_data!K379))</f>
        <v>Storage</v>
      </c>
      <c r="Q379" s="3" t="str">
        <f aca="false">TRIM(raw_data!L379)</f>
        <v>Basic Storage 360</v>
      </c>
      <c r="R379" s="3" t="str">
        <f aca="false">IF(TRIM(raw_data!M379)="","Unknown",PROPER(TRIM(raw_data!M379)))</f>
        <v>Same Day</v>
      </c>
      <c r="S379" s="3" t="str">
        <f aca="false">IF(TRIM(raw_data!M379)="","Filled - Unknown","OK")</f>
        <v>OK</v>
      </c>
      <c r="T379" s="6" t="n">
        <f aca="false">raw_data!N379</f>
        <v>1</v>
      </c>
      <c r="U379" s="7" t="n">
        <f aca="false">raw_data!O379</f>
        <v>2564.74</v>
      </c>
      <c r="V379" s="8" t="n">
        <f aca="false">raw_data!P379</f>
        <v>0</v>
      </c>
      <c r="W379" s="8" t="n">
        <f aca="false">IF(raw_data!P379="",0,IF(ISTEXT(raw_data!P379),IF(RIGHT(raw_data!P379,1)="%",VALUE(LEFT(raw_data!P379,LEN(raw_data!P379)-1))/100,VALUE(raw_data!P379)),raw_data!P379))</f>
        <v>0</v>
      </c>
      <c r="X379" s="3" t="str">
        <f aca="false">IF(raw_data!P379="","Missing - Defaulted to 0",IF(W379&lt;0,"Negative - Invalid",IF(W379&gt;0.3,"Above Allowed Range - Invalid","Valid")))</f>
        <v>Valid</v>
      </c>
      <c r="Y379" s="7" t="n">
        <f aca="false">raw_data!Q379</f>
        <v>2564.74</v>
      </c>
      <c r="Z379" s="7" t="n">
        <f aca="false">raw_data!R379</f>
        <v>1754.58</v>
      </c>
      <c r="AA379" s="7" t="n">
        <f aca="false">raw_data!S379</f>
        <v>810.16</v>
      </c>
      <c r="AB379" s="3" t="str">
        <f aca="false">PROPER(TRIM(raw_data!T379))</f>
        <v>Paid</v>
      </c>
      <c r="AC379" s="3" t="str">
        <f aca="false">PROPER(TRIM(raw_data!U379))</f>
        <v>Completed</v>
      </c>
      <c r="AD379" s="7" t="n">
        <f aca="false">T379*U379*(1-W379)</f>
        <v>2564.74</v>
      </c>
      <c r="AE379" s="7" t="n">
        <f aca="false">AD379-Z379</f>
        <v>810.16</v>
      </c>
      <c r="AF379" s="8" t="n">
        <f aca="false">IF(AD379=0,0,AE379/AD379)</f>
        <v>0.315883871269602</v>
      </c>
      <c r="AG379" s="3" t="str">
        <f aca="false">IF(ABS(Y379-AD379)&gt;1,"Mismatch","OK")</f>
        <v>OK</v>
      </c>
      <c r="AH379" s="3" t="str">
        <f aca="false">IF(ABS(AA379-AE379)&gt;1,"Mismatch","OK")</f>
        <v>OK</v>
      </c>
      <c r="AI379" s="6" t="n">
        <f aca="false">IF(B379="","",MONTH(B379))</f>
        <v>5</v>
      </c>
      <c r="AJ379" s="6" t="n">
        <f aca="false">IF(B379="","",YEAR(B379))</f>
        <v>2025</v>
      </c>
      <c r="AK379" s="3" t="str">
        <f aca="false">IF(COUNTIF(raw_data!$A$2:$A$913,A379)&gt;1,"Conflicting Duplicate - Flagged for Review","Unique")</f>
        <v>Unique</v>
      </c>
      <c r="AL379" s="3" t="str">
        <f aca="false">IF(AB379="Refunded","Yes","No")</f>
        <v>No</v>
      </c>
      <c r="AM379" s="3" t="str">
        <f aca="false">IF(OR(AC379&lt;&gt;"Completed",AB379="Failed"),"Excluded","Included")</f>
        <v>Included</v>
      </c>
      <c r="AN379" s="3" t="str">
        <f aca="false">IF(OR(D379="Invalid/Unrecognized",E379="Invalid/Unrecognized",G379="Invalid - Ship Before Order",X379="Negative - Invalid",X379="Above Allowed Range - Invalid",AG379="Mismatch",AH379="Mismatch",AK379="Conflicting Duplicate - Flagged for Review"),"Invalid",IF(OR(L379="Filled - Unknown",S379="Filled - Unknown",X379="Missing - Defaulted to 0",AL379="Yes",AC379="Cancelled",AC379="Returned"),"Warning","Clean"))</f>
        <v>Clean</v>
      </c>
    </row>
    <row r="380" customFormat="false" ht="15" hidden="false" customHeight="false" outlineLevel="0" collapsed="false">
      <c r="A380" s="3" t="str">
        <f aca="false">raw_data!A380</f>
        <v>ORD-2025-10379</v>
      </c>
      <c r="B380" s="4" t="n">
        <f aca="false">IFERROR(IF(MID(raw_data!B380,3,1)="/",DATE(VALUE(RIGHT(raw_data!B380,4)),VALUE(LEFT(raw_data!B380,2)),VALUE(MID(raw_data!B380,4,2))),IF(MID(raw_data!B380,3,1)="-",DATE(VALUE(RIGHT(raw_data!B380,4)),VALUE(MID(raw_data!B380,4,2)),VALUE(LEFT(raw_data!B380,2))),IF(MID(raw_data!B380,5,1)="-",DATE(VALUE(LEFT(raw_data!B380,4)),VALUE(MID(raw_data!B380,6,2)),VALUE(RIGHT(raw_data!B380,2))),DATE(VALUE(RIGHT(raw_data!B380,4)),MATCH(MID(raw_data!B380,4,3),{"Jan","Feb","Mar","Apr","May","Jun","Jul","Aug","Sep","Oct","Nov","Dec"},0),VALUE(LEFT(raw_data!B380,2)))))),"")</f>
        <v>45799</v>
      </c>
      <c r="C380" s="4" t="n">
        <f aca="false">IFERROR(IF(MID(raw_data!C380,3,1)="/",DATE(VALUE(RIGHT(raw_data!C380,4)),VALUE(LEFT(raw_data!C380,2)),VALUE(MID(raw_data!C380,4,2))),IF(MID(raw_data!C380,3,1)="-",DATE(VALUE(RIGHT(raw_data!C380,4)),VALUE(MID(raw_data!C380,4,2)),VALUE(LEFT(raw_data!C380,2))),IF(MID(raw_data!C380,5,1)="-",DATE(VALUE(LEFT(raw_data!C380,4)),VALUE(MID(raw_data!C380,6,2)),VALUE(RIGHT(raw_data!C380,2))),DATE(VALUE(RIGHT(raw_data!C380,4)),MATCH(MID(raw_data!C380,4,3),{"Jan","Feb","Mar","Apr","May","Jun","Jul","Aug","Sep","Oct","Nov","Dec"},0),VALUE(LEFT(raw_data!C380,2)))))),"")</f>
        <v>45799</v>
      </c>
      <c r="D380" s="3" t="str">
        <f aca="false">IF(TRIM(raw_data!B380)="","Missing",IF(B380="","Invalid/Unrecognized","Valid"))</f>
        <v>Valid</v>
      </c>
      <c r="E380" s="3" t="str">
        <f aca="false">IF(TRIM(raw_data!C380)="","Missing",IF(C380="","Invalid/Unrecognized","Valid"))</f>
        <v>Valid</v>
      </c>
      <c r="F380" s="5" t="n">
        <f aca="false">IF(OR(B380="",C380=""),"",C380-B380)</f>
        <v>0</v>
      </c>
      <c r="G380" s="3" t="str">
        <f aca="false">IF(F380="","N/A",IF(F380&lt;0,"Invalid - Ship Before Order","OK"))</f>
        <v>OK</v>
      </c>
      <c r="H380" s="3" t="str">
        <f aca="false">raw_data!D380</f>
        <v>CUST-3154</v>
      </c>
      <c r="I380" s="3" t="str">
        <f aca="false">PROPER(TRIM(raw_data!E380))</f>
        <v>Mira Das</v>
      </c>
      <c r="J380" s="3" t="str">
        <f aca="false">PROPER(TRIM(raw_data!F380))</f>
        <v>Consumer</v>
      </c>
      <c r="K380" s="3" t="str">
        <f aca="false">IF(TRIM(raw_data!G380)="","Unknown",PROPER(TRIM(raw_data!G380)))</f>
        <v>West</v>
      </c>
      <c r="L380" s="3" t="str">
        <f aca="false">IF(TRIM(raw_data!G380)="","Filled - Unknown","OK")</f>
        <v>OK</v>
      </c>
      <c r="M380" s="3" t="str">
        <f aca="false">PROPER(TRIM(raw_data!H380))</f>
        <v>Goa</v>
      </c>
      <c r="N380" s="3" t="str">
        <f aca="false">PROPER(TRIM(raw_data!I380))</f>
        <v>Panaji</v>
      </c>
      <c r="O380" s="3" t="str">
        <f aca="false">PROPER(TRIM(raw_data!J380))</f>
        <v>Technology</v>
      </c>
      <c r="P380" s="3" t="str">
        <f aca="false">PROPER(TRIM(raw_data!K380))</f>
        <v>Accessories</v>
      </c>
      <c r="Q380" s="3" t="str">
        <f aca="false">TRIM(raw_data!L380)</f>
        <v>Basic Accessories 988</v>
      </c>
      <c r="R380" s="3" t="str">
        <f aca="false">IF(TRIM(raw_data!M380)="","Unknown",PROPER(TRIM(raw_data!M380)))</f>
        <v>Standard Class</v>
      </c>
      <c r="S380" s="3" t="str">
        <f aca="false">IF(TRIM(raw_data!M380)="","Filled - Unknown","OK")</f>
        <v>OK</v>
      </c>
      <c r="T380" s="6" t="n">
        <f aca="false">raw_data!N380</f>
        <v>2</v>
      </c>
      <c r="U380" s="7" t="n">
        <f aca="false">raw_data!O380</f>
        <v>3910.61</v>
      </c>
      <c r="V380" s="8" t="n">
        <f aca="false">raw_data!P380</f>
        <v>0</v>
      </c>
      <c r="W380" s="8" t="n">
        <f aca="false">IF(raw_data!P380="",0,IF(ISTEXT(raw_data!P380),IF(RIGHT(raw_data!P380,1)="%",VALUE(LEFT(raw_data!P380,LEN(raw_data!P380)-1))/100,VALUE(raw_data!P380)),raw_data!P380))</f>
        <v>0</v>
      </c>
      <c r="X380" s="3" t="str">
        <f aca="false">IF(raw_data!P380="","Missing - Defaulted to 0",IF(W380&lt;0,"Negative - Invalid",IF(W380&gt;0.3,"Above Allowed Range - Invalid","Valid")))</f>
        <v>Valid</v>
      </c>
      <c r="Y380" s="7" t="n">
        <f aca="false">raw_data!Q380</f>
        <v>7821.22</v>
      </c>
      <c r="Z380" s="7" t="n">
        <f aca="false">raw_data!R380</f>
        <v>4994.46</v>
      </c>
      <c r="AA380" s="7" t="n">
        <f aca="false">raw_data!S380</f>
        <v>2826.76</v>
      </c>
      <c r="AB380" s="3" t="str">
        <f aca="false">PROPER(TRIM(raw_data!T380))</f>
        <v>Paid</v>
      </c>
      <c r="AC380" s="3" t="str">
        <f aca="false">PROPER(TRIM(raw_data!U380))</f>
        <v>Completed</v>
      </c>
      <c r="AD380" s="7" t="n">
        <f aca="false">T380*U380*(1-W380)</f>
        <v>7821.22</v>
      </c>
      <c r="AE380" s="7" t="n">
        <f aca="false">AD380-Z380</f>
        <v>2826.76</v>
      </c>
      <c r="AF380" s="8" t="n">
        <f aca="false">IF(AD380=0,0,AE380/AD380)</f>
        <v>0.361421875359599</v>
      </c>
      <c r="AG380" s="3" t="str">
        <f aca="false">IF(ABS(Y380-AD380)&gt;1,"Mismatch","OK")</f>
        <v>OK</v>
      </c>
      <c r="AH380" s="3" t="str">
        <f aca="false">IF(ABS(AA380-AE380)&gt;1,"Mismatch","OK")</f>
        <v>OK</v>
      </c>
      <c r="AI380" s="6" t="n">
        <f aca="false">IF(B380="","",MONTH(B380))</f>
        <v>5</v>
      </c>
      <c r="AJ380" s="6" t="n">
        <f aca="false">IF(B380="","",YEAR(B380))</f>
        <v>2025</v>
      </c>
      <c r="AK380" s="3" t="str">
        <f aca="false">IF(COUNTIF(raw_data!$A$2:$A$913,A380)&gt;1,"Conflicting Duplicate - Flagged for Review","Unique")</f>
        <v>Unique</v>
      </c>
      <c r="AL380" s="3" t="str">
        <f aca="false">IF(AB380="Refunded","Yes","No")</f>
        <v>No</v>
      </c>
      <c r="AM380" s="3" t="str">
        <f aca="false">IF(OR(AC380&lt;&gt;"Completed",AB380="Failed"),"Excluded","Included")</f>
        <v>Included</v>
      </c>
      <c r="AN380" s="3" t="str">
        <f aca="false">IF(OR(D380="Invalid/Unrecognized",E380="Invalid/Unrecognized",G380="Invalid - Ship Before Order",X380="Negative - Invalid",X380="Above Allowed Range - Invalid",AG380="Mismatch",AH380="Mismatch",AK380="Conflicting Duplicate - Flagged for Review"),"Invalid",IF(OR(L380="Filled - Unknown",S380="Filled - Unknown",X380="Missing - Defaulted to 0",AL380="Yes",AC380="Cancelled",AC380="Returned"),"Warning","Clean"))</f>
        <v>Clean</v>
      </c>
    </row>
    <row r="381" customFormat="false" ht="15" hidden="false" customHeight="false" outlineLevel="0" collapsed="false">
      <c r="A381" s="3" t="str">
        <f aca="false">raw_data!A381</f>
        <v>ORD-2024-10380</v>
      </c>
      <c r="B381" s="4" t="n">
        <f aca="false">IFERROR(IF(MID(raw_data!B381,3,1)="/",DATE(VALUE(RIGHT(raw_data!B381,4)),VALUE(LEFT(raw_data!B381,2)),VALUE(MID(raw_data!B381,4,2))),IF(MID(raw_data!B381,3,1)="-",DATE(VALUE(RIGHT(raw_data!B381,4)),VALUE(MID(raw_data!B381,4,2)),VALUE(LEFT(raw_data!B381,2))),IF(MID(raw_data!B381,5,1)="-",DATE(VALUE(LEFT(raw_data!B381,4)),VALUE(MID(raw_data!B381,6,2)),VALUE(RIGHT(raw_data!B381,2))),DATE(VALUE(RIGHT(raw_data!B381,4)),MATCH(MID(raw_data!B381,4,3),{"Jan","Feb","Mar","Apr","May","Jun","Jul","Aug","Sep","Oct","Nov","Dec"},0),VALUE(LEFT(raw_data!B381,2)))))),"")</f>
        <v>45554</v>
      </c>
      <c r="C381" s="4" t="n">
        <f aca="false">IFERROR(IF(MID(raw_data!C381,3,1)="/",DATE(VALUE(RIGHT(raw_data!C381,4)),VALUE(LEFT(raw_data!C381,2)),VALUE(MID(raw_data!C381,4,2))),IF(MID(raw_data!C381,3,1)="-",DATE(VALUE(RIGHT(raw_data!C381,4)),VALUE(MID(raw_data!C381,4,2)),VALUE(LEFT(raw_data!C381,2))),IF(MID(raw_data!C381,5,1)="-",DATE(VALUE(LEFT(raw_data!C381,4)),VALUE(MID(raw_data!C381,6,2)),VALUE(RIGHT(raw_data!C381,2))),DATE(VALUE(RIGHT(raw_data!C381,4)),MATCH(MID(raw_data!C381,4,3),{"Jan","Feb","Mar","Apr","May","Jun","Jul","Aug","Sep","Oct","Nov","Dec"},0),VALUE(LEFT(raw_data!C381,2)))))),"")</f>
        <v>45558</v>
      </c>
      <c r="D381" s="3" t="str">
        <f aca="false">IF(TRIM(raw_data!B381)="","Missing",IF(B381="","Invalid/Unrecognized","Valid"))</f>
        <v>Valid</v>
      </c>
      <c r="E381" s="3" t="str">
        <f aca="false">IF(TRIM(raw_data!C381)="","Missing",IF(C381="","Invalid/Unrecognized","Valid"))</f>
        <v>Valid</v>
      </c>
      <c r="F381" s="5" t="n">
        <f aca="false">IF(OR(B381="",C381=""),"",C381-B381)</f>
        <v>4</v>
      </c>
      <c r="G381" s="3" t="str">
        <f aca="false">IF(F381="","N/A",IF(F381&lt;0,"Invalid - Ship Before Order","OK"))</f>
        <v>OK</v>
      </c>
      <c r="H381" s="3" t="str">
        <f aca="false">raw_data!D381</f>
        <v>CUST-6405</v>
      </c>
      <c r="I381" s="3" t="str">
        <f aca="false">PROPER(TRIM(raw_data!E381))</f>
        <v>Mira Das</v>
      </c>
      <c r="J381" s="3" t="str">
        <f aca="false">PROPER(TRIM(raw_data!F381))</f>
        <v>Small Business</v>
      </c>
      <c r="K381" s="3" t="str">
        <f aca="false">IF(TRIM(raw_data!G381)="","Unknown",PROPER(TRIM(raw_data!G381)))</f>
        <v>South</v>
      </c>
      <c r="L381" s="3" t="str">
        <f aca="false">IF(TRIM(raw_data!G381)="","Filled - Unknown","OK")</f>
        <v>OK</v>
      </c>
      <c r="M381" s="3" t="str">
        <f aca="false">PROPER(TRIM(raw_data!H381))</f>
        <v>Kerala</v>
      </c>
      <c r="N381" s="3" t="str">
        <f aca="false">PROPER(TRIM(raw_data!I381))</f>
        <v>Kochi</v>
      </c>
      <c r="O381" s="3" t="str">
        <f aca="false">PROPER(TRIM(raw_data!J381))</f>
        <v>Office Supplies</v>
      </c>
      <c r="P381" s="3" t="str">
        <f aca="false">PROPER(TRIM(raw_data!K381))</f>
        <v>Paper</v>
      </c>
      <c r="Q381" s="3" t="str">
        <f aca="false">TRIM(raw_data!L381)</f>
        <v>Max Paper 334</v>
      </c>
      <c r="R381" s="3" t="str">
        <f aca="false">IF(TRIM(raw_data!M381)="","Unknown",PROPER(TRIM(raw_data!M381)))</f>
        <v>Standard Class</v>
      </c>
      <c r="S381" s="3" t="str">
        <f aca="false">IF(TRIM(raw_data!M381)="","Filled - Unknown","OK")</f>
        <v>OK</v>
      </c>
      <c r="T381" s="6" t="n">
        <f aca="false">raw_data!N381</f>
        <v>7</v>
      </c>
      <c r="U381" s="7" t="n">
        <f aca="false">raw_data!O381</f>
        <v>1136.68</v>
      </c>
      <c r="V381" s="8" t="n">
        <f aca="false">raw_data!P381</f>
        <v>0</v>
      </c>
      <c r="W381" s="8" t="n">
        <f aca="false">IF(raw_data!P381="",0,IF(ISTEXT(raw_data!P381),IF(RIGHT(raw_data!P381,1)="%",VALUE(LEFT(raw_data!P381,LEN(raw_data!P381)-1))/100,VALUE(raw_data!P381)),raw_data!P381))</f>
        <v>0</v>
      </c>
      <c r="X381" s="3" t="str">
        <f aca="false">IF(raw_data!P381="","Missing - Defaulted to 0",IF(W381&lt;0,"Negative - Invalid",IF(W381&gt;0.3,"Above Allowed Range - Invalid","Valid")))</f>
        <v>Missing - Defaulted to 0</v>
      </c>
      <c r="Y381" s="7" t="n">
        <f aca="false">raw_data!Q381</f>
        <v>7956.76</v>
      </c>
      <c r="Z381" s="7" t="n">
        <f aca="false">raw_data!R381</f>
        <v>4799.54</v>
      </c>
      <c r="AA381" s="7" t="n">
        <f aca="false">raw_data!S381</f>
        <v>3157.22</v>
      </c>
      <c r="AB381" s="3" t="str">
        <f aca="false">PROPER(TRIM(raw_data!T381))</f>
        <v>Paid</v>
      </c>
      <c r="AC381" s="3" t="str">
        <f aca="false">PROPER(TRIM(raw_data!U381))</f>
        <v>Completed</v>
      </c>
      <c r="AD381" s="7" t="n">
        <f aca="false">T381*U381*(1-W381)</f>
        <v>7956.76</v>
      </c>
      <c r="AE381" s="7" t="n">
        <f aca="false">AD381-Z381</f>
        <v>3157.22</v>
      </c>
      <c r="AF381" s="8" t="n">
        <f aca="false">IF(AD381=0,0,AE381/AD381)</f>
        <v>0.396797188805494</v>
      </c>
      <c r="AG381" s="3" t="str">
        <f aca="false">IF(ABS(Y381-AD381)&gt;1,"Mismatch","OK")</f>
        <v>OK</v>
      </c>
      <c r="AH381" s="3" t="str">
        <f aca="false">IF(ABS(AA381-AE381)&gt;1,"Mismatch","OK")</f>
        <v>OK</v>
      </c>
      <c r="AI381" s="6" t="n">
        <f aca="false">IF(B381="","",MONTH(B381))</f>
        <v>9</v>
      </c>
      <c r="AJ381" s="6" t="n">
        <f aca="false">IF(B381="","",YEAR(B381))</f>
        <v>2024</v>
      </c>
      <c r="AK381" s="3" t="str">
        <f aca="false">IF(COUNTIF(raw_data!$A$2:$A$913,A381)&gt;1,"Conflicting Duplicate - Flagged for Review","Unique")</f>
        <v>Unique</v>
      </c>
      <c r="AL381" s="3" t="str">
        <f aca="false">IF(AB381="Refunded","Yes","No")</f>
        <v>No</v>
      </c>
      <c r="AM381" s="3" t="str">
        <f aca="false">IF(OR(AC381&lt;&gt;"Completed",AB381="Failed"),"Excluded","Included")</f>
        <v>Included</v>
      </c>
      <c r="AN381" s="3" t="str">
        <f aca="false">IF(OR(D381="Invalid/Unrecognized",E381="Invalid/Unrecognized",G381="Invalid - Ship Before Order",X381="Negative - Invalid",X381="Above Allowed Range - Invalid",AG381="Mismatch",AH381="Mismatch",AK381="Conflicting Duplicate - Flagged for Review"),"Invalid",IF(OR(L381="Filled - Unknown",S381="Filled - Unknown",X381="Missing - Defaulted to 0",AL381="Yes",AC381="Cancelled",AC381="Returned"),"Warning","Clean"))</f>
        <v>Warning</v>
      </c>
    </row>
    <row r="382" customFormat="false" ht="15" hidden="false" customHeight="false" outlineLevel="0" collapsed="false">
      <c r="A382" s="3" t="str">
        <f aca="false">raw_data!A382</f>
        <v>ORD-2024-10381</v>
      </c>
      <c r="B382" s="4" t="n">
        <f aca="false">IFERROR(IF(MID(raw_data!B382,3,1)="/",DATE(VALUE(RIGHT(raw_data!B382,4)),VALUE(LEFT(raw_data!B382,2)),VALUE(MID(raw_data!B382,4,2))),IF(MID(raw_data!B382,3,1)="-",DATE(VALUE(RIGHT(raw_data!B382,4)),VALUE(MID(raw_data!B382,4,2)),VALUE(LEFT(raw_data!B382,2))),IF(MID(raw_data!B382,5,1)="-",DATE(VALUE(LEFT(raw_data!B382,4)),VALUE(MID(raw_data!B382,6,2)),VALUE(RIGHT(raw_data!B382,2))),DATE(VALUE(RIGHT(raw_data!B382,4)),MATCH(MID(raw_data!B382,4,3),{"Jan","Feb","Mar","Apr","May","Jun","Jul","Aug","Sep","Oct","Nov","Dec"},0),VALUE(LEFT(raw_data!B382,2)))))),"")</f>
        <v>45389</v>
      </c>
      <c r="C382" s="4" t="n">
        <f aca="false">IFERROR(IF(MID(raw_data!C382,3,1)="/",DATE(VALUE(RIGHT(raw_data!C382,4)),VALUE(LEFT(raw_data!C382,2)),VALUE(MID(raw_data!C382,4,2))),IF(MID(raw_data!C382,3,1)="-",DATE(VALUE(RIGHT(raw_data!C382,4)),VALUE(MID(raw_data!C382,4,2)),VALUE(LEFT(raw_data!C382,2))),IF(MID(raw_data!C382,5,1)="-",DATE(VALUE(LEFT(raw_data!C382,4)),VALUE(MID(raw_data!C382,6,2)),VALUE(RIGHT(raw_data!C382,2))),DATE(VALUE(RIGHT(raw_data!C382,4)),MATCH(MID(raw_data!C382,4,3),{"Jan","Feb","Mar","Apr","May","Jun","Jul","Aug","Sep","Oct","Nov","Dec"},0),VALUE(LEFT(raw_data!C382,2)))))),"")</f>
        <v>45396</v>
      </c>
      <c r="D382" s="3" t="str">
        <f aca="false">IF(TRIM(raw_data!B382)="","Missing",IF(B382="","Invalid/Unrecognized","Valid"))</f>
        <v>Valid</v>
      </c>
      <c r="E382" s="3" t="str">
        <f aca="false">IF(TRIM(raw_data!C382)="","Missing",IF(C382="","Invalid/Unrecognized","Valid"))</f>
        <v>Valid</v>
      </c>
      <c r="F382" s="5" t="n">
        <f aca="false">IF(OR(B382="",C382=""),"",C382-B382)</f>
        <v>7</v>
      </c>
      <c r="G382" s="3" t="str">
        <f aca="false">IF(F382="","N/A",IF(F382&lt;0,"Invalid - Ship Before Order","OK"))</f>
        <v>OK</v>
      </c>
      <c r="H382" s="3" t="str">
        <f aca="false">raw_data!D382</f>
        <v>CUST-5779</v>
      </c>
      <c r="I382" s="3" t="str">
        <f aca="false">PROPER(TRIM(raw_data!E382))</f>
        <v>Vikram Iyer</v>
      </c>
      <c r="J382" s="3" t="str">
        <f aca="false">PROPER(TRIM(raw_data!F382))</f>
        <v>Consumer</v>
      </c>
      <c r="K382" s="3" t="str">
        <f aca="false">IF(TRIM(raw_data!G382)="","Unknown",PROPER(TRIM(raw_data!G382)))</f>
        <v>West</v>
      </c>
      <c r="L382" s="3" t="str">
        <f aca="false">IF(TRIM(raw_data!G382)="","Filled - Unknown","OK")</f>
        <v>OK</v>
      </c>
      <c r="M382" s="3" t="str">
        <f aca="false">PROPER(TRIM(raw_data!H382))</f>
        <v>Maharashtra</v>
      </c>
      <c r="N382" s="3" t="str">
        <f aca="false">PROPER(TRIM(raw_data!I382))</f>
        <v>Mumbai</v>
      </c>
      <c r="O382" s="3" t="str">
        <f aca="false">PROPER(TRIM(raw_data!J382))</f>
        <v>Furniture</v>
      </c>
      <c r="P382" s="3" t="str">
        <f aca="false">PROPER(TRIM(raw_data!K382))</f>
        <v>Bookcases</v>
      </c>
      <c r="Q382" s="3" t="str">
        <f aca="false">TRIM(raw_data!L382)</f>
        <v>Prime Bookcases 952</v>
      </c>
      <c r="R382" s="3" t="str">
        <f aca="false">IF(TRIM(raw_data!M382)="","Unknown",PROPER(TRIM(raw_data!M382)))</f>
        <v>Same Day</v>
      </c>
      <c r="S382" s="3" t="str">
        <f aca="false">IF(TRIM(raw_data!M382)="","Filled - Unknown","OK")</f>
        <v>OK</v>
      </c>
      <c r="T382" s="6" t="n">
        <f aca="false">raw_data!N382</f>
        <v>5</v>
      </c>
      <c r="U382" s="7" t="n">
        <f aca="false">raw_data!O382</f>
        <v>2235.85</v>
      </c>
      <c r="V382" s="8" t="n">
        <f aca="false">raw_data!P382</f>
        <v>0.25</v>
      </c>
      <c r="W382" s="8" t="n">
        <f aca="false">IF(raw_data!P382="",0,IF(ISTEXT(raw_data!P382),IF(RIGHT(raw_data!P382,1)="%",VALUE(LEFT(raw_data!P382,LEN(raw_data!P382)-1))/100,VALUE(raw_data!P382)),raw_data!P382))</f>
        <v>0.25</v>
      </c>
      <c r="X382" s="3" t="str">
        <f aca="false">IF(raw_data!P382="","Missing - Defaulted to 0",IF(W382&lt;0,"Negative - Invalid",IF(W382&gt;0.3,"Above Allowed Range - Invalid","Valid")))</f>
        <v>Valid</v>
      </c>
      <c r="Y382" s="7" t="n">
        <f aca="false">raw_data!Q382</f>
        <v>8384.44</v>
      </c>
      <c r="Z382" s="7" t="n">
        <f aca="false">raw_data!R382</f>
        <v>4765.96</v>
      </c>
      <c r="AA382" s="7" t="n">
        <f aca="false">raw_data!S382</f>
        <v>3618.48</v>
      </c>
      <c r="AB382" s="3" t="str">
        <f aca="false">PROPER(TRIM(raw_data!T382))</f>
        <v>Paid</v>
      </c>
      <c r="AC382" s="3" t="str">
        <f aca="false">PROPER(TRIM(raw_data!U382))</f>
        <v>Returned</v>
      </c>
      <c r="AD382" s="7" t="n">
        <f aca="false">T382*U382*(1-W382)</f>
        <v>8384.4375</v>
      </c>
      <c r="AE382" s="7" t="n">
        <f aca="false">AD382-Z382</f>
        <v>3618.4775</v>
      </c>
      <c r="AF382" s="8" t="n">
        <f aca="false">IF(AD382=0,0,AE382/AD382)</f>
        <v>0.431570692726853</v>
      </c>
      <c r="AG382" s="3" t="str">
        <f aca="false">IF(ABS(Y382-AD382)&gt;1,"Mismatch","OK")</f>
        <v>OK</v>
      </c>
      <c r="AH382" s="3" t="str">
        <f aca="false">IF(ABS(AA382-AE382)&gt;1,"Mismatch","OK")</f>
        <v>OK</v>
      </c>
      <c r="AI382" s="6" t="n">
        <f aca="false">IF(B382="","",MONTH(B382))</f>
        <v>4</v>
      </c>
      <c r="AJ382" s="6" t="n">
        <f aca="false">IF(B382="","",YEAR(B382))</f>
        <v>2024</v>
      </c>
      <c r="AK382" s="3" t="str">
        <f aca="false">IF(COUNTIF(raw_data!$A$2:$A$913,A382)&gt;1,"Conflicting Duplicate - Flagged for Review","Unique")</f>
        <v>Unique</v>
      </c>
      <c r="AL382" s="3" t="str">
        <f aca="false">IF(AB382="Refunded","Yes","No")</f>
        <v>No</v>
      </c>
      <c r="AM382" s="3" t="str">
        <f aca="false">IF(OR(AC382&lt;&gt;"Completed",AB382="Failed"),"Excluded","Included")</f>
        <v>Excluded</v>
      </c>
      <c r="AN382" s="3" t="str">
        <f aca="false">IF(OR(D382="Invalid/Unrecognized",E382="Invalid/Unrecognized",G382="Invalid - Ship Before Order",X382="Negative - Invalid",X382="Above Allowed Range - Invalid",AG382="Mismatch",AH382="Mismatch",AK382="Conflicting Duplicate - Flagged for Review"),"Invalid",IF(OR(L382="Filled - Unknown",S382="Filled - Unknown",X382="Missing - Defaulted to 0",AL382="Yes",AC382="Cancelled",AC382="Returned"),"Warning","Clean"))</f>
        <v>Warning</v>
      </c>
    </row>
    <row r="383" customFormat="false" ht="15" hidden="false" customHeight="false" outlineLevel="0" collapsed="false">
      <c r="A383" s="3" t="str">
        <f aca="false">raw_data!A383</f>
        <v>ORD-2025-10382</v>
      </c>
      <c r="B383" s="4" t="n">
        <f aca="false">IFERROR(IF(MID(raw_data!B383,3,1)="/",DATE(VALUE(RIGHT(raw_data!B383,4)),VALUE(LEFT(raw_data!B383,2)),VALUE(MID(raw_data!B383,4,2))),IF(MID(raw_data!B383,3,1)="-",DATE(VALUE(RIGHT(raw_data!B383,4)),VALUE(MID(raw_data!B383,4,2)),VALUE(LEFT(raw_data!B383,2))),IF(MID(raw_data!B383,5,1)="-",DATE(VALUE(LEFT(raw_data!B383,4)),VALUE(MID(raw_data!B383,6,2)),VALUE(RIGHT(raw_data!B383,2))),DATE(VALUE(RIGHT(raw_data!B383,4)),MATCH(MID(raw_data!B383,4,3),{"Jan","Feb","Mar","Apr","May","Jun","Jul","Aug","Sep","Oct","Nov","Dec"},0),VALUE(LEFT(raw_data!B383,2)))))),"")</f>
        <v>45919</v>
      </c>
      <c r="C383" s="4" t="n">
        <f aca="false">IFERROR(IF(MID(raw_data!C383,3,1)="/",DATE(VALUE(RIGHT(raw_data!C383,4)),VALUE(LEFT(raw_data!C383,2)),VALUE(MID(raw_data!C383,4,2))),IF(MID(raw_data!C383,3,1)="-",DATE(VALUE(RIGHT(raw_data!C383,4)),VALUE(MID(raw_data!C383,4,2)),VALUE(LEFT(raw_data!C383,2))),IF(MID(raw_data!C383,5,1)="-",DATE(VALUE(LEFT(raw_data!C383,4)),VALUE(MID(raw_data!C383,6,2)),VALUE(RIGHT(raw_data!C383,2))),DATE(VALUE(RIGHT(raw_data!C383,4)),MATCH(MID(raw_data!C383,4,3),{"Jan","Feb","Mar","Apr","May","Jun","Jul","Aug","Sep","Oct","Nov","Dec"},0),VALUE(LEFT(raw_data!C383,2)))))),"")</f>
        <v>45923</v>
      </c>
      <c r="D383" s="3" t="str">
        <f aca="false">IF(TRIM(raw_data!B383)="","Missing",IF(B383="","Invalid/Unrecognized","Valid"))</f>
        <v>Valid</v>
      </c>
      <c r="E383" s="3" t="str">
        <f aca="false">IF(TRIM(raw_data!C383)="","Missing",IF(C383="","Invalid/Unrecognized","Valid"))</f>
        <v>Valid</v>
      </c>
      <c r="F383" s="5" t="n">
        <f aca="false">IF(OR(B383="",C383=""),"",C383-B383)</f>
        <v>4</v>
      </c>
      <c r="G383" s="3" t="str">
        <f aca="false">IF(F383="","N/A",IF(F383&lt;0,"Invalid - Ship Before Order","OK"))</f>
        <v>OK</v>
      </c>
      <c r="H383" s="3" t="str">
        <f aca="false">raw_data!D383</f>
        <v>CUST-9943</v>
      </c>
      <c r="I383" s="3" t="str">
        <f aca="false">PROPER(TRIM(raw_data!E383))</f>
        <v>Arjun Bose</v>
      </c>
      <c r="J383" s="3" t="str">
        <f aca="false">PROPER(TRIM(raw_data!F383))</f>
        <v>Home Office</v>
      </c>
      <c r="K383" s="3" t="str">
        <f aca="false">IF(TRIM(raw_data!G383)="","Unknown",PROPER(TRIM(raw_data!G383)))</f>
        <v>North</v>
      </c>
      <c r="L383" s="3" t="str">
        <f aca="false">IF(TRIM(raw_data!G383)="","Filled - Unknown","OK")</f>
        <v>OK</v>
      </c>
      <c r="M383" s="3" t="str">
        <f aca="false">PROPER(TRIM(raw_data!H383))</f>
        <v>Delhi</v>
      </c>
      <c r="N383" s="3" t="str">
        <f aca="false">PROPER(TRIM(raw_data!I383))</f>
        <v>New Delhi</v>
      </c>
      <c r="O383" s="3" t="str">
        <f aca="false">PROPER(TRIM(raw_data!J383))</f>
        <v>Office Supplies</v>
      </c>
      <c r="P383" s="3" t="str">
        <f aca="false">PROPER(TRIM(raw_data!K383))</f>
        <v>Binders</v>
      </c>
      <c r="Q383" s="3" t="str">
        <f aca="false">TRIM(raw_data!L383)</f>
        <v>Prime Binders 523</v>
      </c>
      <c r="R383" s="3" t="str">
        <f aca="false">IF(TRIM(raw_data!M383)="","Unknown",PROPER(TRIM(raw_data!M383)))</f>
        <v>Standard Class</v>
      </c>
      <c r="S383" s="3" t="str">
        <f aca="false">IF(TRIM(raw_data!M383)="","Filled - Unknown","OK")</f>
        <v>OK</v>
      </c>
      <c r="T383" s="6" t="n">
        <f aca="false">raw_data!N383</f>
        <v>4</v>
      </c>
      <c r="U383" s="7" t="n">
        <f aca="false">raw_data!O383</f>
        <v>4387.15</v>
      </c>
      <c r="V383" s="8" t="n">
        <f aca="false">raw_data!P383</f>
        <v>0.05</v>
      </c>
      <c r="W383" s="8" t="n">
        <f aca="false">IF(raw_data!P383="",0,IF(ISTEXT(raw_data!P383),IF(RIGHT(raw_data!P383,1)="%",VALUE(LEFT(raw_data!P383,LEN(raw_data!P383)-1))/100,VALUE(raw_data!P383)),raw_data!P383))</f>
        <v>0.05</v>
      </c>
      <c r="X383" s="3" t="str">
        <f aca="false">IF(raw_data!P383="","Missing - Defaulted to 0",IF(W383&lt;0,"Negative - Invalid",IF(W383&gt;0.3,"Above Allowed Range - Invalid","Valid")))</f>
        <v>Valid</v>
      </c>
      <c r="Y383" s="7" t="n">
        <f aca="false">raw_data!Q383</f>
        <v>16671.17</v>
      </c>
      <c r="Z383" s="7" t="n">
        <f aca="false">raw_data!R383</f>
        <v>10833.19</v>
      </c>
      <c r="AA383" s="7" t="n">
        <f aca="false">raw_data!S383</f>
        <v>5837.98</v>
      </c>
      <c r="AB383" s="3" t="str">
        <f aca="false">PROPER(TRIM(raw_data!T383))</f>
        <v>Failed</v>
      </c>
      <c r="AC383" s="3" t="str">
        <f aca="false">PROPER(TRIM(raw_data!U383))</f>
        <v>Cancelled</v>
      </c>
      <c r="AD383" s="7" t="n">
        <f aca="false">T383*U383*(1-W383)</f>
        <v>16671.17</v>
      </c>
      <c r="AE383" s="7" t="n">
        <f aca="false">AD383-Z383</f>
        <v>5837.98</v>
      </c>
      <c r="AF383" s="8" t="n">
        <f aca="false">IF(AD383=0,0,AE383/AD383)</f>
        <v>0.350184180234501</v>
      </c>
      <c r="AG383" s="3" t="str">
        <f aca="false">IF(ABS(Y383-AD383)&gt;1,"Mismatch","OK")</f>
        <v>OK</v>
      </c>
      <c r="AH383" s="3" t="str">
        <f aca="false">IF(ABS(AA383-AE383)&gt;1,"Mismatch","OK")</f>
        <v>OK</v>
      </c>
      <c r="AI383" s="6" t="n">
        <f aca="false">IF(B383="","",MONTH(B383))</f>
        <v>9</v>
      </c>
      <c r="AJ383" s="6" t="n">
        <f aca="false">IF(B383="","",YEAR(B383))</f>
        <v>2025</v>
      </c>
      <c r="AK383" s="3" t="str">
        <f aca="false">IF(COUNTIF(raw_data!$A$2:$A$913,A383)&gt;1,"Conflicting Duplicate - Flagged for Review","Unique")</f>
        <v>Unique</v>
      </c>
      <c r="AL383" s="3" t="str">
        <f aca="false">IF(AB383="Refunded","Yes","No")</f>
        <v>No</v>
      </c>
      <c r="AM383" s="3" t="str">
        <f aca="false">IF(OR(AC383&lt;&gt;"Completed",AB383="Failed"),"Excluded","Included")</f>
        <v>Excluded</v>
      </c>
      <c r="AN383" s="3" t="str">
        <f aca="false">IF(OR(D383="Invalid/Unrecognized",E383="Invalid/Unrecognized",G383="Invalid - Ship Before Order",X383="Negative - Invalid",X383="Above Allowed Range - Invalid",AG383="Mismatch",AH383="Mismatch",AK383="Conflicting Duplicate - Flagged for Review"),"Invalid",IF(OR(L383="Filled - Unknown",S383="Filled - Unknown",X383="Missing - Defaulted to 0",AL383="Yes",AC383="Cancelled",AC383="Returned"),"Warning","Clean"))</f>
        <v>Warning</v>
      </c>
    </row>
    <row r="384" customFormat="false" ht="15" hidden="false" customHeight="false" outlineLevel="0" collapsed="false">
      <c r="A384" s="3" t="str">
        <f aca="false">raw_data!A384</f>
        <v>ORD-2025-10383</v>
      </c>
      <c r="B384" s="4" t="n">
        <f aca="false">IFERROR(IF(MID(raw_data!B384,3,1)="/",DATE(VALUE(RIGHT(raw_data!B384,4)),VALUE(LEFT(raw_data!B384,2)),VALUE(MID(raw_data!B384,4,2))),IF(MID(raw_data!B384,3,1)="-",DATE(VALUE(RIGHT(raw_data!B384,4)),VALUE(MID(raw_data!B384,4,2)),VALUE(LEFT(raw_data!B384,2))),IF(MID(raw_data!B384,5,1)="-",DATE(VALUE(LEFT(raw_data!B384,4)),VALUE(MID(raw_data!B384,6,2)),VALUE(RIGHT(raw_data!B384,2))),DATE(VALUE(RIGHT(raw_data!B384,4)),MATCH(MID(raw_data!B384,4,3),{"Jan","Feb","Mar","Apr","May","Jun","Jul","Aug","Sep","Oct","Nov","Dec"},0),VALUE(LEFT(raw_data!B384,2)))))),"")</f>
        <v>45720</v>
      </c>
      <c r="C384" s="4" t="n">
        <f aca="false">IFERROR(IF(MID(raw_data!C384,3,1)="/",DATE(VALUE(RIGHT(raw_data!C384,4)),VALUE(LEFT(raw_data!C384,2)),VALUE(MID(raw_data!C384,4,2))),IF(MID(raw_data!C384,3,1)="-",DATE(VALUE(RIGHT(raw_data!C384,4)),VALUE(MID(raw_data!C384,4,2)),VALUE(LEFT(raw_data!C384,2))),IF(MID(raw_data!C384,5,1)="-",DATE(VALUE(LEFT(raw_data!C384,4)),VALUE(MID(raw_data!C384,6,2)),VALUE(RIGHT(raw_data!C384,2))),DATE(VALUE(RIGHT(raw_data!C384,4)),MATCH(MID(raw_data!C384,4,3),{"Jan","Feb","Mar","Apr","May","Jun","Jul","Aug","Sep","Oct","Nov","Dec"},0),VALUE(LEFT(raw_data!C384,2)))))),"")</f>
        <v>45724</v>
      </c>
      <c r="D384" s="3" t="str">
        <f aca="false">IF(TRIM(raw_data!B384)="","Missing",IF(B384="","Invalid/Unrecognized","Valid"))</f>
        <v>Valid</v>
      </c>
      <c r="E384" s="3" t="str">
        <f aca="false">IF(TRIM(raw_data!C384)="","Missing",IF(C384="","Invalid/Unrecognized","Valid"))</f>
        <v>Valid</v>
      </c>
      <c r="F384" s="5" t="n">
        <f aca="false">IF(OR(B384="",C384=""),"",C384-B384)</f>
        <v>4</v>
      </c>
      <c r="G384" s="3" t="str">
        <f aca="false">IF(F384="","N/A",IF(F384&lt;0,"Invalid - Ship Before Order","OK"))</f>
        <v>OK</v>
      </c>
      <c r="H384" s="3" t="str">
        <f aca="false">raw_data!D384</f>
        <v>CUST-7098</v>
      </c>
      <c r="I384" s="3" t="str">
        <f aca="false">PROPER(TRIM(raw_data!E384))</f>
        <v>Arjun Bose</v>
      </c>
      <c r="J384" s="3" t="str">
        <f aca="false">PROPER(TRIM(raw_data!F384))</f>
        <v>Small Business</v>
      </c>
      <c r="K384" s="3" t="str">
        <f aca="false">IF(TRIM(raw_data!G384)="","Unknown",PROPER(TRIM(raw_data!G384)))</f>
        <v>East</v>
      </c>
      <c r="L384" s="3" t="str">
        <f aca="false">IF(TRIM(raw_data!G384)="","Filled - Unknown","OK")</f>
        <v>OK</v>
      </c>
      <c r="M384" s="3" t="str">
        <f aca="false">PROPER(TRIM(raw_data!H384))</f>
        <v>Bihar</v>
      </c>
      <c r="N384" s="3" t="str">
        <f aca="false">PROPER(TRIM(raw_data!I384))</f>
        <v>Patna</v>
      </c>
      <c r="O384" s="3" t="str">
        <f aca="false">PROPER(TRIM(raw_data!J384))</f>
        <v>Technology</v>
      </c>
      <c r="P384" s="3" t="str">
        <f aca="false">PROPER(TRIM(raw_data!K384))</f>
        <v>Phones</v>
      </c>
      <c r="Q384" s="3" t="str">
        <f aca="false">TRIM(raw_data!L384)</f>
        <v>Pro Phones 538</v>
      </c>
      <c r="R384" s="3" t="str">
        <f aca="false">IF(TRIM(raw_data!M384)="","Unknown",PROPER(TRIM(raw_data!M384)))</f>
        <v>First Class</v>
      </c>
      <c r="S384" s="3" t="str">
        <f aca="false">IF(TRIM(raw_data!M384)="","Filled - Unknown","OK")</f>
        <v>OK</v>
      </c>
      <c r="T384" s="6" t="n">
        <f aca="false">raw_data!N384</f>
        <v>3</v>
      </c>
      <c r="U384" s="7" t="n">
        <f aca="false">raw_data!O384</f>
        <v>4361.85</v>
      </c>
      <c r="V384" s="8" t="n">
        <f aca="false">raw_data!P384</f>
        <v>0.2</v>
      </c>
      <c r="W384" s="8" t="n">
        <f aca="false">IF(raw_data!P384="",0,IF(ISTEXT(raw_data!P384),IF(RIGHT(raw_data!P384,1)="%",VALUE(LEFT(raw_data!P384,LEN(raw_data!P384)-1))/100,VALUE(raw_data!P384)),raw_data!P384))</f>
        <v>0.2</v>
      </c>
      <c r="X384" s="3" t="str">
        <f aca="false">IF(raw_data!P384="","Missing - Defaulted to 0",IF(W384&lt;0,"Negative - Invalid",IF(W384&gt;0.3,"Above Allowed Range - Invalid","Valid")))</f>
        <v>Valid</v>
      </c>
      <c r="Y384" s="7" t="n">
        <f aca="false">raw_data!Q384</f>
        <v>10468.44</v>
      </c>
      <c r="Z384" s="7" t="n">
        <f aca="false">raw_data!R384</f>
        <v>8399.87</v>
      </c>
      <c r="AA384" s="7" t="n">
        <f aca="false">raw_data!S384</f>
        <v>2068.57</v>
      </c>
      <c r="AB384" s="3" t="str">
        <f aca="false">PROPER(TRIM(raw_data!T384))</f>
        <v>Paid</v>
      </c>
      <c r="AC384" s="3" t="str">
        <f aca="false">PROPER(TRIM(raw_data!U384))</f>
        <v>Completed</v>
      </c>
      <c r="AD384" s="7" t="n">
        <f aca="false">T384*U384*(1-W384)</f>
        <v>10468.44</v>
      </c>
      <c r="AE384" s="7" t="n">
        <f aca="false">AD384-Z384</f>
        <v>2068.57</v>
      </c>
      <c r="AF384" s="8" t="n">
        <f aca="false">IF(AD384=0,0,AE384/AD384)</f>
        <v>0.197600597605756</v>
      </c>
      <c r="AG384" s="3" t="str">
        <f aca="false">IF(ABS(Y384-AD384)&gt;1,"Mismatch","OK")</f>
        <v>OK</v>
      </c>
      <c r="AH384" s="3" t="str">
        <f aca="false">IF(ABS(AA384-AE384)&gt;1,"Mismatch","OK")</f>
        <v>OK</v>
      </c>
      <c r="AI384" s="6" t="n">
        <f aca="false">IF(B384="","",MONTH(B384))</f>
        <v>3</v>
      </c>
      <c r="AJ384" s="6" t="n">
        <f aca="false">IF(B384="","",YEAR(B384))</f>
        <v>2025</v>
      </c>
      <c r="AK384" s="3" t="str">
        <f aca="false">IF(COUNTIF(raw_data!$A$2:$A$913,A384)&gt;1,"Conflicting Duplicate - Flagged for Review","Unique")</f>
        <v>Unique</v>
      </c>
      <c r="AL384" s="3" t="str">
        <f aca="false">IF(AB384="Refunded","Yes","No")</f>
        <v>No</v>
      </c>
      <c r="AM384" s="3" t="str">
        <f aca="false">IF(OR(AC384&lt;&gt;"Completed",AB384="Failed"),"Excluded","Included")</f>
        <v>Included</v>
      </c>
      <c r="AN384" s="3" t="str">
        <f aca="false">IF(OR(D384="Invalid/Unrecognized",E384="Invalid/Unrecognized",G384="Invalid - Ship Before Order",X384="Negative - Invalid",X384="Above Allowed Range - Invalid",AG384="Mismatch",AH384="Mismatch",AK384="Conflicting Duplicate - Flagged for Review"),"Invalid",IF(OR(L384="Filled - Unknown",S384="Filled - Unknown",X384="Missing - Defaulted to 0",AL384="Yes",AC384="Cancelled",AC384="Returned"),"Warning","Clean"))</f>
        <v>Clean</v>
      </c>
    </row>
    <row r="385" customFormat="false" ht="15" hidden="false" customHeight="false" outlineLevel="0" collapsed="false">
      <c r="A385" s="3" t="str">
        <f aca="false">raw_data!A385</f>
        <v>ORD-2025-10384</v>
      </c>
      <c r="B385" s="4" t="n">
        <f aca="false">IFERROR(IF(MID(raw_data!B385,3,1)="/",DATE(VALUE(RIGHT(raw_data!B385,4)),VALUE(LEFT(raw_data!B385,2)),VALUE(MID(raw_data!B385,4,2))),IF(MID(raw_data!B385,3,1)="-",DATE(VALUE(RIGHT(raw_data!B385,4)),VALUE(MID(raw_data!B385,4,2)),VALUE(LEFT(raw_data!B385,2))),IF(MID(raw_data!B385,5,1)="-",DATE(VALUE(LEFT(raw_data!B385,4)),VALUE(MID(raw_data!B385,6,2)),VALUE(RIGHT(raw_data!B385,2))),DATE(VALUE(RIGHT(raw_data!B385,4)),MATCH(MID(raw_data!B385,4,3),{"Jan","Feb","Mar","Apr","May","Jun","Jul","Aug","Sep","Oct","Nov","Dec"},0),VALUE(LEFT(raw_data!B385,2)))))),"")</f>
        <v>45836</v>
      </c>
      <c r="C385" s="4" t="n">
        <f aca="false">IFERROR(IF(MID(raw_data!C385,3,1)="/",DATE(VALUE(RIGHT(raw_data!C385,4)),VALUE(LEFT(raw_data!C385,2)),VALUE(MID(raw_data!C385,4,2))),IF(MID(raw_data!C385,3,1)="-",DATE(VALUE(RIGHT(raw_data!C385,4)),VALUE(MID(raw_data!C385,4,2)),VALUE(LEFT(raw_data!C385,2))),IF(MID(raw_data!C385,5,1)="-",DATE(VALUE(LEFT(raw_data!C385,4)),VALUE(MID(raw_data!C385,6,2)),VALUE(RIGHT(raw_data!C385,2))),DATE(VALUE(RIGHT(raw_data!C385,4)),MATCH(MID(raw_data!C385,4,3),{"Jan","Feb","Mar","Apr","May","Jun","Jul","Aug","Sep","Oct","Nov","Dec"},0),VALUE(LEFT(raw_data!C385,2)))))),"")</f>
        <v>45843</v>
      </c>
      <c r="D385" s="3" t="str">
        <f aca="false">IF(TRIM(raw_data!B385)="","Missing",IF(B385="","Invalid/Unrecognized","Valid"))</f>
        <v>Valid</v>
      </c>
      <c r="E385" s="3" t="str">
        <f aca="false">IF(TRIM(raw_data!C385)="","Missing",IF(C385="","Invalid/Unrecognized","Valid"))</f>
        <v>Valid</v>
      </c>
      <c r="F385" s="5" t="n">
        <f aca="false">IF(OR(B385="",C385=""),"",C385-B385)</f>
        <v>7</v>
      </c>
      <c r="G385" s="3" t="str">
        <f aca="false">IF(F385="","N/A",IF(F385&lt;0,"Invalid - Ship Before Order","OK"))</f>
        <v>OK</v>
      </c>
      <c r="H385" s="3" t="str">
        <f aca="false">raw_data!D385</f>
        <v>CUST-7438</v>
      </c>
      <c r="I385" s="3" t="str">
        <f aca="false">PROPER(TRIM(raw_data!E385))</f>
        <v>Vikram Iyer</v>
      </c>
      <c r="J385" s="3" t="str">
        <f aca="false">PROPER(TRIM(raw_data!F385))</f>
        <v>Corporate</v>
      </c>
      <c r="K385" s="3" t="str">
        <f aca="false">IF(TRIM(raw_data!G385)="","Unknown",PROPER(TRIM(raw_data!G385)))</f>
        <v>East</v>
      </c>
      <c r="L385" s="3" t="str">
        <f aca="false">IF(TRIM(raw_data!G385)="","Filled - Unknown","OK")</f>
        <v>OK</v>
      </c>
      <c r="M385" s="3" t="str">
        <f aca="false">PROPER(TRIM(raw_data!H385))</f>
        <v>West Bengal</v>
      </c>
      <c r="N385" s="3" t="str">
        <f aca="false">PROPER(TRIM(raw_data!I385))</f>
        <v>Kolkata</v>
      </c>
      <c r="O385" s="3" t="str">
        <f aca="false">PROPER(TRIM(raw_data!J385))</f>
        <v>Office Supplies</v>
      </c>
      <c r="P385" s="3" t="str">
        <f aca="false">PROPER(TRIM(raw_data!K385))</f>
        <v>Art</v>
      </c>
      <c r="Q385" s="3" t="str">
        <f aca="false">TRIM(raw_data!L385)</f>
        <v>Basic Art 608</v>
      </c>
      <c r="R385" s="3" t="str">
        <f aca="false">IF(TRIM(raw_data!M385)="","Unknown",PROPER(TRIM(raw_data!M385)))</f>
        <v>First Class</v>
      </c>
      <c r="S385" s="3" t="str">
        <f aca="false">IF(TRIM(raw_data!M385)="","Filled - Unknown","OK")</f>
        <v>OK</v>
      </c>
      <c r="T385" s="6" t="n">
        <f aca="false">raw_data!N385</f>
        <v>2</v>
      </c>
      <c r="U385" s="7" t="n">
        <f aca="false">raw_data!O385</f>
        <v>2242.75</v>
      </c>
      <c r="V385" s="8" t="n">
        <f aca="false">raw_data!P385</f>
        <v>0</v>
      </c>
      <c r="W385" s="8" t="n">
        <f aca="false">IF(raw_data!P385="",0,IF(ISTEXT(raw_data!P385),IF(RIGHT(raw_data!P385,1)="%",VALUE(LEFT(raw_data!P385,LEN(raw_data!P385)-1))/100,VALUE(raw_data!P385)),raw_data!P385))</f>
        <v>0</v>
      </c>
      <c r="X385" s="3" t="str">
        <f aca="false">IF(raw_data!P385="","Missing - Defaulted to 0",IF(W385&lt;0,"Negative - Invalid",IF(W385&gt;0.3,"Above Allowed Range - Invalid","Valid")))</f>
        <v>Valid</v>
      </c>
      <c r="Y385" s="7" t="n">
        <f aca="false">raw_data!Q385</f>
        <v>4485.5</v>
      </c>
      <c r="Z385" s="7" t="n">
        <f aca="false">raw_data!R385</f>
        <v>3131.86</v>
      </c>
      <c r="AA385" s="7" t="n">
        <f aca="false">raw_data!S385</f>
        <v>1353.64</v>
      </c>
      <c r="AB385" s="3" t="str">
        <f aca="false">PROPER(TRIM(raw_data!T385))</f>
        <v>Paid</v>
      </c>
      <c r="AC385" s="3" t="str">
        <f aca="false">PROPER(TRIM(raw_data!U385))</f>
        <v>Cancelled</v>
      </c>
      <c r="AD385" s="7" t="n">
        <f aca="false">T385*U385*(1-W385)</f>
        <v>4485.5</v>
      </c>
      <c r="AE385" s="7" t="n">
        <f aca="false">AD385-Z385</f>
        <v>1353.64</v>
      </c>
      <c r="AF385" s="8" t="n">
        <f aca="false">IF(AD385=0,0,AE385/AD385)</f>
        <v>0.301781295284807</v>
      </c>
      <c r="AG385" s="3" t="str">
        <f aca="false">IF(ABS(Y385-AD385)&gt;1,"Mismatch","OK")</f>
        <v>OK</v>
      </c>
      <c r="AH385" s="3" t="str">
        <f aca="false">IF(ABS(AA385-AE385)&gt;1,"Mismatch","OK")</f>
        <v>OK</v>
      </c>
      <c r="AI385" s="6" t="n">
        <f aca="false">IF(B385="","",MONTH(B385))</f>
        <v>6</v>
      </c>
      <c r="AJ385" s="6" t="n">
        <f aca="false">IF(B385="","",YEAR(B385))</f>
        <v>2025</v>
      </c>
      <c r="AK385" s="3" t="str">
        <f aca="false">IF(COUNTIF(raw_data!$A$2:$A$913,A385)&gt;1,"Conflicting Duplicate - Flagged for Review","Unique")</f>
        <v>Unique</v>
      </c>
      <c r="AL385" s="3" t="str">
        <f aca="false">IF(AB385="Refunded","Yes","No")</f>
        <v>No</v>
      </c>
      <c r="AM385" s="3" t="str">
        <f aca="false">IF(OR(AC385&lt;&gt;"Completed",AB385="Failed"),"Excluded","Included")</f>
        <v>Excluded</v>
      </c>
      <c r="AN385" s="3" t="str">
        <f aca="false">IF(OR(D385="Invalid/Unrecognized",E385="Invalid/Unrecognized",G385="Invalid - Ship Before Order",X385="Negative - Invalid",X385="Above Allowed Range - Invalid",AG385="Mismatch",AH385="Mismatch",AK385="Conflicting Duplicate - Flagged for Review"),"Invalid",IF(OR(L385="Filled - Unknown",S385="Filled - Unknown",X385="Missing - Defaulted to 0",AL385="Yes",AC385="Cancelled",AC385="Returned"),"Warning","Clean"))</f>
        <v>Warning</v>
      </c>
    </row>
    <row r="386" customFormat="false" ht="15" hidden="false" customHeight="false" outlineLevel="0" collapsed="false">
      <c r="A386" s="3" t="str">
        <f aca="false">raw_data!A386</f>
        <v>ORD-2024-10385</v>
      </c>
      <c r="B386" s="4" t="n">
        <f aca="false">IFERROR(IF(MID(raw_data!B386,3,1)="/",DATE(VALUE(RIGHT(raw_data!B386,4)),VALUE(LEFT(raw_data!B386,2)),VALUE(MID(raw_data!B386,4,2))),IF(MID(raw_data!B386,3,1)="-",DATE(VALUE(RIGHT(raw_data!B386,4)),VALUE(MID(raw_data!B386,4,2)),VALUE(LEFT(raw_data!B386,2))),IF(MID(raw_data!B386,5,1)="-",DATE(VALUE(LEFT(raw_data!B386,4)),VALUE(MID(raw_data!B386,6,2)),VALUE(RIGHT(raw_data!B386,2))),DATE(VALUE(RIGHT(raw_data!B386,4)),MATCH(MID(raw_data!B386,4,3),{"Jan","Feb","Mar","Apr","May","Jun","Jul","Aug","Sep","Oct","Nov","Dec"},0),VALUE(LEFT(raw_data!B386,2)))))),"")</f>
        <v>45366</v>
      </c>
      <c r="C386" s="4" t="n">
        <f aca="false">IFERROR(IF(MID(raw_data!C386,3,1)="/",DATE(VALUE(RIGHT(raw_data!C386,4)),VALUE(LEFT(raw_data!C386,2)),VALUE(MID(raw_data!C386,4,2))),IF(MID(raw_data!C386,3,1)="-",DATE(VALUE(RIGHT(raw_data!C386,4)),VALUE(MID(raw_data!C386,4,2)),VALUE(LEFT(raw_data!C386,2))),IF(MID(raw_data!C386,5,1)="-",DATE(VALUE(LEFT(raw_data!C386,4)),VALUE(MID(raw_data!C386,6,2)),VALUE(RIGHT(raw_data!C386,2))),DATE(VALUE(RIGHT(raw_data!C386,4)),MATCH(MID(raw_data!C386,4,3),{"Jan","Feb","Mar","Apr","May","Jun","Jul","Aug","Sep","Oct","Nov","Dec"},0),VALUE(LEFT(raw_data!C386,2)))))),"")</f>
        <v>45371</v>
      </c>
      <c r="D386" s="3" t="str">
        <f aca="false">IF(TRIM(raw_data!B386)="","Missing",IF(B386="","Invalid/Unrecognized","Valid"))</f>
        <v>Valid</v>
      </c>
      <c r="E386" s="3" t="str">
        <f aca="false">IF(TRIM(raw_data!C386)="","Missing",IF(C386="","Invalid/Unrecognized","Valid"))</f>
        <v>Valid</v>
      </c>
      <c r="F386" s="5" t="n">
        <f aca="false">IF(OR(B386="",C386=""),"",C386-B386)</f>
        <v>5</v>
      </c>
      <c r="G386" s="3" t="str">
        <f aca="false">IF(F386="","N/A",IF(F386&lt;0,"Invalid - Ship Before Order","OK"))</f>
        <v>OK</v>
      </c>
      <c r="H386" s="3" t="str">
        <f aca="false">raw_data!D386</f>
        <v>CUST-8432</v>
      </c>
      <c r="I386" s="3" t="str">
        <f aca="false">PROPER(TRIM(raw_data!E386))</f>
        <v>Rohan Mehta</v>
      </c>
      <c r="J386" s="3" t="str">
        <f aca="false">PROPER(TRIM(raw_data!F386))</f>
        <v>Consumer</v>
      </c>
      <c r="K386" s="3" t="str">
        <f aca="false">IF(TRIM(raw_data!G386)="","Unknown",PROPER(TRIM(raw_data!G386)))</f>
        <v>East</v>
      </c>
      <c r="L386" s="3" t="str">
        <f aca="false">IF(TRIM(raw_data!G386)="","Filled - Unknown","OK")</f>
        <v>OK</v>
      </c>
      <c r="M386" s="3" t="str">
        <f aca="false">PROPER(TRIM(raw_data!H386))</f>
        <v>Jharkhand</v>
      </c>
      <c r="N386" s="3" t="str">
        <f aca="false">PROPER(TRIM(raw_data!I386))</f>
        <v>Ranchi</v>
      </c>
      <c r="O386" s="3" t="str">
        <f aca="false">PROPER(TRIM(raw_data!J386))</f>
        <v>Technology</v>
      </c>
      <c r="P386" s="3" t="str">
        <f aca="false">PROPER(TRIM(raw_data!K386))</f>
        <v>Copiers</v>
      </c>
      <c r="Q386" s="3" t="str">
        <f aca="false">TRIM(raw_data!L386)</f>
        <v>Prime Copiers 820</v>
      </c>
      <c r="R386" s="3" t="str">
        <f aca="false">IF(TRIM(raw_data!M386)="","Unknown",PROPER(TRIM(raw_data!M386)))</f>
        <v>Standard Class</v>
      </c>
      <c r="S386" s="3" t="str">
        <f aca="false">IF(TRIM(raw_data!M386)="","Filled - Unknown","OK")</f>
        <v>OK</v>
      </c>
      <c r="T386" s="6" t="n">
        <f aca="false">raw_data!N386</f>
        <v>2</v>
      </c>
      <c r="U386" s="7" t="n">
        <f aca="false">raw_data!O386</f>
        <v>1881.4</v>
      </c>
      <c r="V386" s="8" t="n">
        <f aca="false">raw_data!P386</f>
        <v>0.25</v>
      </c>
      <c r="W386" s="8" t="n">
        <f aca="false">IF(raw_data!P386="",0,IF(ISTEXT(raw_data!P386),IF(RIGHT(raw_data!P386,1)="%",VALUE(LEFT(raw_data!P386,LEN(raw_data!P386)-1))/100,VALUE(raw_data!P386)),raw_data!P386))</f>
        <v>0.25</v>
      </c>
      <c r="X386" s="3" t="str">
        <f aca="false">IF(raw_data!P386="","Missing - Defaulted to 0",IF(W386&lt;0,"Negative - Invalid",IF(W386&gt;0.3,"Above Allowed Range - Invalid","Valid")))</f>
        <v>Valid</v>
      </c>
      <c r="Y386" s="7" t="n">
        <f aca="false">raw_data!Q386</f>
        <v>2822.1</v>
      </c>
      <c r="Z386" s="7" t="n">
        <f aca="false">raw_data!R386</f>
        <v>1624.57</v>
      </c>
      <c r="AA386" s="7" t="n">
        <f aca="false">raw_data!S386</f>
        <v>1197.53</v>
      </c>
      <c r="AB386" s="3" t="str">
        <f aca="false">PROPER(TRIM(raw_data!T386))</f>
        <v>Paid</v>
      </c>
      <c r="AC386" s="3" t="str">
        <f aca="false">PROPER(TRIM(raw_data!U386))</f>
        <v>Returned</v>
      </c>
      <c r="AD386" s="7" t="n">
        <f aca="false">T386*U386*(1-W386)</f>
        <v>2822.1</v>
      </c>
      <c r="AE386" s="7" t="n">
        <f aca="false">AD386-Z386</f>
        <v>1197.53</v>
      </c>
      <c r="AF386" s="8" t="n">
        <f aca="false">IF(AD386=0,0,AE386/AD386)</f>
        <v>0.424340030473761</v>
      </c>
      <c r="AG386" s="3" t="str">
        <f aca="false">IF(ABS(Y386-AD386)&gt;1,"Mismatch","OK")</f>
        <v>OK</v>
      </c>
      <c r="AH386" s="3" t="str">
        <f aca="false">IF(ABS(AA386-AE386)&gt;1,"Mismatch","OK")</f>
        <v>OK</v>
      </c>
      <c r="AI386" s="6" t="n">
        <f aca="false">IF(B386="","",MONTH(B386))</f>
        <v>3</v>
      </c>
      <c r="AJ386" s="6" t="n">
        <f aca="false">IF(B386="","",YEAR(B386))</f>
        <v>2024</v>
      </c>
      <c r="AK386" s="3" t="str">
        <f aca="false">IF(COUNTIF(raw_data!$A$2:$A$913,A386)&gt;1,"Conflicting Duplicate - Flagged for Review","Unique")</f>
        <v>Unique</v>
      </c>
      <c r="AL386" s="3" t="str">
        <f aca="false">IF(AB386="Refunded","Yes","No")</f>
        <v>No</v>
      </c>
      <c r="AM386" s="3" t="str">
        <f aca="false">IF(OR(AC386&lt;&gt;"Completed",AB386="Failed"),"Excluded","Included")</f>
        <v>Excluded</v>
      </c>
      <c r="AN386" s="3" t="str">
        <f aca="false">IF(OR(D386="Invalid/Unrecognized",E386="Invalid/Unrecognized",G386="Invalid - Ship Before Order",X386="Negative - Invalid",X386="Above Allowed Range - Invalid",AG386="Mismatch",AH386="Mismatch",AK386="Conflicting Duplicate - Flagged for Review"),"Invalid",IF(OR(L386="Filled - Unknown",S386="Filled - Unknown",X386="Missing - Defaulted to 0",AL386="Yes",AC386="Cancelled",AC386="Returned"),"Warning","Clean"))</f>
        <v>Warning</v>
      </c>
    </row>
    <row r="387" customFormat="false" ht="15" hidden="false" customHeight="false" outlineLevel="0" collapsed="false">
      <c r="A387" s="3" t="str">
        <f aca="false">raw_data!A387</f>
        <v>ORD-2025-10386</v>
      </c>
      <c r="B387" s="4" t="n">
        <f aca="false">IFERROR(IF(MID(raw_data!B387,3,1)="/",DATE(VALUE(RIGHT(raw_data!B387,4)),VALUE(LEFT(raw_data!B387,2)),VALUE(MID(raw_data!B387,4,2))),IF(MID(raw_data!B387,3,1)="-",DATE(VALUE(RIGHT(raw_data!B387,4)),VALUE(MID(raw_data!B387,4,2)),VALUE(LEFT(raw_data!B387,2))),IF(MID(raw_data!B387,5,1)="-",DATE(VALUE(LEFT(raw_data!B387,4)),VALUE(MID(raw_data!B387,6,2)),VALUE(RIGHT(raw_data!B387,2))),DATE(VALUE(RIGHT(raw_data!B387,4)),MATCH(MID(raw_data!B387,4,3),{"Jan","Feb","Mar","Apr","May","Jun","Jul","Aug","Sep","Oct","Nov","Dec"},0),VALUE(LEFT(raw_data!B387,2)))))),"")</f>
        <v>45832</v>
      </c>
      <c r="C387" s="4" t="n">
        <f aca="false">IFERROR(IF(MID(raw_data!C387,3,1)="/",DATE(VALUE(RIGHT(raw_data!C387,4)),VALUE(LEFT(raw_data!C387,2)),VALUE(MID(raw_data!C387,4,2))),IF(MID(raw_data!C387,3,1)="-",DATE(VALUE(RIGHT(raw_data!C387,4)),VALUE(MID(raw_data!C387,4,2)),VALUE(LEFT(raw_data!C387,2))),IF(MID(raw_data!C387,5,1)="-",DATE(VALUE(LEFT(raw_data!C387,4)),VALUE(MID(raw_data!C387,6,2)),VALUE(RIGHT(raw_data!C387,2))),DATE(VALUE(RIGHT(raw_data!C387,4)),MATCH(MID(raw_data!C387,4,3),{"Jan","Feb","Mar","Apr","May","Jun","Jul","Aug","Sep","Oct","Nov","Dec"},0),VALUE(LEFT(raw_data!C387,2)))))),"")</f>
        <v>45838</v>
      </c>
      <c r="D387" s="3" t="str">
        <f aca="false">IF(TRIM(raw_data!B387)="","Missing",IF(B387="","Invalid/Unrecognized","Valid"))</f>
        <v>Valid</v>
      </c>
      <c r="E387" s="3" t="str">
        <f aca="false">IF(TRIM(raw_data!C387)="","Missing",IF(C387="","Invalid/Unrecognized","Valid"))</f>
        <v>Valid</v>
      </c>
      <c r="F387" s="5" t="n">
        <f aca="false">IF(OR(B387="",C387=""),"",C387-B387)</f>
        <v>6</v>
      </c>
      <c r="G387" s="3" t="str">
        <f aca="false">IF(F387="","N/A",IF(F387&lt;0,"Invalid - Ship Before Order","OK"))</f>
        <v>OK</v>
      </c>
      <c r="H387" s="3" t="str">
        <f aca="false">raw_data!D387</f>
        <v>CUST-2834</v>
      </c>
      <c r="I387" s="3" t="str">
        <f aca="false">PROPER(TRIM(raw_data!E387))</f>
        <v>Arjun Bose</v>
      </c>
      <c r="J387" s="3" t="str">
        <f aca="false">PROPER(TRIM(raw_data!F387))</f>
        <v>Consumer</v>
      </c>
      <c r="K387" s="3" t="str">
        <f aca="false">IF(TRIM(raw_data!G387)="","Unknown",PROPER(TRIM(raw_data!G387)))</f>
        <v>North</v>
      </c>
      <c r="L387" s="3" t="str">
        <f aca="false">IF(TRIM(raw_data!G387)="","Filled - Unknown","OK")</f>
        <v>OK</v>
      </c>
      <c r="M387" s="3" t="str">
        <f aca="false">PROPER(TRIM(raw_data!H387))</f>
        <v>Haryana</v>
      </c>
      <c r="N387" s="3" t="str">
        <f aca="false">PROPER(TRIM(raw_data!I387))</f>
        <v>Gurugram</v>
      </c>
      <c r="O387" s="3" t="str">
        <f aca="false">PROPER(TRIM(raw_data!J387))</f>
        <v>Office Supplies</v>
      </c>
      <c r="P387" s="3" t="str">
        <f aca="false">PROPER(TRIM(raw_data!K387))</f>
        <v>Labels</v>
      </c>
      <c r="Q387" s="3" t="str">
        <f aca="false">TRIM(raw_data!L387)</f>
        <v>Classic Labels 670</v>
      </c>
      <c r="R387" s="3" t="str">
        <f aca="false">IF(TRIM(raw_data!M387)="","Unknown",PROPER(TRIM(raw_data!M387)))</f>
        <v>Standard Class</v>
      </c>
      <c r="S387" s="3" t="str">
        <f aca="false">IF(TRIM(raw_data!M387)="","Filled - Unknown","OK")</f>
        <v>OK</v>
      </c>
      <c r="T387" s="6" t="n">
        <f aca="false">raw_data!N387</f>
        <v>6</v>
      </c>
      <c r="U387" s="7" t="n">
        <f aca="false">raw_data!O387</f>
        <v>365.76</v>
      </c>
      <c r="V387" s="8" t="n">
        <f aca="false">raw_data!P387</f>
        <v>0.1</v>
      </c>
      <c r="W387" s="8" t="n">
        <f aca="false">IF(raw_data!P387="",0,IF(ISTEXT(raw_data!P387),IF(RIGHT(raw_data!P387,1)="%",VALUE(LEFT(raw_data!P387,LEN(raw_data!P387)-1))/100,VALUE(raw_data!P387)),raw_data!P387))</f>
        <v>0.1</v>
      </c>
      <c r="X387" s="3" t="str">
        <f aca="false">IF(raw_data!P387="","Missing - Defaulted to 0",IF(W387&lt;0,"Negative - Invalid",IF(W387&gt;0.3,"Above Allowed Range - Invalid","Valid")))</f>
        <v>Valid</v>
      </c>
      <c r="Y387" s="7" t="n">
        <f aca="false">raw_data!Q387</f>
        <v>1975.1</v>
      </c>
      <c r="Z387" s="7" t="n">
        <f aca="false">raw_data!R387</f>
        <v>1115.35</v>
      </c>
      <c r="AA387" s="7" t="n">
        <f aca="false">raw_data!S387</f>
        <v>859.75</v>
      </c>
      <c r="AB387" s="3" t="str">
        <f aca="false">PROPER(TRIM(raw_data!T387))</f>
        <v>Paid</v>
      </c>
      <c r="AC387" s="3" t="str">
        <f aca="false">PROPER(TRIM(raw_data!U387))</f>
        <v>Completed</v>
      </c>
      <c r="AD387" s="7" t="n">
        <f aca="false">T387*U387*(1-W387)</f>
        <v>1975.104</v>
      </c>
      <c r="AE387" s="7" t="n">
        <f aca="false">AD387-Z387</f>
        <v>859.754</v>
      </c>
      <c r="AF387" s="8" t="n">
        <f aca="false">IF(AD387=0,0,AE387/AD387)</f>
        <v>0.435295559119925</v>
      </c>
      <c r="AG387" s="3" t="str">
        <f aca="false">IF(ABS(Y387-AD387)&gt;1,"Mismatch","OK")</f>
        <v>OK</v>
      </c>
      <c r="AH387" s="3" t="str">
        <f aca="false">IF(ABS(AA387-AE387)&gt;1,"Mismatch","OK")</f>
        <v>OK</v>
      </c>
      <c r="AI387" s="6" t="n">
        <f aca="false">IF(B387="","",MONTH(B387))</f>
        <v>6</v>
      </c>
      <c r="AJ387" s="6" t="n">
        <f aca="false">IF(B387="","",YEAR(B387))</f>
        <v>2025</v>
      </c>
      <c r="AK387" s="3" t="str">
        <f aca="false">IF(COUNTIF(raw_data!$A$2:$A$913,A387)&gt;1,"Conflicting Duplicate - Flagged for Review","Unique")</f>
        <v>Unique</v>
      </c>
      <c r="AL387" s="3" t="str">
        <f aca="false">IF(AB387="Refunded","Yes","No")</f>
        <v>No</v>
      </c>
      <c r="AM387" s="3" t="str">
        <f aca="false">IF(OR(AC387&lt;&gt;"Completed",AB387="Failed"),"Excluded","Included")</f>
        <v>Included</v>
      </c>
      <c r="AN387" s="3" t="str">
        <f aca="false">IF(OR(D387="Invalid/Unrecognized",E387="Invalid/Unrecognized",G387="Invalid - Ship Before Order",X387="Negative - Invalid",X387="Above Allowed Range - Invalid",AG387="Mismatch",AH387="Mismatch",AK387="Conflicting Duplicate - Flagged for Review"),"Invalid",IF(OR(L387="Filled - Unknown",S387="Filled - Unknown",X387="Missing - Defaulted to 0",AL387="Yes",AC387="Cancelled",AC387="Returned"),"Warning","Clean"))</f>
        <v>Clean</v>
      </c>
    </row>
    <row r="388" customFormat="false" ht="15" hidden="false" customHeight="false" outlineLevel="0" collapsed="false">
      <c r="A388" s="3" t="str">
        <f aca="false">raw_data!A388</f>
        <v>ORD-2025-10387</v>
      </c>
      <c r="B388" s="4" t="n">
        <f aca="false">IFERROR(IF(MID(raw_data!B388,3,1)="/",DATE(VALUE(RIGHT(raw_data!B388,4)),VALUE(LEFT(raw_data!B388,2)),VALUE(MID(raw_data!B388,4,2))),IF(MID(raw_data!B388,3,1)="-",DATE(VALUE(RIGHT(raw_data!B388,4)),VALUE(MID(raw_data!B388,4,2)),VALUE(LEFT(raw_data!B388,2))),IF(MID(raw_data!B388,5,1)="-",DATE(VALUE(LEFT(raw_data!B388,4)),VALUE(MID(raw_data!B388,6,2)),VALUE(RIGHT(raw_data!B388,2))),DATE(VALUE(RIGHT(raw_data!B388,4)),MATCH(MID(raw_data!B388,4,3),{"Jan","Feb","Mar","Apr","May","Jun","Jul","Aug","Sep","Oct","Nov","Dec"},0),VALUE(LEFT(raw_data!B388,2)))))),"")</f>
        <v>45700</v>
      </c>
      <c r="C388" s="4" t="n">
        <f aca="false">IFERROR(IF(MID(raw_data!C388,3,1)="/",DATE(VALUE(RIGHT(raw_data!C388,4)),VALUE(LEFT(raw_data!C388,2)),VALUE(MID(raw_data!C388,4,2))),IF(MID(raw_data!C388,3,1)="-",DATE(VALUE(RIGHT(raw_data!C388,4)),VALUE(MID(raw_data!C388,4,2)),VALUE(LEFT(raw_data!C388,2))),IF(MID(raw_data!C388,5,1)="-",DATE(VALUE(LEFT(raw_data!C388,4)),VALUE(MID(raw_data!C388,6,2)),VALUE(RIGHT(raw_data!C388,2))),DATE(VALUE(RIGHT(raw_data!C388,4)),MATCH(MID(raw_data!C388,4,3),{"Jan","Feb","Mar","Apr","May","Jun","Jul","Aug","Sep","Oct","Nov","Dec"},0),VALUE(LEFT(raw_data!C388,2)))))),"")</f>
        <v>45702</v>
      </c>
      <c r="D388" s="3" t="str">
        <f aca="false">IF(TRIM(raw_data!B388)="","Missing",IF(B388="","Invalid/Unrecognized","Valid"))</f>
        <v>Valid</v>
      </c>
      <c r="E388" s="3" t="str">
        <f aca="false">IF(TRIM(raw_data!C388)="","Missing",IF(C388="","Invalid/Unrecognized","Valid"))</f>
        <v>Valid</v>
      </c>
      <c r="F388" s="5" t="n">
        <f aca="false">IF(OR(B388="",C388=""),"",C388-B388)</f>
        <v>2</v>
      </c>
      <c r="G388" s="3" t="str">
        <f aca="false">IF(F388="","N/A",IF(F388&lt;0,"Invalid - Ship Before Order","OK"))</f>
        <v>OK</v>
      </c>
      <c r="H388" s="3" t="str">
        <f aca="false">raw_data!D388</f>
        <v>CUST-4222</v>
      </c>
      <c r="I388" s="3" t="str">
        <f aca="false">PROPER(TRIM(raw_data!E388))</f>
        <v>Sneha Kapoor</v>
      </c>
      <c r="J388" s="3" t="str">
        <f aca="false">PROPER(TRIM(raw_data!F388))</f>
        <v>Consumer</v>
      </c>
      <c r="K388" s="3" t="str">
        <f aca="false">IF(TRIM(raw_data!G388)="","Unknown",PROPER(TRIM(raw_data!G388)))</f>
        <v>West</v>
      </c>
      <c r="L388" s="3" t="str">
        <f aca="false">IF(TRIM(raw_data!G388)="","Filled - Unknown","OK")</f>
        <v>OK</v>
      </c>
      <c r="M388" s="3" t="str">
        <f aca="false">PROPER(TRIM(raw_data!H388))</f>
        <v>Maharashtra</v>
      </c>
      <c r="N388" s="3" t="str">
        <f aca="false">PROPER(TRIM(raw_data!I388))</f>
        <v>Mumbai</v>
      </c>
      <c r="O388" s="3" t="str">
        <f aca="false">PROPER(TRIM(raw_data!J388))</f>
        <v>Furniture</v>
      </c>
      <c r="P388" s="3" t="str">
        <f aca="false">PROPER(TRIM(raw_data!K388))</f>
        <v>Furnishings</v>
      </c>
      <c r="Q388" s="3" t="str">
        <f aca="false">TRIM(raw_data!L388)</f>
        <v>Prime Furnishings 597</v>
      </c>
      <c r="R388" s="3" t="str">
        <f aca="false">IF(TRIM(raw_data!M388)="","Unknown",PROPER(TRIM(raw_data!M388)))</f>
        <v>Second Class</v>
      </c>
      <c r="S388" s="3" t="str">
        <f aca="false">IF(TRIM(raw_data!M388)="","Filled - Unknown","OK")</f>
        <v>OK</v>
      </c>
      <c r="T388" s="6" t="n">
        <f aca="false">raw_data!N388</f>
        <v>8</v>
      </c>
      <c r="U388" s="7" t="n">
        <f aca="false">raw_data!O388</f>
        <v>2786.66</v>
      </c>
      <c r="V388" s="8" t="n">
        <f aca="false">raw_data!P388</f>
        <v>0.1</v>
      </c>
      <c r="W388" s="8" t="n">
        <f aca="false">IF(raw_data!P388="",0,IF(ISTEXT(raw_data!P388),IF(RIGHT(raw_data!P388,1)="%",VALUE(LEFT(raw_data!P388,LEN(raw_data!P388)-1))/100,VALUE(raw_data!P388)),raw_data!P388))</f>
        <v>0.1</v>
      </c>
      <c r="X388" s="3" t="str">
        <f aca="false">IF(raw_data!P388="","Missing - Defaulted to 0",IF(W388&lt;0,"Negative - Invalid",IF(W388&gt;0.3,"Above Allowed Range - Invalid","Valid")))</f>
        <v>Valid</v>
      </c>
      <c r="Y388" s="7" t="n">
        <f aca="false">raw_data!Q388</f>
        <v>20063.95</v>
      </c>
      <c r="Z388" s="7" t="n">
        <f aca="false">raw_data!R388</f>
        <v>14363.38</v>
      </c>
      <c r="AA388" s="7" t="n">
        <f aca="false">raw_data!S388</f>
        <v>5700.57</v>
      </c>
      <c r="AB388" s="3" t="str">
        <f aca="false">PROPER(TRIM(raw_data!T388))</f>
        <v>Paid</v>
      </c>
      <c r="AC388" s="3" t="str">
        <f aca="false">PROPER(TRIM(raw_data!U388))</f>
        <v>Completed</v>
      </c>
      <c r="AD388" s="7" t="n">
        <f aca="false">T388*U388*(1-W388)</f>
        <v>20063.952</v>
      </c>
      <c r="AE388" s="7" t="n">
        <f aca="false">AD388-Z388</f>
        <v>5700.572</v>
      </c>
      <c r="AF388" s="8" t="n">
        <f aca="false">IF(AD388=0,0,AE388/AD388)</f>
        <v>0.284120097575991</v>
      </c>
      <c r="AG388" s="3" t="str">
        <f aca="false">IF(ABS(Y388-AD388)&gt;1,"Mismatch","OK")</f>
        <v>OK</v>
      </c>
      <c r="AH388" s="3" t="str">
        <f aca="false">IF(ABS(AA388-AE388)&gt;1,"Mismatch","OK")</f>
        <v>OK</v>
      </c>
      <c r="AI388" s="6" t="n">
        <f aca="false">IF(B388="","",MONTH(B388))</f>
        <v>2</v>
      </c>
      <c r="AJ388" s="6" t="n">
        <f aca="false">IF(B388="","",YEAR(B388))</f>
        <v>2025</v>
      </c>
      <c r="AK388" s="3" t="str">
        <f aca="false">IF(COUNTIF(raw_data!$A$2:$A$913,A388)&gt;1,"Conflicting Duplicate - Flagged for Review","Unique")</f>
        <v>Unique</v>
      </c>
      <c r="AL388" s="3" t="str">
        <f aca="false">IF(AB388="Refunded","Yes","No")</f>
        <v>No</v>
      </c>
      <c r="AM388" s="3" t="str">
        <f aca="false">IF(OR(AC388&lt;&gt;"Completed",AB388="Failed"),"Excluded","Included")</f>
        <v>Included</v>
      </c>
      <c r="AN388" s="3" t="str">
        <f aca="false">IF(OR(D388="Invalid/Unrecognized",E388="Invalid/Unrecognized",G388="Invalid - Ship Before Order",X388="Negative - Invalid",X388="Above Allowed Range - Invalid",AG388="Mismatch",AH388="Mismatch",AK388="Conflicting Duplicate - Flagged for Review"),"Invalid",IF(OR(L388="Filled - Unknown",S388="Filled - Unknown",X388="Missing - Defaulted to 0",AL388="Yes",AC388="Cancelled",AC388="Returned"),"Warning","Clean"))</f>
        <v>Clean</v>
      </c>
    </row>
    <row r="389" customFormat="false" ht="15" hidden="false" customHeight="false" outlineLevel="0" collapsed="false">
      <c r="A389" s="3" t="str">
        <f aca="false">raw_data!A389</f>
        <v>ORD-2025-10388</v>
      </c>
      <c r="B389" s="4" t="n">
        <f aca="false">IFERROR(IF(MID(raw_data!B389,3,1)="/",DATE(VALUE(RIGHT(raw_data!B389,4)),VALUE(LEFT(raw_data!B389,2)),VALUE(MID(raw_data!B389,4,2))),IF(MID(raw_data!B389,3,1)="-",DATE(VALUE(RIGHT(raw_data!B389,4)),VALUE(MID(raw_data!B389,4,2)),VALUE(LEFT(raw_data!B389,2))),IF(MID(raw_data!B389,5,1)="-",DATE(VALUE(LEFT(raw_data!B389,4)),VALUE(MID(raw_data!B389,6,2)),VALUE(RIGHT(raw_data!B389,2))),DATE(VALUE(RIGHT(raw_data!B389,4)),MATCH(MID(raw_data!B389,4,3),{"Jan","Feb","Mar","Apr","May","Jun","Jul","Aug","Sep","Oct","Nov","Dec"},0),VALUE(LEFT(raw_data!B389,2)))))),"")</f>
        <v>45879</v>
      </c>
      <c r="C389" s="4" t="n">
        <f aca="false">IFERROR(IF(MID(raw_data!C389,3,1)="/",DATE(VALUE(RIGHT(raw_data!C389,4)),VALUE(LEFT(raw_data!C389,2)),VALUE(MID(raw_data!C389,4,2))),IF(MID(raw_data!C389,3,1)="-",DATE(VALUE(RIGHT(raw_data!C389,4)),VALUE(MID(raw_data!C389,4,2)),VALUE(LEFT(raw_data!C389,2))),IF(MID(raw_data!C389,5,1)="-",DATE(VALUE(LEFT(raw_data!C389,4)),VALUE(MID(raw_data!C389,6,2)),VALUE(RIGHT(raw_data!C389,2))),DATE(VALUE(RIGHT(raw_data!C389,4)),MATCH(MID(raw_data!C389,4,3),{"Jan","Feb","Mar","Apr","May","Jun","Jul","Aug","Sep","Oct","Nov","Dec"},0),VALUE(LEFT(raw_data!C389,2)))))),"")</f>
        <v>45882</v>
      </c>
      <c r="D389" s="3" t="str">
        <f aca="false">IF(TRIM(raw_data!B389)="","Missing",IF(B389="","Invalid/Unrecognized","Valid"))</f>
        <v>Valid</v>
      </c>
      <c r="E389" s="3" t="str">
        <f aca="false">IF(TRIM(raw_data!C389)="","Missing",IF(C389="","Invalid/Unrecognized","Valid"))</f>
        <v>Valid</v>
      </c>
      <c r="F389" s="5" t="n">
        <f aca="false">IF(OR(B389="",C389=""),"",C389-B389)</f>
        <v>3</v>
      </c>
      <c r="G389" s="3" t="str">
        <f aca="false">IF(F389="","N/A",IF(F389&lt;0,"Invalid - Ship Before Order","OK"))</f>
        <v>OK</v>
      </c>
      <c r="H389" s="3" t="str">
        <f aca="false">raw_data!D389</f>
        <v>CUST-1053</v>
      </c>
      <c r="I389" s="3" t="str">
        <f aca="false">PROPER(TRIM(raw_data!E389))</f>
        <v>Priya Menon</v>
      </c>
      <c r="J389" s="3" t="str">
        <f aca="false">PROPER(TRIM(raw_data!F389))</f>
        <v>Small Business</v>
      </c>
      <c r="K389" s="3" t="str">
        <f aca="false">IF(TRIM(raw_data!G389)="","Unknown",PROPER(TRIM(raw_data!G389)))</f>
        <v>West</v>
      </c>
      <c r="L389" s="3" t="str">
        <f aca="false">IF(TRIM(raw_data!G389)="","Filled - Unknown","OK")</f>
        <v>OK</v>
      </c>
      <c r="M389" s="3" t="str">
        <f aca="false">PROPER(TRIM(raw_data!H389))</f>
        <v>Madhya Pradesh</v>
      </c>
      <c r="N389" s="3" t="str">
        <f aca="false">PROPER(TRIM(raw_data!I389))</f>
        <v>Indore</v>
      </c>
      <c r="O389" s="3" t="str">
        <f aca="false">PROPER(TRIM(raw_data!J389))</f>
        <v>Furniture</v>
      </c>
      <c r="P389" s="3" t="str">
        <f aca="false">PROPER(TRIM(raw_data!K389))</f>
        <v>Chairs</v>
      </c>
      <c r="Q389" s="3" t="str">
        <f aca="false">TRIM(raw_data!L389)</f>
        <v>Prime Chairs 196</v>
      </c>
      <c r="R389" s="3" t="str">
        <f aca="false">IF(TRIM(raw_data!M389)="","Unknown",PROPER(TRIM(raw_data!M389)))</f>
        <v>Standard Class</v>
      </c>
      <c r="S389" s="3" t="str">
        <f aca="false">IF(TRIM(raw_data!M389)="","Filled - Unknown","OK")</f>
        <v>OK</v>
      </c>
      <c r="T389" s="6" t="n">
        <f aca="false">raw_data!N389</f>
        <v>5</v>
      </c>
      <c r="U389" s="7" t="n">
        <f aca="false">raw_data!O389</f>
        <v>352.86</v>
      </c>
      <c r="V389" s="8" t="n">
        <f aca="false">raw_data!P389</f>
        <v>0</v>
      </c>
      <c r="W389" s="8" t="n">
        <f aca="false">IF(raw_data!P389="",0,IF(ISTEXT(raw_data!P389),IF(RIGHT(raw_data!P389,1)="%",VALUE(LEFT(raw_data!P389,LEN(raw_data!P389)-1))/100,VALUE(raw_data!P389)),raw_data!P389))</f>
        <v>0</v>
      </c>
      <c r="X389" s="3" t="str">
        <f aca="false">IF(raw_data!P389="","Missing - Defaulted to 0",IF(W389&lt;0,"Negative - Invalid",IF(W389&gt;0.3,"Above Allowed Range - Invalid","Valid")))</f>
        <v>Valid</v>
      </c>
      <c r="Y389" s="7" t="n">
        <f aca="false">raw_data!Q389</f>
        <v>1764.3</v>
      </c>
      <c r="Z389" s="7" t="n">
        <f aca="false">raw_data!R389</f>
        <v>1332.49</v>
      </c>
      <c r="AA389" s="7" t="n">
        <f aca="false">raw_data!S389</f>
        <v>431.81</v>
      </c>
      <c r="AB389" s="3" t="str">
        <f aca="false">PROPER(TRIM(raw_data!T389))</f>
        <v>Pending</v>
      </c>
      <c r="AC389" s="3" t="str">
        <f aca="false">PROPER(TRIM(raw_data!U389))</f>
        <v>Cancelled</v>
      </c>
      <c r="AD389" s="7" t="n">
        <f aca="false">T389*U389*(1-W389)</f>
        <v>1764.3</v>
      </c>
      <c r="AE389" s="7" t="n">
        <f aca="false">AD389-Z389</f>
        <v>431.81</v>
      </c>
      <c r="AF389" s="8" t="n">
        <f aca="false">IF(AD389=0,0,AE389/AD389)</f>
        <v>0.244748625517202</v>
      </c>
      <c r="AG389" s="3" t="str">
        <f aca="false">IF(ABS(Y389-AD389)&gt;1,"Mismatch","OK")</f>
        <v>OK</v>
      </c>
      <c r="AH389" s="3" t="str">
        <f aca="false">IF(ABS(AA389-AE389)&gt;1,"Mismatch","OK")</f>
        <v>OK</v>
      </c>
      <c r="AI389" s="6" t="n">
        <f aca="false">IF(B389="","",MONTH(B389))</f>
        <v>8</v>
      </c>
      <c r="AJ389" s="6" t="n">
        <f aca="false">IF(B389="","",YEAR(B389))</f>
        <v>2025</v>
      </c>
      <c r="AK389" s="3" t="str">
        <f aca="false">IF(COUNTIF(raw_data!$A$2:$A$913,A389)&gt;1,"Conflicting Duplicate - Flagged for Review","Unique")</f>
        <v>Unique</v>
      </c>
      <c r="AL389" s="3" t="str">
        <f aca="false">IF(AB389="Refunded","Yes","No")</f>
        <v>No</v>
      </c>
      <c r="AM389" s="3" t="str">
        <f aca="false">IF(OR(AC389&lt;&gt;"Completed",AB389="Failed"),"Excluded","Included")</f>
        <v>Excluded</v>
      </c>
      <c r="AN389" s="3" t="str">
        <f aca="false">IF(OR(D389="Invalid/Unrecognized",E389="Invalid/Unrecognized",G389="Invalid - Ship Before Order",X389="Negative - Invalid",X389="Above Allowed Range - Invalid",AG389="Mismatch",AH389="Mismatch",AK389="Conflicting Duplicate - Flagged for Review"),"Invalid",IF(OR(L389="Filled - Unknown",S389="Filled - Unknown",X389="Missing - Defaulted to 0",AL389="Yes",AC389="Cancelled",AC389="Returned"),"Warning","Clean"))</f>
        <v>Warning</v>
      </c>
    </row>
    <row r="390" customFormat="false" ht="15" hidden="false" customHeight="false" outlineLevel="0" collapsed="false">
      <c r="A390" s="3" t="str">
        <f aca="false">raw_data!A390</f>
        <v>ORD-2024-10389</v>
      </c>
      <c r="B390" s="4" t="n">
        <f aca="false">IFERROR(IF(MID(raw_data!B390,3,1)="/",DATE(VALUE(RIGHT(raw_data!B390,4)),VALUE(LEFT(raw_data!B390,2)),VALUE(MID(raw_data!B390,4,2))),IF(MID(raw_data!B390,3,1)="-",DATE(VALUE(RIGHT(raw_data!B390,4)),VALUE(MID(raw_data!B390,4,2)),VALUE(LEFT(raw_data!B390,2))),IF(MID(raw_data!B390,5,1)="-",DATE(VALUE(LEFT(raw_data!B390,4)),VALUE(MID(raw_data!B390,6,2)),VALUE(RIGHT(raw_data!B390,2))),DATE(VALUE(RIGHT(raw_data!B390,4)),MATCH(MID(raw_data!B390,4,3),{"Jan","Feb","Mar","Apr","May","Jun","Jul","Aug","Sep","Oct","Nov","Dec"},0),VALUE(LEFT(raw_data!B390,2)))))),"")</f>
        <v>45425</v>
      </c>
      <c r="C390" s="4" t="n">
        <f aca="false">IFERROR(IF(MID(raw_data!C390,3,1)="/",DATE(VALUE(RIGHT(raw_data!C390,4)),VALUE(LEFT(raw_data!C390,2)),VALUE(MID(raw_data!C390,4,2))),IF(MID(raw_data!C390,3,1)="-",DATE(VALUE(RIGHT(raw_data!C390,4)),VALUE(MID(raw_data!C390,4,2)),VALUE(LEFT(raw_data!C390,2))),IF(MID(raw_data!C390,5,1)="-",DATE(VALUE(LEFT(raw_data!C390,4)),VALUE(MID(raw_data!C390,6,2)),VALUE(RIGHT(raw_data!C390,2))),DATE(VALUE(RIGHT(raw_data!C390,4)),MATCH(MID(raw_data!C390,4,3),{"Jan","Feb","Mar","Apr","May","Jun","Jul","Aug","Sep","Oct","Nov","Dec"},0),VALUE(LEFT(raw_data!C390,2)))))),"")</f>
        <v>45430</v>
      </c>
      <c r="D390" s="3" t="str">
        <f aca="false">IF(TRIM(raw_data!B390)="","Missing",IF(B390="","Invalid/Unrecognized","Valid"))</f>
        <v>Valid</v>
      </c>
      <c r="E390" s="3" t="str">
        <f aca="false">IF(TRIM(raw_data!C390)="","Missing",IF(C390="","Invalid/Unrecognized","Valid"))</f>
        <v>Valid</v>
      </c>
      <c r="F390" s="5" t="n">
        <f aca="false">IF(OR(B390="",C390=""),"",C390-B390)</f>
        <v>5</v>
      </c>
      <c r="G390" s="3" t="str">
        <f aca="false">IF(F390="","N/A",IF(F390&lt;0,"Invalid - Ship Before Order","OK"))</f>
        <v>OK</v>
      </c>
      <c r="H390" s="3" t="str">
        <f aca="false">raw_data!D390</f>
        <v>CUST-1457</v>
      </c>
      <c r="I390" s="3" t="str">
        <f aca="false">PROPER(TRIM(raw_data!E390))</f>
        <v>Isha Nair</v>
      </c>
      <c r="J390" s="3" t="str">
        <f aca="false">PROPER(TRIM(raw_data!F390))</f>
        <v>Small Business</v>
      </c>
      <c r="K390" s="3" t="str">
        <f aca="false">IF(TRIM(raw_data!G390)="","Unknown",PROPER(TRIM(raw_data!G390)))</f>
        <v>West</v>
      </c>
      <c r="L390" s="3" t="str">
        <f aca="false">IF(TRIM(raw_data!G390)="","Filled - Unknown","OK")</f>
        <v>OK</v>
      </c>
      <c r="M390" s="3" t="str">
        <f aca="false">PROPER(TRIM(raw_data!H390))</f>
        <v>Gujarat</v>
      </c>
      <c r="N390" s="3" t="str">
        <f aca="false">PROPER(TRIM(raw_data!I390))</f>
        <v>Ahmedabad</v>
      </c>
      <c r="O390" s="3" t="str">
        <f aca="false">PROPER(TRIM(raw_data!J390))</f>
        <v>Furniture</v>
      </c>
      <c r="P390" s="3" t="str">
        <f aca="false">PROPER(TRIM(raw_data!K390))</f>
        <v>Chairs</v>
      </c>
      <c r="Q390" s="3" t="str">
        <f aca="false">TRIM(raw_data!L390)</f>
        <v>Elite Chairs 639</v>
      </c>
      <c r="R390" s="3" t="str">
        <f aca="false">IF(TRIM(raw_data!M390)="","Unknown",PROPER(TRIM(raw_data!M390)))</f>
        <v>Standard Class</v>
      </c>
      <c r="S390" s="3" t="str">
        <f aca="false">IF(TRIM(raw_data!M390)="","Filled - Unknown","OK")</f>
        <v>OK</v>
      </c>
      <c r="T390" s="6" t="n">
        <f aca="false">raw_data!N390</f>
        <v>3</v>
      </c>
      <c r="U390" s="7" t="n">
        <f aca="false">raw_data!O390</f>
        <v>3128.59</v>
      </c>
      <c r="V390" s="8" t="n">
        <f aca="false">raw_data!P390</f>
        <v>0</v>
      </c>
      <c r="W390" s="8" t="n">
        <f aca="false">IF(raw_data!P390="",0,IF(ISTEXT(raw_data!P390),IF(RIGHT(raw_data!P390,1)="%",VALUE(LEFT(raw_data!P390,LEN(raw_data!P390)-1))/100,VALUE(raw_data!P390)),raw_data!P390))</f>
        <v>0</v>
      </c>
      <c r="X390" s="3" t="str">
        <f aca="false">IF(raw_data!P390="","Missing - Defaulted to 0",IF(W390&lt;0,"Negative - Invalid",IF(W390&gt;0.3,"Above Allowed Range - Invalid","Valid")))</f>
        <v>Valid</v>
      </c>
      <c r="Y390" s="7" t="n">
        <f aca="false">raw_data!Q390</f>
        <v>9385.77</v>
      </c>
      <c r="Z390" s="7" t="n">
        <f aca="false">raw_data!R390</f>
        <v>6872.44</v>
      </c>
      <c r="AA390" s="7" t="n">
        <f aca="false">raw_data!S390</f>
        <v>2783.66</v>
      </c>
      <c r="AB390" s="3" t="str">
        <f aca="false">PROPER(TRIM(raw_data!T390))</f>
        <v>Paid</v>
      </c>
      <c r="AC390" s="3" t="str">
        <f aca="false">PROPER(TRIM(raw_data!U390))</f>
        <v>Completed</v>
      </c>
      <c r="AD390" s="7" t="n">
        <f aca="false">T390*U390*(1-W390)</f>
        <v>9385.77</v>
      </c>
      <c r="AE390" s="7" t="n">
        <f aca="false">AD390-Z390</f>
        <v>2513.33</v>
      </c>
      <c r="AF390" s="8" t="n">
        <f aca="false">IF(AD390=0,0,AE390/AD390)</f>
        <v>0.267780906627799</v>
      </c>
      <c r="AG390" s="3" t="str">
        <f aca="false">IF(ABS(Y390-AD390)&gt;1,"Mismatch","OK")</f>
        <v>OK</v>
      </c>
      <c r="AH390" s="3" t="str">
        <f aca="false">IF(ABS(AA390-AE390)&gt;1,"Mismatch","OK")</f>
        <v>Mismatch</v>
      </c>
      <c r="AI390" s="6" t="n">
        <f aca="false">IF(B390="","",MONTH(B390))</f>
        <v>5</v>
      </c>
      <c r="AJ390" s="6" t="n">
        <f aca="false">IF(B390="","",YEAR(B390))</f>
        <v>2024</v>
      </c>
      <c r="AK390" s="3" t="str">
        <f aca="false">IF(COUNTIF(raw_data!$A$2:$A$913,A390)&gt;1,"Conflicting Duplicate - Flagged for Review","Unique")</f>
        <v>Unique</v>
      </c>
      <c r="AL390" s="3" t="str">
        <f aca="false">IF(AB390="Refunded","Yes","No")</f>
        <v>No</v>
      </c>
      <c r="AM390" s="3" t="str">
        <f aca="false">IF(OR(AC390&lt;&gt;"Completed",AB390="Failed"),"Excluded","Included")</f>
        <v>Included</v>
      </c>
      <c r="AN390" s="3" t="str">
        <f aca="false">IF(OR(D390="Invalid/Unrecognized",E390="Invalid/Unrecognized",G390="Invalid - Ship Before Order",X390="Negative - Invalid",X390="Above Allowed Range - Invalid",AG390="Mismatch",AH390="Mismatch",AK390="Conflicting Duplicate - Flagged for Review"),"Invalid",IF(OR(L390="Filled - Unknown",S390="Filled - Unknown",X390="Missing - Defaulted to 0",AL390="Yes",AC390="Cancelled",AC390="Returned"),"Warning","Clean"))</f>
        <v>Invalid</v>
      </c>
    </row>
    <row r="391" customFormat="false" ht="15" hidden="false" customHeight="false" outlineLevel="0" collapsed="false">
      <c r="A391" s="3" t="str">
        <f aca="false">raw_data!A391</f>
        <v>ORD-2024-10390</v>
      </c>
      <c r="B391" s="4" t="n">
        <f aca="false">IFERROR(IF(MID(raw_data!B391,3,1)="/",DATE(VALUE(RIGHT(raw_data!B391,4)),VALUE(LEFT(raw_data!B391,2)),VALUE(MID(raw_data!B391,4,2))),IF(MID(raw_data!B391,3,1)="-",DATE(VALUE(RIGHT(raw_data!B391,4)),VALUE(MID(raw_data!B391,4,2)),VALUE(LEFT(raw_data!B391,2))),IF(MID(raw_data!B391,5,1)="-",DATE(VALUE(LEFT(raw_data!B391,4)),VALUE(MID(raw_data!B391,6,2)),VALUE(RIGHT(raw_data!B391,2))),DATE(VALUE(RIGHT(raw_data!B391,4)),MATCH(MID(raw_data!B391,4,3),{"Jan","Feb","Mar","Apr","May","Jun","Jul","Aug","Sep","Oct","Nov","Dec"},0),VALUE(LEFT(raw_data!B391,2)))))),"")</f>
        <v>45387</v>
      </c>
      <c r="C391" s="4" t="n">
        <f aca="false">IFERROR(IF(MID(raw_data!C391,3,1)="/",DATE(VALUE(RIGHT(raw_data!C391,4)),VALUE(LEFT(raw_data!C391,2)),VALUE(MID(raw_data!C391,4,2))),IF(MID(raw_data!C391,3,1)="-",DATE(VALUE(RIGHT(raw_data!C391,4)),VALUE(MID(raw_data!C391,4,2)),VALUE(LEFT(raw_data!C391,2))),IF(MID(raw_data!C391,5,1)="-",DATE(VALUE(LEFT(raw_data!C391,4)),VALUE(MID(raw_data!C391,6,2)),VALUE(RIGHT(raw_data!C391,2))),DATE(VALUE(RIGHT(raw_data!C391,4)),MATCH(MID(raw_data!C391,4,3),{"Jan","Feb","Mar","Apr","May","Jun","Jul","Aug","Sep","Oct","Nov","Dec"},0),VALUE(LEFT(raw_data!C391,2)))))),"")</f>
        <v>45395</v>
      </c>
      <c r="D391" s="3" t="str">
        <f aca="false">IF(TRIM(raw_data!B391)="","Missing",IF(B391="","Invalid/Unrecognized","Valid"))</f>
        <v>Valid</v>
      </c>
      <c r="E391" s="3" t="str">
        <f aca="false">IF(TRIM(raw_data!C391)="","Missing",IF(C391="","Invalid/Unrecognized","Valid"))</f>
        <v>Valid</v>
      </c>
      <c r="F391" s="5" t="n">
        <f aca="false">IF(OR(B391="",C391=""),"",C391-B391)</f>
        <v>8</v>
      </c>
      <c r="G391" s="3" t="str">
        <f aca="false">IF(F391="","N/A",IF(F391&lt;0,"Invalid - Ship Before Order","OK"))</f>
        <v>OK</v>
      </c>
      <c r="H391" s="3" t="str">
        <f aca="false">raw_data!D391</f>
        <v>CUST-3930</v>
      </c>
      <c r="I391" s="3" t="str">
        <f aca="false">PROPER(TRIM(raw_data!E391))</f>
        <v>Diya Patel</v>
      </c>
      <c r="J391" s="3" t="str">
        <f aca="false">PROPER(TRIM(raw_data!F391))</f>
        <v>Corporate</v>
      </c>
      <c r="K391" s="3" t="str">
        <f aca="false">IF(TRIM(raw_data!G391)="","Unknown",PROPER(TRIM(raw_data!G391)))</f>
        <v>West</v>
      </c>
      <c r="L391" s="3" t="str">
        <f aca="false">IF(TRIM(raw_data!G391)="","Filled - Unknown","OK")</f>
        <v>OK</v>
      </c>
      <c r="M391" s="3" t="str">
        <f aca="false">PROPER(TRIM(raw_data!H391))</f>
        <v>Gujarat</v>
      </c>
      <c r="N391" s="3" t="str">
        <f aca="false">PROPER(TRIM(raw_data!I391))</f>
        <v>Ahmedabad</v>
      </c>
      <c r="O391" s="3" t="str">
        <f aca="false">PROPER(TRIM(raw_data!J391))</f>
        <v>Technology</v>
      </c>
      <c r="P391" s="3" t="str">
        <f aca="false">PROPER(TRIM(raw_data!K391))</f>
        <v>Machines</v>
      </c>
      <c r="Q391" s="3" t="str">
        <f aca="false">TRIM(raw_data!L391)</f>
        <v>Elite Machines 563</v>
      </c>
      <c r="R391" s="3" t="str">
        <f aca="false">IF(TRIM(raw_data!M391)="","Unknown",PROPER(TRIM(raw_data!M391)))</f>
        <v>Second Class</v>
      </c>
      <c r="S391" s="3" t="str">
        <f aca="false">IF(TRIM(raw_data!M391)="","Filled - Unknown","OK")</f>
        <v>OK</v>
      </c>
      <c r="T391" s="6" t="n">
        <f aca="false">raw_data!N391</f>
        <v>5</v>
      </c>
      <c r="U391" s="7" t="n">
        <f aca="false">raw_data!O391</f>
        <v>1937.54</v>
      </c>
      <c r="V391" s="8" t="n">
        <f aca="false">raw_data!P391</f>
        <v>0.2</v>
      </c>
      <c r="W391" s="8" t="n">
        <f aca="false">IF(raw_data!P391="",0,IF(ISTEXT(raw_data!P391),IF(RIGHT(raw_data!P391,1)="%",VALUE(LEFT(raw_data!P391,LEN(raw_data!P391)-1))/100,VALUE(raw_data!P391)),raw_data!P391))</f>
        <v>0.2</v>
      </c>
      <c r="X391" s="3" t="str">
        <f aca="false">IF(raw_data!P391="","Missing - Defaulted to 0",IF(W391&lt;0,"Negative - Invalid",IF(W391&gt;0.3,"Above Allowed Range - Invalid","Valid")))</f>
        <v>Valid</v>
      </c>
      <c r="Y391" s="7" t="n">
        <f aca="false">raw_data!Q391</f>
        <v>7750.16</v>
      </c>
      <c r="Z391" s="7" t="n">
        <f aca="false">raw_data!R391</f>
        <v>5434.3</v>
      </c>
      <c r="AA391" s="7" t="n">
        <f aca="false">raw_data!S391</f>
        <v>2315.86</v>
      </c>
      <c r="AB391" s="3" t="str">
        <f aca="false">PROPER(TRIM(raw_data!T391))</f>
        <v>Pending</v>
      </c>
      <c r="AC391" s="3" t="str">
        <f aca="false">PROPER(TRIM(raw_data!U391))</f>
        <v>Cancelled</v>
      </c>
      <c r="AD391" s="7" t="n">
        <f aca="false">T391*U391*(1-W391)</f>
        <v>7750.16</v>
      </c>
      <c r="AE391" s="7" t="n">
        <f aca="false">AD391-Z391</f>
        <v>2315.86</v>
      </c>
      <c r="AF391" s="8" t="n">
        <f aca="false">IF(AD391=0,0,AE391/AD391)</f>
        <v>0.298814476088236</v>
      </c>
      <c r="AG391" s="3" t="str">
        <f aca="false">IF(ABS(Y391-AD391)&gt;1,"Mismatch","OK")</f>
        <v>OK</v>
      </c>
      <c r="AH391" s="3" t="str">
        <f aca="false">IF(ABS(AA391-AE391)&gt;1,"Mismatch","OK")</f>
        <v>OK</v>
      </c>
      <c r="AI391" s="6" t="n">
        <f aca="false">IF(B391="","",MONTH(B391))</f>
        <v>4</v>
      </c>
      <c r="AJ391" s="6" t="n">
        <f aca="false">IF(B391="","",YEAR(B391))</f>
        <v>2024</v>
      </c>
      <c r="AK391" s="3" t="str">
        <f aca="false">IF(COUNTIF(raw_data!$A$2:$A$913,A391)&gt;1,"Conflicting Duplicate - Flagged for Review","Unique")</f>
        <v>Unique</v>
      </c>
      <c r="AL391" s="3" t="str">
        <f aca="false">IF(AB391="Refunded","Yes","No")</f>
        <v>No</v>
      </c>
      <c r="AM391" s="3" t="str">
        <f aca="false">IF(OR(AC391&lt;&gt;"Completed",AB391="Failed"),"Excluded","Included")</f>
        <v>Excluded</v>
      </c>
      <c r="AN391" s="3" t="str">
        <f aca="false">IF(OR(D391="Invalid/Unrecognized",E391="Invalid/Unrecognized",G391="Invalid - Ship Before Order",X391="Negative - Invalid",X391="Above Allowed Range - Invalid",AG391="Mismatch",AH391="Mismatch",AK391="Conflicting Duplicate - Flagged for Review"),"Invalid",IF(OR(L391="Filled - Unknown",S391="Filled - Unknown",X391="Missing - Defaulted to 0",AL391="Yes",AC391="Cancelled",AC391="Returned"),"Warning","Clean"))</f>
        <v>Warning</v>
      </c>
    </row>
    <row r="392" customFormat="false" ht="15" hidden="false" customHeight="false" outlineLevel="0" collapsed="false">
      <c r="A392" s="3" t="str">
        <f aca="false">raw_data!A392</f>
        <v>ORD-2024-10391</v>
      </c>
      <c r="B392" s="4" t="n">
        <f aca="false">IFERROR(IF(MID(raw_data!B392,3,1)="/",DATE(VALUE(RIGHT(raw_data!B392,4)),VALUE(LEFT(raw_data!B392,2)),VALUE(MID(raw_data!B392,4,2))),IF(MID(raw_data!B392,3,1)="-",DATE(VALUE(RIGHT(raw_data!B392,4)),VALUE(MID(raw_data!B392,4,2)),VALUE(LEFT(raw_data!B392,2))),IF(MID(raw_data!B392,5,1)="-",DATE(VALUE(LEFT(raw_data!B392,4)),VALUE(MID(raw_data!B392,6,2)),VALUE(RIGHT(raw_data!B392,2))),DATE(VALUE(RIGHT(raw_data!B392,4)),MATCH(MID(raw_data!B392,4,3),{"Jan","Feb","Mar","Apr","May","Jun","Jul","Aug","Sep","Oct","Nov","Dec"},0),VALUE(LEFT(raw_data!B392,2)))))),"")</f>
        <v>45602</v>
      </c>
      <c r="C392" s="4" t="n">
        <f aca="false">IFERROR(IF(MID(raw_data!C392,3,1)="/",DATE(VALUE(RIGHT(raw_data!C392,4)),VALUE(LEFT(raw_data!C392,2)),VALUE(MID(raw_data!C392,4,2))),IF(MID(raw_data!C392,3,1)="-",DATE(VALUE(RIGHT(raw_data!C392,4)),VALUE(MID(raw_data!C392,4,2)),VALUE(LEFT(raw_data!C392,2))),IF(MID(raw_data!C392,5,1)="-",DATE(VALUE(LEFT(raw_data!C392,4)),VALUE(MID(raw_data!C392,6,2)),VALUE(RIGHT(raw_data!C392,2))),DATE(VALUE(RIGHT(raw_data!C392,4)),MATCH(MID(raw_data!C392,4,3),{"Jan","Feb","Mar","Apr","May","Jun","Jul","Aug","Sep","Oct","Nov","Dec"},0),VALUE(LEFT(raw_data!C392,2)))))),"")</f>
        <v>45607</v>
      </c>
      <c r="D392" s="3" t="str">
        <f aca="false">IF(TRIM(raw_data!B392)="","Missing",IF(B392="","Invalid/Unrecognized","Valid"))</f>
        <v>Valid</v>
      </c>
      <c r="E392" s="3" t="str">
        <f aca="false">IF(TRIM(raw_data!C392)="","Missing",IF(C392="","Invalid/Unrecognized","Valid"))</f>
        <v>Valid</v>
      </c>
      <c r="F392" s="5" t="n">
        <f aca="false">IF(OR(B392="",C392=""),"",C392-B392)</f>
        <v>5</v>
      </c>
      <c r="G392" s="3" t="str">
        <f aca="false">IF(F392="","N/A",IF(F392&lt;0,"Invalid - Ship Before Order","OK"))</f>
        <v>OK</v>
      </c>
      <c r="H392" s="3" t="str">
        <f aca="false">raw_data!D392</f>
        <v>CUST-7853</v>
      </c>
      <c r="I392" s="3" t="str">
        <f aca="false">PROPER(TRIM(raw_data!E392))</f>
        <v>Isha Nair</v>
      </c>
      <c r="J392" s="3" t="str">
        <f aca="false">PROPER(TRIM(raw_data!F392))</f>
        <v>Consumer</v>
      </c>
      <c r="K392" s="3" t="str">
        <f aca="false">IF(TRIM(raw_data!G392)="","Unknown",PROPER(TRIM(raw_data!G392)))</f>
        <v>West</v>
      </c>
      <c r="L392" s="3" t="str">
        <f aca="false">IF(TRIM(raw_data!G392)="","Filled - Unknown","OK")</f>
        <v>OK</v>
      </c>
      <c r="M392" s="3" t="str">
        <f aca="false">PROPER(TRIM(raw_data!H392))</f>
        <v>Gujarat</v>
      </c>
      <c r="N392" s="3" t="str">
        <f aca="false">PROPER(TRIM(raw_data!I392))</f>
        <v>Ahmedabad</v>
      </c>
      <c r="O392" s="3" t="str">
        <f aca="false">PROPER(TRIM(raw_data!J392))</f>
        <v>Furniture</v>
      </c>
      <c r="P392" s="3" t="str">
        <f aca="false">PROPER(TRIM(raw_data!K392))</f>
        <v>Furnishings</v>
      </c>
      <c r="Q392" s="3" t="str">
        <f aca="false">TRIM(raw_data!L392)</f>
        <v>Pro Furnishings 281</v>
      </c>
      <c r="R392" s="3" t="str">
        <f aca="false">IF(TRIM(raw_data!M392)="","Unknown",PROPER(TRIM(raw_data!M392)))</f>
        <v>Standard Class</v>
      </c>
      <c r="S392" s="3" t="str">
        <f aca="false">IF(TRIM(raw_data!M392)="","Filled - Unknown","OK")</f>
        <v>OK</v>
      </c>
      <c r="T392" s="6" t="n">
        <f aca="false">raw_data!N392</f>
        <v>4</v>
      </c>
      <c r="U392" s="7" t="n">
        <f aca="false">raw_data!O392</f>
        <v>1917.26</v>
      </c>
      <c r="V392" s="8" t="n">
        <f aca="false">raw_data!P392</f>
        <v>0.2</v>
      </c>
      <c r="W392" s="8" t="n">
        <f aca="false">IF(raw_data!P392="",0,IF(ISTEXT(raw_data!P392),IF(RIGHT(raw_data!P392,1)="%",VALUE(LEFT(raw_data!P392,LEN(raw_data!P392)-1))/100,VALUE(raw_data!P392)),raw_data!P392))</f>
        <v>0.2</v>
      </c>
      <c r="X392" s="3" t="str">
        <f aca="false">IF(raw_data!P392="","Missing - Defaulted to 0",IF(W392&lt;0,"Negative - Invalid",IF(W392&gt;0.3,"Above Allowed Range - Invalid","Valid")))</f>
        <v>Valid</v>
      </c>
      <c r="Y392" s="7" t="n">
        <f aca="false">raw_data!Q392</f>
        <v>6135.23</v>
      </c>
      <c r="Z392" s="7" t="n">
        <f aca="false">raw_data!R392</f>
        <v>3439.79</v>
      </c>
      <c r="AA392" s="7" t="n">
        <f aca="false">raw_data!S392</f>
        <v>2695.44</v>
      </c>
      <c r="AB392" s="3" t="str">
        <f aca="false">PROPER(TRIM(raw_data!T392))</f>
        <v>Paid</v>
      </c>
      <c r="AC392" s="3" t="str">
        <f aca="false">PROPER(TRIM(raw_data!U392))</f>
        <v>Completed</v>
      </c>
      <c r="AD392" s="7" t="n">
        <f aca="false">T392*U392*(1-W392)</f>
        <v>6135.232</v>
      </c>
      <c r="AE392" s="7" t="n">
        <f aca="false">AD392-Z392</f>
        <v>2695.442</v>
      </c>
      <c r="AF392" s="8" t="n">
        <f aca="false">IF(AD392=0,0,AE392/AD392)</f>
        <v>0.439338235294118</v>
      </c>
      <c r="AG392" s="3" t="str">
        <f aca="false">IF(ABS(Y392-AD392)&gt;1,"Mismatch","OK")</f>
        <v>OK</v>
      </c>
      <c r="AH392" s="3" t="str">
        <f aca="false">IF(ABS(AA392-AE392)&gt;1,"Mismatch","OK")</f>
        <v>OK</v>
      </c>
      <c r="AI392" s="6" t="n">
        <f aca="false">IF(B392="","",MONTH(B392))</f>
        <v>11</v>
      </c>
      <c r="AJ392" s="6" t="n">
        <f aca="false">IF(B392="","",YEAR(B392))</f>
        <v>2024</v>
      </c>
      <c r="AK392" s="3" t="str">
        <f aca="false">IF(COUNTIF(raw_data!$A$2:$A$913,A392)&gt;1,"Conflicting Duplicate - Flagged for Review","Unique")</f>
        <v>Unique</v>
      </c>
      <c r="AL392" s="3" t="str">
        <f aca="false">IF(AB392="Refunded","Yes","No")</f>
        <v>No</v>
      </c>
      <c r="AM392" s="3" t="str">
        <f aca="false">IF(OR(AC392&lt;&gt;"Completed",AB392="Failed"),"Excluded","Included")</f>
        <v>Included</v>
      </c>
      <c r="AN392" s="3" t="str">
        <f aca="false">IF(OR(D392="Invalid/Unrecognized",E392="Invalid/Unrecognized",G392="Invalid - Ship Before Order",X392="Negative - Invalid",X392="Above Allowed Range - Invalid",AG392="Mismatch",AH392="Mismatch",AK392="Conflicting Duplicate - Flagged for Review"),"Invalid",IF(OR(L392="Filled - Unknown",S392="Filled - Unknown",X392="Missing - Defaulted to 0",AL392="Yes",AC392="Cancelled",AC392="Returned"),"Warning","Clean"))</f>
        <v>Clean</v>
      </c>
    </row>
    <row r="393" customFormat="false" ht="15" hidden="false" customHeight="false" outlineLevel="0" collapsed="false">
      <c r="A393" s="3" t="str">
        <f aca="false">raw_data!A393</f>
        <v>ORD-2025-10392</v>
      </c>
      <c r="B393" s="4" t="n">
        <f aca="false">IFERROR(IF(MID(raw_data!B393,3,1)="/",DATE(VALUE(RIGHT(raw_data!B393,4)),VALUE(LEFT(raw_data!B393,2)),VALUE(MID(raw_data!B393,4,2))),IF(MID(raw_data!B393,3,1)="-",DATE(VALUE(RIGHT(raw_data!B393,4)),VALUE(MID(raw_data!B393,4,2)),VALUE(LEFT(raw_data!B393,2))),IF(MID(raw_data!B393,5,1)="-",DATE(VALUE(LEFT(raw_data!B393,4)),VALUE(MID(raw_data!B393,6,2)),VALUE(RIGHT(raw_data!B393,2))),DATE(VALUE(RIGHT(raw_data!B393,4)),MATCH(MID(raw_data!B393,4,3),{"Jan","Feb","Mar","Apr","May","Jun","Jul","Aug","Sep","Oct","Nov","Dec"},0),VALUE(LEFT(raw_data!B393,2)))))),"")</f>
        <v>45702</v>
      </c>
      <c r="C393" s="4" t="n">
        <f aca="false">IFERROR(IF(MID(raw_data!C393,3,1)="/",DATE(VALUE(RIGHT(raw_data!C393,4)),VALUE(LEFT(raw_data!C393,2)),VALUE(MID(raw_data!C393,4,2))),IF(MID(raw_data!C393,3,1)="-",DATE(VALUE(RIGHT(raw_data!C393,4)),VALUE(MID(raw_data!C393,4,2)),VALUE(LEFT(raw_data!C393,2))),IF(MID(raw_data!C393,5,1)="-",DATE(VALUE(LEFT(raw_data!C393,4)),VALUE(MID(raw_data!C393,6,2)),VALUE(RIGHT(raw_data!C393,2))),DATE(VALUE(RIGHT(raw_data!C393,4)),MATCH(MID(raw_data!C393,4,3),{"Jan","Feb","Mar","Apr","May","Jun","Jul","Aug","Sep","Oct","Nov","Dec"},0),VALUE(LEFT(raw_data!C393,2)))))),"")</f>
        <v>45702</v>
      </c>
      <c r="D393" s="3" t="str">
        <f aca="false">IF(TRIM(raw_data!B393)="","Missing",IF(B393="","Invalid/Unrecognized","Valid"))</f>
        <v>Valid</v>
      </c>
      <c r="E393" s="3" t="str">
        <f aca="false">IF(TRIM(raw_data!C393)="","Missing",IF(C393="","Invalid/Unrecognized","Valid"))</f>
        <v>Valid</v>
      </c>
      <c r="F393" s="5" t="n">
        <f aca="false">IF(OR(B393="",C393=""),"",C393-B393)</f>
        <v>0</v>
      </c>
      <c r="G393" s="3" t="str">
        <f aca="false">IF(F393="","N/A",IF(F393&lt;0,"Invalid - Ship Before Order","OK"))</f>
        <v>OK</v>
      </c>
      <c r="H393" s="3" t="str">
        <f aca="false">raw_data!D393</f>
        <v>CUST-2267</v>
      </c>
      <c r="I393" s="3" t="str">
        <f aca="false">PROPER(TRIM(raw_data!E393))</f>
        <v>Diya Patel</v>
      </c>
      <c r="J393" s="3" t="str">
        <f aca="false">PROPER(TRIM(raw_data!F393))</f>
        <v>Consumer</v>
      </c>
      <c r="K393" s="3" t="str">
        <f aca="false">IF(TRIM(raw_data!G393)="","Unknown",PROPER(TRIM(raw_data!G393)))</f>
        <v>South</v>
      </c>
      <c r="L393" s="3" t="str">
        <f aca="false">IF(TRIM(raw_data!G393)="","Filled - Unknown","OK")</f>
        <v>OK</v>
      </c>
      <c r="M393" s="3" t="str">
        <f aca="false">PROPER(TRIM(raw_data!H393))</f>
        <v>Karnataka</v>
      </c>
      <c r="N393" s="3" t="str">
        <f aca="false">PROPER(TRIM(raw_data!I393))</f>
        <v>Bengaluru</v>
      </c>
      <c r="O393" s="3" t="str">
        <f aca="false">PROPER(TRIM(raw_data!J393))</f>
        <v>Office Supplies</v>
      </c>
      <c r="P393" s="3" t="str">
        <f aca="false">PROPER(TRIM(raw_data!K393))</f>
        <v>Storage</v>
      </c>
      <c r="Q393" s="3" t="str">
        <f aca="false">TRIM(raw_data!L393)</f>
        <v>Eco Storage 285</v>
      </c>
      <c r="R393" s="3" t="str">
        <f aca="false">IF(TRIM(raw_data!M393)="","Unknown",PROPER(TRIM(raw_data!M393)))</f>
        <v>First Class</v>
      </c>
      <c r="S393" s="3" t="str">
        <f aca="false">IF(TRIM(raw_data!M393)="","Filled - Unknown","OK")</f>
        <v>OK</v>
      </c>
      <c r="T393" s="6" t="n">
        <f aca="false">raw_data!N393</f>
        <v>1</v>
      </c>
      <c r="U393" s="7" t="n">
        <f aca="false">raw_data!O393</f>
        <v>714.43</v>
      </c>
      <c r="V393" s="8" t="n">
        <f aca="false">raw_data!P393</f>
        <v>0</v>
      </c>
      <c r="W393" s="8" t="n">
        <f aca="false">IF(raw_data!P393="",0,IF(ISTEXT(raw_data!P393),IF(RIGHT(raw_data!P393,1)="%",VALUE(LEFT(raw_data!P393,LEN(raw_data!P393)-1))/100,VALUE(raw_data!P393)),raw_data!P393))</f>
        <v>0</v>
      </c>
      <c r="X393" s="3" t="str">
        <f aca="false">IF(raw_data!P393="","Missing - Defaulted to 0",IF(W393&lt;0,"Negative - Invalid",IF(W393&gt;0.3,"Above Allowed Range - Invalid","Valid")))</f>
        <v>Valid</v>
      </c>
      <c r="Y393" s="7" t="n">
        <f aca="false">raw_data!Q393</f>
        <v>714.43</v>
      </c>
      <c r="Z393" s="7" t="n">
        <f aca="false">raw_data!R393</f>
        <v>565.44</v>
      </c>
      <c r="AA393" s="7" t="n">
        <f aca="false">raw_data!S393</f>
        <v>148.99</v>
      </c>
      <c r="AB393" s="3" t="str">
        <f aca="false">PROPER(TRIM(raw_data!T393))</f>
        <v>Paid</v>
      </c>
      <c r="AC393" s="3" t="str">
        <f aca="false">PROPER(TRIM(raw_data!U393))</f>
        <v>Completed</v>
      </c>
      <c r="AD393" s="7" t="n">
        <f aca="false">T393*U393*(1-W393)</f>
        <v>714.43</v>
      </c>
      <c r="AE393" s="7" t="n">
        <f aca="false">AD393-Z393</f>
        <v>148.99</v>
      </c>
      <c r="AF393" s="8" t="n">
        <f aca="false">IF(AD393=0,0,AE393/AD393)</f>
        <v>0.208543874137424</v>
      </c>
      <c r="AG393" s="3" t="str">
        <f aca="false">IF(ABS(Y393-AD393)&gt;1,"Mismatch","OK")</f>
        <v>OK</v>
      </c>
      <c r="AH393" s="3" t="str">
        <f aca="false">IF(ABS(AA393-AE393)&gt;1,"Mismatch","OK")</f>
        <v>OK</v>
      </c>
      <c r="AI393" s="6" t="n">
        <f aca="false">IF(B393="","",MONTH(B393))</f>
        <v>2</v>
      </c>
      <c r="AJ393" s="6" t="n">
        <f aca="false">IF(B393="","",YEAR(B393))</f>
        <v>2025</v>
      </c>
      <c r="AK393" s="3" t="str">
        <f aca="false">IF(COUNTIF(raw_data!$A$2:$A$913,A393)&gt;1,"Conflicting Duplicate - Flagged for Review","Unique")</f>
        <v>Unique</v>
      </c>
      <c r="AL393" s="3" t="str">
        <f aca="false">IF(AB393="Refunded","Yes","No")</f>
        <v>No</v>
      </c>
      <c r="AM393" s="3" t="str">
        <f aca="false">IF(OR(AC393&lt;&gt;"Completed",AB393="Failed"),"Excluded","Included")</f>
        <v>Included</v>
      </c>
      <c r="AN393" s="3" t="str">
        <f aca="false">IF(OR(D393="Invalid/Unrecognized",E393="Invalid/Unrecognized",G393="Invalid - Ship Before Order",X393="Negative - Invalid",X393="Above Allowed Range - Invalid",AG393="Mismatch",AH393="Mismatch",AK393="Conflicting Duplicate - Flagged for Review"),"Invalid",IF(OR(L393="Filled - Unknown",S393="Filled - Unknown",X393="Missing - Defaulted to 0",AL393="Yes",AC393="Cancelled",AC393="Returned"),"Warning","Clean"))</f>
        <v>Clean</v>
      </c>
    </row>
    <row r="394" customFormat="false" ht="15" hidden="false" customHeight="false" outlineLevel="0" collapsed="false">
      <c r="A394" s="3" t="str">
        <f aca="false">raw_data!A394</f>
        <v>ORD-2024-10393</v>
      </c>
      <c r="B394" s="4" t="n">
        <f aca="false">IFERROR(IF(MID(raw_data!B394,3,1)="/",DATE(VALUE(RIGHT(raw_data!B394,4)),VALUE(LEFT(raw_data!B394,2)),VALUE(MID(raw_data!B394,4,2))),IF(MID(raw_data!B394,3,1)="-",DATE(VALUE(RIGHT(raw_data!B394,4)),VALUE(MID(raw_data!B394,4,2)),VALUE(LEFT(raw_data!B394,2))),IF(MID(raw_data!B394,5,1)="-",DATE(VALUE(LEFT(raw_data!B394,4)),VALUE(MID(raw_data!B394,6,2)),VALUE(RIGHT(raw_data!B394,2))),DATE(VALUE(RIGHT(raw_data!B394,4)),MATCH(MID(raw_data!B394,4,3),{"Jan","Feb","Mar","Apr","May","Jun","Jul","Aug","Sep","Oct","Nov","Dec"},0),VALUE(LEFT(raw_data!B394,2)))))),"")</f>
        <v>45341</v>
      </c>
      <c r="C394" s="4" t="n">
        <f aca="false">IFERROR(IF(MID(raw_data!C394,3,1)="/",DATE(VALUE(RIGHT(raw_data!C394,4)),VALUE(LEFT(raw_data!C394,2)),VALUE(MID(raw_data!C394,4,2))),IF(MID(raw_data!C394,3,1)="-",DATE(VALUE(RIGHT(raw_data!C394,4)),VALUE(MID(raw_data!C394,4,2)),VALUE(LEFT(raw_data!C394,2))),IF(MID(raw_data!C394,5,1)="-",DATE(VALUE(LEFT(raw_data!C394,4)),VALUE(MID(raw_data!C394,6,2)),VALUE(RIGHT(raw_data!C394,2))),DATE(VALUE(RIGHT(raw_data!C394,4)),MATCH(MID(raw_data!C394,4,3),{"Jan","Feb","Mar","Apr","May","Jun","Jul","Aug","Sep","Oct","Nov","Dec"},0),VALUE(LEFT(raw_data!C394,2)))))),"")</f>
        <v>45344</v>
      </c>
      <c r="D394" s="3" t="str">
        <f aca="false">IF(TRIM(raw_data!B394)="","Missing",IF(B394="","Invalid/Unrecognized","Valid"))</f>
        <v>Valid</v>
      </c>
      <c r="E394" s="3" t="str">
        <f aca="false">IF(TRIM(raw_data!C394)="","Missing",IF(C394="","Invalid/Unrecognized","Valid"))</f>
        <v>Valid</v>
      </c>
      <c r="F394" s="5" t="n">
        <f aca="false">IF(OR(B394="",C394=""),"",C394-B394)</f>
        <v>3</v>
      </c>
      <c r="G394" s="3" t="str">
        <f aca="false">IF(F394="","N/A",IF(F394&lt;0,"Invalid - Ship Before Order","OK"))</f>
        <v>OK</v>
      </c>
      <c r="H394" s="3" t="str">
        <f aca="false">raw_data!D394</f>
        <v>CUST-6866</v>
      </c>
      <c r="I394" s="3" t="str">
        <f aca="false">PROPER(TRIM(raw_data!E394))</f>
        <v>Aditi Sen</v>
      </c>
      <c r="J394" s="3" t="str">
        <f aca="false">PROPER(TRIM(raw_data!F394))</f>
        <v>Small Business</v>
      </c>
      <c r="K394" s="3" t="str">
        <f aca="false">IF(TRIM(raw_data!G394)="","Unknown",PROPER(TRIM(raw_data!G394)))</f>
        <v>South</v>
      </c>
      <c r="L394" s="3" t="str">
        <f aca="false">IF(TRIM(raw_data!G394)="","Filled - Unknown","OK")</f>
        <v>OK</v>
      </c>
      <c r="M394" s="3" t="str">
        <f aca="false">PROPER(TRIM(raw_data!H394))</f>
        <v>Kerala</v>
      </c>
      <c r="N394" s="3" t="str">
        <f aca="false">PROPER(TRIM(raw_data!I394))</f>
        <v>Kochi</v>
      </c>
      <c r="O394" s="3" t="str">
        <f aca="false">PROPER(TRIM(raw_data!J394))</f>
        <v>Furniture</v>
      </c>
      <c r="P394" s="3" t="str">
        <f aca="false">PROPER(TRIM(raw_data!K394))</f>
        <v>Furnishings</v>
      </c>
      <c r="Q394" s="3" t="str">
        <f aca="false">TRIM(raw_data!L394)</f>
        <v>Classic Furnishings 746</v>
      </c>
      <c r="R394" s="3" t="str">
        <f aca="false">IF(TRIM(raw_data!M394)="","Unknown",PROPER(TRIM(raw_data!M394)))</f>
        <v>Same Day</v>
      </c>
      <c r="S394" s="3" t="str">
        <f aca="false">IF(TRIM(raw_data!M394)="","Filled - Unknown","OK")</f>
        <v>OK</v>
      </c>
      <c r="T394" s="6" t="n">
        <f aca="false">raw_data!N394</f>
        <v>9</v>
      </c>
      <c r="U394" s="7" t="n">
        <f aca="false">raw_data!O394</f>
        <v>4053.01</v>
      </c>
      <c r="V394" s="8" t="n">
        <f aca="false">raw_data!P394</f>
        <v>0</v>
      </c>
      <c r="W394" s="8" t="n">
        <f aca="false">IF(raw_data!P394="",0,IF(ISTEXT(raw_data!P394),IF(RIGHT(raw_data!P394,1)="%",VALUE(LEFT(raw_data!P394,LEN(raw_data!P394)-1))/100,VALUE(raw_data!P394)),raw_data!P394))</f>
        <v>0</v>
      </c>
      <c r="X394" s="3" t="str">
        <f aca="false">IF(raw_data!P394="","Missing - Defaulted to 0",IF(W394&lt;0,"Negative - Invalid",IF(W394&gt;0.3,"Above Allowed Range - Invalid","Valid")))</f>
        <v>Valid</v>
      </c>
      <c r="Y394" s="7" t="n">
        <f aca="false">raw_data!Q394</f>
        <v>36477.09</v>
      </c>
      <c r="Z394" s="7" t="n">
        <f aca="false">raw_data!R394</f>
        <v>24525.48</v>
      </c>
      <c r="AA394" s="7" t="n">
        <f aca="false">raw_data!S394</f>
        <v>11951.61</v>
      </c>
      <c r="AB394" s="3" t="str">
        <f aca="false">PROPER(TRIM(raw_data!T394))</f>
        <v>Paid</v>
      </c>
      <c r="AC394" s="3" t="str">
        <f aca="false">PROPER(TRIM(raw_data!U394))</f>
        <v>Completed</v>
      </c>
      <c r="AD394" s="7" t="n">
        <f aca="false">T394*U394*(1-W394)</f>
        <v>36477.09</v>
      </c>
      <c r="AE394" s="7" t="n">
        <f aca="false">AD394-Z394</f>
        <v>11951.61</v>
      </c>
      <c r="AF394" s="8" t="n">
        <f aca="false">IF(AD394=0,0,AE394/AD394)</f>
        <v>0.327647024474814</v>
      </c>
      <c r="AG394" s="3" t="str">
        <f aca="false">IF(ABS(Y394-AD394)&gt;1,"Mismatch","OK")</f>
        <v>OK</v>
      </c>
      <c r="AH394" s="3" t="str">
        <f aca="false">IF(ABS(AA394-AE394)&gt;1,"Mismatch","OK")</f>
        <v>OK</v>
      </c>
      <c r="AI394" s="6" t="n">
        <f aca="false">IF(B394="","",MONTH(B394))</f>
        <v>2</v>
      </c>
      <c r="AJ394" s="6" t="n">
        <f aca="false">IF(B394="","",YEAR(B394))</f>
        <v>2024</v>
      </c>
      <c r="AK394" s="3" t="str">
        <f aca="false">IF(COUNTIF(raw_data!$A$2:$A$913,A394)&gt;1,"Conflicting Duplicate - Flagged for Review","Unique")</f>
        <v>Unique</v>
      </c>
      <c r="AL394" s="3" t="str">
        <f aca="false">IF(AB394="Refunded","Yes","No")</f>
        <v>No</v>
      </c>
      <c r="AM394" s="3" t="str">
        <f aca="false">IF(OR(AC394&lt;&gt;"Completed",AB394="Failed"),"Excluded","Included")</f>
        <v>Included</v>
      </c>
      <c r="AN394" s="3" t="str">
        <f aca="false">IF(OR(D394="Invalid/Unrecognized",E394="Invalid/Unrecognized",G394="Invalid - Ship Before Order",X394="Negative - Invalid",X394="Above Allowed Range - Invalid",AG394="Mismatch",AH394="Mismatch",AK394="Conflicting Duplicate - Flagged for Review"),"Invalid",IF(OR(L394="Filled - Unknown",S394="Filled - Unknown",X394="Missing - Defaulted to 0",AL394="Yes",AC394="Cancelled",AC394="Returned"),"Warning","Clean"))</f>
        <v>Clean</v>
      </c>
    </row>
    <row r="395" customFormat="false" ht="15" hidden="false" customHeight="false" outlineLevel="0" collapsed="false">
      <c r="A395" s="3" t="str">
        <f aca="false">raw_data!A395</f>
        <v>ORD-2024-10394</v>
      </c>
      <c r="B395" s="4" t="n">
        <f aca="false">IFERROR(IF(MID(raw_data!B395,3,1)="/",DATE(VALUE(RIGHT(raw_data!B395,4)),VALUE(LEFT(raw_data!B395,2)),VALUE(MID(raw_data!B395,4,2))),IF(MID(raw_data!B395,3,1)="-",DATE(VALUE(RIGHT(raw_data!B395,4)),VALUE(MID(raw_data!B395,4,2)),VALUE(LEFT(raw_data!B395,2))),IF(MID(raw_data!B395,5,1)="-",DATE(VALUE(LEFT(raw_data!B395,4)),VALUE(MID(raw_data!B395,6,2)),VALUE(RIGHT(raw_data!B395,2))),DATE(VALUE(RIGHT(raw_data!B395,4)),MATCH(MID(raw_data!B395,4,3),{"Jan","Feb","Mar","Apr","May","Jun","Jul","Aug","Sep","Oct","Nov","Dec"},0),VALUE(LEFT(raw_data!B395,2)))))),"")</f>
        <v>45527</v>
      </c>
      <c r="C395" s="4" t="n">
        <f aca="false">IFERROR(IF(MID(raw_data!C395,3,1)="/",DATE(VALUE(RIGHT(raw_data!C395,4)),VALUE(LEFT(raw_data!C395,2)),VALUE(MID(raw_data!C395,4,2))),IF(MID(raw_data!C395,3,1)="-",DATE(VALUE(RIGHT(raw_data!C395,4)),VALUE(MID(raw_data!C395,4,2)),VALUE(LEFT(raw_data!C395,2))),IF(MID(raw_data!C395,5,1)="-",DATE(VALUE(LEFT(raw_data!C395,4)),VALUE(MID(raw_data!C395,6,2)),VALUE(RIGHT(raw_data!C395,2))),DATE(VALUE(RIGHT(raw_data!C395,4)),MATCH(MID(raw_data!C395,4,3),{"Jan","Feb","Mar","Apr","May","Jun","Jul","Aug","Sep","Oct","Nov","Dec"},0),VALUE(LEFT(raw_data!C395,2)))))),"")</f>
        <v>45533</v>
      </c>
      <c r="D395" s="3" t="str">
        <f aca="false">IF(TRIM(raw_data!B395)="","Missing",IF(B395="","Invalid/Unrecognized","Valid"))</f>
        <v>Valid</v>
      </c>
      <c r="E395" s="3" t="str">
        <f aca="false">IF(TRIM(raw_data!C395)="","Missing",IF(C395="","Invalid/Unrecognized","Valid"))</f>
        <v>Valid</v>
      </c>
      <c r="F395" s="5" t="n">
        <f aca="false">IF(OR(B395="",C395=""),"",C395-B395)</f>
        <v>6</v>
      </c>
      <c r="G395" s="3" t="str">
        <f aca="false">IF(F395="","N/A",IF(F395&lt;0,"Invalid - Ship Before Order","OK"))</f>
        <v>OK</v>
      </c>
      <c r="H395" s="3" t="str">
        <f aca="false">raw_data!D395</f>
        <v>CUST-3160</v>
      </c>
      <c r="I395" s="3" t="str">
        <f aca="false">PROPER(TRIM(raw_data!E395))</f>
        <v>Mira Das</v>
      </c>
      <c r="J395" s="3" t="str">
        <f aca="false">PROPER(TRIM(raw_data!F395))</f>
        <v>Corporate</v>
      </c>
      <c r="K395" s="3" t="str">
        <f aca="false">IF(TRIM(raw_data!G395)="","Unknown",PROPER(TRIM(raw_data!G395)))</f>
        <v>North</v>
      </c>
      <c r="L395" s="3" t="str">
        <f aca="false">IF(TRIM(raw_data!G395)="","Filled - Unknown","OK")</f>
        <v>OK</v>
      </c>
      <c r="M395" s="3" t="str">
        <f aca="false">PROPER(TRIM(raw_data!H395))</f>
        <v>Uttar Pradesh</v>
      </c>
      <c r="N395" s="3" t="str">
        <f aca="false">PROPER(TRIM(raw_data!I395))</f>
        <v>Noida</v>
      </c>
      <c r="O395" s="3" t="str">
        <f aca="false">PROPER(TRIM(raw_data!J395))</f>
        <v>Office Supplies</v>
      </c>
      <c r="P395" s="3" t="str">
        <f aca="false">PROPER(TRIM(raw_data!K395))</f>
        <v>Labels</v>
      </c>
      <c r="Q395" s="3" t="str">
        <f aca="false">TRIM(raw_data!L395)</f>
        <v>Eco Labels 815</v>
      </c>
      <c r="R395" s="3" t="str">
        <f aca="false">IF(TRIM(raw_data!M395)="","Unknown",PROPER(TRIM(raw_data!M395)))</f>
        <v>Same Day</v>
      </c>
      <c r="S395" s="3" t="str">
        <f aca="false">IF(TRIM(raw_data!M395)="","Filled - Unknown","OK")</f>
        <v>OK</v>
      </c>
      <c r="T395" s="6" t="n">
        <f aca="false">raw_data!N395</f>
        <v>2</v>
      </c>
      <c r="U395" s="7" t="n">
        <f aca="false">raw_data!O395</f>
        <v>1936.91</v>
      </c>
      <c r="V395" s="8" t="n">
        <f aca="false">raw_data!P395</f>
        <v>0.05</v>
      </c>
      <c r="W395" s="8" t="n">
        <f aca="false">IF(raw_data!P395="",0,IF(ISTEXT(raw_data!P395),IF(RIGHT(raw_data!P395,1)="%",VALUE(LEFT(raw_data!P395,LEN(raw_data!P395)-1))/100,VALUE(raw_data!P395)),raw_data!P395))</f>
        <v>0.05</v>
      </c>
      <c r="X395" s="3" t="str">
        <f aca="false">IF(raw_data!P395="","Missing - Defaulted to 0",IF(W395&lt;0,"Negative - Invalid",IF(W395&gt;0.3,"Above Allowed Range - Invalid","Valid")))</f>
        <v>Valid</v>
      </c>
      <c r="Y395" s="7" t="n">
        <f aca="false">raw_data!Q395</f>
        <v>3680.13</v>
      </c>
      <c r="Z395" s="7" t="n">
        <f aca="false">raw_data!R395</f>
        <v>2967.46</v>
      </c>
      <c r="AA395" s="7" t="n">
        <f aca="false">raw_data!S395</f>
        <v>712.67</v>
      </c>
      <c r="AB395" s="3" t="str">
        <f aca="false">PROPER(TRIM(raw_data!T395))</f>
        <v>Paid</v>
      </c>
      <c r="AC395" s="3" t="str">
        <f aca="false">PROPER(TRIM(raw_data!U395))</f>
        <v>Completed</v>
      </c>
      <c r="AD395" s="7" t="n">
        <f aca="false">T395*U395*(1-W395)</f>
        <v>3680.129</v>
      </c>
      <c r="AE395" s="7" t="n">
        <f aca="false">AD395-Z395</f>
        <v>712.669</v>
      </c>
      <c r="AF395" s="8" t="n">
        <f aca="false">IF(AD395=0,0,AE395/AD395)</f>
        <v>0.193653265958883</v>
      </c>
      <c r="AG395" s="3" t="str">
        <f aca="false">IF(ABS(Y395-AD395)&gt;1,"Mismatch","OK")</f>
        <v>OK</v>
      </c>
      <c r="AH395" s="3" t="str">
        <f aca="false">IF(ABS(AA395-AE395)&gt;1,"Mismatch","OK")</f>
        <v>OK</v>
      </c>
      <c r="AI395" s="6" t="n">
        <f aca="false">IF(B395="","",MONTH(B395))</f>
        <v>8</v>
      </c>
      <c r="AJ395" s="6" t="n">
        <f aca="false">IF(B395="","",YEAR(B395))</f>
        <v>2024</v>
      </c>
      <c r="AK395" s="3" t="str">
        <f aca="false">IF(COUNTIF(raw_data!$A$2:$A$913,A395)&gt;1,"Conflicting Duplicate - Flagged for Review","Unique")</f>
        <v>Unique</v>
      </c>
      <c r="AL395" s="3" t="str">
        <f aca="false">IF(AB395="Refunded","Yes","No")</f>
        <v>No</v>
      </c>
      <c r="AM395" s="3" t="str">
        <f aca="false">IF(OR(AC395&lt;&gt;"Completed",AB395="Failed"),"Excluded","Included")</f>
        <v>Included</v>
      </c>
      <c r="AN395" s="3" t="str">
        <f aca="false">IF(OR(D395="Invalid/Unrecognized",E395="Invalid/Unrecognized",G395="Invalid - Ship Before Order",X395="Negative - Invalid",X395="Above Allowed Range - Invalid",AG395="Mismatch",AH395="Mismatch",AK395="Conflicting Duplicate - Flagged for Review"),"Invalid",IF(OR(L395="Filled - Unknown",S395="Filled - Unknown",X395="Missing - Defaulted to 0",AL395="Yes",AC395="Cancelled",AC395="Returned"),"Warning","Clean"))</f>
        <v>Clean</v>
      </c>
    </row>
    <row r="396" customFormat="false" ht="15" hidden="false" customHeight="false" outlineLevel="0" collapsed="false">
      <c r="A396" s="3" t="str">
        <f aca="false">raw_data!A396</f>
        <v>ORD-2024-10395</v>
      </c>
      <c r="B396" s="4" t="n">
        <f aca="false">IFERROR(IF(MID(raw_data!B396,3,1)="/",DATE(VALUE(RIGHT(raw_data!B396,4)),VALUE(LEFT(raw_data!B396,2)),VALUE(MID(raw_data!B396,4,2))),IF(MID(raw_data!B396,3,1)="-",DATE(VALUE(RIGHT(raw_data!B396,4)),VALUE(MID(raw_data!B396,4,2)),VALUE(LEFT(raw_data!B396,2))),IF(MID(raw_data!B396,5,1)="-",DATE(VALUE(LEFT(raw_data!B396,4)),VALUE(MID(raw_data!B396,6,2)),VALUE(RIGHT(raw_data!B396,2))),DATE(VALUE(RIGHT(raw_data!B396,4)),MATCH(MID(raw_data!B396,4,3),{"Jan","Feb","Mar","Apr","May","Jun","Jul","Aug","Sep","Oct","Nov","Dec"},0),VALUE(LEFT(raw_data!B396,2)))))),"")</f>
        <v>45385</v>
      </c>
      <c r="C396" s="4" t="n">
        <f aca="false">IFERROR(IF(MID(raw_data!C396,3,1)="/",DATE(VALUE(RIGHT(raw_data!C396,4)),VALUE(LEFT(raw_data!C396,2)),VALUE(MID(raw_data!C396,4,2))),IF(MID(raw_data!C396,3,1)="-",DATE(VALUE(RIGHT(raw_data!C396,4)),VALUE(MID(raw_data!C396,4,2)),VALUE(LEFT(raw_data!C396,2))),IF(MID(raw_data!C396,5,1)="-",DATE(VALUE(LEFT(raw_data!C396,4)),VALUE(MID(raw_data!C396,6,2)),VALUE(RIGHT(raw_data!C396,2))),DATE(VALUE(RIGHT(raw_data!C396,4)),MATCH(MID(raw_data!C396,4,3),{"Jan","Feb","Mar","Apr","May","Jun","Jul","Aug","Sep","Oct","Nov","Dec"},0),VALUE(LEFT(raw_data!C396,2)))))),"")</f>
        <v>45386</v>
      </c>
      <c r="D396" s="3" t="str">
        <f aca="false">IF(TRIM(raw_data!B396)="","Missing",IF(B396="","Invalid/Unrecognized","Valid"))</f>
        <v>Valid</v>
      </c>
      <c r="E396" s="3" t="str">
        <f aca="false">IF(TRIM(raw_data!C396)="","Missing",IF(C396="","Invalid/Unrecognized","Valid"))</f>
        <v>Valid</v>
      </c>
      <c r="F396" s="5" t="n">
        <f aca="false">IF(OR(B396="",C396=""),"",C396-B396)</f>
        <v>1</v>
      </c>
      <c r="G396" s="3" t="str">
        <f aca="false">IF(F396="","N/A",IF(F396&lt;0,"Invalid - Ship Before Order","OK"))</f>
        <v>OK</v>
      </c>
      <c r="H396" s="3" t="str">
        <f aca="false">raw_data!D396</f>
        <v>CUST-8444</v>
      </c>
      <c r="I396" s="3" t="str">
        <f aca="false">PROPER(TRIM(raw_data!E396))</f>
        <v>Kabir Singh</v>
      </c>
      <c r="J396" s="3" t="str">
        <f aca="false">PROPER(TRIM(raw_data!F396))</f>
        <v>Consumer</v>
      </c>
      <c r="K396" s="3" t="str">
        <f aca="false">IF(TRIM(raw_data!G396)="","Unknown",PROPER(TRIM(raw_data!G396)))</f>
        <v>West</v>
      </c>
      <c r="L396" s="3" t="str">
        <f aca="false">IF(TRIM(raw_data!G396)="","Filled - Unknown","OK")</f>
        <v>OK</v>
      </c>
      <c r="M396" s="3" t="str">
        <f aca="false">PROPER(TRIM(raw_data!H396))</f>
        <v>Maharashtra</v>
      </c>
      <c r="N396" s="3" t="str">
        <f aca="false">PROPER(TRIM(raw_data!I396))</f>
        <v>Mumbai</v>
      </c>
      <c r="O396" s="3" t="str">
        <f aca="false">PROPER(TRIM(raw_data!J396))</f>
        <v>Furniture</v>
      </c>
      <c r="P396" s="3" t="str">
        <f aca="false">PROPER(TRIM(raw_data!K396))</f>
        <v>Furnishings</v>
      </c>
      <c r="Q396" s="3" t="str">
        <f aca="false">TRIM(raw_data!L396)</f>
        <v>Prime Furnishings 879</v>
      </c>
      <c r="R396" s="3" t="str">
        <f aca="false">IF(TRIM(raw_data!M396)="","Unknown",PROPER(TRIM(raw_data!M396)))</f>
        <v>First Class</v>
      </c>
      <c r="S396" s="3" t="str">
        <f aca="false">IF(TRIM(raw_data!M396)="","Filled - Unknown","OK")</f>
        <v>OK</v>
      </c>
      <c r="T396" s="6" t="n">
        <f aca="false">raw_data!N396</f>
        <v>7</v>
      </c>
      <c r="U396" s="7" t="n">
        <f aca="false">raw_data!O396</f>
        <v>3945.21</v>
      </c>
      <c r="V396" s="8" t="n">
        <f aca="false">raw_data!P396</f>
        <v>0</v>
      </c>
      <c r="W396" s="8" t="n">
        <f aca="false">IF(raw_data!P396="",0,IF(ISTEXT(raw_data!P396),IF(RIGHT(raw_data!P396,1)="%",VALUE(LEFT(raw_data!P396,LEN(raw_data!P396)-1))/100,VALUE(raw_data!P396)),raw_data!P396))</f>
        <v>0</v>
      </c>
      <c r="X396" s="3" t="str">
        <f aca="false">IF(raw_data!P396="","Missing - Defaulted to 0",IF(W396&lt;0,"Negative - Invalid",IF(W396&gt;0.3,"Above Allowed Range - Invalid","Valid")))</f>
        <v>Valid</v>
      </c>
      <c r="Y396" s="7" t="n">
        <f aca="false">raw_data!Q396</f>
        <v>27616.47</v>
      </c>
      <c r="Z396" s="7" t="n">
        <f aca="false">raw_data!R396</f>
        <v>21225.26</v>
      </c>
      <c r="AA396" s="7" t="n">
        <f aca="false">raw_data!S396</f>
        <v>6391.21</v>
      </c>
      <c r="AB396" s="3" t="str">
        <f aca="false">PROPER(TRIM(raw_data!T396))</f>
        <v>Paid</v>
      </c>
      <c r="AC396" s="3" t="str">
        <f aca="false">PROPER(TRIM(raw_data!U396))</f>
        <v>Completed</v>
      </c>
      <c r="AD396" s="7" t="n">
        <f aca="false">T396*U396*(1-W396)</f>
        <v>27616.47</v>
      </c>
      <c r="AE396" s="7" t="n">
        <f aca="false">AD396-Z396</f>
        <v>6391.21</v>
      </c>
      <c r="AF396" s="8" t="n">
        <f aca="false">IF(AD396=0,0,AE396/AD396)</f>
        <v>0.231427477878237</v>
      </c>
      <c r="AG396" s="3" t="str">
        <f aca="false">IF(ABS(Y396-AD396)&gt;1,"Mismatch","OK")</f>
        <v>OK</v>
      </c>
      <c r="AH396" s="3" t="str">
        <f aca="false">IF(ABS(AA396-AE396)&gt;1,"Mismatch","OK")</f>
        <v>OK</v>
      </c>
      <c r="AI396" s="6" t="n">
        <f aca="false">IF(B396="","",MONTH(B396))</f>
        <v>4</v>
      </c>
      <c r="AJ396" s="6" t="n">
        <f aca="false">IF(B396="","",YEAR(B396))</f>
        <v>2024</v>
      </c>
      <c r="AK396" s="3" t="str">
        <f aca="false">IF(COUNTIF(raw_data!$A$2:$A$913,A396)&gt;1,"Conflicting Duplicate - Flagged for Review","Unique")</f>
        <v>Unique</v>
      </c>
      <c r="AL396" s="3" t="str">
        <f aca="false">IF(AB396="Refunded","Yes","No")</f>
        <v>No</v>
      </c>
      <c r="AM396" s="3" t="str">
        <f aca="false">IF(OR(AC396&lt;&gt;"Completed",AB396="Failed"),"Excluded","Included")</f>
        <v>Included</v>
      </c>
      <c r="AN396" s="3" t="str">
        <f aca="false">IF(OR(D396="Invalid/Unrecognized",E396="Invalid/Unrecognized",G396="Invalid - Ship Before Order",X396="Negative - Invalid",X396="Above Allowed Range - Invalid",AG396="Mismatch",AH396="Mismatch",AK396="Conflicting Duplicate - Flagged for Review"),"Invalid",IF(OR(L396="Filled - Unknown",S396="Filled - Unknown",X396="Missing - Defaulted to 0",AL396="Yes",AC396="Cancelled",AC396="Returned"),"Warning","Clean"))</f>
        <v>Clean</v>
      </c>
    </row>
    <row r="397" customFormat="false" ht="15" hidden="false" customHeight="false" outlineLevel="0" collapsed="false">
      <c r="A397" s="3" t="str">
        <f aca="false">raw_data!A397</f>
        <v>ORD-2024-10396</v>
      </c>
      <c r="B397" s="4" t="n">
        <f aca="false">IFERROR(IF(MID(raw_data!B397,3,1)="/",DATE(VALUE(RIGHT(raw_data!B397,4)),VALUE(LEFT(raw_data!B397,2)),VALUE(MID(raw_data!B397,4,2))),IF(MID(raw_data!B397,3,1)="-",DATE(VALUE(RIGHT(raw_data!B397,4)),VALUE(MID(raw_data!B397,4,2)),VALUE(LEFT(raw_data!B397,2))),IF(MID(raw_data!B397,5,1)="-",DATE(VALUE(LEFT(raw_data!B397,4)),VALUE(MID(raw_data!B397,6,2)),VALUE(RIGHT(raw_data!B397,2))),DATE(VALUE(RIGHT(raw_data!B397,4)),MATCH(MID(raw_data!B397,4,3),{"Jan","Feb","Mar","Apr","May","Jun","Jul","Aug","Sep","Oct","Nov","Dec"},0),VALUE(LEFT(raw_data!B397,2)))))),"")</f>
        <v>45449</v>
      </c>
      <c r="C397" s="4" t="n">
        <f aca="false">IFERROR(IF(MID(raw_data!C397,3,1)="/",DATE(VALUE(RIGHT(raw_data!C397,4)),VALUE(LEFT(raw_data!C397,2)),VALUE(MID(raw_data!C397,4,2))),IF(MID(raw_data!C397,3,1)="-",DATE(VALUE(RIGHT(raw_data!C397,4)),VALUE(MID(raw_data!C397,4,2)),VALUE(LEFT(raw_data!C397,2))),IF(MID(raw_data!C397,5,1)="-",DATE(VALUE(LEFT(raw_data!C397,4)),VALUE(MID(raw_data!C397,6,2)),VALUE(RIGHT(raw_data!C397,2))),DATE(VALUE(RIGHT(raw_data!C397,4)),MATCH(MID(raw_data!C397,4,3),{"Jan","Feb","Mar","Apr","May","Jun","Jul","Aug","Sep","Oct","Nov","Dec"},0),VALUE(LEFT(raw_data!C397,2)))))),"")</f>
        <v>45450</v>
      </c>
      <c r="D397" s="3" t="str">
        <f aca="false">IF(TRIM(raw_data!B397)="","Missing",IF(B397="","Invalid/Unrecognized","Valid"))</f>
        <v>Valid</v>
      </c>
      <c r="E397" s="3" t="str">
        <f aca="false">IF(TRIM(raw_data!C397)="","Missing",IF(C397="","Invalid/Unrecognized","Valid"))</f>
        <v>Valid</v>
      </c>
      <c r="F397" s="5" t="n">
        <f aca="false">IF(OR(B397="",C397=""),"",C397-B397)</f>
        <v>1</v>
      </c>
      <c r="G397" s="3" t="str">
        <f aca="false">IF(F397="","N/A",IF(F397&lt;0,"Invalid - Ship Before Order","OK"))</f>
        <v>OK</v>
      </c>
      <c r="H397" s="3" t="str">
        <f aca="false">raw_data!D397</f>
        <v>CUST-4765</v>
      </c>
      <c r="I397" s="3" t="str">
        <f aca="false">PROPER(TRIM(raw_data!E397))</f>
        <v>Rahul Verma</v>
      </c>
      <c r="J397" s="3" t="str">
        <f aca="false">PROPER(TRIM(raw_data!F397))</f>
        <v>Home Office</v>
      </c>
      <c r="K397" s="3" t="str">
        <f aca="false">IF(TRIM(raw_data!G397)="","Unknown",PROPER(TRIM(raw_data!G397)))</f>
        <v>South</v>
      </c>
      <c r="L397" s="3" t="str">
        <f aca="false">IF(TRIM(raw_data!G397)="","Filled - Unknown","OK")</f>
        <v>OK</v>
      </c>
      <c r="M397" s="3" t="str">
        <f aca="false">PROPER(TRIM(raw_data!H397))</f>
        <v>Tamil Nadu</v>
      </c>
      <c r="N397" s="3" t="str">
        <f aca="false">PROPER(TRIM(raw_data!I397))</f>
        <v>Chennai</v>
      </c>
      <c r="O397" s="3" t="str">
        <f aca="false">PROPER(TRIM(raw_data!J397))</f>
        <v>Furniture</v>
      </c>
      <c r="P397" s="3" t="str">
        <f aca="false">PROPER(TRIM(raw_data!K397))</f>
        <v>Tables</v>
      </c>
      <c r="Q397" s="3" t="str">
        <f aca="false">TRIM(raw_data!L397)</f>
        <v>Pro Tables 142</v>
      </c>
      <c r="R397" s="3" t="str">
        <f aca="false">IF(TRIM(raw_data!M397)="","Unknown",PROPER(TRIM(raw_data!M397)))</f>
        <v>Same Day</v>
      </c>
      <c r="S397" s="3" t="str">
        <f aca="false">IF(TRIM(raw_data!M397)="","Filled - Unknown","OK")</f>
        <v>OK</v>
      </c>
      <c r="T397" s="6" t="n">
        <f aca="false">raw_data!N397</f>
        <v>7</v>
      </c>
      <c r="U397" s="7" t="n">
        <f aca="false">raw_data!O397</f>
        <v>861.91</v>
      </c>
      <c r="V397" s="8" t="n">
        <f aca="false">raw_data!P397</f>
        <v>0.05</v>
      </c>
      <c r="W397" s="8" t="n">
        <f aca="false">IF(raw_data!P397="",0,IF(ISTEXT(raw_data!P397),IF(RIGHT(raw_data!P397,1)="%",VALUE(LEFT(raw_data!P397,LEN(raw_data!P397)-1))/100,VALUE(raw_data!P397)),raw_data!P397))</f>
        <v>0.05</v>
      </c>
      <c r="X397" s="3" t="str">
        <f aca="false">IF(raw_data!P397="","Missing - Defaulted to 0",IF(W397&lt;0,"Negative - Invalid",IF(W397&gt;0.3,"Above Allowed Range - Invalid","Valid")))</f>
        <v>Valid</v>
      </c>
      <c r="Y397" s="7" t="n">
        <f aca="false">raw_data!Q397</f>
        <v>5731.7</v>
      </c>
      <c r="Z397" s="7" t="n">
        <f aca="false">raw_data!R397</f>
        <v>4115.56</v>
      </c>
      <c r="AA397" s="7" t="n">
        <f aca="false">raw_data!S397</f>
        <v>1616.14</v>
      </c>
      <c r="AB397" s="3" t="str">
        <f aca="false">PROPER(TRIM(raw_data!T397))</f>
        <v>Paid</v>
      </c>
      <c r="AC397" s="3" t="str">
        <f aca="false">PROPER(TRIM(raw_data!U397))</f>
        <v>Completed</v>
      </c>
      <c r="AD397" s="7" t="n">
        <f aca="false">T397*U397*(1-W397)</f>
        <v>5731.7015</v>
      </c>
      <c r="AE397" s="7" t="n">
        <f aca="false">AD397-Z397</f>
        <v>1616.1415</v>
      </c>
      <c r="AF397" s="8" t="n">
        <f aca="false">IF(AD397=0,0,AE397/AD397)</f>
        <v>0.281965398930841</v>
      </c>
      <c r="AG397" s="3" t="str">
        <f aca="false">IF(ABS(Y397-AD397)&gt;1,"Mismatch","OK")</f>
        <v>OK</v>
      </c>
      <c r="AH397" s="3" t="str">
        <f aca="false">IF(ABS(AA397-AE397)&gt;1,"Mismatch","OK")</f>
        <v>OK</v>
      </c>
      <c r="AI397" s="6" t="n">
        <f aca="false">IF(B397="","",MONTH(B397))</f>
        <v>6</v>
      </c>
      <c r="AJ397" s="6" t="n">
        <f aca="false">IF(B397="","",YEAR(B397))</f>
        <v>2024</v>
      </c>
      <c r="AK397" s="3" t="str">
        <f aca="false">IF(COUNTIF(raw_data!$A$2:$A$913,A397)&gt;1,"Conflicting Duplicate - Flagged for Review","Unique")</f>
        <v>Unique</v>
      </c>
      <c r="AL397" s="3" t="str">
        <f aca="false">IF(AB397="Refunded","Yes","No")</f>
        <v>No</v>
      </c>
      <c r="AM397" s="3" t="str">
        <f aca="false">IF(OR(AC397&lt;&gt;"Completed",AB397="Failed"),"Excluded","Included")</f>
        <v>Included</v>
      </c>
      <c r="AN397" s="3" t="str">
        <f aca="false">IF(OR(D397="Invalid/Unrecognized",E397="Invalid/Unrecognized",G397="Invalid - Ship Before Order",X397="Negative - Invalid",X397="Above Allowed Range - Invalid",AG397="Mismatch",AH397="Mismatch",AK397="Conflicting Duplicate - Flagged for Review"),"Invalid",IF(OR(L397="Filled - Unknown",S397="Filled - Unknown",X397="Missing - Defaulted to 0",AL397="Yes",AC397="Cancelled",AC397="Returned"),"Warning","Clean"))</f>
        <v>Clean</v>
      </c>
    </row>
    <row r="398" customFormat="false" ht="15" hidden="false" customHeight="false" outlineLevel="0" collapsed="false">
      <c r="A398" s="3" t="str">
        <f aca="false">raw_data!A398</f>
        <v>ORD-2025-10397</v>
      </c>
      <c r="B398" s="4" t="n">
        <f aca="false">IFERROR(IF(MID(raw_data!B398,3,1)="/",DATE(VALUE(RIGHT(raw_data!B398,4)),VALUE(LEFT(raw_data!B398,2)),VALUE(MID(raw_data!B398,4,2))),IF(MID(raw_data!B398,3,1)="-",DATE(VALUE(RIGHT(raw_data!B398,4)),VALUE(MID(raw_data!B398,4,2)),VALUE(LEFT(raw_data!B398,2))),IF(MID(raw_data!B398,5,1)="-",DATE(VALUE(LEFT(raw_data!B398,4)),VALUE(MID(raw_data!B398,6,2)),VALUE(RIGHT(raw_data!B398,2))),DATE(VALUE(RIGHT(raw_data!B398,4)),MATCH(MID(raw_data!B398,4,3),{"Jan","Feb","Mar","Apr","May","Jun","Jul","Aug","Sep","Oct","Nov","Dec"},0),VALUE(LEFT(raw_data!B398,2)))))),"")</f>
        <v>45761</v>
      </c>
      <c r="C398" s="4" t="n">
        <f aca="false">IFERROR(IF(MID(raw_data!C398,3,1)="/",DATE(VALUE(RIGHT(raw_data!C398,4)),VALUE(LEFT(raw_data!C398,2)),VALUE(MID(raw_data!C398,4,2))),IF(MID(raw_data!C398,3,1)="-",DATE(VALUE(RIGHT(raw_data!C398,4)),VALUE(MID(raw_data!C398,4,2)),VALUE(LEFT(raw_data!C398,2))),IF(MID(raw_data!C398,5,1)="-",DATE(VALUE(LEFT(raw_data!C398,4)),VALUE(MID(raw_data!C398,6,2)),VALUE(RIGHT(raw_data!C398,2))),DATE(VALUE(RIGHT(raw_data!C398,4)),MATCH(MID(raw_data!C398,4,3),{"Jan","Feb","Mar","Apr","May","Jun","Jul","Aug","Sep","Oct","Nov","Dec"},0),VALUE(LEFT(raw_data!C398,2)))))),"")</f>
        <v>45769</v>
      </c>
      <c r="D398" s="3" t="str">
        <f aca="false">IF(TRIM(raw_data!B398)="","Missing",IF(B398="","Invalid/Unrecognized","Valid"))</f>
        <v>Valid</v>
      </c>
      <c r="E398" s="3" t="str">
        <f aca="false">IF(TRIM(raw_data!C398)="","Missing",IF(C398="","Invalid/Unrecognized","Valid"))</f>
        <v>Valid</v>
      </c>
      <c r="F398" s="5" t="n">
        <f aca="false">IF(OR(B398="",C398=""),"",C398-B398)</f>
        <v>8</v>
      </c>
      <c r="G398" s="3" t="str">
        <f aca="false">IF(F398="","N/A",IF(F398&lt;0,"Invalid - Ship Before Order","OK"))</f>
        <v>OK</v>
      </c>
      <c r="H398" s="3" t="str">
        <f aca="false">raw_data!D398</f>
        <v>CUST-2280</v>
      </c>
      <c r="I398" s="3" t="str">
        <f aca="false">PROPER(TRIM(raw_data!E398))</f>
        <v>Aditi Sen</v>
      </c>
      <c r="J398" s="3" t="str">
        <f aca="false">PROPER(TRIM(raw_data!F398))</f>
        <v>Small Business</v>
      </c>
      <c r="K398" s="3" t="str">
        <f aca="false">IF(TRIM(raw_data!G398)="","Unknown",PROPER(TRIM(raw_data!G398)))</f>
        <v>South</v>
      </c>
      <c r="L398" s="3" t="str">
        <f aca="false">IF(TRIM(raw_data!G398)="","Filled - Unknown","OK")</f>
        <v>OK</v>
      </c>
      <c r="M398" s="3" t="str">
        <f aca="false">PROPER(TRIM(raw_data!H398))</f>
        <v>Karnataka</v>
      </c>
      <c r="N398" s="3" t="str">
        <f aca="false">PROPER(TRIM(raw_data!I398))</f>
        <v>Bengaluru</v>
      </c>
      <c r="O398" s="3" t="str">
        <f aca="false">PROPER(TRIM(raw_data!J398))</f>
        <v>Technology</v>
      </c>
      <c r="P398" s="3" t="str">
        <f aca="false">PROPER(TRIM(raw_data!K398))</f>
        <v>Machines</v>
      </c>
      <c r="Q398" s="3" t="str">
        <f aca="false">TRIM(raw_data!L398)</f>
        <v>Prime Machines 267</v>
      </c>
      <c r="R398" s="3" t="str">
        <f aca="false">IF(TRIM(raw_data!M398)="","Unknown",PROPER(TRIM(raw_data!M398)))</f>
        <v>Standard Class</v>
      </c>
      <c r="S398" s="3" t="str">
        <f aca="false">IF(TRIM(raw_data!M398)="","Filled - Unknown","OK")</f>
        <v>OK</v>
      </c>
      <c r="T398" s="6" t="n">
        <f aca="false">raw_data!N398</f>
        <v>2</v>
      </c>
      <c r="U398" s="7" t="n">
        <f aca="false">raw_data!O398</f>
        <v>638.73</v>
      </c>
      <c r="V398" s="8" t="n">
        <f aca="false">raw_data!P398</f>
        <v>0.05</v>
      </c>
      <c r="W398" s="8" t="n">
        <f aca="false">IF(raw_data!P398="",0,IF(ISTEXT(raw_data!P398),IF(RIGHT(raw_data!P398,1)="%",VALUE(LEFT(raw_data!P398,LEN(raw_data!P398)-1))/100,VALUE(raw_data!P398)),raw_data!P398))</f>
        <v>0.05</v>
      </c>
      <c r="X398" s="3" t="str">
        <f aca="false">IF(raw_data!P398="","Missing - Defaulted to 0",IF(W398&lt;0,"Negative - Invalid",IF(W398&gt;0.3,"Above Allowed Range - Invalid","Valid")))</f>
        <v>Valid</v>
      </c>
      <c r="Y398" s="7" t="n">
        <f aca="false">raw_data!Q398</f>
        <v>1213.59</v>
      </c>
      <c r="Z398" s="7" t="n">
        <f aca="false">raw_data!R398</f>
        <v>956.22</v>
      </c>
      <c r="AA398" s="7" t="n">
        <f aca="false">raw_data!S398</f>
        <v>257.37</v>
      </c>
      <c r="AB398" s="3" t="str">
        <f aca="false">PROPER(TRIM(raw_data!T398))</f>
        <v>Paid</v>
      </c>
      <c r="AC398" s="3" t="str">
        <f aca="false">PROPER(TRIM(raw_data!U398))</f>
        <v>Completed</v>
      </c>
      <c r="AD398" s="7" t="n">
        <f aca="false">T398*U398*(1-W398)</f>
        <v>1213.587</v>
      </c>
      <c r="AE398" s="7" t="n">
        <f aca="false">AD398-Z398</f>
        <v>257.367</v>
      </c>
      <c r="AF398" s="8" t="n">
        <f aca="false">IF(AD398=0,0,AE398/AD398)</f>
        <v>0.212071322451542</v>
      </c>
      <c r="AG398" s="3" t="str">
        <f aca="false">IF(ABS(Y398-AD398)&gt;1,"Mismatch","OK")</f>
        <v>OK</v>
      </c>
      <c r="AH398" s="3" t="str">
        <f aca="false">IF(ABS(AA398-AE398)&gt;1,"Mismatch","OK")</f>
        <v>OK</v>
      </c>
      <c r="AI398" s="6" t="n">
        <f aca="false">IF(B398="","",MONTH(B398))</f>
        <v>4</v>
      </c>
      <c r="AJ398" s="6" t="n">
        <f aca="false">IF(B398="","",YEAR(B398))</f>
        <v>2025</v>
      </c>
      <c r="AK398" s="3" t="str">
        <f aca="false">IF(COUNTIF(raw_data!$A$2:$A$913,A398)&gt;1,"Conflicting Duplicate - Flagged for Review","Unique")</f>
        <v>Unique</v>
      </c>
      <c r="AL398" s="3" t="str">
        <f aca="false">IF(AB398="Refunded","Yes","No")</f>
        <v>No</v>
      </c>
      <c r="AM398" s="3" t="str">
        <f aca="false">IF(OR(AC398&lt;&gt;"Completed",AB398="Failed"),"Excluded","Included")</f>
        <v>Included</v>
      </c>
      <c r="AN398" s="3" t="str">
        <f aca="false">IF(OR(D398="Invalid/Unrecognized",E398="Invalid/Unrecognized",G398="Invalid - Ship Before Order",X398="Negative - Invalid",X398="Above Allowed Range - Invalid",AG398="Mismatch",AH398="Mismatch",AK398="Conflicting Duplicate - Flagged for Review"),"Invalid",IF(OR(L398="Filled - Unknown",S398="Filled - Unknown",X398="Missing - Defaulted to 0",AL398="Yes",AC398="Cancelled",AC398="Returned"),"Warning","Clean"))</f>
        <v>Clean</v>
      </c>
    </row>
    <row r="399" customFormat="false" ht="15" hidden="false" customHeight="false" outlineLevel="0" collapsed="false">
      <c r="A399" s="3" t="str">
        <f aca="false">raw_data!A399</f>
        <v>ORD-2025-10398</v>
      </c>
      <c r="B399" s="4" t="n">
        <f aca="false">IFERROR(IF(MID(raw_data!B399,3,1)="/",DATE(VALUE(RIGHT(raw_data!B399,4)),VALUE(LEFT(raw_data!B399,2)),VALUE(MID(raw_data!B399,4,2))),IF(MID(raw_data!B399,3,1)="-",DATE(VALUE(RIGHT(raw_data!B399,4)),VALUE(MID(raw_data!B399,4,2)),VALUE(LEFT(raw_data!B399,2))),IF(MID(raw_data!B399,5,1)="-",DATE(VALUE(LEFT(raw_data!B399,4)),VALUE(MID(raw_data!B399,6,2)),VALUE(RIGHT(raw_data!B399,2))),DATE(VALUE(RIGHT(raw_data!B399,4)),MATCH(MID(raw_data!B399,4,3),{"Jan","Feb","Mar","Apr","May","Jun","Jul","Aug","Sep","Oct","Nov","Dec"},0),VALUE(LEFT(raw_data!B399,2)))))),"")</f>
        <v>45817</v>
      </c>
      <c r="C399" s="4" t="n">
        <f aca="false">IFERROR(IF(MID(raw_data!C399,3,1)="/",DATE(VALUE(RIGHT(raw_data!C399,4)),VALUE(LEFT(raw_data!C399,2)),VALUE(MID(raw_data!C399,4,2))),IF(MID(raw_data!C399,3,1)="-",DATE(VALUE(RIGHT(raw_data!C399,4)),VALUE(MID(raw_data!C399,4,2)),VALUE(LEFT(raw_data!C399,2))),IF(MID(raw_data!C399,5,1)="-",DATE(VALUE(LEFT(raw_data!C399,4)),VALUE(MID(raw_data!C399,6,2)),VALUE(RIGHT(raw_data!C399,2))),DATE(VALUE(RIGHT(raw_data!C399,4)),MATCH(MID(raw_data!C399,4,3),{"Jan","Feb","Mar","Apr","May","Jun","Jul","Aug","Sep","Oct","Nov","Dec"},0),VALUE(LEFT(raw_data!C399,2)))))),"")</f>
        <v>45818</v>
      </c>
      <c r="D399" s="3" t="str">
        <f aca="false">IF(TRIM(raw_data!B399)="","Missing",IF(B399="","Invalid/Unrecognized","Valid"))</f>
        <v>Valid</v>
      </c>
      <c r="E399" s="3" t="str">
        <f aca="false">IF(TRIM(raw_data!C399)="","Missing",IF(C399="","Invalid/Unrecognized","Valid"))</f>
        <v>Valid</v>
      </c>
      <c r="F399" s="5" t="n">
        <f aca="false">IF(OR(B399="",C399=""),"",C399-B399)</f>
        <v>1</v>
      </c>
      <c r="G399" s="3" t="str">
        <f aca="false">IF(F399="","N/A",IF(F399&lt;0,"Invalid - Ship Before Order","OK"))</f>
        <v>OK</v>
      </c>
      <c r="H399" s="3" t="str">
        <f aca="false">raw_data!D399</f>
        <v>CUST-3177</v>
      </c>
      <c r="I399" s="3" t="str">
        <f aca="false">PROPER(TRIM(raw_data!E399))</f>
        <v>Sneha Kapoor</v>
      </c>
      <c r="J399" s="3" t="str">
        <f aca="false">PROPER(TRIM(raw_data!F399))</f>
        <v>Small Business</v>
      </c>
      <c r="K399" s="3" t="str">
        <f aca="false">IF(TRIM(raw_data!G399)="","Unknown",PROPER(TRIM(raw_data!G399)))</f>
        <v>North</v>
      </c>
      <c r="L399" s="3" t="str">
        <f aca="false">IF(TRIM(raw_data!G399)="","Filled - Unknown","OK")</f>
        <v>OK</v>
      </c>
      <c r="M399" s="3" t="str">
        <f aca="false">PROPER(TRIM(raw_data!H399))</f>
        <v>Uttar Pradesh</v>
      </c>
      <c r="N399" s="3" t="str">
        <f aca="false">PROPER(TRIM(raw_data!I399))</f>
        <v>Noida</v>
      </c>
      <c r="O399" s="3" t="str">
        <f aca="false">PROPER(TRIM(raw_data!J399))</f>
        <v>Furniture</v>
      </c>
      <c r="P399" s="3" t="str">
        <f aca="false">PROPER(TRIM(raw_data!K399))</f>
        <v>Tables</v>
      </c>
      <c r="Q399" s="3" t="str">
        <f aca="false">TRIM(raw_data!L399)</f>
        <v>Eco Tables 378</v>
      </c>
      <c r="R399" s="3" t="str">
        <f aca="false">IF(TRIM(raw_data!M399)="","Unknown",PROPER(TRIM(raw_data!M399)))</f>
        <v>Second Class</v>
      </c>
      <c r="S399" s="3" t="str">
        <f aca="false">IF(TRIM(raw_data!M399)="","Filled - Unknown","OK")</f>
        <v>OK</v>
      </c>
      <c r="T399" s="6" t="n">
        <f aca="false">raw_data!N399</f>
        <v>2</v>
      </c>
      <c r="U399" s="7" t="n">
        <f aca="false">raw_data!O399</f>
        <v>1731.88</v>
      </c>
      <c r="V399" s="8" t="n">
        <f aca="false">raw_data!P399</f>
        <v>0</v>
      </c>
      <c r="W399" s="8" t="n">
        <f aca="false">IF(raw_data!P399="",0,IF(ISTEXT(raw_data!P399),IF(RIGHT(raw_data!P399,1)="%",VALUE(LEFT(raw_data!P399,LEN(raw_data!P399)-1))/100,VALUE(raw_data!P399)),raw_data!P399))</f>
        <v>0</v>
      </c>
      <c r="X399" s="3" t="str">
        <f aca="false">IF(raw_data!P399="","Missing - Defaulted to 0",IF(W399&lt;0,"Negative - Invalid",IF(W399&gt;0.3,"Above Allowed Range - Invalid","Valid")))</f>
        <v>Valid</v>
      </c>
      <c r="Y399" s="7" t="n">
        <f aca="false">raw_data!Q399</f>
        <v>3463.76</v>
      </c>
      <c r="Z399" s="7" t="n">
        <f aca="false">raw_data!R399</f>
        <v>2143.74</v>
      </c>
      <c r="AA399" s="7" t="n">
        <f aca="false">raw_data!S399</f>
        <v>1320.02</v>
      </c>
      <c r="AB399" s="3" t="str">
        <f aca="false">PROPER(TRIM(raw_data!T399))</f>
        <v>Paid</v>
      </c>
      <c r="AC399" s="3" t="str">
        <f aca="false">PROPER(TRIM(raw_data!U399))</f>
        <v>Completed</v>
      </c>
      <c r="AD399" s="7" t="n">
        <f aca="false">T399*U399*(1-W399)</f>
        <v>3463.76</v>
      </c>
      <c r="AE399" s="7" t="n">
        <f aca="false">AD399-Z399</f>
        <v>1320.02</v>
      </c>
      <c r="AF399" s="8" t="n">
        <f aca="false">IF(AD399=0,0,AE399/AD399)</f>
        <v>0.38109453310853</v>
      </c>
      <c r="AG399" s="3" t="str">
        <f aca="false">IF(ABS(Y399-AD399)&gt;1,"Mismatch","OK")</f>
        <v>OK</v>
      </c>
      <c r="AH399" s="3" t="str">
        <f aca="false">IF(ABS(AA399-AE399)&gt;1,"Mismatch","OK")</f>
        <v>OK</v>
      </c>
      <c r="AI399" s="6" t="n">
        <f aca="false">IF(B399="","",MONTH(B399))</f>
        <v>6</v>
      </c>
      <c r="AJ399" s="6" t="n">
        <f aca="false">IF(B399="","",YEAR(B399))</f>
        <v>2025</v>
      </c>
      <c r="AK399" s="3" t="str">
        <f aca="false">IF(COUNTIF(raw_data!$A$2:$A$913,A399)&gt;1,"Conflicting Duplicate - Flagged for Review","Unique")</f>
        <v>Unique</v>
      </c>
      <c r="AL399" s="3" t="str">
        <f aca="false">IF(AB399="Refunded","Yes","No")</f>
        <v>No</v>
      </c>
      <c r="AM399" s="3" t="str">
        <f aca="false">IF(OR(AC399&lt;&gt;"Completed",AB399="Failed"),"Excluded","Included")</f>
        <v>Included</v>
      </c>
      <c r="AN399" s="3" t="str">
        <f aca="false">IF(OR(D399="Invalid/Unrecognized",E399="Invalid/Unrecognized",G399="Invalid - Ship Before Order",X399="Negative - Invalid",X399="Above Allowed Range - Invalid",AG399="Mismatch",AH399="Mismatch",AK399="Conflicting Duplicate - Flagged for Review"),"Invalid",IF(OR(L399="Filled - Unknown",S399="Filled - Unknown",X399="Missing - Defaulted to 0",AL399="Yes",AC399="Cancelled",AC399="Returned"),"Warning","Clean"))</f>
        <v>Clean</v>
      </c>
    </row>
    <row r="400" customFormat="false" ht="15" hidden="false" customHeight="false" outlineLevel="0" collapsed="false">
      <c r="A400" s="3" t="str">
        <f aca="false">raw_data!A400</f>
        <v>ORD-2024-10399</v>
      </c>
      <c r="B400" s="4" t="n">
        <f aca="false">IFERROR(IF(MID(raw_data!B400,3,1)="/",DATE(VALUE(RIGHT(raw_data!B400,4)),VALUE(LEFT(raw_data!B400,2)),VALUE(MID(raw_data!B400,4,2))),IF(MID(raw_data!B400,3,1)="-",DATE(VALUE(RIGHT(raw_data!B400,4)),VALUE(MID(raw_data!B400,4,2)),VALUE(LEFT(raw_data!B400,2))),IF(MID(raw_data!B400,5,1)="-",DATE(VALUE(LEFT(raw_data!B400,4)),VALUE(MID(raw_data!B400,6,2)),VALUE(RIGHT(raw_data!B400,2))),DATE(VALUE(RIGHT(raw_data!B400,4)),MATCH(MID(raw_data!B400,4,3),{"Jan","Feb","Mar","Apr","May","Jun","Jul","Aug","Sep","Oct","Nov","Dec"},0),VALUE(LEFT(raw_data!B400,2)))))),"")</f>
        <v>45492</v>
      </c>
      <c r="C400" s="4" t="n">
        <f aca="false">IFERROR(IF(MID(raw_data!C400,3,1)="/",DATE(VALUE(RIGHT(raw_data!C400,4)),VALUE(LEFT(raw_data!C400,2)),VALUE(MID(raw_data!C400,4,2))),IF(MID(raw_data!C400,3,1)="-",DATE(VALUE(RIGHT(raw_data!C400,4)),VALUE(MID(raw_data!C400,4,2)),VALUE(LEFT(raw_data!C400,2))),IF(MID(raw_data!C400,5,1)="-",DATE(VALUE(LEFT(raw_data!C400,4)),VALUE(MID(raw_data!C400,6,2)),VALUE(RIGHT(raw_data!C400,2))),DATE(VALUE(RIGHT(raw_data!C400,4)),MATCH(MID(raw_data!C400,4,3),{"Jan","Feb","Mar","Apr","May","Jun","Jul","Aug","Sep","Oct","Nov","Dec"},0),VALUE(LEFT(raw_data!C400,2)))))),"")</f>
        <v>45499</v>
      </c>
      <c r="D400" s="3" t="str">
        <f aca="false">IF(TRIM(raw_data!B400)="","Missing",IF(B400="","Invalid/Unrecognized","Valid"))</f>
        <v>Valid</v>
      </c>
      <c r="E400" s="3" t="str">
        <f aca="false">IF(TRIM(raw_data!C400)="","Missing",IF(C400="","Invalid/Unrecognized","Valid"))</f>
        <v>Valid</v>
      </c>
      <c r="F400" s="5" t="n">
        <f aca="false">IF(OR(B400="",C400=""),"",C400-B400)</f>
        <v>7</v>
      </c>
      <c r="G400" s="3" t="str">
        <f aca="false">IF(F400="","N/A",IF(F400&lt;0,"Invalid - Ship Before Order","OK"))</f>
        <v>OK</v>
      </c>
      <c r="H400" s="3" t="str">
        <f aca="false">raw_data!D400</f>
        <v>CUST-4718</v>
      </c>
      <c r="I400" s="3" t="str">
        <f aca="false">PROPER(TRIM(raw_data!E400))</f>
        <v>Vikram Iyer</v>
      </c>
      <c r="J400" s="3" t="str">
        <f aca="false">PROPER(TRIM(raw_data!F400))</f>
        <v>Corporate</v>
      </c>
      <c r="K400" s="3" t="str">
        <f aca="false">IF(TRIM(raw_data!G400)="","Unknown",PROPER(TRIM(raw_data!G400)))</f>
        <v>North</v>
      </c>
      <c r="L400" s="3" t="str">
        <f aca="false">IF(TRIM(raw_data!G400)="","Filled - Unknown","OK")</f>
        <v>OK</v>
      </c>
      <c r="M400" s="3" t="str">
        <f aca="false">PROPER(TRIM(raw_data!H400))</f>
        <v>Punjab</v>
      </c>
      <c r="N400" s="3" t="str">
        <f aca="false">PROPER(TRIM(raw_data!I400))</f>
        <v>Ludhiana</v>
      </c>
      <c r="O400" s="3" t="str">
        <f aca="false">PROPER(TRIM(raw_data!J400))</f>
        <v>Technology</v>
      </c>
      <c r="P400" s="3" t="str">
        <f aca="false">PROPER(TRIM(raw_data!K400))</f>
        <v>Machines</v>
      </c>
      <c r="Q400" s="3" t="str">
        <f aca="false">TRIM(raw_data!L400)</f>
        <v>Elite Machines 523</v>
      </c>
      <c r="R400" s="3" t="str">
        <f aca="false">IF(TRIM(raw_data!M400)="","Unknown",PROPER(TRIM(raw_data!M400)))</f>
        <v>Same Day</v>
      </c>
      <c r="S400" s="3" t="str">
        <f aca="false">IF(TRIM(raw_data!M400)="","Filled - Unknown","OK")</f>
        <v>OK</v>
      </c>
      <c r="T400" s="6" t="n">
        <f aca="false">raw_data!N400</f>
        <v>2</v>
      </c>
      <c r="U400" s="7" t="n">
        <f aca="false">raw_data!O400</f>
        <v>1263.65</v>
      </c>
      <c r="V400" s="8" t="n">
        <f aca="false">raw_data!P400</f>
        <v>0.2</v>
      </c>
      <c r="W400" s="8" t="n">
        <f aca="false">IF(raw_data!P400="",0,IF(ISTEXT(raw_data!P400),IF(RIGHT(raw_data!P400,1)="%",VALUE(LEFT(raw_data!P400,LEN(raw_data!P400)-1))/100,VALUE(raw_data!P400)),raw_data!P400))</f>
        <v>0.2</v>
      </c>
      <c r="X400" s="3" t="str">
        <f aca="false">IF(raw_data!P400="","Missing - Defaulted to 0",IF(W400&lt;0,"Negative - Invalid",IF(W400&gt;0.3,"Above Allowed Range - Invalid","Valid")))</f>
        <v>Valid</v>
      </c>
      <c r="Y400" s="7" t="n">
        <f aca="false">raw_data!Q400</f>
        <v>2021.84</v>
      </c>
      <c r="Z400" s="7" t="n">
        <f aca="false">raw_data!R400</f>
        <v>1355.22</v>
      </c>
      <c r="AA400" s="7" t="n">
        <f aca="false">raw_data!S400</f>
        <v>666.62</v>
      </c>
      <c r="AB400" s="3" t="str">
        <f aca="false">PROPER(TRIM(raw_data!T400))</f>
        <v>Paid</v>
      </c>
      <c r="AC400" s="3" t="str">
        <f aca="false">PROPER(TRIM(raw_data!U400))</f>
        <v>Completed</v>
      </c>
      <c r="AD400" s="7" t="n">
        <f aca="false">T400*U400*(1-W400)</f>
        <v>2021.84</v>
      </c>
      <c r="AE400" s="7" t="n">
        <f aca="false">AD400-Z400</f>
        <v>666.62</v>
      </c>
      <c r="AF400" s="8" t="n">
        <f aca="false">IF(AD400=0,0,AE400/AD400)</f>
        <v>0.329709571479445</v>
      </c>
      <c r="AG400" s="3" t="str">
        <f aca="false">IF(ABS(Y400-AD400)&gt;1,"Mismatch","OK")</f>
        <v>OK</v>
      </c>
      <c r="AH400" s="3" t="str">
        <f aca="false">IF(ABS(AA400-AE400)&gt;1,"Mismatch","OK")</f>
        <v>OK</v>
      </c>
      <c r="AI400" s="6" t="n">
        <f aca="false">IF(B400="","",MONTH(B400))</f>
        <v>7</v>
      </c>
      <c r="AJ400" s="6" t="n">
        <f aca="false">IF(B400="","",YEAR(B400))</f>
        <v>2024</v>
      </c>
      <c r="AK400" s="3" t="str">
        <f aca="false">IF(COUNTIF(raw_data!$A$2:$A$913,A400)&gt;1,"Conflicting Duplicate - Flagged for Review","Unique")</f>
        <v>Unique</v>
      </c>
      <c r="AL400" s="3" t="str">
        <f aca="false">IF(AB400="Refunded","Yes","No")</f>
        <v>No</v>
      </c>
      <c r="AM400" s="3" t="str">
        <f aca="false">IF(OR(AC400&lt;&gt;"Completed",AB400="Failed"),"Excluded","Included")</f>
        <v>Included</v>
      </c>
      <c r="AN400" s="3" t="str">
        <f aca="false">IF(OR(D400="Invalid/Unrecognized",E400="Invalid/Unrecognized",G400="Invalid - Ship Before Order",X400="Negative - Invalid",X400="Above Allowed Range - Invalid",AG400="Mismatch",AH400="Mismatch",AK400="Conflicting Duplicate - Flagged for Review"),"Invalid",IF(OR(L400="Filled - Unknown",S400="Filled - Unknown",X400="Missing - Defaulted to 0",AL400="Yes",AC400="Cancelled",AC400="Returned"),"Warning","Clean"))</f>
        <v>Clean</v>
      </c>
    </row>
    <row r="401" customFormat="false" ht="15" hidden="false" customHeight="false" outlineLevel="0" collapsed="false">
      <c r="A401" s="3" t="str">
        <f aca="false">raw_data!A401</f>
        <v>ORD-2025-10400</v>
      </c>
      <c r="B401" s="4" t="n">
        <f aca="false">IFERROR(IF(MID(raw_data!B401,3,1)="/",DATE(VALUE(RIGHT(raw_data!B401,4)),VALUE(LEFT(raw_data!B401,2)),VALUE(MID(raw_data!B401,4,2))),IF(MID(raw_data!B401,3,1)="-",DATE(VALUE(RIGHT(raw_data!B401,4)),VALUE(MID(raw_data!B401,4,2)),VALUE(LEFT(raw_data!B401,2))),IF(MID(raw_data!B401,5,1)="-",DATE(VALUE(LEFT(raw_data!B401,4)),VALUE(MID(raw_data!B401,6,2)),VALUE(RIGHT(raw_data!B401,2))),DATE(VALUE(RIGHT(raw_data!B401,4)),MATCH(MID(raw_data!B401,4,3),{"Jan","Feb","Mar","Apr","May","Jun","Jul","Aug","Sep","Oct","Nov","Dec"},0),VALUE(LEFT(raw_data!B401,2)))))),"")</f>
        <v>45771</v>
      </c>
      <c r="C401" s="4" t="n">
        <f aca="false">IFERROR(IF(MID(raw_data!C401,3,1)="/",DATE(VALUE(RIGHT(raw_data!C401,4)),VALUE(LEFT(raw_data!C401,2)),VALUE(MID(raw_data!C401,4,2))),IF(MID(raw_data!C401,3,1)="-",DATE(VALUE(RIGHT(raw_data!C401,4)),VALUE(MID(raw_data!C401,4,2)),VALUE(LEFT(raw_data!C401,2))),IF(MID(raw_data!C401,5,1)="-",DATE(VALUE(LEFT(raw_data!C401,4)),VALUE(MID(raw_data!C401,6,2)),VALUE(RIGHT(raw_data!C401,2))),DATE(VALUE(RIGHT(raw_data!C401,4)),MATCH(MID(raw_data!C401,4,3),{"Jan","Feb","Mar","Apr","May","Jun","Jul","Aug","Sep","Oct","Nov","Dec"},0),VALUE(LEFT(raw_data!C401,2)))))),"")</f>
        <v>45776</v>
      </c>
      <c r="D401" s="3" t="str">
        <f aca="false">IF(TRIM(raw_data!B401)="","Missing",IF(B401="","Invalid/Unrecognized","Valid"))</f>
        <v>Valid</v>
      </c>
      <c r="E401" s="3" t="str">
        <f aca="false">IF(TRIM(raw_data!C401)="","Missing",IF(C401="","Invalid/Unrecognized","Valid"))</f>
        <v>Valid</v>
      </c>
      <c r="F401" s="5" t="n">
        <f aca="false">IF(OR(B401="",C401=""),"",C401-B401)</f>
        <v>5</v>
      </c>
      <c r="G401" s="3" t="str">
        <f aca="false">IF(F401="","N/A",IF(F401&lt;0,"Invalid - Ship Before Order","OK"))</f>
        <v>OK</v>
      </c>
      <c r="H401" s="3" t="str">
        <f aca="false">raw_data!D401</f>
        <v>CUST-5647</v>
      </c>
      <c r="I401" s="3" t="str">
        <f aca="false">PROPER(TRIM(raw_data!E401))</f>
        <v>Diya Patel</v>
      </c>
      <c r="J401" s="3" t="str">
        <f aca="false">PROPER(TRIM(raw_data!F401))</f>
        <v>Small Business</v>
      </c>
      <c r="K401" s="3" t="str">
        <f aca="false">IF(TRIM(raw_data!G401)="","Unknown",PROPER(TRIM(raw_data!G401)))</f>
        <v>South</v>
      </c>
      <c r="L401" s="3" t="str">
        <f aca="false">IF(TRIM(raw_data!G401)="","Filled - Unknown","OK")</f>
        <v>OK</v>
      </c>
      <c r="M401" s="3" t="str">
        <f aca="false">PROPER(TRIM(raw_data!H401))</f>
        <v>Andhra Pradesh</v>
      </c>
      <c r="N401" s="3" t="str">
        <f aca="false">PROPER(TRIM(raw_data!I401))</f>
        <v>Vijayawada</v>
      </c>
      <c r="O401" s="3" t="str">
        <f aca="false">PROPER(TRIM(raw_data!J401))</f>
        <v>Office Supplies</v>
      </c>
      <c r="P401" s="3" t="str">
        <f aca="false">PROPER(TRIM(raw_data!K401))</f>
        <v>Paper</v>
      </c>
      <c r="Q401" s="3" t="str">
        <f aca="false">TRIM(raw_data!L401)</f>
        <v>Elite Paper 308</v>
      </c>
      <c r="R401" s="3" t="str">
        <f aca="false">IF(TRIM(raw_data!M401)="","Unknown",PROPER(TRIM(raw_data!M401)))</f>
        <v>Same Day</v>
      </c>
      <c r="S401" s="3" t="str">
        <f aca="false">IF(TRIM(raw_data!M401)="","Filled - Unknown","OK")</f>
        <v>OK</v>
      </c>
      <c r="T401" s="6" t="n">
        <f aca="false">raw_data!N401</f>
        <v>1</v>
      </c>
      <c r="U401" s="7" t="n">
        <f aca="false">raw_data!O401</f>
        <v>4358.5</v>
      </c>
      <c r="V401" s="8" t="n">
        <f aca="false">raw_data!P401</f>
        <v>0.25</v>
      </c>
      <c r="W401" s="8" t="n">
        <f aca="false">IF(raw_data!P401="",0,IF(ISTEXT(raw_data!P401),IF(RIGHT(raw_data!P401,1)="%",VALUE(LEFT(raw_data!P401,LEN(raw_data!P401)-1))/100,VALUE(raw_data!P401)),raw_data!P401))</f>
        <v>0.25</v>
      </c>
      <c r="X401" s="3" t="str">
        <f aca="false">IF(raw_data!P401="","Missing - Defaulted to 0",IF(W401&lt;0,"Negative - Invalid",IF(W401&gt;0.3,"Above Allowed Range - Invalid","Valid")))</f>
        <v>Valid</v>
      </c>
      <c r="Y401" s="7" t="n">
        <f aca="false">raw_data!Q401</f>
        <v>3268.88</v>
      </c>
      <c r="Z401" s="7" t="n">
        <f aca="false">raw_data!R401</f>
        <v>1993.74</v>
      </c>
      <c r="AA401" s="7" t="n">
        <f aca="false">raw_data!S401</f>
        <v>1275.14</v>
      </c>
      <c r="AB401" s="3" t="str">
        <f aca="false">PROPER(TRIM(raw_data!T401))</f>
        <v>Paid</v>
      </c>
      <c r="AC401" s="3" t="str">
        <f aca="false">PROPER(TRIM(raw_data!U401))</f>
        <v>Completed</v>
      </c>
      <c r="AD401" s="7" t="n">
        <f aca="false">T401*U401*(1-W401)</f>
        <v>3268.875</v>
      </c>
      <c r="AE401" s="7" t="n">
        <f aca="false">AD401-Z401</f>
        <v>1275.135</v>
      </c>
      <c r="AF401" s="8" t="n">
        <f aca="false">IF(AD401=0,0,AE401/AD401)</f>
        <v>0.39008374440748</v>
      </c>
      <c r="AG401" s="3" t="str">
        <f aca="false">IF(ABS(Y401-AD401)&gt;1,"Mismatch","OK")</f>
        <v>OK</v>
      </c>
      <c r="AH401" s="3" t="str">
        <f aca="false">IF(ABS(AA401-AE401)&gt;1,"Mismatch","OK")</f>
        <v>OK</v>
      </c>
      <c r="AI401" s="6" t="n">
        <f aca="false">IF(B401="","",MONTH(B401))</f>
        <v>4</v>
      </c>
      <c r="AJ401" s="6" t="n">
        <f aca="false">IF(B401="","",YEAR(B401))</f>
        <v>2025</v>
      </c>
      <c r="AK401" s="3" t="str">
        <f aca="false">IF(COUNTIF(raw_data!$A$2:$A$913,A401)&gt;1,"Conflicting Duplicate - Flagged for Review","Unique")</f>
        <v>Unique</v>
      </c>
      <c r="AL401" s="3" t="str">
        <f aca="false">IF(AB401="Refunded","Yes","No")</f>
        <v>No</v>
      </c>
      <c r="AM401" s="3" t="str">
        <f aca="false">IF(OR(AC401&lt;&gt;"Completed",AB401="Failed"),"Excluded","Included")</f>
        <v>Included</v>
      </c>
      <c r="AN401" s="3" t="str">
        <f aca="false">IF(OR(D401="Invalid/Unrecognized",E401="Invalid/Unrecognized",G401="Invalid - Ship Before Order",X401="Negative - Invalid",X401="Above Allowed Range - Invalid",AG401="Mismatch",AH401="Mismatch",AK401="Conflicting Duplicate - Flagged for Review"),"Invalid",IF(OR(L401="Filled - Unknown",S401="Filled - Unknown",X401="Missing - Defaulted to 0",AL401="Yes",AC401="Cancelled",AC401="Returned"),"Warning","Clean"))</f>
        <v>Clean</v>
      </c>
    </row>
    <row r="402" customFormat="false" ht="15" hidden="false" customHeight="false" outlineLevel="0" collapsed="false">
      <c r="A402" s="3" t="str">
        <f aca="false">raw_data!A402</f>
        <v>ORD-2025-10401</v>
      </c>
      <c r="B402" s="4" t="n">
        <f aca="false">IFERROR(IF(MID(raw_data!B402,3,1)="/",DATE(VALUE(RIGHT(raw_data!B402,4)),VALUE(LEFT(raw_data!B402,2)),VALUE(MID(raw_data!B402,4,2))),IF(MID(raw_data!B402,3,1)="-",DATE(VALUE(RIGHT(raw_data!B402,4)),VALUE(MID(raw_data!B402,4,2)),VALUE(LEFT(raw_data!B402,2))),IF(MID(raw_data!B402,5,1)="-",DATE(VALUE(LEFT(raw_data!B402,4)),VALUE(MID(raw_data!B402,6,2)),VALUE(RIGHT(raw_data!B402,2))),DATE(VALUE(RIGHT(raw_data!B402,4)),MATCH(MID(raw_data!B402,4,3),{"Jan","Feb","Mar","Apr","May","Jun","Jul","Aug","Sep","Oct","Nov","Dec"},0),VALUE(LEFT(raw_data!B402,2)))))),"")</f>
        <v>45814</v>
      </c>
      <c r="C402" s="4" t="n">
        <f aca="false">IFERROR(IF(MID(raw_data!C402,3,1)="/",DATE(VALUE(RIGHT(raw_data!C402,4)),VALUE(LEFT(raw_data!C402,2)),VALUE(MID(raw_data!C402,4,2))),IF(MID(raw_data!C402,3,1)="-",DATE(VALUE(RIGHT(raw_data!C402,4)),VALUE(MID(raw_data!C402,4,2)),VALUE(LEFT(raw_data!C402,2))),IF(MID(raw_data!C402,5,1)="-",DATE(VALUE(LEFT(raw_data!C402,4)),VALUE(MID(raw_data!C402,6,2)),VALUE(RIGHT(raw_data!C402,2))),DATE(VALUE(RIGHT(raw_data!C402,4)),MATCH(MID(raw_data!C402,4,3),{"Jan","Feb","Mar","Apr","May","Jun","Jul","Aug","Sep","Oct","Nov","Dec"},0),VALUE(LEFT(raw_data!C402,2)))))),"")</f>
        <v>45819</v>
      </c>
      <c r="D402" s="3" t="str">
        <f aca="false">IF(TRIM(raw_data!B402)="","Missing",IF(B402="","Invalid/Unrecognized","Valid"))</f>
        <v>Valid</v>
      </c>
      <c r="E402" s="3" t="str">
        <f aca="false">IF(TRIM(raw_data!C402)="","Missing",IF(C402="","Invalid/Unrecognized","Valid"))</f>
        <v>Valid</v>
      </c>
      <c r="F402" s="5" t="n">
        <f aca="false">IF(OR(B402="",C402=""),"",C402-B402)</f>
        <v>5</v>
      </c>
      <c r="G402" s="3" t="str">
        <f aca="false">IF(F402="","N/A",IF(F402&lt;0,"Invalid - Ship Before Order","OK"))</f>
        <v>OK</v>
      </c>
      <c r="H402" s="3" t="str">
        <f aca="false">raw_data!D402</f>
        <v>CUST-7150</v>
      </c>
      <c r="I402" s="3" t="str">
        <f aca="false">PROPER(TRIM(raw_data!E402))</f>
        <v>Sneha Kapoor</v>
      </c>
      <c r="J402" s="3" t="str">
        <f aca="false">PROPER(TRIM(raw_data!F402))</f>
        <v>Small Business</v>
      </c>
      <c r="K402" s="3" t="str">
        <f aca="false">IF(TRIM(raw_data!G402)="","Unknown",PROPER(TRIM(raw_data!G402)))</f>
        <v>North</v>
      </c>
      <c r="L402" s="3" t="str">
        <f aca="false">IF(TRIM(raw_data!G402)="","Filled - Unknown","OK")</f>
        <v>OK</v>
      </c>
      <c r="M402" s="3" t="str">
        <f aca="false">PROPER(TRIM(raw_data!H402))</f>
        <v>Uttar Pradesh</v>
      </c>
      <c r="N402" s="3" t="str">
        <f aca="false">PROPER(TRIM(raw_data!I402))</f>
        <v>Noida</v>
      </c>
      <c r="O402" s="3" t="str">
        <f aca="false">PROPER(TRIM(raw_data!J402))</f>
        <v>Office Supplies</v>
      </c>
      <c r="P402" s="3" t="str">
        <f aca="false">PROPER(TRIM(raw_data!K402))</f>
        <v>Paper</v>
      </c>
      <c r="Q402" s="3" t="str">
        <f aca="false">TRIM(raw_data!L402)</f>
        <v>Prime Paper 851</v>
      </c>
      <c r="R402" s="3" t="str">
        <f aca="false">IF(TRIM(raw_data!M402)="","Unknown",PROPER(TRIM(raw_data!M402)))</f>
        <v>Same Day</v>
      </c>
      <c r="S402" s="3" t="str">
        <f aca="false">IF(TRIM(raw_data!M402)="","Filled - Unknown","OK")</f>
        <v>OK</v>
      </c>
      <c r="T402" s="6" t="n">
        <f aca="false">raw_data!N402</f>
        <v>7</v>
      </c>
      <c r="U402" s="7" t="n">
        <f aca="false">raw_data!O402</f>
        <v>878.09</v>
      </c>
      <c r="V402" s="8" t="n">
        <f aca="false">raw_data!P402</f>
        <v>-0.1</v>
      </c>
      <c r="W402" s="8" t="n">
        <f aca="false">IF(raw_data!P402="",0,IF(ISTEXT(raw_data!P402),IF(RIGHT(raw_data!P402,1)="%",VALUE(LEFT(raw_data!P402,LEN(raw_data!P402)-1))/100,VALUE(raw_data!P402)),raw_data!P402))</f>
        <v>-0.1</v>
      </c>
      <c r="X402" s="3" t="str">
        <f aca="false">IF(raw_data!P402="","Missing - Defaulted to 0",IF(W402&lt;0,"Negative - Invalid",IF(W402&gt;0.3,"Above Allowed Range - Invalid","Valid")))</f>
        <v>Negative - Invalid</v>
      </c>
      <c r="Y402" s="7" t="n">
        <f aca="false">raw_data!Q402</f>
        <v>5839.3</v>
      </c>
      <c r="Z402" s="7" t="n">
        <f aca="false">raw_data!R402</f>
        <v>4877.38</v>
      </c>
      <c r="AA402" s="7" t="n">
        <f aca="false">raw_data!S402</f>
        <v>961.92</v>
      </c>
      <c r="AB402" s="3" t="str">
        <f aca="false">PROPER(TRIM(raw_data!T402))</f>
        <v>Paid</v>
      </c>
      <c r="AC402" s="3" t="str">
        <f aca="false">PROPER(TRIM(raw_data!U402))</f>
        <v>Completed</v>
      </c>
      <c r="AD402" s="7" t="n">
        <f aca="false">T402*U402*(1-W402)</f>
        <v>6761.293</v>
      </c>
      <c r="AE402" s="7" t="n">
        <f aca="false">AD402-Z402</f>
        <v>1883.913</v>
      </c>
      <c r="AF402" s="8" t="n">
        <f aca="false">IF(AD402=0,0,AE402/AD402)</f>
        <v>0.278632060465358</v>
      </c>
      <c r="AG402" s="3" t="str">
        <f aca="false">IF(ABS(Y402-AD402)&gt;1,"Mismatch","OK")</f>
        <v>Mismatch</v>
      </c>
      <c r="AH402" s="3" t="str">
        <f aca="false">IF(ABS(AA402-AE402)&gt;1,"Mismatch","OK")</f>
        <v>Mismatch</v>
      </c>
      <c r="AI402" s="6" t="n">
        <f aca="false">IF(B402="","",MONTH(B402))</f>
        <v>6</v>
      </c>
      <c r="AJ402" s="6" t="n">
        <f aca="false">IF(B402="","",YEAR(B402))</f>
        <v>2025</v>
      </c>
      <c r="AK402" s="3" t="str">
        <f aca="false">IF(COUNTIF(raw_data!$A$2:$A$913,A402)&gt;1,"Conflicting Duplicate - Flagged for Review","Unique")</f>
        <v>Unique</v>
      </c>
      <c r="AL402" s="3" t="str">
        <f aca="false">IF(AB402="Refunded","Yes","No")</f>
        <v>No</v>
      </c>
      <c r="AM402" s="3" t="str">
        <f aca="false">IF(OR(AC402&lt;&gt;"Completed",AB402="Failed"),"Excluded","Included")</f>
        <v>Included</v>
      </c>
      <c r="AN402" s="3" t="str">
        <f aca="false">IF(OR(D402="Invalid/Unrecognized",E402="Invalid/Unrecognized",G402="Invalid - Ship Before Order",X402="Negative - Invalid",X402="Above Allowed Range - Invalid",AG402="Mismatch",AH402="Mismatch",AK402="Conflicting Duplicate - Flagged for Review"),"Invalid",IF(OR(L402="Filled - Unknown",S402="Filled - Unknown",X402="Missing - Defaulted to 0",AL402="Yes",AC402="Cancelled",AC402="Returned"),"Warning","Clean"))</f>
        <v>Invalid</v>
      </c>
    </row>
    <row r="403" customFormat="false" ht="15" hidden="false" customHeight="false" outlineLevel="0" collapsed="false">
      <c r="A403" s="3" t="str">
        <f aca="false">raw_data!A403</f>
        <v>ORD-2025-10402</v>
      </c>
      <c r="B403" s="4" t="n">
        <f aca="false">IFERROR(IF(MID(raw_data!B403,3,1)="/",DATE(VALUE(RIGHT(raw_data!B403,4)),VALUE(LEFT(raw_data!B403,2)),VALUE(MID(raw_data!B403,4,2))),IF(MID(raw_data!B403,3,1)="-",DATE(VALUE(RIGHT(raw_data!B403,4)),VALUE(MID(raw_data!B403,4,2)),VALUE(LEFT(raw_data!B403,2))),IF(MID(raw_data!B403,5,1)="-",DATE(VALUE(LEFT(raw_data!B403,4)),VALUE(MID(raw_data!B403,6,2)),VALUE(RIGHT(raw_data!B403,2))),DATE(VALUE(RIGHT(raw_data!B403,4)),MATCH(MID(raw_data!B403,4,3),{"Jan","Feb","Mar","Apr","May","Jun","Jul","Aug","Sep","Oct","Nov","Dec"},0),VALUE(LEFT(raw_data!B403,2)))))),"")</f>
        <v>45725</v>
      </c>
      <c r="C403" s="4" t="n">
        <f aca="false">IFERROR(IF(MID(raw_data!C403,3,1)="/",DATE(VALUE(RIGHT(raw_data!C403,4)),VALUE(LEFT(raw_data!C403,2)),VALUE(MID(raw_data!C403,4,2))),IF(MID(raw_data!C403,3,1)="-",DATE(VALUE(RIGHT(raw_data!C403,4)),VALUE(MID(raw_data!C403,4,2)),VALUE(LEFT(raw_data!C403,2))),IF(MID(raw_data!C403,5,1)="-",DATE(VALUE(LEFT(raw_data!C403,4)),VALUE(MID(raw_data!C403,6,2)),VALUE(RIGHT(raw_data!C403,2))),DATE(VALUE(RIGHT(raw_data!C403,4)),MATCH(MID(raw_data!C403,4,3),{"Jan","Feb","Mar","Apr","May","Jun","Jul","Aug","Sep","Oct","Nov","Dec"},0),VALUE(LEFT(raw_data!C403,2)))))),"")</f>
        <v>45732</v>
      </c>
      <c r="D403" s="3" t="str">
        <f aca="false">IF(TRIM(raw_data!B403)="","Missing",IF(B403="","Invalid/Unrecognized","Valid"))</f>
        <v>Valid</v>
      </c>
      <c r="E403" s="3" t="str">
        <f aca="false">IF(TRIM(raw_data!C403)="","Missing",IF(C403="","Invalid/Unrecognized","Valid"))</f>
        <v>Valid</v>
      </c>
      <c r="F403" s="5" t="n">
        <f aca="false">IF(OR(B403="",C403=""),"",C403-B403)</f>
        <v>7</v>
      </c>
      <c r="G403" s="3" t="str">
        <f aca="false">IF(F403="","N/A",IF(F403&lt;0,"Invalid - Ship Before Order","OK"))</f>
        <v>OK</v>
      </c>
      <c r="H403" s="3" t="str">
        <f aca="false">raw_data!D403</f>
        <v>CUST-6694</v>
      </c>
      <c r="I403" s="3" t="str">
        <f aca="false">PROPER(TRIM(raw_data!E403))</f>
        <v>Arjun Bose</v>
      </c>
      <c r="J403" s="3" t="str">
        <f aca="false">PROPER(TRIM(raw_data!F403))</f>
        <v>Small Business</v>
      </c>
      <c r="K403" s="3" t="str">
        <f aca="false">IF(TRIM(raw_data!G403)="","Unknown",PROPER(TRIM(raw_data!G403)))</f>
        <v>East</v>
      </c>
      <c r="L403" s="3" t="str">
        <f aca="false">IF(TRIM(raw_data!G403)="","Filled - Unknown","OK")</f>
        <v>OK</v>
      </c>
      <c r="M403" s="3" t="str">
        <f aca="false">PROPER(TRIM(raw_data!H403))</f>
        <v>Jharkhand</v>
      </c>
      <c r="N403" s="3" t="str">
        <f aca="false">PROPER(TRIM(raw_data!I403))</f>
        <v>Ranchi</v>
      </c>
      <c r="O403" s="3" t="str">
        <f aca="false">PROPER(TRIM(raw_data!J403))</f>
        <v>Furniture</v>
      </c>
      <c r="P403" s="3" t="str">
        <f aca="false">PROPER(TRIM(raw_data!K403))</f>
        <v>Tables</v>
      </c>
      <c r="Q403" s="3" t="str">
        <f aca="false">TRIM(raw_data!L403)</f>
        <v>Classic Tables 151</v>
      </c>
      <c r="R403" s="3" t="str">
        <f aca="false">IF(TRIM(raw_data!M403)="","Unknown",PROPER(TRIM(raw_data!M403)))</f>
        <v>Same Day</v>
      </c>
      <c r="S403" s="3" t="str">
        <f aca="false">IF(TRIM(raw_data!M403)="","Filled - Unknown","OK")</f>
        <v>OK</v>
      </c>
      <c r="T403" s="6" t="n">
        <f aca="false">raw_data!N403</f>
        <v>3</v>
      </c>
      <c r="U403" s="7" t="n">
        <f aca="false">raw_data!O403</f>
        <v>2625.85</v>
      </c>
      <c r="V403" s="8" t="n">
        <f aca="false">raw_data!P403</f>
        <v>0</v>
      </c>
      <c r="W403" s="8" t="n">
        <f aca="false">IF(raw_data!P403="",0,IF(ISTEXT(raw_data!P403),IF(RIGHT(raw_data!P403,1)="%",VALUE(LEFT(raw_data!P403,LEN(raw_data!P403)-1))/100,VALUE(raw_data!P403)),raw_data!P403))</f>
        <v>0</v>
      </c>
      <c r="X403" s="3" t="str">
        <f aca="false">IF(raw_data!P403="","Missing - Defaulted to 0",IF(W403&lt;0,"Negative - Invalid",IF(W403&gt;0.3,"Above Allowed Range - Invalid","Valid")))</f>
        <v>Valid</v>
      </c>
      <c r="Y403" s="7" t="n">
        <f aca="false">raw_data!Q403</f>
        <v>7877.55</v>
      </c>
      <c r="Z403" s="7" t="n">
        <f aca="false">raw_data!R403</f>
        <v>5562.77</v>
      </c>
      <c r="AA403" s="7" t="n">
        <f aca="false">raw_data!S403</f>
        <v>2314.78</v>
      </c>
      <c r="AB403" s="3" t="str">
        <f aca="false">PROPER(TRIM(raw_data!T403))</f>
        <v>Paid</v>
      </c>
      <c r="AC403" s="3" t="str">
        <f aca="false">PROPER(TRIM(raw_data!U403))</f>
        <v>Completed</v>
      </c>
      <c r="AD403" s="7" t="n">
        <f aca="false">T403*U403*(1-W403)</f>
        <v>7877.55</v>
      </c>
      <c r="AE403" s="7" t="n">
        <f aca="false">AD403-Z403</f>
        <v>2314.78</v>
      </c>
      <c r="AF403" s="8" t="n">
        <f aca="false">IF(AD403=0,0,AE403/AD403)</f>
        <v>0.293845167596524</v>
      </c>
      <c r="AG403" s="3" t="str">
        <f aca="false">IF(ABS(Y403-AD403)&gt;1,"Mismatch","OK")</f>
        <v>OK</v>
      </c>
      <c r="AH403" s="3" t="str">
        <f aca="false">IF(ABS(AA403-AE403)&gt;1,"Mismatch","OK")</f>
        <v>OK</v>
      </c>
      <c r="AI403" s="6" t="n">
        <f aca="false">IF(B403="","",MONTH(B403))</f>
        <v>3</v>
      </c>
      <c r="AJ403" s="6" t="n">
        <f aca="false">IF(B403="","",YEAR(B403))</f>
        <v>2025</v>
      </c>
      <c r="AK403" s="3" t="str">
        <f aca="false">IF(COUNTIF(raw_data!$A$2:$A$913,A403)&gt;1,"Conflicting Duplicate - Flagged for Review","Unique")</f>
        <v>Unique</v>
      </c>
      <c r="AL403" s="3" t="str">
        <f aca="false">IF(AB403="Refunded","Yes","No")</f>
        <v>No</v>
      </c>
      <c r="AM403" s="3" t="str">
        <f aca="false">IF(OR(AC403&lt;&gt;"Completed",AB403="Failed"),"Excluded","Included")</f>
        <v>Included</v>
      </c>
      <c r="AN403" s="3" t="str">
        <f aca="false">IF(OR(D403="Invalid/Unrecognized",E403="Invalid/Unrecognized",G403="Invalid - Ship Before Order",X403="Negative - Invalid",X403="Above Allowed Range - Invalid",AG403="Mismatch",AH403="Mismatch",AK403="Conflicting Duplicate - Flagged for Review"),"Invalid",IF(OR(L403="Filled - Unknown",S403="Filled - Unknown",X403="Missing - Defaulted to 0",AL403="Yes",AC403="Cancelled",AC403="Returned"),"Warning","Clean"))</f>
        <v>Clean</v>
      </c>
    </row>
    <row r="404" customFormat="false" ht="15" hidden="false" customHeight="false" outlineLevel="0" collapsed="false">
      <c r="A404" s="3" t="str">
        <f aca="false">raw_data!A404</f>
        <v>ORD-2024-10403</v>
      </c>
      <c r="B404" s="4" t="n">
        <f aca="false">IFERROR(IF(MID(raw_data!B404,3,1)="/",DATE(VALUE(RIGHT(raw_data!B404,4)),VALUE(LEFT(raw_data!B404,2)),VALUE(MID(raw_data!B404,4,2))),IF(MID(raw_data!B404,3,1)="-",DATE(VALUE(RIGHT(raw_data!B404,4)),VALUE(MID(raw_data!B404,4,2)),VALUE(LEFT(raw_data!B404,2))),IF(MID(raw_data!B404,5,1)="-",DATE(VALUE(LEFT(raw_data!B404,4)),VALUE(MID(raw_data!B404,6,2)),VALUE(RIGHT(raw_data!B404,2))),DATE(VALUE(RIGHT(raw_data!B404,4)),MATCH(MID(raw_data!B404,4,3),{"Jan","Feb","Mar","Apr","May","Jun","Jul","Aug","Sep","Oct","Nov","Dec"},0),VALUE(LEFT(raw_data!B404,2)))))),"")</f>
        <v>45373</v>
      </c>
      <c r="C404" s="4" t="n">
        <f aca="false">IFERROR(IF(MID(raw_data!C404,3,1)="/",DATE(VALUE(RIGHT(raw_data!C404,4)),VALUE(LEFT(raw_data!C404,2)),VALUE(MID(raw_data!C404,4,2))),IF(MID(raw_data!C404,3,1)="-",DATE(VALUE(RIGHT(raw_data!C404,4)),VALUE(MID(raw_data!C404,4,2)),VALUE(LEFT(raw_data!C404,2))),IF(MID(raw_data!C404,5,1)="-",DATE(VALUE(LEFT(raw_data!C404,4)),VALUE(MID(raw_data!C404,6,2)),VALUE(RIGHT(raw_data!C404,2))),DATE(VALUE(RIGHT(raw_data!C404,4)),MATCH(MID(raw_data!C404,4,3),{"Jan","Feb","Mar","Apr","May","Jun","Jul","Aug","Sep","Oct","Nov","Dec"},0),VALUE(LEFT(raw_data!C404,2)))))),"")</f>
        <v>45373</v>
      </c>
      <c r="D404" s="3" t="str">
        <f aca="false">IF(TRIM(raw_data!B404)="","Missing",IF(B404="","Invalid/Unrecognized","Valid"))</f>
        <v>Valid</v>
      </c>
      <c r="E404" s="3" t="str">
        <f aca="false">IF(TRIM(raw_data!C404)="","Missing",IF(C404="","Invalid/Unrecognized","Valid"))</f>
        <v>Valid</v>
      </c>
      <c r="F404" s="5" t="n">
        <f aca="false">IF(OR(B404="",C404=""),"",C404-B404)</f>
        <v>0</v>
      </c>
      <c r="G404" s="3" t="str">
        <f aca="false">IF(F404="","N/A",IF(F404&lt;0,"Invalid - Ship Before Order","OK"))</f>
        <v>OK</v>
      </c>
      <c r="H404" s="3" t="str">
        <f aca="false">raw_data!D404</f>
        <v>CUST-7680</v>
      </c>
      <c r="I404" s="3" t="str">
        <f aca="false">PROPER(TRIM(raw_data!E404))</f>
        <v>Priya Menon</v>
      </c>
      <c r="J404" s="3" t="str">
        <f aca="false">PROPER(TRIM(raw_data!F404))</f>
        <v>Small Business</v>
      </c>
      <c r="K404" s="3" t="str">
        <f aca="false">IF(TRIM(raw_data!G404)="","Unknown",PROPER(TRIM(raw_data!G404)))</f>
        <v>South</v>
      </c>
      <c r="L404" s="3" t="str">
        <f aca="false">IF(TRIM(raw_data!G404)="","Filled - Unknown","OK")</f>
        <v>OK</v>
      </c>
      <c r="M404" s="3" t="str">
        <f aca="false">PROPER(TRIM(raw_data!H404))</f>
        <v>Karnataka</v>
      </c>
      <c r="N404" s="3" t="str">
        <f aca="false">PROPER(TRIM(raw_data!I404))</f>
        <v>Bengaluru</v>
      </c>
      <c r="O404" s="3" t="str">
        <f aca="false">PROPER(TRIM(raw_data!J404))</f>
        <v>Furniture</v>
      </c>
      <c r="P404" s="3" t="str">
        <f aca="false">PROPER(TRIM(raw_data!K404))</f>
        <v>Tables</v>
      </c>
      <c r="Q404" s="3" t="str">
        <f aca="false">TRIM(raw_data!L404)</f>
        <v>Smart Tables 829</v>
      </c>
      <c r="R404" s="3" t="str">
        <f aca="false">IF(TRIM(raw_data!M404)="","Unknown",PROPER(TRIM(raw_data!M404)))</f>
        <v>Unknown</v>
      </c>
      <c r="S404" s="3" t="str">
        <f aca="false">IF(TRIM(raw_data!M404)="","Filled - Unknown","OK")</f>
        <v>Filled - Unknown</v>
      </c>
      <c r="T404" s="6" t="n">
        <f aca="false">raw_data!N404</f>
        <v>3</v>
      </c>
      <c r="U404" s="7" t="n">
        <f aca="false">raw_data!O404</f>
        <v>1365.26</v>
      </c>
      <c r="V404" s="8" t="n">
        <f aca="false">raw_data!P404</f>
        <v>0</v>
      </c>
      <c r="W404" s="8" t="n">
        <f aca="false">IF(raw_data!P404="",0,IF(ISTEXT(raw_data!P404),IF(RIGHT(raw_data!P404,1)="%",VALUE(LEFT(raw_data!P404,LEN(raw_data!P404)-1))/100,VALUE(raw_data!P404)),raw_data!P404))</f>
        <v>0</v>
      </c>
      <c r="X404" s="3" t="str">
        <f aca="false">IF(raw_data!P404="","Missing - Defaulted to 0",IF(W404&lt;0,"Negative - Invalid",IF(W404&gt;0.3,"Above Allowed Range - Invalid","Valid")))</f>
        <v>Valid</v>
      </c>
      <c r="Y404" s="7" t="n">
        <f aca="false">raw_data!Q404</f>
        <v>4095.78</v>
      </c>
      <c r="Z404" s="7" t="n">
        <f aca="false">raw_data!R404</f>
        <v>2807.77</v>
      </c>
      <c r="AA404" s="7" t="n">
        <f aca="false">raw_data!S404</f>
        <v>1288.01</v>
      </c>
      <c r="AB404" s="3" t="str">
        <f aca="false">PROPER(TRIM(raw_data!T404))</f>
        <v>Paid</v>
      </c>
      <c r="AC404" s="3" t="str">
        <f aca="false">PROPER(TRIM(raw_data!U404))</f>
        <v>Completed</v>
      </c>
      <c r="AD404" s="7" t="n">
        <f aca="false">T404*U404*(1-W404)</f>
        <v>4095.78</v>
      </c>
      <c r="AE404" s="7" t="n">
        <f aca="false">AD404-Z404</f>
        <v>1288.01</v>
      </c>
      <c r="AF404" s="8" t="n">
        <f aca="false">IF(AD404=0,0,AE404/AD404)</f>
        <v>0.314472457016734</v>
      </c>
      <c r="AG404" s="3" t="str">
        <f aca="false">IF(ABS(Y404-AD404)&gt;1,"Mismatch","OK")</f>
        <v>OK</v>
      </c>
      <c r="AH404" s="3" t="str">
        <f aca="false">IF(ABS(AA404-AE404)&gt;1,"Mismatch","OK")</f>
        <v>OK</v>
      </c>
      <c r="AI404" s="6" t="n">
        <f aca="false">IF(B404="","",MONTH(B404))</f>
        <v>3</v>
      </c>
      <c r="AJ404" s="6" t="n">
        <f aca="false">IF(B404="","",YEAR(B404))</f>
        <v>2024</v>
      </c>
      <c r="AK404" s="3" t="str">
        <f aca="false">IF(COUNTIF(raw_data!$A$2:$A$913,A404)&gt;1,"Conflicting Duplicate - Flagged for Review","Unique")</f>
        <v>Unique</v>
      </c>
      <c r="AL404" s="3" t="str">
        <f aca="false">IF(AB404="Refunded","Yes","No")</f>
        <v>No</v>
      </c>
      <c r="AM404" s="3" t="str">
        <f aca="false">IF(OR(AC404&lt;&gt;"Completed",AB404="Failed"),"Excluded","Included")</f>
        <v>Included</v>
      </c>
      <c r="AN404" s="3" t="str">
        <f aca="false">IF(OR(D404="Invalid/Unrecognized",E404="Invalid/Unrecognized",G404="Invalid - Ship Before Order",X404="Negative - Invalid",X404="Above Allowed Range - Invalid",AG404="Mismatch",AH404="Mismatch",AK404="Conflicting Duplicate - Flagged for Review"),"Invalid",IF(OR(L404="Filled - Unknown",S404="Filled - Unknown",X404="Missing - Defaulted to 0",AL404="Yes",AC404="Cancelled",AC404="Returned"),"Warning","Clean"))</f>
        <v>Warning</v>
      </c>
    </row>
    <row r="405" customFormat="false" ht="15" hidden="false" customHeight="false" outlineLevel="0" collapsed="false">
      <c r="A405" s="3" t="str">
        <f aca="false">raw_data!A405</f>
        <v>ORD-2024-10404</v>
      </c>
      <c r="B405" s="4" t="n">
        <f aca="false">IFERROR(IF(MID(raw_data!B405,3,1)="/",DATE(VALUE(RIGHT(raw_data!B405,4)),VALUE(LEFT(raw_data!B405,2)),VALUE(MID(raw_data!B405,4,2))),IF(MID(raw_data!B405,3,1)="-",DATE(VALUE(RIGHT(raw_data!B405,4)),VALUE(MID(raw_data!B405,4,2)),VALUE(LEFT(raw_data!B405,2))),IF(MID(raw_data!B405,5,1)="-",DATE(VALUE(LEFT(raw_data!B405,4)),VALUE(MID(raw_data!B405,6,2)),VALUE(RIGHT(raw_data!B405,2))),DATE(VALUE(RIGHT(raw_data!B405,4)),MATCH(MID(raw_data!B405,4,3),{"Jan","Feb","Mar","Apr","May","Jun","Jul","Aug","Sep","Oct","Nov","Dec"},0),VALUE(LEFT(raw_data!B405,2)))))),"")</f>
        <v>45565</v>
      </c>
      <c r="C405" s="4" t="n">
        <f aca="false">IFERROR(IF(MID(raw_data!C405,3,1)="/",DATE(VALUE(RIGHT(raw_data!C405,4)),VALUE(LEFT(raw_data!C405,2)),VALUE(MID(raw_data!C405,4,2))),IF(MID(raw_data!C405,3,1)="-",DATE(VALUE(RIGHT(raw_data!C405,4)),VALUE(MID(raw_data!C405,4,2)),VALUE(LEFT(raw_data!C405,2))),IF(MID(raw_data!C405,5,1)="-",DATE(VALUE(LEFT(raw_data!C405,4)),VALUE(MID(raw_data!C405,6,2)),VALUE(RIGHT(raw_data!C405,2))),DATE(VALUE(RIGHT(raw_data!C405,4)),MATCH(MID(raw_data!C405,4,3),{"Jan","Feb","Mar","Apr","May","Jun","Jul","Aug","Sep","Oct","Nov","Dec"},0),VALUE(LEFT(raw_data!C405,2)))))),"")</f>
        <v>45569</v>
      </c>
      <c r="D405" s="3" t="str">
        <f aca="false">IF(TRIM(raw_data!B405)="","Missing",IF(B405="","Invalid/Unrecognized","Valid"))</f>
        <v>Valid</v>
      </c>
      <c r="E405" s="3" t="str">
        <f aca="false">IF(TRIM(raw_data!C405)="","Missing",IF(C405="","Invalid/Unrecognized","Valid"))</f>
        <v>Valid</v>
      </c>
      <c r="F405" s="5" t="n">
        <f aca="false">IF(OR(B405="",C405=""),"",C405-B405)</f>
        <v>4</v>
      </c>
      <c r="G405" s="3" t="str">
        <f aca="false">IF(F405="","N/A",IF(F405&lt;0,"Invalid - Ship Before Order","OK"))</f>
        <v>OK</v>
      </c>
      <c r="H405" s="3" t="str">
        <f aca="false">raw_data!D405</f>
        <v>CUST-2700</v>
      </c>
      <c r="I405" s="3" t="str">
        <f aca="false">PROPER(TRIM(raw_data!E405))</f>
        <v>Arjun Bose</v>
      </c>
      <c r="J405" s="3" t="str">
        <f aca="false">PROPER(TRIM(raw_data!F405))</f>
        <v>Small Business</v>
      </c>
      <c r="K405" s="3" t="str">
        <f aca="false">IF(TRIM(raw_data!G405)="","Unknown",PROPER(TRIM(raw_data!G405)))</f>
        <v>South</v>
      </c>
      <c r="L405" s="3" t="str">
        <f aca="false">IF(TRIM(raw_data!G405)="","Filled - Unknown","OK")</f>
        <v>OK</v>
      </c>
      <c r="M405" s="3" t="str">
        <f aca="false">PROPER(TRIM(raw_data!H405))</f>
        <v>Kerala</v>
      </c>
      <c r="N405" s="3" t="str">
        <f aca="false">PROPER(TRIM(raw_data!I405))</f>
        <v>Kochi</v>
      </c>
      <c r="O405" s="3" t="str">
        <f aca="false">PROPER(TRIM(raw_data!J405))</f>
        <v>Office Supplies</v>
      </c>
      <c r="P405" s="3" t="str">
        <f aca="false">PROPER(TRIM(raw_data!K405))</f>
        <v>Paper</v>
      </c>
      <c r="Q405" s="3" t="str">
        <f aca="false">TRIM(raw_data!L405)</f>
        <v>Classic Paper 237</v>
      </c>
      <c r="R405" s="3" t="str">
        <f aca="false">IF(TRIM(raw_data!M405)="","Unknown",PROPER(TRIM(raw_data!M405)))</f>
        <v>Same Day</v>
      </c>
      <c r="S405" s="3" t="str">
        <f aca="false">IF(TRIM(raw_data!M405)="","Filled - Unknown","OK")</f>
        <v>OK</v>
      </c>
      <c r="T405" s="6" t="n">
        <f aca="false">raw_data!N405</f>
        <v>5</v>
      </c>
      <c r="U405" s="7" t="n">
        <f aca="false">raw_data!O405</f>
        <v>3512.25</v>
      </c>
      <c r="V405" s="8" t="n">
        <f aca="false">raw_data!P405</f>
        <v>0.05</v>
      </c>
      <c r="W405" s="8" t="n">
        <f aca="false">IF(raw_data!P405="",0,IF(ISTEXT(raw_data!P405),IF(RIGHT(raw_data!P405,1)="%",VALUE(LEFT(raw_data!P405,LEN(raw_data!P405)-1))/100,VALUE(raw_data!P405)),raw_data!P405))</f>
        <v>0.05</v>
      </c>
      <c r="X405" s="3" t="str">
        <f aca="false">IF(raw_data!P405="","Missing - Defaulted to 0",IF(W405&lt;0,"Negative - Invalid",IF(W405&gt;0.3,"Above Allowed Range - Invalid","Valid")))</f>
        <v>Valid</v>
      </c>
      <c r="Y405" s="7" t="n">
        <f aca="false">raw_data!Q405</f>
        <v>16683.19</v>
      </c>
      <c r="Z405" s="7" t="n">
        <f aca="false">raw_data!R405</f>
        <v>10301.16</v>
      </c>
      <c r="AA405" s="7" t="n">
        <f aca="false">raw_data!S405</f>
        <v>6382.03</v>
      </c>
      <c r="AB405" s="3" t="str">
        <f aca="false">PROPER(TRIM(raw_data!T405))</f>
        <v>Paid</v>
      </c>
      <c r="AC405" s="3" t="str">
        <f aca="false">PROPER(TRIM(raw_data!U405))</f>
        <v>Returned</v>
      </c>
      <c r="AD405" s="7" t="n">
        <f aca="false">T405*U405*(1-W405)</f>
        <v>16683.1875</v>
      </c>
      <c r="AE405" s="7" t="n">
        <f aca="false">AD405-Z405</f>
        <v>6382.0275</v>
      </c>
      <c r="AF405" s="8" t="n">
        <f aca="false">IF(AD405=0,0,AE405/AD405)</f>
        <v>0.382542454791688</v>
      </c>
      <c r="AG405" s="3" t="str">
        <f aca="false">IF(ABS(Y405-AD405)&gt;1,"Mismatch","OK")</f>
        <v>OK</v>
      </c>
      <c r="AH405" s="3" t="str">
        <f aca="false">IF(ABS(AA405-AE405)&gt;1,"Mismatch","OK")</f>
        <v>OK</v>
      </c>
      <c r="AI405" s="6" t="n">
        <f aca="false">IF(B405="","",MONTH(B405))</f>
        <v>9</v>
      </c>
      <c r="AJ405" s="6" t="n">
        <f aca="false">IF(B405="","",YEAR(B405))</f>
        <v>2024</v>
      </c>
      <c r="AK405" s="3" t="str">
        <f aca="false">IF(COUNTIF(raw_data!$A$2:$A$913,A405)&gt;1,"Conflicting Duplicate - Flagged for Review","Unique")</f>
        <v>Unique</v>
      </c>
      <c r="AL405" s="3" t="str">
        <f aca="false">IF(AB405="Refunded","Yes","No")</f>
        <v>No</v>
      </c>
      <c r="AM405" s="3" t="str">
        <f aca="false">IF(OR(AC405&lt;&gt;"Completed",AB405="Failed"),"Excluded","Included")</f>
        <v>Excluded</v>
      </c>
      <c r="AN405" s="3" t="str">
        <f aca="false">IF(OR(D405="Invalid/Unrecognized",E405="Invalid/Unrecognized",G405="Invalid - Ship Before Order",X405="Negative - Invalid",X405="Above Allowed Range - Invalid",AG405="Mismatch",AH405="Mismatch",AK405="Conflicting Duplicate - Flagged for Review"),"Invalid",IF(OR(L405="Filled - Unknown",S405="Filled - Unknown",X405="Missing - Defaulted to 0",AL405="Yes",AC405="Cancelled",AC405="Returned"),"Warning","Clean"))</f>
        <v>Warning</v>
      </c>
    </row>
    <row r="406" customFormat="false" ht="15" hidden="false" customHeight="false" outlineLevel="0" collapsed="false">
      <c r="A406" s="3" t="str">
        <f aca="false">raw_data!A406</f>
        <v>ORD-2024-10405</v>
      </c>
      <c r="B406" s="4" t="n">
        <f aca="false">IFERROR(IF(MID(raw_data!B406,3,1)="/",DATE(VALUE(RIGHT(raw_data!B406,4)),VALUE(LEFT(raw_data!B406,2)),VALUE(MID(raw_data!B406,4,2))),IF(MID(raw_data!B406,3,1)="-",DATE(VALUE(RIGHT(raw_data!B406,4)),VALUE(MID(raw_data!B406,4,2)),VALUE(LEFT(raw_data!B406,2))),IF(MID(raw_data!B406,5,1)="-",DATE(VALUE(LEFT(raw_data!B406,4)),VALUE(MID(raw_data!B406,6,2)),VALUE(RIGHT(raw_data!B406,2))),DATE(VALUE(RIGHT(raw_data!B406,4)),MATCH(MID(raw_data!B406,4,3),{"Jan","Feb","Mar","Apr","May","Jun","Jul","Aug","Sep","Oct","Nov","Dec"},0),VALUE(LEFT(raw_data!B406,2)))))),"")</f>
        <v>45318</v>
      </c>
      <c r="C406" s="4" t="n">
        <f aca="false">IFERROR(IF(MID(raw_data!C406,3,1)="/",DATE(VALUE(RIGHT(raw_data!C406,4)),VALUE(LEFT(raw_data!C406,2)),VALUE(MID(raw_data!C406,4,2))),IF(MID(raw_data!C406,3,1)="-",DATE(VALUE(RIGHT(raw_data!C406,4)),VALUE(MID(raw_data!C406,4,2)),VALUE(LEFT(raw_data!C406,2))),IF(MID(raw_data!C406,5,1)="-",DATE(VALUE(LEFT(raw_data!C406,4)),VALUE(MID(raw_data!C406,6,2)),VALUE(RIGHT(raw_data!C406,2))),DATE(VALUE(RIGHT(raw_data!C406,4)),MATCH(MID(raw_data!C406,4,3),{"Jan","Feb","Mar","Apr","May","Jun","Jul","Aug","Sep","Oct","Nov","Dec"},0),VALUE(LEFT(raw_data!C406,2)))))),"")</f>
        <v>45325</v>
      </c>
      <c r="D406" s="3" t="str">
        <f aca="false">IF(TRIM(raw_data!B406)="","Missing",IF(B406="","Invalid/Unrecognized","Valid"))</f>
        <v>Valid</v>
      </c>
      <c r="E406" s="3" t="str">
        <f aca="false">IF(TRIM(raw_data!C406)="","Missing",IF(C406="","Invalid/Unrecognized","Valid"))</f>
        <v>Valid</v>
      </c>
      <c r="F406" s="5" t="n">
        <f aca="false">IF(OR(B406="",C406=""),"",C406-B406)</f>
        <v>7</v>
      </c>
      <c r="G406" s="3" t="str">
        <f aca="false">IF(F406="","N/A",IF(F406&lt;0,"Invalid - Ship Before Order","OK"))</f>
        <v>OK</v>
      </c>
      <c r="H406" s="3" t="str">
        <f aca="false">raw_data!D406</f>
        <v>CUST-2904</v>
      </c>
      <c r="I406" s="3" t="str">
        <f aca="false">PROPER(TRIM(raw_data!E406))</f>
        <v>Aditi Sen</v>
      </c>
      <c r="J406" s="3" t="str">
        <f aca="false">PROPER(TRIM(raw_data!F406))</f>
        <v>Corporate</v>
      </c>
      <c r="K406" s="3" t="str">
        <f aca="false">IF(TRIM(raw_data!G406)="","Unknown",PROPER(TRIM(raw_data!G406)))</f>
        <v>West</v>
      </c>
      <c r="L406" s="3" t="str">
        <f aca="false">IF(TRIM(raw_data!G406)="","Filled - Unknown","OK")</f>
        <v>OK</v>
      </c>
      <c r="M406" s="3" t="str">
        <f aca="false">PROPER(TRIM(raw_data!H406))</f>
        <v>Rajasthan</v>
      </c>
      <c r="N406" s="3" t="str">
        <f aca="false">PROPER(TRIM(raw_data!I406))</f>
        <v>Udaipur</v>
      </c>
      <c r="O406" s="3" t="str">
        <f aca="false">PROPER(TRIM(raw_data!J406))</f>
        <v>Furniture</v>
      </c>
      <c r="P406" s="3" t="str">
        <f aca="false">PROPER(TRIM(raw_data!K406))</f>
        <v>Chairs</v>
      </c>
      <c r="Q406" s="3" t="str">
        <f aca="false">TRIM(raw_data!L406)</f>
        <v>Prime Chairs 891</v>
      </c>
      <c r="R406" s="3" t="str">
        <f aca="false">IF(TRIM(raw_data!M406)="","Unknown",PROPER(TRIM(raw_data!M406)))</f>
        <v>Same Day</v>
      </c>
      <c r="S406" s="3" t="str">
        <f aca="false">IF(TRIM(raw_data!M406)="","Filled - Unknown","OK")</f>
        <v>OK</v>
      </c>
      <c r="T406" s="6" t="n">
        <f aca="false">raw_data!N406</f>
        <v>3</v>
      </c>
      <c r="U406" s="7" t="n">
        <f aca="false">raw_data!O406</f>
        <v>359.61</v>
      </c>
      <c r="V406" s="8" t="n">
        <f aca="false">raw_data!P406</f>
        <v>0</v>
      </c>
      <c r="W406" s="8" t="n">
        <f aca="false">IF(raw_data!P406="",0,IF(ISTEXT(raw_data!P406),IF(RIGHT(raw_data!P406,1)="%",VALUE(LEFT(raw_data!P406,LEN(raw_data!P406)-1))/100,VALUE(raw_data!P406)),raw_data!P406))</f>
        <v>0</v>
      </c>
      <c r="X406" s="3" t="str">
        <f aca="false">IF(raw_data!P406="","Missing - Defaulted to 0",IF(W406&lt;0,"Negative - Invalid",IF(W406&gt;0.3,"Above Allowed Range - Invalid","Valid")))</f>
        <v>Valid</v>
      </c>
      <c r="Y406" s="7" t="n">
        <f aca="false">raw_data!Q406</f>
        <v>1078.83</v>
      </c>
      <c r="Z406" s="7" t="n">
        <f aca="false">raw_data!R406</f>
        <v>926.35</v>
      </c>
      <c r="AA406" s="7" t="n">
        <f aca="false">raw_data!S406</f>
        <v>152.48</v>
      </c>
      <c r="AB406" s="3" t="str">
        <f aca="false">PROPER(TRIM(raw_data!T406))</f>
        <v>Paid</v>
      </c>
      <c r="AC406" s="3" t="str">
        <f aca="false">PROPER(TRIM(raw_data!U406))</f>
        <v>Completed</v>
      </c>
      <c r="AD406" s="7" t="n">
        <f aca="false">T406*U406*(1-W406)</f>
        <v>1078.83</v>
      </c>
      <c r="AE406" s="7" t="n">
        <f aca="false">AD406-Z406</f>
        <v>152.48</v>
      </c>
      <c r="AF406" s="8" t="n">
        <f aca="false">IF(AD406=0,0,AE406/AD406)</f>
        <v>0.14133830167867</v>
      </c>
      <c r="AG406" s="3" t="str">
        <f aca="false">IF(ABS(Y406-AD406)&gt;1,"Mismatch","OK")</f>
        <v>OK</v>
      </c>
      <c r="AH406" s="3" t="str">
        <f aca="false">IF(ABS(AA406-AE406)&gt;1,"Mismatch","OK")</f>
        <v>OK</v>
      </c>
      <c r="AI406" s="6" t="n">
        <f aca="false">IF(B406="","",MONTH(B406))</f>
        <v>1</v>
      </c>
      <c r="AJ406" s="6" t="n">
        <f aca="false">IF(B406="","",YEAR(B406))</f>
        <v>2024</v>
      </c>
      <c r="AK406" s="3" t="str">
        <f aca="false">IF(COUNTIF(raw_data!$A$2:$A$913,A406)&gt;1,"Conflicting Duplicate - Flagged for Review","Unique")</f>
        <v>Unique</v>
      </c>
      <c r="AL406" s="3" t="str">
        <f aca="false">IF(AB406="Refunded","Yes","No")</f>
        <v>No</v>
      </c>
      <c r="AM406" s="3" t="str">
        <f aca="false">IF(OR(AC406&lt;&gt;"Completed",AB406="Failed"),"Excluded","Included")</f>
        <v>Included</v>
      </c>
      <c r="AN406" s="3" t="str">
        <f aca="false">IF(OR(D406="Invalid/Unrecognized",E406="Invalid/Unrecognized",G406="Invalid - Ship Before Order",X406="Negative - Invalid",X406="Above Allowed Range - Invalid",AG406="Mismatch",AH406="Mismatch",AK406="Conflicting Duplicate - Flagged for Review"),"Invalid",IF(OR(L406="Filled - Unknown",S406="Filled - Unknown",X406="Missing - Defaulted to 0",AL406="Yes",AC406="Cancelled",AC406="Returned"),"Warning","Clean"))</f>
        <v>Clean</v>
      </c>
    </row>
    <row r="407" customFormat="false" ht="15" hidden="false" customHeight="false" outlineLevel="0" collapsed="false">
      <c r="A407" s="3" t="str">
        <f aca="false">raw_data!A407</f>
        <v>ORD-2024-10406</v>
      </c>
      <c r="B407" s="4" t="n">
        <f aca="false">IFERROR(IF(MID(raw_data!B407,3,1)="/",DATE(VALUE(RIGHT(raw_data!B407,4)),VALUE(LEFT(raw_data!B407,2)),VALUE(MID(raw_data!B407,4,2))),IF(MID(raw_data!B407,3,1)="-",DATE(VALUE(RIGHT(raw_data!B407,4)),VALUE(MID(raw_data!B407,4,2)),VALUE(LEFT(raw_data!B407,2))),IF(MID(raw_data!B407,5,1)="-",DATE(VALUE(LEFT(raw_data!B407,4)),VALUE(MID(raw_data!B407,6,2)),VALUE(RIGHT(raw_data!B407,2))),DATE(VALUE(RIGHT(raw_data!B407,4)),MATCH(MID(raw_data!B407,4,3),{"Jan","Feb","Mar","Apr","May","Jun","Jul","Aug","Sep","Oct","Nov","Dec"},0),VALUE(LEFT(raw_data!B407,2)))))),"")</f>
        <v>45558</v>
      </c>
      <c r="C407" s="4" t="n">
        <f aca="false">IFERROR(IF(MID(raw_data!C407,3,1)="/",DATE(VALUE(RIGHT(raw_data!C407,4)),VALUE(LEFT(raw_data!C407,2)),VALUE(MID(raw_data!C407,4,2))),IF(MID(raw_data!C407,3,1)="-",DATE(VALUE(RIGHT(raw_data!C407,4)),VALUE(MID(raw_data!C407,4,2)),VALUE(LEFT(raw_data!C407,2))),IF(MID(raw_data!C407,5,1)="-",DATE(VALUE(LEFT(raw_data!C407,4)),VALUE(MID(raw_data!C407,6,2)),VALUE(RIGHT(raw_data!C407,2))),DATE(VALUE(RIGHT(raw_data!C407,4)),MATCH(MID(raw_data!C407,4,3),{"Jan","Feb","Mar","Apr","May","Jun","Jul","Aug","Sep","Oct","Nov","Dec"},0),VALUE(LEFT(raw_data!C407,2)))))),"")</f>
        <v>45559</v>
      </c>
      <c r="D407" s="3" t="str">
        <f aca="false">IF(TRIM(raw_data!B407)="","Missing",IF(B407="","Invalid/Unrecognized","Valid"))</f>
        <v>Valid</v>
      </c>
      <c r="E407" s="3" t="str">
        <f aca="false">IF(TRIM(raw_data!C407)="","Missing",IF(C407="","Invalid/Unrecognized","Valid"))</f>
        <v>Valid</v>
      </c>
      <c r="F407" s="5" t="n">
        <f aca="false">IF(OR(B407="",C407=""),"",C407-B407)</f>
        <v>1</v>
      </c>
      <c r="G407" s="3" t="str">
        <f aca="false">IF(F407="","N/A",IF(F407&lt;0,"Invalid - Ship Before Order","OK"))</f>
        <v>OK</v>
      </c>
      <c r="H407" s="3" t="str">
        <f aca="false">raw_data!D407</f>
        <v>CUST-9961</v>
      </c>
      <c r="I407" s="3" t="str">
        <f aca="false">PROPER(TRIM(raw_data!E407))</f>
        <v>Aditi Sen</v>
      </c>
      <c r="J407" s="3" t="str">
        <f aca="false">PROPER(TRIM(raw_data!F407))</f>
        <v>Home Office</v>
      </c>
      <c r="K407" s="3" t="str">
        <f aca="false">IF(TRIM(raw_data!G407)="","Unknown",PROPER(TRIM(raw_data!G407)))</f>
        <v>West</v>
      </c>
      <c r="L407" s="3" t="str">
        <f aca="false">IF(TRIM(raw_data!G407)="","Filled - Unknown","OK")</f>
        <v>OK</v>
      </c>
      <c r="M407" s="3" t="str">
        <f aca="false">PROPER(TRIM(raw_data!H407))</f>
        <v>Gujarat</v>
      </c>
      <c r="N407" s="3" t="str">
        <f aca="false">PROPER(TRIM(raw_data!I407))</f>
        <v>Ahmedabad</v>
      </c>
      <c r="O407" s="3" t="str">
        <f aca="false">PROPER(TRIM(raw_data!J407))</f>
        <v>Furniture</v>
      </c>
      <c r="P407" s="3" t="str">
        <f aca="false">PROPER(TRIM(raw_data!K407))</f>
        <v>Bookcases</v>
      </c>
      <c r="Q407" s="3" t="str">
        <f aca="false">TRIM(raw_data!L407)</f>
        <v>Max Bookcases 812</v>
      </c>
      <c r="R407" s="3" t="str">
        <f aca="false">IF(TRIM(raw_data!M407)="","Unknown",PROPER(TRIM(raw_data!M407)))</f>
        <v>Unknown</v>
      </c>
      <c r="S407" s="3" t="str">
        <f aca="false">IF(TRIM(raw_data!M407)="","Filled - Unknown","OK")</f>
        <v>Filled - Unknown</v>
      </c>
      <c r="T407" s="6" t="n">
        <f aca="false">raw_data!N407</f>
        <v>7</v>
      </c>
      <c r="U407" s="7" t="n">
        <f aca="false">raw_data!O407</f>
        <v>3878.01</v>
      </c>
      <c r="V407" s="8" t="n">
        <f aca="false">raw_data!P407</f>
        <v>0.1</v>
      </c>
      <c r="W407" s="8" t="n">
        <f aca="false">IF(raw_data!P407="",0,IF(ISTEXT(raw_data!P407),IF(RIGHT(raw_data!P407,1)="%",VALUE(LEFT(raw_data!P407,LEN(raw_data!P407)-1))/100,VALUE(raw_data!P407)),raw_data!P407))</f>
        <v>0.1</v>
      </c>
      <c r="X407" s="3" t="str">
        <f aca="false">IF(raw_data!P407="","Missing - Defaulted to 0",IF(W407&lt;0,"Negative - Invalid",IF(W407&gt;0.3,"Above Allowed Range - Invalid","Valid")))</f>
        <v>Valid</v>
      </c>
      <c r="Y407" s="7" t="n">
        <f aca="false">raw_data!Q407</f>
        <v>24431.46</v>
      </c>
      <c r="Z407" s="7" t="n">
        <f aca="false">raw_data!R407</f>
        <v>18202.36</v>
      </c>
      <c r="AA407" s="7" t="n">
        <f aca="false">raw_data!S407</f>
        <v>6229.1</v>
      </c>
      <c r="AB407" s="3" t="str">
        <f aca="false">PROPER(TRIM(raw_data!T407))</f>
        <v>Paid</v>
      </c>
      <c r="AC407" s="3" t="str">
        <f aca="false">PROPER(TRIM(raw_data!U407))</f>
        <v>Completed</v>
      </c>
      <c r="AD407" s="7" t="n">
        <f aca="false">T407*U407*(1-W407)</f>
        <v>24431.463</v>
      </c>
      <c r="AE407" s="7" t="n">
        <f aca="false">AD407-Z407</f>
        <v>6229.103</v>
      </c>
      <c r="AF407" s="8" t="n">
        <f aca="false">IF(AD407=0,0,AE407/AD407)</f>
        <v>0.254962340978107</v>
      </c>
      <c r="AG407" s="3" t="str">
        <f aca="false">IF(ABS(Y407-AD407)&gt;1,"Mismatch","OK")</f>
        <v>OK</v>
      </c>
      <c r="AH407" s="3" t="str">
        <f aca="false">IF(ABS(AA407-AE407)&gt;1,"Mismatch","OK")</f>
        <v>OK</v>
      </c>
      <c r="AI407" s="6" t="n">
        <f aca="false">IF(B407="","",MONTH(B407))</f>
        <v>9</v>
      </c>
      <c r="AJ407" s="6" t="n">
        <f aca="false">IF(B407="","",YEAR(B407))</f>
        <v>2024</v>
      </c>
      <c r="AK407" s="3" t="str">
        <f aca="false">IF(COUNTIF(raw_data!$A$2:$A$913,A407)&gt;1,"Conflicting Duplicate - Flagged for Review","Unique")</f>
        <v>Unique</v>
      </c>
      <c r="AL407" s="3" t="str">
        <f aca="false">IF(AB407="Refunded","Yes","No")</f>
        <v>No</v>
      </c>
      <c r="AM407" s="3" t="str">
        <f aca="false">IF(OR(AC407&lt;&gt;"Completed",AB407="Failed"),"Excluded","Included")</f>
        <v>Included</v>
      </c>
      <c r="AN407" s="3" t="str">
        <f aca="false">IF(OR(D407="Invalid/Unrecognized",E407="Invalid/Unrecognized",G407="Invalid - Ship Before Order",X407="Negative - Invalid",X407="Above Allowed Range - Invalid",AG407="Mismatch",AH407="Mismatch",AK407="Conflicting Duplicate - Flagged for Review"),"Invalid",IF(OR(L407="Filled - Unknown",S407="Filled - Unknown",X407="Missing - Defaulted to 0",AL407="Yes",AC407="Cancelled",AC407="Returned"),"Warning","Clean"))</f>
        <v>Warning</v>
      </c>
    </row>
    <row r="408" customFormat="false" ht="15" hidden="false" customHeight="false" outlineLevel="0" collapsed="false">
      <c r="A408" s="3" t="str">
        <f aca="false">raw_data!A408</f>
        <v>ORD-2025-10407</v>
      </c>
      <c r="B408" s="4" t="n">
        <f aca="false">IFERROR(IF(MID(raw_data!B408,3,1)="/",DATE(VALUE(RIGHT(raw_data!B408,4)),VALUE(LEFT(raw_data!B408,2)),VALUE(MID(raw_data!B408,4,2))),IF(MID(raw_data!B408,3,1)="-",DATE(VALUE(RIGHT(raw_data!B408,4)),VALUE(MID(raw_data!B408,4,2)),VALUE(LEFT(raw_data!B408,2))),IF(MID(raw_data!B408,5,1)="-",DATE(VALUE(LEFT(raw_data!B408,4)),VALUE(MID(raw_data!B408,6,2)),VALUE(RIGHT(raw_data!B408,2))),DATE(VALUE(RIGHT(raw_data!B408,4)),MATCH(MID(raw_data!B408,4,3),{"Jan","Feb","Mar","Apr","May","Jun","Jul","Aug","Sep","Oct","Nov","Dec"},0),VALUE(LEFT(raw_data!B408,2)))))),"")</f>
        <v>45713</v>
      </c>
      <c r="C408" s="4" t="n">
        <f aca="false">IFERROR(IF(MID(raw_data!C408,3,1)="/",DATE(VALUE(RIGHT(raw_data!C408,4)),VALUE(LEFT(raw_data!C408,2)),VALUE(MID(raw_data!C408,4,2))),IF(MID(raw_data!C408,3,1)="-",DATE(VALUE(RIGHT(raw_data!C408,4)),VALUE(MID(raw_data!C408,4,2)),VALUE(LEFT(raw_data!C408,2))),IF(MID(raw_data!C408,5,1)="-",DATE(VALUE(LEFT(raw_data!C408,4)),VALUE(MID(raw_data!C408,6,2)),VALUE(RIGHT(raw_data!C408,2))),DATE(VALUE(RIGHT(raw_data!C408,4)),MATCH(MID(raw_data!C408,4,3),{"Jan","Feb","Mar","Apr","May","Jun","Jul","Aug","Sep","Oct","Nov","Dec"},0),VALUE(LEFT(raw_data!C408,2)))))),"")</f>
        <v>45713</v>
      </c>
      <c r="D408" s="3" t="str">
        <f aca="false">IF(TRIM(raw_data!B408)="","Missing",IF(B408="","Invalid/Unrecognized","Valid"))</f>
        <v>Valid</v>
      </c>
      <c r="E408" s="3" t="str">
        <f aca="false">IF(TRIM(raw_data!C408)="","Missing",IF(C408="","Invalid/Unrecognized","Valid"))</f>
        <v>Valid</v>
      </c>
      <c r="F408" s="5" t="n">
        <f aca="false">IF(OR(B408="",C408=""),"",C408-B408)</f>
        <v>0</v>
      </c>
      <c r="G408" s="3" t="str">
        <f aca="false">IF(F408="","N/A",IF(F408&lt;0,"Invalid - Ship Before Order","OK"))</f>
        <v>OK</v>
      </c>
      <c r="H408" s="3" t="str">
        <f aca="false">raw_data!D408</f>
        <v>CUST-9909</v>
      </c>
      <c r="I408" s="3" t="str">
        <f aca="false">PROPER(TRIM(raw_data!E408))</f>
        <v>Kabir Singh</v>
      </c>
      <c r="J408" s="3" t="str">
        <f aca="false">PROPER(TRIM(raw_data!F408))</f>
        <v>Small Business</v>
      </c>
      <c r="K408" s="3" t="str">
        <f aca="false">IF(TRIM(raw_data!G408)="","Unknown",PROPER(TRIM(raw_data!G408)))</f>
        <v>West</v>
      </c>
      <c r="L408" s="3" t="str">
        <f aca="false">IF(TRIM(raw_data!G408)="","Filled - Unknown","OK")</f>
        <v>OK</v>
      </c>
      <c r="M408" s="3" t="str">
        <f aca="false">PROPER(TRIM(raw_data!H408))</f>
        <v>Goa</v>
      </c>
      <c r="N408" s="3" t="str">
        <f aca="false">PROPER(TRIM(raw_data!I408))</f>
        <v>Panaji</v>
      </c>
      <c r="O408" s="3" t="str">
        <f aca="false">PROPER(TRIM(raw_data!J408))</f>
        <v>Furniture</v>
      </c>
      <c r="P408" s="3" t="str">
        <f aca="false">PROPER(TRIM(raw_data!K408))</f>
        <v>Furnishings</v>
      </c>
      <c r="Q408" s="3" t="str">
        <f aca="false">TRIM(raw_data!L408)</f>
        <v>Basic Furnishings 164</v>
      </c>
      <c r="R408" s="3" t="str">
        <f aca="false">IF(TRIM(raw_data!M408)="","Unknown",PROPER(TRIM(raw_data!M408)))</f>
        <v>Standard Class</v>
      </c>
      <c r="S408" s="3" t="str">
        <f aca="false">IF(TRIM(raw_data!M408)="","Filled - Unknown","OK")</f>
        <v>OK</v>
      </c>
      <c r="T408" s="6" t="n">
        <f aca="false">raw_data!N408</f>
        <v>2</v>
      </c>
      <c r="U408" s="7" t="n">
        <f aca="false">raw_data!O408</f>
        <v>3924.2</v>
      </c>
      <c r="V408" s="8" t="n">
        <f aca="false">raw_data!P408</f>
        <v>0.25</v>
      </c>
      <c r="W408" s="8" t="n">
        <f aca="false">IF(raw_data!P408="",0,IF(ISTEXT(raw_data!P408),IF(RIGHT(raw_data!P408,1)="%",VALUE(LEFT(raw_data!P408,LEN(raw_data!P408)-1))/100,VALUE(raw_data!P408)),raw_data!P408))</f>
        <v>0.25</v>
      </c>
      <c r="X408" s="3" t="str">
        <f aca="false">IF(raw_data!P408="","Missing - Defaulted to 0",IF(W408&lt;0,"Negative - Invalid",IF(W408&gt;0.3,"Above Allowed Range - Invalid","Valid")))</f>
        <v>Valid</v>
      </c>
      <c r="Y408" s="7" t="n">
        <f aca="false">raw_data!Q408</f>
        <v>5886.3</v>
      </c>
      <c r="Z408" s="7" t="n">
        <f aca="false">raw_data!R408</f>
        <v>3621.76</v>
      </c>
      <c r="AA408" s="7" t="n">
        <f aca="false">raw_data!S408</f>
        <v>2264.54</v>
      </c>
      <c r="AB408" s="3" t="str">
        <f aca="false">PROPER(TRIM(raw_data!T408))</f>
        <v>Pending</v>
      </c>
      <c r="AC408" s="3" t="str">
        <f aca="false">PROPER(TRIM(raw_data!U408))</f>
        <v>Returned</v>
      </c>
      <c r="AD408" s="7" t="n">
        <f aca="false">T408*U408*(1-W408)</f>
        <v>5886.3</v>
      </c>
      <c r="AE408" s="7" t="n">
        <f aca="false">AD408-Z408</f>
        <v>2264.54</v>
      </c>
      <c r="AF408" s="8" t="n">
        <f aca="false">IF(AD408=0,0,AE408/AD408)</f>
        <v>0.384713657136062</v>
      </c>
      <c r="AG408" s="3" t="str">
        <f aca="false">IF(ABS(Y408-AD408)&gt;1,"Mismatch","OK")</f>
        <v>OK</v>
      </c>
      <c r="AH408" s="3" t="str">
        <f aca="false">IF(ABS(AA408-AE408)&gt;1,"Mismatch","OK")</f>
        <v>OK</v>
      </c>
      <c r="AI408" s="6" t="n">
        <f aca="false">IF(B408="","",MONTH(B408))</f>
        <v>2</v>
      </c>
      <c r="AJ408" s="6" t="n">
        <f aca="false">IF(B408="","",YEAR(B408))</f>
        <v>2025</v>
      </c>
      <c r="AK408" s="3" t="str">
        <f aca="false">IF(COUNTIF(raw_data!$A$2:$A$913,A408)&gt;1,"Conflicting Duplicate - Flagged for Review","Unique")</f>
        <v>Unique</v>
      </c>
      <c r="AL408" s="3" t="str">
        <f aca="false">IF(AB408="Refunded","Yes","No")</f>
        <v>No</v>
      </c>
      <c r="AM408" s="3" t="str">
        <f aca="false">IF(OR(AC408&lt;&gt;"Completed",AB408="Failed"),"Excluded","Included")</f>
        <v>Excluded</v>
      </c>
      <c r="AN408" s="3" t="str">
        <f aca="false">IF(OR(D408="Invalid/Unrecognized",E408="Invalid/Unrecognized",G408="Invalid - Ship Before Order",X408="Negative - Invalid",X408="Above Allowed Range - Invalid",AG408="Mismatch",AH408="Mismatch",AK408="Conflicting Duplicate - Flagged for Review"),"Invalid",IF(OR(L408="Filled - Unknown",S408="Filled - Unknown",X408="Missing - Defaulted to 0",AL408="Yes",AC408="Cancelled",AC408="Returned"),"Warning","Clean"))</f>
        <v>Warning</v>
      </c>
    </row>
    <row r="409" customFormat="false" ht="15" hidden="false" customHeight="false" outlineLevel="0" collapsed="false">
      <c r="A409" s="3" t="str">
        <f aca="false">raw_data!A409</f>
        <v>ORD-2024-10408</v>
      </c>
      <c r="B409" s="4" t="n">
        <f aca="false">IFERROR(IF(MID(raw_data!B409,3,1)="/",DATE(VALUE(RIGHT(raw_data!B409,4)),VALUE(LEFT(raw_data!B409,2)),VALUE(MID(raw_data!B409,4,2))),IF(MID(raw_data!B409,3,1)="-",DATE(VALUE(RIGHT(raw_data!B409,4)),VALUE(MID(raw_data!B409,4,2)),VALUE(LEFT(raw_data!B409,2))),IF(MID(raw_data!B409,5,1)="-",DATE(VALUE(LEFT(raw_data!B409,4)),VALUE(MID(raw_data!B409,6,2)),VALUE(RIGHT(raw_data!B409,2))),DATE(VALUE(RIGHT(raw_data!B409,4)),MATCH(MID(raw_data!B409,4,3),{"Jan","Feb","Mar","Apr","May","Jun","Jul","Aug","Sep","Oct","Nov","Dec"},0),VALUE(LEFT(raw_data!B409,2)))))),"")</f>
        <v>45424</v>
      </c>
      <c r="C409" s="4" t="n">
        <f aca="false">IFERROR(IF(MID(raw_data!C409,3,1)="/",DATE(VALUE(RIGHT(raw_data!C409,4)),VALUE(LEFT(raw_data!C409,2)),VALUE(MID(raw_data!C409,4,2))),IF(MID(raw_data!C409,3,1)="-",DATE(VALUE(RIGHT(raw_data!C409,4)),VALUE(MID(raw_data!C409,4,2)),VALUE(LEFT(raw_data!C409,2))),IF(MID(raw_data!C409,5,1)="-",DATE(VALUE(LEFT(raw_data!C409,4)),VALUE(MID(raw_data!C409,6,2)),VALUE(RIGHT(raw_data!C409,2))),DATE(VALUE(RIGHT(raw_data!C409,4)),MATCH(MID(raw_data!C409,4,3),{"Jan","Feb","Mar","Apr","May","Jun","Jul","Aug","Sep","Oct","Nov","Dec"},0),VALUE(LEFT(raw_data!C409,2)))))),"")</f>
        <v>45425</v>
      </c>
      <c r="D409" s="3" t="str">
        <f aca="false">IF(TRIM(raw_data!B409)="","Missing",IF(B409="","Invalid/Unrecognized","Valid"))</f>
        <v>Valid</v>
      </c>
      <c r="E409" s="3" t="str">
        <f aca="false">IF(TRIM(raw_data!C409)="","Missing",IF(C409="","Invalid/Unrecognized","Valid"))</f>
        <v>Valid</v>
      </c>
      <c r="F409" s="5" t="n">
        <f aca="false">IF(OR(B409="",C409=""),"",C409-B409)</f>
        <v>1</v>
      </c>
      <c r="G409" s="3" t="str">
        <f aca="false">IF(F409="","N/A",IF(F409&lt;0,"Invalid - Ship Before Order","OK"))</f>
        <v>OK</v>
      </c>
      <c r="H409" s="3" t="str">
        <f aca="false">raw_data!D409</f>
        <v>CUST-8520</v>
      </c>
      <c r="I409" s="3" t="str">
        <f aca="false">PROPER(TRIM(raw_data!E409))</f>
        <v>Rahul Verma</v>
      </c>
      <c r="J409" s="3" t="str">
        <f aca="false">PROPER(TRIM(raw_data!F409))</f>
        <v>Corporate</v>
      </c>
      <c r="K409" s="3" t="str">
        <f aca="false">IF(TRIM(raw_data!G409)="","Unknown",PROPER(TRIM(raw_data!G409)))</f>
        <v>West</v>
      </c>
      <c r="L409" s="3" t="str">
        <f aca="false">IF(TRIM(raw_data!G409)="","Filled - Unknown","OK")</f>
        <v>OK</v>
      </c>
      <c r="M409" s="3" t="str">
        <f aca="false">PROPER(TRIM(raw_data!H409))</f>
        <v>Goa</v>
      </c>
      <c r="N409" s="3" t="str">
        <f aca="false">PROPER(TRIM(raw_data!I409))</f>
        <v>Panaji</v>
      </c>
      <c r="O409" s="3" t="str">
        <f aca="false">PROPER(TRIM(raw_data!J409))</f>
        <v>Office Supplies</v>
      </c>
      <c r="P409" s="3" t="str">
        <f aca="false">PROPER(TRIM(raw_data!K409))</f>
        <v>Labels</v>
      </c>
      <c r="Q409" s="3" t="str">
        <f aca="false">TRIM(raw_data!L409)</f>
        <v>Smart Labels 261</v>
      </c>
      <c r="R409" s="3" t="str">
        <f aca="false">IF(TRIM(raw_data!M409)="","Unknown",PROPER(TRIM(raw_data!M409)))</f>
        <v>Second Class</v>
      </c>
      <c r="S409" s="3" t="str">
        <f aca="false">IF(TRIM(raw_data!M409)="","Filled - Unknown","OK")</f>
        <v>OK</v>
      </c>
      <c r="T409" s="6" t="n">
        <f aca="false">raw_data!N409</f>
        <v>3</v>
      </c>
      <c r="U409" s="7" t="n">
        <f aca="false">raw_data!O409</f>
        <v>2644.55</v>
      </c>
      <c r="V409" s="8" t="n">
        <f aca="false">raw_data!P409</f>
        <v>0</v>
      </c>
      <c r="W409" s="8" t="n">
        <f aca="false">IF(raw_data!P409="",0,IF(ISTEXT(raw_data!P409),IF(RIGHT(raw_data!P409,1)="%",VALUE(LEFT(raw_data!P409,LEN(raw_data!P409)-1))/100,VALUE(raw_data!P409)),raw_data!P409))</f>
        <v>0</v>
      </c>
      <c r="X409" s="3" t="str">
        <f aca="false">IF(raw_data!P409="","Missing - Defaulted to 0",IF(W409&lt;0,"Negative - Invalid",IF(W409&gt;0.3,"Above Allowed Range - Invalid","Valid")))</f>
        <v>Valid</v>
      </c>
      <c r="Y409" s="7" t="n">
        <f aca="false">raw_data!Q409</f>
        <v>7933.65</v>
      </c>
      <c r="Z409" s="7" t="n">
        <f aca="false">raw_data!R409</f>
        <v>5698.42</v>
      </c>
      <c r="AA409" s="7" t="n">
        <f aca="false">raw_data!S409</f>
        <v>2235.23</v>
      </c>
      <c r="AB409" s="3" t="str">
        <f aca="false">PROPER(TRIM(raw_data!T409))</f>
        <v>Paid</v>
      </c>
      <c r="AC409" s="3" t="str">
        <f aca="false">PROPER(TRIM(raw_data!U409))</f>
        <v>Completed</v>
      </c>
      <c r="AD409" s="7" t="n">
        <f aca="false">T409*U409*(1-W409)</f>
        <v>7933.65</v>
      </c>
      <c r="AE409" s="7" t="n">
        <f aca="false">AD409-Z409</f>
        <v>2235.23</v>
      </c>
      <c r="AF409" s="8" t="n">
        <f aca="false">IF(AD409=0,0,AE409/AD409)</f>
        <v>0.281740434730547</v>
      </c>
      <c r="AG409" s="3" t="str">
        <f aca="false">IF(ABS(Y409-AD409)&gt;1,"Mismatch","OK")</f>
        <v>OK</v>
      </c>
      <c r="AH409" s="3" t="str">
        <f aca="false">IF(ABS(AA409-AE409)&gt;1,"Mismatch","OK")</f>
        <v>OK</v>
      </c>
      <c r="AI409" s="6" t="n">
        <f aca="false">IF(B409="","",MONTH(B409))</f>
        <v>5</v>
      </c>
      <c r="AJ409" s="6" t="n">
        <f aca="false">IF(B409="","",YEAR(B409))</f>
        <v>2024</v>
      </c>
      <c r="AK409" s="3" t="str">
        <f aca="false">IF(COUNTIF(raw_data!$A$2:$A$913,A409)&gt;1,"Conflicting Duplicate - Flagged for Review","Unique")</f>
        <v>Unique</v>
      </c>
      <c r="AL409" s="3" t="str">
        <f aca="false">IF(AB409="Refunded","Yes","No")</f>
        <v>No</v>
      </c>
      <c r="AM409" s="3" t="str">
        <f aca="false">IF(OR(AC409&lt;&gt;"Completed",AB409="Failed"),"Excluded","Included")</f>
        <v>Included</v>
      </c>
      <c r="AN409" s="3" t="str">
        <f aca="false">IF(OR(D409="Invalid/Unrecognized",E409="Invalid/Unrecognized",G409="Invalid - Ship Before Order",X409="Negative - Invalid",X409="Above Allowed Range - Invalid",AG409="Mismatch",AH409="Mismatch",AK409="Conflicting Duplicate - Flagged for Review"),"Invalid",IF(OR(L409="Filled - Unknown",S409="Filled - Unknown",X409="Missing - Defaulted to 0",AL409="Yes",AC409="Cancelled",AC409="Returned"),"Warning","Clean"))</f>
        <v>Clean</v>
      </c>
    </row>
    <row r="410" customFormat="false" ht="15" hidden="false" customHeight="false" outlineLevel="0" collapsed="false">
      <c r="A410" s="3" t="str">
        <f aca="false">raw_data!A410</f>
        <v>ORD-2025-10409</v>
      </c>
      <c r="B410" s="4" t="n">
        <f aca="false">IFERROR(IF(MID(raw_data!B410,3,1)="/",DATE(VALUE(RIGHT(raw_data!B410,4)),VALUE(LEFT(raw_data!B410,2)),VALUE(MID(raw_data!B410,4,2))),IF(MID(raw_data!B410,3,1)="-",DATE(VALUE(RIGHT(raw_data!B410,4)),VALUE(MID(raw_data!B410,4,2)),VALUE(LEFT(raw_data!B410,2))),IF(MID(raw_data!B410,5,1)="-",DATE(VALUE(LEFT(raw_data!B410,4)),VALUE(MID(raw_data!B410,6,2)),VALUE(RIGHT(raw_data!B410,2))),DATE(VALUE(RIGHT(raw_data!B410,4)),MATCH(MID(raw_data!B410,4,3),{"Jan","Feb","Mar","Apr","May","Jun","Jul","Aug","Sep","Oct","Nov","Dec"},0),VALUE(LEFT(raw_data!B410,2)))))),"")</f>
        <v>45870</v>
      </c>
      <c r="C410" s="4" t="n">
        <f aca="false">IFERROR(IF(MID(raw_data!C410,3,1)="/",DATE(VALUE(RIGHT(raw_data!C410,4)),VALUE(LEFT(raw_data!C410,2)),VALUE(MID(raw_data!C410,4,2))),IF(MID(raw_data!C410,3,1)="-",DATE(VALUE(RIGHT(raw_data!C410,4)),VALUE(MID(raw_data!C410,4,2)),VALUE(LEFT(raw_data!C410,2))),IF(MID(raw_data!C410,5,1)="-",DATE(VALUE(LEFT(raw_data!C410,4)),VALUE(MID(raw_data!C410,6,2)),VALUE(RIGHT(raw_data!C410,2))),DATE(VALUE(RIGHT(raw_data!C410,4)),MATCH(MID(raw_data!C410,4,3),{"Jan","Feb","Mar","Apr","May","Jun","Jul","Aug","Sep","Oct","Nov","Dec"},0),VALUE(LEFT(raw_data!C410,2)))))),"")</f>
        <v>45872</v>
      </c>
      <c r="D410" s="3" t="str">
        <f aca="false">IF(TRIM(raw_data!B410)="","Missing",IF(B410="","Invalid/Unrecognized","Valid"))</f>
        <v>Valid</v>
      </c>
      <c r="E410" s="3" t="str">
        <f aca="false">IF(TRIM(raw_data!C410)="","Missing",IF(C410="","Invalid/Unrecognized","Valid"))</f>
        <v>Valid</v>
      </c>
      <c r="F410" s="5" t="n">
        <f aca="false">IF(OR(B410="",C410=""),"",C410-B410)</f>
        <v>2</v>
      </c>
      <c r="G410" s="3" t="str">
        <f aca="false">IF(F410="","N/A",IF(F410&lt;0,"Invalid - Ship Before Order","OK"))</f>
        <v>OK</v>
      </c>
      <c r="H410" s="3" t="str">
        <f aca="false">raw_data!D410</f>
        <v>CUST-5036</v>
      </c>
      <c r="I410" s="3" t="str">
        <f aca="false">PROPER(TRIM(raw_data!E410))</f>
        <v>Sneha Kapoor</v>
      </c>
      <c r="J410" s="3" t="str">
        <f aca="false">PROPER(TRIM(raw_data!F410))</f>
        <v>Consumer</v>
      </c>
      <c r="K410" s="3" t="str">
        <f aca="false">IF(TRIM(raw_data!G410)="","Unknown",PROPER(TRIM(raw_data!G410)))</f>
        <v>West</v>
      </c>
      <c r="L410" s="3" t="str">
        <f aca="false">IF(TRIM(raw_data!G410)="","Filled - Unknown","OK")</f>
        <v>OK</v>
      </c>
      <c r="M410" s="3" t="str">
        <f aca="false">PROPER(TRIM(raw_data!H410))</f>
        <v>Maharashtra</v>
      </c>
      <c r="N410" s="3" t="str">
        <f aca="false">PROPER(TRIM(raw_data!I410))</f>
        <v>Mumbai</v>
      </c>
      <c r="O410" s="3" t="str">
        <f aca="false">PROPER(TRIM(raw_data!J410))</f>
        <v>Furniture</v>
      </c>
      <c r="P410" s="3" t="str">
        <f aca="false">PROPER(TRIM(raw_data!K410))</f>
        <v>Chairs</v>
      </c>
      <c r="Q410" s="3" t="str">
        <f aca="false">TRIM(raw_data!L410)</f>
        <v>Max Chairs 765</v>
      </c>
      <c r="R410" s="3" t="str">
        <f aca="false">IF(TRIM(raw_data!M410)="","Unknown",PROPER(TRIM(raw_data!M410)))</f>
        <v>First Class</v>
      </c>
      <c r="S410" s="3" t="str">
        <f aca="false">IF(TRIM(raw_data!M410)="","Filled - Unknown","OK")</f>
        <v>OK</v>
      </c>
      <c r="T410" s="6" t="n">
        <f aca="false">raw_data!N410</f>
        <v>4</v>
      </c>
      <c r="U410" s="7" t="n">
        <f aca="false">raw_data!O410</f>
        <v>1773.46</v>
      </c>
      <c r="V410" s="8" t="n">
        <f aca="false">raw_data!P410</f>
        <v>0</v>
      </c>
      <c r="W410" s="8" t="n">
        <f aca="false">IF(raw_data!P410="",0,IF(ISTEXT(raw_data!P410),IF(RIGHT(raw_data!P410,1)="%",VALUE(LEFT(raw_data!P410,LEN(raw_data!P410)-1))/100,VALUE(raw_data!P410)),raw_data!P410))</f>
        <v>0</v>
      </c>
      <c r="X410" s="3" t="str">
        <f aca="false">IF(raw_data!P410="","Missing - Defaulted to 0",IF(W410&lt;0,"Negative - Invalid",IF(W410&gt;0.3,"Above Allowed Range - Invalid","Valid")))</f>
        <v>Valid</v>
      </c>
      <c r="Y410" s="7" t="n">
        <f aca="false">raw_data!Q410</f>
        <v>7093.84</v>
      </c>
      <c r="Z410" s="7" t="n">
        <f aca="false">raw_data!R410</f>
        <v>4587.49</v>
      </c>
      <c r="AA410" s="7" t="n">
        <f aca="false">raw_data!S410</f>
        <v>2506.35</v>
      </c>
      <c r="AB410" s="3" t="str">
        <f aca="false">PROPER(TRIM(raw_data!T410))</f>
        <v>Failed</v>
      </c>
      <c r="AC410" s="3" t="str">
        <f aca="false">PROPER(TRIM(raw_data!U410))</f>
        <v>Returned</v>
      </c>
      <c r="AD410" s="7" t="n">
        <f aca="false">T410*U410*(1-W410)</f>
        <v>7093.84</v>
      </c>
      <c r="AE410" s="7" t="n">
        <f aca="false">AD410-Z410</f>
        <v>2506.35</v>
      </c>
      <c r="AF410" s="8" t="n">
        <f aca="false">IF(AD410=0,0,AE410/AD410)</f>
        <v>0.353313579105252</v>
      </c>
      <c r="AG410" s="3" t="str">
        <f aca="false">IF(ABS(Y410-AD410)&gt;1,"Mismatch","OK")</f>
        <v>OK</v>
      </c>
      <c r="AH410" s="3" t="str">
        <f aca="false">IF(ABS(AA410-AE410)&gt;1,"Mismatch","OK")</f>
        <v>OK</v>
      </c>
      <c r="AI410" s="6" t="n">
        <f aca="false">IF(B410="","",MONTH(B410))</f>
        <v>8</v>
      </c>
      <c r="AJ410" s="6" t="n">
        <f aca="false">IF(B410="","",YEAR(B410))</f>
        <v>2025</v>
      </c>
      <c r="AK410" s="3" t="str">
        <f aca="false">IF(COUNTIF(raw_data!$A$2:$A$913,A410)&gt;1,"Conflicting Duplicate - Flagged for Review","Unique")</f>
        <v>Unique</v>
      </c>
      <c r="AL410" s="3" t="str">
        <f aca="false">IF(AB410="Refunded","Yes","No")</f>
        <v>No</v>
      </c>
      <c r="AM410" s="3" t="str">
        <f aca="false">IF(OR(AC410&lt;&gt;"Completed",AB410="Failed"),"Excluded","Included")</f>
        <v>Excluded</v>
      </c>
      <c r="AN410" s="3" t="str">
        <f aca="false">IF(OR(D410="Invalid/Unrecognized",E410="Invalid/Unrecognized",G410="Invalid - Ship Before Order",X410="Negative - Invalid",X410="Above Allowed Range - Invalid",AG410="Mismatch",AH410="Mismatch",AK410="Conflicting Duplicate - Flagged for Review"),"Invalid",IF(OR(L410="Filled - Unknown",S410="Filled - Unknown",X410="Missing - Defaulted to 0",AL410="Yes",AC410="Cancelled",AC410="Returned"),"Warning","Clean"))</f>
        <v>Warning</v>
      </c>
    </row>
    <row r="411" customFormat="false" ht="15" hidden="false" customHeight="false" outlineLevel="0" collapsed="false">
      <c r="A411" s="3" t="str">
        <f aca="false">raw_data!A411</f>
        <v>ORD-2025-10410</v>
      </c>
      <c r="B411" s="4" t="n">
        <f aca="false">IFERROR(IF(MID(raw_data!B411,3,1)="/",DATE(VALUE(RIGHT(raw_data!B411,4)),VALUE(LEFT(raw_data!B411,2)),VALUE(MID(raw_data!B411,4,2))),IF(MID(raw_data!B411,3,1)="-",DATE(VALUE(RIGHT(raw_data!B411,4)),VALUE(MID(raw_data!B411,4,2)),VALUE(LEFT(raw_data!B411,2))),IF(MID(raw_data!B411,5,1)="-",DATE(VALUE(LEFT(raw_data!B411,4)),VALUE(MID(raw_data!B411,6,2)),VALUE(RIGHT(raw_data!B411,2))),DATE(VALUE(RIGHT(raw_data!B411,4)),MATCH(MID(raw_data!B411,4,3),{"Jan","Feb","Mar","Apr","May","Jun","Jul","Aug","Sep","Oct","Nov","Dec"},0),VALUE(LEFT(raw_data!B411,2)))))),"")</f>
        <v>45701</v>
      </c>
      <c r="C411" s="4" t="n">
        <f aca="false">IFERROR(IF(MID(raw_data!C411,3,1)="/",DATE(VALUE(RIGHT(raw_data!C411,4)),VALUE(LEFT(raw_data!C411,2)),VALUE(MID(raw_data!C411,4,2))),IF(MID(raw_data!C411,3,1)="-",DATE(VALUE(RIGHT(raw_data!C411,4)),VALUE(MID(raw_data!C411,4,2)),VALUE(LEFT(raw_data!C411,2))),IF(MID(raw_data!C411,5,1)="-",DATE(VALUE(LEFT(raw_data!C411,4)),VALUE(MID(raw_data!C411,6,2)),VALUE(RIGHT(raw_data!C411,2))),DATE(VALUE(RIGHT(raw_data!C411,4)),MATCH(MID(raw_data!C411,4,3),{"Jan","Feb","Mar","Apr","May","Jun","Jul","Aug","Sep","Oct","Nov","Dec"},0),VALUE(LEFT(raw_data!C411,2)))))),"")</f>
        <v>45703</v>
      </c>
      <c r="D411" s="3" t="str">
        <f aca="false">IF(TRIM(raw_data!B411)="","Missing",IF(B411="","Invalid/Unrecognized","Valid"))</f>
        <v>Valid</v>
      </c>
      <c r="E411" s="3" t="str">
        <f aca="false">IF(TRIM(raw_data!C411)="","Missing",IF(C411="","Invalid/Unrecognized","Valid"))</f>
        <v>Valid</v>
      </c>
      <c r="F411" s="5" t="n">
        <f aca="false">IF(OR(B411="",C411=""),"",C411-B411)</f>
        <v>2</v>
      </c>
      <c r="G411" s="3" t="str">
        <f aca="false">IF(F411="","N/A",IF(F411&lt;0,"Invalid - Ship Before Order","OK"))</f>
        <v>OK</v>
      </c>
      <c r="H411" s="3" t="str">
        <f aca="false">raw_data!D411</f>
        <v>CUST-7721</v>
      </c>
      <c r="I411" s="3" t="str">
        <f aca="false">PROPER(TRIM(raw_data!E411))</f>
        <v>Karan Malhotra</v>
      </c>
      <c r="J411" s="3" t="str">
        <f aca="false">PROPER(TRIM(raw_data!F411))</f>
        <v>Consumer</v>
      </c>
      <c r="K411" s="3" t="str">
        <f aca="false">IF(TRIM(raw_data!G411)="","Unknown",PROPER(TRIM(raw_data!G411)))</f>
        <v>East</v>
      </c>
      <c r="L411" s="3" t="str">
        <f aca="false">IF(TRIM(raw_data!G411)="","Filled - Unknown","OK")</f>
        <v>OK</v>
      </c>
      <c r="M411" s="3" t="str">
        <f aca="false">PROPER(TRIM(raw_data!H411))</f>
        <v>Assam</v>
      </c>
      <c r="N411" s="3" t="str">
        <f aca="false">PROPER(TRIM(raw_data!I411))</f>
        <v>Guwahati</v>
      </c>
      <c r="O411" s="3" t="str">
        <f aca="false">PROPER(TRIM(raw_data!J411))</f>
        <v>Technology</v>
      </c>
      <c r="P411" s="3" t="str">
        <f aca="false">PROPER(TRIM(raw_data!K411))</f>
        <v>Accessories</v>
      </c>
      <c r="Q411" s="3" t="str">
        <f aca="false">TRIM(raw_data!L411)</f>
        <v>Pro Accessories 686</v>
      </c>
      <c r="R411" s="3" t="str">
        <f aca="false">IF(TRIM(raw_data!M411)="","Unknown",PROPER(TRIM(raw_data!M411)))</f>
        <v>Same Day</v>
      </c>
      <c r="S411" s="3" t="str">
        <f aca="false">IF(TRIM(raw_data!M411)="","Filled - Unknown","OK")</f>
        <v>OK</v>
      </c>
      <c r="T411" s="6" t="n">
        <f aca="false">raw_data!N411</f>
        <v>1</v>
      </c>
      <c r="U411" s="7" t="n">
        <f aca="false">raw_data!O411</f>
        <v>3025.46</v>
      </c>
      <c r="V411" s="8" t="n">
        <f aca="false">raw_data!P411</f>
        <v>0.25</v>
      </c>
      <c r="W411" s="8" t="n">
        <f aca="false">IF(raw_data!P411="",0,IF(ISTEXT(raw_data!P411),IF(RIGHT(raw_data!P411,1)="%",VALUE(LEFT(raw_data!P411,LEN(raw_data!P411)-1))/100,VALUE(raw_data!P411)),raw_data!P411))</f>
        <v>0.25</v>
      </c>
      <c r="X411" s="3" t="str">
        <f aca="false">IF(raw_data!P411="","Missing - Defaulted to 0",IF(W411&lt;0,"Negative - Invalid",IF(W411&gt;0.3,"Above Allowed Range - Invalid","Valid")))</f>
        <v>Valid</v>
      </c>
      <c r="Y411" s="7" t="n">
        <f aca="false">raw_data!Q411</f>
        <v>2269.1</v>
      </c>
      <c r="Z411" s="7" t="n">
        <f aca="false">raw_data!R411</f>
        <v>1593.59</v>
      </c>
      <c r="AA411" s="7" t="n">
        <f aca="false">raw_data!S411</f>
        <v>675.51</v>
      </c>
      <c r="AB411" s="3" t="str">
        <f aca="false">PROPER(TRIM(raw_data!T411))</f>
        <v>Refunded</v>
      </c>
      <c r="AC411" s="3" t="str">
        <f aca="false">PROPER(TRIM(raw_data!U411))</f>
        <v>Returned</v>
      </c>
      <c r="AD411" s="7" t="n">
        <f aca="false">T411*U411*(1-W411)</f>
        <v>2269.095</v>
      </c>
      <c r="AE411" s="7" t="n">
        <f aca="false">AD411-Z411</f>
        <v>675.505</v>
      </c>
      <c r="AF411" s="8" t="n">
        <f aca="false">IF(AD411=0,0,AE411/AD411)</f>
        <v>0.297697980913095</v>
      </c>
      <c r="AG411" s="3" t="str">
        <f aca="false">IF(ABS(Y411-AD411)&gt;1,"Mismatch","OK")</f>
        <v>OK</v>
      </c>
      <c r="AH411" s="3" t="str">
        <f aca="false">IF(ABS(AA411-AE411)&gt;1,"Mismatch","OK")</f>
        <v>OK</v>
      </c>
      <c r="AI411" s="6" t="n">
        <f aca="false">IF(B411="","",MONTH(B411))</f>
        <v>2</v>
      </c>
      <c r="AJ411" s="6" t="n">
        <f aca="false">IF(B411="","",YEAR(B411))</f>
        <v>2025</v>
      </c>
      <c r="AK411" s="3" t="str">
        <f aca="false">IF(COUNTIF(raw_data!$A$2:$A$913,A411)&gt;1,"Conflicting Duplicate - Flagged for Review","Unique")</f>
        <v>Unique</v>
      </c>
      <c r="AL411" s="3" t="str">
        <f aca="false">IF(AB411="Refunded","Yes","No")</f>
        <v>Yes</v>
      </c>
      <c r="AM411" s="3" t="str">
        <f aca="false">IF(OR(AC411&lt;&gt;"Completed",AB411="Failed"),"Excluded","Included")</f>
        <v>Excluded</v>
      </c>
      <c r="AN411" s="3" t="str">
        <f aca="false">IF(OR(D411="Invalid/Unrecognized",E411="Invalid/Unrecognized",G411="Invalid - Ship Before Order",X411="Negative - Invalid",X411="Above Allowed Range - Invalid",AG411="Mismatch",AH411="Mismatch",AK411="Conflicting Duplicate - Flagged for Review"),"Invalid",IF(OR(L411="Filled - Unknown",S411="Filled - Unknown",X411="Missing - Defaulted to 0",AL411="Yes",AC411="Cancelled",AC411="Returned"),"Warning","Clean"))</f>
        <v>Warning</v>
      </c>
    </row>
    <row r="412" customFormat="false" ht="15" hidden="false" customHeight="false" outlineLevel="0" collapsed="false">
      <c r="A412" s="3" t="str">
        <f aca="false">raw_data!A412</f>
        <v>ORD-2024-10411</v>
      </c>
      <c r="B412" s="4" t="n">
        <f aca="false">IFERROR(IF(MID(raw_data!B412,3,1)="/",DATE(VALUE(RIGHT(raw_data!B412,4)),VALUE(LEFT(raw_data!B412,2)),VALUE(MID(raw_data!B412,4,2))),IF(MID(raw_data!B412,3,1)="-",DATE(VALUE(RIGHT(raw_data!B412,4)),VALUE(MID(raw_data!B412,4,2)),VALUE(LEFT(raw_data!B412,2))),IF(MID(raw_data!B412,5,1)="-",DATE(VALUE(LEFT(raw_data!B412,4)),VALUE(MID(raw_data!B412,6,2)),VALUE(RIGHT(raw_data!B412,2))),DATE(VALUE(RIGHT(raw_data!B412,4)),MATCH(MID(raw_data!B412,4,3),{"Jan","Feb","Mar","Apr","May","Jun","Jul","Aug","Sep","Oct","Nov","Dec"},0),VALUE(LEFT(raw_data!B412,2)))))),"")</f>
        <v>45394</v>
      </c>
      <c r="C412" s="4" t="n">
        <f aca="false">IFERROR(IF(MID(raw_data!C412,3,1)="/",DATE(VALUE(RIGHT(raw_data!C412,4)),VALUE(LEFT(raw_data!C412,2)),VALUE(MID(raw_data!C412,4,2))),IF(MID(raw_data!C412,3,1)="-",DATE(VALUE(RIGHT(raw_data!C412,4)),VALUE(MID(raw_data!C412,4,2)),VALUE(LEFT(raw_data!C412,2))),IF(MID(raw_data!C412,5,1)="-",DATE(VALUE(LEFT(raw_data!C412,4)),VALUE(MID(raw_data!C412,6,2)),VALUE(RIGHT(raw_data!C412,2))),DATE(VALUE(RIGHT(raw_data!C412,4)),MATCH(MID(raw_data!C412,4,3),{"Jan","Feb","Mar","Apr","May","Jun","Jul","Aug","Sep","Oct","Nov","Dec"},0),VALUE(LEFT(raw_data!C412,2)))))),"")</f>
        <v>45402</v>
      </c>
      <c r="D412" s="3" t="str">
        <f aca="false">IF(TRIM(raw_data!B412)="","Missing",IF(B412="","Invalid/Unrecognized","Valid"))</f>
        <v>Valid</v>
      </c>
      <c r="E412" s="3" t="str">
        <f aca="false">IF(TRIM(raw_data!C412)="","Missing",IF(C412="","Invalid/Unrecognized","Valid"))</f>
        <v>Valid</v>
      </c>
      <c r="F412" s="5" t="n">
        <f aca="false">IF(OR(B412="",C412=""),"",C412-B412)</f>
        <v>8</v>
      </c>
      <c r="G412" s="3" t="str">
        <f aca="false">IF(F412="","N/A",IF(F412&lt;0,"Invalid - Ship Before Order","OK"))</f>
        <v>OK</v>
      </c>
      <c r="H412" s="3" t="str">
        <f aca="false">raw_data!D412</f>
        <v>CUST-9495</v>
      </c>
      <c r="I412" s="3" t="str">
        <f aca="false">PROPER(TRIM(raw_data!E412))</f>
        <v>Diya Patel</v>
      </c>
      <c r="J412" s="3" t="str">
        <f aca="false">PROPER(TRIM(raw_data!F412))</f>
        <v>Consumer</v>
      </c>
      <c r="K412" s="3" t="str">
        <f aca="false">IF(TRIM(raw_data!G412)="","Unknown",PROPER(TRIM(raw_data!G412)))</f>
        <v>West</v>
      </c>
      <c r="L412" s="3" t="str">
        <f aca="false">IF(TRIM(raw_data!G412)="","Filled - Unknown","OK")</f>
        <v>OK</v>
      </c>
      <c r="M412" s="3" t="str">
        <f aca="false">PROPER(TRIM(raw_data!H412))</f>
        <v>Goa</v>
      </c>
      <c r="N412" s="3" t="str">
        <f aca="false">PROPER(TRIM(raw_data!I412))</f>
        <v>Panaji</v>
      </c>
      <c r="O412" s="3" t="str">
        <f aca="false">PROPER(TRIM(raw_data!J412))</f>
        <v>Furniture</v>
      </c>
      <c r="P412" s="3" t="str">
        <f aca="false">PROPER(TRIM(raw_data!K412))</f>
        <v>Tables</v>
      </c>
      <c r="Q412" s="3" t="str">
        <f aca="false">TRIM(raw_data!L412)</f>
        <v>Smart Tables 100</v>
      </c>
      <c r="R412" s="3" t="str">
        <f aca="false">IF(TRIM(raw_data!M412)="","Unknown",PROPER(TRIM(raw_data!M412)))</f>
        <v>First Class</v>
      </c>
      <c r="S412" s="3" t="str">
        <f aca="false">IF(TRIM(raw_data!M412)="","Filled - Unknown","OK")</f>
        <v>OK</v>
      </c>
      <c r="T412" s="6" t="n">
        <f aca="false">raw_data!N412</f>
        <v>9</v>
      </c>
      <c r="U412" s="7" t="n">
        <f aca="false">raw_data!O412</f>
        <v>1302.61</v>
      </c>
      <c r="V412" s="8" t="n">
        <f aca="false">raw_data!P412</f>
        <v>0.2</v>
      </c>
      <c r="W412" s="8" t="n">
        <f aca="false">IF(raw_data!P412="",0,IF(ISTEXT(raw_data!P412),IF(RIGHT(raw_data!P412,1)="%",VALUE(LEFT(raw_data!P412,LEN(raw_data!P412)-1))/100,VALUE(raw_data!P412)),raw_data!P412))</f>
        <v>0.2</v>
      </c>
      <c r="X412" s="3" t="str">
        <f aca="false">IF(raw_data!P412="","Missing - Defaulted to 0",IF(W412&lt;0,"Negative - Invalid",IF(W412&gt;0.3,"Above Allowed Range - Invalid","Valid")))</f>
        <v>Valid</v>
      </c>
      <c r="Y412" s="7" t="n">
        <f aca="false">raw_data!Q412</f>
        <v>9378.79</v>
      </c>
      <c r="Z412" s="7" t="n">
        <f aca="false">raw_data!R412</f>
        <v>6774.48</v>
      </c>
      <c r="AA412" s="7" t="n">
        <f aca="false">raw_data!S412</f>
        <v>2604.31</v>
      </c>
      <c r="AB412" s="3" t="str">
        <f aca="false">PROPER(TRIM(raw_data!T412))</f>
        <v>Paid</v>
      </c>
      <c r="AC412" s="3" t="str">
        <f aca="false">PROPER(TRIM(raw_data!U412))</f>
        <v>Completed</v>
      </c>
      <c r="AD412" s="7" t="n">
        <f aca="false">T412*U412*(1-W412)</f>
        <v>9378.792</v>
      </c>
      <c r="AE412" s="7" t="n">
        <f aca="false">AD412-Z412</f>
        <v>2604.312</v>
      </c>
      <c r="AF412" s="8" t="n">
        <f aca="false">IF(AD412=0,0,AE412/AD412)</f>
        <v>0.277680963603842</v>
      </c>
      <c r="AG412" s="3" t="str">
        <f aca="false">IF(ABS(Y412-AD412)&gt;1,"Mismatch","OK")</f>
        <v>OK</v>
      </c>
      <c r="AH412" s="3" t="str">
        <f aca="false">IF(ABS(AA412-AE412)&gt;1,"Mismatch","OK")</f>
        <v>OK</v>
      </c>
      <c r="AI412" s="6" t="n">
        <f aca="false">IF(B412="","",MONTH(B412))</f>
        <v>4</v>
      </c>
      <c r="AJ412" s="6" t="n">
        <f aca="false">IF(B412="","",YEAR(B412))</f>
        <v>2024</v>
      </c>
      <c r="AK412" s="3" t="str">
        <f aca="false">IF(COUNTIF(raw_data!$A$2:$A$913,A412)&gt;1,"Conflicting Duplicate - Flagged for Review","Unique")</f>
        <v>Unique</v>
      </c>
      <c r="AL412" s="3" t="str">
        <f aca="false">IF(AB412="Refunded","Yes","No")</f>
        <v>No</v>
      </c>
      <c r="AM412" s="3" t="str">
        <f aca="false">IF(OR(AC412&lt;&gt;"Completed",AB412="Failed"),"Excluded","Included")</f>
        <v>Included</v>
      </c>
      <c r="AN412" s="3" t="str">
        <f aca="false">IF(OR(D412="Invalid/Unrecognized",E412="Invalid/Unrecognized",G412="Invalid - Ship Before Order",X412="Negative - Invalid",X412="Above Allowed Range - Invalid",AG412="Mismatch",AH412="Mismatch",AK412="Conflicting Duplicate - Flagged for Review"),"Invalid",IF(OR(L412="Filled - Unknown",S412="Filled - Unknown",X412="Missing - Defaulted to 0",AL412="Yes",AC412="Cancelled",AC412="Returned"),"Warning","Clean"))</f>
        <v>Clean</v>
      </c>
    </row>
    <row r="413" customFormat="false" ht="15" hidden="false" customHeight="false" outlineLevel="0" collapsed="false">
      <c r="A413" s="3" t="str">
        <f aca="false">raw_data!A413</f>
        <v>ORD-2025-10412</v>
      </c>
      <c r="B413" s="4" t="n">
        <f aca="false">IFERROR(IF(MID(raw_data!B413,3,1)="/",DATE(VALUE(RIGHT(raw_data!B413,4)),VALUE(LEFT(raw_data!B413,2)),VALUE(MID(raw_data!B413,4,2))),IF(MID(raw_data!B413,3,1)="-",DATE(VALUE(RIGHT(raw_data!B413,4)),VALUE(MID(raw_data!B413,4,2)),VALUE(LEFT(raw_data!B413,2))),IF(MID(raw_data!B413,5,1)="-",DATE(VALUE(LEFT(raw_data!B413,4)),VALUE(MID(raw_data!B413,6,2)),VALUE(RIGHT(raw_data!B413,2))),DATE(VALUE(RIGHT(raw_data!B413,4)),MATCH(MID(raw_data!B413,4,3),{"Jan","Feb","Mar","Apr","May","Jun","Jul","Aug","Sep","Oct","Nov","Dec"},0),VALUE(LEFT(raw_data!B413,2)))))),"")</f>
        <v>45892</v>
      </c>
      <c r="C413" s="4" t="n">
        <f aca="false">IFERROR(IF(MID(raw_data!C413,3,1)="/",DATE(VALUE(RIGHT(raw_data!C413,4)),VALUE(LEFT(raw_data!C413,2)),VALUE(MID(raw_data!C413,4,2))),IF(MID(raw_data!C413,3,1)="-",DATE(VALUE(RIGHT(raw_data!C413,4)),VALUE(MID(raw_data!C413,4,2)),VALUE(LEFT(raw_data!C413,2))),IF(MID(raw_data!C413,5,1)="-",DATE(VALUE(LEFT(raw_data!C413,4)),VALUE(MID(raw_data!C413,6,2)),VALUE(RIGHT(raw_data!C413,2))),DATE(VALUE(RIGHT(raw_data!C413,4)),MATCH(MID(raw_data!C413,4,3),{"Jan","Feb","Mar","Apr","May","Jun","Jul","Aug","Sep","Oct","Nov","Dec"},0),VALUE(LEFT(raw_data!C413,2)))))),"")</f>
        <v>45897</v>
      </c>
      <c r="D413" s="3" t="str">
        <f aca="false">IF(TRIM(raw_data!B413)="","Missing",IF(B413="","Invalid/Unrecognized","Valid"))</f>
        <v>Valid</v>
      </c>
      <c r="E413" s="3" t="str">
        <f aca="false">IF(TRIM(raw_data!C413)="","Missing",IF(C413="","Invalid/Unrecognized","Valid"))</f>
        <v>Valid</v>
      </c>
      <c r="F413" s="5" t="n">
        <f aca="false">IF(OR(B413="",C413=""),"",C413-B413)</f>
        <v>5</v>
      </c>
      <c r="G413" s="3" t="str">
        <f aca="false">IF(F413="","N/A",IF(F413&lt;0,"Invalid - Ship Before Order","OK"))</f>
        <v>OK</v>
      </c>
      <c r="H413" s="3" t="str">
        <f aca="false">raw_data!D413</f>
        <v>CUST-2855</v>
      </c>
      <c r="I413" s="3" t="str">
        <f aca="false">PROPER(TRIM(raw_data!E413))</f>
        <v>Arjun Bose</v>
      </c>
      <c r="J413" s="3" t="str">
        <f aca="false">PROPER(TRIM(raw_data!F413))</f>
        <v>Home Office</v>
      </c>
      <c r="K413" s="3" t="str">
        <f aca="false">IF(TRIM(raw_data!G413)="","Unknown",PROPER(TRIM(raw_data!G413)))</f>
        <v>West</v>
      </c>
      <c r="L413" s="3" t="str">
        <f aca="false">IF(TRIM(raw_data!G413)="","Filled - Unknown","OK")</f>
        <v>OK</v>
      </c>
      <c r="M413" s="3" t="str">
        <f aca="false">PROPER(TRIM(raw_data!H413))</f>
        <v>Rajasthan</v>
      </c>
      <c r="N413" s="3" t="str">
        <f aca="false">PROPER(TRIM(raw_data!I413))</f>
        <v>Udaipur</v>
      </c>
      <c r="O413" s="3" t="str">
        <f aca="false">PROPER(TRIM(raw_data!J413))</f>
        <v>Furniture</v>
      </c>
      <c r="P413" s="3" t="str">
        <f aca="false">PROPER(TRIM(raw_data!K413))</f>
        <v>Tables</v>
      </c>
      <c r="Q413" s="3" t="str">
        <f aca="false">TRIM(raw_data!L413)</f>
        <v>Basic Tables 615</v>
      </c>
      <c r="R413" s="3" t="str">
        <f aca="false">IF(TRIM(raw_data!M413)="","Unknown",PROPER(TRIM(raw_data!M413)))</f>
        <v>First Class</v>
      </c>
      <c r="S413" s="3" t="str">
        <f aca="false">IF(TRIM(raw_data!M413)="","Filled - Unknown","OK")</f>
        <v>OK</v>
      </c>
      <c r="T413" s="6" t="n">
        <f aca="false">raw_data!N413</f>
        <v>1</v>
      </c>
      <c r="U413" s="7" t="n">
        <f aca="false">raw_data!O413</f>
        <v>4167.81</v>
      </c>
      <c r="V413" s="8" t="n">
        <f aca="false">raw_data!P413</f>
        <v>0.2</v>
      </c>
      <c r="W413" s="8" t="n">
        <f aca="false">IF(raw_data!P413="",0,IF(ISTEXT(raw_data!P413),IF(RIGHT(raw_data!P413,1)="%",VALUE(LEFT(raw_data!P413,LEN(raw_data!P413)-1))/100,VALUE(raw_data!P413)),raw_data!P413))</f>
        <v>0.2</v>
      </c>
      <c r="X413" s="3" t="str">
        <f aca="false">IF(raw_data!P413="","Missing - Defaulted to 0",IF(W413&lt;0,"Negative - Invalid",IF(W413&gt;0.3,"Above Allowed Range - Invalid","Valid")))</f>
        <v>Valid</v>
      </c>
      <c r="Y413" s="7" t="n">
        <f aca="false">raw_data!Q413</f>
        <v>3334.25</v>
      </c>
      <c r="Z413" s="7" t="n">
        <f aca="false">raw_data!R413</f>
        <v>2768.77</v>
      </c>
      <c r="AA413" s="7" t="n">
        <f aca="false">raw_data!S413</f>
        <v>565.48</v>
      </c>
      <c r="AB413" s="3" t="str">
        <f aca="false">PROPER(TRIM(raw_data!T413))</f>
        <v>Failed</v>
      </c>
      <c r="AC413" s="3" t="str">
        <f aca="false">PROPER(TRIM(raw_data!U413))</f>
        <v>Returned</v>
      </c>
      <c r="AD413" s="7" t="n">
        <f aca="false">T413*U413*(1-W413)</f>
        <v>3334.248</v>
      </c>
      <c r="AE413" s="7" t="n">
        <f aca="false">AD413-Z413</f>
        <v>565.478000000001</v>
      </c>
      <c r="AF413" s="8" t="n">
        <f aca="false">IF(AD413=0,0,AE413/AD413)</f>
        <v>0.169596862620897</v>
      </c>
      <c r="AG413" s="3" t="str">
        <f aca="false">IF(ABS(Y413-AD413)&gt;1,"Mismatch","OK")</f>
        <v>OK</v>
      </c>
      <c r="AH413" s="3" t="str">
        <f aca="false">IF(ABS(AA413-AE413)&gt;1,"Mismatch","OK")</f>
        <v>OK</v>
      </c>
      <c r="AI413" s="6" t="n">
        <f aca="false">IF(B413="","",MONTH(B413))</f>
        <v>8</v>
      </c>
      <c r="AJ413" s="6" t="n">
        <f aca="false">IF(B413="","",YEAR(B413))</f>
        <v>2025</v>
      </c>
      <c r="AK413" s="3" t="str">
        <f aca="false">IF(COUNTIF(raw_data!$A$2:$A$913,A413)&gt;1,"Conflicting Duplicate - Flagged for Review","Unique")</f>
        <v>Unique</v>
      </c>
      <c r="AL413" s="3" t="str">
        <f aca="false">IF(AB413="Refunded","Yes","No")</f>
        <v>No</v>
      </c>
      <c r="AM413" s="3" t="str">
        <f aca="false">IF(OR(AC413&lt;&gt;"Completed",AB413="Failed"),"Excluded","Included")</f>
        <v>Excluded</v>
      </c>
      <c r="AN413" s="3" t="str">
        <f aca="false">IF(OR(D413="Invalid/Unrecognized",E413="Invalid/Unrecognized",G413="Invalid - Ship Before Order",X413="Negative - Invalid",X413="Above Allowed Range - Invalid",AG413="Mismatch",AH413="Mismatch",AK413="Conflicting Duplicate - Flagged for Review"),"Invalid",IF(OR(L413="Filled - Unknown",S413="Filled - Unknown",X413="Missing - Defaulted to 0",AL413="Yes",AC413="Cancelled",AC413="Returned"),"Warning","Clean"))</f>
        <v>Warning</v>
      </c>
    </row>
    <row r="414" customFormat="false" ht="15" hidden="false" customHeight="false" outlineLevel="0" collapsed="false">
      <c r="A414" s="3" t="str">
        <f aca="false">raw_data!A414</f>
        <v>ORD-2024-10413</v>
      </c>
      <c r="B414" s="4" t="n">
        <f aca="false">IFERROR(IF(MID(raw_data!B414,3,1)="/",DATE(VALUE(RIGHT(raw_data!B414,4)),VALUE(LEFT(raw_data!B414,2)),VALUE(MID(raw_data!B414,4,2))),IF(MID(raw_data!B414,3,1)="-",DATE(VALUE(RIGHT(raw_data!B414,4)),VALUE(MID(raw_data!B414,4,2)),VALUE(LEFT(raw_data!B414,2))),IF(MID(raw_data!B414,5,1)="-",DATE(VALUE(LEFT(raw_data!B414,4)),VALUE(MID(raw_data!B414,6,2)),VALUE(RIGHT(raw_data!B414,2))),DATE(VALUE(RIGHT(raw_data!B414,4)),MATCH(MID(raw_data!B414,4,3),{"Jan","Feb","Mar","Apr","May","Jun","Jul","Aug","Sep","Oct","Nov","Dec"},0),VALUE(LEFT(raw_data!B414,2)))))),"")</f>
        <v>45313</v>
      </c>
      <c r="C414" s="4" t="n">
        <f aca="false">IFERROR(IF(MID(raw_data!C414,3,1)="/",DATE(VALUE(RIGHT(raw_data!C414,4)),VALUE(LEFT(raw_data!C414,2)),VALUE(MID(raw_data!C414,4,2))),IF(MID(raw_data!C414,3,1)="-",DATE(VALUE(RIGHT(raw_data!C414,4)),VALUE(MID(raw_data!C414,4,2)),VALUE(LEFT(raw_data!C414,2))),IF(MID(raw_data!C414,5,1)="-",DATE(VALUE(LEFT(raw_data!C414,4)),VALUE(MID(raw_data!C414,6,2)),VALUE(RIGHT(raw_data!C414,2))),DATE(VALUE(RIGHT(raw_data!C414,4)),MATCH(MID(raw_data!C414,4,3),{"Jan","Feb","Mar","Apr","May","Jun","Jul","Aug","Sep","Oct","Nov","Dec"},0),VALUE(LEFT(raw_data!C414,2)))))),"")</f>
        <v>45321</v>
      </c>
      <c r="D414" s="3" t="str">
        <f aca="false">IF(TRIM(raw_data!B414)="","Missing",IF(B414="","Invalid/Unrecognized","Valid"))</f>
        <v>Valid</v>
      </c>
      <c r="E414" s="3" t="str">
        <f aca="false">IF(TRIM(raw_data!C414)="","Missing",IF(C414="","Invalid/Unrecognized","Valid"))</f>
        <v>Valid</v>
      </c>
      <c r="F414" s="5" t="n">
        <f aca="false">IF(OR(B414="",C414=""),"",C414-B414)</f>
        <v>8</v>
      </c>
      <c r="G414" s="3" t="str">
        <f aca="false">IF(F414="","N/A",IF(F414&lt;0,"Invalid - Ship Before Order","OK"))</f>
        <v>OK</v>
      </c>
      <c r="H414" s="3" t="str">
        <f aca="false">raw_data!D414</f>
        <v>CUST-4329</v>
      </c>
      <c r="I414" s="3" t="str">
        <f aca="false">PROPER(TRIM(raw_data!E414))</f>
        <v>Isha Nair</v>
      </c>
      <c r="J414" s="3" t="str">
        <f aca="false">PROPER(TRIM(raw_data!F414))</f>
        <v>Corporate</v>
      </c>
      <c r="K414" s="3" t="str">
        <f aca="false">IF(TRIM(raw_data!G414)="","Unknown",PROPER(TRIM(raw_data!G414)))</f>
        <v>South</v>
      </c>
      <c r="L414" s="3" t="str">
        <f aca="false">IF(TRIM(raw_data!G414)="","Filled - Unknown","OK")</f>
        <v>OK</v>
      </c>
      <c r="M414" s="3" t="str">
        <f aca="false">PROPER(TRIM(raw_data!H414))</f>
        <v>Karnataka</v>
      </c>
      <c r="N414" s="3" t="str">
        <f aca="false">PROPER(TRIM(raw_data!I414))</f>
        <v>Bengaluru</v>
      </c>
      <c r="O414" s="3" t="str">
        <f aca="false">PROPER(TRIM(raw_data!J414))</f>
        <v>Furniture</v>
      </c>
      <c r="P414" s="3" t="str">
        <f aca="false">PROPER(TRIM(raw_data!K414))</f>
        <v>Chairs</v>
      </c>
      <c r="Q414" s="3" t="str">
        <f aca="false">TRIM(raw_data!L414)</f>
        <v>Basic Chairs 790</v>
      </c>
      <c r="R414" s="3" t="str">
        <f aca="false">IF(TRIM(raw_data!M414)="","Unknown",PROPER(TRIM(raw_data!M414)))</f>
        <v>Same Day</v>
      </c>
      <c r="S414" s="3" t="str">
        <f aca="false">IF(TRIM(raw_data!M414)="","Filled - Unknown","OK")</f>
        <v>OK</v>
      </c>
      <c r="T414" s="6" t="n">
        <f aca="false">raw_data!N414</f>
        <v>1</v>
      </c>
      <c r="U414" s="7" t="n">
        <f aca="false">raw_data!O414</f>
        <v>2111.39</v>
      </c>
      <c r="V414" s="8" t="n">
        <f aca="false">raw_data!P414</f>
        <v>0.25</v>
      </c>
      <c r="W414" s="8" t="n">
        <f aca="false">IF(raw_data!P414="",0,IF(ISTEXT(raw_data!P414),IF(RIGHT(raw_data!P414,1)="%",VALUE(LEFT(raw_data!P414,LEN(raw_data!P414)-1))/100,VALUE(raw_data!P414)),raw_data!P414))</f>
        <v>0.25</v>
      </c>
      <c r="X414" s="3" t="str">
        <f aca="false">IF(raw_data!P414="","Missing - Defaulted to 0",IF(W414&lt;0,"Negative - Invalid",IF(W414&gt;0.3,"Above Allowed Range - Invalid","Valid")))</f>
        <v>Valid</v>
      </c>
      <c r="Y414" s="7" t="n">
        <f aca="false">raw_data!Q414</f>
        <v>1583.54</v>
      </c>
      <c r="Z414" s="7" t="n">
        <f aca="false">raw_data!R414</f>
        <v>1014.19</v>
      </c>
      <c r="AA414" s="7" t="n">
        <f aca="false">raw_data!S414</f>
        <v>569.35</v>
      </c>
      <c r="AB414" s="3" t="str">
        <f aca="false">PROPER(TRIM(raw_data!T414))</f>
        <v>Paid</v>
      </c>
      <c r="AC414" s="3" t="str">
        <f aca="false">PROPER(TRIM(raw_data!U414))</f>
        <v>Completed</v>
      </c>
      <c r="AD414" s="7" t="n">
        <f aca="false">T414*U414*(1-W414)</f>
        <v>1583.5425</v>
      </c>
      <c r="AE414" s="7" t="n">
        <f aca="false">AD414-Z414</f>
        <v>569.3525</v>
      </c>
      <c r="AF414" s="8" t="n">
        <f aca="false">IF(AD414=0,0,AE414/AD414)</f>
        <v>0.359543555035624</v>
      </c>
      <c r="AG414" s="3" t="str">
        <f aca="false">IF(ABS(Y414-AD414)&gt;1,"Mismatch","OK")</f>
        <v>OK</v>
      </c>
      <c r="AH414" s="3" t="str">
        <f aca="false">IF(ABS(AA414-AE414)&gt;1,"Mismatch","OK")</f>
        <v>OK</v>
      </c>
      <c r="AI414" s="6" t="n">
        <f aca="false">IF(B414="","",MONTH(B414))</f>
        <v>1</v>
      </c>
      <c r="AJ414" s="6" t="n">
        <f aca="false">IF(B414="","",YEAR(B414))</f>
        <v>2024</v>
      </c>
      <c r="AK414" s="3" t="str">
        <f aca="false">IF(COUNTIF(raw_data!$A$2:$A$913,A414)&gt;1,"Conflicting Duplicate - Flagged for Review","Unique")</f>
        <v>Unique</v>
      </c>
      <c r="AL414" s="3" t="str">
        <f aca="false">IF(AB414="Refunded","Yes","No")</f>
        <v>No</v>
      </c>
      <c r="AM414" s="3" t="str">
        <f aca="false">IF(OR(AC414&lt;&gt;"Completed",AB414="Failed"),"Excluded","Included")</f>
        <v>Included</v>
      </c>
      <c r="AN414" s="3" t="str">
        <f aca="false">IF(OR(D414="Invalid/Unrecognized",E414="Invalid/Unrecognized",G414="Invalid - Ship Before Order",X414="Negative - Invalid",X414="Above Allowed Range - Invalid",AG414="Mismatch",AH414="Mismatch",AK414="Conflicting Duplicate - Flagged for Review"),"Invalid",IF(OR(L414="Filled - Unknown",S414="Filled - Unknown",X414="Missing - Defaulted to 0",AL414="Yes",AC414="Cancelled",AC414="Returned"),"Warning","Clean"))</f>
        <v>Clean</v>
      </c>
    </row>
    <row r="415" customFormat="false" ht="15" hidden="false" customHeight="false" outlineLevel="0" collapsed="false">
      <c r="A415" s="3" t="str">
        <f aca="false">raw_data!A415</f>
        <v>ORD-2025-10414</v>
      </c>
      <c r="B415" s="4" t="n">
        <f aca="false">IFERROR(IF(MID(raw_data!B415,3,1)="/",DATE(VALUE(RIGHT(raw_data!B415,4)),VALUE(LEFT(raw_data!B415,2)),VALUE(MID(raw_data!B415,4,2))),IF(MID(raw_data!B415,3,1)="-",DATE(VALUE(RIGHT(raw_data!B415,4)),VALUE(MID(raw_data!B415,4,2)),VALUE(LEFT(raw_data!B415,2))),IF(MID(raw_data!B415,5,1)="-",DATE(VALUE(LEFT(raw_data!B415,4)),VALUE(MID(raw_data!B415,6,2)),VALUE(RIGHT(raw_data!B415,2))),DATE(VALUE(RIGHT(raw_data!B415,4)),MATCH(MID(raw_data!B415,4,3),{"Jan","Feb","Mar","Apr","May","Jun","Jul","Aug","Sep","Oct","Nov","Dec"},0),VALUE(LEFT(raw_data!B415,2)))))),"")</f>
        <v>45882</v>
      </c>
      <c r="C415" s="4" t="n">
        <f aca="false">IFERROR(IF(MID(raw_data!C415,3,1)="/",DATE(VALUE(RIGHT(raw_data!C415,4)),VALUE(LEFT(raw_data!C415,2)),VALUE(MID(raw_data!C415,4,2))),IF(MID(raw_data!C415,3,1)="-",DATE(VALUE(RIGHT(raw_data!C415,4)),VALUE(MID(raw_data!C415,4,2)),VALUE(LEFT(raw_data!C415,2))),IF(MID(raw_data!C415,5,1)="-",DATE(VALUE(LEFT(raw_data!C415,4)),VALUE(MID(raw_data!C415,6,2)),VALUE(RIGHT(raw_data!C415,2))),DATE(VALUE(RIGHT(raw_data!C415,4)),MATCH(MID(raw_data!C415,4,3),{"Jan","Feb","Mar","Apr","May","Jun","Jul","Aug","Sep","Oct","Nov","Dec"},0),VALUE(LEFT(raw_data!C415,2)))))),"")</f>
        <v>45886</v>
      </c>
      <c r="D415" s="3" t="str">
        <f aca="false">IF(TRIM(raw_data!B415)="","Missing",IF(B415="","Invalid/Unrecognized","Valid"))</f>
        <v>Valid</v>
      </c>
      <c r="E415" s="3" t="str">
        <f aca="false">IF(TRIM(raw_data!C415)="","Missing",IF(C415="","Invalid/Unrecognized","Valid"))</f>
        <v>Valid</v>
      </c>
      <c r="F415" s="5" t="n">
        <f aca="false">IF(OR(B415="",C415=""),"",C415-B415)</f>
        <v>4</v>
      </c>
      <c r="G415" s="3" t="str">
        <f aca="false">IF(F415="","N/A",IF(F415&lt;0,"Invalid - Ship Before Order","OK"))</f>
        <v>OK</v>
      </c>
      <c r="H415" s="3" t="str">
        <f aca="false">raw_data!D415</f>
        <v>CUST-5094</v>
      </c>
      <c r="I415" s="3" t="str">
        <f aca="false">PROPER(TRIM(raw_data!E415))</f>
        <v>Neha Gupta</v>
      </c>
      <c r="J415" s="3" t="str">
        <f aca="false">PROPER(TRIM(raw_data!F415))</f>
        <v>Home Office</v>
      </c>
      <c r="K415" s="3" t="str">
        <f aca="false">IF(TRIM(raw_data!G415)="","Unknown",PROPER(TRIM(raw_data!G415)))</f>
        <v>West</v>
      </c>
      <c r="L415" s="3" t="str">
        <f aca="false">IF(TRIM(raw_data!G415)="","Filled - Unknown","OK")</f>
        <v>OK</v>
      </c>
      <c r="M415" s="3" t="str">
        <f aca="false">PROPER(TRIM(raw_data!H415))</f>
        <v>Madhya Pradesh</v>
      </c>
      <c r="N415" s="3" t="str">
        <f aca="false">PROPER(TRIM(raw_data!I415))</f>
        <v>Indore</v>
      </c>
      <c r="O415" s="3" t="str">
        <f aca="false">PROPER(TRIM(raw_data!J415))</f>
        <v>Technology</v>
      </c>
      <c r="P415" s="3" t="str">
        <f aca="false">PROPER(TRIM(raw_data!K415))</f>
        <v>Accessories</v>
      </c>
      <c r="Q415" s="3" t="str">
        <f aca="false">TRIM(raw_data!L415)</f>
        <v>Smart Accessories 226</v>
      </c>
      <c r="R415" s="3" t="str">
        <f aca="false">IF(TRIM(raw_data!M415)="","Unknown",PROPER(TRIM(raw_data!M415)))</f>
        <v>Second Class</v>
      </c>
      <c r="S415" s="3" t="str">
        <f aca="false">IF(TRIM(raw_data!M415)="","Filled - Unknown","OK")</f>
        <v>OK</v>
      </c>
      <c r="T415" s="6" t="n">
        <f aca="false">raw_data!N415</f>
        <v>8</v>
      </c>
      <c r="U415" s="7" t="n">
        <f aca="false">raw_data!O415</f>
        <v>1918.23</v>
      </c>
      <c r="V415" s="8" t="n">
        <f aca="false">raw_data!P415</f>
        <v>0</v>
      </c>
      <c r="W415" s="8" t="n">
        <f aca="false">IF(raw_data!P415="",0,IF(ISTEXT(raw_data!P415),IF(RIGHT(raw_data!P415,1)="%",VALUE(LEFT(raw_data!P415,LEN(raw_data!P415)-1))/100,VALUE(raw_data!P415)),raw_data!P415))</f>
        <v>0</v>
      </c>
      <c r="X415" s="3" t="str">
        <f aca="false">IF(raw_data!P415="","Missing - Defaulted to 0",IF(W415&lt;0,"Negative - Invalid",IF(W415&gt;0.3,"Above Allowed Range - Invalid","Valid")))</f>
        <v>Valid</v>
      </c>
      <c r="Y415" s="7" t="n">
        <f aca="false">raw_data!Q415</f>
        <v>15345.84</v>
      </c>
      <c r="Z415" s="7" t="n">
        <f aca="false">raw_data!R415</f>
        <v>10735.33</v>
      </c>
      <c r="AA415" s="7" t="n">
        <f aca="false">raw_data!S415</f>
        <v>4610.51</v>
      </c>
      <c r="AB415" s="3" t="str">
        <f aca="false">PROPER(TRIM(raw_data!T415))</f>
        <v>Pending</v>
      </c>
      <c r="AC415" s="3" t="str">
        <f aca="false">PROPER(TRIM(raw_data!U415))</f>
        <v>Cancelled</v>
      </c>
      <c r="AD415" s="7" t="n">
        <f aca="false">T415*U415*(1-W415)</f>
        <v>15345.84</v>
      </c>
      <c r="AE415" s="7" t="n">
        <f aca="false">AD415-Z415</f>
        <v>4610.51</v>
      </c>
      <c r="AF415" s="8" t="n">
        <f aca="false">IF(AD415=0,0,AE415/AD415)</f>
        <v>0.300440379933585</v>
      </c>
      <c r="AG415" s="3" t="str">
        <f aca="false">IF(ABS(Y415-AD415)&gt;1,"Mismatch","OK")</f>
        <v>OK</v>
      </c>
      <c r="AH415" s="3" t="str">
        <f aca="false">IF(ABS(AA415-AE415)&gt;1,"Mismatch","OK")</f>
        <v>OK</v>
      </c>
      <c r="AI415" s="6" t="n">
        <f aca="false">IF(B415="","",MONTH(B415))</f>
        <v>8</v>
      </c>
      <c r="AJ415" s="6" t="n">
        <f aca="false">IF(B415="","",YEAR(B415))</f>
        <v>2025</v>
      </c>
      <c r="AK415" s="3" t="str">
        <f aca="false">IF(COUNTIF(raw_data!$A$2:$A$913,A415)&gt;1,"Conflicting Duplicate - Flagged for Review","Unique")</f>
        <v>Unique</v>
      </c>
      <c r="AL415" s="3" t="str">
        <f aca="false">IF(AB415="Refunded","Yes","No")</f>
        <v>No</v>
      </c>
      <c r="AM415" s="3" t="str">
        <f aca="false">IF(OR(AC415&lt;&gt;"Completed",AB415="Failed"),"Excluded","Included")</f>
        <v>Excluded</v>
      </c>
      <c r="AN415" s="3" t="str">
        <f aca="false">IF(OR(D415="Invalid/Unrecognized",E415="Invalid/Unrecognized",G415="Invalid - Ship Before Order",X415="Negative - Invalid",X415="Above Allowed Range - Invalid",AG415="Mismatch",AH415="Mismatch",AK415="Conflicting Duplicate - Flagged for Review"),"Invalid",IF(OR(L415="Filled - Unknown",S415="Filled - Unknown",X415="Missing - Defaulted to 0",AL415="Yes",AC415="Cancelled",AC415="Returned"),"Warning","Clean"))</f>
        <v>Warning</v>
      </c>
    </row>
    <row r="416" customFormat="false" ht="15" hidden="false" customHeight="false" outlineLevel="0" collapsed="false">
      <c r="A416" s="3" t="str">
        <f aca="false">raw_data!A416</f>
        <v>ORD-2024-10415</v>
      </c>
      <c r="B416" s="4" t="n">
        <f aca="false">IFERROR(IF(MID(raw_data!B416,3,1)="/",DATE(VALUE(RIGHT(raw_data!B416,4)),VALUE(LEFT(raw_data!B416,2)),VALUE(MID(raw_data!B416,4,2))),IF(MID(raw_data!B416,3,1)="-",DATE(VALUE(RIGHT(raw_data!B416,4)),VALUE(MID(raw_data!B416,4,2)),VALUE(LEFT(raw_data!B416,2))),IF(MID(raw_data!B416,5,1)="-",DATE(VALUE(LEFT(raw_data!B416,4)),VALUE(MID(raw_data!B416,6,2)),VALUE(RIGHT(raw_data!B416,2))),DATE(VALUE(RIGHT(raw_data!B416,4)),MATCH(MID(raw_data!B416,4,3),{"Jan","Feb","Mar","Apr","May","Jun","Jul","Aug","Sep","Oct","Nov","Dec"},0),VALUE(LEFT(raw_data!B416,2)))))),"")</f>
        <v>45533</v>
      </c>
      <c r="C416" s="4" t="n">
        <f aca="false">IFERROR(IF(MID(raw_data!C416,3,1)="/",DATE(VALUE(RIGHT(raw_data!C416,4)),VALUE(LEFT(raw_data!C416,2)),VALUE(MID(raw_data!C416,4,2))),IF(MID(raw_data!C416,3,1)="-",DATE(VALUE(RIGHT(raw_data!C416,4)),VALUE(MID(raw_data!C416,4,2)),VALUE(LEFT(raw_data!C416,2))),IF(MID(raw_data!C416,5,1)="-",DATE(VALUE(LEFT(raw_data!C416,4)),VALUE(MID(raw_data!C416,6,2)),VALUE(RIGHT(raw_data!C416,2))),DATE(VALUE(RIGHT(raw_data!C416,4)),MATCH(MID(raw_data!C416,4,3),{"Jan","Feb","Mar","Apr","May","Jun","Jul","Aug","Sep","Oct","Nov","Dec"},0),VALUE(LEFT(raw_data!C416,2)))))),"")</f>
        <v>45534</v>
      </c>
      <c r="D416" s="3" t="str">
        <f aca="false">IF(TRIM(raw_data!B416)="","Missing",IF(B416="","Invalid/Unrecognized","Valid"))</f>
        <v>Valid</v>
      </c>
      <c r="E416" s="3" t="str">
        <f aca="false">IF(TRIM(raw_data!C416)="","Missing",IF(C416="","Invalid/Unrecognized","Valid"))</f>
        <v>Valid</v>
      </c>
      <c r="F416" s="5" t="n">
        <f aca="false">IF(OR(B416="",C416=""),"",C416-B416)</f>
        <v>1</v>
      </c>
      <c r="G416" s="3" t="str">
        <f aca="false">IF(F416="","N/A",IF(F416&lt;0,"Invalid - Ship Before Order","OK"))</f>
        <v>OK</v>
      </c>
      <c r="H416" s="3" t="str">
        <f aca="false">raw_data!D416</f>
        <v>CUST-4194</v>
      </c>
      <c r="I416" s="3" t="str">
        <f aca="false">PROPER(TRIM(raw_data!E416))</f>
        <v>Arjun Bose</v>
      </c>
      <c r="J416" s="3" t="str">
        <f aca="false">PROPER(TRIM(raw_data!F416))</f>
        <v>Home Office</v>
      </c>
      <c r="K416" s="3" t="str">
        <f aca="false">IF(TRIM(raw_data!G416)="","Unknown",PROPER(TRIM(raw_data!G416)))</f>
        <v>East</v>
      </c>
      <c r="L416" s="3" t="str">
        <f aca="false">IF(TRIM(raw_data!G416)="","Filled - Unknown","OK")</f>
        <v>OK</v>
      </c>
      <c r="M416" s="3" t="str">
        <f aca="false">PROPER(TRIM(raw_data!H416))</f>
        <v>Assam</v>
      </c>
      <c r="N416" s="3" t="str">
        <f aca="false">PROPER(TRIM(raw_data!I416))</f>
        <v>Guwahati</v>
      </c>
      <c r="O416" s="3" t="str">
        <f aca="false">PROPER(TRIM(raw_data!J416))</f>
        <v>Office Supplies</v>
      </c>
      <c r="P416" s="3" t="str">
        <f aca="false">PROPER(TRIM(raw_data!K416))</f>
        <v>Storage</v>
      </c>
      <c r="Q416" s="3" t="str">
        <f aca="false">TRIM(raw_data!L416)</f>
        <v>Max Storage 692</v>
      </c>
      <c r="R416" s="3" t="str">
        <f aca="false">IF(TRIM(raw_data!M416)="","Unknown",PROPER(TRIM(raw_data!M416)))</f>
        <v>First Class</v>
      </c>
      <c r="S416" s="3" t="str">
        <f aca="false">IF(TRIM(raw_data!M416)="","Filled - Unknown","OK")</f>
        <v>OK</v>
      </c>
      <c r="T416" s="6" t="n">
        <f aca="false">raw_data!N416</f>
        <v>4</v>
      </c>
      <c r="U416" s="7" t="n">
        <f aca="false">raw_data!O416</f>
        <v>2484.08</v>
      </c>
      <c r="V416" s="8" t="n">
        <f aca="false">raw_data!P416</f>
        <v>0.05</v>
      </c>
      <c r="W416" s="8" t="n">
        <f aca="false">IF(raw_data!P416="",0,IF(ISTEXT(raw_data!P416),IF(RIGHT(raw_data!P416,1)="%",VALUE(LEFT(raw_data!P416,LEN(raw_data!P416)-1))/100,VALUE(raw_data!P416)),raw_data!P416))</f>
        <v>0.05</v>
      </c>
      <c r="X416" s="3" t="str">
        <f aca="false">IF(raw_data!P416="","Missing - Defaulted to 0",IF(W416&lt;0,"Negative - Invalid",IF(W416&gt;0.3,"Above Allowed Range - Invalid","Valid")))</f>
        <v>Valid</v>
      </c>
      <c r="Y416" s="7" t="n">
        <f aca="false">raw_data!Q416</f>
        <v>9439.5</v>
      </c>
      <c r="Z416" s="7" t="n">
        <f aca="false">raw_data!R416</f>
        <v>5519.39</v>
      </c>
      <c r="AA416" s="7" t="n">
        <f aca="false">raw_data!S416</f>
        <v>3920.11</v>
      </c>
      <c r="AB416" s="3" t="str">
        <f aca="false">PROPER(TRIM(raw_data!T416))</f>
        <v>Paid</v>
      </c>
      <c r="AC416" s="3" t="str">
        <f aca="false">PROPER(TRIM(raw_data!U416))</f>
        <v>Completed</v>
      </c>
      <c r="AD416" s="7" t="n">
        <f aca="false">T416*U416*(1-W416)</f>
        <v>9439.504</v>
      </c>
      <c r="AE416" s="7" t="n">
        <f aca="false">AD416-Z416</f>
        <v>3920.114</v>
      </c>
      <c r="AF416" s="8" t="n">
        <f aca="false">IF(AD416=0,0,AE416/AD416)</f>
        <v>0.4152881337833</v>
      </c>
      <c r="AG416" s="3" t="str">
        <f aca="false">IF(ABS(Y416-AD416)&gt;1,"Mismatch","OK")</f>
        <v>OK</v>
      </c>
      <c r="AH416" s="3" t="str">
        <f aca="false">IF(ABS(AA416-AE416)&gt;1,"Mismatch","OK")</f>
        <v>OK</v>
      </c>
      <c r="AI416" s="6" t="n">
        <f aca="false">IF(B416="","",MONTH(B416))</f>
        <v>8</v>
      </c>
      <c r="AJ416" s="6" t="n">
        <f aca="false">IF(B416="","",YEAR(B416))</f>
        <v>2024</v>
      </c>
      <c r="AK416" s="3" t="str">
        <f aca="false">IF(COUNTIF(raw_data!$A$2:$A$913,A416)&gt;1,"Conflicting Duplicate - Flagged for Review","Unique")</f>
        <v>Unique</v>
      </c>
      <c r="AL416" s="3" t="str">
        <f aca="false">IF(AB416="Refunded","Yes","No")</f>
        <v>No</v>
      </c>
      <c r="AM416" s="3" t="str">
        <f aca="false">IF(OR(AC416&lt;&gt;"Completed",AB416="Failed"),"Excluded","Included")</f>
        <v>Included</v>
      </c>
      <c r="AN416" s="3" t="str">
        <f aca="false">IF(OR(D416="Invalid/Unrecognized",E416="Invalid/Unrecognized",G416="Invalid - Ship Before Order",X416="Negative - Invalid",X416="Above Allowed Range - Invalid",AG416="Mismatch",AH416="Mismatch",AK416="Conflicting Duplicate - Flagged for Review"),"Invalid",IF(OR(L416="Filled - Unknown",S416="Filled - Unknown",X416="Missing - Defaulted to 0",AL416="Yes",AC416="Cancelled",AC416="Returned"),"Warning","Clean"))</f>
        <v>Clean</v>
      </c>
    </row>
    <row r="417" customFormat="false" ht="15" hidden="false" customHeight="false" outlineLevel="0" collapsed="false">
      <c r="A417" s="3" t="str">
        <f aca="false">raw_data!A417</f>
        <v>ORD-2024-10416</v>
      </c>
      <c r="B417" s="4" t="n">
        <f aca="false">IFERROR(IF(MID(raw_data!B417,3,1)="/",DATE(VALUE(RIGHT(raw_data!B417,4)),VALUE(LEFT(raw_data!B417,2)),VALUE(MID(raw_data!B417,4,2))),IF(MID(raw_data!B417,3,1)="-",DATE(VALUE(RIGHT(raw_data!B417,4)),VALUE(MID(raw_data!B417,4,2)),VALUE(LEFT(raw_data!B417,2))),IF(MID(raw_data!B417,5,1)="-",DATE(VALUE(LEFT(raw_data!B417,4)),VALUE(MID(raw_data!B417,6,2)),VALUE(RIGHT(raw_data!B417,2))),DATE(VALUE(RIGHT(raw_data!B417,4)),MATCH(MID(raw_data!B417,4,3),{"Jan","Feb","Mar","Apr","May","Jun","Jul","Aug","Sep","Oct","Nov","Dec"},0),VALUE(LEFT(raw_data!B417,2)))))),"")</f>
        <v>45316</v>
      </c>
      <c r="C417" s="4" t="n">
        <f aca="false">IFERROR(IF(MID(raw_data!C417,3,1)="/",DATE(VALUE(RIGHT(raw_data!C417,4)),VALUE(LEFT(raw_data!C417,2)),VALUE(MID(raw_data!C417,4,2))),IF(MID(raw_data!C417,3,1)="-",DATE(VALUE(RIGHT(raw_data!C417,4)),VALUE(MID(raw_data!C417,4,2)),VALUE(LEFT(raw_data!C417,2))),IF(MID(raw_data!C417,5,1)="-",DATE(VALUE(LEFT(raw_data!C417,4)),VALUE(MID(raw_data!C417,6,2)),VALUE(RIGHT(raw_data!C417,2))),DATE(VALUE(RIGHT(raw_data!C417,4)),MATCH(MID(raw_data!C417,4,3),{"Jan","Feb","Mar","Apr","May","Jun","Jul","Aug","Sep","Oct","Nov","Dec"},0),VALUE(LEFT(raw_data!C417,2)))))),"")</f>
        <v>45318</v>
      </c>
      <c r="D417" s="3" t="str">
        <f aca="false">IF(TRIM(raw_data!B417)="","Missing",IF(B417="","Invalid/Unrecognized","Valid"))</f>
        <v>Valid</v>
      </c>
      <c r="E417" s="3" t="str">
        <f aca="false">IF(TRIM(raw_data!C417)="","Missing",IF(C417="","Invalid/Unrecognized","Valid"))</f>
        <v>Valid</v>
      </c>
      <c r="F417" s="5" t="n">
        <f aca="false">IF(OR(B417="",C417=""),"",C417-B417)</f>
        <v>2</v>
      </c>
      <c r="G417" s="3" t="str">
        <f aca="false">IF(F417="","N/A",IF(F417&lt;0,"Invalid - Ship Before Order","OK"))</f>
        <v>OK</v>
      </c>
      <c r="H417" s="3" t="str">
        <f aca="false">raw_data!D417</f>
        <v>CUST-7087</v>
      </c>
      <c r="I417" s="3" t="str">
        <f aca="false">PROPER(TRIM(raw_data!E417))</f>
        <v>Aarav Sharma</v>
      </c>
      <c r="J417" s="3" t="str">
        <f aca="false">PROPER(TRIM(raw_data!F417))</f>
        <v>Corporate</v>
      </c>
      <c r="K417" s="3" t="str">
        <f aca="false">IF(TRIM(raw_data!G417)="","Unknown",PROPER(TRIM(raw_data!G417)))</f>
        <v>South</v>
      </c>
      <c r="L417" s="3" t="str">
        <f aca="false">IF(TRIM(raw_data!G417)="","Filled - Unknown","OK")</f>
        <v>OK</v>
      </c>
      <c r="M417" s="3" t="str">
        <f aca="false">PROPER(TRIM(raw_data!H417))</f>
        <v>Karnataka</v>
      </c>
      <c r="N417" s="3" t="str">
        <f aca="false">PROPER(TRIM(raw_data!I417))</f>
        <v>Bengaluru</v>
      </c>
      <c r="O417" s="3" t="str">
        <f aca="false">PROPER(TRIM(raw_data!J417))</f>
        <v>Office Supplies</v>
      </c>
      <c r="P417" s="3" t="str">
        <f aca="false">PROPER(TRIM(raw_data!K417))</f>
        <v>Storage</v>
      </c>
      <c r="Q417" s="3" t="str">
        <f aca="false">TRIM(raw_data!L417)</f>
        <v>Basic Storage 684</v>
      </c>
      <c r="R417" s="3" t="str">
        <f aca="false">IF(TRIM(raw_data!M417)="","Unknown",PROPER(TRIM(raw_data!M417)))</f>
        <v>Same Day</v>
      </c>
      <c r="S417" s="3" t="str">
        <f aca="false">IF(TRIM(raw_data!M417)="","Filled - Unknown","OK")</f>
        <v>OK</v>
      </c>
      <c r="T417" s="6" t="n">
        <f aca="false">raw_data!N417</f>
        <v>7</v>
      </c>
      <c r="U417" s="7" t="n">
        <f aca="false">raw_data!O417</f>
        <v>1727.26</v>
      </c>
      <c r="V417" s="8" t="n">
        <f aca="false">raw_data!P417</f>
        <v>0.15</v>
      </c>
      <c r="W417" s="8" t="n">
        <f aca="false">IF(raw_data!P417="",0,IF(ISTEXT(raw_data!P417),IF(RIGHT(raw_data!P417,1)="%",VALUE(LEFT(raw_data!P417,LEN(raw_data!P417)-1))/100,VALUE(raw_data!P417)),raw_data!P417))</f>
        <v>0.15</v>
      </c>
      <c r="X417" s="3" t="str">
        <f aca="false">IF(raw_data!P417="","Missing - Defaulted to 0",IF(W417&lt;0,"Negative - Invalid",IF(W417&gt;0.3,"Above Allowed Range - Invalid","Valid")))</f>
        <v>Valid</v>
      </c>
      <c r="Y417" s="7" t="n">
        <f aca="false">raw_data!Q417</f>
        <v>10277.2</v>
      </c>
      <c r="Z417" s="7" t="n">
        <f aca="false">raw_data!R417</f>
        <v>7906.5</v>
      </c>
      <c r="AA417" s="7" t="n">
        <f aca="false">raw_data!S417</f>
        <v>2370.7</v>
      </c>
      <c r="AB417" s="3" t="str">
        <f aca="false">PROPER(TRIM(raw_data!T417))</f>
        <v>Paid</v>
      </c>
      <c r="AC417" s="3" t="str">
        <f aca="false">PROPER(TRIM(raw_data!U417))</f>
        <v>Returned</v>
      </c>
      <c r="AD417" s="7" t="n">
        <f aca="false">T417*U417*(1-W417)</f>
        <v>10277.197</v>
      </c>
      <c r="AE417" s="7" t="n">
        <f aca="false">AD417-Z417</f>
        <v>2370.697</v>
      </c>
      <c r="AF417" s="8" t="n">
        <f aca="false">IF(AD417=0,0,AE417/AD417)</f>
        <v>0.230675445843842</v>
      </c>
      <c r="AG417" s="3" t="str">
        <f aca="false">IF(ABS(Y417-AD417)&gt;1,"Mismatch","OK")</f>
        <v>OK</v>
      </c>
      <c r="AH417" s="3" t="str">
        <f aca="false">IF(ABS(AA417-AE417)&gt;1,"Mismatch","OK")</f>
        <v>OK</v>
      </c>
      <c r="AI417" s="6" t="n">
        <f aca="false">IF(B417="","",MONTH(B417))</f>
        <v>1</v>
      </c>
      <c r="AJ417" s="6" t="n">
        <f aca="false">IF(B417="","",YEAR(B417))</f>
        <v>2024</v>
      </c>
      <c r="AK417" s="3" t="str">
        <f aca="false">IF(COUNTIF(raw_data!$A$2:$A$913,A417)&gt;1,"Conflicting Duplicate - Flagged for Review","Unique")</f>
        <v>Unique</v>
      </c>
      <c r="AL417" s="3" t="str">
        <f aca="false">IF(AB417="Refunded","Yes","No")</f>
        <v>No</v>
      </c>
      <c r="AM417" s="3" t="str">
        <f aca="false">IF(OR(AC417&lt;&gt;"Completed",AB417="Failed"),"Excluded","Included")</f>
        <v>Excluded</v>
      </c>
      <c r="AN417" s="3" t="str">
        <f aca="false">IF(OR(D417="Invalid/Unrecognized",E417="Invalid/Unrecognized",G417="Invalid - Ship Before Order",X417="Negative - Invalid",X417="Above Allowed Range - Invalid",AG417="Mismatch",AH417="Mismatch",AK417="Conflicting Duplicate - Flagged for Review"),"Invalid",IF(OR(L417="Filled - Unknown",S417="Filled - Unknown",X417="Missing - Defaulted to 0",AL417="Yes",AC417="Cancelled",AC417="Returned"),"Warning","Clean"))</f>
        <v>Warning</v>
      </c>
    </row>
    <row r="418" customFormat="false" ht="15" hidden="false" customHeight="false" outlineLevel="0" collapsed="false">
      <c r="A418" s="3" t="str">
        <f aca="false">raw_data!A418</f>
        <v>ORD-2025-10417</v>
      </c>
      <c r="B418" s="4" t="n">
        <f aca="false">IFERROR(IF(MID(raw_data!B418,3,1)="/",DATE(VALUE(RIGHT(raw_data!B418,4)),VALUE(LEFT(raw_data!B418,2)),VALUE(MID(raw_data!B418,4,2))),IF(MID(raw_data!B418,3,1)="-",DATE(VALUE(RIGHT(raw_data!B418,4)),VALUE(MID(raw_data!B418,4,2)),VALUE(LEFT(raw_data!B418,2))),IF(MID(raw_data!B418,5,1)="-",DATE(VALUE(LEFT(raw_data!B418,4)),VALUE(MID(raw_data!B418,6,2)),VALUE(RIGHT(raw_data!B418,2))),DATE(VALUE(RIGHT(raw_data!B418,4)),MATCH(MID(raw_data!B418,4,3),{"Jan","Feb","Mar","Apr","May","Jun","Jul","Aug","Sep","Oct","Nov","Dec"},0),VALUE(LEFT(raw_data!B418,2)))))),"")</f>
        <v>45665</v>
      </c>
      <c r="C418" s="4" t="n">
        <f aca="false">IFERROR(IF(MID(raw_data!C418,3,1)="/",DATE(VALUE(RIGHT(raw_data!C418,4)),VALUE(LEFT(raw_data!C418,2)),VALUE(MID(raw_data!C418,4,2))),IF(MID(raw_data!C418,3,1)="-",DATE(VALUE(RIGHT(raw_data!C418,4)),VALUE(MID(raw_data!C418,4,2)),VALUE(LEFT(raw_data!C418,2))),IF(MID(raw_data!C418,5,1)="-",DATE(VALUE(LEFT(raw_data!C418,4)),VALUE(MID(raw_data!C418,6,2)),VALUE(RIGHT(raw_data!C418,2))),DATE(VALUE(RIGHT(raw_data!C418,4)),MATCH(MID(raw_data!C418,4,3),{"Jan","Feb","Mar","Apr","May","Jun","Jul","Aug","Sep","Oct","Nov","Dec"},0),VALUE(LEFT(raw_data!C418,2)))))),"")</f>
        <v>45673</v>
      </c>
      <c r="D418" s="3" t="str">
        <f aca="false">IF(TRIM(raw_data!B418)="","Missing",IF(B418="","Invalid/Unrecognized","Valid"))</f>
        <v>Valid</v>
      </c>
      <c r="E418" s="3" t="str">
        <f aca="false">IF(TRIM(raw_data!C418)="","Missing",IF(C418="","Invalid/Unrecognized","Valid"))</f>
        <v>Valid</v>
      </c>
      <c r="F418" s="5" t="n">
        <f aca="false">IF(OR(B418="",C418=""),"",C418-B418)</f>
        <v>8</v>
      </c>
      <c r="G418" s="3" t="str">
        <f aca="false">IF(F418="","N/A",IF(F418&lt;0,"Invalid - Ship Before Order","OK"))</f>
        <v>OK</v>
      </c>
      <c r="H418" s="3" t="str">
        <f aca="false">raw_data!D418</f>
        <v>CUST-7608</v>
      </c>
      <c r="I418" s="3" t="str">
        <f aca="false">PROPER(TRIM(raw_data!E418))</f>
        <v>Neha Gupta</v>
      </c>
      <c r="J418" s="3" t="str">
        <f aca="false">PROPER(TRIM(raw_data!F418))</f>
        <v>Consumer</v>
      </c>
      <c r="K418" s="3" t="str">
        <f aca="false">IF(TRIM(raw_data!G418)="","Unknown",PROPER(TRIM(raw_data!G418)))</f>
        <v>South</v>
      </c>
      <c r="L418" s="3" t="str">
        <f aca="false">IF(TRIM(raw_data!G418)="","Filled - Unknown","OK")</f>
        <v>OK</v>
      </c>
      <c r="M418" s="3" t="str">
        <f aca="false">PROPER(TRIM(raw_data!H418))</f>
        <v>Telangana</v>
      </c>
      <c r="N418" s="3" t="str">
        <f aca="false">PROPER(TRIM(raw_data!I418))</f>
        <v>Hyderabad</v>
      </c>
      <c r="O418" s="3" t="str">
        <f aca="false">PROPER(TRIM(raw_data!J418))</f>
        <v>Furniture</v>
      </c>
      <c r="P418" s="3" t="str">
        <f aca="false">PROPER(TRIM(raw_data!K418))</f>
        <v>Furnishings</v>
      </c>
      <c r="Q418" s="3" t="str">
        <f aca="false">TRIM(raw_data!L418)</f>
        <v>Smart Furnishings 152</v>
      </c>
      <c r="R418" s="3" t="str">
        <f aca="false">IF(TRIM(raw_data!M418)="","Unknown",PROPER(TRIM(raw_data!M418)))</f>
        <v>First Class</v>
      </c>
      <c r="S418" s="3" t="str">
        <f aca="false">IF(TRIM(raw_data!M418)="","Filled - Unknown","OK")</f>
        <v>OK</v>
      </c>
      <c r="T418" s="6" t="n">
        <f aca="false">raw_data!N418</f>
        <v>8</v>
      </c>
      <c r="U418" s="7" t="n">
        <f aca="false">raw_data!O418</f>
        <v>638.95</v>
      </c>
      <c r="V418" s="8" t="n">
        <f aca="false">raw_data!P418</f>
        <v>0.25</v>
      </c>
      <c r="W418" s="8" t="n">
        <f aca="false">IF(raw_data!P418="",0,IF(ISTEXT(raw_data!P418),IF(RIGHT(raw_data!P418,1)="%",VALUE(LEFT(raw_data!P418,LEN(raw_data!P418)-1))/100,VALUE(raw_data!P418)),raw_data!P418))</f>
        <v>0.25</v>
      </c>
      <c r="X418" s="3" t="str">
        <f aca="false">IF(raw_data!P418="","Missing - Defaulted to 0",IF(W418&lt;0,"Negative - Invalid",IF(W418&gt;0.3,"Above Allowed Range - Invalid","Valid")))</f>
        <v>Valid</v>
      </c>
      <c r="Y418" s="7" t="n">
        <f aca="false">raw_data!Q418</f>
        <v>3833.7</v>
      </c>
      <c r="Z418" s="7" t="n">
        <f aca="false">raw_data!R418</f>
        <v>2886.35</v>
      </c>
      <c r="AA418" s="7" t="n">
        <f aca="false">raw_data!S418</f>
        <v>947.35</v>
      </c>
      <c r="AB418" s="3" t="str">
        <f aca="false">PROPER(TRIM(raw_data!T418))</f>
        <v>Paid</v>
      </c>
      <c r="AC418" s="3" t="str">
        <f aca="false">PROPER(TRIM(raw_data!U418))</f>
        <v>Completed</v>
      </c>
      <c r="AD418" s="7" t="n">
        <f aca="false">T418*U418*(1-W418)</f>
        <v>3833.7</v>
      </c>
      <c r="AE418" s="7" t="n">
        <f aca="false">AD418-Z418</f>
        <v>947.35</v>
      </c>
      <c r="AF418" s="8" t="n">
        <f aca="false">IF(AD418=0,0,AE418/AD418)</f>
        <v>0.247111145890393</v>
      </c>
      <c r="AG418" s="3" t="str">
        <f aca="false">IF(ABS(Y418-AD418)&gt;1,"Mismatch","OK")</f>
        <v>OK</v>
      </c>
      <c r="AH418" s="3" t="str">
        <f aca="false">IF(ABS(AA418-AE418)&gt;1,"Mismatch","OK")</f>
        <v>OK</v>
      </c>
      <c r="AI418" s="6" t="n">
        <f aca="false">IF(B418="","",MONTH(B418))</f>
        <v>1</v>
      </c>
      <c r="AJ418" s="6" t="n">
        <f aca="false">IF(B418="","",YEAR(B418))</f>
        <v>2025</v>
      </c>
      <c r="AK418" s="3" t="str">
        <f aca="false">IF(COUNTIF(raw_data!$A$2:$A$913,A418)&gt;1,"Conflicting Duplicate - Flagged for Review","Unique")</f>
        <v>Unique</v>
      </c>
      <c r="AL418" s="3" t="str">
        <f aca="false">IF(AB418="Refunded","Yes","No")</f>
        <v>No</v>
      </c>
      <c r="AM418" s="3" t="str">
        <f aca="false">IF(OR(AC418&lt;&gt;"Completed",AB418="Failed"),"Excluded","Included")</f>
        <v>Included</v>
      </c>
      <c r="AN418" s="3" t="str">
        <f aca="false">IF(OR(D418="Invalid/Unrecognized",E418="Invalid/Unrecognized",G418="Invalid - Ship Before Order",X418="Negative - Invalid",X418="Above Allowed Range - Invalid",AG418="Mismatch",AH418="Mismatch",AK418="Conflicting Duplicate - Flagged for Review"),"Invalid",IF(OR(L418="Filled - Unknown",S418="Filled - Unknown",X418="Missing - Defaulted to 0",AL418="Yes",AC418="Cancelled",AC418="Returned"),"Warning","Clean"))</f>
        <v>Clean</v>
      </c>
    </row>
    <row r="419" customFormat="false" ht="15" hidden="false" customHeight="false" outlineLevel="0" collapsed="false">
      <c r="A419" s="3" t="str">
        <f aca="false">raw_data!A419</f>
        <v>ORD-2025-10418</v>
      </c>
      <c r="B419" s="4" t="n">
        <f aca="false">IFERROR(IF(MID(raw_data!B419,3,1)="/",DATE(VALUE(RIGHT(raw_data!B419,4)),VALUE(LEFT(raw_data!B419,2)),VALUE(MID(raw_data!B419,4,2))),IF(MID(raw_data!B419,3,1)="-",DATE(VALUE(RIGHT(raw_data!B419,4)),VALUE(MID(raw_data!B419,4,2)),VALUE(LEFT(raw_data!B419,2))),IF(MID(raw_data!B419,5,1)="-",DATE(VALUE(LEFT(raw_data!B419,4)),VALUE(MID(raw_data!B419,6,2)),VALUE(RIGHT(raw_data!B419,2))),DATE(VALUE(RIGHT(raw_data!B419,4)),MATCH(MID(raw_data!B419,4,3),{"Jan","Feb","Mar","Apr","May","Jun","Jul","Aug","Sep","Oct","Nov","Dec"},0),VALUE(LEFT(raw_data!B419,2)))))),"")</f>
        <v>45686</v>
      </c>
      <c r="C419" s="4" t="n">
        <f aca="false">IFERROR(IF(MID(raw_data!C419,3,1)="/",DATE(VALUE(RIGHT(raw_data!C419,4)),VALUE(LEFT(raw_data!C419,2)),VALUE(MID(raw_data!C419,4,2))),IF(MID(raw_data!C419,3,1)="-",DATE(VALUE(RIGHT(raw_data!C419,4)),VALUE(MID(raw_data!C419,4,2)),VALUE(LEFT(raw_data!C419,2))),IF(MID(raw_data!C419,5,1)="-",DATE(VALUE(LEFT(raw_data!C419,4)),VALUE(MID(raw_data!C419,6,2)),VALUE(RIGHT(raw_data!C419,2))),DATE(VALUE(RIGHT(raw_data!C419,4)),MATCH(MID(raw_data!C419,4,3),{"Jan","Feb","Mar","Apr","May","Jun","Jul","Aug","Sep","Oct","Nov","Dec"},0),VALUE(LEFT(raw_data!C419,2)))))),"")</f>
        <v>45693</v>
      </c>
      <c r="D419" s="3" t="str">
        <f aca="false">IF(TRIM(raw_data!B419)="","Missing",IF(B419="","Invalid/Unrecognized","Valid"))</f>
        <v>Valid</v>
      </c>
      <c r="E419" s="3" t="str">
        <f aca="false">IF(TRIM(raw_data!C419)="","Missing",IF(C419="","Invalid/Unrecognized","Valid"))</f>
        <v>Valid</v>
      </c>
      <c r="F419" s="5" t="n">
        <f aca="false">IF(OR(B419="",C419=""),"",C419-B419)</f>
        <v>7</v>
      </c>
      <c r="G419" s="3" t="str">
        <f aca="false">IF(F419="","N/A",IF(F419&lt;0,"Invalid - Ship Before Order","OK"))</f>
        <v>OK</v>
      </c>
      <c r="H419" s="3" t="str">
        <f aca="false">raw_data!D419</f>
        <v>CUST-5269</v>
      </c>
      <c r="I419" s="3" t="str">
        <f aca="false">PROPER(TRIM(raw_data!E419))</f>
        <v>Mira Das</v>
      </c>
      <c r="J419" s="3" t="str">
        <f aca="false">PROPER(TRIM(raw_data!F419))</f>
        <v>Consumer</v>
      </c>
      <c r="K419" s="3" t="str">
        <f aca="false">IF(TRIM(raw_data!G419)="","Unknown",PROPER(TRIM(raw_data!G419)))</f>
        <v>West</v>
      </c>
      <c r="L419" s="3" t="str">
        <f aca="false">IF(TRIM(raw_data!G419)="","Filled - Unknown","OK")</f>
        <v>OK</v>
      </c>
      <c r="M419" s="3" t="str">
        <f aca="false">PROPER(TRIM(raw_data!H419))</f>
        <v>Gujarat</v>
      </c>
      <c r="N419" s="3" t="str">
        <f aca="false">PROPER(TRIM(raw_data!I419))</f>
        <v>Ahmedabad</v>
      </c>
      <c r="O419" s="3" t="str">
        <f aca="false">PROPER(TRIM(raw_data!J419))</f>
        <v>Office Supplies</v>
      </c>
      <c r="P419" s="3" t="str">
        <f aca="false">PROPER(TRIM(raw_data!K419))</f>
        <v>Art</v>
      </c>
      <c r="Q419" s="3" t="str">
        <f aca="false">TRIM(raw_data!L419)</f>
        <v>Max Art 736</v>
      </c>
      <c r="R419" s="3" t="str">
        <f aca="false">IF(TRIM(raw_data!M419)="","Unknown",PROPER(TRIM(raw_data!M419)))</f>
        <v>First Class</v>
      </c>
      <c r="S419" s="3" t="str">
        <f aca="false">IF(TRIM(raw_data!M419)="","Filled - Unknown","OK")</f>
        <v>OK</v>
      </c>
      <c r="T419" s="6" t="n">
        <f aca="false">raw_data!N419</f>
        <v>6</v>
      </c>
      <c r="U419" s="7" t="n">
        <f aca="false">raw_data!O419</f>
        <v>3863</v>
      </c>
      <c r="V419" s="8" t="n">
        <f aca="false">raw_data!P419</f>
        <v>0.2</v>
      </c>
      <c r="W419" s="8" t="n">
        <f aca="false">IF(raw_data!P419="",0,IF(ISTEXT(raw_data!P419),IF(RIGHT(raw_data!P419,1)="%",VALUE(LEFT(raw_data!P419,LEN(raw_data!P419)-1))/100,VALUE(raw_data!P419)),raw_data!P419))</f>
        <v>0.2</v>
      </c>
      <c r="X419" s="3" t="str">
        <f aca="false">IF(raw_data!P419="","Missing - Defaulted to 0",IF(W419&lt;0,"Negative - Invalid",IF(W419&gt;0.3,"Above Allowed Range - Invalid","Valid")))</f>
        <v>Valid</v>
      </c>
      <c r="Y419" s="7" t="n">
        <f aca="false">raw_data!Q419</f>
        <v>18542.4</v>
      </c>
      <c r="Z419" s="7" t="n">
        <f aca="false">raw_data!R419</f>
        <v>11193.75</v>
      </c>
      <c r="AA419" s="7" t="n">
        <f aca="false">raw_data!S419</f>
        <v>7348.65</v>
      </c>
      <c r="AB419" s="3" t="str">
        <f aca="false">PROPER(TRIM(raw_data!T419))</f>
        <v>Paid</v>
      </c>
      <c r="AC419" s="3" t="str">
        <f aca="false">PROPER(TRIM(raw_data!U419))</f>
        <v>Completed</v>
      </c>
      <c r="AD419" s="7" t="n">
        <f aca="false">T419*U419*(1-W419)</f>
        <v>18542.4</v>
      </c>
      <c r="AE419" s="7" t="n">
        <f aca="false">AD419-Z419</f>
        <v>7348.65</v>
      </c>
      <c r="AF419" s="8" t="n">
        <f aca="false">IF(AD419=0,0,AE419/AD419)</f>
        <v>0.396316010872379</v>
      </c>
      <c r="AG419" s="3" t="str">
        <f aca="false">IF(ABS(Y419-AD419)&gt;1,"Mismatch","OK")</f>
        <v>OK</v>
      </c>
      <c r="AH419" s="3" t="str">
        <f aca="false">IF(ABS(AA419-AE419)&gt;1,"Mismatch","OK")</f>
        <v>OK</v>
      </c>
      <c r="AI419" s="6" t="n">
        <f aca="false">IF(B419="","",MONTH(B419))</f>
        <v>1</v>
      </c>
      <c r="AJ419" s="6" t="n">
        <f aca="false">IF(B419="","",YEAR(B419))</f>
        <v>2025</v>
      </c>
      <c r="AK419" s="3" t="str">
        <f aca="false">IF(COUNTIF(raw_data!$A$2:$A$913,A419)&gt;1,"Conflicting Duplicate - Flagged for Review","Unique")</f>
        <v>Unique</v>
      </c>
      <c r="AL419" s="3" t="str">
        <f aca="false">IF(AB419="Refunded","Yes","No")</f>
        <v>No</v>
      </c>
      <c r="AM419" s="3" t="str">
        <f aca="false">IF(OR(AC419&lt;&gt;"Completed",AB419="Failed"),"Excluded","Included")</f>
        <v>Included</v>
      </c>
      <c r="AN419" s="3" t="str">
        <f aca="false">IF(OR(D419="Invalid/Unrecognized",E419="Invalid/Unrecognized",G419="Invalid - Ship Before Order",X419="Negative - Invalid",X419="Above Allowed Range - Invalid",AG419="Mismatch",AH419="Mismatch",AK419="Conflicting Duplicate - Flagged for Review"),"Invalid",IF(OR(L419="Filled - Unknown",S419="Filled - Unknown",X419="Missing - Defaulted to 0",AL419="Yes",AC419="Cancelled",AC419="Returned"),"Warning","Clean"))</f>
        <v>Clean</v>
      </c>
    </row>
    <row r="420" customFormat="false" ht="15" hidden="false" customHeight="false" outlineLevel="0" collapsed="false">
      <c r="A420" s="3" t="str">
        <f aca="false">raw_data!A420</f>
        <v>ORD-2024-10419</v>
      </c>
      <c r="B420" s="4" t="n">
        <f aca="false">IFERROR(IF(MID(raw_data!B420,3,1)="/",DATE(VALUE(RIGHT(raw_data!B420,4)),VALUE(LEFT(raw_data!B420,2)),VALUE(MID(raw_data!B420,4,2))),IF(MID(raw_data!B420,3,1)="-",DATE(VALUE(RIGHT(raw_data!B420,4)),VALUE(MID(raw_data!B420,4,2)),VALUE(LEFT(raw_data!B420,2))),IF(MID(raw_data!B420,5,1)="-",DATE(VALUE(LEFT(raw_data!B420,4)),VALUE(MID(raw_data!B420,6,2)),VALUE(RIGHT(raw_data!B420,2))),DATE(VALUE(RIGHT(raw_data!B420,4)),MATCH(MID(raw_data!B420,4,3),{"Jan","Feb","Mar","Apr","May","Jun","Jul","Aug","Sep","Oct","Nov","Dec"},0),VALUE(LEFT(raw_data!B420,2)))))),"")</f>
        <v>45605</v>
      </c>
      <c r="C420" s="4" t="n">
        <f aca="false">IFERROR(IF(MID(raw_data!C420,3,1)="/",DATE(VALUE(RIGHT(raw_data!C420,4)),VALUE(LEFT(raw_data!C420,2)),VALUE(MID(raw_data!C420,4,2))),IF(MID(raw_data!C420,3,1)="-",DATE(VALUE(RIGHT(raw_data!C420,4)),VALUE(MID(raw_data!C420,4,2)),VALUE(LEFT(raw_data!C420,2))),IF(MID(raw_data!C420,5,1)="-",DATE(VALUE(LEFT(raw_data!C420,4)),VALUE(MID(raw_data!C420,6,2)),VALUE(RIGHT(raw_data!C420,2))),DATE(VALUE(RIGHT(raw_data!C420,4)),MATCH(MID(raw_data!C420,4,3),{"Jan","Feb","Mar","Apr","May","Jun","Jul","Aug","Sep","Oct","Nov","Dec"},0),VALUE(LEFT(raw_data!C420,2)))))),"")</f>
        <v>45613</v>
      </c>
      <c r="D420" s="3" t="str">
        <f aca="false">IF(TRIM(raw_data!B420)="","Missing",IF(B420="","Invalid/Unrecognized","Valid"))</f>
        <v>Valid</v>
      </c>
      <c r="E420" s="3" t="str">
        <f aca="false">IF(TRIM(raw_data!C420)="","Missing",IF(C420="","Invalid/Unrecognized","Valid"))</f>
        <v>Valid</v>
      </c>
      <c r="F420" s="5" t="n">
        <f aca="false">IF(OR(B420="",C420=""),"",C420-B420)</f>
        <v>8</v>
      </c>
      <c r="G420" s="3" t="str">
        <f aca="false">IF(F420="","N/A",IF(F420&lt;0,"Invalid - Ship Before Order","OK"))</f>
        <v>OK</v>
      </c>
      <c r="H420" s="3" t="str">
        <f aca="false">raw_data!D420</f>
        <v>CUST-7925</v>
      </c>
      <c r="I420" s="3" t="str">
        <f aca="false">PROPER(TRIM(raw_data!E420))</f>
        <v>Sneha Kapoor</v>
      </c>
      <c r="J420" s="3" t="str">
        <f aca="false">PROPER(TRIM(raw_data!F420))</f>
        <v>Corporate</v>
      </c>
      <c r="K420" s="3" t="str">
        <f aca="false">IF(TRIM(raw_data!G420)="","Unknown",PROPER(TRIM(raw_data!G420)))</f>
        <v>East</v>
      </c>
      <c r="L420" s="3" t="str">
        <f aca="false">IF(TRIM(raw_data!G420)="","Filled - Unknown","OK")</f>
        <v>OK</v>
      </c>
      <c r="M420" s="3" t="str">
        <f aca="false">PROPER(TRIM(raw_data!H420))</f>
        <v>Odisha</v>
      </c>
      <c r="N420" s="3" t="str">
        <f aca="false">PROPER(TRIM(raw_data!I420))</f>
        <v>Bhubaneswar</v>
      </c>
      <c r="O420" s="3" t="str">
        <f aca="false">PROPER(TRIM(raw_data!J420))</f>
        <v>Technology</v>
      </c>
      <c r="P420" s="3" t="str">
        <f aca="false">PROPER(TRIM(raw_data!K420))</f>
        <v>Copiers</v>
      </c>
      <c r="Q420" s="3" t="str">
        <f aca="false">TRIM(raw_data!L420)</f>
        <v>Elite Copiers 971</v>
      </c>
      <c r="R420" s="3" t="str">
        <f aca="false">IF(TRIM(raw_data!M420)="","Unknown",PROPER(TRIM(raw_data!M420)))</f>
        <v>Standard Class</v>
      </c>
      <c r="S420" s="3" t="str">
        <f aca="false">IF(TRIM(raw_data!M420)="","Filled - Unknown","OK")</f>
        <v>OK</v>
      </c>
      <c r="T420" s="6" t="n">
        <f aca="false">raw_data!N420</f>
        <v>6</v>
      </c>
      <c r="U420" s="7" t="n">
        <f aca="false">raw_data!O420</f>
        <v>3660.4</v>
      </c>
      <c r="V420" s="8" t="n">
        <f aca="false">raw_data!P420</f>
        <v>0</v>
      </c>
      <c r="W420" s="8" t="n">
        <f aca="false">IF(raw_data!P420="",0,IF(ISTEXT(raw_data!P420),IF(RIGHT(raw_data!P420,1)="%",VALUE(LEFT(raw_data!P420,LEN(raw_data!P420)-1))/100,VALUE(raw_data!P420)),raw_data!P420))</f>
        <v>0</v>
      </c>
      <c r="X420" s="3" t="str">
        <f aca="false">IF(raw_data!P420="","Missing - Defaulted to 0",IF(W420&lt;0,"Negative - Invalid",IF(W420&gt;0.3,"Above Allowed Range - Invalid","Valid")))</f>
        <v>Valid</v>
      </c>
      <c r="Y420" s="7" t="n">
        <f aca="false">raw_data!Q420</f>
        <v>21962.4</v>
      </c>
      <c r="Z420" s="7" t="n">
        <f aca="false">raw_data!R420</f>
        <v>15331.99</v>
      </c>
      <c r="AA420" s="7" t="n">
        <f aca="false">raw_data!S420</f>
        <v>6630.41</v>
      </c>
      <c r="AB420" s="3" t="str">
        <f aca="false">PROPER(TRIM(raw_data!T420))</f>
        <v>Failed</v>
      </c>
      <c r="AC420" s="3" t="str">
        <f aca="false">PROPER(TRIM(raw_data!U420))</f>
        <v>Cancelled</v>
      </c>
      <c r="AD420" s="7" t="n">
        <f aca="false">T420*U420*(1-W420)</f>
        <v>21962.4</v>
      </c>
      <c r="AE420" s="7" t="n">
        <f aca="false">AD420-Z420</f>
        <v>6630.41</v>
      </c>
      <c r="AF420" s="8" t="n">
        <f aca="false">IF(AD420=0,0,AE420/AD420)</f>
        <v>0.301898244272029</v>
      </c>
      <c r="AG420" s="3" t="str">
        <f aca="false">IF(ABS(Y420-AD420)&gt;1,"Mismatch","OK")</f>
        <v>OK</v>
      </c>
      <c r="AH420" s="3" t="str">
        <f aca="false">IF(ABS(AA420-AE420)&gt;1,"Mismatch","OK")</f>
        <v>OK</v>
      </c>
      <c r="AI420" s="6" t="n">
        <f aca="false">IF(B420="","",MONTH(B420))</f>
        <v>11</v>
      </c>
      <c r="AJ420" s="6" t="n">
        <f aca="false">IF(B420="","",YEAR(B420))</f>
        <v>2024</v>
      </c>
      <c r="AK420" s="3" t="str">
        <f aca="false">IF(COUNTIF(raw_data!$A$2:$A$913,A420)&gt;1,"Conflicting Duplicate - Flagged for Review","Unique")</f>
        <v>Unique</v>
      </c>
      <c r="AL420" s="3" t="str">
        <f aca="false">IF(AB420="Refunded","Yes","No")</f>
        <v>No</v>
      </c>
      <c r="AM420" s="3" t="str">
        <f aca="false">IF(OR(AC420&lt;&gt;"Completed",AB420="Failed"),"Excluded","Included")</f>
        <v>Excluded</v>
      </c>
      <c r="AN420" s="3" t="str">
        <f aca="false">IF(OR(D420="Invalid/Unrecognized",E420="Invalid/Unrecognized",G420="Invalid - Ship Before Order",X420="Negative - Invalid",X420="Above Allowed Range - Invalid",AG420="Mismatch",AH420="Mismatch",AK420="Conflicting Duplicate - Flagged for Review"),"Invalid",IF(OR(L420="Filled - Unknown",S420="Filled - Unknown",X420="Missing - Defaulted to 0",AL420="Yes",AC420="Cancelled",AC420="Returned"),"Warning","Clean"))</f>
        <v>Warning</v>
      </c>
    </row>
    <row r="421" customFormat="false" ht="15" hidden="false" customHeight="false" outlineLevel="0" collapsed="false">
      <c r="A421" s="3" t="str">
        <f aca="false">raw_data!A421</f>
        <v>ORD-2025-10420</v>
      </c>
      <c r="B421" s="4" t="n">
        <f aca="false">IFERROR(IF(MID(raw_data!B421,3,1)="/",DATE(VALUE(RIGHT(raw_data!B421,4)),VALUE(LEFT(raw_data!B421,2)),VALUE(MID(raw_data!B421,4,2))),IF(MID(raw_data!B421,3,1)="-",DATE(VALUE(RIGHT(raw_data!B421,4)),VALUE(MID(raw_data!B421,4,2)),VALUE(LEFT(raw_data!B421,2))),IF(MID(raw_data!B421,5,1)="-",DATE(VALUE(LEFT(raw_data!B421,4)),VALUE(MID(raw_data!B421,6,2)),VALUE(RIGHT(raw_data!B421,2))),DATE(VALUE(RIGHT(raw_data!B421,4)),MATCH(MID(raw_data!B421,4,3),{"Jan","Feb","Mar","Apr","May","Jun","Jul","Aug","Sep","Oct","Nov","Dec"},0),VALUE(LEFT(raw_data!B421,2)))))),"")</f>
        <v>45926</v>
      </c>
      <c r="C421" s="4" t="n">
        <f aca="false">IFERROR(IF(MID(raw_data!C421,3,1)="/",DATE(VALUE(RIGHT(raw_data!C421,4)),VALUE(LEFT(raw_data!C421,2)),VALUE(MID(raw_data!C421,4,2))),IF(MID(raw_data!C421,3,1)="-",DATE(VALUE(RIGHT(raw_data!C421,4)),VALUE(MID(raw_data!C421,4,2)),VALUE(LEFT(raw_data!C421,2))),IF(MID(raw_data!C421,5,1)="-",DATE(VALUE(LEFT(raw_data!C421,4)),VALUE(MID(raw_data!C421,6,2)),VALUE(RIGHT(raw_data!C421,2))),DATE(VALUE(RIGHT(raw_data!C421,4)),MATCH(MID(raw_data!C421,4,3),{"Jan","Feb","Mar","Apr","May","Jun","Jul","Aug","Sep","Oct","Nov","Dec"},0),VALUE(LEFT(raw_data!C421,2)))))),"")</f>
        <v>45930</v>
      </c>
      <c r="D421" s="3" t="str">
        <f aca="false">IF(TRIM(raw_data!B421)="","Missing",IF(B421="","Invalid/Unrecognized","Valid"))</f>
        <v>Valid</v>
      </c>
      <c r="E421" s="3" t="str">
        <f aca="false">IF(TRIM(raw_data!C421)="","Missing",IF(C421="","Invalid/Unrecognized","Valid"))</f>
        <v>Valid</v>
      </c>
      <c r="F421" s="5" t="n">
        <f aca="false">IF(OR(B421="",C421=""),"",C421-B421)</f>
        <v>4</v>
      </c>
      <c r="G421" s="3" t="str">
        <f aca="false">IF(F421="","N/A",IF(F421&lt;0,"Invalid - Ship Before Order","OK"))</f>
        <v>OK</v>
      </c>
      <c r="H421" s="3" t="str">
        <f aca="false">raw_data!D421</f>
        <v>CUST-6552</v>
      </c>
      <c r="I421" s="3" t="str">
        <f aca="false">PROPER(TRIM(raw_data!E421))</f>
        <v>Sneha Kapoor</v>
      </c>
      <c r="J421" s="3" t="str">
        <f aca="false">PROPER(TRIM(raw_data!F421))</f>
        <v>Home Office</v>
      </c>
      <c r="K421" s="3" t="str">
        <f aca="false">IF(TRIM(raw_data!G421)="","Unknown",PROPER(TRIM(raw_data!G421)))</f>
        <v>North</v>
      </c>
      <c r="L421" s="3" t="str">
        <f aca="false">IF(TRIM(raw_data!G421)="","Filled - Unknown","OK")</f>
        <v>OK</v>
      </c>
      <c r="M421" s="3" t="str">
        <f aca="false">PROPER(TRIM(raw_data!H421))</f>
        <v>Haryana</v>
      </c>
      <c r="N421" s="3" t="str">
        <f aca="false">PROPER(TRIM(raw_data!I421))</f>
        <v>Gurugram</v>
      </c>
      <c r="O421" s="3" t="str">
        <f aca="false">PROPER(TRIM(raw_data!J421))</f>
        <v>Technology</v>
      </c>
      <c r="P421" s="3" t="str">
        <f aca="false">PROPER(TRIM(raw_data!K421))</f>
        <v>Phones</v>
      </c>
      <c r="Q421" s="3" t="str">
        <f aca="false">TRIM(raw_data!L421)</f>
        <v>Classic Phones 940</v>
      </c>
      <c r="R421" s="3" t="str">
        <f aca="false">IF(TRIM(raw_data!M421)="","Unknown",PROPER(TRIM(raw_data!M421)))</f>
        <v>Same Day</v>
      </c>
      <c r="S421" s="3" t="str">
        <f aca="false">IF(TRIM(raw_data!M421)="","Filled - Unknown","OK")</f>
        <v>OK</v>
      </c>
      <c r="T421" s="6" t="n">
        <f aca="false">raw_data!N421</f>
        <v>2</v>
      </c>
      <c r="U421" s="7" t="n">
        <f aca="false">raw_data!O421</f>
        <v>688.83</v>
      </c>
      <c r="V421" s="8" t="n">
        <f aca="false">raw_data!P421</f>
        <v>0.05</v>
      </c>
      <c r="W421" s="8" t="n">
        <f aca="false">IF(raw_data!P421="",0,IF(ISTEXT(raw_data!P421),IF(RIGHT(raw_data!P421,1)="%",VALUE(LEFT(raw_data!P421,LEN(raw_data!P421)-1))/100,VALUE(raw_data!P421)),raw_data!P421))</f>
        <v>0.05</v>
      </c>
      <c r="X421" s="3" t="str">
        <f aca="false">IF(raw_data!P421="","Missing - Defaulted to 0",IF(W421&lt;0,"Negative - Invalid",IF(W421&gt;0.3,"Above Allowed Range - Invalid","Valid")))</f>
        <v>Valid</v>
      </c>
      <c r="Y421" s="7" t="n">
        <f aca="false">raw_data!Q421</f>
        <v>1308.78</v>
      </c>
      <c r="Z421" s="7" t="n">
        <f aca="false">raw_data!R421</f>
        <v>843</v>
      </c>
      <c r="AA421" s="7" t="n">
        <f aca="false">raw_data!S421</f>
        <v>465.78</v>
      </c>
      <c r="AB421" s="3" t="str">
        <f aca="false">PROPER(TRIM(raw_data!T421))</f>
        <v>Paid</v>
      </c>
      <c r="AC421" s="3" t="str">
        <f aca="false">PROPER(TRIM(raw_data!U421))</f>
        <v>Completed</v>
      </c>
      <c r="AD421" s="7" t="n">
        <f aca="false">T421*U421*(1-W421)</f>
        <v>1308.777</v>
      </c>
      <c r="AE421" s="7" t="n">
        <f aca="false">AD421-Z421</f>
        <v>465.777</v>
      </c>
      <c r="AF421" s="8" t="n">
        <f aca="false">IF(AD421=0,0,AE421/AD421)</f>
        <v>0.35588721378814</v>
      </c>
      <c r="AG421" s="3" t="str">
        <f aca="false">IF(ABS(Y421-AD421)&gt;1,"Mismatch","OK")</f>
        <v>OK</v>
      </c>
      <c r="AH421" s="3" t="str">
        <f aca="false">IF(ABS(AA421-AE421)&gt;1,"Mismatch","OK")</f>
        <v>OK</v>
      </c>
      <c r="AI421" s="6" t="n">
        <f aca="false">IF(B421="","",MONTH(B421))</f>
        <v>9</v>
      </c>
      <c r="AJ421" s="6" t="n">
        <f aca="false">IF(B421="","",YEAR(B421))</f>
        <v>2025</v>
      </c>
      <c r="AK421" s="3" t="str">
        <f aca="false">IF(COUNTIF(raw_data!$A$2:$A$913,A421)&gt;1,"Conflicting Duplicate - Flagged for Review","Unique")</f>
        <v>Unique</v>
      </c>
      <c r="AL421" s="3" t="str">
        <f aca="false">IF(AB421="Refunded","Yes","No")</f>
        <v>No</v>
      </c>
      <c r="AM421" s="3" t="str">
        <f aca="false">IF(OR(AC421&lt;&gt;"Completed",AB421="Failed"),"Excluded","Included")</f>
        <v>Included</v>
      </c>
      <c r="AN421" s="3" t="str">
        <f aca="false">IF(OR(D421="Invalid/Unrecognized",E421="Invalid/Unrecognized",G421="Invalid - Ship Before Order",X421="Negative - Invalid",X421="Above Allowed Range - Invalid",AG421="Mismatch",AH421="Mismatch",AK421="Conflicting Duplicate - Flagged for Review"),"Invalid",IF(OR(L421="Filled - Unknown",S421="Filled - Unknown",X421="Missing - Defaulted to 0",AL421="Yes",AC421="Cancelled",AC421="Returned"),"Warning","Clean"))</f>
        <v>Clean</v>
      </c>
    </row>
    <row r="422" customFormat="false" ht="15" hidden="false" customHeight="false" outlineLevel="0" collapsed="false">
      <c r="A422" s="3" t="str">
        <f aca="false">raw_data!A422</f>
        <v>ORD-2025-10421</v>
      </c>
      <c r="B422" s="4" t="n">
        <f aca="false">IFERROR(IF(MID(raw_data!B422,3,1)="/",DATE(VALUE(RIGHT(raw_data!B422,4)),VALUE(LEFT(raw_data!B422,2)),VALUE(MID(raw_data!B422,4,2))),IF(MID(raw_data!B422,3,1)="-",DATE(VALUE(RIGHT(raw_data!B422,4)),VALUE(MID(raw_data!B422,4,2)),VALUE(LEFT(raw_data!B422,2))),IF(MID(raw_data!B422,5,1)="-",DATE(VALUE(LEFT(raw_data!B422,4)),VALUE(MID(raw_data!B422,6,2)),VALUE(RIGHT(raw_data!B422,2))),DATE(VALUE(RIGHT(raw_data!B422,4)),MATCH(MID(raw_data!B422,4,3),{"Jan","Feb","Mar","Apr","May","Jun","Jul","Aug","Sep","Oct","Nov","Dec"},0),VALUE(LEFT(raw_data!B422,2)))))),"")</f>
        <v>45734</v>
      </c>
      <c r="C422" s="4" t="n">
        <f aca="false">IFERROR(IF(MID(raw_data!C422,3,1)="/",DATE(VALUE(RIGHT(raw_data!C422,4)),VALUE(LEFT(raw_data!C422,2)),VALUE(MID(raw_data!C422,4,2))),IF(MID(raw_data!C422,3,1)="-",DATE(VALUE(RIGHT(raw_data!C422,4)),VALUE(MID(raw_data!C422,4,2)),VALUE(LEFT(raw_data!C422,2))),IF(MID(raw_data!C422,5,1)="-",DATE(VALUE(LEFT(raw_data!C422,4)),VALUE(MID(raw_data!C422,6,2)),VALUE(RIGHT(raw_data!C422,2))),DATE(VALUE(RIGHT(raw_data!C422,4)),MATCH(MID(raw_data!C422,4,3),{"Jan","Feb","Mar","Apr","May","Jun","Jul","Aug","Sep","Oct","Nov","Dec"},0),VALUE(LEFT(raw_data!C422,2)))))),"")</f>
        <v>45735</v>
      </c>
      <c r="D422" s="3" t="str">
        <f aca="false">IF(TRIM(raw_data!B422)="","Missing",IF(B422="","Invalid/Unrecognized","Valid"))</f>
        <v>Valid</v>
      </c>
      <c r="E422" s="3" t="str">
        <f aca="false">IF(TRIM(raw_data!C422)="","Missing",IF(C422="","Invalid/Unrecognized","Valid"))</f>
        <v>Valid</v>
      </c>
      <c r="F422" s="5" t="n">
        <f aca="false">IF(OR(B422="",C422=""),"",C422-B422)</f>
        <v>1</v>
      </c>
      <c r="G422" s="3" t="str">
        <f aca="false">IF(F422="","N/A",IF(F422&lt;0,"Invalid - Ship Before Order","OK"))</f>
        <v>OK</v>
      </c>
      <c r="H422" s="3" t="str">
        <f aca="false">raw_data!D422</f>
        <v>CUST-7131</v>
      </c>
      <c r="I422" s="3" t="str">
        <f aca="false">PROPER(TRIM(raw_data!E422))</f>
        <v>Isha Nair</v>
      </c>
      <c r="J422" s="3" t="str">
        <f aca="false">PROPER(TRIM(raw_data!F422))</f>
        <v>Corporate</v>
      </c>
      <c r="K422" s="3" t="str">
        <f aca="false">IF(TRIM(raw_data!G422)="","Unknown",PROPER(TRIM(raw_data!G422)))</f>
        <v>South</v>
      </c>
      <c r="L422" s="3" t="str">
        <f aca="false">IF(TRIM(raw_data!G422)="","Filled - Unknown","OK")</f>
        <v>OK</v>
      </c>
      <c r="M422" s="3" t="str">
        <f aca="false">PROPER(TRIM(raw_data!H422))</f>
        <v>Tamil Nadu</v>
      </c>
      <c r="N422" s="3" t="str">
        <f aca="false">PROPER(TRIM(raw_data!I422))</f>
        <v>Chennai</v>
      </c>
      <c r="O422" s="3" t="str">
        <f aca="false">PROPER(TRIM(raw_data!J422))</f>
        <v>Technology</v>
      </c>
      <c r="P422" s="3" t="str">
        <f aca="false">PROPER(TRIM(raw_data!K422))</f>
        <v>Machines</v>
      </c>
      <c r="Q422" s="3" t="str">
        <f aca="false">TRIM(raw_data!L422)</f>
        <v>Pro Machines 579</v>
      </c>
      <c r="R422" s="3" t="str">
        <f aca="false">IF(TRIM(raw_data!M422)="","Unknown",PROPER(TRIM(raw_data!M422)))</f>
        <v>Standard Class</v>
      </c>
      <c r="S422" s="3" t="str">
        <f aca="false">IF(TRIM(raw_data!M422)="","Filled - Unknown","OK")</f>
        <v>OK</v>
      </c>
      <c r="T422" s="6" t="n">
        <f aca="false">raw_data!N422</f>
        <v>2</v>
      </c>
      <c r="U422" s="7" t="n">
        <f aca="false">raw_data!O422</f>
        <v>1209.99</v>
      </c>
      <c r="V422" s="8" t="n">
        <f aca="false">raw_data!P422</f>
        <v>0.25</v>
      </c>
      <c r="W422" s="8" t="n">
        <f aca="false">IF(raw_data!P422="",0,IF(ISTEXT(raw_data!P422),IF(RIGHT(raw_data!P422,1)="%",VALUE(LEFT(raw_data!P422,LEN(raw_data!P422)-1))/100,VALUE(raw_data!P422)),raw_data!P422))</f>
        <v>0.25</v>
      </c>
      <c r="X422" s="3" t="str">
        <f aca="false">IF(raw_data!P422="","Missing - Defaulted to 0",IF(W422&lt;0,"Negative - Invalid",IF(W422&gt;0.3,"Above Allowed Range - Invalid","Valid")))</f>
        <v>Valid</v>
      </c>
      <c r="Y422" s="7" t="n">
        <f aca="false">raw_data!Q422</f>
        <v>1814.99</v>
      </c>
      <c r="Z422" s="7" t="n">
        <f aca="false">raw_data!R422</f>
        <v>1120.06</v>
      </c>
      <c r="AA422" s="7" t="n">
        <f aca="false">raw_data!S422</f>
        <v>694.93</v>
      </c>
      <c r="AB422" s="3" t="str">
        <f aca="false">PROPER(TRIM(raw_data!T422))</f>
        <v>Pending</v>
      </c>
      <c r="AC422" s="3" t="str">
        <f aca="false">PROPER(TRIM(raw_data!U422))</f>
        <v>Cancelled</v>
      </c>
      <c r="AD422" s="7" t="n">
        <f aca="false">T422*U422*(1-W422)</f>
        <v>1814.985</v>
      </c>
      <c r="AE422" s="7" t="n">
        <f aca="false">AD422-Z422</f>
        <v>694.925</v>
      </c>
      <c r="AF422" s="8" t="n">
        <f aca="false">IF(AD422=0,0,AE422/AD422)</f>
        <v>0.382881952192442</v>
      </c>
      <c r="AG422" s="3" t="str">
        <f aca="false">IF(ABS(Y422-AD422)&gt;1,"Mismatch","OK")</f>
        <v>OK</v>
      </c>
      <c r="AH422" s="3" t="str">
        <f aca="false">IF(ABS(AA422-AE422)&gt;1,"Mismatch","OK")</f>
        <v>OK</v>
      </c>
      <c r="AI422" s="6" t="n">
        <f aca="false">IF(B422="","",MONTH(B422))</f>
        <v>3</v>
      </c>
      <c r="AJ422" s="6" t="n">
        <f aca="false">IF(B422="","",YEAR(B422))</f>
        <v>2025</v>
      </c>
      <c r="AK422" s="3" t="str">
        <f aca="false">IF(COUNTIF(raw_data!$A$2:$A$913,A422)&gt;1,"Conflicting Duplicate - Flagged for Review","Unique")</f>
        <v>Unique</v>
      </c>
      <c r="AL422" s="3" t="str">
        <f aca="false">IF(AB422="Refunded","Yes","No")</f>
        <v>No</v>
      </c>
      <c r="AM422" s="3" t="str">
        <f aca="false">IF(OR(AC422&lt;&gt;"Completed",AB422="Failed"),"Excluded","Included")</f>
        <v>Excluded</v>
      </c>
      <c r="AN422" s="3" t="str">
        <f aca="false">IF(OR(D422="Invalid/Unrecognized",E422="Invalid/Unrecognized",G422="Invalid - Ship Before Order",X422="Negative - Invalid",X422="Above Allowed Range - Invalid",AG422="Mismatch",AH422="Mismatch",AK422="Conflicting Duplicate - Flagged for Review"),"Invalid",IF(OR(L422="Filled - Unknown",S422="Filled - Unknown",X422="Missing - Defaulted to 0",AL422="Yes",AC422="Cancelled",AC422="Returned"),"Warning","Clean"))</f>
        <v>Warning</v>
      </c>
    </row>
    <row r="423" customFormat="false" ht="15" hidden="false" customHeight="false" outlineLevel="0" collapsed="false">
      <c r="A423" s="3" t="str">
        <f aca="false">raw_data!A423</f>
        <v>ORD-2025-10422</v>
      </c>
      <c r="B423" s="4" t="n">
        <f aca="false">IFERROR(IF(MID(raw_data!B423,3,1)="/",DATE(VALUE(RIGHT(raw_data!B423,4)),VALUE(LEFT(raw_data!B423,2)),VALUE(MID(raw_data!B423,4,2))),IF(MID(raw_data!B423,3,1)="-",DATE(VALUE(RIGHT(raw_data!B423,4)),VALUE(MID(raw_data!B423,4,2)),VALUE(LEFT(raw_data!B423,2))),IF(MID(raw_data!B423,5,1)="-",DATE(VALUE(LEFT(raw_data!B423,4)),VALUE(MID(raw_data!B423,6,2)),VALUE(RIGHT(raw_data!B423,2))),DATE(VALUE(RIGHT(raw_data!B423,4)),MATCH(MID(raw_data!B423,4,3),{"Jan","Feb","Mar","Apr","May","Jun","Jul","Aug","Sep","Oct","Nov","Dec"},0),VALUE(LEFT(raw_data!B423,2)))))),"")</f>
        <v>45822</v>
      </c>
      <c r="C423" s="4" t="n">
        <f aca="false">IFERROR(IF(MID(raw_data!C423,3,1)="/",DATE(VALUE(RIGHT(raw_data!C423,4)),VALUE(LEFT(raw_data!C423,2)),VALUE(MID(raw_data!C423,4,2))),IF(MID(raw_data!C423,3,1)="-",DATE(VALUE(RIGHT(raw_data!C423,4)),VALUE(MID(raw_data!C423,4,2)),VALUE(LEFT(raw_data!C423,2))),IF(MID(raw_data!C423,5,1)="-",DATE(VALUE(LEFT(raw_data!C423,4)),VALUE(MID(raw_data!C423,6,2)),VALUE(RIGHT(raw_data!C423,2))),DATE(VALUE(RIGHT(raw_data!C423,4)),MATCH(MID(raw_data!C423,4,3),{"Jan","Feb","Mar","Apr","May","Jun","Jul","Aug","Sep","Oct","Nov","Dec"},0),VALUE(LEFT(raw_data!C423,2)))))),"")</f>
        <v>45827</v>
      </c>
      <c r="D423" s="3" t="str">
        <f aca="false">IF(TRIM(raw_data!B423)="","Missing",IF(B423="","Invalid/Unrecognized","Valid"))</f>
        <v>Valid</v>
      </c>
      <c r="E423" s="3" t="str">
        <f aca="false">IF(TRIM(raw_data!C423)="","Missing",IF(C423="","Invalid/Unrecognized","Valid"))</f>
        <v>Valid</v>
      </c>
      <c r="F423" s="5" t="n">
        <f aca="false">IF(OR(B423="",C423=""),"",C423-B423)</f>
        <v>5</v>
      </c>
      <c r="G423" s="3" t="str">
        <f aca="false">IF(F423="","N/A",IF(F423&lt;0,"Invalid - Ship Before Order","OK"))</f>
        <v>OK</v>
      </c>
      <c r="H423" s="3" t="str">
        <f aca="false">raw_data!D423</f>
        <v>CUST-2779</v>
      </c>
      <c r="I423" s="3" t="str">
        <f aca="false">PROPER(TRIM(raw_data!E423))</f>
        <v>Rohan Mehta</v>
      </c>
      <c r="J423" s="3" t="str">
        <f aca="false">PROPER(TRIM(raw_data!F423))</f>
        <v>Small Business</v>
      </c>
      <c r="K423" s="3" t="str">
        <f aca="false">IF(TRIM(raw_data!G423)="","Unknown",PROPER(TRIM(raw_data!G423)))</f>
        <v>North</v>
      </c>
      <c r="L423" s="3" t="str">
        <f aca="false">IF(TRIM(raw_data!G423)="","Filled - Unknown","OK")</f>
        <v>OK</v>
      </c>
      <c r="M423" s="3" t="str">
        <f aca="false">PROPER(TRIM(raw_data!H423))</f>
        <v>Delhi</v>
      </c>
      <c r="N423" s="3" t="str">
        <f aca="false">PROPER(TRIM(raw_data!I423))</f>
        <v>New Delhi</v>
      </c>
      <c r="O423" s="3" t="str">
        <f aca="false">PROPER(TRIM(raw_data!J423))</f>
        <v>Office Supplies</v>
      </c>
      <c r="P423" s="3" t="str">
        <f aca="false">PROPER(TRIM(raw_data!K423))</f>
        <v>Binders</v>
      </c>
      <c r="Q423" s="3" t="str">
        <f aca="false">TRIM(raw_data!L423)</f>
        <v>Elite Binders 943</v>
      </c>
      <c r="R423" s="3" t="str">
        <f aca="false">IF(TRIM(raw_data!M423)="","Unknown",PROPER(TRIM(raw_data!M423)))</f>
        <v>Same Day</v>
      </c>
      <c r="S423" s="3" t="str">
        <f aca="false">IF(TRIM(raw_data!M423)="","Filled - Unknown","OK")</f>
        <v>OK</v>
      </c>
      <c r="T423" s="6" t="n">
        <f aca="false">raw_data!N423</f>
        <v>3</v>
      </c>
      <c r="U423" s="7" t="n">
        <f aca="false">raw_data!O423</f>
        <v>1037.45</v>
      </c>
      <c r="V423" s="8" t="n">
        <f aca="false">raw_data!P423</f>
        <v>0.2</v>
      </c>
      <c r="W423" s="8" t="n">
        <f aca="false">IF(raw_data!P423="",0,IF(ISTEXT(raw_data!P423),IF(RIGHT(raw_data!P423,1)="%",VALUE(LEFT(raw_data!P423,LEN(raw_data!P423)-1))/100,VALUE(raw_data!P423)),raw_data!P423))</f>
        <v>0.2</v>
      </c>
      <c r="X423" s="3" t="str">
        <f aca="false">IF(raw_data!P423="","Missing - Defaulted to 0",IF(W423&lt;0,"Negative - Invalid",IF(W423&gt;0.3,"Above Allowed Range - Invalid","Valid")))</f>
        <v>Valid</v>
      </c>
      <c r="Y423" s="7" t="n">
        <f aca="false">raw_data!Q423</f>
        <v>2489.88</v>
      </c>
      <c r="Z423" s="7" t="n">
        <f aca="false">raw_data!R423</f>
        <v>1707.52</v>
      </c>
      <c r="AA423" s="7" t="n">
        <f aca="false">raw_data!S423</f>
        <v>782.36</v>
      </c>
      <c r="AB423" s="3" t="str">
        <f aca="false">PROPER(TRIM(raw_data!T423))</f>
        <v>Pending</v>
      </c>
      <c r="AC423" s="3" t="str">
        <f aca="false">PROPER(TRIM(raw_data!U423))</f>
        <v>Returned</v>
      </c>
      <c r="AD423" s="7" t="n">
        <f aca="false">T423*U423*(1-W423)</f>
        <v>2489.88</v>
      </c>
      <c r="AE423" s="7" t="n">
        <f aca="false">AD423-Z423</f>
        <v>782.360000000001</v>
      </c>
      <c r="AF423" s="8" t="n">
        <f aca="false">IF(AD423=0,0,AE423/AD423)</f>
        <v>0.314215946150015</v>
      </c>
      <c r="AG423" s="3" t="str">
        <f aca="false">IF(ABS(Y423-AD423)&gt;1,"Mismatch","OK")</f>
        <v>OK</v>
      </c>
      <c r="AH423" s="3" t="str">
        <f aca="false">IF(ABS(AA423-AE423)&gt;1,"Mismatch","OK")</f>
        <v>OK</v>
      </c>
      <c r="AI423" s="6" t="n">
        <f aca="false">IF(B423="","",MONTH(B423))</f>
        <v>6</v>
      </c>
      <c r="AJ423" s="6" t="n">
        <f aca="false">IF(B423="","",YEAR(B423))</f>
        <v>2025</v>
      </c>
      <c r="AK423" s="3" t="str">
        <f aca="false">IF(COUNTIF(raw_data!$A$2:$A$913,A423)&gt;1,"Conflicting Duplicate - Flagged for Review","Unique")</f>
        <v>Unique</v>
      </c>
      <c r="AL423" s="3" t="str">
        <f aca="false">IF(AB423="Refunded","Yes","No")</f>
        <v>No</v>
      </c>
      <c r="AM423" s="3" t="str">
        <f aca="false">IF(OR(AC423&lt;&gt;"Completed",AB423="Failed"),"Excluded","Included")</f>
        <v>Excluded</v>
      </c>
      <c r="AN423" s="3" t="str">
        <f aca="false">IF(OR(D423="Invalid/Unrecognized",E423="Invalid/Unrecognized",G423="Invalid - Ship Before Order",X423="Negative - Invalid",X423="Above Allowed Range - Invalid",AG423="Mismatch",AH423="Mismatch",AK423="Conflicting Duplicate - Flagged for Review"),"Invalid",IF(OR(L423="Filled - Unknown",S423="Filled - Unknown",X423="Missing - Defaulted to 0",AL423="Yes",AC423="Cancelled",AC423="Returned"),"Warning","Clean"))</f>
        <v>Warning</v>
      </c>
    </row>
    <row r="424" customFormat="false" ht="15" hidden="false" customHeight="false" outlineLevel="0" collapsed="false">
      <c r="A424" s="3" t="str">
        <f aca="false">raw_data!A424</f>
        <v>ORD-2025-10423</v>
      </c>
      <c r="B424" s="4" t="n">
        <f aca="false">IFERROR(IF(MID(raw_data!B424,3,1)="/",DATE(VALUE(RIGHT(raw_data!B424,4)),VALUE(LEFT(raw_data!B424,2)),VALUE(MID(raw_data!B424,4,2))),IF(MID(raw_data!B424,3,1)="-",DATE(VALUE(RIGHT(raw_data!B424,4)),VALUE(MID(raw_data!B424,4,2)),VALUE(LEFT(raw_data!B424,2))),IF(MID(raw_data!B424,5,1)="-",DATE(VALUE(LEFT(raw_data!B424,4)),VALUE(MID(raw_data!B424,6,2)),VALUE(RIGHT(raw_data!B424,2))),DATE(VALUE(RIGHT(raw_data!B424,4)),MATCH(MID(raw_data!B424,4,3),{"Jan","Feb","Mar","Apr","May","Jun","Jul","Aug","Sep","Oct","Nov","Dec"},0),VALUE(LEFT(raw_data!B424,2)))))),"")</f>
        <v>45903</v>
      </c>
      <c r="C424" s="4" t="n">
        <f aca="false">IFERROR(IF(MID(raw_data!C424,3,1)="/",DATE(VALUE(RIGHT(raw_data!C424,4)),VALUE(LEFT(raw_data!C424,2)),VALUE(MID(raw_data!C424,4,2))),IF(MID(raw_data!C424,3,1)="-",DATE(VALUE(RIGHT(raw_data!C424,4)),VALUE(MID(raw_data!C424,4,2)),VALUE(LEFT(raw_data!C424,2))),IF(MID(raw_data!C424,5,1)="-",DATE(VALUE(LEFT(raw_data!C424,4)),VALUE(MID(raw_data!C424,6,2)),VALUE(RIGHT(raw_data!C424,2))),DATE(VALUE(RIGHT(raw_data!C424,4)),MATCH(MID(raw_data!C424,4,3),{"Jan","Feb","Mar","Apr","May","Jun","Jul","Aug","Sep","Oct","Nov","Dec"},0),VALUE(LEFT(raw_data!C424,2)))))),"")</f>
        <v>45906</v>
      </c>
      <c r="D424" s="3" t="str">
        <f aca="false">IF(TRIM(raw_data!B424)="","Missing",IF(B424="","Invalid/Unrecognized","Valid"))</f>
        <v>Valid</v>
      </c>
      <c r="E424" s="3" t="str">
        <f aca="false">IF(TRIM(raw_data!C424)="","Missing",IF(C424="","Invalid/Unrecognized","Valid"))</f>
        <v>Valid</v>
      </c>
      <c r="F424" s="5" t="n">
        <f aca="false">IF(OR(B424="",C424=""),"",C424-B424)</f>
        <v>3</v>
      </c>
      <c r="G424" s="3" t="str">
        <f aca="false">IF(F424="","N/A",IF(F424&lt;0,"Invalid - Ship Before Order","OK"))</f>
        <v>OK</v>
      </c>
      <c r="H424" s="3" t="str">
        <f aca="false">raw_data!D424</f>
        <v>CUST-6077</v>
      </c>
      <c r="I424" s="3" t="str">
        <f aca="false">PROPER(TRIM(raw_data!E424))</f>
        <v>Kabir Singh</v>
      </c>
      <c r="J424" s="3" t="str">
        <f aca="false">PROPER(TRIM(raw_data!F424))</f>
        <v>Consumer</v>
      </c>
      <c r="K424" s="3" t="str">
        <f aca="false">IF(TRIM(raw_data!G424)="","Unknown",PROPER(TRIM(raw_data!G424)))</f>
        <v>West</v>
      </c>
      <c r="L424" s="3" t="str">
        <f aca="false">IF(TRIM(raw_data!G424)="","Filled - Unknown","OK")</f>
        <v>OK</v>
      </c>
      <c r="M424" s="3" t="str">
        <f aca="false">PROPER(TRIM(raw_data!H424))</f>
        <v>Madhya Pradesh</v>
      </c>
      <c r="N424" s="3" t="str">
        <f aca="false">PROPER(TRIM(raw_data!I424))</f>
        <v>Indore</v>
      </c>
      <c r="O424" s="3" t="str">
        <f aca="false">PROPER(TRIM(raw_data!J424))</f>
        <v>Technology</v>
      </c>
      <c r="P424" s="3" t="str">
        <f aca="false">PROPER(TRIM(raw_data!K424))</f>
        <v>Copiers</v>
      </c>
      <c r="Q424" s="3" t="str">
        <f aca="false">TRIM(raw_data!L424)</f>
        <v>Elite Copiers 474</v>
      </c>
      <c r="R424" s="3" t="str">
        <f aca="false">IF(TRIM(raw_data!M424)="","Unknown",PROPER(TRIM(raw_data!M424)))</f>
        <v>Same Day</v>
      </c>
      <c r="S424" s="3" t="str">
        <f aca="false">IF(TRIM(raw_data!M424)="","Filled - Unknown","OK")</f>
        <v>OK</v>
      </c>
      <c r="T424" s="6" t="n">
        <f aca="false">raw_data!N424</f>
        <v>7</v>
      </c>
      <c r="U424" s="7" t="n">
        <f aca="false">raw_data!O424</f>
        <v>688.85</v>
      </c>
      <c r="V424" s="8" t="n">
        <f aca="false">raw_data!P424</f>
        <v>0.15</v>
      </c>
      <c r="W424" s="8" t="n">
        <f aca="false">IF(raw_data!P424="",0,IF(ISTEXT(raw_data!P424),IF(RIGHT(raw_data!P424,1)="%",VALUE(LEFT(raw_data!P424,LEN(raw_data!P424)-1))/100,VALUE(raw_data!P424)),raw_data!P424))</f>
        <v>0.15</v>
      </c>
      <c r="X424" s="3" t="str">
        <f aca="false">IF(raw_data!P424="","Missing - Defaulted to 0",IF(W424&lt;0,"Negative - Invalid",IF(W424&gt;0.3,"Above Allowed Range - Invalid","Valid")))</f>
        <v>Valid</v>
      </c>
      <c r="Y424" s="7" t="n">
        <f aca="false">raw_data!Q424</f>
        <v>4098.66</v>
      </c>
      <c r="Z424" s="7" t="n">
        <f aca="false">raw_data!R424</f>
        <v>2678.06</v>
      </c>
      <c r="AA424" s="7" t="n">
        <f aca="false">raw_data!S424</f>
        <v>1420.6</v>
      </c>
      <c r="AB424" s="3" t="str">
        <f aca="false">PROPER(TRIM(raw_data!T424))</f>
        <v>Paid</v>
      </c>
      <c r="AC424" s="3" t="str">
        <f aca="false">PROPER(TRIM(raw_data!U424))</f>
        <v>Completed</v>
      </c>
      <c r="AD424" s="7" t="n">
        <f aca="false">T424*U424*(1-W424)</f>
        <v>4098.6575</v>
      </c>
      <c r="AE424" s="7" t="n">
        <f aca="false">AD424-Z424</f>
        <v>1420.5975</v>
      </c>
      <c r="AF424" s="8" t="n">
        <f aca="false">IF(AD424=0,0,AE424/AD424)</f>
        <v>0.346600685712334</v>
      </c>
      <c r="AG424" s="3" t="str">
        <f aca="false">IF(ABS(Y424-AD424)&gt;1,"Mismatch","OK")</f>
        <v>OK</v>
      </c>
      <c r="AH424" s="3" t="str">
        <f aca="false">IF(ABS(AA424-AE424)&gt;1,"Mismatch","OK")</f>
        <v>OK</v>
      </c>
      <c r="AI424" s="6" t="n">
        <f aca="false">IF(B424="","",MONTH(B424))</f>
        <v>9</v>
      </c>
      <c r="AJ424" s="6" t="n">
        <f aca="false">IF(B424="","",YEAR(B424))</f>
        <v>2025</v>
      </c>
      <c r="AK424" s="3" t="str">
        <f aca="false">IF(COUNTIF(raw_data!$A$2:$A$913,A424)&gt;1,"Conflicting Duplicate - Flagged for Review","Unique")</f>
        <v>Unique</v>
      </c>
      <c r="AL424" s="3" t="str">
        <f aca="false">IF(AB424="Refunded","Yes","No")</f>
        <v>No</v>
      </c>
      <c r="AM424" s="3" t="str">
        <f aca="false">IF(OR(AC424&lt;&gt;"Completed",AB424="Failed"),"Excluded","Included")</f>
        <v>Included</v>
      </c>
      <c r="AN424" s="3" t="str">
        <f aca="false">IF(OR(D424="Invalid/Unrecognized",E424="Invalid/Unrecognized",G424="Invalid - Ship Before Order",X424="Negative - Invalid",X424="Above Allowed Range - Invalid",AG424="Mismatch",AH424="Mismatch",AK424="Conflicting Duplicate - Flagged for Review"),"Invalid",IF(OR(L424="Filled - Unknown",S424="Filled - Unknown",X424="Missing - Defaulted to 0",AL424="Yes",AC424="Cancelled",AC424="Returned"),"Warning","Clean"))</f>
        <v>Clean</v>
      </c>
    </row>
    <row r="425" customFormat="false" ht="15" hidden="false" customHeight="false" outlineLevel="0" collapsed="false">
      <c r="A425" s="3" t="str">
        <f aca="false">raw_data!A425</f>
        <v>ORD-2024-10424</v>
      </c>
      <c r="B425" s="4" t="n">
        <f aca="false">IFERROR(IF(MID(raw_data!B425,3,1)="/",DATE(VALUE(RIGHT(raw_data!B425,4)),VALUE(LEFT(raw_data!B425,2)),VALUE(MID(raw_data!B425,4,2))),IF(MID(raw_data!B425,3,1)="-",DATE(VALUE(RIGHT(raw_data!B425,4)),VALUE(MID(raw_data!B425,4,2)),VALUE(LEFT(raw_data!B425,2))),IF(MID(raw_data!B425,5,1)="-",DATE(VALUE(LEFT(raw_data!B425,4)),VALUE(MID(raw_data!B425,6,2)),VALUE(RIGHT(raw_data!B425,2))),DATE(VALUE(RIGHT(raw_data!B425,4)),MATCH(MID(raw_data!B425,4,3),{"Jan","Feb","Mar","Apr","May","Jun","Jul","Aug","Sep","Oct","Nov","Dec"},0),VALUE(LEFT(raw_data!B425,2)))))),"")</f>
        <v>45342</v>
      </c>
      <c r="C425" s="4" t="n">
        <f aca="false">IFERROR(IF(MID(raw_data!C425,3,1)="/",DATE(VALUE(RIGHT(raw_data!C425,4)),VALUE(LEFT(raw_data!C425,2)),VALUE(MID(raw_data!C425,4,2))),IF(MID(raw_data!C425,3,1)="-",DATE(VALUE(RIGHT(raw_data!C425,4)),VALUE(MID(raw_data!C425,4,2)),VALUE(LEFT(raw_data!C425,2))),IF(MID(raw_data!C425,5,1)="-",DATE(VALUE(LEFT(raw_data!C425,4)),VALUE(MID(raw_data!C425,6,2)),VALUE(RIGHT(raw_data!C425,2))),DATE(VALUE(RIGHT(raw_data!C425,4)),MATCH(MID(raw_data!C425,4,3),{"Jan","Feb","Mar","Apr","May","Jun","Jul","Aug","Sep","Oct","Nov","Dec"},0),VALUE(LEFT(raw_data!C425,2)))))),"")</f>
        <v>45349</v>
      </c>
      <c r="D425" s="3" t="str">
        <f aca="false">IF(TRIM(raw_data!B425)="","Missing",IF(B425="","Invalid/Unrecognized","Valid"))</f>
        <v>Valid</v>
      </c>
      <c r="E425" s="3" t="str">
        <f aca="false">IF(TRIM(raw_data!C425)="","Missing",IF(C425="","Invalid/Unrecognized","Valid"))</f>
        <v>Valid</v>
      </c>
      <c r="F425" s="5" t="n">
        <f aca="false">IF(OR(B425="",C425=""),"",C425-B425)</f>
        <v>7</v>
      </c>
      <c r="G425" s="3" t="str">
        <f aca="false">IF(F425="","N/A",IF(F425&lt;0,"Invalid - Ship Before Order","OK"))</f>
        <v>OK</v>
      </c>
      <c r="H425" s="3" t="str">
        <f aca="false">raw_data!D425</f>
        <v>CUST-6169</v>
      </c>
      <c r="I425" s="3" t="str">
        <f aca="false">PROPER(TRIM(raw_data!E425))</f>
        <v>Diya Patel</v>
      </c>
      <c r="J425" s="3" t="str">
        <f aca="false">PROPER(TRIM(raw_data!F425))</f>
        <v>Consumer</v>
      </c>
      <c r="K425" s="3" t="str">
        <f aca="false">IF(TRIM(raw_data!G425)="","Unknown",PROPER(TRIM(raw_data!G425)))</f>
        <v>South</v>
      </c>
      <c r="L425" s="3" t="str">
        <f aca="false">IF(TRIM(raw_data!G425)="","Filled - Unknown","OK")</f>
        <v>OK</v>
      </c>
      <c r="M425" s="3" t="str">
        <f aca="false">PROPER(TRIM(raw_data!H425))</f>
        <v>Kerala</v>
      </c>
      <c r="N425" s="3" t="str">
        <f aca="false">PROPER(TRIM(raw_data!I425))</f>
        <v>Kochi</v>
      </c>
      <c r="O425" s="3" t="str">
        <f aca="false">PROPER(TRIM(raw_data!J425))</f>
        <v>Technology</v>
      </c>
      <c r="P425" s="3" t="str">
        <f aca="false">PROPER(TRIM(raw_data!K425))</f>
        <v>Accessories</v>
      </c>
      <c r="Q425" s="3" t="str">
        <f aca="false">TRIM(raw_data!L425)</f>
        <v>Prime Accessories 236</v>
      </c>
      <c r="R425" s="3" t="str">
        <f aca="false">IF(TRIM(raw_data!M425)="","Unknown",PROPER(TRIM(raw_data!M425)))</f>
        <v>First Class</v>
      </c>
      <c r="S425" s="3" t="str">
        <f aca="false">IF(TRIM(raw_data!M425)="","Filled - Unknown","OK")</f>
        <v>OK</v>
      </c>
      <c r="T425" s="6" t="n">
        <f aca="false">raw_data!N425</f>
        <v>9</v>
      </c>
      <c r="U425" s="7" t="n">
        <f aca="false">raw_data!O425</f>
        <v>3779.31</v>
      </c>
      <c r="V425" s="8" t="n">
        <f aca="false">raw_data!P425</f>
        <v>0.2</v>
      </c>
      <c r="W425" s="8" t="n">
        <f aca="false">IF(raw_data!P425="",0,IF(ISTEXT(raw_data!P425),IF(RIGHT(raw_data!P425,1)="%",VALUE(LEFT(raw_data!P425,LEN(raw_data!P425)-1))/100,VALUE(raw_data!P425)),raw_data!P425))</f>
        <v>0.2</v>
      </c>
      <c r="X425" s="3" t="str">
        <f aca="false">IF(raw_data!P425="","Missing - Defaulted to 0",IF(W425&lt;0,"Negative - Invalid",IF(W425&gt;0.3,"Above Allowed Range - Invalid","Valid")))</f>
        <v>Valid</v>
      </c>
      <c r="Y425" s="7" t="n">
        <f aca="false">raw_data!Q425</f>
        <v>27211.03</v>
      </c>
      <c r="Z425" s="7" t="n">
        <f aca="false">raw_data!R425</f>
        <v>17940.43</v>
      </c>
      <c r="AA425" s="7" t="n">
        <f aca="false">raw_data!S425</f>
        <v>9270.6</v>
      </c>
      <c r="AB425" s="3" t="str">
        <f aca="false">PROPER(TRIM(raw_data!T425))</f>
        <v>Paid</v>
      </c>
      <c r="AC425" s="3" t="str">
        <f aca="false">PROPER(TRIM(raw_data!U425))</f>
        <v>Completed</v>
      </c>
      <c r="AD425" s="7" t="n">
        <f aca="false">T425*U425*(1-W425)</f>
        <v>27211.032</v>
      </c>
      <c r="AE425" s="7" t="n">
        <f aca="false">AD425-Z425</f>
        <v>9270.602</v>
      </c>
      <c r="AF425" s="8" t="n">
        <f aca="false">IF(AD425=0,0,AE425/AD425)</f>
        <v>0.340692774901003</v>
      </c>
      <c r="AG425" s="3" t="str">
        <f aca="false">IF(ABS(Y425-AD425)&gt;1,"Mismatch","OK")</f>
        <v>OK</v>
      </c>
      <c r="AH425" s="3" t="str">
        <f aca="false">IF(ABS(AA425-AE425)&gt;1,"Mismatch","OK")</f>
        <v>OK</v>
      </c>
      <c r="AI425" s="6" t="n">
        <f aca="false">IF(B425="","",MONTH(B425))</f>
        <v>2</v>
      </c>
      <c r="AJ425" s="6" t="n">
        <f aca="false">IF(B425="","",YEAR(B425))</f>
        <v>2024</v>
      </c>
      <c r="AK425" s="3" t="str">
        <f aca="false">IF(COUNTIF(raw_data!$A$2:$A$913,A425)&gt;1,"Conflicting Duplicate - Flagged for Review","Unique")</f>
        <v>Conflicting Duplicate - Flagged for Review</v>
      </c>
      <c r="AL425" s="3" t="str">
        <f aca="false">IF(AB425="Refunded","Yes","No")</f>
        <v>No</v>
      </c>
      <c r="AM425" s="3" t="str">
        <f aca="false">IF(OR(AC425&lt;&gt;"Completed",AB425="Failed"),"Excluded","Included")</f>
        <v>Included</v>
      </c>
      <c r="AN425" s="3" t="str">
        <f aca="false">IF(OR(D425="Invalid/Unrecognized",E425="Invalid/Unrecognized",G425="Invalid - Ship Before Order",X425="Negative - Invalid",X425="Above Allowed Range - Invalid",AG425="Mismatch",AH425="Mismatch",AK425="Conflicting Duplicate - Flagged for Review"),"Invalid",IF(OR(L425="Filled - Unknown",S425="Filled - Unknown",X425="Missing - Defaulted to 0",AL425="Yes",AC425="Cancelled",AC425="Returned"),"Warning","Clean"))</f>
        <v>Invalid</v>
      </c>
    </row>
    <row r="426" customFormat="false" ht="15" hidden="false" customHeight="false" outlineLevel="0" collapsed="false">
      <c r="A426" s="3" t="str">
        <f aca="false">raw_data!A426</f>
        <v>ORD-2024-10425</v>
      </c>
      <c r="B426" s="4" t="n">
        <f aca="false">IFERROR(IF(MID(raw_data!B426,3,1)="/",DATE(VALUE(RIGHT(raw_data!B426,4)),VALUE(LEFT(raw_data!B426,2)),VALUE(MID(raw_data!B426,4,2))),IF(MID(raw_data!B426,3,1)="-",DATE(VALUE(RIGHT(raw_data!B426,4)),VALUE(MID(raw_data!B426,4,2)),VALUE(LEFT(raw_data!B426,2))),IF(MID(raw_data!B426,5,1)="-",DATE(VALUE(LEFT(raw_data!B426,4)),VALUE(MID(raw_data!B426,6,2)),VALUE(RIGHT(raw_data!B426,2))),DATE(VALUE(RIGHT(raw_data!B426,4)),MATCH(MID(raw_data!B426,4,3),{"Jan","Feb","Mar","Apr","May","Jun","Jul","Aug","Sep","Oct","Nov","Dec"},0),VALUE(LEFT(raw_data!B426,2)))))),"")</f>
        <v>45469</v>
      </c>
      <c r="C426" s="4" t="n">
        <f aca="false">IFERROR(IF(MID(raw_data!C426,3,1)="/",DATE(VALUE(RIGHT(raw_data!C426,4)),VALUE(LEFT(raw_data!C426,2)),VALUE(MID(raw_data!C426,4,2))),IF(MID(raw_data!C426,3,1)="-",DATE(VALUE(RIGHT(raw_data!C426,4)),VALUE(MID(raw_data!C426,4,2)),VALUE(LEFT(raw_data!C426,2))),IF(MID(raw_data!C426,5,1)="-",DATE(VALUE(LEFT(raw_data!C426,4)),VALUE(MID(raw_data!C426,6,2)),VALUE(RIGHT(raw_data!C426,2))),DATE(VALUE(RIGHT(raw_data!C426,4)),MATCH(MID(raw_data!C426,4,3),{"Jan","Feb","Mar","Apr","May","Jun","Jul","Aug","Sep","Oct","Nov","Dec"},0),VALUE(LEFT(raw_data!C426,2)))))),"")</f>
        <v>45472</v>
      </c>
      <c r="D426" s="3" t="str">
        <f aca="false">IF(TRIM(raw_data!B426)="","Missing",IF(B426="","Invalid/Unrecognized","Valid"))</f>
        <v>Valid</v>
      </c>
      <c r="E426" s="3" t="str">
        <f aca="false">IF(TRIM(raw_data!C426)="","Missing",IF(C426="","Invalid/Unrecognized","Valid"))</f>
        <v>Valid</v>
      </c>
      <c r="F426" s="5" t="n">
        <f aca="false">IF(OR(B426="",C426=""),"",C426-B426)</f>
        <v>3</v>
      </c>
      <c r="G426" s="3" t="str">
        <f aca="false">IF(F426="","N/A",IF(F426&lt;0,"Invalid - Ship Before Order","OK"))</f>
        <v>OK</v>
      </c>
      <c r="H426" s="3" t="str">
        <f aca="false">raw_data!D426</f>
        <v>CUST-8904</v>
      </c>
      <c r="I426" s="3" t="str">
        <f aca="false">PROPER(TRIM(raw_data!E426))</f>
        <v>Neha Gupta</v>
      </c>
      <c r="J426" s="3" t="str">
        <f aca="false">PROPER(TRIM(raw_data!F426))</f>
        <v>Corporate</v>
      </c>
      <c r="K426" s="3" t="str">
        <f aca="false">IF(TRIM(raw_data!G426)="","Unknown",PROPER(TRIM(raw_data!G426)))</f>
        <v>North</v>
      </c>
      <c r="L426" s="3" t="str">
        <f aca="false">IF(TRIM(raw_data!G426)="","Filled - Unknown","OK")</f>
        <v>OK</v>
      </c>
      <c r="M426" s="3" t="str">
        <f aca="false">PROPER(TRIM(raw_data!H426))</f>
        <v>Punjab</v>
      </c>
      <c r="N426" s="3" t="str">
        <f aca="false">PROPER(TRIM(raw_data!I426))</f>
        <v>Ludhiana</v>
      </c>
      <c r="O426" s="3" t="str">
        <f aca="false">PROPER(TRIM(raw_data!J426))</f>
        <v>Technology</v>
      </c>
      <c r="P426" s="3" t="str">
        <f aca="false">PROPER(TRIM(raw_data!K426))</f>
        <v>Phones</v>
      </c>
      <c r="Q426" s="3" t="str">
        <f aca="false">TRIM(raw_data!L426)</f>
        <v>Prime Phones 881</v>
      </c>
      <c r="R426" s="3" t="str">
        <f aca="false">IF(TRIM(raw_data!M426)="","Unknown",PROPER(TRIM(raw_data!M426)))</f>
        <v>Standard Class</v>
      </c>
      <c r="S426" s="3" t="str">
        <f aca="false">IF(TRIM(raw_data!M426)="","Filled - Unknown","OK")</f>
        <v>OK</v>
      </c>
      <c r="T426" s="6" t="n">
        <f aca="false">raw_data!N426</f>
        <v>8</v>
      </c>
      <c r="U426" s="7" t="n">
        <f aca="false">raw_data!O426</f>
        <v>804.52</v>
      </c>
      <c r="V426" s="8" t="n">
        <f aca="false">raw_data!P426</f>
        <v>0</v>
      </c>
      <c r="W426" s="8" t="n">
        <f aca="false">IF(raw_data!P426="",0,IF(ISTEXT(raw_data!P426),IF(RIGHT(raw_data!P426,1)="%",VALUE(LEFT(raw_data!P426,LEN(raw_data!P426)-1))/100,VALUE(raw_data!P426)),raw_data!P426))</f>
        <v>0</v>
      </c>
      <c r="X426" s="3" t="str">
        <f aca="false">IF(raw_data!P426="","Missing - Defaulted to 0",IF(W426&lt;0,"Negative - Invalid",IF(W426&gt;0.3,"Above Allowed Range - Invalid","Valid")))</f>
        <v>Valid</v>
      </c>
      <c r="Y426" s="7" t="n">
        <f aca="false">raw_data!Q426</f>
        <v>6436.16</v>
      </c>
      <c r="Z426" s="7" t="n">
        <f aca="false">raw_data!R426</f>
        <v>4263.83</v>
      </c>
      <c r="AA426" s="7" t="n">
        <f aca="false">raw_data!S426</f>
        <v>2172.33</v>
      </c>
      <c r="AB426" s="3" t="str">
        <f aca="false">PROPER(TRIM(raw_data!T426))</f>
        <v>Paid</v>
      </c>
      <c r="AC426" s="3" t="str">
        <f aca="false">PROPER(TRIM(raw_data!U426))</f>
        <v>Completed</v>
      </c>
      <c r="AD426" s="7" t="n">
        <f aca="false">T426*U426*(1-W426)</f>
        <v>6436.16</v>
      </c>
      <c r="AE426" s="7" t="n">
        <f aca="false">AD426-Z426</f>
        <v>2172.33</v>
      </c>
      <c r="AF426" s="8" t="n">
        <f aca="false">IF(AD426=0,0,AE426/AD426)</f>
        <v>0.337519576890568</v>
      </c>
      <c r="AG426" s="3" t="str">
        <f aca="false">IF(ABS(Y426-AD426)&gt;1,"Mismatch","OK")</f>
        <v>OK</v>
      </c>
      <c r="AH426" s="3" t="str">
        <f aca="false">IF(ABS(AA426-AE426)&gt;1,"Mismatch","OK")</f>
        <v>OK</v>
      </c>
      <c r="AI426" s="6" t="n">
        <f aca="false">IF(B426="","",MONTH(B426))</f>
        <v>6</v>
      </c>
      <c r="AJ426" s="6" t="n">
        <f aca="false">IF(B426="","",YEAR(B426))</f>
        <v>2024</v>
      </c>
      <c r="AK426" s="3" t="str">
        <f aca="false">IF(COUNTIF(raw_data!$A$2:$A$913,A426)&gt;1,"Conflicting Duplicate - Flagged for Review","Unique")</f>
        <v>Unique</v>
      </c>
      <c r="AL426" s="3" t="str">
        <f aca="false">IF(AB426="Refunded","Yes","No")</f>
        <v>No</v>
      </c>
      <c r="AM426" s="3" t="str">
        <f aca="false">IF(OR(AC426&lt;&gt;"Completed",AB426="Failed"),"Excluded","Included")</f>
        <v>Included</v>
      </c>
      <c r="AN426" s="3" t="str">
        <f aca="false">IF(OR(D426="Invalid/Unrecognized",E426="Invalid/Unrecognized",G426="Invalid - Ship Before Order",X426="Negative - Invalid",X426="Above Allowed Range - Invalid",AG426="Mismatch",AH426="Mismatch",AK426="Conflicting Duplicate - Flagged for Review"),"Invalid",IF(OR(L426="Filled - Unknown",S426="Filled - Unknown",X426="Missing - Defaulted to 0",AL426="Yes",AC426="Cancelled",AC426="Returned"),"Warning","Clean"))</f>
        <v>Clean</v>
      </c>
    </row>
    <row r="427" customFormat="false" ht="15" hidden="false" customHeight="false" outlineLevel="0" collapsed="false">
      <c r="A427" s="3" t="str">
        <f aca="false">raw_data!A427</f>
        <v>ORD-2024-10426</v>
      </c>
      <c r="B427" s="4" t="n">
        <f aca="false">IFERROR(IF(MID(raw_data!B427,3,1)="/",DATE(VALUE(RIGHT(raw_data!B427,4)),VALUE(LEFT(raw_data!B427,2)),VALUE(MID(raw_data!B427,4,2))),IF(MID(raw_data!B427,3,1)="-",DATE(VALUE(RIGHT(raw_data!B427,4)),VALUE(MID(raw_data!B427,4,2)),VALUE(LEFT(raw_data!B427,2))),IF(MID(raw_data!B427,5,1)="-",DATE(VALUE(LEFT(raw_data!B427,4)),VALUE(MID(raw_data!B427,6,2)),VALUE(RIGHT(raw_data!B427,2))),DATE(VALUE(RIGHT(raw_data!B427,4)),MATCH(MID(raw_data!B427,4,3),{"Jan","Feb","Mar","Apr","May","Jun","Jul","Aug","Sep","Oct","Nov","Dec"},0),VALUE(LEFT(raw_data!B427,2)))))),"")</f>
        <v>45561</v>
      </c>
      <c r="C427" s="4" t="n">
        <f aca="false">IFERROR(IF(MID(raw_data!C427,3,1)="/",DATE(VALUE(RIGHT(raw_data!C427,4)),VALUE(LEFT(raw_data!C427,2)),VALUE(MID(raw_data!C427,4,2))),IF(MID(raw_data!C427,3,1)="-",DATE(VALUE(RIGHT(raw_data!C427,4)),VALUE(MID(raw_data!C427,4,2)),VALUE(LEFT(raw_data!C427,2))),IF(MID(raw_data!C427,5,1)="-",DATE(VALUE(LEFT(raw_data!C427,4)),VALUE(MID(raw_data!C427,6,2)),VALUE(RIGHT(raw_data!C427,2))),DATE(VALUE(RIGHT(raw_data!C427,4)),MATCH(MID(raw_data!C427,4,3),{"Jan","Feb","Mar","Apr","May","Jun","Jul","Aug","Sep","Oct","Nov","Dec"},0),VALUE(LEFT(raw_data!C427,2)))))),"")</f>
        <v>45562</v>
      </c>
      <c r="D427" s="3" t="str">
        <f aca="false">IF(TRIM(raw_data!B427)="","Missing",IF(B427="","Invalid/Unrecognized","Valid"))</f>
        <v>Valid</v>
      </c>
      <c r="E427" s="3" t="str">
        <f aca="false">IF(TRIM(raw_data!C427)="","Missing",IF(C427="","Invalid/Unrecognized","Valid"))</f>
        <v>Valid</v>
      </c>
      <c r="F427" s="5" t="n">
        <f aca="false">IF(OR(B427="",C427=""),"",C427-B427)</f>
        <v>1</v>
      </c>
      <c r="G427" s="3" t="str">
        <f aca="false">IF(F427="","N/A",IF(F427&lt;0,"Invalid - Ship Before Order","OK"))</f>
        <v>OK</v>
      </c>
      <c r="H427" s="3" t="str">
        <f aca="false">raw_data!D427</f>
        <v>CUST-9586</v>
      </c>
      <c r="I427" s="3" t="str">
        <f aca="false">PROPER(TRIM(raw_data!E427))</f>
        <v>Isha Nair</v>
      </c>
      <c r="J427" s="3" t="str">
        <f aca="false">PROPER(TRIM(raw_data!F427))</f>
        <v>Home Office</v>
      </c>
      <c r="K427" s="3" t="str">
        <f aca="false">IF(TRIM(raw_data!G427)="","Unknown",PROPER(TRIM(raw_data!G427)))</f>
        <v>North</v>
      </c>
      <c r="L427" s="3" t="str">
        <f aca="false">IF(TRIM(raw_data!G427)="","Filled - Unknown","OK")</f>
        <v>OK</v>
      </c>
      <c r="M427" s="3" t="str">
        <f aca="false">PROPER(TRIM(raw_data!H427))</f>
        <v>Delhi</v>
      </c>
      <c r="N427" s="3" t="str">
        <f aca="false">PROPER(TRIM(raw_data!I427))</f>
        <v>New Delhi</v>
      </c>
      <c r="O427" s="3" t="str">
        <f aca="false">PROPER(TRIM(raw_data!J427))</f>
        <v>Office Supplies</v>
      </c>
      <c r="P427" s="3" t="str">
        <f aca="false">PROPER(TRIM(raw_data!K427))</f>
        <v>Labels</v>
      </c>
      <c r="Q427" s="3" t="str">
        <f aca="false">TRIM(raw_data!L427)</f>
        <v>Pro Labels 903</v>
      </c>
      <c r="R427" s="3" t="str">
        <f aca="false">IF(TRIM(raw_data!M427)="","Unknown",PROPER(TRIM(raw_data!M427)))</f>
        <v>First Class</v>
      </c>
      <c r="S427" s="3" t="str">
        <f aca="false">IF(TRIM(raw_data!M427)="","Filled - Unknown","OK")</f>
        <v>OK</v>
      </c>
      <c r="T427" s="6" t="n">
        <f aca="false">raw_data!N427</f>
        <v>2</v>
      </c>
      <c r="U427" s="7" t="n">
        <f aca="false">raw_data!O427</f>
        <v>1065.69</v>
      </c>
      <c r="V427" s="8" t="n">
        <f aca="false">raw_data!P427</f>
        <v>0.1</v>
      </c>
      <c r="W427" s="8" t="n">
        <f aca="false">IF(raw_data!P427="",0,IF(ISTEXT(raw_data!P427),IF(RIGHT(raw_data!P427,1)="%",VALUE(LEFT(raw_data!P427,LEN(raw_data!P427)-1))/100,VALUE(raw_data!P427)),raw_data!P427))</f>
        <v>0.1</v>
      </c>
      <c r="X427" s="3" t="str">
        <f aca="false">IF(raw_data!P427="","Missing - Defaulted to 0",IF(W427&lt;0,"Negative - Invalid",IF(W427&gt;0.3,"Above Allowed Range - Invalid","Valid")))</f>
        <v>Valid</v>
      </c>
      <c r="Y427" s="7" t="n">
        <f aca="false">raw_data!Q427</f>
        <v>1918.24</v>
      </c>
      <c r="Z427" s="7" t="n">
        <f aca="false">raw_data!R427</f>
        <v>1373.52</v>
      </c>
      <c r="AA427" s="7" t="n">
        <f aca="false">raw_data!S427</f>
        <v>544.72</v>
      </c>
      <c r="AB427" s="3" t="str">
        <f aca="false">PROPER(TRIM(raw_data!T427))</f>
        <v>Refunded</v>
      </c>
      <c r="AC427" s="3" t="str">
        <f aca="false">PROPER(TRIM(raw_data!U427))</f>
        <v>Cancelled</v>
      </c>
      <c r="AD427" s="7" t="n">
        <f aca="false">T427*U427*(1-W427)</f>
        <v>1918.242</v>
      </c>
      <c r="AE427" s="7" t="n">
        <f aca="false">AD427-Z427</f>
        <v>544.722</v>
      </c>
      <c r="AF427" s="8" t="n">
        <f aca="false">IF(AD427=0,0,AE427/AD427)</f>
        <v>0.283969384467653</v>
      </c>
      <c r="AG427" s="3" t="str">
        <f aca="false">IF(ABS(Y427-AD427)&gt;1,"Mismatch","OK")</f>
        <v>OK</v>
      </c>
      <c r="AH427" s="3" t="str">
        <f aca="false">IF(ABS(AA427-AE427)&gt;1,"Mismatch","OK")</f>
        <v>OK</v>
      </c>
      <c r="AI427" s="6" t="n">
        <f aca="false">IF(B427="","",MONTH(B427))</f>
        <v>9</v>
      </c>
      <c r="AJ427" s="6" t="n">
        <f aca="false">IF(B427="","",YEAR(B427))</f>
        <v>2024</v>
      </c>
      <c r="AK427" s="3" t="str">
        <f aca="false">IF(COUNTIF(raw_data!$A$2:$A$913,A427)&gt;1,"Conflicting Duplicate - Flagged for Review","Unique")</f>
        <v>Unique</v>
      </c>
      <c r="AL427" s="3" t="str">
        <f aca="false">IF(AB427="Refunded","Yes","No")</f>
        <v>Yes</v>
      </c>
      <c r="AM427" s="3" t="str">
        <f aca="false">IF(OR(AC427&lt;&gt;"Completed",AB427="Failed"),"Excluded","Included")</f>
        <v>Excluded</v>
      </c>
      <c r="AN427" s="3" t="str">
        <f aca="false">IF(OR(D427="Invalid/Unrecognized",E427="Invalid/Unrecognized",G427="Invalid - Ship Before Order",X427="Negative - Invalid",X427="Above Allowed Range - Invalid",AG427="Mismatch",AH427="Mismatch",AK427="Conflicting Duplicate - Flagged for Review"),"Invalid",IF(OR(L427="Filled - Unknown",S427="Filled - Unknown",X427="Missing - Defaulted to 0",AL427="Yes",AC427="Cancelled",AC427="Returned"),"Warning","Clean"))</f>
        <v>Warning</v>
      </c>
    </row>
    <row r="428" customFormat="false" ht="15" hidden="false" customHeight="false" outlineLevel="0" collapsed="false">
      <c r="A428" s="3" t="str">
        <f aca="false">raw_data!A428</f>
        <v>ORD-2024-10427</v>
      </c>
      <c r="B428" s="4" t="n">
        <f aca="false">IFERROR(IF(MID(raw_data!B428,3,1)="/",DATE(VALUE(RIGHT(raw_data!B428,4)),VALUE(LEFT(raw_data!B428,2)),VALUE(MID(raw_data!B428,4,2))),IF(MID(raw_data!B428,3,1)="-",DATE(VALUE(RIGHT(raw_data!B428,4)),VALUE(MID(raw_data!B428,4,2)),VALUE(LEFT(raw_data!B428,2))),IF(MID(raw_data!B428,5,1)="-",DATE(VALUE(LEFT(raw_data!B428,4)),VALUE(MID(raw_data!B428,6,2)),VALUE(RIGHT(raw_data!B428,2))),DATE(VALUE(RIGHT(raw_data!B428,4)),MATCH(MID(raw_data!B428,4,3),{"Jan","Feb","Mar","Apr","May","Jun","Jul","Aug","Sep","Oct","Nov","Dec"},0),VALUE(LEFT(raw_data!B428,2)))))),"")</f>
        <v>45473</v>
      </c>
      <c r="C428" s="4" t="n">
        <f aca="false">IFERROR(IF(MID(raw_data!C428,3,1)="/",DATE(VALUE(RIGHT(raw_data!C428,4)),VALUE(LEFT(raw_data!C428,2)),VALUE(MID(raw_data!C428,4,2))),IF(MID(raw_data!C428,3,1)="-",DATE(VALUE(RIGHT(raw_data!C428,4)),VALUE(MID(raw_data!C428,4,2)),VALUE(LEFT(raw_data!C428,2))),IF(MID(raw_data!C428,5,1)="-",DATE(VALUE(LEFT(raw_data!C428,4)),VALUE(MID(raw_data!C428,6,2)),VALUE(RIGHT(raw_data!C428,2))),DATE(VALUE(RIGHT(raw_data!C428,4)),MATCH(MID(raw_data!C428,4,3),{"Jan","Feb","Mar","Apr","May","Jun","Jul","Aug","Sep","Oct","Nov","Dec"},0),VALUE(LEFT(raw_data!C428,2)))))),"")</f>
        <v>45474</v>
      </c>
      <c r="D428" s="3" t="str">
        <f aca="false">IF(TRIM(raw_data!B428)="","Missing",IF(B428="","Invalid/Unrecognized","Valid"))</f>
        <v>Valid</v>
      </c>
      <c r="E428" s="3" t="str">
        <f aca="false">IF(TRIM(raw_data!C428)="","Missing",IF(C428="","Invalid/Unrecognized","Valid"))</f>
        <v>Valid</v>
      </c>
      <c r="F428" s="5" t="n">
        <f aca="false">IF(OR(B428="",C428=""),"",C428-B428)</f>
        <v>1</v>
      </c>
      <c r="G428" s="3" t="str">
        <f aca="false">IF(F428="","N/A",IF(F428&lt;0,"Invalid - Ship Before Order","OK"))</f>
        <v>OK</v>
      </c>
      <c r="H428" s="3" t="str">
        <f aca="false">raw_data!D428</f>
        <v>CUST-5431</v>
      </c>
      <c r="I428" s="3" t="str">
        <f aca="false">PROPER(TRIM(raw_data!E428))</f>
        <v>Aditi Sen</v>
      </c>
      <c r="J428" s="3" t="str">
        <f aca="false">PROPER(TRIM(raw_data!F428))</f>
        <v>Consumer</v>
      </c>
      <c r="K428" s="3" t="str">
        <f aca="false">IF(TRIM(raw_data!G428)="","Unknown",PROPER(TRIM(raw_data!G428)))</f>
        <v>North</v>
      </c>
      <c r="L428" s="3" t="str">
        <f aca="false">IF(TRIM(raw_data!G428)="","Filled - Unknown","OK")</f>
        <v>OK</v>
      </c>
      <c r="M428" s="3" t="str">
        <f aca="false">PROPER(TRIM(raw_data!H428))</f>
        <v>Haryana</v>
      </c>
      <c r="N428" s="3" t="str">
        <f aca="false">PROPER(TRIM(raw_data!I428))</f>
        <v>Gurugram</v>
      </c>
      <c r="O428" s="3" t="str">
        <f aca="false">PROPER(TRIM(raw_data!J428))</f>
        <v>Technology</v>
      </c>
      <c r="P428" s="3" t="str">
        <f aca="false">PROPER(TRIM(raw_data!K428))</f>
        <v>Copiers</v>
      </c>
      <c r="Q428" s="3" t="str">
        <f aca="false">TRIM(raw_data!L428)</f>
        <v>Max Copiers 402</v>
      </c>
      <c r="R428" s="3" t="str">
        <f aca="false">IF(TRIM(raw_data!M428)="","Unknown",PROPER(TRIM(raw_data!M428)))</f>
        <v>Same Day</v>
      </c>
      <c r="S428" s="3" t="str">
        <f aca="false">IF(TRIM(raw_data!M428)="","Filled - Unknown","OK")</f>
        <v>OK</v>
      </c>
      <c r="T428" s="6" t="n">
        <f aca="false">raw_data!N428</f>
        <v>8</v>
      </c>
      <c r="U428" s="7" t="n">
        <f aca="false">raw_data!O428</f>
        <v>3756.66</v>
      </c>
      <c r="V428" s="8" t="n">
        <f aca="false">raw_data!P428</f>
        <v>0.1</v>
      </c>
      <c r="W428" s="8" t="n">
        <f aca="false">IF(raw_data!P428="",0,IF(ISTEXT(raw_data!P428),IF(RIGHT(raw_data!P428,1)="%",VALUE(LEFT(raw_data!P428,LEN(raw_data!P428)-1))/100,VALUE(raw_data!P428)),raw_data!P428))</f>
        <v>0.1</v>
      </c>
      <c r="X428" s="3" t="str">
        <f aca="false">IF(raw_data!P428="","Missing - Defaulted to 0",IF(W428&lt;0,"Negative - Invalid",IF(W428&gt;0.3,"Above Allowed Range - Invalid","Valid")))</f>
        <v>Valid</v>
      </c>
      <c r="Y428" s="7" t="n">
        <f aca="false">raw_data!Q428</f>
        <v>27047.95</v>
      </c>
      <c r="Z428" s="7" t="n">
        <f aca="false">raw_data!R428</f>
        <v>18431.33</v>
      </c>
      <c r="AA428" s="7" t="n">
        <f aca="false">raw_data!S428</f>
        <v>8616.62</v>
      </c>
      <c r="AB428" s="3" t="str">
        <f aca="false">PROPER(TRIM(raw_data!T428))</f>
        <v>Paid</v>
      </c>
      <c r="AC428" s="3" t="str">
        <f aca="false">PROPER(TRIM(raw_data!U428))</f>
        <v>Completed</v>
      </c>
      <c r="AD428" s="7" t="n">
        <f aca="false">T428*U428*(1-W428)</f>
        <v>27047.952</v>
      </c>
      <c r="AE428" s="7" t="n">
        <f aca="false">AD428-Z428</f>
        <v>8616.622</v>
      </c>
      <c r="AF428" s="8" t="n">
        <f aca="false">IF(AD428=0,0,AE428/AD428)</f>
        <v>0.318568370721746</v>
      </c>
      <c r="AG428" s="3" t="str">
        <f aca="false">IF(ABS(Y428-AD428)&gt;1,"Mismatch","OK")</f>
        <v>OK</v>
      </c>
      <c r="AH428" s="3" t="str">
        <f aca="false">IF(ABS(AA428-AE428)&gt;1,"Mismatch","OK")</f>
        <v>OK</v>
      </c>
      <c r="AI428" s="6" t="n">
        <f aca="false">IF(B428="","",MONTH(B428))</f>
        <v>6</v>
      </c>
      <c r="AJ428" s="6" t="n">
        <f aca="false">IF(B428="","",YEAR(B428))</f>
        <v>2024</v>
      </c>
      <c r="AK428" s="3" t="str">
        <f aca="false">IF(COUNTIF(raw_data!$A$2:$A$913,A428)&gt;1,"Conflicting Duplicate - Flagged for Review","Unique")</f>
        <v>Unique</v>
      </c>
      <c r="AL428" s="3" t="str">
        <f aca="false">IF(AB428="Refunded","Yes","No")</f>
        <v>No</v>
      </c>
      <c r="AM428" s="3" t="str">
        <f aca="false">IF(OR(AC428&lt;&gt;"Completed",AB428="Failed"),"Excluded","Included")</f>
        <v>Included</v>
      </c>
      <c r="AN428" s="3" t="str">
        <f aca="false">IF(OR(D428="Invalid/Unrecognized",E428="Invalid/Unrecognized",G428="Invalid - Ship Before Order",X428="Negative - Invalid",X428="Above Allowed Range - Invalid",AG428="Mismatch",AH428="Mismatch",AK428="Conflicting Duplicate - Flagged for Review"),"Invalid",IF(OR(L428="Filled - Unknown",S428="Filled - Unknown",X428="Missing - Defaulted to 0",AL428="Yes",AC428="Cancelled",AC428="Returned"),"Warning","Clean"))</f>
        <v>Clean</v>
      </c>
    </row>
    <row r="429" customFormat="false" ht="15" hidden="false" customHeight="false" outlineLevel="0" collapsed="false">
      <c r="A429" s="3" t="str">
        <f aca="false">raw_data!A429</f>
        <v>ORD-2025-10428</v>
      </c>
      <c r="B429" s="4" t="n">
        <f aca="false">IFERROR(IF(MID(raw_data!B429,3,1)="/",DATE(VALUE(RIGHT(raw_data!B429,4)),VALUE(LEFT(raw_data!B429,2)),VALUE(MID(raw_data!B429,4,2))),IF(MID(raw_data!B429,3,1)="-",DATE(VALUE(RIGHT(raw_data!B429,4)),VALUE(MID(raw_data!B429,4,2)),VALUE(LEFT(raw_data!B429,2))),IF(MID(raw_data!B429,5,1)="-",DATE(VALUE(LEFT(raw_data!B429,4)),VALUE(MID(raw_data!B429,6,2)),VALUE(RIGHT(raw_data!B429,2))),DATE(VALUE(RIGHT(raw_data!B429,4)),MATCH(MID(raw_data!B429,4,3),{"Jan","Feb","Mar","Apr","May","Jun","Jul","Aug","Sep","Oct","Nov","Dec"},0),VALUE(LEFT(raw_data!B429,2)))))),"")</f>
        <v>45769</v>
      </c>
      <c r="C429" s="4" t="n">
        <f aca="false">IFERROR(IF(MID(raw_data!C429,3,1)="/",DATE(VALUE(RIGHT(raw_data!C429,4)),VALUE(LEFT(raw_data!C429,2)),VALUE(MID(raw_data!C429,4,2))),IF(MID(raw_data!C429,3,1)="-",DATE(VALUE(RIGHT(raw_data!C429,4)),VALUE(MID(raw_data!C429,4,2)),VALUE(LEFT(raw_data!C429,2))),IF(MID(raw_data!C429,5,1)="-",DATE(VALUE(LEFT(raw_data!C429,4)),VALUE(MID(raw_data!C429,6,2)),VALUE(RIGHT(raw_data!C429,2))),DATE(VALUE(RIGHT(raw_data!C429,4)),MATCH(MID(raw_data!C429,4,3),{"Jan","Feb","Mar","Apr","May","Jun","Jul","Aug","Sep","Oct","Nov","Dec"},0),VALUE(LEFT(raw_data!C429,2)))))),"")</f>
        <v>45771</v>
      </c>
      <c r="D429" s="3" t="str">
        <f aca="false">IF(TRIM(raw_data!B429)="","Missing",IF(B429="","Invalid/Unrecognized","Valid"))</f>
        <v>Valid</v>
      </c>
      <c r="E429" s="3" t="str">
        <f aca="false">IF(TRIM(raw_data!C429)="","Missing",IF(C429="","Invalid/Unrecognized","Valid"))</f>
        <v>Valid</v>
      </c>
      <c r="F429" s="5" t="n">
        <f aca="false">IF(OR(B429="",C429=""),"",C429-B429)</f>
        <v>2</v>
      </c>
      <c r="G429" s="3" t="str">
        <f aca="false">IF(F429="","N/A",IF(F429&lt;0,"Invalid - Ship Before Order","OK"))</f>
        <v>OK</v>
      </c>
      <c r="H429" s="3" t="str">
        <f aca="false">raw_data!D429</f>
        <v>CUST-8843</v>
      </c>
      <c r="I429" s="3" t="str">
        <f aca="false">PROPER(TRIM(raw_data!E429))</f>
        <v>Isha Nair</v>
      </c>
      <c r="J429" s="3" t="str">
        <f aca="false">PROPER(TRIM(raw_data!F429))</f>
        <v>Corporate</v>
      </c>
      <c r="K429" s="3" t="str">
        <f aca="false">IF(TRIM(raw_data!G429)="","Unknown",PROPER(TRIM(raw_data!G429)))</f>
        <v>Unknown</v>
      </c>
      <c r="L429" s="3" t="str">
        <f aca="false">IF(TRIM(raw_data!G429)="","Filled - Unknown","OK")</f>
        <v>Filled - Unknown</v>
      </c>
      <c r="M429" s="3" t="str">
        <f aca="false">PROPER(TRIM(raw_data!H429))</f>
        <v>Jharkhand</v>
      </c>
      <c r="N429" s="3" t="str">
        <f aca="false">PROPER(TRIM(raw_data!I429))</f>
        <v>Ranchi</v>
      </c>
      <c r="O429" s="3" t="str">
        <f aca="false">PROPER(TRIM(raw_data!J429))</f>
        <v>Technology</v>
      </c>
      <c r="P429" s="3" t="str">
        <f aca="false">PROPER(TRIM(raw_data!K429))</f>
        <v>Accessories</v>
      </c>
      <c r="Q429" s="3" t="str">
        <f aca="false">TRIM(raw_data!L429)</f>
        <v>Prime Accessories 419</v>
      </c>
      <c r="R429" s="3" t="str">
        <f aca="false">IF(TRIM(raw_data!M429)="","Unknown",PROPER(TRIM(raw_data!M429)))</f>
        <v>Standard Class</v>
      </c>
      <c r="S429" s="3" t="str">
        <f aca="false">IF(TRIM(raw_data!M429)="","Filled - Unknown","OK")</f>
        <v>OK</v>
      </c>
      <c r="T429" s="6" t="n">
        <f aca="false">raw_data!N429</f>
        <v>9</v>
      </c>
      <c r="U429" s="7" t="n">
        <f aca="false">raw_data!O429</f>
        <v>2939.44</v>
      </c>
      <c r="V429" s="8" t="n">
        <f aca="false">raw_data!P429</f>
        <v>0</v>
      </c>
      <c r="W429" s="8" t="n">
        <f aca="false">IF(raw_data!P429="",0,IF(ISTEXT(raw_data!P429),IF(RIGHT(raw_data!P429,1)="%",VALUE(LEFT(raw_data!P429,LEN(raw_data!P429)-1))/100,VALUE(raw_data!P429)),raw_data!P429))</f>
        <v>0</v>
      </c>
      <c r="X429" s="3" t="str">
        <f aca="false">IF(raw_data!P429="","Missing - Defaulted to 0",IF(W429&lt;0,"Negative - Invalid",IF(W429&gt;0.3,"Above Allowed Range - Invalid","Valid")))</f>
        <v>Valid</v>
      </c>
      <c r="Y429" s="7" t="n">
        <f aca="false">raw_data!Q429</f>
        <v>26454.96</v>
      </c>
      <c r="Z429" s="7" t="n">
        <f aca="false">raw_data!R429</f>
        <v>17630.25</v>
      </c>
      <c r="AA429" s="7" t="n">
        <f aca="false">raw_data!S429</f>
        <v>8824.71</v>
      </c>
      <c r="AB429" s="3" t="str">
        <f aca="false">PROPER(TRIM(raw_data!T429))</f>
        <v>Paid</v>
      </c>
      <c r="AC429" s="3" t="str">
        <f aca="false">PROPER(TRIM(raw_data!U429))</f>
        <v>Completed</v>
      </c>
      <c r="AD429" s="7" t="n">
        <f aca="false">T429*U429*(1-W429)</f>
        <v>26454.96</v>
      </c>
      <c r="AE429" s="7" t="n">
        <f aca="false">AD429-Z429</f>
        <v>8824.71</v>
      </c>
      <c r="AF429" s="8" t="n">
        <f aca="false">IF(AD429=0,0,AE429/AD429)</f>
        <v>0.333574875940088</v>
      </c>
      <c r="AG429" s="3" t="str">
        <f aca="false">IF(ABS(Y429-AD429)&gt;1,"Mismatch","OK")</f>
        <v>OK</v>
      </c>
      <c r="AH429" s="3" t="str">
        <f aca="false">IF(ABS(AA429-AE429)&gt;1,"Mismatch","OK")</f>
        <v>OK</v>
      </c>
      <c r="AI429" s="6" t="n">
        <f aca="false">IF(B429="","",MONTH(B429))</f>
        <v>4</v>
      </c>
      <c r="AJ429" s="6" t="n">
        <f aca="false">IF(B429="","",YEAR(B429))</f>
        <v>2025</v>
      </c>
      <c r="AK429" s="3" t="str">
        <f aca="false">IF(COUNTIF(raw_data!$A$2:$A$913,A429)&gt;1,"Conflicting Duplicate - Flagged for Review","Unique")</f>
        <v>Unique</v>
      </c>
      <c r="AL429" s="3" t="str">
        <f aca="false">IF(AB429="Refunded","Yes","No")</f>
        <v>No</v>
      </c>
      <c r="AM429" s="3" t="str">
        <f aca="false">IF(OR(AC429&lt;&gt;"Completed",AB429="Failed"),"Excluded","Included")</f>
        <v>Included</v>
      </c>
      <c r="AN429" s="3" t="str">
        <f aca="false">IF(OR(D429="Invalid/Unrecognized",E429="Invalid/Unrecognized",G429="Invalid - Ship Before Order",X429="Negative - Invalid",X429="Above Allowed Range - Invalid",AG429="Mismatch",AH429="Mismatch",AK429="Conflicting Duplicate - Flagged for Review"),"Invalid",IF(OR(L429="Filled - Unknown",S429="Filled - Unknown",X429="Missing - Defaulted to 0",AL429="Yes",AC429="Cancelled",AC429="Returned"),"Warning","Clean"))</f>
        <v>Warning</v>
      </c>
    </row>
    <row r="430" customFormat="false" ht="15" hidden="false" customHeight="false" outlineLevel="0" collapsed="false">
      <c r="A430" s="3" t="str">
        <f aca="false">raw_data!A430</f>
        <v>ORD-2025-10429</v>
      </c>
      <c r="B430" s="4" t="n">
        <f aca="false">IFERROR(IF(MID(raw_data!B430,3,1)="/",DATE(VALUE(RIGHT(raw_data!B430,4)),VALUE(LEFT(raw_data!B430,2)),VALUE(MID(raw_data!B430,4,2))),IF(MID(raw_data!B430,3,1)="-",DATE(VALUE(RIGHT(raw_data!B430,4)),VALUE(MID(raw_data!B430,4,2)),VALUE(LEFT(raw_data!B430,2))),IF(MID(raw_data!B430,5,1)="-",DATE(VALUE(LEFT(raw_data!B430,4)),VALUE(MID(raw_data!B430,6,2)),VALUE(RIGHT(raw_data!B430,2))),DATE(VALUE(RIGHT(raw_data!B430,4)),MATCH(MID(raw_data!B430,4,3),{"Jan","Feb","Mar","Apr","May","Jun","Jul","Aug","Sep","Oct","Nov","Dec"},0),VALUE(LEFT(raw_data!B430,2)))))),"")</f>
        <v>45731</v>
      </c>
      <c r="C430" s="4" t="n">
        <f aca="false">IFERROR(IF(MID(raw_data!C430,3,1)="/",DATE(VALUE(RIGHT(raw_data!C430,4)),VALUE(LEFT(raw_data!C430,2)),VALUE(MID(raw_data!C430,4,2))),IF(MID(raw_data!C430,3,1)="-",DATE(VALUE(RIGHT(raw_data!C430,4)),VALUE(MID(raw_data!C430,4,2)),VALUE(LEFT(raw_data!C430,2))),IF(MID(raw_data!C430,5,1)="-",DATE(VALUE(LEFT(raw_data!C430,4)),VALUE(MID(raw_data!C430,6,2)),VALUE(RIGHT(raw_data!C430,2))),DATE(VALUE(RIGHT(raw_data!C430,4)),MATCH(MID(raw_data!C430,4,3),{"Jan","Feb","Mar","Apr","May","Jun","Jul","Aug","Sep","Oct","Nov","Dec"},0),VALUE(LEFT(raw_data!C430,2)))))),"")</f>
        <v>45738</v>
      </c>
      <c r="D430" s="3" t="str">
        <f aca="false">IF(TRIM(raw_data!B430)="","Missing",IF(B430="","Invalid/Unrecognized","Valid"))</f>
        <v>Valid</v>
      </c>
      <c r="E430" s="3" t="str">
        <f aca="false">IF(TRIM(raw_data!C430)="","Missing",IF(C430="","Invalid/Unrecognized","Valid"))</f>
        <v>Valid</v>
      </c>
      <c r="F430" s="5" t="n">
        <f aca="false">IF(OR(B430="",C430=""),"",C430-B430)</f>
        <v>7</v>
      </c>
      <c r="G430" s="3" t="str">
        <f aca="false">IF(F430="","N/A",IF(F430&lt;0,"Invalid - Ship Before Order","OK"))</f>
        <v>OK</v>
      </c>
      <c r="H430" s="3" t="str">
        <f aca="false">raw_data!D430</f>
        <v>CUST-7626</v>
      </c>
      <c r="I430" s="3" t="str">
        <f aca="false">PROPER(TRIM(raw_data!E430))</f>
        <v>Karan Malhotra</v>
      </c>
      <c r="J430" s="3" t="str">
        <f aca="false">PROPER(TRIM(raw_data!F430))</f>
        <v>Small Business</v>
      </c>
      <c r="K430" s="3" t="str">
        <f aca="false">IF(TRIM(raw_data!G430)="","Unknown",PROPER(TRIM(raw_data!G430)))</f>
        <v>East</v>
      </c>
      <c r="L430" s="3" t="str">
        <f aca="false">IF(TRIM(raw_data!G430)="","Filled - Unknown","OK")</f>
        <v>OK</v>
      </c>
      <c r="M430" s="3" t="str">
        <f aca="false">PROPER(TRIM(raw_data!H430))</f>
        <v>West Bengal</v>
      </c>
      <c r="N430" s="3" t="str">
        <f aca="false">PROPER(TRIM(raw_data!I430))</f>
        <v>Kolkata</v>
      </c>
      <c r="O430" s="3" t="str">
        <f aca="false">PROPER(TRIM(raw_data!J430))</f>
        <v>Technology</v>
      </c>
      <c r="P430" s="3" t="str">
        <f aca="false">PROPER(TRIM(raw_data!K430))</f>
        <v>Phones</v>
      </c>
      <c r="Q430" s="3" t="str">
        <f aca="false">TRIM(raw_data!L430)</f>
        <v>Elite Phones 488</v>
      </c>
      <c r="R430" s="3" t="str">
        <f aca="false">IF(TRIM(raw_data!M430)="","Unknown",PROPER(TRIM(raw_data!M430)))</f>
        <v>Same Day</v>
      </c>
      <c r="S430" s="3" t="str">
        <f aca="false">IF(TRIM(raw_data!M430)="","Filled - Unknown","OK")</f>
        <v>OK</v>
      </c>
      <c r="T430" s="6" t="n">
        <f aca="false">raw_data!N430</f>
        <v>2</v>
      </c>
      <c r="U430" s="7" t="n">
        <f aca="false">raw_data!O430</f>
        <v>1235.93</v>
      </c>
      <c r="V430" s="8" t="n">
        <f aca="false">raw_data!P430</f>
        <v>0.25</v>
      </c>
      <c r="W430" s="8" t="n">
        <f aca="false">IF(raw_data!P430="",0,IF(ISTEXT(raw_data!P430),IF(RIGHT(raw_data!P430,1)="%",VALUE(LEFT(raw_data!P430,LEN(raw_data!P430)-1))/100,VALUE(raw_data!P430)),raw_data!P430))</f>
        <v>0.25</v>
      </c>
      <c r="X430" s="3" t="str">
        <f aca="false">IF(raw_data!P430="","Missing - Defaulted to 0",IF(W430&lt;0,"Negative - Invalid",IF(W430&gt;0.3,"Above Allowed Range - Invalid","Valid")))</f>
        <v>Valid</v>
      </c>
      <c r="Y430" s="7" t="n">
        <f aca="false">raw_data!Q430</f>
        <v>1853.89</v>
      </c>
      <c r="Z430" s="7" t="n">
        <f aca="false">raw_data!R430</f>
        <v>1101.23</v>
      </c>
      <c r="AA430" s="7" t="n">
        <f aca="false">raw_data!S430</f>
        <v>752.66</v>
      </c>
      <c r="AB430" s="3" t="str">
        <f aca="false">PROPER(TRIM(raw_data!T430))</f>
        <v>Pending</v>
      </c>
      <c r="AC430" s="3" t="str">
        <f aca="false">PROPER(TRIM(raw_data!U430))</f>
        <v>Cancelled</v>
      </c>
      <c r="AD430" s="7" t="n">
        <f aca="false">T430*U430*(1-W430)</f>
        <v>1853.895</v>
      </c>
      <c r="AE430" s="7" t="n">
        <f aca="false">AD430-Z430</f>
        <v>752.665</v>
      </c>
      <c r="AF430" s="8" t="n">
        <f aca="false">IF(AD430=0,0,AE430/AD430)</f>
        <v>0.405991169942203</v>
      </c>
      <c r="AG430" s="3" t="str">
        <f aca="false">IF(ABS(Y430-AD430)&gt;1,"Mismatch","OK")</f>
        <v>OK</v>
      </c>
      <c r="AH430" s="3" t="str">
        <f aca="false">IF(ABS(AA430-AE430)&gt;1,"Mismatch","OK")</f>
        <v>OK</v>
      </c>
      <c r="AI430" s="6" t="n">
        <f aca="false">IF(B430="","",MONTH(B430))</f>
        <v>3</v>
      </c>
      <c r="AJ430" s="6" t="n">
        <f aca="false">IF(B430="","",YEAR(B430))</f>
        <v>2025</v>
      </c>
      <c r="AK430" s="3" t="str">
        <f aca="false">IF(COUNTIF(raw_data!$A$2:$A$913,A430)&gt;1,"Conflicting Duplicate - Flagged for Review","Unique")</f>
        <v>Unique</v>
      </c>
      <c r="AL430" s="3" t="str">
        <f aca="false">IF(AB430="Refunded","Yes","No")</f>
        <v>No</v>
      </c>
      <c r="AM430" s="3" t="str">
        <f aca="false">IF(OR(AC430&lt;&gt;"Completed",AB430="Failed"),"Excluded","Included")</f>
        <v>Excluded</v>
      </c>
      <c r="AN430" s="3" t="str">
        <f aca="false">IF(OR(D430="Invalid/Unrecognized",E430="Invalid/Unrecognized",G430="Invalid - Ship Before Order",X430="Negative - Invalid",X430="Above Allowed Range - Invalid",AG430="Mismatch",AH430="Mismatch",AK430="Conflicting Duplicate - Flagged for Review"),"Invalid",IF(OR(L430="Filled - Unknown",S430="Filled - Unknown",X430="Missing - Defaulted to 0",AL430="Yes",AC430="Cancelled",AC430="Returned"),"Warning","Clean"))</f>
        <v>Warning</v>
      </c>
    </row>
    <row r="431" customFormat="false" ht="15" hidden="false" customHeight="false" outlineLevel="0" collapsed="false">
      <c r="A431" s="3" t="str">
        <f aca="false">raw_data!A431</f>
        <v>ORD-2025-10430</v>
      </c>
      <c r="B431" s="4" t="n">
        <f aca="false">IFERROR(IF(MID(raw_data!B431,3,1)="/",DATE(VALUE(RIGHT(raw_data!B431,4)),VALUE(LEFT(raw_data!B431,2)),VALUE(MID(raw_data!B431,4,2))),IF(MID(raw_data!B431,3,1)="-",DATE(VALUE(RIGHT(raw_data!B431,4)),VALUE(MID(raw_data!B431,4,2)),VALUE(LEFT(raw_data!B431,2))),IF(MID(raw_data!B431,5,1)="-",DATE(VALUE(LEFT(raw_data!B431,4)),VALUE(MID(raw_data!B431,6,2)),VALUE(RIGHT(raw_data!B431,2))),DATE(VALUE(RIGHT(raw_data!B431,4)),MATCH(MID(raw_data!B431,4,3),{"Jan","Feb","Mar","Apr","May","Jun","Jul","Aug","Sep","Oct","Nov","Dec"},0),VALUE(LEFT(raw_data!B431,2)))))),"")</f>
        <v>45717</v>
      </c>
      <c r="C431" s="4" t="n">
        <f aca="false">IFERROR(IF(MID(raw_data!C431,3,1)="/",DATE(VALUE(RIGHT(raw_data!C431,4)),VALUE(LEFT(raw_data!C431,2)),VALUE(MID(raw_data!C431,4,2))),IF(MID(raw_data!C431,3,1)="-",DATE(VALUE(RIGHT(raw_data!C431,4)),VALUE(MID(raw_data!C431,4,2)),VALUE(LEFT(raw_data!C431,2))),IF(MID(raw_data!C431,5,1)="-",DATE(VALUE(LEFT(raw_data!C431,4)),VALUE(MID(raw_data!C431,6,2)),VALUE(RIGHT(raw_data!C431,2))),DATE(VALUE(RIGHT(raw_data!C431,4)),MATCH(MID(raw_data!C431,4,3),{"Jan","Feb","Mar","Apr","May","Jun","Jul","Aug","Sep","Oct","Nov","Dec"},0),VALUE(LEFT(raw_data!C431,2)))))),"")</f>
        <v>45724</v>
      </c>
      <c r="D431" s="3" t="str">
        <f aca="false">IF(TRIM(raw_data!B431)="","Missing",IF(B431="","Invalid/Unrecognized","Valid"))</f>
        <v>Valid</v>
      </c>
      <c r="E431" s="3" t="str">
        <f aca="false">IF(TRIM(raw_data!C431)="","Missing",IF(C431="","Invalid/Unrecognized","Valid"))</f>
        <v>Valid</v>
      </c>
      <c r="F431" s="5" t="n">
        <f aca="false">IF(OR(B431="",C431=""),"",C431-B431)</f>
        <v>7</v>
      </c>
      <c r="G431" s="3" t="str">
        <f aca="false">IF(F431="","N/A",IF(F431&lt;0,"Invalid - Ship Before Order","OK"))</f>
        <v>OK</v>
      </c>
      <c r="H431" s="3" t="str">
        <f aca="false">raw_data!D431</f>
        <v>CUST-8562</v>
      </c>
      <c r="I431" s="3" t="str">
        <f aca="false">PROPER(TRIM(raw_data!E431))</f>
        <v>Neha Gupta</v>
      </c>
      <c r="J431" s="3" t="str">
        <f aca="false">PROPER(TRIM(raw_data!F431))</f>
        <v>Home Office</v>
      </c>
      <c r="K431" s="3" t="str">
        <f aca="false">IF(TRIM(raw_data!G431)="","Unknown",PROPER(TRIM(raw_data!G431)))</f>
        <v>North</v>
      </c>
      <c r="L431" s="3" t="str">
        <f aca="false">IF(TRIM(raw_data!G431)="","Filled - Unknown","OK")</f>
        <v>OK</v>
      </c>
      <c r="M431" s="3" t="str">
        <f aca="false">PROPER(TRIM(raw_data!H431))</f>
        <v>Rajasthan</v>
      </c>
      <c r="N431" s="3" t="str">
        <f aca="false">PROPER(TRIM(raw_data!I431))</f>
        <v>Jaipur</v>
      </c>
      <c r="O431" s="3" t="str">
        <f aca="false">PROPER(TRIM(raw_data!J431))</f>
        <v>Technology</v>
      </c>
      <c r="P431" s="3" t="str">
        <f aca="false">PROPER(TRIM(raw_data!K431))</f>
        <v>Copiers</v>
      </c>
      <c r="Q431" s="3" t="str">
        <f aca="false">TRIM(raw_data!L431)</f>
        <v>Prime Copiers 109</v>
      </c>
      <c r="R431" s="3" t="str">
        <f aca="false">IF(TRIM(raw_data!M431)="","Unknown",PROPER(TRIM(raw_data!M431)))</f>
        <v>Same Day</v>
      </c>
      <c r="S431" s="3" t="str">
        <f aca="false">IF(TRIM(raw_data!M431)="","Filled - Unknown","OK")</f>
        <v>OK</v>
      </c>
      <c r="T431" s="6" t="n">
        <f aca="false">raw_data!N431</f>
        <v>8</v>
      </c>
      <c r="U431" s="7" t="n">
        <f aca="false">raw_data!O431</f>
        <v>2943.1</v>
      </c>
      <c r="V431" s="8" t="n">
        <f aca="false">raw_data!P431</f>
        <v>0.25</v>
      </c>
      <c r="W431" s="8" t="n">
        <f aca="false">IF(raw_data!P431="",0,IF(ISTEXT(raw_data!P431),IF(RIGHT(raw_data!P431,1)="%",VALUE(LEFT(raw_data!P431,LEN(raw_data!P431)-1))/100,VALUE(raw_data!P431)),raw_data!P431))</f>
        <v>0.25</v>
      </c>
      <c r="X431" s="3" t="str">
        <f aca="false">IF(raw_data!P431="","Missing - Defaulted to 0",IF(W431&lt;0,"Negative - Invalid",IF(W431&gt;0.3,"Above Allowed Range - Invalid","Valid")))</f>
        <v>Valid</v>
      </c>
      <c r="Y431" s="7" t="n">
        <f aca="false">raw_data!Q431</f>
        <v>17658.6</v>
      </c>
      <c r="Z431" s="7" t="n">
        <f aca="false">raw_data!R431</f>
        <v>13842.48</v>
      </c>
      <c r="AA431" s="7" t="n">
        <f aca="false">raw_data!S431</f>
        <v>3816.12</v>
      </c>
      <c r="AB431" s="3" t="str">
        <f aca="false">PROPER(TRIM(raw_data!T431))</f>
        <v>Paid</v>
      </c>
      <c r="AC431" s="3" t="str">
        <f aca="false">PROPER(TRIM(raw_data!U431))</f>
        <v>Completed</v>
      </c>
      <c r="AD431" s="7" t="n">
        <f aca="false">T431*U431*(1-W431)</f>
        <v>17658.6</v>
      </c>
      <c r="AE431" s="7" t="n">
        <f aca="false">AD431-Z431</f>
        <v>3816.12</v>
      </c>
      <c r="AF431" s="8" t="n">
        <f aca="false">IF(AD431=0,0,AE431/AD431)</f>
        <v>0.216105467024566</v>
      </c>
      <c r="AG431" s="3" t="str">
        <f aca="false">IF(ABS(Y431-AD431)&gt;1,"Mismatch","OK")</f>
        <v>OK</v>
      </c>
      <c r="AH431" s="3" t="str">
        <f aca="false">IF(ABS(AA431-AE431)&gt;1,"Mismatch","OK")</f>
        <v>OK</v>
      </c>
      <c r="AI431" s="6" t="n">
        <f aca="false">IF(B431="","",MONTH(B431))</f>
        <v>3</v>
      </c>
      <c r="AJ431" s="6" t="n">
        <f aca="false">IF(B431="","",YEAR(B431))</f>
        <v>2025</v>
      </c>
      <c r="AK431" s="3" t="str">
        <f aca="false">IF(COUNTIF(raw_data!$A$2:$A$913,A431)&gt;1,"Conflicting Duplicate - Flagged for Review","Unique")</f>
        <v>Unique</v>
      </c>
      <c r="AL431" s="3" t="str">
        <f aca="false">IF(AB431="Refunded","Yes","No")</f>
        <v>No</v>
      </c>
      <c r="AM431" s="3" t="str">
        <f aca="false">IF(OR(AC431&lt;&gt;"Completed",AB431="Failed"),"Excluded","Included")</f>
        <v>Included</v>
      </c>
      <c r="AN431" s="3" t="str">
        <f aca="false">IF(OR(D431="Invalid/Unrecognized",E431="Invalid/Unrecognized",G431="Invalid - Ship Before Order",X431="Negative - Invalid",X431="Above Allowed Range - Invalid",AG431="Mismatch",AH431="Mismatch",AK431="Conflicting Duplicate - Flagged for Review"),"Invalid",IF(OR(L431="Filled - Unknown",S431="Filled - Unknown",X431="Missing - Defaulted to 0",AL431="Yes",AC431="Cancelled",AC431="Returned"),"Warning","Clean"))</f>
        <v>Clean</v>
      </c>
    </row>
    <row r="432" customFormat="false" ht="15" hidden="false" customHeight="false" outlineLevel="0" collapsed="false">
      <c r="A432" s="3" t="str">
        <f aca="false">raw_data!A432</f>
        <v>ORD-2024-10431</v>
      </c>
      <c r="B432" s="4" t="n">
        <f aca="false">IFERROR(IF(MID(raw_data!B432,3,1)="/",DATE(VALUE(RIGHT(raw_data!B432,4)),VALUE(LEFT(raw_data!B432,2)),VALUE(MID(raw_data!B432,4,2))),IF(MID(raw_data!B432,3,1)="-",DATE(VALUE(RIGHT(raw_data!B432,4)),VALUE(MID(raw_data!B432,4,2)),VALUE(LEFT(raw_data!B432,2))),IF(MID(raw_data!B432,5,1)="-",DATE(VALUE(LEFT(raw_data!B432,4)),VALUE(MID(raw_data!B432,6,2)),VALUE(RIGHT(raw_data!B432,2))),DATE(VALUE(RIGHT(raw_data!B432,4)),MATCH(MID(raw_data!B432,4,3),{"Jan","Feb","Mar","Apr","May","Jun","Jul","Aug","Sep","Oct","Nov","Dec"},0),VALUE(LEFT(raw_data!B432,2)))))),"")</f>
        <v>45534</v>
      </c>
      <c r="C432" s="4" t="n">
        <f aca="false">IFERROR(IF(MID(raw_data!C432,3,1)="/",DATE(VALUE(RIGHT(raw_data!C432,4)),VALUE(LEFT(raw_data!C432,2)),VALUE(MID(raw_data!C432,4,2))),IF(MID(raw_data!C432,3,1)="-",DATE(VALUE(RIGHT(raw_data!C432,4)),VALUE(MID(raw_data!C432,4,2)),VALUE(LEFT(raw_data!C432,2))),IF(MID(raw_data!C432,5,1)="-",DATE(VALUE(LEFT(raw_data!C432,4)),VALUE(MID(raw_data!C432,6,2)),VALUE(RIGHT(raw_data!C432,2))),DATE(VALUE(RIGHT(raw_data!C432,4)),MATCH(MID(raw_data!C432,4,3),{"Jan","Feb","Mar","Apr","May","Jun","Jul","Aug","Sep","Oct","Nov","Dec"},0),VALUE(LEFT(raw_data!C432,2)))))),"")</f>
        <v>45537</v>
      </c>
      <c r="D432" s="3" t="str">
        <f aca="false">IF(TRIM(raw_data!B432)="","Missing",IF(B432="","Invalid/Unrecognized","Valid"))</f>
        <v>Valid</v>
      </c>
      <c r="E432" s="3" t="str">
        <f aca="false">IF(TRIM(raw_data!C432)="","Missing",IF(C432="","Invalid/Unrecognized","Valid"))</f>
        <v>Valid</v>
      </c>
      <c r="F432" s="5" t="n">
        <f aca="false">IF(OR(B432="",C432=""),"",C432-B432)</f>
        <v>3</v>
      </c>
      <c r="G432" s="3" t="str">
        <f aca="false">IF(F432="","N/A",IF(F432&lt;0,"Invalid - Ship Before Order","OK"))</f>
        <v>OK</v>
      </c>
      <c r="H432" s="3" t="str">
        <f aca="false">raw_data!D432</f>
        <v>CUST-2732</v>
      </c>
      <c r="I432" s="3" t="str">
        <f aca="false">PROPER(TRIM(raw_data!E432))</f>
        <v>Neha Gupta</v>
      </c>
      <c r="J432" s="3" t="str">
        <f aca="false">PROPER(TRIM(raw_data!F432))</f>
        <v>Small Business</v>
      </c>
      <c r="K432" s="3" t="str">
        <f aca="false">IF(TRIM(raw_data!G432)="","Unknown",PROPER(TRIM(raw_data!G432)))</f>
        <v>North</v>
      </c>
      <c r="L432" s="3" t="str">
        <f aca="false">IF(TRIM(raw_data!G432)="","Filled - Unknown","OK")</f>
        <v>OK</v>
      </c>
      <c r="M432" s="3" t="str">
        <f aca="false">PROPER(TRIM(raw_data!H432))</f>
        <v>Haryana</v>
      </c>
      <c r="N432" s="3" t="str">
        <f aca="false">PROPER(TRIM(raw_data!I432))</f>
        <v>Gurugram</v>
      </c>
      <c r="O432" s="3" t="str">
        <f aca="false">PROPER(TRIM(raw_data!J432))</f>
        <v>Office Supplies</v>
      </c>
      <c r="P432" s="3" t="str">
        <f aca="false">PROPER(TRIM(raw_data!K432))</f>
        <v>Paper</v>
      </c>
      <c r="Q432" s="3" t="str">
        <f aca="false">TRIM(raw_data!L432)</f>
        <v>Max Paper 576</v>
      </c>
      <c r="R432" s="3" t="str">
        <f aca="false">IF(TRIM(raw_data!M432)="","Unknown",PROPER(TRIM(raw_data!M432)))</f>
        <v>Second Class</v>
      </c>
      <c r="S432" s="3" t="str">
        <f aca="false">IF(TRIM(raw_data!M432)="","Filled - Unknown","OK")</f>
        <v>OK</v>
      </c>
      <c r="T432" s="6" t="n">
        <f aca="false">raw_data!N432</f>
        <v>1</v>
      </c>
      <c r="U432" s="7" t="n">
        <f aca="false">raw_data!O432</f>
        <v>4320.84</v>
      </c>
      <c r="V432" s="8" t="n">
        <f aca="false">raw_data!P432</f>
        <v>0.15</v>
      </c>
      <c r="W432" s="8" t="n">
        <f aca="false">IF(raw_data!P432="",0,IF(ISTEXT(raw_data!P432),IF(RIGHT(raw_data!P432,1)="%",VALUE(LEFT(raw_data!P432,LEN(raw_data!P432)-1))/100,VALUE(raw_data!P432)),raw_data!P432))</f>
        <v>0.15</v>
      </c>
      <c r="X432" s="3" t="str">
        <f aca="false">IF(raw_data!P432="","Missing - Defaulted to 0",IF(W432&lt;0,"Negative - Invalid",IF(W432&gt;0.3,"Above Allowed Range - Invalid","Valid")))</f>
        <v>Valid</v>
      </c>
      <c r="Y432" s="7" t="n">
        <f aca="false">raw_data!Q432</f>
        <v>3672.71</v>
      </c>
      <c r="Z432" s="7" t="n">
        <f aca="false">raw_data!R432</f>
        <v>2714.23</v>
      </c>
      <c r="AA432" s="7" t="n">
        <f aca="false">raw_data!S432</f>
        <v>763.38</v>
      </c>
      <c r="AB432" s="3" t="str">
        <f aca="false">PROPER(TRIM(raw_data!T432))</f>
        <v>Paid</v>
      </c>
      <c r="AC432" s="3" t="str">
        <f aca="false">PROPER(TRIM(raw_data!U432))</f>
        <v>Completed</v>
      </c>
      <c r="AD432" s="7" t="n">
        <f aca="false">T432*U432*(1-W432)</f>
        <v>3672.714</v>
      </c>
      <c r="AE432" s="7" t="n">
        <f aca="false">AD432-Z432</f>
        <v>958.484</v>
      </c>
      <c r="AF432" s="8" t="n">
        <f aca="false">IF(AD432=0,0,AE432/AD432)</f>
        <v>0.260974309461613</v>
      </c>
      <c r="AG432" s="3" t="str">
        <f aca="false">IF(ABS(Y432-AD432)&gt;1,"Mismatch","OK")</f>
        <v>OK</v>
      </c>
      <c r="AH432" s="3" t="str">
        <f aca="false">IF(ABS(AA432-AE432)&gt;1,"Mismatch","OK")</f>
        <v>Mismatch</v>
      </c>
      <c r="AI432" s="6" t="n">
        <f aca="false">IF(B432="","",MONTH(B432))</f>
        <v>8</v>
      </c>
      <c r="AJ432" s="6" t="n">
        <f aca="false">IF(B432="","",YEAR(B432))</f>
        <v>2024</v>
      </c>
      <c r="AK432" s="3" t="str">
        <f aca="false">IF(COUNTIF(raw_data!$A$2:$A$913,A432)&gt;1,"Conflicting Duplicate - Flagged for Review","Unique")</f>
        <v>Unique</v>
      </c>
      <c r="AL432" s="3" t="str">
        <f aca="false">IF(AB432="Refunded","Yes","No")</f>
        <v>No</v>
      </c>
      <c r="AM432" s="3" t="str">
        <f aca="false">IF(OR(AC432&lt;&gt;"Completed",AB432="Failed"),"Excluded","Included")</f>
        <v>Included</v>
      </c>
      <c r="AN432" s="3" t="str">
        <f aca="false">IF(OR(D432="Invalid/Unrecognized",E432="Invalid/Unrecognized",G432="Invalid - Ship Before Order",X432="Negative - Invalid",X432="Above Allowed Range - Invalid",AG432="Mismatch",AH432="Mismatch",AK432="Conflicting Duplicate - Flagged for Review"),"Invalid",IF(OR(L432="Filled - Unknown",S432="Filled - Unknown",X432="Missing - Defaulted to 0",AL432="Yes",AC432="Cancelled",AC432="Returned"),"Warning","Clean"))</f>
        <v>Invalid</v>
      </c>
    </row>
    <row r="433" customFormat="false" ht="15" hidden="false" customHeight="false" outlineLevel="0" collapsed="false">
      <c r="A433" s="3" t="str">
        <f aca="false">raw_data!A433</f>
        <v>ORD-2024-10432</v>
      </c>
      <c r="B433" s="4" t="n">
        <f aca="false">IFERROR(IF(MID(raw_data!B433,3,1)="/",DATE(VALUE(RIGHT(raw_data!B433,4)),VALUE(LEFT(raw_data!B433,2)),VALUE(MID(raw_data!B433,4,2))),IF(MID(raw_data!B433,3,1)="-",DATE(VALUE(RIGHT(raw_data!B433,4)),VALUE(MID(raw_data!B433,4,2)),VALUE(LEFT(raw_data!B433,2))),IF(MID(raw_data!B433,5,1)="-",DATE(VALUE(LEFT(raw_data!B433,4)),VALUE(MID(raw_data!B433,6,2)),VALUE(RIGHT(raw_data!B433,2))),DATE(VALUE(RIGHT(raw_data!B433,4)),MATCH(MID(raw_data!B433,4,3),{"Jan","Feb","Mar","Apr","May","Jun","Jul","Aug","Sep","Oct","Nov","Dec"},0),VALUE(LEFT(raw_data!B433,2)))))),"")</f>
        <v>45332</v>
      </c>
      <c r="C433" s="4" t="n">
        <f aca="false">IFERROR(IF(MID(raw_data!C433,3,1)="/",DATE(VALUE(RIGHT(raw_data!C433,4)),VALUE(LEFT(raw_data!C433,2)),VALUE(MID(raw_data!C433,4,2))),IF(MID(raw_data!C433,3,1)="-",DATE(VALUE(RIGHT(raw_data!C433,4)),VALUE(MID(raw_data!C433,4,2)),VALUE(LEFT(raw_data!C433,2))),IF(MID(raw_data!C433,5,1)="-",DATE(VALUE(LEFT(raw_data!C433,4)),VALUE(MID(raw_data!C433,6,2)),VALUE(RIGHT(raw_data!C433,2))),DATE(VALUE(RIGHT(raw_data!C433,4)),MATCH(MID(raw_data!C433,4,3),{"Jan","Feb","Mar","Apr","May","Jun","Jul","Aug","Sep","Oct","Nov","Dec"},0),VALUE(LEFT(raw_data!C433,2)))))),"")</f>
        <v>45335</v>
      </c>
      <c r="D433" s="3" t="str">
        <f aca="false">IF(TRIM(raw_data!B433)="","Missing",IF(B433="","Invalid/Unrecognized","Valid"))</f>
        <v>Valid</v>
      </c>
      <c r="E433" s="3" t="str">
        <f aca="false">IF(TRIM(raw_data!C433)="","Missing",IF(C433="","Invalid/Unrecognized","Valid"))</f>
        <v>Valid</v>
      </c>
      <c r="F433" s="5" t="n">
        <f aca="false">IF(OR(B433="",C433=""),"",C433-B433)</f>
        <v>3</v>
      </c>
      <c r="G433" s="3" t="str">
        <f aca="false">IF(F433="","N/A",IF(F433&lt;0,"Invalid - Ship Before Order","OK"))</f>
        <v>OK</v>
      </c>
      <c r="H433" s="3" t="str">
        <f aca="false">raw_data!D433</f>
        <v>CUST-3989</v>
      </c>
      <c r="I433" s="3" t="str">
        <f aca="false">PROPER(TRIM(raw_data!E433))</f>
        <v>Karan Malhotra</v>
      </c>
      <c r="J433" s="3" t="str">
        <f aca="false">PROPER(TRIM(raw_data!F433))</f>
        <v>Home Office</v>
      </c>
      <c r="K433" s="3" t="str">
        <f aca="false">IF(TRIM(raw_data!G433)="","Unknown",PROPER(TRIM(raw_data!G433)))</f>
        <v>West</v>
      </c>
      <c r="L433" s="3" t="str">
        <f aca="false">IF(TRIM(raw_data!G433)="","Filled - Unknown","OK")</f>
        <v>OK</v>
      </c>
      <c r="M433" s="3" t="str">
        <f aca="false">PROPER(TRIM(raw_data!H433))</f>
        <v>Goa</v>
      </c>
      <c r="N433" s="3" t="str">
        <f aca="false">PROPER(TRIM(raw_data!I433))</f>
        <v>Panaji</v>
      </c>
      <c r="O433" s="3" t="str">
        <f aca="false">PROPER(TRIM(raw_data!J433))</f>
        <v>Technology</v>
      </c>
      <c r="P433" s="3" t="str">
        <f aca="false">PROPER(TRIM(raw_data!K433))</f>
        <v>Machines</v>
      </c>
      <c r="Q433" s="3" t="str">
        <f aca="false">TRIM(raw_data!L433)</f>
        <v>Max Machines 412</v>
      </c>
      <c r="R433" s="3" t="str">
        <f aca="false">IF(TRIM(raw_data!M433)="","Unknown",PROPER(TRIM(raw_data!M433)))</f>
        <v>Same Day</v>
      </c>
      <c r="S433" s="3" t="str">
        <f aca="false">IF(TRIM(raw_data!M433)="","Filled - Unknown","OK")</f>
        <v>OK</v>
      </c>
      <c r="T433" s="6" t="n">
        <f aca="false">raw_data!N433</f>
        <v>2</v>
      </c>
      <c r="U433" s="7" t="n">
        <f aca="false">raw_data!O433</f>
        <v>4118.45</v>
      </c>
      <c r="V433" s="8" t="n">
        <f aca="false">raw_data!P433</f>
        <v>0.25</v>
      </c>
      <c r="W433" s="8" t="n">
        <f aca="false">IF(raw_data!P433="",0,IF(ISTEXT(raw_data!P433),IF(RIGHT(raw_data!P433,1)="%",VALUE(LEFT(raw_data!P433,LEN(raw_data!P433)-1))/100,VALUE(raw_data!P433)),raw_data!P433))</f>
        <v>0.25</v>
      </c>
      <c r="X433" s="3" t="str">
        <f aca="false">IF(raw_data!P433="","Missing - Defaulted to 0",IF(W433&lt;0,"Negative - Invalid",IF(W433&gt;0.3,"Above Allowed Range - Invalid","Valid")))</f>
        <v>Valid</v>
      </c>
      <c r="Y433" s="7" t="n">
        <f aca="false">raw_data!Q433</f>
        <v>6177.67</v>
      </c>
      <c r="Z433" s="7" t="n">
        <f aca="false">raw_data!R433</f>
        <v>4520.75</v>
      </c>
      <c r="AA433" s="7" t="n">
        <f aca="false">raw_data!S433</f>
        <v>1656.92</v>
      </c>
      <c r="AB433" s="3" t="str">
        <f aca="false">PROPER(TRIM(raw_data!T433))</f>
        <v>Paid</v>
      </c>
      <c r="AC433" s="3" t="str">
        <f aca="false">PROPER(TRIM(raw_data!U433))</f>
        <v>Completed</v>
      </c>
      <c r="AD433" s="7" t="n">
        <f aca="false">T433*U433*(1-W433)</f>
        <v>6177.675</v>
      </c>
      <c r="AE433" s="7" t="n">
        <f aca="false">AD433-Z433</f>
        <v>1656.925</v>
      </c>
      <c r="AF433" s="8" t="n">
        <f aca="false">IF(AD433=0,0,AE433/AD433)</f>
        <v>0.268211746328513</v>
      </c>
      <c r="AG433" s="3" t="str">
        <f aca="false">IF(ABS(Y433-AD433)&gt;1,"Mismatch","OK")</f>
        <v>OK</v>
      </c>
      <c r="AH433" s="3" t="str">
        <f aca="false">IF(ABS(AA433-AE433)&gt;1,"Mismatch","OK")</f>
        <v>OK</v>
      </c>
      <c r="AI433" s="6" t="n">
        <f aca="false">IF(B433="","",MONTH(B433))</f>
        <v>2</v>
      </c>
      <c r="AJ433" s="6" t="n">
        <f aca="false">IF(B433="","",YEAR(B433))</f>
        <v>2024</v>
      </c>
      <c r="AK433" s="3" t="str">
        <f aca="false">IF(COUNTIF(raw_data!$A$2:$A$913,A433)&gt;1,"Conflicting Duplicate - Flagged for Review","Unique")</f>
        <v>Unique</v>
      </c>
      <c r="AL433" s="3" t="str">
        <f aca="false">IF(AB433="Refunded","Yes","No")</f>
        <v>No</v>
      </c>
      <c r="AM433" s="3" t="str">
        <f aca="false">IF(OR(AC433&lt;&gt;"Completed",AB433="Failed"),"Excluded","Included")</f>
        <v>Included</v>
      </c>
      <c r="AN433" s="3" t="str">
        <f aca="false">IF(OR(D433="Invalid/Unrecognized",E433="Invalid/Unrecognized",G433="Invalid - Ship Before Order",X433="Negative - Invalid",X433="Above Allowed Range - Invalid",AG433="Mismatch",AH433="Mismatch",AK433="Conflicting Duplicate - Flagged for Review"),"Invalid",IF(OR(L433="Filled - Unknown",S433="Filled - Unknown",X433="Missing - Defaulted to 0",AL433="Yes",AC433="Cancelled",AC433="Returned"),"Warning","Clean"))</f>
        <v>Clean</v>
      </c>
    </row>
    <row r="434" customFormat="false" ht="15" hidden="false" customHeight="false" outlineLevel="0" collapsed="false">
      <c r="A434" s="3" t="str">
        <f aca="false">raw_data!A434</f>
        <v>ORD-2024-10433</v>
      </c>
      <c r="B434" s="4" t="n">
        <f aca="false">IFERROR(IF(MID(raw_data!B434,3,1)="/",DATE(VALUE(RIGHT(raw_data!B434,4)),VALUE(LEFT(raw_data!B434,2)),VALUE(MID(raw_data!B434,4,2))),IF(MID(raw_data!B434,3,1)="-",DATE(VALUE(RIGHT(raw_data!B434,4)),VALUE(MID(raw_data!B434,4,2)),VALUE(LEFT(raw_data!B434,2))),IF(MID(raw_data!B434,5,1)="-",DATE(VALUE(LEFT(raw_data!B434,4)),VALUE(MID(raw_data!B434,6,2)),VALUE(RIGHT(raw_data!B434,2))),DATE(VALUE(RIGHT(raw_data!B434,4)),MATCH(MID(raw_data!B434,4,3),{"Jan","Feb","Mar","Apr","May","Jun","Jul","Aug","Sep","Oct","Nov","Dec"},0),VALUE(LEFT(raw_data!B434,2)))))),"")</f>
        <v>45533</v>
      </c>
      <c r="C434" s="4" t="n">
        <f aca="false">IFERROR(IF(MID(raw_data!C434,3,1)="/",DATE(VALUE(RIGHT(raw_data!C434,4)),VALUE(LEFT(raw_data!C434,2)),VALUE(MID(raw_data!C434,4,2))),IF(MID(raw_data!C434,3,1)="-",DATE(VALUE(RIGHT(raw_data!C434,4)),VALUE(MID(raw_data!C434,4,2)),VALUE(LEFT(raw_data!C434,2))),IF(MID(raw_data!C434,5,1)="-",DATE(VALUE(LEFT(raw_data!C434,4)),VALUE(MID(raw_data!C434,6,2)),VALUE(RIGHT(raw_data!C434,2))),DATE(VALUE(RIGHT(raw_data!C434,4)),MATCH(MID(raw_data!C434,4,3),{"Jan","Feb","Mar","Apr","May","Jun","Jul","Aug","Sep","Oct","Nov","Dec"},0),VALUE(LEFT(raw_data!C434,2)))))),"")</f>
        <v>45537</v>
      </c>
      <c r="D434" s="3" t="str">
        <f aca="false">IF(TRIM(raw_data!B434)="","Missing",IF(B434="","Invalid/Unrecognized","Valid"))</f>
        <v>Valid</v>
      </c>
      <c r="E434" s="3" t="str">
        <f aca="false">IF(TRIM(raw_data!C434)="","Missing",IF(C434="","Invalid/Unrecognized","Valid"))</f>
        <v>Valid</v>
      </c>
      <c r="F434" s="5" t="n">
        <f aca="false">IF(OR(B434="",C434=""),"",C434-B434)</f>
        <v>4</v>
      </c>
      <c r="G434" s="3" t="str">
        <f aca="false">IF(F434="","N/A",IF(F434&lt;0,"Invalid - Ship Before Order","OK"))</f>
        <v>OK</v>
      </c>
      <c r="H434" s="3" t="str">
        <f aca="false">raw_data!D434</f>
        <v>CUST-3522</v>
      </c>
      <c r="I434" s="3" t="str">
        <f aca="false">PROPER(TRIM(raw_data!E434))</f>
        <v>Priya Menon</v>
      </c>
      <c r="J434" s="3" t="str">
        <f aca="false">PROPER(TRIM(raw_data!F434))</f>
        <v>Small Business</v>
      </c>
      <c r="K434" s="3" t="str">
        <f aca="false">IF(TRIM(raw_data!G434)="","Unknown",PROPER(TRIM(raw_data!G434)))</f>
        <v>West</v>
      </c>
      <c r="L434" s="3" t="str">
        <f aca="false">IF(TRIM(raw_data!G434)="","Filled - Unknown","OK")</f>
        <v>OK</v>
      </c>
      <c r="M434" s="3" t="str">
        <f aca="false">PROPER(TRIM(raw_data!H434))</f>
        <v>Maharashtra</v>
      </c>
      <c r="N434" s="3" t="str">
        <f aca="false">PROPER(TRIM(raw_data!I434))</f>
        <v>Mumbai</v>
      </c>
      <c r="O434" s="3" t="str">
        <f aca="false">PROPER(TRIM(raw_data!J434))</f>
        <v>Furniture</v>
      </c>
      <c r="P434" s="3" t="str">
        <f aca="false">PROPER(TRIM(raw_data!K434))</f>
        <v>Bookcases</v>
      </c>
      <c r="Q434" s="3" t="str">
        <f aca="false">TRIM(raw_data!L434)</f>
        <v>Classic Bookcases 291</v>
      </c>
      <c r="R434" s="3" t="str">
        <f aca="false">IF(TRIM(raw_data!M434)="","Unknown",PROPER(TRIM(raw_data!M434)))</f>
        <v>Standard Class</v>
      </c>
      <c r="S434" s="3" t="str">
        <f aca="false">IF(TRIM(raw_data!M434)="","Filled - Unknown","OK")</f>
        <v>OK</v>
      </c>
      <c r="T434" s="6" t="n">
        <f aca="false">raw_data!N434</f>
        <v>6</v>
      </c>
      <c r="U434" s="7" t="n">
        <f aca="false">raw_data!O434</f>
        <v>172.82</v>
      </c>
      <c r="V434" s="8" t="n">
        <f aca="false">raw_data!P434</f>
        <v>0.05</v>
      </c>
      <c r="W434" s="8" t="n">
        <f aca="false">IF(raw_data!P434="",0,IF(ISTEXT(raw_data!P434),IF(RIGHT(raw_data!P434,1)="%",VALUE(LEFT(raw_data!P434,LEN(raw_data!P434)-1))/100,VALUE(raw_data!P434)),raw_data!P434))</f>
        <v>0.05</v>
      </c>
      <c r="X434" s="3" t="str">
        <f aca="false">IF(raw_data!P434="","Missing - Defaulted to 0",IF(W434&lt;0,"Negative - Invalid",IF(W434&gt;0.3,"Above Allowed Range - Invalid","Valid")))</f>
        <v>Valid</v>
      </c>
      <c r="Y434" s="7" t="n">
        <f aca="false">raw_data!Q434</f>
        <v>985.07</v>
      </c>
      <c r="Z434" s="7" t="n">
        <f aca="false">raw_data!R434</f>
        <v>844.48</v>
      </c>
      <c r="AA434" s="7" t="n">
        <f aca="false">raw_data!S434</f>
        <v>140.59</v>
      </c>
      <c r="AB434" s="3" t="str">
        <f aca="false">PROPER(TRIM(raw_data!T434))</f>
        <v>Paid</v>
      </c>
      <c r="AC434" s="3" t="str">
        <f aca="false">PROPER(TRIM(raw_data!U434))</f>
        <v>Completed</v>
      </c>
      <c r="AD434" s="7" t="n">
        <f aca="false">T434*U434*(1-W434)</f>
        <v>985.074</v>
      </c>
      <c r="AE434" s="7" t="n">
        <f aca="false">AD434-Z434</f>
        <v>140.594</v>
      </c>
      <c r="AF434" s="8" t="n">
        <f aca="false">IF(AD434=0,0,AE434/AD434)</f>
        <v>0.142724302945769</v>
      </c>
      <c r="AG434" s="3" t="str">
        <f aca="false">IF(ABS(Y434-AD434)&gt;1,"Mismatch","OK")</f>
        <v>OK</v>
      </c>
      <c r="AH434" s="3" t="str">
        <f aca="false">IF(ABS(AA434-AE434)&gt;1,"Mismatch","OK")</f>
        <v>OK</v>
      </c>
      <c r="AI434" s="6" t="n">
        <f aca="false">IF(B434="","",MONTH(B434))</f>
        <v>8</v>
      </c>
      <c r="AJ434" s="6" t="n">
        <f aca="false">IF(B434="","",YEAR(B434))</f>
        <v>2024</v>
      </c>
      <c r="AK434" s="3" t="str">
        <f aca="false">IF(COUNTIF(raw_data!$A$2:$A$913,A434)&gt;1,"Conflicting Duplicate - Flagged for Review","Unique")</f>
        <v>Unique</v>
      </c>
      <c r="AL434" s="3" t="str">
        <f aca="false">IF(AB434="Refunded","Yes","No")</f>
        <v>No</v>
      </c>
      <c r="AM434" s="3" t="str">
        <f aca="false">IF(OR(AC434&lt;&gt;"Completed",AB434="Failed"),"Excluded","Included")</f>
        <v>Included</v>
      </c>
      <c r="AN434" s="3" t="str">
        <f aca="false">IF(OR(D434="Invalid/Unrecognized",E434="Invalid/Unrecognized",G434="Invalid - Ship Before Order",X434="Negative - Invalid",X434="Above Allowed Range - Invalid",AG434="Mismatch",AH434="Mismatch",AK434="Conflicting Duplicate - Flagged for Review"),"Invalid",IF(OR(L434="Filled - Unknown",S434="Filled - Unknown",X434="Missing - Defaulted to 0",AL434="Yes",AC434="Cancelled",AC434="Returned"),"Warning","Clean"))</f>
        <v>Clean</v>
      </c>
    </row>
    <row r="435" customFormat="false" ht="15" hidden="false" customHeight="false" outlineLevel="0" collapsed="false">
      <c r="A435" s="3" t="str">
        <f aca="false">raw_data!A435</f>
        <v>ORD-2024-10434</v>
      </c>
      <c r="B435" s="4" t="n">
        <f aca="false">IFERROR(IF(MID(raw_data!B435,3,1)="/",DATE(VALUE(RIGHT(raw_data!B435,4)),VALUE(LEFT(raw_data!B435,2)),VALUE(MID(raw_data!B435,4,2))),IF(MID(raw_data!B435,3,1)="-",DATE(VALUE(RIGHT(raw_data!B435,4)),VALUE(MID(raw_data!B435,4,2)),VALUE(LEFT(raw_data!B435,2))),IF(MID(raw_data!B435,5,1)="-",DATE(VALUE(LEFT(raw_data!B435,4)),VALUE(MID(raw_data!B435,6,2)),VALUE(RIGHT(raw_data!B435,2))),DATE(VALUE(RIGHT(raw_data!B435,4)),MATCH(MID(raw_data!B435,4,3),{"Jan","Feb","Mar","Apr","May","Jun","Jul","Aug","Sep","Oct","Nov","Dec"},0),VALUE(LEFT(raw_data!B435,2)))))),"")</f>
        <v>45401</v>
      </c>
      <c r="C435" s="4" t="n">
        <f aca="false">IFERROR(IF(MID(raw_data!C435,3,1)="/",DATE(VALUE(RIGHT(raw_data!C435,4)),VALUE(LEFT(raw_data!C435,2)),VALUE(MID(raw_data!C435,4,2))),IF(MID(raw_data!C435,3,1)="-",DATE(VALUE(RIGHT(raw_data!C435,4)),VALUE(MID(raw_data!C435,4,2)),VALUE(LEFT(raw_data!C435,2))),IF(MID(raw_data!C435,5,1)="-",DATE(VALUE(LEFT(raw_data!C435,4)),VALUE(MID(raw_data!C435,6,2)),VALUE(RIGHT(raw_data!C435,2))),DATE(VALUE(RIGHT(raw_data!C435,4)),MATCH(MID(raw_data!C435,4,3),{"Jan","Feb","Mar","Apr","May","Jun","Jul","Aug","Sep","Oct","Nov","Dec"},0),VALUE(LEFT(raw_data!C435,2)))))),"")</f>
        <v>45402</v>
      </c>
      <c r="D435" s="3" t="str">
        <f aca="false">IF(TRIM(raw_data!B435)="","Missing",IF(B435="","Invalid/Unrecognized","Valid"))</f>
        <v>Valid</v>
      </c>
      <c r="E435" s="3" t="str">
        <f aca="false">IF(TRIM(raw_data!C435)="","Missing",IF(C435="","Invalid/Unrecognized","Valid"))</f>
        <v>Valid</v>
      </c>
      <c r="F435" s="5" t="n">
        <f aca="false">IF(OR(B435="",C435=""),"",C435-B435)</f>
        <v>1</v>
      </c>
      <c r="G435" s="3" t="str">
        <f aca="false">IF(F435="","N/A",IF(F435&lt;0,"Invalid - Ship Before Order","OK"))</f>
        <v>OK</v>
      </c>
      <c r="H435" s="3" t="str">
        <f aca="false">raw_data!D435</f>
        <v>CUST-7066</v>
      </c>
      <c r="I435" s="3" t="str">
        <f aca="false">PROPER(TRIM(raw_data!E435))</f>
        <v>Priya Menon</v>
      </c>
      <c r="J435" s="3" t="str">
        <f aca="false">PROPER(TRIM(raw_data!F435))</f>
        <v>Corporate</v>
      </c>
      <c r="K435" s="3" t="str">
        <f aca="false">IF(TRIM(raw_data!G435)="","Unknown",PROPER(TRIM(raw_data!G435)))</f>
        <v>South</v>
      </c>
      <c r="L435" s="3" t="str">
        <f aca="false">IF(TRIM(raw_data!G435)="","Filled - Unknown","OK")</f>
        <v>OK</v>
      </c>
      <c r="M435" s="3" t="str">
        <f aca="false">PROPER(TRIM(raw_data!H435))</f>
        <v>Kerala</v>
      </c>
      <c r="N435" s="3" t="str">
        <f aca="false">PROPER(TRIM(raw_data!I435))</f>
        <v>Kochi</v>
      </c>
      <c r="O435" s="3" t="str">
        <f aca="false">PROPER(TRIM(raw_data!J435))</f>
        <v>Office Supplies</v>
      </c>
      <c r="P435" s="3" t="str">
        <f aca="false">PROPER(TRIM(raw_data!K435))</f>
        <v>Art</v>
      </c>
      <c r="Q435" s="3" t="str">
        <f aca="false">TRIM(raw_data!L435)</f>
        <v>Elite Art 946</v>
      </c>
      <c r="R435" s="3" t="str">
        <f aca="false">IF(TRIM(raw_data!M435)="","Unknown",PROPER(TRIM(raw_data!M435)))</f>
        <v>Second Class</v>
      </c>
      <c r="S435" s="3" t="str">
        <f aca="false">IF(TRIM(raw_data!M435)="","Filled - Unknown","OK")</f>
        <v>OK</v>
      </c>
      <c r="T435" s="6" t="n">
        <f aca="false">raw_data!N435</f>
        <v>4</v>
      </c>
      <c r="U435" s="7" t="n">
        <f aca="false">raw_data!O435</f>
        <v>1540.22</v>
      </c>
      <c r="V435" s="8" t="n">
        <f aca="false">raw_data!P435</f>
        <v>0</v>
      </c>
      <c r="W435" s="8" t="n">
        <f aca="false">IF(raw_data!P435="",0,IF(ISTEXT(raw_data!P435),IF(RIGHT(raw_data!P435,1)="%",VALUE(LEFT(raw_data!P435,LEN(raw_data!P435)-1))/100,VALUE(raw_data!P435)),raw_data!P435))</f>
        <v>0</v>
      </c>
      <c r="X435" s="3" t="str">
        <f aca="false">IF(raw_data!P435="","Missing - Defaulted to 0",IF(W435&lt;0,"Negative - Invalid",IF(W435&gt;0.3,"Above Allowed Range - Invalid","Valid")))</f>
        <v>Valid</v>
      </c>
      <c r="Y435" s="7" t="n">
        <f aca="false">raw_data!Q435</f>
        <v>6160.88</v>
      </c>
      <c r="Z435" s="7" t="n">
        <f aca="false">raw_data!R435</f>
        <v>4938.7</v>
      </c>
      <c r="AA435" s="7" t="n">
        <f aca="false">raw_data!S435</f>
        <v>1222.18</v>
      </c>
      <c r="AB435" s="3" t="str">
        <f aca="false">PROPER(TRIM(raw_data!T435))</f>
        <v>Refunded</v>
      </c>
      <c r="AC435" s="3" t="str">
        <f aca="false">PROPER(TRIM(raw_data!U435))</f>
        <v>Returned</v>
      </c>
      <c r="AD435" s="7" t="n">
        <f aca="false">T435*U435*(1-W435)</f>
        <v>6160.88</v>
      </c>
      <c r="AE435" s="7" t="n">
        <f aca="false">AD435-Z435</f>
        <v>1222.18</v>
      </c>
      <c r="AF435" s="8" t="n">
        <f aca="false">IF(AD435=0,0,AE435/AD435)</f>
        <v>0.198377504512342</v>
      </c>
      <c r="AG435" s="3" t="str">
        <f aca="false">IF(ABS(Y435-AD435)&gt;1,"Mismatch","OK")</f>
        <v>OK</v>
      </c>
      <c r="AH435" s="3" t="str">
        <f aca="false">IF(ABS(AA435-AE435)&gt;1,"Mismatch","OK")</f>
        <v>OK</v>
      </c>
      <c r="AI435" s="6" t="n">
        <f aca="false">IF(B435="","",MONTH(B435))</f>
        <v>4</v>
      </c>
      <c r="AJ435" s="6" t="n">
        <f aca="false">IF(B435="","",YEAR(B435))</f>
        <v>2024</v>
      </c>
      <c r="AK435" s="3" t="str">
        <f aca="false">IF(COUNTIF(raw_data!$A$2:$A$913,A435)&gt;1,"Conflicting Duplicate - Flagged for Review","Unique")</f>
        <v>Unique</v>
      </c>
      <c r="AL435" s="3" t="str">
        <f aca="false">IF(AB435="Refunded","Yes","No")</f>
        <v>Yes</v>
      </c>
      <c r="AM435" s="3" t="str">
        <f aca="false">IF(OR(AC435&lt;&gt;"Completed",AB435="Failed"),"Excluded","Included")</f>
        <v>Excluded</v>
      </c>
      <c r="AN435" s="3" t="str">
        <f aca="false">IF(OR(D435="Invalid/Unrecognized",E435="Invalid/Unrecognized",G435="Invalid - Ship Before Order",X435="Negative - Invalid",X435="Above Allowed Range - Invalid",AG435="Mismatch",AH435="Mismatch",AK435="Conflicting Duplicate - Flagged for Review"),"Invalid",IF(OR(L435="Filled - Unknown",S435="Filled - Unknown",X435="Missing - Defaulted to 0",AL435="Yes",AC435="Cancelled",AC435="Returned"),"Warning","Clean"))</f>
        <v>Warning</v>
      </c>
    </row>
    <row r="436" customFormat="false" ht="15" hidden="false" customHeight="false" outlineLevel="0" collapsed="false">
      <c r="A436" s="3" t="str">
        <f aca="false">raw_data!A436</f>
        <v>ORD-2025-10435</v>
      </c>
      <c r="B436" s="4" t="n">
        <f aca="false">IFERROR(IF(MID(raw_data!B436,3,1)="/",DATE(VALUE(RIGHT(raw_data!B436,4)),VALUE(LEFT(raw_data!B436,2)),VALUE(MID(raw_data!B436,4,2))),IF(MID(raw_data!B436,3,1)="-",DATE(VALUE(RIGHT(raw_data!B436,4)),VALUE(MID(raw_data!B436,4,2)),VALUE(LEFT(raw_data!B436,2))),IF(MID(raw_data!B436,5,1)="-",DATE(VALUE(LEFT(raw_data!B436,4)),VALUE(MID(raw_data!B436,6,2)),VALUE(RIGHT(raw_data!B436,2))),DATE(VALUE(RIGHT(raw_data!B436,4)),MATCH(MID(raw_data!B436,4,3),{"Jan","Feb","Mar","Apr","May","Jun","Jul","Aug","Sep","Oct","Nov","Dec"},0),VALUE(LEFT(raw_data!B436,2)))))),"")</f>
        <v>45758</v>
      </c>
      <c r="C436" s="4" t="n">
        <f aca="false">IFERROR(IF(MID(raw_data!C436,3,1)="/",DATE(VALUE(RIGHT(raw_data!C436,4)),VALUE(LEFT(raw_data!C436,2)),VALUE(MID(raw_data!C436,4,2))),IF(MID(raw_data!C436,3,1)="-",DATE(VALUE(RIGHT(raw_data!C436,4)),VALUE(MID(raw_data!C436,4,2)),VALUE(LEFT(raw_data!C436,2))),IF(MID(raw_data!C436,5,1)="-",DATE(VALUE(LEFT(raw_data!C436,4)),VALUE(MID(raw_data!C436,6,2)),VALUE(RIGHT(raw_data!C436,2))),DATE(VALUE(RIGHT(raw_data!C436,4)),MATCH(MID(raw_data!C436,4,3),{"Jan","Feb","Mar","Apr","May","Jun","Jul","Aug","Sep","Oct","Nov","Dec"},0),VALUE(LEFT(raw_data!C436,2)))))),"")</f>
        <v>45762</v>
      </c>
      <c r="D436" s="3" t="str">
        <f aca="false">IF(TRIM(raw_data!B436)="","Missing",IF(B436="","Invalid/Unrecognized","Valid"))</f>
        <v>Valid</v>
      </c>
      <c r="E436" s="3" t="str">
        <f aca="false">IF(TRIM(raw_data!C436)="","Missing",IF(C436="","Invalid/Unrecognized","Valid"))</f>
        <v>Valid</v>
      </c>
      <c r="F436" s="5" t="n">
        <f aca="false">IF(OR(B436="",C436=""),"",C436-B436)</f>
        <v>4</v>
      </c>
      <c r="G436" s="3" t="str">
        <f aca="false">IF(F436="","N/A",IF(F436&lt;0,"Invalid - Ship Before Order","OK"))</f>
        <v>OK</v>
      </c>
      <c r="H436" s="3" t="str">
        <f aca="false">raw_data!D436</f>
        <v>CUST-2351</v>
      </c>
      <c r="I436" s="3" t="str">
        <f aca="false">PROPER(TRIM(raw_data!E436))</f>
        <v>Mira Das</v>
      </c>
      <c r="J436" s="3" t="str">
        <f aca="false">PROPER(TRIM(raw_data!F436))</f>
        <v>Home Office</v>
      </c>
      <c r="K436" s="3" t="str">
        <f aca="false">IF(TRIM(raw_data!G436)="","Unknown",PROPER(TRIM(raw_data!G436)))</f>
        <v>North</v>
      </c>
      <c r="L436" s="3" t="str">
        <f aca="false">IF(TRIM(raw_data!G436)="","Filled - Unknown","OK")</f>
        <v>OK</v>
      </c>
      <c r="M436" s="3" t="str">
        <f aca="false">PROPER(TRIM(raw_data!H436))</f>
        <v>Uttar Pradesh</v>
      </c>
      <c r="N436" s="3" t="str">
        <f aca="false">PROPER(TRIM(raw_data!I436))</f>
        <v>Noida</v>
      </c>
      <c r="O436" s="3" t="str">
        <f aca="false">PROPER(TRIM(raw_data!J436))</f>
        <v>Technology</v>
      </c>
      <c r="P436" s="3" t="str">
        <f aca="false">PROPER(TRIM(raw_data!K436))</f>
        <v>Accessories</v>
      </c>
      <c r="Q436" s="3" t="str">
        <f aca="false">TRIM(raw_data!L436)</f>
        <v>Eco Accessories 705</v>
      </c>
      <c r="R436" s="3" t="str">
        <f aca="false">IF(TRIM(raw_data!M436)="","Unknown",PROPER(TRIM(raw_data!M436)))</f>
        <v>Second Class</v>
      </c>
      <c r="S436" s="3" t="str">
        <f aca="false">IF(TRIM(raw_data!M436)="","Filled - Unknown","OK")</f>
        <v>OK</v>
      </c>
      <c r="T436" s="6" t="n">
        <f aca="false">raw_data!N436</f>
        <v>5</v>
      </c>
      <c r="U436" s="7" t="n">
        <f aca="false">raw_data!O436</f>
        <v>652.78</v>
      </c>
      <c r="V436" s="8" t="n">
        <f aca="false">raw_data!P436</f>
        <v>0</v>
      </c>
      <c r="W436" s="8" t="n">
        <f aca="false">IF(raw_data!P436="",0,IF(ISTEXT(raw_data!P436),IF(RIGHT(raw_data!P436,1)="%",VALUE(LEFT(raw_data!P436,LEN(raw_data!P436)-1))/100,VALUE(raw_data!P436)),raw_data!P436))</f>
        <v>0</v>
      </c>
      <c r="X436" s="3" t="str">
        <f aca="false">IF(raw_data!P436="","Missing - Defaulted to 0",IF(W436&lt;0,"Negative - Invalid",IF(W436&gt;0.3,"Above Allowed Range - Invalid","Valid")))</f>
        <v>Valid</v>
      </c>
      <c r="Y436" s="7" t="n">
        <f aca="false">raw_data!Q436</f>
        <v>3263.9</v>
      </c>
      <c r="Z436" s="7" t="n">
        <f aca="false">raw_data!R436</f>
        <v>2068.44</v>
      </c>
      <c r="AA436" s="7" t="n">
        <f aca="false">raw_data!S436</f>
        <v>1195.46</v>
      </c>
      <c r="AB436" s="3" t="str">
        <f aca="false">PROPER(TRIM(raw_data!T436))</f>
        <v>Paid</v>
      </c>
      <c r="AC436" s="3" t="str">
        <f aca="false">PROPER(TRIM(raw_data!U436))</f>
        <v>Completed</v>
      </c>
      <c r="AD436" s="7" t="n">
        <f aca="false">T436*U436*(1-W436)</f>
        <v>3263.9</v>
      </c>
      <c r="AE436" s="7" t="n">
        <f aca="false">AD436-Z436</f>
        <v>1195.46</v>
      </c>
      <c r="AF436" s="8" t="n">
        <f aca="false">IF(AD436=0,0,AE436/AD436)</f>
        <v>0.36626734887711</v>
      </c>
      <c r="AG436" s="3" t="str">
        <f aca="false">IF(ABS(Y436-AD436)&gt;1,"Mismatch","OK")</f>
        <v>OK</v>
      </c>
      <c r="AH436" s="3" t="str">
        <f aca="false">IF(ABS(AA436-AE436)&gt;1,"Mismatch","OK")</f>
        <v>OK</v>
      </c>
      <c r="AI436" s="6" t="n">
        <f aca="false">IF(B436="","",MONTH(B436))</f>
        <v>4</v>
      </c>
      <c r="AJ436" s="6" t="n">
        <f aca="false">IF(B436="","",YEAR(B436))</f>
        <v>2025</v>
      </c>
      <c r="AK436" s="3" t="str">
        <f aca="false">IF(COUNTIF(raw_data!$A$2:$A$913,A436)&gt;1,"Conflicting Duplicate - Flagged for Review","Unique")</f>
        <v>Unique</v>
      </c>
      <c r="AL436" s="3" t="str">
        <f aca="false">IF(AB436="Refunded","Yes","No")</f>
        <v>No</v>
      </c>
      <c r="AM436" s="3" t="str">
        <f aca="false">IF(OR(AC436&lt;&gt;"Completed",AB436="Failed"),"Excluded","Included")</f>
        <v>Included</v>
      </c>
      <c r="AN436" s="3" t="str">
        <f aca="false">IF(OR(D436="Invalid/Unrecognized",E436="Invalid/Unrecognized",G436="Invalid - Ship Before Order",X436="Negative - Invalid",X436="Above Allowed Range - Invalid",AG436="Mismatch",AH436="Mismatch",AK436="Conflicting Duplicate - Flagged for Review"),"Invalid",IF(OR(L436="Filled - Unknown",S436="Filled - Unknown",X436="Missing - Defaulted to 0",AL436="Yes",AC436="Cancelled",AC436="Returned"),"Warning","Clean"))</f>
        <v>Clean</v>
      </c>
    </row>
    <row r="437" customFormat="false" ht="15" hidden="false" customHeight="false" outlineLevel="0" collapsed="false">
      <c r="A437" s="3" t="str">
        <f aca="false">raw_data!A437</f>
        <v>ORD-2025-10436</v>
      </c>
      <c r="B437" s="4" t="n">
        <f aca="false">IFERROR(IF(MID(raw_data!B437,3,1)="/",DATE(VALUE(RIGHT(raw_data!B437,4)),VALUE(LEFT(raw_data!B437,2)),VALUE(MID(raw_data!B437,4,2))),IF(MID(raw_data!B437,3,1)="-",DATE(VALUE(RIGHT(raw_data!B437,4)),VALUE(MID(raw_data!B437,4,2)),VALUE(LEFT(raw_data!B437,2))),IF(MID(raw_data!B437,5,1)="-",DATE(VALUE(LEFT(raw_data!B437,4)),VALUE(MID(raw_data!B437,6,2)),VALUE(RIGHT(raw_data!B437,2))),DATE(VALUE(RIGHT(raw_data!B437,4)),MATCH(MID(raw_data!B437,4,3),{"Jan","Feb","Mar","Apr","May","Jun","Jul","Aug","Sep","Oct","Nov","Dec"},0),VALUE(LEFT(raw_data!B437,2)))))),"")</f>
        <v>45759</v>
      </c>
      <c r="C437" s="4" t="n">
        <f aca="false">IFERROR(IF(MID(raw_data!C437,3,1)="/",DATE(VALUE(RIGHT(raw_data!C437,4)),VALUE(LEFT(raw_data!C437,2)),VALUE(MID(raw_data!C437,4,2))),IF(MID(raw_data!C437,3,1)="-",DATE(VALUE(RIGHT(raw_data!C437,4)),VALUE(MID(raw_data!C437,4,2)),VALUE(LEFT(raw_data!C437,2))),IF(MID(raw_data!C437,5,1)="-",DATE(VALUE(LEFT(raw_data!C437,4)),VALUE(MID(raw_data!C437,6,2)),VALUE(RIGHT(raw_data!C437,2))),DATE(VALUE(RIGHT(raw_data!C437,4)),MATCH(MID(raw_data!C437,4,3),{"Jan","Feb","Mar","Apr","May","Jun","Jul","Aug","Sep","Oct","Nov","Dec"},0),VALUE(LEFT(raw_data!C437,2)))))),"")</f>
        <v>45767</v>
      </c>
      <c r="D437" s="3" t="str">
        <f aca="false">IF(TRIM(raw_data!B437)="","Missing",IF(B437="","Invalid/Unrecognized","Valid"))</f>
        <v>Valid</v>
      </c>
      <c r="E437" s="3" t="str">
        <f aca="false">IF(TRIM(raw_data!C437)="","Missing",IF(C437="","Invalid/Unrecognized","Valid"))</f>
        <v>Valid</v>
      </c>
      <c r="F437" s="5" t="n">
        <f aca="false">IF(OR(B437="",C437=""),"",C437-B437)</f>
        <v>8</v>
      </c>
      <c r="G437" s="3" t="str">
        <f aca="false">IF(F437="","N/A",IF(F437&lt;0,"Invalid - Ship Before Order","OK"))</f>
        <v>OK</v>
      </c>
      <c r="H437" s="3" t="str">
        <f aca="false">raw_data!D437</f>
        <v>CUST-7291</v>
      </c>
      <c r="I437" s="3" t="str">
        <f aca="false">PROPER(TRIM(raw_data!E437))</f>
        <v>Kabir Singh</v>
      </c>
      <c r="J437" s="3" t="str">
        <f aca="false">PROPER(TRIM(raw_data!F437))</f>
        <v>Home Office</v>
      </c>
      <c r="K437" s="3" t="str">
        <f aca="false">IF(TRIM(raw_data!G437)="","Unknown",PROPER(TRIM(raw_data!G437)))</f>
        <v>North</v>
      </c>
      <c r="L437" s="3" t="str">
        <f aca="false">IF(TRIM(raw_data!G437)="","Filled - Unknown","OK")</f>
        <v>OK</v>
      </c>
      <c r="M437" s="3" t="str">
        <f aca="false">PROPER(TRIM(raw_data!H437))</f>
        <v>Delhi</v>
      </c>
      <c r="N437" s="3" t="str">
        <f aca="false">PROPER(TRIM(raw_data!I437))</f>
        <v>New Delhi</v>
      </c>
      <c r="O437" s="3" t="str">
        <f aca="false">PROPER(TRIM(raw_data!J437))</f>
        <v>Technology</v>
      </c>
      <c r="P437" s="3" t="str">
        <f aca="false">PROPER(TRIM(raw_data!K437))</f>
        <v>Machines</v>
      </c>
      <c r="Q437" s="3" t="str">
        <f aca="false">TRIM(raw_data!L437)</f>
        <v>Max Machines 151</v>
      </c>
      <c r="R437" s="3" t="str">
        <f aca="false">IF(TRIM(raw_data!M437)="","Unknown",PROPER(TRIM(raw_data!M437)))</f>
        <v>Standard Class</v>
      </c>
      <c r="S437" s="3" t="str">
        <f aca="false">IF(TRIM(raw_data!M437)="","Filled - Unknown","OK")</f>
        <v>OK</v>
      </c>
      <c r="T437" s="6" t="n">
        <f aca="false">raw_data!N437</f>
        <v>1</v>
      </c>
      <c r="U437" s="7" t="n">
        <f aca="false">raw_data!O437</f>
        <v>2737.71</v>
      </c>
      <c r="V437" s="8" t="n">
        <f aca="false">raw_data!P437</f>
        <v>0.15</v>
      </c>
      <c r="W437" s="8" t="n">
        <f aca="false">IF(raw_data!P437="",0,IF(ISTEXT(raw_data!P437),IF(RIGHT(raw_data!P437,1)="%",VALUE(LEFT(raw_data!P437,LEN(raw_data!P437)-1))/100,VALUE(raw_data!P437)),raw_data!P437))</f>
        <v>0.15</v>
      </c>
      <c r="X437" s="3" t="str">
        <f aca="false">IF(raw_data!P437="","Missing - Defaulted to 0",IF(W437&lt;0,"Negative - Invalid",IF(W437&gt;0.3,"Above Allowed Range - Invalid","Valid")))</f>
        <v>Valid</v>
      </c>
      <c r="Y437" s="7" t="n">
        <f aca="false">raw_data!Q437</f>
        <v>2327.05</v>
      </c>
      <c r="Z437" s="7" t="n">
        <f aca="false">raw_data!R437</f>
        <v>1919.42</v>
      </c>
      <c r="AA437" s="7" t="n">
        <f aca="false">raw_data!S437</f>
        <v>407.63</v>
      </c>
      <c r="AB437" s="3" t="str">
        <f aca="false">PROPER(TRIM(raw_data!T437))</f>
        <v>Paid</v>
      </c>
      <c r="AC437" s="3" t="str">
        <f aca="false">PROPER(TRIM(raw_data!U437))</f>
        <v>Cancelled</v>
      </c>
      <c r="AD437" s="7" t="n">
        <f aca="false">T437*U437*(1-W437)</f>
        <v>2327.0535</v>
      </c>
      <c r="AE437" s="7" t="n">
        <f aca="false">AD437-Z437</f>
        <v>407.6335</v>
      </c>
      <c r="AF437" s="8" t="n">
        <f aca="false">IF(AD437=0,0,AE437/AD437)</f>
        <v>0.175171520551633</v>
      </c>
      <c r="AG437" s="3" t="str">
        <f aca="false">IF(ABS(Y437-AD437)&gt;1,"Mismatch","OK")</f>
        <v>OK</v>
      </c>
      <c r="AH437" s="3" t="str">
        <f aca="false">IF(ABS(AA437-AE437)&gt;1,"Mismatch","OK")</f>
        <v>OK</v>
      </c>
      <c r="AI437" s="6" t="n">
        <f aca="false">IF(B437="","",MONTH(B437))</f>
        <v>4</v>
      </c>
      <c r="AJ437" s="6" t="n">
        <f aca="false">IF(B437="","",YEAR(B437))</f>
        <v>2025</v>
      </c>
      <c r="AK437" s="3" t="str">
        <f aca="false">IF(COUNTIF(raw_data!$A$2:$A$913,A437)&gt;1,"Conflicting Duplicate - Flagged for Review","Unique")</f>
        <v>Unique</v>
      </c>
      <c r="AL437" s="3" t="str">
        <f aca="false">IF(AB437="Refunded","Yes","No")</f>
        <v>No</v>
      </c>
      <c r="AM437" s="3" t="str">
        <f aca="false">IF(OR(AC437&lt;&gt;"Completed",AB437="Failed"),"Excluded","Included")</f>
        <v>Excluded</v>
      </c>
      <c r="AN437" s="3" t="str">
        <f aca="false">IF(OR(D437="Invalid/Unrecognized",E437="Invalid/Unrecognized",G437="Invalid - Ship Before Order",X437="Negative - Invalid",X437="Above Allowed Range - Invalid",AG437="Mismatch",AH437="Mismatch",AK437="Conflicting Duplicate - Flagged for Review"),"Invalid",IF(OR(L437="Filled - Unknown",S437="Filled - Unknown",X437="Missing - Defaulted to 0",AL437="Yes",AC437="Cancelled",AC437="Returned"),"Warning","Clean"))</f>
        <v>Warning</v>
      </c>
    </row>
    <row r="438" customFormat="false" ht="15" hidden="false" customHeight="false" outlineLevel="0" collapsed="false">
      <c r="A438" s="3" t="str">
        <f aca="false">raw_data!A438</f>
        <v>ORD-2024-10437</v>
      </c>
      <c r="B438" s="4" t="n">
        <f aca="false">IFERROR(IF(MID(raw_data!B438,3,1)="/",DATE(VALUE(RIGHT(raw_data!B438,4)),VALUE(LEFT(raw_data!B438,2)),VALUE(MID(raw_data!B438,4,2))),IF(MID(raw_data!B438,3,1)="-",DATE(VALUE(RIGHT(raw_data!B438,4)),VALUE(MID(raw_data!B438,4,2)),VALUE(LEFT(raw_data!B438,2))),IF(MID(raw_data!B438,5,1)="-",DATE(VALUE(LEFT(raw_data!B438,4)),VALUE(MID(raw_data!B438,6,2)),VALUE(RIGHT(raw_data!B438,2))),DATE(VALUE(RIGHT(raw_data!B438,4)),MATCH(MID(raw_data!B438,4,3),{"Jan","Feb","Mar","Apr","May","Jun","Jul","Aug","Sep","Oct","Nov","Dec"},0),VALUE(LEFT(raw_data!B438,2)))))),"")</f>
        <v>45459</v>
      </c>
      <c r="C438" s="4" t="n">
        <f aca="false">IFERROR(IF(MID(raw_data!C438,3,1)="/",DATE(VALUE(RIGHT(raw_data!C438,4)),VALUE(LEFT(raw_data!C438,2)),VALUE(MID(raw_data!C438,4,2))),IF(MID(raw_data!C438,3,1)="-",DATE(VALUE(RIGHT(raw_data!C438,4)),VALUE(MID(raw_data!C438,4,2)),VALUE(LEFT(raw_data!C438,2))),IF(MID(raw_data!C438,5,1)="-",DATE(VALUE(LEFT(raw_data!C438,4)),VALUE(MID(raw_data!C438,6,2)),VALUE(RIGHT(raw_data!C438,2))),DATE(VALUE(RIGHT(raw_data!C438,4)),MATCH(MID(raw_data!C438,4,3),{"Jan","Feb","Mar","Apr","May","Jun","Jul","Aug","Sep","Oct","Nov","Dec"},0),VALUE(LEFT(raw_data!C438,2)))))),"")</f>
        <v>45464</v>
      </c>
      <c r="D438" s="3" t="str">
        <f aca="false">IF(TRIM(raw_data!B438)="","Missing",IF(B438="","Invalid/Unrecognized","Valid"))</f>
        <v>Valid</v>
      </c>
      <c r="E438" s="3" t="str">
        <f aca="false">IF(TRIM(raw_data!C438)="","Missing",IF(C438="","Invalid/Unrecognized","Valid"))</f>
        <v>Valid</v>
      </c>
      <c r="F438" s="5" t="n">
        <f aca="false">IF(OR(B438="",C438=""),"",C438-B438)</f>
        <v>5</v>
      </c>
      <c r="G438" s="3" t="str">
        <f aca="false">IF(F438="","N/A",IF(F438&lt;0,"Invalid - Ship Before Order","OK"))</f>
        <v>OK</v>
      </c>
      <c r="H438" s="3" t="str">
        <f aca="false">raw_data!D438</f>
        <v>CUST-4492</v>
      </c>
      <c r="I438" s="3" t="str">
        <f aca="false">PROPER(TRIM(raw_data!E438))</f>
        <v>Neha Gupta</v>
      </c>
      <c r="J438" s="3" t="str">
        <f aca="false">PROPER(TRIM(raw_data!F438))</f>
        <v>Consumer</v>
      </c>
      <c r="K438" s="3" t="str">
        <f aca="false">IF(TRIM(raw_data!G438)="","Unknown",PROPER(TRIM(raw_data!G438)))</f>
        <v>South</v>
      </c>
      <c r="L438" s="3" t="str">
        <f aca="false">IF(TRIM(raw_data!G438)="","Filled - Unknown","OK")</f>
        <v>OK</v>
      </c>
      <c r="M438" s="3" t="str">
        <f aca="false">PROPER(TRIM(raw_data!H438))</f>
        <v>Kerala</v>
      </c>
      <c r="N438" s="3" t="str">
        <f aca="false">PROPER(TRIM(raw_data!I438))</f>
        <v>Kochi</v>
      </c>
      <c r="O438" s="3" t="str">
        <f aca="false">PROPER(TRIM(raw_data!J438))</f>
        <v>Furniture</v>
      </c>
      <c r="P438" s="3" t="str">
        <f aca="false">PROPER(TRIM(raw_data!K438))</f>
        <v>Furnishings</v>
      </c>
      <c r="Q438" s="3" t="str">
        <f aca="false">TRIM(raw_data!L438)</f>
        <v>Max Furnishings 803</v>
      </c>
      <c r="R438" s="3" t="str">
        <f aca="false">IF(TRIM(raw_data!M438)="","Unknown",PROPER(TRIM(raw_data!M438)))</f>
        <v>Same Day</v>
      </c>
      <c r="S438" s="3" t="str">
        <f aca="false">IF(TRIM(raw_data!M438)="","Filled - Unknown","OK")</f>
        <v>OK</v>
      </c>
      <c r="T438" s="6" t="n">
        <f aca="false">raw_data!N438</f>
        <v>6</v>
      </c>
      <c r="U438" s="7" t="n">
        <f aca="false">raw_data!O438</f>
        <v>1156.78</v>
      </c>
      <c r="V438" s="8" t="n">
        <f aca="false">raw_data!P438</f>
        <v>0.05</v>
      </c>
      <c r="W438" s="8" t="n">
        <f aca="false">IF(raw_data!P438="",0,IF(ISTEXT(raw_data!P438),IF(RIGHT(raw_data!P438,1)="%",VALUE(LEFT(raw_data!P438,LEN(raw_data!P438)-1))/100,VALUE(raw_data!P438)),raw_data!P438))</f>
        <v>0.05</v>
      </c>
      <c r="X438" s="3" t="str">
        <f aca="false">IF(raw_data!P438="","Missing - Defaulted to 0",IF(W438&lt;0,"Negative - Invalid",IF(W438&gt;0.3,"Above Allowed Range - Invalid","Valid")))</f>
        <v>Valid</v>
      </c>
      <c r="Y438" s="7" t="n">
        <f aca="false">raw_data!Q438</f>
        <v>6593.65</v>
      </c>
      <c r="Z438" s="7" t="n">
        <f aca="false">raw_data!R438</f>
        <v>4359.39</v>
      </c>
      <c r="AA438" s="7" t="n">
        <f aca="false">raw_data!S438</f>
        <v>2234.26</v>
      </c>
      <c r="AB438" s="3" t="str">
        <f aca="false">PROPER(TRIM(raw_data!T438))</f>
        <v>Paid</v>
      </c>
      <c r="AC438" s="3" t="str">
        <f aca="false">PROPER(TRIM(raw_data!U438))</f>
        <v>Returned</v>
      </c>
      <c r="AD438" s="7" t="n">
        <f aca="false">T438*U438*(1-W438)</f>
        <v>6593.646</v>
      </c>
      <c r="AE438" s="7" t="n">
        <f aca="false">AD438-Z438</f>
        <v>2234.256</v>
      </c>
      <c r="AF438" s="8" t="n">
        <f aca="false">IF(AD438=0,0,AE438/AD438)</f>
        <v>0.338849856361715</v>
      </c>
      <c r="AG438" s="3" t="str">
        <f aca="false">IF(ABS(Y438-AD438)&gt;1,"Mismatch","OK")</f>
        <v>OK</v>
      </c>
      <c r="AH438" s="3" t="str">
        <f aca="false">IF(ABS(AA438-AE438)&gt;1,"Mismatch","OK")</f>
        <v>OK</v>
      </c>
      <c r="AI438" s="6" t="n">
        <f aca="false">IF(B438="","",MONTH(B438))</f>
        <v>6</v>
      </c>
      <c r="AJ438" s="6" t="n">
        <f aca="false">IF(B438="","",YEAR(B438))</f>
        <v>2024</v>
      </c>
      <c r="AK438" s="3" t="str">
        <f aca="false">IF(COUNTIF(raw_data!$A$2:$A$913,A438)&gt;1,"Conflicting Duplicate - Flagged for Review","Unique")</f>
        <v>Unique</v>
      </c>
      <c r="AL438" s="3" t="str">
        <f aca="false">IF(AB438="Refunded","Yes","No")</f>
        <v>No</v>
      </c>
      <c r="AM438" s="3" t="str">
        <f aca="false">IF(OR(AC438&lt;&gt;"Completed",AB438="Failed"),"Excluded","Included")</f>
        <v>Excluded</v>
      </c>
      <c r="AN438" s="3" t="str">
        <f aca="false">IF(OR(D438="Invalid/Unrecognized",E438="Invalid/Unrecognized",G438="Invalid - Ship Before Order",X438="Negative - Invalid",X438="Above Allowed Range - Invalid",AG438="Mismatch",AH438="Mismatch",AK438="Conflicting Duplicate - Flagged for Review"),"Invalid",IF(OR(L438="Filled - Unknown",S438="Filled - Unknown",X438="Missing - Defaulted to 0",AL438="Yes",AC438="Cancelled",AC438="Returned"),"Warning","Clean"))</f>
        <v>Warning</v>
      </c>
    </row>
    <row r="439" customFormat="false" ht="15" hidden="false" customHeight="false" outlineLevel="0" collapsed="false">
      <c r="A439" s="3" t="str">
        <f aca="false">raw_data!A439</f>
        <v>ORD-2024-10438</v>
      </c>
      <c r="B439" s="4" t="n">
        <f aca="false">IFERROR(IF(MID(raw_data!B439,3,1)="/",DATE(VALUE(RIGHT(raw_data!B439,4)),VALUE(LEFT(raw_data!B439,2)),VALUE(MID(raw_data!B439,4,2))),IF(MID(raw_data!B439,3,1)="-",DATE(VALUE(RIGHT(raw_data!B439,4)),VALUE(MID(raw_data!B439,4,2)),VALUE(LEFT(raw_data!B439,2))),IF(MID(raw_data!B439,5,1)="-",DATE(VALUE(LEFT(raw_data!B439,4)),VALUE(MID(raw_data!B439,6,2)),VALUE(RIGHT(raw_data!B439,2))),DATE(VALUE(RIGHT(raw_data!B439,4)),MATCH(MID(raw_data!B439,4,3),{"Jan","Feb","Mar","Apr","May","Jun","Jul","Aug","Sep","Oct","Nov","Dec"},0),VALUE(LEFT(raw_data!B439,2)))))),"")</f>
        <v>45337</v>
      </c>
      <c r="C439" s="4" t="n">
        <f aca="false">IFERROR(IF(MID(raw_data!C439,3,1)="/",DATE(VALUE(RIGHT(raw_data!C439,4)),VALUE(LEFT(raw_data!C439,2)),VALUE(MID(raw_data!C439,4,2))),IF(MID(raw_data!C439,3,1)="-",DATE(VALUE(RIGHT(raw_data!C439,4)),VALUE(MID(raw_data!C439,4,2)),VALUE(LEFT(raw_data!C439,2))),IF(MID(raw_data!C439,5,1)="-",DATE(VALUE(LEFT(raw_data!C439,4)),VALUE(MID(raw_data!C439,6,2)),VALUE(RIGHT(raw_data!C439,2))),DATE(VALUE(RIGHT(raw_data!C439,4)),MATCH(MID(raw_data!C439,4,3),{"Jan","Feb","Mar","Apr","May","Jun","Jul","Aug","Sep","Oct","Nov","Dec"},0),VALUE(LEFT(raw_data!C439,2)))))),"")</f>
        <v>45340</v>
      </c>
      <c r="D439" s="3" t="str">
        <f aca="false">IF(TRIM(raw_data!B439)="","Missing",IF(B439="","Invalid/Unrecognized","Valid"))</f>
        <v>Valid</v>
      </c>
      <c r="E439" s="3" t="str">
        <f aca="false">IF(TRIM(raw_data!C439)="","Missing",IF(C439="","Invalid/Unrecognized","Valid"))</f>
        <v>Valid</v>
      </c>
      <c r="F439" s="5" t="n">
        <f aca="false">IF(OR(B439="",C439=""),"",C439-B439)</f>
        <v>3</v>
      </c>
      <c r="G439" s="3" t="str">
        <f aca="false">IF(F439="","N/A",IF(F439&lt;0,"Invalid - Ship Before Order","OK"))</f>
        <v>OK</v>
      </c>
      <c r="H439" s="3" t="str">
        <f aca="false">raw_data!D439</f>
        <v>CUST-5029</v>
      </c>
      <c r="I439" s="3" t="str">
        <f aca="false">PROPER(TRIM(raw_data!E439))</f>
        <v>Aditi Sen</v>
      </c>
      <c r="J439" s="3" t="str">
        <f aca="false">PROPER(TRIM(raw_data!F439))</f>
        <v>Small Business</v>
      </c>
      <c r="K439" s="3" t="str">
        <f aca="false">IF(TRIM(raw_data!G439)="","Unknown",PROPER(TRIM(raw_data!G439)))</f>
        <v>South</v>
      </c>
      <c r="L439" s="3" t="str">
        <f aca="false">IF(TRIM(raw_data!G439)="","Filled - Unknown","OK")</f>
        <v>OK</v>
      </c>
      <c r="M439" s="3" t="str">
        <f aca="false">PROPER(TRIM(raw_data!H439))</f>
        <v>Kerala</v>
      </c>
      <c r="N439" s="3" t="str">
        <f aca="false">PROPER(TRIM(raw_data!I439))</f>
        <v>Kochi</v>
      </c>
      <c r="O439" s="3" t="str">
        <f aca="false">PROPER(TRIM(raw_data!J439))</f>
        <v>Technology</v>
      </c>
      <c r="P439" s="3" t="str">
        <f aca="false">PROPER(TRIM(raw_data!K439))</f>
        <v>Accessories</v>
      </c>
      <c r="Q439" s="3" t="str">
        <f aca="false">TRIM(raw_data!L439)</f>
        <v>Max Accessories 423</v>
      </c>
      <c r="R439" s="3" t="str">
        <f aca="false">IF(TRIM(raw_data!M439)="","Unknown",PROPER(TRIM(raw_data!M439)))</f>
        <v>Same Day</v>
      </c>
      <c r="S439" s="3" t="str">
        <f aca="false">IF(TRIM(raw_data!M439)="","Filled - Unknown","OK")</f>
        <v>OK</v>
      </c>
      <c r="T439" s="6" t="n">
        <f aca="false">raw_data!N439</f>
        <v>8</v>
      </c>
      <c r="U439" s="7" t="n">
        <f aca="false">raw_data!O439</f>
        <v>379.82</v>
      </c>
      <c r="V439" s="8" t="n">
        <f aca="false">raw_data!P439</f>
        <v>0.05</v>
      </c>
      <c r="W439" s="8" t="n">
        <f aca="false">IF(raw_data!P439="",0,IF(ISTEXT(raw_data!P439),IF(RIGHT(raw_data!P439,1)="%",VALUE(LEFT(raw_data!P439,LEN(raw_data!P439)-1))/100,VALUE(raw_data!P439)),raw_data!P439))</f>
        <v>0.05</v>
      </c>
      <c r="X439" s="3" t="str">
        <f aca="false">IF(raw_data!P439="","Missing - Defaulted to 0",IF(W439&lt;0,"Negative - Invalid",IF(W439&gt;0.3,"Above Allowed Range - Invalid","Valid")))</f>
        <v>Valid</v>
      </c>
      <c r="Y439" s="7" t="n">
        <f aca="false">raw_data!Q439</f>
        <v>2886.63</v>
      </c>
      <c r="Z439" s="7" t="n">
        <f aca="false">raw_data!R439</f>
        <v>1588.23</v>
      </c>
      <c r="AA439" s="7" t="n">
        <f aca="false">raw_data!S439</f>
        <v>1298.4</v>
      </c>
      <c r="AB439" s="3" t="str">
        <f aca="false">PROPER(TRIM(raw_data!T439))</f>
        <v>Failed</v>
      </c>
      <c r="AC439" s="3" t="str">
        <f aca="false">PROPER(TRIM(raw_data!U439))</f>
        <v>Returned</v>
      </c>
      <c r="AD439" s="7" t="n">
        <f aca="false">T439*U439*(1-W439)</f>
        <v>2886.632</v>
      </c>
      <c r="AE439" s="7" t="n">
        <f aca="false">AD439-Z439</f>
        <v>1298.402</v>
      </c>
      <c r="AF439" s="8" t="n">
        <f aca="false">IF(AD439=0,0,AE439/AD439)</f>
        <v>0.44979824238074</v>
      </c>
      <c r="AG439" s="3" t="str">
        <f aca="false">IF(ABS(Y439-AD439)&gt;1,"Mismatch","OK")</f>
        <v>OK</v>
      </c>
      <c r="AH439" s="3" t="str">
        <f aca="false">IF(ABS(AA439-AE439)&gt;1,"Mismatch","OK")</f>
        <v>OK</v>
      </c>
      <c r="AI439" s="6" t="n">
        <f aca="false">IF(B439="","",MONTH(B439))</f>
        <v>2</v>
      </c>
      <c r="AJ439" s="6" t="n">
        <f aca="false">IF(B439="","",YEAR(B439))</f>
        <v>2024</v>
      </c>
      <c r="AK439" s="3" t="str">
        <f aca="false">IF(COUNTIF(raw_data!$A$2:$A$913,A439)&gt;1,"Conflicting Duplicate - Flagged for Review","Unique")</f>
        <v>Unique</v>
      </c>
      <c r="AL439" s="3" t="str">
        <f aca="false">IF(AB439="Refunded","Yes","No")</f>
        <v>No</v>
      </c>
      <c r="AM439" s="3" t="str">
        <f aca="false">IF(OR(AC439&lt;&gt;"Completed",AB439="Failed"),"Excluded","Included")</f>
        <v>Excluded</v>
      </c>
      <c r="AN439" s="3" t="str">
        <f aca="false">IF(OR(D439="Invalid/Unrecognized",E439="Invalid/Unrecognized",G439="Invalid - Ship Before Order",X439="Negative - Invalid",X439="Above Allowed Range - Invalid",AG439="Mismatch",AH439="Mismatch",AK439="Conflicting Duplicate - Flagged for Review"),"Invalid",IF(OR(L439="Filled - Unknown",S439="Filled - Unknown",X439="Missing - Defaulted to 0",AL439="Yes",AC439="Cancelled",AC439="Returned"),"Warning","Clean"))</f>
        <v>Warning</v>
      </c>
    </row>
    <row r="440" customFormat="false" ht="15" hidden="false" customHeight="false" outlineLevel="0" collapsed="false">
      <c r="A440" s="3" t="str">
        <f aca="false">raw_data!A440</f>
        <v>ORD-2025-10439</v>
      </c>
      <c r="B440" s="4" t="n">
        <f aca="false">IFERROR(IF(MID(raw_data!B440,3,1)="/",DATE(VALUE(RIGHT(raw_data!B440,4)),VALUE(LEFT(raw_data!B440,2)),VALUE(MID(raw_data!B440,4,2))),IF(MID(raw_data!B440,3,1)="-",DATE(VALUE(RIGHT(raw_data!B440,4)),VALUE(MID(raw_data!B440,4,2)),VALUE(LEFT(raw_data!B440,2))),IF(MID(raw_data!B440,5,1)="-",DATE(VALUE(LEFT(raw_data!B440,4)),VALUE(MID(raw_data!B440,6,2)),VALUE(RIGHT(raw_data!B440,2))),DATE(VALUE(RIGHT(raw_data!B440,4)),MATCH(MID(raw_data!B440,4,3),{"Jan","Feb","Mar","Apr","May","Jun","Jul","Aug","Sep","Oct","Nov","Dec"},0),VALUE(LEFT(raw_data!B440,2)))))),"")</f>
        <v>45784</v>
      </c>
      <c r="C440" s="4" t="n">
        <f aca="false">IFERROR(IF(MID(raw_data!C440,3,1)="/",DATE(VALUE(RIGHT(raw_data!C440,4)),VALUE(LEFT(raw_data!C440,2)),VALUE(MID(raw_data!C440,4,2))),IF(MID(raw_data!C440,3,1)="-",DATE(VALUE(RIGHT(raw_data!C440,4)),VALUE(MID(raw_data!C440,4,2)),VALUE(LEFT(raw_data!C440,2))),IF(MID(raw_data!C440,5,1)="-",DATE(VALUE(LEFT(raw_data!C440,4)),VALUE(MID(raw_data!C440,6,2)),VALUE(RIGHT(raw_data!C440,2))),DATE(VALUE(RIGHT(raw_data!C440,4)),MATCH(MID(raw_data!C440,4,3),{"Jan","Feb","Mar","Apr","May","Jun","Jul","Aug","Sep","Oct","Nov","Dec"},0),VALUE(LEFT(raw_data!C440,2)))))),"")</f>
        <v>45782</v>
      </c>
      <c r="D440" s="3" t="str">
        <f aca="false">IF(TRIM(raw_data!B440)="","Missing",IF(B440="","Invalid/Unrecognized","Valid"))</f>
        <v>Valid</v>
      </c>
      <c r="E440" s="3" t="str">
        <f aca="false">IF(TRIM(raw_data!C440)="","Missing",IF(C440="","Invalid/Unrecognized","Valid"))</f>
        <v>Valid</v>
      </c>
      <c r="F440" s="5" t="n">
        <f aca="false">IF(OR(B440="",C440=""),"",C440-B440)</f>
        <v>-2</v>
      </c>
      <c r="G440" s="3" t="str">
        <f aca="false">IF(F440="","N/A",IF(F440&lt;0,"Invalid - Ship Before Order","OK"))</f>
        <v>Invalid - Ship Before Order</v>
      </c>
      <c r="H440" s="3" t="str">
        <f aca="false">raw_data!D440</f>
        <v>CUST-7252</v>
      </c>
      <c r="I440" s="3" t="str">
        <f aca="false">PROPER(TRIM(raw_data!E440))</f>
        <v>Neha Gupta</v>
      </c>
      <c r="J440" s="3" t="str">
        <f aca="false">PROPER(TRIM(raw_data!F440))</f>
        <v>Corporate</v>
      </c>
      <c r="K440" s="3" t="str">
        <f aca="false">IF(TRIM(raw_data!G440)="","Unknown",PROPER(TRIM(raw_data!G440)))</f>
        <v>East</v>
      </c>
      <c r="L440" s="3" t="str">
        <f aca="false">IF(TRIM(raw_data!G440)="","Filled - Unknown","OK")</f>
        <v>OK</v>
      </c>
      <c r="M440" s="3" t="str">
        <f aca="false">PROPER(TRIM(raw_data!H440))</f>
        <v>Jharkhand</v>
      </c>
      <c r="N440" s="3" t="str">
        <f aca="false">PROPER(TRIM(raw_data!I440))</f>
        <v>Ranchi</v>
      </c>
      <c r="O440" s="3" t="str">
        <f aca="false">PROPER(TRIM(raw_data!J440))</f>
        <v>Technology</v>
      </c>
      <c r="P440" s="3" t="str">
        <f aca="false">PROPER(TRIM(raw_data!K440))</f>
        <v>Phones</v>
      </c>
      <c r="Q440" s="3" t="str">
        <f aca="false">TRIM(raw_data!L440)</f>
        <v>Elite Phones 276</v>
      </c>
      <c r="R440" s="3" t="str">
        <f aca="false">IF(TRIM(raw_data!M440)="","Unknown",PROPER(TRIM(raw_data!M440)))</f>
        <v>Standard Class</v>
      </c>
      <c r="S440" s="3" t="str">
        <f aca="false">IF(TRIM(raw_data!M440)="","Filled - Unknown","OK")</f>
        <v>OK</v>
      </c>
      <c r="T440" s="6" t="n">
        <f aca="false">raw_data!N440</f>
        <v>1</v>
      </c>
      <c r="U440" s="7" t="n">
        <f aca="false">raw_data!O440</f>
        <v>2266.47</v>
      </c>
      <c r="V440" s="8" t="n">
        <f aca="false">raw_data!P440</f>
        <v>0.2</v>
      </c>
      <c r="W440" s="8" t="n">
        <f aca="false">IF(raw_data!P440="",0,IF(ISTEXT(raw_data!P440),IF(RIGHT(raw_data!P440,1)="%",VALUE(LEFT(raw_data!P440,LEN(raw_data!P440)-1))/100,VALUE(raw_data!P440)),raw_data!P440))</f>
        <v>0.2</v>
      </c>
      <c r="X440" s="3" t="str">
        <f aca="false">IF(raw_data!P440="","Missing - Defaulted to 0",IF(W440&lt;0,"Negative - Invalid",IF(W440&gt;0.3,"Above Allowed Range - Invalid","Valid")))</f>
        <v>Valid</v>
      </c>
      <c r="Y440" s="7" t="n">
        <f aca="false">raw_data!Q440</f>
        <v>1813.18</v>
      </c>
      <c r="Z440" s="7" t="n">
        <f aca="false">raw_data!R440</f>
        <v>1363.64</v>
      </c>
      <c r="AA440" s="7" t="n">
        <f aca="false">raw_data!S440</f>
        <v>449.54</v>
      </c>
      <c r="AB440" s="3" t="str">
        <f aca="false">PROPER(TRIM(raw_data!T440))</f>
        <v>Paid</v>
      </c>
      <c r="AC440" s="3" t="str">
        <f aca="false">PROPER(TRIM(raw_data!U440))</f>
        <v>Completed</v>
      </c>
      <c r="AD440" s="7" t="n">
        <f aca="false">T440*U440*(1-W440)</f>
        <v>1813.176</v>
      </c>
      <c r="AE440" s="7" t="n">
        <f aca="false">AD440-Z440</f>
        <v>449.536</v>
      </c>
      <c r="AF440" s="8" t="n">
        <f aca="false">IF(AD440=0,0,AE440/AD440)</f>
        <v>0.247927393700336</v>
      </c>
      <c r="AG440" s="3" t="str">
        <f aca="false">IF(ABS(Y440-AD440)&gt;1,"Mismatch","OK")</f>
        <v>OK</v>
      </c>
      <c r="AH440" s="3" t="str">
        <f aca="false">IF(ABS(AA440-AE440)&gt;1,"Mismatch","OK")</f>
        <v>OK</v>
      </c>
      <c r="AI440" s="6" t="n">
        <f aca="false">IF(B440="","",MONTH(B440))</f>
        <v>5</v>
      </c>
      <c r="AJ440" s="6" t="n">
        <f aca="false">IF(B440="","",YEAR(B440))</f>
        <v>2025</v>
      </c>
      <c r="AK440" s="3" t="str">
        <f aca="false">IF(COUNTIF(raw_data!$A$2:$A$913,A440)&gt;1,"Conflicting Duplicate - Flagged for Review","Unique")</f>
        <v>Unique</v>
      </c>
      <c r="AL440" s="3" t="str">
        <f aca="false">IF(AB440="Refunded","Yes","No")</f>
        <v>No</v>
      </c>
      <c r="AM440" s="3" t="str">
        <f aca="false">IF(OR(AC440&lt;&gt;"Completed",AB440="Failed"),"Excluded","Included")</f>
        <v>Included</v>
      </c>
      <c r="AN440" s="3" t="str">
        <f aca="false">IF(OR(D440="Invalid/Unrecognized",E440="Invalid/Unrecognized",G440="Invalid - Ship Before Order",X440="Negative - Invalid",X440="Above Allowed Range - Invalid",AG440="Mismatch",AH440="Mismatch",AK440="Conflicting Duplicate - Flagged for Review"),"Invalid",IF(OR(L440="Filled - Unknown",S440="Filled - Unknown",X440="Missing - Defaulted to 0",AL440="Yes",AC440="Cancelled",AC440="Returned"),"Warning","Clean"))</f>
        <v>Invalid</v>
      </c>
    </row>
    <row r="441" customFormat="false" ht="15" hidden="false" customHeight="false" outlineLevel="0" collapsed="false">
      <c r="A441" s="3" t="str">
        <f aca="false">raw_data!A441</f>
        <v>ORD-2025-10440</v>
      </c>
      <c r="B441" s="4" t="n">
        <f aca="false">IFERROR(IF(MID(raw_data!B441,3,1)="/",DATE(VALUE(RIGHT(raw_data!B441,4)),VALUE(LEFT(raw_data!B441,2)),VALUE(MID(raw_data!B441,4,2))),IF(MID(raw_data!B441,3,1)="-",DATE(VALUE(RIGHT(raw_data!B441,4)),VALUE(MID(raw_data!B441,4,2)),VALUE(LEFT(raw_data!B441,2))),IF(MID(raw_data!B441,5,1)="-",DATE(VALUE(LEFT(raw_data!B441,4)),VALUE(MID(raw_data!B441,6,2)),VALUE(RIGHT(raw_data!B441,2))),DATE(VALUE(RIGHT(raw_data!B441,4)),MATCH(MID(raw_data!B441,4,3),{"Jan","Feb","Mar","Apr","May","Jun","Jul","Aug","Sep","Oct","Nov","Dec"},0),VALUE(LEFT(raw_data!B441,2)))))),"")</f>
        <v>45838</v>
      </c>
      <c r="C441" s="4" t="n">
        <f aca="false">IFERROR(IF(MID(raw_data!C441,3,1)="/",DATE(VALUE(RIGHT(raw_data!C441,4)),VALUE(LEFT(raw_data!C441,2)),VALUE(MID(raw_data!C441,4,2))),IF(MID(raw_data!C441,3,1)="-",DATE(VALUE(RIGHT(raw_data!C441,4)),VALUE(MID(raw_data!C441,4,2)),VALUE(LEFT(raw_data!C441,2))),IF(MID(raw_data!C441,5,1)="-",DATE(VALUE(LEFT(raw_data!C441,4)),VALUE(MID(raw_data!C441,6,2)),VALUE(RIGHT(raw_data!C441,2))),DATE(VALUE(RIGHT(raw_data!C441,4)),MATCH(MID(raw_data!C441,4,3),{"Jan","Feb","Mar","Apr","May","Jun","Jul","Aug","Sep","Oct","Nov","Dec"},0),VALUE(LEFT(raw_data!C441,2)))))),"")</f>
        <v>45841</v>
      </c>
      <c r="D441" s="3" t="str">
        <f aca="false">IF(TRIM(raw_data!B441)="","Missing",IF(B441="","Invalid/Unrecognized","Valid"))</f>
        <v>Valid</v>
      </c>
      <c r="E441" s="3" t="str">
        <f aca="false">IF(TRIM(raw_data!C441)="","Missing",IF(C441="","Invalid/Unrecognized","Valid"))</f>
        <v>Valid</v>
      </c>
      <c r="F441" s="5" t="n">
        <f aca="false">IF(OR(B441="",C441=""),"",C441-B441)</f>
        <v>3</v>
      </c>
      <c r="G441" s="3" t="str">
        <f aca="false">IF(F441="","N/A",IF(F441&lt;0,"Invalid - Ship Before Order","OK"))</f>
        <v>OK</v>
      </c>
      <c r="H441" s="3" t="str">
        <f aca="false">raw_data!D441</f>
        <v>CUST-7346</v>
      </c>
      <c r="I441" s="3" t="str">
        <f aca="false">PROPER(TRIM(raw_data!E441))</f>
        <v>Aarav Sharma</v>
      </c>
      <c r="J441" s="3" t="str">
        <f aca="false">PROPER(TRIM(raw_data!F441))</f>
        <v>Home Office</v>
      </c>
      <c r="K441" s="3" t="str">
        <f aca="false">IF(TRIM(raw_data!G441)="","Unknown",PROPER(TRIM(raw_data!G441)))</f>
        <v>West</v>
      </c>
      <c r="L441" s="3" t="str">
        <f aca="false">IF(TRIM(raw_data!G441)="","Filled - Unknown","OK")</f>
        <v>OK</v>
      </c>
      <c r="M441" s="3" t="str">
        <f aca="false">PROPER(TRIM(raw_data!H441))</f>
        <v>Goa</v>
      </c>
      <c r="N441" s="3" t="str">
        <f aca="false">PROPER(TRIM(raw_data!I441))</f>
        <v>Panaji</v>
      </c>
      <c r="O441" s="3" t="str">
        <f aca="false">PROPER(TRIM(raw_data!J441))</f>
        <v>Office Supplies</v>
      </c>
      <c r="P441" s="3" t="str">
        <f aca="false">PROPER(TRIM(raw_data!K441))</f>
        <v>Storage</v>
      </c>
      <c r="Q441" s="3" t="str">
        <f aca="false">TRIM(raw_data!L441)</f>
        <v>Smart Storage 287</v>
      </c>
      <c r="R441" s="3" t="str">
        <f aca="false">IF(TRIM(raw_data!M441)="","Unknown",PROPER(TRIM(raw_data!M441)))</f>
        <v>Same Day</v>
      </c>
      <c r="S441" s="3" t="str">
        <f aca="false">IF(TRIM(raw_data!M441)="","Filled - Unknown","OK")</f>
        <v>OK</v>
      </c>
      <c r="T441" s="6" t="n">
        <f aca="false">raw_data!N441</f>
        <v>5</v>
      </c>
      <c r="U441" s="7" t="n">
        <f aca="false">raw_data!O441</f>
        <v>665.25</v>
      </c>
      <c r="V441" s="8" t="n">
        <f aca="false">raw_data!P441</f>
        <v>0</v>
      </c>
      <c r="W441" s="8" t="n">
        <f aca="false">IF(raw_data!P441="",0,IF(ISTEXT(raw_data!P441),IF(RIGHT(raw_data!P441,1)="%",VALUE(LEFT(raw_data!P441,LEN(raw_data!P441)-1))/100,VALUE(raw_data!P441)),raw_data!P441))</f>
        <v>0</v>
      </c>
      <c r="X441" s="3" t="str">
        <f aca="false">IF(raw_data!P441="","Missing - Defaulted to 0",IF(W441&lt;0,"Negative - Invalid",IF(W441&gt;0.3,"Above Allowed Range - Invalid","Valid")))</f>
        <v>Valid</v>
      </c>
      <c r="Y441" s="7" t="n">
        <f aca="false">raw_data!Q441</f>
        <v>3326.25</v>
      </c>
      <c r="Z441" s="7" t="n">
        <f aca="false">raw_data!R441</f>
        <v>2689.36</v>
      </c>
      <c r="AA441" s="7" t="n">
        <f aca="false">raw_data!S441</f>
        <v>636.89</v>
      </c>
      <c r="AB441" s="3" t="str">
        <f aca="false">PROPER(TRIM(raw_data!T441))</f>
        <v>Refunded</v>
      </c>
      <c r="AC441" s="3" t="str">
        <f aca="false">PROPER(TRIM(raw_data!U441))</f>
        <v>Returned</v>
      </c>
      <c r="AD441" s="7" t="n">
        <f aca="false">T441*U441*(1-W441)</f>
        <v>3326.25</v>
      </c>
      <c r="AE441" s="7" t="n">
        <f aca="false">AD441-Z441</f>
        <v>636.89</v>
      </c>
      <c r="AF441" s="8" t="n">
        <f aca="false">IF(AD441=0,0,AE441/AD441)</f>
        <v>0.191473881999248</v>
      </c>
      <c r="AG441" s="3" t="str">
        <f aca="false">IF(ABS(Y441-AD441)&gt;1,"Mismatch","OK")</f>
        <v>OK</v>
      </c>
      <c r="AH441" s="3" t="str">
        <f aca="false">IF(ABS(AA441-AE441)&gt;1,"Mismatch","OK")</f>
        <v>OK</v>
      </c>
      <c r="AI441" s="6" t="n">
        <f aca="false">IF(B441="","",MONTH(B441))</f>
        <v>6</v>
      </c>
      <c r="AJ441" s="6" t="n">
        <f aca="false">IF(B441="","",YEAR(B441))</f>
        <v>2025</v>
      </c>
      <c r="AK441" s="3" t="str">
        <f aca="false">IF(COUNTIF(raw_data!$A$2:$A$913,A441)&gt;1,"Conflicting Duplicate - Flagged for Review","Unique")</f>
        <v>Unique</v>
      </c>
      <c r="AL441" s="3" t="str">
        <f aca="false">IF(AB441="Refunded","Yes","No")</f>
        <v>Yes</v>
      </c>
      <c r="AM441" s="3" t="str">
        <f aca="false">IF(OR(AC441&lt;&gt;"Completed",AB441="Failed"),"Excluded","Included")</f>
        <v>Excluded</v>
      </c>
      <c r="AN441" s="3" t="str">
        <f aca="false">IF(OR(D441="Invalid/Unrecognized",E441="Invalid/Unrecognized",G441="Invalid - Ship Before Order",X441="Negative - Invalid",X441="Above Allowed Range - Invalid",AG441="Mismatch",AH441="Mismatch",AK441="Conflicting Duplicate - Flagged for Review"),"Invalid",IF(OR(L441="Filled - Unknown",S441="Filled - Unknown",X441="Missing - Defaulted to 0",AL441="Yes",AC441="Cancelled",AC441="Returned"),"Warning","Clean"))</f>
        <v>Warning</v>
      </c>
    </row>
    <row r="442" customFormat="false" ht="15" hidden="false" customHeight="false" outlineLevel="0" collapsed="false">
      <c r="A442" s="3" t="str">
        <f aca="false">raw_data!A442</f>
        <v>ORD-2024-10441</v>
      </c>
      <c r="B442" s="4" t="n">
        <f aca="false">IFERROR(IF(MID(raw_data!B442,3,1)="/",DATE(VALUE(RIGHT(raw_data!B442,4)),VALUE(LEFT(raw_data!B442,2)),VALUE(MID(raw_data!B442,4,2))),IF(MID(raw_data!B442,3,1)="-",DATE(VALUE(RIGHT(raw_data!B442,4)),VALUE(MID(raw_data!B442,4,2)),VALUE(LEFT(raw_data!B442,2))),IF(MID(raw_data!B442,5,1)="-",DATE(VALUE(LEFT(raw_data!B442,4)),VALUE(MID(raw_data!B442,6,2)),VALUE(RIGHT(raw_data!B442,2))),DATE(VALUE(RIGHT(raw_data!B442,4)),MATCH(MID(raw_data!B442,4,3),{"Jan","Feb","Mar","Apr","May","Jun","Jul","Aug","Sep","Oct","Nov","Dec"},0),VALUE(LEFT(raw_data!B442,2)))))),"")</f>
        <v>45384</v>
      </c>
      <c r="C442" s="4" t="n">
        <f aca="false">IFERROR(IF(MID(raw_data!C442,3,1)="/",DATE(VALUE(RIGHT(raw_data!C442,4)),VALUE(LEFT(raw_data!C442,2)),VALUE(MID(raw_data!C442,4,2))),IF(MID(raw_data!C442,3,1)="-",DATE(VALUE(RIGHT(raw_data!C442,4)),VALUE(MID(raw_data!C442,4,2)),VALUE(LEFT(raw_data!C442,2))),IF(MID(raw_data!C442,5,1)="-",DATE(VALUE(LEFT(raw_data!C442,4)),VALUE(MID(raw_data!C442,6,2)),VALUE(RIGHT(raw_data!C442,2))),DATE(VALUE(RIGHT(raw_data!C442,4)),MATCH(MID(raw_data!C442,4,3),{"Jan","Feb","Mar","Apr","May","Jun","Jul","Aug","Sep","Oct","Nov","Dec"},0),VALUE(LEFT(raw_data!C442,2)))))),"")</f>
        <v>45390</v>
      </c>
      <c r="D442" s="3" t="str">
        <f aca="false">IF(TRIM(raw_data!B442)="","Missing",IF(B442="","Invalid/Unrecognized","Valid"))</f>
        <v>Valid</v>
      </c>
      <c r="E442" s="3" t="str">
        <f aca="false">IF(TRIM(raw_data!C442)="","Missing",IF(C442="","Invalid/Unrecognized","Valid"))</f>
        <v>Valid</v>
      </c>
      <c r="F442" s="5" t="n">
        <f aca="false">IF(OR(B442="",C442=""),"",C442-B442)</f>
        <v>6</v>
      </c>
      <c r="G442" s="3" t="str">
        <f aca="false">IF(F442="","N/A",IF(F442&lt;0,"Invalid - Ship Before Order","OK"))</f>
        <v>OK</v>
      </c>
      <c r="H442" s="3" t="str">
        <f aca="false">raw_data!D442</f>
        <v>CUST-9039</v>
      </c>
      <c r="I442" s="3" t="str">
        <f aca="false">PROPER(TRIM(raw_data!E442))</f>
        <v>Vikram Iyer</v>
      </c>
      <c r="J442" s="3" t="str">
        <f aca="false">PROPER(TRIM(raw_data!F442))</f>
        <v>Corporate</v>
      </c>
      <c r="K442" s="3" t="str">
        <f aca="false">IF(TRIM(raw_data!G442)="","Unknown",PROPER(TRIM(raw_data!G442)))</f>
        <v>East</v>
      </c>
      <c r="L442" s="3" t="str">
        <f aca="false">IF(TRIM(raw_data!G442)="","Filled - Unknown","OK")</f>
        <v>OK</v>
      </c>
      <c r="M442" s="3" t="str">
        <f aca="false">PROPER(TRIM(raw_data!H442))</f>
        <v>Odisha</v>
      </c>
      <c r="N442" s="3" t="str">
        <f aca="false">PROPER(TRIM(raw_data!I442))</f>
        <v>Bhubaneswar</v>
      </c>
      <c r="O442" s="3" t="str">
        <f aca="false">PROPER(TRIM(raw_data!J442))</f>
        <v>Technology</v>
      </c>
      <c r="P442" s="3" t="str">
        <f aca="false">PROPER(TRIM(raw_data!K442))</f>
        <v>Machines</v>
      </c>
      <c r="Q442" s="3" t="str">
        <f aca="false">TRIM(raw_data!L442)</f>
        <v>Basic Machines 610</v>
      </c>
      <c r="R442" s="3" t="str">
        <f aca="false">IF(TRIM(raw_data!M442)="","Unknown",PROPER(TRIM(raw_data!M442)))</f>
        <v>Second Class</v>
      </c>
      <c r="S442" s="3" t="str">
        <f aca="false">IF(TRIM(raw_data!M442)="","Filled - Unknown","OK")</f>
        <v>OK</v>
      </c>
      <c r="T442" s="6" t="n">
        <f aca="false">raw_data!N442</f>
        <v>6</v>
      </c>
      <c r="U442" s="7" t="n">
        <f aca="false">raw_data!O442</f>
        <v>3722.84</v>
      </c>
      <c r="V442" s="8" t="n">
        <f aca="false">raw_data!P442</f>
        <v>0.2</v>
      </c>
      <c r="W442" s="8" t="n">
        <f aca="false">IF(raw_data!P442="",0,IF(ISTEXT(raw_data!P442),IF(RIGHT(raw_data!P442,1)="%",VALUE(LEFT(raw_data!P442,LEN(raw_data!P442)-1))/100,VALUE(raw_data!P442)),raw_data!P442))</f>
        <v>0.2</v>
      </c>
      <c r="X442" s="3" t="str">
        <f aca="false">IF(raw_data!P442="","Missing - Defaulted to 0",IF(W442&lt;0,"Negative - Invalid",IF(W442&gt;0.3,"Above Allowed Range - Invalid","Valid")))</f>
        <v>Valid</v>
      </c>
      <c r="Y442" s="7" t="n">
        <f aca="false">raw_data!Q442</f>
        <v>17869.63</v>
      </c>
      <c r="Z442" s="7" t="n">
        <f aca="false">raw_data!R442</f>
        <v>12163.8</v>
      </c>
      <c r="AA442" s="7" t="n">
        <f aca="false">raw_data!S442</f>
        <v>5705.83</v>
      </c>
      <c r="AB442" s="3" t="str">
        <f aca="false">PROPER(TRIM(raw_data!T442))</f>
        <v>Paid</v>
      </c>
      <c r="AC442" s="3" t="str">
        <f aca="false">PROPER(TRIM(raw_data!U442))</f>
        <v>Completed</v>
      </c>
      <c r="AD442" s="7" t="n">
        <f aca="false">T442*U442*(1-W442)</f>
        <v>17869.632</v>
      </c>
      <c r="AE442" s="7" t="n">
        <f aca="false">AD442-Z442</f>
        <v>5705.832</v>
      </c>
      <c r="AF442" s="8" t="n">
        <f aca="false">IF(AD442=0,0,AE442/AD442)</f>
        <v>0.319303273844699</v>
      </c>
      <c r="AG442" s="3" t="str">
        <f aca="false">IF(ABS(Y442-AD442)&gt;1,"Mismatch","OK")</f>
        <v>OK</v>
      </c>
      <c r="AH442" s="3" t="str">
        <f aca="false">IF(ABS(AA442-AE442)&gt;1,"Mismatch","OK")</f>
        <v>OK</v>
      </c>
      <c r="AI442" s="6" t="n">
        <f aca="false">IF(B442="","",MONTH(B442))</f>
        <v>4</v>
      </c>
      <c r="AJ442" s="6" t="n">
        <f aca="false">IF(B442="","",YEAR(B442))</f>
        <v>2024</v>
      </c>
      <c r="AK442" s="3" t="str">
        <f aca="false">IF(COUNTIF(raw_data!$A$2:$A$913,A442)&gt;1,"Conflicting Duplicate - Flagged for Review","Unique")</f>
        <v>Unique</v>
      </c>
      <c r="AL442" s="3" t="str">
        <f aca="false">IF(AB442="Refunded","Yes","No")</f>
        <v>No</v>
      </c>
      <c r="AM442" s="3" t="str">
        <f aca="false">IF(OR(AC442&lt;&gt;"Completed",AB442="Failed"),"Excluded","Included")</f>
        <v>Included</v>
      </c>
      <c r="AN442" s="3" t="str">
        <f aca="false">IF(OR(D442="Invalid/Unrecognized",E442="Invalid/Unrecognized",G442="Invalid - Ship Before Order",X442="Negative - Invalid",X442="Above Allowed Range - Invalid",AG442="Mismatch",AH442="Mismatch",AK442="Conflicting Duplicate - Flagged for Review"),"Invalid",IF(OR(L442="Filled - Unknown",S442="Filled - Unknown",X442="Missing - Defaulted to 0",AL442="Yes",AC442="Cancelled",AC442="Returned"),"Warning","Clean"))</f>
        <v>Clean</v>
      </c>
    </row>
    <row r="443" customFormat="false" ht="15" hidden="false" customHeight="false" outlineLevel="0" collapsed="false">
      <c r="A443" s="3" t="str">
        <f aca="false">raw_data!A443</f>
        <v>ORD-2024-10442</v>
      </c>
      <c r="B443" s="4" t="n">
        <f aca="false">IFERROR(IF(MID(raw_data!B443,3,1)="/",DATE(VALUE(RIGHT(raw_data!B443,4)),VALUE(LEFT(raw_data!B443,2)),VALUE(MID(raw_data!B443,4,2))),IF(MID(raw_data!B443,3,1)="-",DATE(VALUE(RIGHT(raw_data!B443,4)),VALUE(MID(raw_data!B443,4,2)),VALUE(LEFT(raw_data!B443,2))),IF(MID(raw_data!B443,5,1)="-",DATE(VALUE(LEFT(raw_data!B443,4)),VALUE(MID(raw_data!B443,6,2)),VALUE(RIGHT(raw_data!B443,2))),DATE(VALUE(RIGHT(raw_data!B443,4)),MATCH(MID(raw_data!B443,4,3),{"Jan","Feb","Mar","Apr","May","Jun","Jul","Aug","Sep","Oct","Nov","Dec"},0),VALUE(LEFT(raw_data!B443,2)))))),"")</f>
        <v>45568</v>
      </c>
      <c r="C443" s="4" t="n">
        <f aca="false">IFERROR(IF(MID(raw_data!C443,3,1)="/",DATE(VALUE(RIGHT(raw_data!C443,4)),VALUE(LEFT(raw_data!C443,2)),VALUE(MID(raw_data!C443,4,2))),IF(MID(raw_data!C443,3,1)="-",DATE(VALUE(RIGHT(raw_data!C443,4)),VALUE(MID(raw_data!C443,4,2)),VALUE(LEFT(raw_data!C443,2))),IF(MID(raw_data!C443,5,1)="-",DATE(VALUE(LEFT(raw_data!C443,4)),VALUE(MID(raw_data!C443,6,2)),VALUE(RIGHT(raw_data!C443,2))),DATE(VALUE(RIGHT(raw_data!C443,4)),MATCH(MID(raw_data!C443,4,3),{"Jan","Feb","Mar","Apr","May","Jun","Jul","Aug","Sep","Oct","Nov","Dec"},0),VALUE(LEFT(raw_data!C443,2)))))),"")</f>
        <v>45568</v>
      </c>
      <c r="D443" s="3" t="str">
        <f aca="false">IF(TRIM(raw_data!B443)="","Missing",IF(B443="","Invalid/Unrecognized","Valid"))</f>
        <v>Valid</v>
      </c>
      <c r="E443" s="3" t="str">
        <f aca="false">IF(TRIM(raw_data!C443)="","Missing",IF(C443="","Invalid/Unrecognized","Valid"))</f>
        <v>Valid</v>
      </c>
      <c r="F443" s="5" t="n">
        <f aca="false">IF(OR(B443="",C443=""),"",C443-B443)</f>
        <v>0</v>
      </c>
      <c r="G443" s="3" t="str">
        <f aca="false">IF(F443="","N/A",IF(F443&lt;0,"Invalid - Ship Before Order","OK"))</f>
        <v>OK</v>
      </c>
      <c r="H443" s="3" t="str">
        <f aca="false">raw_data!D443</f>
        <v>CUST-3975</v>
      </c>
      <c r="I443" s="3" t="str">
        <f aca="false">PROPER(TRIM(raw_data!E443))</f>
        <v>Karan Malhotra</v>
      </c>
      <c r="J443" s="3" t="str">
        <f aca="false">PROPER(TRIM(raw_data!F443))</f>
        <v>Consumer</v>
      </c>
      <c r="K443" s="3" t="str">
        <f aca="false">IF(TRIM(raw_data!G443)="","Unknown",PROPER(TRIM(raw_data!G443)))</f>
        <v>East</v>
      </c>
      <c r="L443" s="3" t="str">
        <f aca="false">IF(TRIM(raw_data!G443)="","Filled - Unknown","OK")</f>
        <v>OK</v>
      </c>
      <c r="M443" s="3" t="str">
        <f aca="false">PROPER(TRIM(raw_data!H443))</f>
        <v>Bihar</v>
      </c>
      <c r="N443" s="3" t="str">
        <f aca="false">PROPER(TRIM(raw_data!I443))</f>
        <v>Patna</v>
      </c>
      <c r="O443" s="3" t="str">
        <f aca="false">PROPER(TRIM(raw_data!J443))</f>
        <v>Furniture</v>
      </c>
      <c r="P443" s="3" t="str">
        <f aca="false">PROPER(TRIM(raw_data!K443))</f>
        <v>Bookcases</v>
      </c>
      <c r="Q443" s="3" t="str">
        <f aca="false">TRIM(raw_data!L443)</f>
        <v>Elite Bookcases 393</v>
      </c>
      <c r="R443" s="3" t="str">
        <f aca="false">IF(TRIM(raw_data!M443)="","Unknown",PROPER(TRIM(raw_data!M443)))</f>
        <v>Standard Class</v>
      </c>
      <c r="S443" s="3" t="str">
        <f aca="false">IF(TRIM(raw_data!M443)="","Filled - Unknown","OK")</f>
        <v>OK</v>
      </c>
      <c r="T443" s="6" t="n">
        <f aca="false">raw_data!N443</f>
        <v>6</v>
      </c>
      <c r="U443" s="7" t="n">
        <f aca="false">raw_data!O443</f>
        <v>4217.49</v>
      </c>
      <c r="V443" s="8" t="n">
        <f aca="false">raw_data!P443</f>
        <v>0</v>
      </c>
      <c r="W443" s="8" t="n">
        <f aca="false">IF(raw_data!P443="",0,IF(ISTEXT(raw_data!P443),IF(RIGHT(raw_data!P443,1)="%",VALUE(LEFT(raw_data!P443,LEN(raw_data!P443)-1))/100,VALUE(raw_data!P443)),raw_data!P443))</f>
        <v>0</v>
      </c>
      <c r="X443" s="3" t="str">
        <f aca="false">IF(raw_data!P443="","Missing - Defaulted to 0",IF(W443&lt;0,"Negative - Invalid",IF(W443&gt;0.3,"Above Allowed Range - Invalid","Valid")))</f>
        <v>Valid</v>
      </c>
      <c r="Y443" s="7" t="n">
        <f aca="false">raw_data!Q443</f>
        <v>25304.94</v>
      </c>
      <c r="Z443" s="7" t="n">
        <f aca="false">raw_data!R443</f>
        <v>20771.95</v>
      </c>
      <c r="AA443" s="7" t="n">
        <f aca="false">raw_data!S443</f>
        <v>4532.99</v>
      </c>
      <c r="AB443" s="3" t="str">
        <f aca="false">PROPER(TRIM(raw_data!T443))</f>
        <v>Paid</v>
      </c>
      <c r="AC443" s="3" t="str">
        <f aca="false">PROPER(TRIM(raw_data!U443))</f>
        <v>Cancelled</v>
      </c>
      <c r="AD443" s="7" t="n">
        <f aca="false">T443*U443*(1-W443)</f>
        <v>25304.94</v>
      </c>
      <c r="AE443" s="7" t="n">
        <f aca="false">AD443-Z443</f>
        <v>4532.99</v>
      </c>
      <c r="AF443" s="8" t="n">
        <f aca="false">IF(AD443=0,0,AE443/AD443)</f>
        <v>0.179134587950021</v>
      </c>
      <c r="AG443" s="3" t="str">
        <f aca="false">IF(ABS(Y443-AD443)&gt;1,"Mismatch","OK")</f>
        <v>OK</v>
      </c>
      <c r="AH443" s="3" t="str">
        <f aca="false">IF(ABS(AA443-AE443)&gt;1,"Mismatch","OK")</f>
        <v>OK</v>
      </c>
      <c r="AI443" s="6" t="n">
        <f aca="false">IF(B443="","",MONTH(B443))</f>
        <v>10</v>
      </c>
      <c r="AJ443" s="6" t="n">
        <f aca="false">IF(B443="","",YEAR(B443))</f>
        <v>2024</v>
      </c>
      <c r="AK443" s="3" t="str">
        <f aca="false">IF(COUNTIF(raw_data!$A$2:$A$913,A443)&gt;1,"Conflicting Duplicate - Flagged for Review","Unique")</f>
        <v>Unique</v>
      </c>
      <c r="AL443" s="3" t="str">
        <f aca="false">IF(AB443="Refunded","Yes","No")</f>
        <v>No</v>
      </c>
      <c r="AM443" s="3" t="str">
        <f aca="false">IF(OR(AC443&lt;&gt;"Completed",AB443="Failed"),"Excluded","Included")</f>
        <v>Excluded</v>
      </c>
      <c r="AN443" s="3" t="str">
        <f aca="false">IF(OR(D443="Invalid/Unrecognized",E443="Invalid/Unrecognized",G443="Invalid - Ship Before Order",X443="Negative - Invalid",X443="Above Allowed Range - Invalid",AG443="Mismatch",AH443="Mismatch",AK443="Conflicting Duplicate - Flagged for Review"),"Invalid",IF(OR(L443="Filled - Unknown",S443="Filled - Unknown",X443="Missing - Defaulted to 0",AL443="Yes",AC443="Cancelled",AC443="Returned"),"Warning","Clean"))</f>
        <v>Warning</v>
      </c>
    </row>
    <row r="444" customFormat="false" ht="15" hidden="false" customHeight="false" outlineLevel="0" collapsed="false">
      <c r="A444" s="3" t="str">
        <f aca="false">raw_data!A444</f>
        <v>ORD-2025-10443</v>
      </c>
      <c r="B444" s="4" t="n">
        <f aca="false">IFERROR(IF(MID(raw_data!B444,3,1)="/",DATE(VALUE(RIGHT(raw_data!B444,4)),VALUE(LEFT(raw_data!B444,2)),VALUE(MID(raw_data!B444,4,2))),IF(MID(raw_data!B444,3,1)="-",DATE(VALUE(RIGHT(raw_data!B444,4)),VALUE(MID(raw_data!B444,4,2)),VALUE(LEFT(raw_data!B444,2))),IF(MID(raw_data!B444,5,1)="-",DATE(VALUE(LEFT(raw_data!B444,4)),VALUE(MID(raw_data!B444,6,2)),VALUE(RIGHT(raw_data!B444,2))),DATE(VALUE(RIGHT(raw_data!B444,4)),MATCH(MID(raw_data!B444,4,3),{"Jan","Feb","Mar","Apr","May","Jun","Jul","Aug","Sep","Oct","Nov","Dec"},0),VALUE(LEFT(raw_data!B444,2)))))),"")</f>
        <v>45669</v>
      </c>
      <c r="C444" s="4" t="n">
        <f aca="false">IFERROR(IF(MID(raw_data!C444,3,1)="/",DATE(VALUE(RIGHT(raw_data!C444,4)),VALUE(LEFT(raw_data!C444,2)),VALUE(MID(raw_data!C444,4,2))),IF(MID(raw_data!C444,3,1)="-",DATE(VALUE(RIGHT(raw_data!C444,4)),VALUE(MID(raw_data!C444,4,2)),VALUE(LEFT(raw_data!C444,2))),IF(MID(raw_data!C444,5,1)="-",DATE(VALUE(LEFT(raw_data!C444,4)),VALUE(MID(raw_data!C444,6,2)),VALUE(RIGHT(raw_data!C444,2))),DATE(VALUE(RIGHT(raw_data!C444,4)),MATCH(MID(raw_data!C444,4,3),{"Jan","Feb","Mar","Apr","May","Jun","Jul","Aug","Sep","Oct","Nov","Dec"},0),VALUE(LEFT(raw_data!C444,2)))))),"")</f>
        <v>45676</v>
      </c>
      <c r="D444" s="3" t="str">
        <f aca="false">IF(TRIM(raw_data!B444)="","Missing",IF(B444="","Invalid/Unrecognized","Valid"))</f>
        <v>Valid</v>
      </c>
      <c r="E444" s="3" t="str">
        <f aca="false">IF(TRIM(raw_data!C444)="","Missing",IF(C444="","Invalid/Unrecognized","Valid"))</f>
        <v>Valid</v>
      </c>
      <c r="F444" s="5" t="n">
        <f aca="false">IF(OR(B444="",C444=""),"",C444-B444)</f>
        <v>7</v>
      </c>
      <c r="G444" s="3" t="str">
        <f aca="false">IF(F444="","N/A",IF(F444&lt;0,"Invalid - Ship Before Order","OK"))</f>
        <v>OK</v>
      </c>
      <c r="H444" s="3" t="str">
        <f aca="false">raw_data!D444</f>
        <v>CUST-6588</v>
      </c>
      <c r="I444" s="3" t="str">
        <f aca="false">PROPER(TRIM(raw_data!E444))</f>
        <v>Aarav Sharma</v>
      </c>
      <c r="J444" s="3" t="str">
        <f aca="false">PROPER(TRIM(raw_data!F444))</f>
        <v>Consumer</v>
      </c>
      <c r="K444" s="3" t="str">
        <f aca="false">IF(TRIM(raw_data!G444)="","Unknown",PROPER(TRIM(raw_data!G444)))</f>
        <v>East</v>
      </c>
      <c r="L444" s="3" t="str">
        <f aca="false">IF(TRIM(raw_data!G444)="","Filled - Unknown","OK")</f>
        <v>OK</v>
      </c>
      <c r="M444" s="3" t="str">
        <f aca="false">PROPER(TRIM(raw_data!H444))</f>
        <v>Jharkhand</v>
      </c>
      <c r="N444" s="3" t="str">
        <f aca="false">PROPER(TRIM(raw_data!I444))</f>
        <v>Ranchi</v>
      </c>
      <c r="O444" s="3" t="str">
        <f aca="false">PROPER(TRIM(raw_data!J444))</f>
        <v>Furniture</v>
      </c>
      <c r="P444" s="3" t="str">
        <f aca="false">PROPER(TRIM(raw_data!K444))</f>
        <v>Tables</v>
      </c>
      <c r="Q444" s="3" t="str">
        <f aca="false">TRIM(raw_data!L444)</f>
        <v>Prime Tables 242</v>
      </c>
      <c r="R444" s="3" t="str">
        <f aca="false">IF(TRIM(raw_data!M444)="","Unknown",PROPER(TRIM(raw_data!M444)))</f>
        <v>First Class</v>
      </c>
      <c r="S444" s="3" t="str">
        <f aca="false">IF(TRIM(raw_data!M444)="","Filled - Unknown","OK")</f>
        <v>OK</v>
      </c>
      <c r="T444" s="6" t="n">
        <f aca="false">raw_data!N444</f>
        <v>1</v>
      </c>
      <c r="U444" s="7" t="n">
        <f aca="false">raw_data!O444</f>
        <v>1842.31</v>
      </c>
      <c r="V444" s="8" t="n">
        <f aca="false">raw_data!P444</f>
        <v>0</v>
      </c>
      <c r="W444" s="8" t="n">
        <f aca="false">IF(raw_data!P444="",0,IF(ISTEXT(raw_data!P444),IF(RIGHT(raw_data!P444,1)="%",VALUE(LEFT(raw_data!P444,LEN(raw_data!P444)-1))/100,VALUE(raw_data!P444)),raw_data!P444))</f>
        <v>0</v>
      </c>
      <c r="X444" s="3" t="str">
        <f aca="false">IF(raw_data!P444="","Missing - Defaulted to 0",IF(W444&lt;0,"Negative - Invalid",IF(W444&gt;0.3,"Above Allowed Range - Invalid","Valid")))</f>
        <v>Valid</v>
      </c>
      <c r="Y444" s="7" t="n">
        <f aca="false">raw_data!Q444</f>
        <v>1842.31</v>
      </c>
      <c r="Z444" s="7" t="n">
        <f aca="false">raw_data!R444</f>
        <v>1019.17</v>
      </c>
      <c r="AA444" s="7" t="n">
        <f aca="false">raw_data!S444</f>
        <v>823.14</v>
      </c>
      <c r="AB444" s="3" t="str">
        <f aca="false">PROPER(TRIM(raw_data!T444))</f>
        <v>Paid</v>
      </c>
      <c r="AC444" s="3" t="str">
        <f aca="false">PROPER(TRIM(raw_data!U444))</f>
        <v>Completed</v>
      </c>
      <c r="AD444" s="7" t="n">
        <f aca="false">T444*U444*(1-W444)</f>
        <v>1842.31</v>
      </c>
      <c r="AE444" s="7" t="n">
        <f aca="false">AD444-Z444</f>
        <v>823.14</v>
      </c>
      <c r="AF444" s="8" t="n">
        <f aca="false">IF(AD444=0,0,AE444/AD444)</f>
        <v>0.446797770190685</v>
      </c>
      <c r="AG444" s="3" t="str">
        <f aca="false">IF(ABS(Y444-AD444)&gt;1,"Mismatch","OK")</f>
        <v>OK</v>
      </c>
      <c r="AH444" s="3" t="str">
        <f aca="false">IF(ABS(AA444-AE444)&gt;1,"Mismatch","OK")</f>
        <v>OK</v>
      </c>
      <c r="AI444" s="6" t="n">
        <f aca="false">IF(B444="","",MONTH(B444))</f>
        <v>1</v>
      </c>
      <c r="AJ444" s="6" t="n">
        <f aca="false">IF(B444="","",YEAR(B444))</f>
        <v>2025</v>
      </c>
      <c r="AK444" s="3" t="str">
        <f aca="false">IF(COUNTIF(raw_data!$A$2:$A$913,A444)&gt;1,"Conflicting Duplicate - Flagged for Review","Unique")</f>
        <v>Unique</v>
      </c>
      <c r="AL444" s="3" t="str">
        <f aca="false">IF(AB444="Refunded","Yes","No")</f>
        <v>No</v>
      </c>
      <c r="AM444" s="3" t="str">
        <f aca="false">IF(OR(AC444&lt;&gt;"Completed",AB444="Failed"),"Excluded","Included")</f>
        <v>Included</v>
      </c>
      <c r="AN444" s="3" t="str">
        <f aca="false">IF(OR(D444="Invalid/Unrecognized",E444="Invalid/Unrecognized",G444="Invalid - Ship Before Order",X444="Negative - Invalid",X444="Above Allowed Range - Invalid",AG444="Mismatch",AH444="Mismatch",AK444="Conflicting Duplicate - Flagged for Review"),"Invalid",IF(OR(L444="Filled - Unknown",S444="Filled - Unknown",X444="Missing - Defaulted to 0",AL444="Yes",AC444="Cancelled",AC444="Returned"),"Warning","Clean"))</f>
        <v>Clean</v>
      </c>
    </row>
    <row r="445" customFormat="false" ht="15" hidden="false" customHeight="false" outlineLevel="0" collapsed="false">
      <c r="A445" s="3" t="str">
        <f aca="false">raw_data!A445</f>
        <v>ORD-2024-10444</v>
      </c>
      <c r="B445" s="4" t="n">
        <f aca="false">IFERROR(IF(MID(raw_data!B445,3,1)="/",DATE(VALUE(RIGHT(raw_data!B445,4)),VALUE(LEFT(raw_data!B445,2)),VALUE(MID(raw_data!B445,4,2))),IF(MID(raw_data!B445,3,1)="-",DATE(VALUE(RIGHT(raw_data!B445,4)),VALUE(MID(raw_data!B445,4,2)),VALUE(LEFT(raw_data!B445,2))),IF(MID(raw_data!B445,5,1)="-",DATE(VALUE(LEFT(raw_data!B445,4)),VALUE(MID(raw_data!B445,6,2)),VALUE(RIGHT(raw_data!B445,2))),DATE(VALUE(RIGHT(raw_data!B445,4)),MATCH(MID(raw_data!B445,4,3),{"Jan","Feb","Mar","Apr","May","Jun","Jul","Aug","Sep","Oct","Nov","Dec"},0),VALUE(LEFT(raw_data!B445,2)))))),"")</f>
        <v>45386</v>
      </c>
      <c r="C445" s="4" t="n">
        <f aca="false">IFERROR(IF(MID(raw_data!C445,3,1)="/",DATE(VALUE(RIGHT(raw_data!C445,4)),VALUE(LEFT(raw_data!C445,2)),VALUE(MID(raw_data!C445,4,2))),IF(MID(raw_data!C445,3,1)="-",DATE(VALUE(RIGHT(raw_data!C445,4)),VALUE(MID(raw_data!C445,4,2)),VALUE(LEFT(raw_data!C445,2))),IF(MID(raw_data!C445,5,1)="-",DATE(VALUE(LEFT(raw_data!C445,4)),VALUE(MID(raw_data!C445,6,2)),VALUE(RIGHT(raw_data!C445,2))),DATE(VALUE(RIGHT(raw_data!C445,4)),MATCH(MID(raw_data!C445,4,3),{"Jan","Feb","Mar","Apr","May","Jun","Jul","Aug","Sep","Oct","Nov","Dec"},0),VALUE(LEFT(raw_data!C445,2)))))),"")</f>
        <v>45389</v>
      </c>
      <c r="D445" s="3" t="str">
        <f aca="false">IF(TRIM(raw_data!B445)="","Missing",IF(B445="","Invalid/Unrecognized","Valid"))</f>
        <v>Valid</v>
      </c>
      <c r="E445" s="3" t="str">
        <f aca="false">IF(TRIM(raw_data!C445)="","Missing",IF(C445="","Invalid/Unrecognized","Valid"))</f>
        <v>Valid</v>
      </c>
      <c r="F445" s="5" t="n">
        <f aca="false">IF(OR(B445="",C445=""),"",C445-B445)</f>
        <v>3</v>
      </c>
      <c r="G445" s="3" t="str">
        <f aca="false">IF(F445="","N/A",IF(F445&lt;0,"Invalid - Ship Before Order","OK"))</f>
        <v>OK</v>
      </c>
      <c r="H445" s="3" t="str">
        <f aca="false">raw_data!D445</f>
        <v>CUST-2207</v>
      </c>
      <c r="I445" s="3" t="str">
        <f aca="false">PROPER(TRIM(raw_data!E445))</f>
        <v>Rohan Mehta</v>
      </c>
      <c r="J445" s="3" t="str">
        <f aca="false">PROPER(TRIM(raw_data!F445))</f>
        <v>Home Office</v>
      </c>
      <c r="K445" s="3" t="str">
        <f aca="false">IF(TRIM(raw_data!G445)="","Unknown",PROPER(TRIM(raw_data!G445)))</f>
        <v>East</v>
      </c>
      <c r="L445" s="3" t="str">
        <f aca="false">IF(TRIM(raw_data!G445)="","Filled - Unknown","OK")</f>
        <v>OK</v>
      </c>
      <c r="M445" s="3" t="str">
        <f aca="false">PROPER(TRIM(raw_data!H445))</f>
        <v>Odisha</v>
      </c>
      <c r="N445" s="3" t="str">
        <f aca="false">PROPER(TRIM(raw_data!I445))</f>
        <v>Bhubaneswar</v>
      </c>
      <c r="O445" s="3" t="str">
        <f aca="false">PROPER(TRIM(raw_data!J445))</f>
        <v>Furniture</v>
      </c>
      <c r="P445" s="3" t="str">
        <f aca="false">PROPER(TRIM(raw_data!K445))</f>
        <v>Furnishings</v>
      </c>
      <c r="Q445" s="3" t="str">
        <f aca="false">TRIM(raw_data!L445)</f>
        <v>Basic Furnishings 563</v>
      </c>
      <c r="R445" s="3" t="str">
        <f aca="false">IF(TRIM(raw_data!M445)="","Unknown",PROPER(TRIM(raw_data!M445)))</f>
        <v>First Class</v>
      </c>
      <c r="S445" s="3" t="str">
        <f aca="false">IF(TRIM(raw_data!M445)="","Filled - Unknown","OK")</f>
        <v>OK</v>
      </c>
      <c r="T445" s="6" t="n">
        <f aca="false">raw_data!N445</f>
        <v>1</v>
      </c>
      <c r="U445" s="7" t="n">
        <f aca="false">raw_data!O445</f>
        <v>3683.75</v>
      </c>
      <c r="V445" s="8" t="n">
        <f aca="false">raw_data!P445</f>
        <v>0.1</v>
      </c>
      <c r="W445" s="8" t="n">
        <f aca="false">IF(raw_data!P445="",0,IF(ISTEXT(raw_data!P445),IF(RIGHT(raw_data!P445,1)="%",VALUE(LEFT(raw_data!P445,LEN(raw_data!P445)-1))/100,VALUE(raw_data!P445)),raw_data!P445))</f>
        <v>0.1</v>
      </c>
      <c r="X445" s="3" t="str">
        <f aca="false">IF(raw_data!P445="","Missing - Defaulted to 0",IF(W445&lt;0,"Negative - Invalid",IF(W445&gt;0.3,"Above Allowed Range - Invalid","Valid")))</f>
        <v>Valid</v>
      </c>
      <c r="Y445" s="7" t="n">
        <f aca="false">raw_data!Q445</f>
        <v>3315.38</v>
      </c>
      <c r="Z445" s="7" t="n">
        <f aca="false">raw_data!R445</f>
        <v>2347.68</v>
      </c>
      <c r="AA445" s="7" t="n">
        <f aca="false">raw_data!S445</f>
        <v>967.7</v>
      </c>
      <c r="AB445" s="3" t="str">
        <f aca="false">PROPER(TRIM(raw_data!T445))</f>
        <v>Paid</v>
      </c>
      <c r="AC445" s="3" t="str">
        <f aca="false">PROPER(TRIM(raw_data!U445))</f>
        <v>Completed</v>
      </c>
      <c r="AD445" s="7" t="n">
        <f aca="false">T445*U445*(1-W445)</f>
        <v>3315.375</v>
      </c>
      <c r="AE445" s="7" t="n">
        <f aca="false">AD445-Z445</f>
        <v>967.695</v>
      </c>
      <c r="AF445" s="8" t="n">
        <f aca="false">IF(AD445=0,0,AE445/AD445)</f>
        <v>0.291881008935641</v>
      </c>
      <c r="AG445" s="3" t="str">
        <f aca="false">IF(ABS(Y445-AD445)&gt;1,"Mismatch","OK")</f>
        <v>OK</v>
      </c>
      <c r="AH445" s="3" t="str">
        <f aca="false">IF(ABS(AA445-AE445)&gt;1,"Mismatch","OK")</f>
        <v>OK</v>
      </c>
      <c r="AI445" s="6" t="n">
        <f aca="false">IF(B445="","",MONTH(B445))</f>
        <v>4</v>
      </c>
      <c r="AJ445" s="6" t="n">
        <f aca="false">IF(B445="","",YEAR(B445))</f>
        <v>2024</v>
      </c>
      <c r="AK445" s="3" t="str">
        <f aca="false">IF(COUNTIF(raw_data!$A$2:$A$913,A445)&gt;1,"Conflicting Duplicate - Flagged for Review","Unique")</f>
        <v>Unique</v>
      </c>
      <c r="AL445" s="3" t="str">
        <f aca="false">IF(AB445="Refunded","Yes","No")</f>
        <v>No</v>
      </c>
      <c r="AM445" s="3" t="str">
        <f aca="false">IF(OR(AC445&lt;&gt;"Completed",AB445="Failed"),"Excluded","Included")</f>
        <v>Included</v>
      </c>
      <c r="AN445" s="3" t="str">
        <f aca="false">IF(OR(D445="Invalid/Unrecognized",E445="Invalid/Unrecognized",G445="Invalid - Ship Before Order",X445="Negative - Invalid",X445="Above Allowed Range - Invalid",AG445="Mismatch",AH445="Mismatch",AK445="Conflicting Duplicate - Flagged for Review"),"Invalid",IF(OR(L445="Filled - Unknown",S445="Filled - Unknown",X445="Missing - Defaulted to 0",AL445="Yes",AC445="Cancelled",AC445="Returned"),"Warning","Clean"))</f>
        <v>Clean</v>
      </c>
    </row>
    <row r="446" customFormat="false" ht="15" hidden="false" customHeight="false" outlineLevel="0" collapsed="false">
      <c r="A446" s="3" t="str">
        <f aca="false">raw_data!A446</f>
        <v>ORD-2025-10445</v>
      </c>
      <c r="B446" s="4" t="n">
        <f aca="false">IFERROR(IF(MID(raw_data!B446,3,1)="/",DATE(VALUE(RIGHT(raw_data!B446,4)),VALUE(LEFT(raw_data!B446,2)),VALUE(MID(raw_data!B446,4,2))),IF(MID(raw_data!B446,3,1)="-",DATE(VALUE(RIGHT(raw_data!B446,4)),VALUE(MID(raw_data!B446,4,2)),VALUE(LEFT(raw_data!B446,2))),IF(MID(raw_data!B446,5,1)="-",DATE(VALUE(LEFT(raw_data!B446,4)),VALUE(MID(raw_data!B446,6,2)),VALUE(RIGHT(raw_data!B446,2))),DATE(VALUE(RIGHT(raw_data!B446,4)),MATCH(MID(raw_data!B446,4,3),{"Jan","Feb","Mar","Apr","May","Jun","Jul","Aug","Sep","Oct","Nov","Dec"},0),VALUE(LEFT(raw_data!B446,2)))))),"")</f>
        <v>45881</v>
      </c>
      <c r="C446" s="4" t="n">
        <f aca="false">IFERROR(IF(MID(raw_data!C446,3,1)="/",DATE(VALUE(RIGHT(raw_data!C446,4)),VALUE(LEFT(raw_data!C446,2)),VALUE(MID(raw_data!C446,4,2))),IF(MID(raw_data!C446,3,1)="-",DATE(VALUE(RIGHT(raw_data!C446,4)),VALUE(MID(raw_data!C446,4,2)),VALUE(LEFT(raw_data!C446,2))),IF(MID(raw_data!C446,5,1)="-",DATE(VALUE(LEFT(raw_data!C446,4)),VALUE(MID(raw_data!C446,6,2)),VALUE(RIGHT(raw_data!C446,2))),DATE(VALUE(RIGHT(raw_data!C446,4)),MATCH(MID(raw_data!C446,4,3),{"Jan","Feb","Mar","Apr","May","Jun","Jul","Aug","Sep","Oct","Nov","Dec"},0),VALUE(LEFT(raw_data!C446,2)))))),"")</f>
        <v>45885</v>
      </c>
      <c r="D446" s="3" t="str">
        <f aca="false">IF(TRIM(raw_data!B446)="","Missing",IF(B446="","Invalid/Unrecognized","Valid"))</f>
        <v>Valid</v>
      </c>
      <c r="E446" s="3" t="str">
        <f aca="false">IF(TRIM(raw_data!C446)="","Missing",IF(C446="","Invalid/Unrecognized","Valid"))</f>
        <v>Valid</v>
      </c>
      <c r="F446" s="5" t="n">
        <f aca="false">IF(OR(B446="",C446=""),"",C446-B446)</f>
        <v>4</v>
      </c>
      <c r="G446" s="3" t="str">
        <f aca="false">IF(F446="","N/A",IF(F446&lt;0,"Invalid - Ship Before Order","OK"))</f>
        <v>OK</v>
      </c>
      <c r="H446" s="3" t="str">
        <f aca="false">raw_data!D446</f>
        <v>CUST-4475</v>
      </c>
      <c r="I446" s="3" t="str">
        <f aca="false">PROPER(TRIM(raw_data!E446))</f>
        <v>Ananya Rao</v>
      </c>
      <c r="J446" s="3" t="str">
        <f aca="false">PROPER(TRIM(raw_data!F446))</f>
        <v>Consumer</v>
      </c>
      <c r="K446" s="3" t="str">
        <f aca="false">IF(TRIM(raw_data!G446)="","Unknown",PROPER(TRIM(raw_data!G446)))</f>
        <v>East</v>
      </c>
      <c r="L446" s="3" t="str">
        <f aca="false">IF(TRIM(raw_data!G446)="","Filled - Unknown","OK")</f>
        <v>OK</v>
      </c>
      <c r="M446" s="3" t="str">
        <f aca="false">PROPER(TRIM(raw_data!H446))</f>
        <v>Assam</v>
      </c>
      <c r="N446" s="3" t="str">
        <f aca="false">PROPER(TRIM(raw_data!I446))</f>
        <v>Guwahati</v>
      </c>
      <c r="O446" s="3" t="str">
        <f aca="false">PROPER(TRIM(raw_data!J446))</f>
        <v>Technology</v>
      </c>
      <c r="P446" s="3" t="str">
        <f aca="false">PROPER(TRIM(raw_data!K446))</f>
        <v>Accessories</v>
      </c>
      <c r="Q446" s="3" t="str">
        <f aca="false">TRIM(raw_data!L446)</f>
        <v>Prime Accessories 482</v>
      </c>
      <c r="R446" s="3" t="str">
        <f aca="false">IF(TRIM(raw_data!M446)="","Unknown",PROPER(TRIM(raw_data!M446)))</f>
        <v>Same Day</v>
      </c>
      <c r="S446" s="3" t="str">
        <f aca="false">IF(TRIM(raw_data!M446)="","Filled - Unknown","OK")</f>
        <v>OK</v>
      </c>
      <c r="T446" s="6" t="n">
        <f aca="false">raw_data!N446</f>
        <v>9</v>
      </c>
      <c r="U446" s="7" t="n">
        <f aca="false">raw_data!O446</f>
        <v>2379.24</v>
      </c>
      <c r="V446" s="8" t="n">
        <f aca="false">raw_data!P446</f>
        <v>0.05</v>
      </c>
      <c r="W446" s="8" t="n">
        <f aca="false">IF(raw_data!P446="",0,IF(ISTEXT(raw_data!P446),IF(RIGHT(raw_data!P446,1)="%",VALUE(LEFT(raw_data!P446,LEN(raw_data!P446)-1))/100,VALUE(raw_data!P446)),raw_data!P446))</f>
        <v>0.05</v>
      </c>
      <c r="X446" s="3" t="str">
        <f aca="false">IF(raw_data!P446="","Missing - Defaulted to 0",IF(W446&lt;0,"Negative - Invalid",IF(W446&gt;0.3,"Above Allowed Range - Invalid","Valid")))</f>
        <v>Valid</v>
      </c>
      <c r="Y446" s="7" t="n">
        <f aca="false">raw_data!Q446</f>
        <v>20342.5</v>
      </c>
      <c r="Z446" s="7" t="n">
        <f aca="false">raw_data!R446</f>
        <v>12407.51</v>
      </c>
      <c r="AA446" s="7" t="n">
        <f aca="false">raw_data!S446</f>
        <v>7934.99</v>
      </c>
      <c r="AB446" s="3" t="str">
        <f aca="false">PROPER(TRIM(raw_data!T446))</f>
        <v>Paid</v>
      </c>
      <c r="AC446" s="3" t="str">
        <f aca="false">PROPER(TRIM(raw_data!U446))</f>
        <v>Completed</v>
      </c>
      <c r="AD446" s="7" t="n">
        <f aca="false">T446*U446*(1-W446)</f>
        <v>20342.502</v>
      </c>
      <c r="AE446" s="7" t="n">
        <f aca="false">AD446-Z446</f>
        <v>7934.992</v>
      </c>
      <c r="AF446" s="8" t="n">
        <f aca="false">IF(AD446=0,0,AE446/AD446)</f>
        <v>0.390069618771575</v>
      </c>
      <c r="AG446" s="3" t="str">
        <f aca="false">IF(ABS(Y446-AD446)&gt;1,"Mismatch","OK")</f>
        <v>OK</v>
      </c>
      <c r="AH446" s="3" t="str">
        <f aca="false">IF(ABS(AA446-AE446)&gt;1,"Mismatch","OK")</f>
        <v>OK</v>
      </c>
      <c r="AI446" s="6" t="n">
        <f aca="false">IF(B446="","",MONTH(B446))</f>
        <v>8</v>
      </c>
      <c r="AJ446" s="6" t="n">
        <f aca="false">IF(B446="","",YEAR(B446))</f>
        <v>2025</v>
      </c>
      <c r="AK446" s="3" t="str">
        <f aca="false">IF(COUNTIF(raw_data!$A$2:$A$913,A446)&gt;1,"Conflicting Duplicate - Flagged for Review","Unique")</f>
        <v>Unique</v>
      </c>
      <c r="AL446" s="3" t="str">
        <f aca="false">IF(AB446="Refunded","Yes","No")</f>
        <v>No</v>
      </c>
      <c r="AM446" s="3" t="str">
        <f aca="false">IF(OR(AC446&lt;&gt;"Completed",AB446="Failed"),"Excluded","Included")</f>
        <v>Included</v>
      </c>
      <c r="AN446" s="3" t="str">
        <f aca="false">IF(OR(D446="Invalid/Unrecognized",E446="Invalid/Unrecognized",G446="Invalid - Ship Before Order",X446="Negative - Invalid",X446="Above Allowed Range - Invalid",AG446="Mismatch",AH446="Mismatch",AK446="Conflicting Duplicate - Flagged for Review"),"Invalid",IF(OR(L446="Filled - Unknown",S446="Filled - Unknown",X446="Missing - Defaulted to 0",AL446="Yes",AC446="Cancelled",AC446="Returned"),"Warning","Clean"))</f>
        <v>Clean</v>
      </c>
    </row>
    <row r="447" customFormat="false" ht="15" hidden="false" customHeight="false" outlineLevel="0" collapsed="false">
      <c r="A447" s="3" t="str">
        <f aca="false">raw_data!A447</f>
        <v>ORD-2024-10446</v>
      </c>
      <c r="B447" s="4" t="n">
        <f aca="false">IFERROR(IF(MID(raw_data!B447,3,1)="/",DATE(VALUE(RIGHT(raw_data!B447,4)),VALUE(LEFT(raw_data!B447,2)),VALUE(MID(raw_data!B447,4,2))),IF(MID(raw_data!B447,3,1)="-",DATE(VALUE(RIGHT(raw_data!B447,4)),VALUE(MID(raw_data!B447,4,2)),VALUE(LEFT(raw_data!B447,2))),IF(MID(raw_data!B447,5,1)="-",DATE(VALUE(LEFT(raw_data!B447,4)),VALUE(MID(raw_data!B447,6,2)),VALUE(RIGHT(raw_data!B447,2))),DATE(VALUE(RIGHT(raw_data!B447,4)),MATCH(MID(raw_data!B447,4,3),{"Jan","Feb","Mar","Apr","May","Jun","Jul","Aug","Sep","Oct","Nov","Dec"},0),VALUE(LEFT(raw_data!B447,2)))))),"")</f>
        <v>45421</v>
      </c>
      <c r="C447" s="4" t="n">
        <f aca="false">IFERROR(IF(MID(raw_data!C447,3,1)="/",DATE(VALUE(RIGHT(raw_data!C447,4)),VALUE(LEFT(raw_data!C447,2)),VALUE(MID(raw_data!C447,4,2))),IF(MID(raw_data!C447,3,1)="-",DATE(VALUE(RIGHT(raw_data!C447,4)),VALUE(MID(raw_data!C447,4,2)),VALUE(LEFT(raw_data!C447,2))),IF(MID(raw_data!C447,5,1)="-",DATE(VALUE(LEFT(raw_data!C447,4)),VALUE(MID(raw_data!C447,6,2)),VALUE(RIGHT(raw_data!C447,2))),DATE(VALUE(RIGHT(raw_data!C447,4)),MATCH(MID(raw_data!C447,4,3),{"Jan","Feb","Mar","Apr","May","Jun","Jul","Aug","Sep","Oct","Nov","Dec"},0),VALUE(LEFT(raw_data!C447,2)))))),"")</f>
        <v>45417</v>
      </c>
      <c r="D447" s="3" t="str">
        <f aca="false">IF(TRIM(raw_data!B447)="","Missing",IF(B447="","Invalid/Unrecognized","Valid"))</f>
        <v>Valid</v>
      </c>
      <c r="E447" s="3" t="str">
        <f aca="false">IF(TRIM(raw_data!C447)="","Missing",IF(C447="","Invalid/Unrecognized","Valid"))</f>
        <v>Valid</v>
      </c>
      <c r="F447" s="5" t="n">
        <f aca="false">IF(OR(B447="",C447=""),"",C447-B447)</f>
        <v>-4</v>
      </c>
      <c r="G447" s="3" t="str">
        <f aca="false">IF(F447="","N/A",IF(F447&lt;0,"Invalid - Ship Before Order","OK"))</f>
        <v>Invalid - Ship Before Order</v>
      </c>
      <c r="H447" s="3" t="str">
        <f aca="false">raw_data!D447</f>
        <v>CUST-1351</v>
      </c>
      <c r="I447" s="3" t="str">
        <f aca="false">PROPER(TRIM(raw_data!E447))</f>
        <v>Arjun Bose</v>
      </c>
      <c r="J447" s="3" t="str">
        <f aca="false">PROPER(TRIM(raw_data!F447))</f>
        <v>Consumer</v>
      </c>
      <c r="K447" s="3" t="str">
        <f aca="false">IF(TRIM(raw_data!G447)="","Unknown",PROPER(TRIM(raw_data!G447)))</f>
        <v>East</v>
      </c>
      <c r="L447" s="3" t="str">
        <f aca="false">IF(TRIM(raw_data!G447)="","Filled - Unknown","OK")</f>
        <v>OK</v>
      </c>
      <c r="M447" s="3" t="str">
        <f aca="false">PROPER(TRIM(raw_data!H447))</f>
        <v>Assam</v>
      </c>
      <c r="N447" s="3" t="str">
        <f aca="false">PROPER(TRIM(raw_data!I447))</f>
        <v>Guwahati</v>
      </c>
      <c r="O447" s="3" t="str">
        <f aca="false">PROPER(TRIM(raw_data!J447))</f>
        <v>Furniture</v>
      </c>
      <c r="P447" s="3" t="str">
        <f aca="false">PROPER(TRIM(raw_data!K447))</f>
        <v>Bookcases</v>
      </c>
      <c r="Q447" s="3" t="str">
        <f aca="false">TRIM(raw_data!L447)</f>
        <v>Eco Bookcases 215</v>
      </c>
      <c r="R447" s="3" t="str">
        <f aca="false">IF(TRIM(raw_data!M447)="","Unknown",PROPER(TRIM(raw_data!M447)))</f>
        <v>Same Day</v>
      </c>
      <c r="S447" s="3" t="str">
        <f aca="false">IF(TRIM(raw_data!M447)="","Filled - Unknown","OK")</f>
        <v>OK</v>
      </c>
      <c r="T447" s="6" t="n">
        <f aca="false">raw_data!N447</f>
        <v>2</v>
      </c>
      <c r="U447" s="7" t="n">
        <f aca="false">raw_data!O447</f>
        <v>2111.23</v>
      </c>
      <c r="V447" s="8" t="n">
        <f aca="false">raw_data!P447</f>
        <v>0.2</v>
      </c>
      <c r="W447" s="8" t="n">
        <f aca="false">IF(raw_data!P447="",0,IF(ISTEXT(raw_data!P447),IF(RIGHT(raw_data!P447,1)="%",VALUE(LEFT(raw_data!P447,LEN(raw_data!P447)-1))/100,VALUE(raw_data!P447)),raw_data!P447))</f>
        <v>0.2</v>
      </c>
      <c r="X447" s="3" t="str">
        <f aca="false">IF(raw_data!P447="","Missing - Defaulted to 0",IF(W447&lt;0,"Negative - Invalid",IF(W447&gt;0.3,"Above Allowed Range - Invalid","Valid")))</f>
        <v>Valid</v>
      </c>
      <c r="Y447" s="7" t="n">
        <f aca="false">raw_data!Q447</f>
        <v>3377.97</v>
      </c>
      <c r="Z447" s="7" t="n">
        <f aca="false">raw_data!R447</f>
        <v>2496.29</v>
      </c>
      <c r="AA447" s="7" t="n">
        <f aca="false">raw_data!S447</f>
        <v>881.68</v>
      </c>
      <c r="AB447" s="3" t="str">
        <f aca="false">PROPER(TRIM(raw_data!T447))</f>
        <v>Paid</v>
      </c>
      <c r="AC447" s="3" t="str">
        <f aca="false">PROPER(TRIM(raw_data!U447))</f>
        <v>Completed</v>
      </c>
      <c r="AD447" s="7" t="n">
        <f aca="false">T447*U447*(1-W447)</f>
        <v>3377.968</v>
      </c>
      <c r="AE447" s="7" t="n">
        <f aca="false">AD447-Z447</f>
        <v>881.678</v>
      </c>
      <c r="AF447" s="8" t="n">
        <f aca="false">IF(AD447=0,0,AE447/AD447)</f>
        <v>0.26100839321154</v>
      </c>
      <c r="AG447" s="3" t="str">
        <f aca="false">IF(ABS(Y447-AD447)&gt;1,"Mismatch","OK")</f>
        <v>OK</v>
      </c>
      <c r="AH447" s="3" t="str">
        <f aca="false">IF(ABS(AA447-AE447)&gt;1,"Mismatch","OK")</f>
        <v>OK</v>
      </c>
      <c r="AI447" s="6" t="n">
        <f aca="false">IF(B447="","",MONTH(B447))</f>
        <v>5</v>
      </c>
      <c r="AJ447" s="6" t="n">
        <f aca="false">IF(B447="","",YEAR(B447))</f>
        <v>2024</v>
      </c>
      <c r="AK447" s="3" t="str">
        <f aca="false">IF(COUNTIF(raw_data!$A$2:$A$913,A447)&gt;1,"Conflicting Duplicate - Flagged for Review","Unique")</f>
        <v>Unique</v>
      </c>
      <c r="AL447" s="3" t="str">
        <f aca="false">IF(AB447="Refunded","Yes","No")</f>
        <v>No</v>
      </c>
      <c r="AM447" s="3" t="str">
        <f aca="false">IF(OR(AC447&lt;&gt;"Completed",AB447="Failed"),"Excluded","Included")</f>
        <v>Included</v>
      </c>
      <c r="AN447" s="3" t="str">
        <f aca="false">IF(OR(D447="Invalid/Unrecognized",E447="Invalid/Unrecognized",G447="Invalid - Ship Before Order",X447="Negative - Invalid",X447="Above Allowed Range - Invalid",AG447="Mismatch",AH447="Mismatch",AK447="Conflicting Duplicate - Flagged for Review"),"Invalid",IF(OR(L447="Filled - Unknown",S447="Filled - Unknown",X447="Missing - Defaulted to 0",AL447="Yes",AC447="Cancelled",AC447="Returned"),"Warning","Clean"))</f>
        <v>Invalid</v>
      </c>
    </row>
    <row r="448" customFormat="false" ht="15" hidden="false" customHeight="false" outlineLevel="0" collapsed="false">
      <c r="A448" s="3" t="str">
        <f aca="false">raw_data!A448</f>
        <v>ORD-2025-10447</v>
      </c>
      <c r="B448" s="4" t="n">
        <f aca="false">IFERROR(IF(MID(raw_data!B448,3,1)="/",DATE(VALUE(RIGHT(raw_data!B448,4)),VALUE(LEFT(raw_data!B448,2)),VALUE(MID(raw_data!B448,4,2))),IF(MID(raw_data!B448,3,1)="-",DATE(VALUE(RIGHT(raw_data!B448,4)),VALUE(MID(raw_data!B448,4,2)),VALUE(LEFT(raw_data!B448,2))),IF(MID(raw_data!B448,5,1)="-",DATE(VALUE(LEFT(raw_data!B448,4)),VALUE(MID(raw_data!B448,6,2)),VALUE(RIGHT(raw_data!B448,2))),DATE(VALUE(RIGHT(raw_data!B448,4)),MATCH(MID(raw_data!B448,4,3),{"Jan","Feb","Mar","Apr","May","Jun","Jul","Aug","Sep","Oct","Nov","Dec"},0),VALUE(LEFT(raw_data!B448,2)))))),"")</f>
        <v>45918</v>
      </c>
      <c r="C448" s="4" t="n">
        <f aca="false">IFERROR(IF(MID(raw_data!C448,3,1)="/",DATE(VALUE(RIGHT(raw_data!C448,4)),VALUE(LEFT(raw_data!C448,2)),VALUE(MID(raw_data!C448,4,2))),IF(MID(raw_data!C448,3,1)="-",DATE(VALUE(RIGHT(raw_data!C448,4)),VALUE(MID(raw_data!C448,4,2)),VALUE(LEFT(raw_data!C448,2))),IF(MID(raw_data!C448,5,1)="-",DATE(VALUE(LEFT(raw_data!C448,4)),VALUE(MID(raw_data!C448,6,2)),VALUE(RIGHT(raw_data!C448,2))),DATE(VALUE(RIGHT(raw_data!C448,4)),MATCH(MID(raw_data!C448,4,3),{"Jan","Feb","Mar","Apr","May","Jun","Jul","Aug","Sep","Oct","Nov","Dec"},0),VALUE(LEFT(raw_data!C448,2)))))),"")</f>
        <v>45919</v>
      </c>
      <c r="D448" s="3" t="str">
        <f aca="false">IF(TRIM(raw_data!B448)="","Missing",IF(B448="","Invalid/Unrecognized","Valid"))</f>
        <v>Valid</v>
      </c>
      <c r="E448" s="3" t="str">
        <f aca="false">IF(TRIM(raw_data!C448)="","Missing",IF(C448="","Invalid/Unrecognized","Valid"))</f>
        <v>Valid</v>
      </c>
      <c r="F448" s="5" t="n">
        <f aca="false">IF(OR(B448="",C448=""),"",C448-B448)</f>
        <v>1</v>
      </c>
      <c r="G448" s="3" t="str">
        <f aca="false">IF(F448="","N/A",IF(F448&lt;0,"Invalid - Ship Before Order","OK"))</f>
        <v>OK</v>
      </c>
      <c r="H448" s="3" t="str">
        <f aca="false">raw_data!D448</f>
        <v>CUST-9295</v>
      </c>
      <c r="I448" s="3" t="str">
        <f aca="false">PROPER(TRIM(raw_data!E448))</f>
        <v>Sneha Kapoor</v>
      </c>
      <c r="J448" s="3" t="str">
        <f aca="false">PROPER(TRIM(raw_data!F448))</f>
        <v>Home Office</v>
      </c>
      <c r="K448" s="3" t="str">
        <f aca="false">IF(TRIM(raw_data!G448)="","Unknown",PROPER(TRIM(raw_data!G448)))</f>
        <v>South</v>
      </c>
      <c r="L448" s="3" t="str">
        <f aca="false">IF(TRIM(raw_data!G448)="","Filled - Unknown","OK")</f>
        <v>OK</v>
      </c>
      <c r="M448" s="3" t="str">
        <f aca="false">PROPER(TRIM(raw_data!H448))</f>
        <v>Andhra Pradesh</v>
      </c>
      <c r="N448" s="3" t="str">
        <f aca="false">PROPER(TRIM(raw_data!I448))</f>
        <v>Vijayawada</v>
      </c>
      <c r="O448" s="3" t="str">
        <f aca="false">PROPER(TRIM(raw_data!J448))</f>
        <v>Office Supplies</v>
      </c>
      <c r="P448" s="3" t="str">
        <f aca="false">PROPER(TRIM(raw_data!K448))</f>
        <v>Storage</v>
      </c>
      <c r="Q448" s="3" t="str">
        <f aca="false">TRIM(raw_data!L448)</f>
        <v>Eco Storage 793</v>
      </c>
      <c r="R448" s="3" t="str">
        <f aca="false">IF(TRIM(raw_data!M448)="","Unknown",PROPER(TRIM(raw_data!M448)))</f>
        <v>Same Day</v>
      </c>
      <c r="S448" s="3" t="str">
        <f aca="false">IF(TRIM(raw_data!M448)="","Filled - Unknown","OK")</f>
        <v>OK</v>
      </c>
      <c r="T448" s="6" t="n">
        <f aca="false">raw_data!N448</f>
        <v>8</v>
      </c>
      <c r="U448" s="7" t="n">
        <f aca="false">raw_data!O448</f>
        <v>4242.51</v>
      </c>
      <c r="V448" s="8" t="n">
        <f aca="false">raw_data!P448</f>
        <v>0</v>
      </c>
      <c r="W448" s="8" t="n">
        <f aca="false">IF(raw_data!P448="",0,IF(ISTEXT(raw_data!P448),IF(RIGHT(raw_data!P448,1)="%",VALUE(LEFT(raw_data!P448,LEN(raw_data!P448)-1))/100,VALUE(raw_data!P448)),raw_data!P448))</f>
        <v>0</v>
      </c>
      <c r="X448" s="3" t="str">
        <f aca="false">IF(raw_data!P448="","Missing - Defaulted to 0",IF(W448&lt;0,"Negative - Invalid",IF(W448&gt;0.3,"Above Allowed Range - Invalid","Valid")))</f>
        <v>Valid</v>
      </c>
      <c r="Y448" s="7" t="n">
        <f aca="false">raw_data!Q448</f>
        <v>33940.08</v>
      </c>
      <c r="Z448" s="7" t="n">
        <f aca="false">raw_data!R448</f>
        <v>23754.19</v>
      </c>
      <c r="AA448" s="7" t="n">
        <f aca="false">raw_data!S448</f>
        <v>10185.89</v>
      </c>
      <c r="AB448" s="3" t="str">
        <f aca="false">PROPER(TRIM(raw_data!T448))</f>
        <v>Paid</v>
      </c>
      <c r="AC448" s="3" t="str">
        <f aca="false">PROPER(TRIM(raw_data!U448))</f>
        <v>Completed</v>
      </c>
      <c r="AD448" s="7" t="n">
        <f aca="false">T448*U448*(1-W448)</f>
        <v>33940.08</v>
      </c>
      <c r="AE448" s="7" t="n">
        <f aca="false">AD448-Z448</f>
        <v>10185.89</v>
      </c>
      <c r="AF448" s="8" t="n">
        <f aca="false">IF(AD448=0,0,AE448/AD448)</f>
        <v>0.30011390662603</v>
      </c>
      <c r="AG448" s="3" t="str">
        <f aca="false">IF(ABS(Y448-AD448)&gt;1,"Mismatch","OK")</f>
        <v>OK</v>
      </c>
      <c r="AH448" s="3" t="str">
        <f aca="false">IF(ABS(AA448-AE448)&gt;1,"Mismatch","OK")</f>
        <v>OK</v>
      </c>
      <c r="AI448" s="6" t="n">
        <f aca="false">IF(B448="","",MONTH(B448))</f>
        <v>9</v>
      </c>
      <c r="AJ448" s="6" t="n">
        <f aca="false">IF(B448="","",YEAR(B448))</f>
        <v>2025</v>
      </c>
      <c r="AK448" s="3" t="str">
        <f aca="false">IF(COUNTIF(raw_data!$A$2:$A$913,A448)&gt;1,"Conflicting Duplicate - Flagged for Review","Unique")</f>
        <v>Unique</v>
      </c>
      <c r="AL448" s="3" t="str">
        <f aca="false">IF(AB448="Refunded","Yes","No")</f>
        <v>No</v>
      </c>
      <c r="AM448" s="3" t="str">
        <f aca="false">IF(OR(AC448&lt;&gt;"Completed",AB448="Failed"),"Excluded","Included")</f>
        <v>Included</v>
      </c>
      <c r="AN448" s="3" t="str">
        <f aca="false">IF(OR(D448="Invalid/Unrecognized",E448="Invalid/Unrecognized",G448="Invalid - Ship Before Order",X448="Negative - Invalid",X448="Above Allowed Range - Invalid",AG448="Mismatch",AH448="Mismatch",AK448="Conflicting Duplicate - Flagged for Review"),"Invalid",IF(OR(L448="Filled - Unknown",S448="Filled - Unknown",X448="Missing - Defaulted to 0",AL448="Yes",AC448="Cancelled",AC448="Returned"),"Warning","Clean"))</f>
        <v>Clean</v>
      </c>
    </row>
    <row r="449" customFormat="false" ht="15" hidden="false" customHeight="false" outlineLevel="0" collapsed="false">
      <c r="A449" s="3" t="str">
        <f aca="false">raw_data!A449</f>
        <v>ORD-2025-10448</v>
      </c>
      <c r="B449" s="4" t="n">
        <f aca="false">IFERROR(IF(MID(raw_data!B449,3,1)="/",DATE(VALUE(RIGHT(raw_data!B449,4)),VALUE(LEFT(raw_data!B449,2)),VALUE(MID(raw_data!B449,4,2))),IF(MID(raw_data!B449,3,1)="-",DATE(VALUE(RIGHT(raw_data!B449,4)),VALUE(MID(raw_data!B449,4,2)),VALUE(LEFT(raw_data!B449,2))),IF(MID(raw_data!B449,5,1)="-",DATE(VALUE(LEFT(raw_data!B449,4)),VALUE(MID(raw_data!B449,6,2)),VALUE(RIGHT(raw_data!B449,2))),DATE(VALUE(RIGHT(raw_data!B449,4)),MATCH(MID(raw_data!B449,4,3),{"Jan","Feb","Mar","Apr","May","Jun","Jul","Aug","Sep","Oct","Nov","Dec"},0),VALUE(LEFT(raw_data!B449,2)))))),"")</f>
        <v>45879</v>
      </c>
      <c r="C449" s="4" t="n">
        <f aca="false">IFERROR(IF(MID(raw_data!C449,3,1)="/",DATE(VALUE(RIGHT(raw_data!C449,4)),VALUE(LEFT(raw_data!C449,2)),VALUE(MID(raw_data!C449,4,2))),IF(MID(raw_data!C449,3,1)="-",DATE(VALUE(RIGHT(raw_data!C449,4)),VALUE(MID(raw_data!C449,4,2)),VALUE(LEFT(raw_data!C449,2))),IF(MID(raw_data!C449,5,1)="-",DATE(VALUE(LEFT(raw_data!C449,4)),VALUE(MID(raw_data!C449,6,2)),VALUE(RIGHT(raw_data!C449,2))),DATE(VALUE(RIGHT(raw_data!C449,4)),MATCH(MID(raw_data!C449,4,3),{"Jan","Feb","Mar","Apr","May","Jun","Jul","Aug","Sep","Oct","Nov","Dec"},0),VALUE(LEFT(raw_data!C449,2)))))),"")</f>
        <v>45879</v>
      </c>
      <c r="D449" s="3" t="str">
        <f aca="false">IF(TRIM(raw_data!B449)="","Missing",IF(B449="","Invalid/Unrecognized","Valid"))</f>
        <v>Valid</v>
      </c>
      <c r="E449" s="3" t="str">
        <f aca="false">IF(TRIM(raw_data!C449)="","Missing",IF(C449="","Invalid/Unrecognized","Valid"))</f>
        <v>Valid</v>
      </c>
      <c r="F449" s="5" t="n">
        <f aca="false">IF(OR(B449="",C449=""),"",C449-B449)</f>
        <v>0</v>
      </c>
      <c r="G449" s="3" t="str">
        <f aca="false">IF(F449="","N/A",IF(F449&lt;0,"Invalid - Ship Before Order","OK"))</f>
        <v>OK</v>
      </c>
      <c r="H449" s="3" t="str">
        <f aca="false">raw_data!D449</f>
        <v>CUST-3614</v>
      </c>
      <c r="I449" s="3" t="str">
        <f aca="false">PROPER(TRIM(raw_data!E449))</f>
        <v>Rohan Mehta</v>
      </c>
      <c r="J449" s="3" t="str">
        <f aca="false">PROPER(TRIM(raw_data!F449))</f>
        <v>Home Office</v>
      </c>
      <c r="K449" s="3" t="str">
        <f aca="false">IF(TRIM(raw_data!G449)="","Unknown",PROPER(TRIM(raw_data!G449)))</f>
        <v>South</v>
      </c>
      <c r="L449" s="3" t="str">
        <f aca="false">IF(TRIM(raw_data!G449)="","Filled - Unknown","OK")</f>
        <v>OK</v>
      </c>
      <c r="M449" s="3" t="str">
        <f aca="false">PROPER(TRIM(raw_data!H449))</f>
        <v>Telangana</v>
      </c>
      <c r="N449" s="3" t="str">
        <f aca="false">PROPER(TRIM(raw_data!I449))</f>
        <v>Hyderabad</v>
      </c>
      <c r="O449" s="3" t="str">
        <f aca="false">PROPER(TRIM(raw_data!J449))</f>
        <v>Furniture</v>
      </c>
      <c r="P449" s="3" t="str">
        <f aca="false">PROPER(TRIM(raw_data!K449))</f>
        <v>Bookcases</v>
      </c>
      <c r="Q449" s="3" t="str">
        <f aca="false">TRIM(raw_data!L449)</f>
        <v>Basic Bookcases 182</v>
      </c>
      <c r="R449" s="3" t="str">
        <f aca="false">IF(TRIM(raw_data!M449)="","Unknown",PROPER(TRIM(raw_data!M449)))</f>
        <v>Standard Class</v>
      </c>
      <c r="S449" s="3" t="str">
        <f aca="false">IF(TRIM(raw_data!M449)="","Filled - Unknown","OK")</f>
        <v>OK</v>
      </c>
      <c r="T449" s="6" t="n">
        <f aca="false">raw_data!N449</f>
        <v>6</v>
      </c>
      <c r="U449" s="7" t="n">
        <f aca="false">raw_data!O449</f>
        <v>4288.7</v>
      </c>
      <c r="V449" s="8" t="n">
        <f aca="false">raw_data!P449</f>
        <v>0.15</v>
      </c>
      <c r="W449" s="8" t="n">
        <f aca="false">IF(raw_data!P449="",0,IF(ISTEXT(raw_data!P449),IF(RIGHT(raw_data!P449,1)="%",VALUE(LEFT(raw_data!P449,LEN(raw_data!P449)-1))/100,VALUE(raw_data!P449)),raw_data!P449))</f>
        <v>0.15</v>
      </c>
      <c r="X449" s="3" t="str">
        <f aca="false">IF(raw_data!P449="","Missing - Defaulted to 0",IF(W449&lt;0,"Negative - Invalid",IF(W449&gt;0.3,"Above Allowed Range - Invalid","Valid")))</f>
        <v>Valid</v>
      </c>
      <c r="Y449" s="7" t="n">
        <f aca="false">raw_data!Q449</f>
        <v>21872.37</v>
      </c>
      <c r="Z449" s="7" t="n">
        <f aca="false">raw_data!R449</f>
        <v>13829.5</v>
      </c>
      <c r="AA449" s="7" t="n">
        <f aca="false">raw_data!S449</f>
        <v>8042.87</v>
      </c>
      <c r="AB449" s="3" t="str">
        <f aca="false">PROPER(TRIM(raw_data!T449))</f>
        <v>Pending</v>
      </c>
      <c r="AC449" s="3" t="str">
        <f aca="false">PROPER(TRIM(raw_data!U449))</f>
        <v>Returned</v>
      </c>
      <c r="AD449" s="7" t="n">
        <f aca="false">T449*U449*(1-W449)</f>
        <v>21872.37</v>
      </c>
      <c r="AE449" s="7" t="n">
        <f aca="false">AD449-Z449</f>
        <v>8042.87</v>
      </c>
      <c r="AF449" s="8" t="n">
        <f aca="false">IF(AD449=0,0,AE449/AD449)</f>
        <v>0.367718267384833</v>
      </c>
      <c r="AG449" s="3" t="str">
        <f aca="false">IF(ABS(Y449-AD449)&gt;1,"Mismatch","OK")</f>
        <v>OK</v>
      </c>
      <c r="AH449" s="3" t="str">
        <f aca="false">IF(ABS(AA449-AE449)&gt;1,"Mismatch","OK")</f>
        <v>OK</v>
      </c>
      <c r="AI449" s="6" t="n">
        <f aca="false">IF(B449="","",MONTH(B449))</f>
        <v>8</v>
      </c>
      <c r="AJ449" s="6" t="n">
        <f aca="false">IF(B449="","",YEAR(B449))</f>
        <v>2025</v>
      </c>
      <c r="AK449" s="3" t="str">
        <f aca="false">IF(COUNTIF(raw_data!$A$2:$A$913,A449)&gt;1,"Conflicting Duplicate - Flagged for Review","Unique")</f>
        <v>Unique</v>
      </c>
      <c r="AL449" s="3" t="str">
        <f aca="false">IF(AB449="Refunded","Yes","No")</f>
        <v>No</v>
      </c>
      <c r="AM449" s="3" t="str">
        <f aca="false">IF(OR(AC449&lt;&gt;"Completed",AB449="Failed"),"Excluded","Included")</f>
        <v>Excluded</v>
      </c>
      <c r="AN449" s="3" t="str">
        <f aca="false">IF(OR(D449="Invalid/Unrecognized",E449="Invalid/Unrecognized",G449="Invalid - Ship Before Order",X449="Negative - Invalid",X449="Above Allowed Range - Invalid",AG449="Mismatch",AH449="Mismatch",AK449="Conflicting Duplicate - Flagged for Review"),"Invalid",IF(OR(L449="Filled - Unknown",S449="Filled - Unknown",X449="Missing - Defaulted to 0",AL449="Yes",AC449="Cancelled",AC449="Returned"),"Warning","Clean"))</f>
        <v>Warning</v>
      </c>
    </row>
    <row r="450" customFormat="false" ht="15" hidden="false" customHeight="false" outlineLevel="0" collapsed="false">
      <c r="A450" s="3" t="str">
        <f aca="false">raw_data!A450</f>
        <v>ORD-2024-10449</v>
      </c>
      <c r="B450" s="4" t="n">
        <f aca="false">IFERROR(IF(MID(raw_data!B450,3,1)="/",DATE(VALUE(RIGHT(raw_data!B450,4)),VALUE(LEFT(raw_data!B450,2)),VALUE(MID(raw_data!B450,4,2))),IF(MID(raw_data!B450,3,1)="-",DATE(VALUE(RIGHT(raw_data!B450,4)),VALUE(MID(raw_data!B450,4,2)),VALUE(LEFT(raw_data!B450,2))),IF(MID(raw_data!B450,5,1)="-",DATE(VALUE(LEFT(raw_data!B450,4)),VALUE(MID(raw_data!B450,6,2)),VALUE(RIGHT(raw_data!B450,2))),DATE(VALUE(RIGHT(raw_data!B450,4)),MATCH(MID(raw_data!B450,4,3),{"Jan","Feb","Mar","Apr","May","Jun","Jul","Aug","Sep","Oct","Nov","Dec"},0),VALUE(LEFT(raw_data!B450,2)))))),"")</f>
        <v>45306</v>
      </c>
      <c r="C450" s="4" t="n">
        <f aca="false">IFERROR(IF(MID(raw_data!C450,3,1)="/",DATE(VALUE(RIGHT(raw_data!C450,4)),VALUE(LEFT(raw_data!C450,2)),VALUE(MID(raw_data!C450,4,2))),IF(MID(raw_data!C450,3,1)="-",DATE(VALUE(RIGHT(raw_data!C450,4)),VALUE(MID(raw_data!C450,4,2)),VALUE(LEFT(raw_data!C450,2))),IF(MID(raw_data!C450,5,1)="-",DATE(VALUE(LEFT(raw_data!C450,4)),VALUE(MID(raw_data!C450,6,2)),VALUE(RIGHT(raw_data!C450,2))),DATE(VALUE(RIGHT(raw_data!C450,4)),MATCH(MID(raw_data!C450,4,3),{"Jan","Feb","Mar","Apr","May","Jun","Jul","Aug","Sep","Oct","Nov","Dec"},0),VALUE(LEFT(raw_data!C450,2)))))),"")</f>
        <v>45309</v>
      </c>
      <c r="D450" s="3" t="str">
        <f aca="false">IF(TRIM(raw_data!B450)="","Missing",IF(B450="","Invalid/Unrecognized","Valid"))</f>
        <v>Valid</v>
      </c>
      <c r="E450" s="3" t="str">
        <f aca="false">IF(TRIM(raw_data!C450)="","Missing",IF(C450="","Invalid/Unrecognized","Valid"))</f>
        <v>Valid</v>
      </c>
      <c r="F450" s="5" t="n">
        <f aca="false">IF(OR(B450="",C450=""),"",C450-B450)</f>
        <v>3</v>
      </c>
      <c r="G450" s="3" t="str">
        <f aca="false">IF(F450="","N/A",IF(F450&lt;0,"Invalid - Ship Before Order","OK"))</f>
        <v>OK</v>
      </c>
      <c r="H450" s="3" t="str">
        <f aca="false">raw_data!D450</f>
        <v>CUST-1932</v>
      </c>
      <c r="I450" s="3" t="str">
        <f aca="false">PROPER(TRIM(raw_data!E450))</f>
        <v>Mira Das</v>
      </c>
      <c r="J450" s="3" t="str">
        <f aca="false">PROPER(TRIM(raw_data!F450))</f>
        <v>Small Business</v>
      </c>
      <c r="K450" s="3" t="str">
        <f aca="false">IF(TRIM(raw_data!G450)="","Unknown",PROPER(TRIM(raw_data!G450)))</f>
        <v>South</v>
      </c>
      <c r="L450" s="3" t="str">
        <f aca="false">IF(TRIM(raw_data!G450)="","Filled - Unknown","OK")</f>
        <v>OK</v>
      </c>
      <c r="M450" s="3" t="str">
        <f aca="false">PROPER(TRIM(raw_data!H450))</f>
        <v>Andhra Pradesh</v>
      </c>
      <c r="N450" s="3" t="str">
        <f aca="false">PROPER(TRIM(raw_data!I450))</f>
        <v>Vijayawada</v>
      </c>
      <c r="O450" s="3" t="str">
        <f aca="false">PROPER(TRIM(raw_data!J450))</f>
        <v>Furniture</v>
      </c>
      <c r="P450" s="3" t="str">
        <f aca="false">PROPER(TRIM(raw_data!K450))</f>
        <v>Chairs</v>
      </c>
      <c r="Q450" s="3" t="str">
        <f aca="false">TRIM(raw_data!L450)</f>
        <v>Prime Chairs 631</v>
      </c>
      <c r="R450" s="3" t="str">
        <f aca="false">IF(TRIM(raw_data!M450)="","Unknown",PROPER(TRIM(raw_data!M450)))</f>
        <v>First Class</v>
      </c>
      <c r="S450" s="3" t="str">
        <f aca="false">IF(TRIM(raw_data!M450)="","Filled - Unknown","OK")</f>
        <v>OK</v>
      </c>
      <c r="T450" s="6" t="n">
        <f aca="false">raw_data!N450</f>
        <v>2</v>
      </c>
      <c r="U450" s="7" t="n">
        <f aca="false">raw_data!O450</f>
        <v>201.21</v>
      </c>
      <c r="V450" s="8" t="n">
        <f aca="false">raw_data!P450</f>
        <v>0.15</v>
      </c>
      <c r="W450" s="8" t="n">
        <f aca="false">IF(raw_data!P450="",0,IF(ISTEXT(raw_data!P450),IF(RIGHT(raw_data!P450,1)="%",VALUE(LEFT(raw_data!P450,LEN(raw_data!P450)-1))/100,VALUE(raw_data!P450)),raw_data!P450))</f>
        <v>0.15</v>
      </c>
      <c r="X450" s="3" t="str">
        <f aca="false">IF(raw_data!P450="","Missing - Defaulted to 0",IF(W450&lt;0,"Negative - Invalid",IF(W450&gt;0.3,"Above Allowed Range - Invalid","Valid")))</f>
        <v>Valid</v>
      </c>
      <c r="Y450" s="7" t="n">
        <f aca="false">raw_data!Q450</f>
        <v>342.06</v>
      </c>
      <c r="Z450" s="7" t="n">
        <f aca="false">raw_data!R450</f>
        <v>244.57</v>
      </c>
      <c r="AA450" s="7" t="n">
        <f aca="false">raw_data!S450</f>
        <v>97.49</v>
      </c>
      <c r="AB450" s="3" t="str">
        <f aca="false">PROPER(TRIM(raw_data!T450))</f>
        <v>Paid</v>
      </c>
      <c r="AC450" s="3" t="str">
        <f aca="false">PROPER(TRIM(raw_data!U450))</f>
        <v>Completed</v>
      </c>
      <c r="AD450" s="7" t="n">
        <f aca="false">T450*U450*(1-W450)</f>
        <v>342.057</v>
      </c>
      <c r="AE450" s="7" t="n">
        <f aca="false">AD450-Z450</f>
        <v>97.487</v>
      </c>
      <c r="AF450" s="8" t="n">
        <f aca="false">IF(AD450=0,0,AE450/AD450)</f>
        <v>0.285002207234467</v>
      </c>
      <c r="AG450" s="3" t="str">
        <f aca="false">IF(ABS(Y450-AD450)&gt;1,"Mismatch","OK")</f>
        <v>OK</v>
      </c>
      <c r="AH450" s="3" t="str">
        <f aca="false">IF(ABS(AA450-AE450)&gt;1,"Mismatch","OK")</f>
        <v>OK</v>
      </c>
      <c r="AI450" s="6" t="n">
        <f aca="false">IF(B450="","",MONTH(B450))</f>
        <v>1</v>
      </c>
      <c r="AJ450" s="6" t="n">
        <f aca="false">IF(B450="","",YEAR(B450))</f>
        <v>2024</v>
      </c>
      <c r="AK450" s="3" t="str">
        <f aca="false">IF(COUNTIF(raw_data!$A$2:$A$913,A450)&gt;1,"Conflicting Duplicate - Flagged for Review","Unique")</f>
        <v>Unique</v>
      </c>
      <c r="AL450" s="3" t="str">
        <f aca="false">IF(AB450="Refunded","Yes","No")</f>
        <v>No</v>
      </c>
      <c r="AM450" s="3" t="str">
        <f aca="false">IF(OR(AC450&lt;&gt;"Completed",AB450="Failed"),"Excluded","Included")</f>
        <v>Included</v>
      </c>
      <c r="AN450" s="3" t="str">
        <f aca="false">IF(OR(D450="Invalid/Unrecognized",E450="Invalid/Unrecognized",G450="Invalid - Ship Before Order",X450="Negative - Invalid",X450="Above Allowed Range - Invalid",AG450="Mismatch",AH450="Mismatch",AK450="Conflicting Duplicate - Flagged for Review"),"Invalid",IF(OR(L450="Filled - Unknown",S450="Filled - Unknown",X450="Missing - Defaulted to 0",AL450="Yes",AC450="Cancelled",AC450="Returned"),"Warning","Clean"))</f>
        <v>Clean</v>
      </c>
    </row>
    <row r="451" customFormat="false" ht="15" hidden="false" customHeight="false" outlineLevel="0" collapsed="false">
      <c r="A451" s="3" t="str">
        <f aca="false">raw_data!A451</f>
        <v>ORD-2024-10450</v>
      </c>
      <c r="B451" s="4" t="n">
        <f aca="false">IFERROR(IF(MID(raw_data!B451,3,1)="/",DATE(VALUE(RIGHT(raw_data!B451,4)),VALUE(LEFT(raw_data!B451,2)),VALUE(MID(raw_data!B451,4,2))),IF(MID(raw_data!B451,3,1)="-",DATE(VALUE(RIGHT(raw_data!B451,4)),VALUE(MID(raw_data!B451,4,2)),VALUE(LEFT(raw_data!B451,2))),IF(MID(raw_data!B451,5,1)="-",DATE(VALUE(LEFT(raw_data!B451,4)),VALUE(MID(raw_data!B451,6,2)),VALUE(RIGHT(raw_data!B451,2))),DATE(VALUE(RIGHT(raw_data!B451,4)),MATCH(MID(raw_data!B451,4,3),{"Jan","Feb","Mar","Apr","May","Jun","Jul","Aug","Sep","Oct","Nov","Dec"},0),VALUE(LEFT(raw_data!B451,2)))))),"")</f>
        <v>45449</v>
      </c>
      <c r="C451" s="4" t="n">
        <f aca="false">IFERROR(IF(MID(raw_data!C451,3,1)="/",DATE(VALUE(RIGHT(raw_data!C451,4)),VALUE(LEFT(raw_data!C451,2)),VALUE(MID(raw_data!C451,4,2))),IF(MID(raw_data!C451,3,1)="-",DATE(VALUE(RIGHT(raw_data!C451,4)),VALUE(MID(raw_data!C451,4,2)),VALUE(LEFT(raw_data!C451,2))),IF(MID(raw_data!C451,5,1)="-",DATE(VALUE(LEFT(raw_data!C451,4)),VALUE(MID(raw_data!C451,6,2)),VALUE(RIGHT(raw_data!C451,2))),DATE(VALUE(RIGHT(raw_data!C451,4)),MATCH(MID(raw_data!C451,4,3),{"Jan","Feb","Mar","Apr","May","Jun","Jul","Aug","Sep","Oct","Nov","Dec"},0),VALUE(LEFT(raw_data!C451,2)))))),"")</f>
        <v>45456</v>
      </c>
      <c r="D451" s="3" t="str">
        <f aca="false">IF(TRIM(raw_data!B451)="","Missing",IF(B451="","Invalid/Unrecognized","Valid"))</f>
        <v>Valid</v>
      </c>
      <c r="E451" s="3" t="str">
        <f aca="false">IF(TRIM(raw_data!C451)="","Missing",IF(C451="","Invalid/Unrecognized","Valid"))</f>
        <v>Valid</v>
      </c>
      <c r="F451" s="5" t="n">
        <f aca="false">IF(OR(B451="",C451=""),"",C451-B451)</f>
        <v>7</v>
      </c>
      <c r="G451" s="3" t="str">
        <f aca="false">IF(F451="","N/A",IF(F451&lt;0,"Invalid - Ship Before Order","OK"))</f>
        <v>OK</v>
      </c>
      <c r="H451" s="3" t="str">
        <f aca="false">raw_data!D451</f>
        <v>CUST-5094</v>
      </c>
      <c r="I451" s="3" t="str">
        <f aca="false">PROPER(TRIM(raw_data!E451))</f>
        <v>Aditi Sen</v>
      </c>
      <c r="J451" s="3" t="str">
        <f aca="false">PROPER(TRIM(raw_data!F451))</f>
        <v>Corporate</v>
      </c>
      <c r="K451" s="3" t="str">
        <f aca="false">IF(TRIM(raw_data!G451)="","Unknown",PROPER(TRIM(raw_data!G451)))</f>
        <v>East</v>
      </c>
      <c r="L451" s="3" t="str">
        <f aca="false">IF(TRIM(raw_data!G451)="","Filled - Unknown","OK")</f>
        <v>OK</v>
      </c>
      <c r="M451" s="3" t="str">
        <f aca="false">PROPER(TRIM(raw_data!H451))</f>
        <v>Assam</v>
      </c>
      <c r="N451" s="3" t="str">
        <f aca="false">PROPER(TRIM(raw_data!I451))</f>
        <v>Guwahati</v>
      </c>
      <c r="O451" s="3" t="str">
        <f aca="false">PROPER(TRIM(raw_data!J451))</f>
        <v>Technology</v>
      </c>
      <c r="P451" s="3" t="str">
        <f aca="false">PROPER(TRIM(raw_data!K451))</f>
        <v>Machines</v>
      </c>
      <c r="Q451" s="3" t="str">
        <f aca="false">TRIM(raw_data!L451)</f>
        <v>Basic Machines 808</v>
      </c>
      <c r="R451" s="3" t="str">
        <f aca="false">IF(TRIM(raw_data!M451)="","Unknown",PROPER(TRIM(raw_data!M451)))</f>
        <v>Second Class</v>
      </c>
      <c r="S451" s="3" t="str">
        <f aca="false">IF(TRIM(raw_data!M451)="","Filled - Unknown","OK")</f>
        <v>OK</v>
      </c>
      <c r="T451" s="6" t="n">
        <f aca="false">raw_data!N451</f>
        <v>6</v>
      </c>
      <c r="U451" s="7" t="n">
        <f aca="false">raw_data!O451</f>
        <v>3270.36</v>
      </c>
      <c r="V451" s="8" t="n">
        <f aca="false">raw_data!P451</f>
        <v>0</v>
      </c>
      <c r="W451" s="8" t="n">
        <f aca="false">IF(raw_data!P451="",0,IF(ISTEXT(raw_data!P451),IF(RIGHT(raw_data!P451,1)="%",VALUE(LEFT(raw_data!P451,LEN(raw_data!P451)-1))/100,VALUE(raw_data!P451)),raw_data!P451))</f>
        <v>0</v>
      </c>
      <c r="X451" s="3" t="str">
        <f aca="false">IF(raw_data!P451="","Missing - Defaulted to 0",IF(W451&lt;0,"Negative - Invalid",IF(W451&gt;0.3,"Above Allowed Range - Invalid","Valid")))</f>
        <v>Valid</v>
      </c>
      <c r="Y451" s="7" t="n">
        <f aca="false">raw_data!Q451</f>
        <v>19622.16</v>
      </c>
      <c r="Z451" s="7" t="n">
        <f aca="false">raw_data!R451</f>
        <v>14271.27</v>
      </c>
      <c r="AA451" s="7" t="n">
        <f aca="false">raw_data!S451</f>
        <v>5350.89</v>
      </c>
      <c r="AB451" s="3" t="str">
        <f aca="false">PROPER(TRIM(raw_data!T451))</f>
        <v>Paid</v>
      </c>
      <c r="AC451" s="3" t="str">
        <f aca="false">PROPER(TRIM(raw_data!U451))</f>
        <v>Completed</v>
      </c>
      <c r="AD451" s="7" t="n">
        <f aca="false">T451*U451*(1-W451)</f>
        <v>19622.16</v>
      </c>
      <c r="AE451" s="7" t="n">
        <f aca="false">AD451-Z451</f>
        <v>5350.89</v>
      </c>
      <c r="AF451" s="8" t="n">
        <f aca="false">IF(AD451=0,0,AE451/AD451)</f>
        <v>0.272696278085593</v>
      </c>
      <c r="AG451" s="3" t="str">
        <f aca="false">IF(ABS(Y451-AD451)&gt;1,"Mismatch","OK")</f>
        <v>OK</v>
      </c>
      <c r="AH451" s="3" t="str">
        <f aca="false">IF(ABS(AA451-AE451)&gt;1,"Mismatch","OK")</f>
        <v>OK</v>
      </c>
      <c r="AI451" s="6" t="n">
        <f aca="false">IF(B451="","",MONTH(B451))</f>
        <v>6</v>
      </c>
      <c r="AJ451" s="6" t="n">
        <f aca="false">IF(B451="","",YEAR(B451))</f>
        <v>2024</v>
      </c>
      <c r="AK451" s="3" t="str">
        <f aca="false">IF(COUNTIF(raw_data!$A$2:$A$913,A451)&gt;1,"Conflicting Duplicate - Flagged for Review","Unique")</f>
        <v>Unique</v>
      </c>
      <c r="AL451" s="3" t="str">
        <f aca="false">IF(AB451="Refunded","Yes","No")</f>
        <v>No</v>
      </c>
      <c r="AM451" s="3" t="str">
        <f aca="false">IF(OR(AC451&lt;&gt;"Completed",AB451="Failed"),"Excluded","Included")</f>
        <v>Included</v>
      </c>
      <c r="AN451" s="3" t="str">
        <f aca="false">IF(OR(D451="Invalid/Unrecognized",E451="Invalid/Unrecognized",G451="Invalid - Ship Before Order",X451="Negative - Invalid",X451="Above Allowed Range - Invalid",AG451="Mismatch",AH451="Mismatch",AK451="Conflicting Duplicate - Flagged for Review"),"Invalid",IF(OR(L451="Filled - Unknown",S451="Filled - Unknown",X451="Missing - Defaulted to 0",AL451="Yes",AC451="Cancelled",AC451="Returned"),"Warning","Clean"))</f>
        <v>Clean</v>
      </c>
    </row>
    <row r="452" customFormat="false" ht="15" hidden="false" customHeight="false" outlineLevel="0" collapsed="false">
      <c r="A452" s="3" t="str">
        <f aca="false">raw_data!A452</f>
        <v>ORD-2025-10451</v>
      </c>
      <c r="B452" s="4" t="n">
        <f aca="false">IFERROR(IF(MID(raw_data!B452,3,1)="/",DATE(VALUE(RIGHT(raw_data!B452,4)),VALUE(LEFT(raw_data!B452,2)),VALUE(MID(raw_data!B452,4,2))),IF(MID(raw_data!B452,3,1)="-",DATE(VALUE(RIGHT(raw_data!B452,4)),VALUE(MID(raw_data!B452,4,2)),VALUE(LEFT(raw_data!B452,2))),IF(MID(raw_data!B452,5,1)="-",DATE(VALUE(LEFT(raw_data!B452,4)),VALUE(MID(raw_data!B452,6,2)),VALUE(RIGHT(raw_data!B452,2))),DATE(VALUE(RIGHT(raw_data!B452,4)),MATCH(MID(raw_data!B452,4,3),{"Jan","Feb","Mar","Apr","May","Jun","Jul","Aug","Sep","Oct","Nov","Dec"},0),VALUE(LEFT(raw_data!B452,2)))))),"")</f>
        <v>45820</v>
      </c>
      <c r="C452" s="4" t="n">
        <f aca="false">IFERROR(IF(MID(raw_data!C452,3,1)="/",DATE(VALUE(RIGHT(raw_data!C452,4)),VALUE(LEFT(raw_data!C452,2)),VALUE(MID(raw_data!C452,4,2))),IF(MID(raw_data!C452,3,1)="-",DATE(VALUE(RIGHT(raw_data!C452,4)),VALUE(MID(raw_data!C452,4,2)),VALUE(LEFT(raw_data!C452,2))),IF(MID(raw_data!C452,5,1)="-",DATE(VALUE(LEFT(raw_data!C452,4)),VALUE(MID(raw_data!C452,6,2)),VALUE(RIGHT(raw_data!C452,2))),DATE(VALUE(RIGHT(raw_data!C452,4)),MATCH(MID(raw_data!C452,4,3),{"Jan","Feb","Mar","Apr","May","Jun","Jul","Aug","Sep","Oct","Nov","Dec"},0),VALUE(LEFT(raw_data!C452,2)))))),"")</f>
        <v>45827</v>
      </c>
      <c r="D452" s="3" t="str">
        <f aca="false">IF(TRIM(raw_data!B452)="","Missing",IF(B452="","Invalid/Unrecognized","Valid"))</f>
        <v>Valid</v>
      </c>
      <c r="E452" s="3" t="str">
        <f aca="false">IF(TRIM(raw_data!C452)="","Missing",IF(C452="","Invalid/Unrecognized","Valid"))</f>
        <v>Valid</v>
      </c>
      <c r="F452" s="5" t="n">
        <f aca="false">IF(OR(B452="",C452=""),"",C452-B452)</f>
        <v>7</v>
      </c>
      <c r="G452" s="3" t="str">
        <f aca="false">IF(F452="","N/A",IF(F452&lt;0,"Invalid - Ship Before Order","OK"))</f>
        <v>OK</v>
      </c>
      <c r="H452" s="3" t="str">
        <f aca="false">raw_data!D452</f>
        <v>CUST-8672</v>
      </c>
      <c r="I452" s="3" t="str">
        <f aca="false">PROPER(TRIM(raw_data!E452))</f>
        <v>Ananya Rao</v>
      </c>
      <c r="J452" s="3" t="str">
        <f aca="false">PROPER(TRIM(raw_data!F452))</f>
        <v>Corporate</v>
      </c>
      <c r="K452" s="3" t="str">
        <f aca="false">IF(TRIM(raw_data!G452)="","Unknown",PROPER(TRIM(raw_data!G452)))</f>
        <v>North</v>
      </c>
      <c r="L452" s="3" t="str">
        <f aca="false">IF(TRIM(raw_data!G452)="","Filled - Unknown","OK")</f>
        <v>OK</v>
      </c>
      <c r="M452" s="3" t="str">
        <f aca="false">PROPER(TRIM(raw_data!H452))</f>
        <v>Delhi</v>
      </c>
      <c r="N452" s="3" t="str">
        <f aca="false">PROPER(TRIM(raw_data!I452))</f>
        <v>New Delhi</v>
      </c>
      <c r="O452" s="3" t="str">
        <f aca="false">PROPER(TRIM(raw_data!J452))</f>
        <v>Furniture</v>
      </c>
      <c r="P452" s="3" t="str">
        <f aca="false">PROPER(TRIM(raw_data!K452))</f>
        <v>Chairs</v>
      </c>
      <c r="Q452" s="3" t="str">
        <f aca="false">TRIM(raw_data!L452)</f>
        <v>Pro Chairs 302</v>
      </c>
      <c r="R452" s="3" t="str">
        <f aca="false">IF(TRIM(raw_data!M452)="","Unknown",PROPER(TRIM(raw_data!M452)))</f>
        <v>Standard Class</v>
      </c>
      <c r="S452" s="3" t="str">
        <f aca="false">IF(TRIM(raw_data!M452)="","Filled - Unknown","OK")</f>
        <v>OK</v>
      </c>
      <c r="T452" s="6" t="n">
        <f aca="false">raw_data!N452</f>
        <v>9</v>
      </c>
      <c r="U452" s="7" t="n">
        <f aca="false">raw_data!O452</f>
        <v>2278.57</v>
      </c>
      <c r="V452" s="8" t="n">
        <f aca="false">raw_data!P452</f>
        <v>0.25</v>
      </c>
      <c r="W452" s="8" t="n">
        <f aca="false">IF(raw_data!P452="",0,IF(ISTEXT(raw_data!P452),IF(RIGHT(raw_data!P452,1)="%",VALUE(LEFT(raw_data!P452,LEN(raw_data!P452)-1))/100,VALUE(raw_data!P452)),raw_data!P452))</f>
        <v>0.25</v>
      </c>
      <c r="X452" s="3" t="str">
        <f aca="false">IF(raw_data!P452="","Missing - Defaulted to 0",IF(W452&lt;0,"Negative - Invalid",IF(W452&gt;0.3,"Above Allowed Range - Invalid","Valid")))</f>
        <v>Valid</v>
      </c>
      <c r="Y452" s="7" t="n">
        <f aca="false">raw_data!Q452</f>
        <v>15380.35</v>
      </c>
      <c r="Z452" s="7" t="n">
        <f aca="false">raw_data!R452</f>
        <v>9907.37</v>
      </c>
      <c r="AA452" s="7" t="n">
        <f aca="false">raw_data!S452</f>
        <v>5472.98</v>
      </c>
      <c r="AB452" s="3" t="str">
        <f aca="false">PROPER(TRIM(raw_data!T452))</f>
        <v>Paid</v>
      </c>
      <c r="AC452" s="3" t="str">
        <f aca="false">PROPER(TRIM(raw_data!U452))</f>
        <v>Completed</v>
      </c>
      <c r="AD452" s="7" t="n">
        <f aca="false">T452*U452*(1-W452)</f>
        <v>15380.3475</v>
      </c>
      <c r="AE452" s="7" t="n">
        <f aca="false">AD452-Z452</f>
        <v>5472.9775</v>
      </c>
      <c r="AF452" s="8" t="n">
        <f aca="false">IF(AD452=0,0,AE452/AD452)</f>
        <v>0.355842252588896</v>
      </c>
      <c r="AG452" s="3" t="str">
        <f aca="false">IF(ABS(Y452-AD452)&gt;1,"Mismatch","OK")</f>
        <v>OK</v>
      </c>
      <c r="AH452" s="3" t="str">
        <f aca="false">IF(ABS(AA452-AE452)&gt;1,"Mismatch","OK")</f>
        <v>OK</v>
      </c>
      <c r="AI452" s="6" t="n">
        <f aca="false">IF(B452="","",MONTH(B452))</f>
        <v>6</v>
      </c>
      <c r="AJ452" s="6" t="n">
        <f aca="false">IF(B452="","",YEAR(B452))</f>
        <v>2025</v>
      </c>
      <c r="AK452" s="3" t="str">
        <f aca="false">IF(COUNTIF(raw_data!$A$2:$A$913,A452)&gt;1,"Conflicting Duplicate - Flagged for Review","Unique")</f>
        <v>Unique</v>
      </c>
      <c r="AL452" s="3" t="str">
        <f aca="false">IF(AB452="Refunded","Yes","No")</f>
        <v>No</v>
      </c>
      <c r="AM452" s="3" t="str">
        <f aca="false">IF(OR(AC452&lt;&gt;"Completed",AB452="Failed"),"Excluded","Included")</f>
        <v>Included</v>
      </c>
      <c r="AN452" s="3" t="str">
        <f aca="false">IF(OR(D452="Invalid/Unrecognized",E452="Invalid/Unrecognized",G452="Invalid - Ship Before Order",X452="Negative - Invalid",X452="Above Allowed Range - Invalid",AG452="Mismatch",AH452="Mismatch",AK452="Conflicting Duplicate - Flagged for Review"),"Invalid",IF(OR(L452="Filled - Unknown",S452="Filled - Unknown",X452="Missing - Defaulted to 0",AL452="Yes",AC452="Cancelled",AC452="Returned"),"Warning","Clean"))</f>
        <v>Clean</v>
      </c>
    </row>
    <row r="453" customFormat="false" ht="15" hidden="false" customHeight="false" outlineLevel="0" collapsed="false">
      <c r="A453" s="3" t="str">
        <f aca="false">raw_data!A453</f>
        <v>ORD-2024-10452</v>
      </c>
      <c r="B453" s="4" t="n">
        <f aca="false">IFERROR(IF(MID(raw_data!B453,3,1)="/",DATE(VALUE(RIGHT(raw_data!B453,4)),VALUE(LEFT(raw_data!B453,2)),VALUE(MID(raw_data!B453,4,2))),IF(MID(raw_data!B453,3,1)="-",DATE(VALUE(RIGHT(raw_data!B453,4)),VALUE(MID(raw_data!B453,4,2)),VALUE(LEFT(raw_data!B453,2))),IF(MID(raw_data!B453,5,1)="-",DATE(VALUE(LEFT(raw_data!B453,4)),VALUE(MID(raw_data!B453,6,2)),VALUE(RIGHT(raw_data!B453,2))),DATE(VALUE(RIGHT(raw_data!B453,4)),MATCH(MID(raw_data!B453,4,3),{"Jan","Feb","Mar","Apr","May","Jun","Jul","Aug","Sep","Oct","Nov","Dec"},0),VALUE(LEFT(raw_data!B453,2)))))),"")</f>
        <v>45375</v>
      </c>
      <c r="C453" s="4" t="n">
        <f aca="false">IFERROR(IF(MID(raw_data!C453,3,1)="/",DATE(VALUE(RIGHT(raw_data!C453,4)),VALUE(LEFT(raw_data!C453,2)),VALUE(MID(raw_data!C453,4,2))),IF(MID(raw_data!C453,3,1)="-",DATE(VALUE(RIGHT(raw_data!C453,4)),VALUE(MID(raw_data!C453,4,2)),VALUE(LEFT(raw_data!C453,2))),IF(MID(raw_data!C453,5,1)="-",DATE(VALUE(LEFT(raw_data!C453,4)),VALUE(MID(raw_data!C453,6,2)),VALUE(RIGHT(raw_data!C453,2))),DATE(VALUE(RIGHT(raw_data!C453,4)),MATCH(MID(raw_data!C453,4,3),{"Jan","Feb","Mar","Apr","May","Jun","Jul","Aug","Sep","Oct","Nov","Dec"},0),VALUE(LEFT(raw_data!C453,2)))))),"")</f>
        <v>45377</v>
      </c>
      <c r="D453" s="3" t="str">
        <f aca="false">IF(TRIM(raw_data!B453)="","Missing",IF(B453="","Invalid/Unrecognized","Valid"))</f>
        <v>Valid</v>
      </c>
      <c r="E453" s="3" t="str">
        <f aca="false">IF(TRIM(raw_data!C453)="","Missing",IF(C453="","Invalid/Unrecognized","Valid"))</f>
        <v>Valid</v>
      </c>
      <c r="F453" s="5" t="n">
        <f aca="false">IF(OR(B453="",C453=""),"",C453-B453)</f>
        <v>2</v>
      </c>
      <c r="G453" s="3" t="str">
        <f aca="false">IF(F453="","N/A",IF(F453&lt;0,"Invalid - Ship Before Order","OK"))</f>
        <v>OK</v>
      </c>
      <c r="H453" s="3" t="str">
        <f aca="false">raw_data!D453</f>
        <v>CUST-3907</v>
      </c>
      <c r="I453" s="3" t="str">
        <f aca="false">PROPER(TRIM(raw_data!E453))</f>
        <v>Rohan Mehta</v>
      </c>
      <c r="J453" s="3" t="str">
        <f aca="false">PROPER(TRIM(raw_data!F453))</f>
        <v>Small Business</v>
      </c>
      <c r="K453" s="3" t="str">
        <f aca="false">IF(TRIM(raw_data!G453)="","Unknown",PROPER(TRIM(raw_data!G453)))</f>
        <v>North</v>
      </c>
      <c r="L453" s="3" t="str">
        <f aca="false">IF(TRIM(raw_data!G453)="","Filled - Unknown","OK")</f>
        <v>OK</v>
      </c>
      <c r="M453" s="3" t="str">
        <f aca="false">PROPER(TRIM(raw_data!H453))</f>
        <v>Haryana</v>
      </c>
      <c r="N453" s="3" t="str">
        <f aca="false">PROPER(TRIM(raw_data!I453))</f>
        <v>Gurugram</v>
      </c>
      <c r="O453" s="3" t="str">
        <f aca="false">PROPER(TRIM(raw_data!J453))</f>
        <v>Office Supplies</v>
      </c>
      <c r="P453" s="3" t="str">
        <f aca="false">PROPER(TRIM(raw_data!K453))</f>
        <v>Paper</v>
      </c>
      <c r="Q453" s="3" t="str">
        <f aca="false">TRIM(raw_data!L453)</f>
        <v>Classic Paper 272</v>
      </c>
      <c r="R453" s="3" t="str">
        <f aca="false">IF(TRIM(raw_data!M453)="","Unknown",PROPER(TRIM(raw_data!M453)))</f>
        <v>Second Class</v>
      </c>
      <c r="S453" s="3" t="str">
        <f aca="false">IF(TRIM(raw_data!M453)="","Filled - Unknown","OK")</f>
        <v>OK</v>
      </c>
      <c r="T453" s="6" t="n">
        <f aca="false">raw_data!N453</f>
        <v>8</v>
      </c>
      <c r="U453" s="7" t="n">
        <f aca="false">raw_data!O453</f>
        <v>1917.64</v>
      </c>
      <c r="V453" s="8" t="n">
        <f aca="false">raw_data!P453</f>
        <v>0.15</v>
      </c>
      <c r="W453" s="8" t="n">
        <f aca="false">IF(raw_data!P453="",0,IF(ISTEXT(raw_data!P453),IF(RIGHT(raw_data!P453,1)="%",VALUE(LEFT(raw_data!P453,LEN(raw_data!P453)-1))/100,VALUE(raw_data!P453)),raw_data!P453))</f>
        <v>0.15</v>
      </c>
      <c r="X453" s="3" t="str">
        <f aca="false">IF(raw_data!P453="","Missing - Defaulted to 0",IF(W453&lt;0,"Negative - Invalid",IF(W453&gt;0.3,"Above Allowed Range - Invalid","Valid")))</f>
        <v>Valid</v>
      </c>
      <c r="Y453" s="7" t="n">
        <f aca="false">raw_data!Q453</f>
        <v>13039.95</v>
      </c>
      <c r="Z453" s="7" t="n">
        <f aca="false">raw_data!R453</f>
        <v>11127.82</v>
      </c>
      <c r="AA453" s="7" t="n">
        <f aca="false">raw_data!S453</f>
        <v>1912.13</v>
      </c>
      <c r="AB453" s="3" t="str">
        <f aca="false">PROPER(TRIM(raw_data!T453))</f>
        <v>Paid</v>
      </c>
      <c r="AC453" s="3" t="str">
        <f aca="false">PROPER(TRIM(raw_data!U453))</f>
        <v>Cancelled</v>
      </c>
      <c r="AD453" s="7" t="n">
        <f aca="false">T453*U453*(1-W453)</f>
        <v>13039.952</v>
      </c>
      <c r="AE453" s="7" t="n">
        <f aca="false">AD453-Z453</f>
        <v>1912.132</v>
      </c>
      <c r="AF453" s="8" t="n">
        <f aca="false">IF(AD453=0,0,AE453/AD453)</f>
        <v>0.14663642933655</v>
      </c>
      <c r="AG453" s="3" t="str">
        <f aca="false">IF(ABS(Y453-AD453)&gt;1,"Mismatch","OK")</f>
        <v>OK</v>
      </c>
      <c r="AH453" s="3" t="str">
        <f aca="false">IF(ABS(AA453-AE453)&gt;1,"Mismatch","OK")</f>
        <v>OK</v>
      </c>
      <c r="AI453" s="6" t="n">
        <f aca="false">IF(B453="","",MONTH(B453))</f>
        <v>3</v>
      </c>
      <c r="AJ453" s="6" t="n">
        <f aca="false">IF(B453="","",YEAR(B453))</f>
        <v>2024</v>
      </c>
      <c r="AK453" s="3" t="str">
        <f aca="false">IF(COUNTIF(raw_data!$A$2:$A$913,A453)&gt;1,"Conflicting Duplicate - Flagged for Review","Unique")</f>
        <v>Unique</v>
      </c>
      <c r="AL453" s="3" t="str">
        <f aca="false">IF(AB453="Refunded","Yes","No")</f>
        <v>No</v>
      </c>
      <c r="AM453" s="3" t="str">
        <f aca="false">IF(OR(AC453&lt;&gt;"Completed",AB453="Failed"),"Excluded","Included")</f>
        <v>Excluded</v>
      </c>
      <c r="AN453" s="3" t="str">
        <f aca="false">IF(OR(D453="Invalid/Unrecognized",E453="Invalid/Unrecognized",G453="Invalid - Ship Before Order",X453="Negative - Invalid",X453="Above Allowed Range - Invalid",AG453="Mismatch",AH453="Mismatch",AK453="Conflicting Duplicate - Flagged for Review"),"Invalid",IF(OR(L453="Filled - Unknown",S453="Filled - Unknown",X453="Missing - Defaulted to 0",AL453="Yes",AC453="Cancelled",AC453="Returned"),"Warning","Clean"))</f>
        <v>Warning</v>
      </c>
    </row>
    <row r="454" customFormat="false" ht="15" hidden="false" customHeight="false" outlineLevel="0" collapsed="false">
      <c r="A454" s="3" t="str">
        <f aca="false">raw_data!A454</f>
        <v>ORD-2024-10453</v>
      </c>
      <c r="B454" s="4" t="n">
        <f aca="false">IFERROR(IF(MID(raw_data!B454,3,1)="/",DATE(VALUE(RIGHT(raw_data!B454,4)),VALUE(LEFT(raw_data!B454,2)),VALUE(MID(raw_data!B454,4,2))),IF(MID(raw_data!B454,3,1)="-",DATE(VALUE(RIGHT(raw_data!B454,4)),VALUE(MID(raw_data!B454,4,2)),VALUE(LEFT(raw_data!B454,2))),IF(MID(raw_data!B454,5,1)="-",DATE(VALUE(LEFT(raw_data!B454,4)),VALUE(MID(raw_data!B454,6,2)),VALUE(RIGHT(raw_data!B454,2))),DATE(VALUE(RIGHT(raw_data!B454,4)),MATCH(MID(raw_data!B454,4,3),{"Jan","Feb","Mar","Apr","May","Jun","Jul","Aug","Sep","Oct","Nov","Dec"},0),VALUE(LEFT(raw_data!B454,2)))))),"")</f>
        <v>45422</v>
      </c>
      <c r="C454" s="4" t="n">
        <f aca="false">IFERROR(IF(MID(raw_data!C454,3,1)="/",DATE(VALUE(RIGHT(raw_data!C454,4)),VALUE(LEFT(raw_data!C454,2)),VALUE(MID(raw_data!C454,4,2))),IF(MID(raw_data!C454,3,1)="-",DATE(VALUE(RIGHT(raw_data!C454,4)),VALUE(MID(raw_data!C454,4,2)),VALUE(LEFT(raw_data!C454,2))),IF(MID(raw_data!C454,5,1)="-",DATE(VALUE(LEFT(raw_data!C454,4)),VALUE(MID(raw_data!C454,6,2)),VALUE(RIGHT(raw_data!C454,2))),DATE(VALUE(RIGHT(raw_data!C454,4)),MATCH(MID(raw_data!C454,4,3),{"Jan","Feb","Mar","Apr","May","Jun","Jul","Aug","Sep","Oct","Nov","Dec"},0),VALUE(LEFT(raw_data!C454,2)))))),"")</f>
        <v>45428</v>
      </c>
      <c r="D454" s="3" t="str">
        <f aca="false">IF(TRIM(raw_data!B454)="","Missing",IF(B454="","Invalid/Unrecognized","Valid"))</f>
        <v>Valid</v>
      </c>
      <c r="E454" s="3" t="str">
        <f aca="false">IF(TRIM(raw_data!C454)="","Missing",IF(C454="","Invalid/Unrecognized","Valid"))</f>
        <v>Valid</v>
      </c>
      <c r="F454" s="5" t="n">
        <f aca="false">IF(OR(B454="",C454=""),"",C454-B454)</f>
        <v>6</v>
      </c>
      <c r="G454" s="3" t="str">
        <f aca="false">IF(F454="","N/A",IF(F454&lt;0,"Invalid - Ship Before Order","OK"))</f>
        <v>OK</v>
      </c>
      <c r="H454" s="3" t="str">
        <f aca="false">raw_data!D454</f>
        <v>CUST-8796</v>
      </c>
      <c r="I454" s="3" t="str">
        <f aca="false">PROPER(TRIM(raw_data!E454))</f>
        <v>Diya Patel</v>
      </c>
      <c r="J454" s="3" t="str">
        <f aca="false">PROPER(TRIM(raw_data!F454))</f>
        <v>Home Office</v>
      </c>
      <c r="K454" s="3" t="str">
        <f aca="false">IF(TRIM(raw_data!G454)="","Unknown",PROPER(TRIM(raw_data!G454)))</f>
        <v>East</v>
      </c>
      <c r="L454" s="3" t="str">
        <f aca="false">IF(TRIM(raw_data!G454)="","Filled - Unknown","OK")</f>
        <v>OK</v>
      </c>
      <c r="M454" s="3" t="str">
        <f aca="false">PROPER(TRIM(raw_data!H454))</f>
        <v>Jharkhand</v>
      </c>
      <c r="N454" s="3" t="str">
        <f aca="false">PROPER(TRIM(raw_data!I454))</f>
        <v>Ranchi</v>
      </c>
      <c r="O454" s="3" t="str">
        <f aca="false">PROPER(TRIM(raw_data!J454))</f>
        <v>Technology</v>
      </c>
      <c r="P454" s="3" t="str">
        <f aca="false">PROPER(TRIM(raw_data!K454))</f>
        <v>Accessories</v>
      </c>
      <c r="Q454" s="3" t="str">
        <f aca="false">TRIM(raw_data!L454)</f>
        <v>Smart Accessories 149</v>
      </c>
      <c r="R454" s="3" t="str">
        <f aca="false">IF(TRIM(raw_data!M454)="","Unknown",PROPER(TRIM(raw_data!M454)))</f>
        <v>Second Class</v>
      </c>
      <c r="S454" s="3" t="str">
        <f aca="false">IF(TRIM(raw_data!M454)="","Filled - Unknown","OK")</f>
        <v>OK</v>
      </c>
      <c r="T454" s="6" t="n">
        <f aca="false">raw_data!N454</f>
        <v>6</v>
      </c>
      <c r="U454" s="7" t="n">
        <f aca="false">raw_data!O454</f>
        <v>2013.33</v>
      </c>
      <c r="V454" s="8" t="n">
        <f aca="false">raw_data!P454</f>
        <v>0.2</v>
      </c>
      <c r="W454" s="8" t="n">
        <f aca="false">IF(raw_data!P454="",0,IF(ISTEXT(raw_data!P454),IF(RIGHT(raw_data!P454,1)="%",VALUE(LEFT(raw_data!P454,LEN(raw_data!P454)-1))/100,VALUE(raw_data!P454)),raw_data!P454))</f>
        <v>0.2</v>
      </c>
      <c r="X454" s="3" t="str">
        <f aca="false">IF(raw_data!P454="","Missing - Defaulted to 0",IF(W454&lt;0,"Negative - Invalid",IF(W454&gt;0.3,"Above Allowed Range - Invalid","Valid")))</f>
        <v>Valid</v>
      </c>
      <c r="Y454" s="7" t="n">
        <f aca="false">raw_data!Q454</f>
        <v>9663.98</v>
      </c>
      <c r="Z454" s="7" t="n">
        <f aca="false">raw_data!R454</f>
        <v>5628.93</v>
      </c>
      <c r="AA454" s="7" t="n">
        <f aca="false">raw_data!S454</f>
        <v>4035.05</v>
      </c>
      <c r="AB454" s="3" t="str">
        <f aca="false">PROPER(TRIM(raw_data!T454))</f>
        <v>Paid</v>
      </c>
      <c r="AC454" s="3" t="str">
        <f aca="false">PROPER(TRIM(raw_data!U454))</f>
        <v>Completed</v>
      </c>
      <c r="AD454" s="7" t="n">
        <f aca="false">T454*U454*(1-W454)</f>
        <v>9663.984</v>
      </c>
      <c r="AE454" s="7" t="n">
        <f aca="false">AD454-Z454</f>
        <v>4035.054</v>
      </c>
      <c r="AF454" s="8" t="n">
        <f aca="false">IF(AD454=0,0,AE454/AD454)</f>
        <v>0.417535252541809</v>
      </c>
      <c r="AG454" s="3" t="str">
        <f aca="false">IF(ABS(Y454-AD454)&gt;1,"Mismatch","OK")</f>
        <v>OK</v>
      </c>
      <c r="AH454" s="3" t="str">
        <f aca="false">IF(ABS(AA454-AE454)&gt;1,"Mismatch","OK")</f>
        <v>OK</v>
      </c>
      <c r="AI454" s="6" t="n">
        <f aca="false">IF(B454="","",MONTH(B454))</f>
        <v>5</v>
      </c>
      <c r="AJ454" s="6" t="n">
        <f aca="false">IF(B454="","",YEAR(B454))</f>
        <v>2024</v>
      </c>
      <c r="AK454" s="3" t="str">
        <f aca="false">IF(COUNTIF(raw_data!$A$2:$A$913,A454)&gt;1,"Conflicting Duplicate - Flagged for Review","Unique")</f>
        <v>Unique</v>
      </c>
      <c r="AL454" s="3" t="str">
        <f aca="false">IF(AB454="Refunded","Yes","No")</f>
        <v>No</v>
      </c>
      <c r="AM454" s="3" t="str">
        <f aca="false">IF(OR(AC454&lt;&gt;"Completed",AB454="Failed"),"Excluded","Included")</f>
        <v>Included</v>
      </c>
      <c r="AN454" s="3" t="str">
        <f aca="false">IF(OR(D454="Invalid/Unrecognized",E454="Invalid/Unrecognized",G454="Invalid - Ship Before Order",X454="Negative - Invalid",X454="Above Allowed Range - Invalid",AG454="Mismatch",AH454="Mismatch",AK454="Conflicting Duplicate - Flagged for Review"),"Invalid",IF(OR(L454="Filled - Unknown",S454="Filled - Unknown",X454="Missing - Defaulted to 0",AL454="Yes",AC454="Cancelled",AC454="Returned"),"Warning","Clean"))</f>
        <v>Clean</v>
      </c>
    </row>
    <row r="455" customFormat="false" ht="15" hidden="false" customHeight="false" outlineLevel="0" collapsed="false">
      <c r="A455" s="3" t="str">
        <f aca="false">raw_data!A455</f>
        <v>ORD-2025-10454</v>
      </c>
      <c r="B455" s="4" t="n">
        <f aca="false">IFERROR(IF(MID(raw_data!B455,3,1)="/",DATE(VALUE(RIGHT(raw_data!B455,4)),VALUE(LEFT(raw_data!B455,2)),VALUE(MID(raw_data!B455,4,2))),IF(MID(raw_data!B455,3,1)="-",DATE(VALUE(RIGHT(raw_data!B455,4)),VALUE(MID(raw_data!B455,4,2)),VALUE(LEFT(raw_data!B455,2))),IF(MID(raw_data!B455,5,1)="-",DATE(VALUE(LEFT(raw_data!B455,4)),VALUE(MID(raw_data!B455,6,2)),VALUE(RIGHT(raw_data!B455,2))),DATE(VALUE(RIGHT(raw_data!B455,4)),MATCH(MID(raw_data!B455,4,3),{"Jan","Feb","Mar","Apr","May","Jun","Jul","Aug","Sep","Oct","Nov","Dec"},0),VALUE(LEFT(raw_data!B455,2)))))),"")</f>
        <v>45780</v>
      </c>
      <c r="C455" s="4" t="n">
        <f aca="false">IFERROR(IF(MID(raw_data!C455,3,1)="/",DATE(VALUE(RIGHT(raw_data!C455,4)),VALUE(LEFT(raw_data!C455,2)),VALUE(MID(raw_data!C455,4,2))),IF(MID(raw_data!C455,3,1)="-",DATE(VALUE(RIGHT(raw_data!C455,4)),VALUE(MID(raw_data!C455,4,2)),VALUE(LEFT(raw_data!C455,2))),IF(MID(raw_data!C455,5,1)="-",DATE(VALUE(LEFT(raw_data!C455,4)),VALUE(MID(raw_data!C455,6,2)),VALUE(RIGHT(raw_data!C455,2))),DATE(VALUE(RIGHT(raw_data!C455,4)),MATCH(MID(raw_data!C455,4,3),{"Jan","Feb","Mar","Apr","May","Jun","Jul","Aug","Sep","Oct","Nov","Dec"},0),VALUE(LEFT(raw_data!C455,2)))))),"")</f>
        <v>45788</v>
      </c>
      <c r="D455" s="3" t="str">
        <f aca="false">IF(TRIM(raw_data!B455)="","Missing",IF(B455="","Invalid/Unrecognized","Valid"))</f>
        <v>Valid</v>
      </c>
      <c r="E455" s="3" t="str">
        <f aca="false">IF(TRIM(raw_data!C455)="","Missing",IF(C455="","Invalid/Unrecognized","Valid"))</f>
        <v>Valid</v>
      </c>
      <c r="F455" s="5" t="n">
        <f aca="false">IF(OR(B455="",C455=""),"",C455-B455)</f>
        <v>8</v>
      </c>
      <c r="G455" s="3" t="str">
        <f aca="false">IF(F455="","N/A",IF(F455&lt;0,"Invalid - Ship Before Order","OK"))</f>
        <v>OK</v>
      </c>
      <c r="H455" s="3" t="str">
        <f aca="false">raw_data!D455</f>
        <v>CUST-2317</v>
      </c>
      <c r="I455" s="3" t="str">
        <f aca="false">PROPER(TRIM(raw_data!E455))</f>
        <v>Rohan Mehta</v>
      </c>
      <c r="J455" s="3" t="str">
        <f aca="false">PROPER(TRIM(raw_data!F455))</f>
        <v>Small Business</v>
      </c>
      <c r="K455" s="3" t="str">
        <f aca="false">IF(TRIM(raw_data!G455)="","Unknown",PROPER(TRIM(raw_data!G455)))</f>
        <v>West</v>
      </c>
      <c r="L455" s="3" t="str">
        <f aca="false">IF(TRIM(raw_data!G455)="","Filled - Unknown","OK")</f>
        <v>OK</v>
      </c>
      <c r="M455" s="3" t="str">
        <f aca="false">PROPER(TRIM(raw_data!H455))</f>
        <v>Madhya Pradesh</v>
      </c>
      <c r="N455" s="3" t="str">
        <f aca="false">PROPER(TRIM(raw_data!I455))</f>
        <v>Indore</v>
      </c>
      <c r="O455" s="3" t="str">
        <f aca="false">PROPER(TRIM(raw_data!J455))</f>
        <v>Office Supplies</v>
      </c>
      <c r="P455" s="3" t="str">
        <f aca="false">PROPER(TRIM(raw_data!K455))</f>
        <v>Labels</v>
      </c>
      <c r="Q455" s="3" t="str">
        <f aca="false">TRIM(raw_data!L455)</f>
        <v>Elite Labels 322</v>
      </c>
      <c r="R455" s="3" t="str">
        <f aca="false">IF(TRIM(raw_data!M455)="","Unknown",PROPER(TRIM(raw_data!M455)))</f>
        <v>Same Day</v>
      </c>
      <c r="S455" s="3" t="str">
        <f aca="false">IF(TRIM(raw_data!M455)="","Filled - Unknown","OK")</f>
        <v>OK</v>
      </c>
      <c r="T455" s="6" t="n">
        <f aca="false">raw_data!N455</f>
        <v>5</v>
      </c>
      <c r="U455" s="7" t="n">
        <f aca="false">raw_data!O455</f>
        <v>1483.52</v>
      </c>
      <c r="V455" s="8" t="n">
        <f aca="false">raw_data!P455</f>
        <v>0</v>
      </c>
      <c r="W455" s="8" t="n">
        <f aca="false">IF(raw_data!P455="",0,IF(ISTEXT(raw_data!P455),IF(RIGHT(raw_data!P455,1)="%",VALUE(LEFT(raw_data!P455,LEN(raw_data!P455)-1))/100,VALUE(raw_data!P455)),raw_data!P455))</f>
        <v>0</v>
      </c>
      <c r="X455" s="3" t="str">
        <f aca="false">IF(raw_data!P455="","Missing - Defaulted to 0",IF(W455&lt;0,"Negative - Invalid",IF(W455&gt;0.3,"Above Allowed Range - Invalid","Valid")))</f>
        <v>Valid</v>
      </c>
      <c r="Y455" s="7" t="n">
        <f aca="false">raw_data!Q455</f>
        <v>7417.6</v>
      </c>
      <c r="Z455" s="7" t="n">
        <f aca="false">raw_data!R455</f>
        <v>4955.86</v>
      </c>
      <c r="AA455" s="7" t="n">
        <f aca="false">raw_data!S455</f>
        <v>2461.74</v>
      </c>
      <c r="AB455" s="3" t="str">
        <f aca="false">PROPER(TRIM(raw_data!T455))</f>
        <v>Paid</v>
      </c>
      <c r="AC455" s="3" t="str">
        <f aca="false">PROPER(TRIM(raw_data!U455))</f>
        <v>Completed</v>
      </c>
      <c r="AD455" s="7" t="n">
        <f aca="false">T455*U455*(1-W455)</f>
        <v>7417.6</v>
      </c>
      <c r="AE455" s="7" t="n">
        <f aca="false">AD455-Z455</f>
        <v>2461.74</v>
      </c>
      <c r="AF455" s="8" t="n">
        <f aca="false">IF(AD455=0,0,AE455/AD455)</f>
        <v>0.331878235547886</v>
      </c>
      <c r="AG455" s="3" t="str">
        <f aca="false">IF(ABS(Y455-AD455)&gt;1,"Mismatch","OK")</f>
        <v>OK</v>
      </c>
      <c r="AH455" s="3" t="str">
        <f aca="false">IF(ABS(AA455-AE455)&gt;1,"Mismatch","OK")</f>
        <v>OK</v>
      </c>
      <c r="AI455" s="6" t="n">
        <f aca="false">IF(B455="","",MONTH(B455))</f>
        <v>5</v>
      </c>
      <c r="AJ455" s="6" t="n">
        <f aca="false">IF(B455="","",YEAR(B455))</f>
        <v>2025</v>
      </c>
      <c r="AK455" s="3" t="str">
        <f aca="false">IF(COUNTIF(raw_data!$A$2:$A$913,A455)&gt;1,"Conflicting Duplicate - Flagged for Review","Unique")</f>
        <v>Unique</v>
      </c>
      <c r="AL455" s="3" t="str">
        <f aca="false">IF(AB455="Refunded","Yes","No")</f>
        <v>No</v>
      </c>
      <c r="AM455" s="3" t="str">
        <f aca="false">IF(OR(AC455&lt;&gt;"Completed",AB455="Failed"),"Excluded","Included")</f>
        <v>Included</v>
      </c>
      <c r="AN455" s="3" t="str">
        <f aca="false">IF(OR(D455="Invalid/Unrecognized",E455="Invalid/Unrecognized",G455="Invalid - Ship Before Order",X455="Negative - Invalid",X455="Above Allowed Range - Invalid",AG455="Mismatch",AH455="Mismatch",AK455="Conflicting Duplicate - Flagged for Review"),"Invalid",IF(OR(L455="Filled - Unknown",S455="Filled - Unknown",X455="Missing - Defaulted to 0",AL455="Yes",AC455="Cancelled",AC455="Returned"),"Warning","Clean"))</f>
        <v>Clean</v>
      </c>
    </row>
    <row r="456" customFormat="false" ht="15" hidden="false" customHeight="false" outlineLevel="0" collapsed="false">
      <c r="A456" s="3" t="str">
        <f aca="false">raw_data!A456</f>
        <v>ORD-2025-10455</v>
      </c>
      <c r="B456" s="4" t="n">
        <f aca="false">IFERROR(IF(MID(raw_data!B456,3,1)="/",DATE(VALUE(RIGHT(raw_data!B456,4)),VALUE(LEFT(raw_data!B456,2)),VALUE(MID(raw_data!B456,4,2))),IF(MID(raw_data!B456,3,1)="-",DATE(VALUE(RIGHT(raw_data!B456,4)),VALUE(MID(raw_data!B456,4,2)),VALUE(LEFT(raw_data!B456,2))),IF(MID(raw_data!B456,5,1)="-",DATE(VALUE(LEFT(raw_data!B456,4)),VALUE(MID(raw_data!B456,6,2)),VALUE(RIGHT(raw_data!B456,2))),DATE(VALUE(RIGHT(raw_data!B456,4)),MATCH(MID(raw_data!B456,4,3),{"Jan","Feb","Mar","Apr","May","Jun","Jul","Aug","Sep","Oct","Nov","Dec"},0),VALUE(LEFT(raw_data!B456,2)))))),"")</f>
        <v>45739</v>
      </c>
      <c r="C456" s="4" t="n">
        <f aca="false">IFERROR(IF(MID(raw_data!C456,3,1)="/",DATE(VALUE(RIGHT(raw_data!C456,4)),VALUE(LEFT(raw_data!C456,2)),VALUE(MID(raw_data!C456,4,2))),IF(MID(raw_data!C456,3,1)="-",DATE(VALUE(RIGHT(raw_data!C456,4)),VALUE(MID(raw_data!C456,4,2)),VALUE(LEFT(raw_data!C456,2))),IF(MID(raw_data!C456,5,1)="-",DATE(VALUE(LEFT(raw_data!C456,4)),VALUE(MID(raw_data!C456,6,2)),VALUE(RIGHT(raw_data!C456,2))),DATE(VALUE(RIGHT(raw_data!C456,4)),MATCH(MID(raw_data!C456,4,3),{"Jan","Feb","Mar","Apr","May","Jun","Jul","Aug","Sep","Oct","Nov","Dec"},0),VALUE(LEFT(raw_data!C456,2)))))),"")</f>
        <v>45744</v>
      </c>
      <c r="D456" s="3" t="str">
        <f aca="false">IF(TRIM(raw_data!B456)="","Missing",IF(B456="","Invalid/Unrecognized","Valid"))</f>
        <v>Valid</v>
      </c>
      <c r="E456" s="3" t="str">
        <f aca="false">IF(TRIM(raw_data!C456)="","Missing",IF(C456="","Invalid/Unrecognized","Valid"))</f>
        <v>Valid</v>
      </c>
      <c r="F456" s="5" t="n">
        <f aca="false">IF(OR(B456="",C456=""),"",C456-B456)</f>
        <v>5</v>
      </c>
      <c r="G456" s="3" t="str">
        <f aca="false">IF(F456="","N/A",IF(F456&lt;0,"Invalid - Ship Before Order","OK"))</f>
        <v>OK</v>
      </c>
      <c r="H456" s="3" t="str">
        <f aca="false">raw_data!D456</f>
        <v>CUST-8643</v>
      </c>
      <c r="I456" s="3" t="str">
        <f aca="false">PROPER(TRIM(raw_data!E456))</f>
        <v>Vikram Iyer</v>
      </c>
      <c r="J456" s="3" t="str">
        <f aca="false">PROPER(TRIM(raw_data!F456))</f>
        <v>Small Business</v>
      </c>
      <c r="K456" s="3" t="str">
        <f aca="false">IF(TRIM(raw_data!G456)="","Unknown",PROPER(TRIM(raw_data!G456)))</f>
        <v>North</v>
      </c>
      <c r="L456" s="3" t="str">
        <f aca="false">IF(TRIM(raw_data!G456)="","Filled - Unknown","OK")</f>
        <v>OK</v>
      </c>
      <c r="M456" s="3" t="str">
        <f aca="false">PROPER(TRIM(raw_data!H456))</f>
        <v>Rajasthan</v>
      </c>
      <c r="N456" s="3" t="str">
        <f aca="false">PROPER(TRIM(raw_data!I456))</f>
        <v>Jaipur</v>
      </c>
      <c r="O456" s="3" t="str">
        <f aca="false">PROPER(TRIM(raw_data!J456))</f>
        <v>Furniture</v>
      </c>
      <c r="P456" s="3" t="str">
        <f aca="false">PROPER(TRIM(raw_data!K456))</f>
        <v>Furnishings</v>
      </c>
      <c r="Q456" s="3" t="str">
        <f aca="false">TRIM(raw_data!L456)</f>
        <v>Max Furnishings 821</v>
      </c>
      <c r="R456" s="3" t="str">
        <f aca="false">IF(TRIM(raw_data!M456)="","Unknown",PROPER(TRIM(raw_data!M456)))</f>
        <v>Standard Class</v>
      </c>
      <c r="S456" s="3" t="str">
        <f aca="false">IF(TRIM(raw_data!M456)="","Filled - Unknown","OK")</f>
        <v>OK</v>
      </c>
      <c r="T456" s="6" t="n">
        <f aca="false">raw_data!N456</f>
        <v>9</v>
      </c>
      <c r="U456" s="7" t="n">
        <f aca="false">raw_data!O456</f>
        <v>3298</v>
      </c>
      <c r="V456" s="8" t="n">
        <f aca="false">raw_data!P456</f>
        <v>0.15</v>
      </c>
      <c r="W456" s="8" t="n">
        <f aca="false">IF(raw_data!P456="",0,IF(ISTEXT(raw_data!P456),IF(RIGHT(raw_data!P456,1)="%",VALUE(LEFT(raw_data!P456,LEN(raw_data!P456)-1))/100,VALUE(raw_data!P456)),raw_data!P456))</f>
        <v>0.15</v>
      </c>
      <c r="X456" s="3" t="str">
        <f aca="false">IF(raw_data!P456="","Missing - Defaulted to 0",IF(W456&lt;0,"Negative - Invalid",IF(W456&gt;0.3,"Above Allowed Range - Invalid","Valid")))</f>
        <v>Valid</v>
      </c>
      <c r="Y456" s="7" t="n">
        <f aca="false">raw_data!Q456</f>
        <v>25229.7</v>
      </c>
      <c r="Z456" s="7" t="n">
        <f aca="false">raw_data!R456</f>
        <v>20170.43</v>
      </c>
      <c r="AA456" s="7" t="n">
        <f aca="false">raw_data!S456</f>
        <v>5059.27</v>
      </c>
      <c r="AB456" s="3" t="str">
        <f aca="false">PROPER(TRIM(raw_data!T456))</f>
        <v>Paid</v>
      </c>
      <c r="AC456" s="3" t="str">
        <f aca="false">PROPER(TRIM(raw_data!U456))</f>
        <v>Completed</v>
      </c>
      <c r="AD456" s="7" t="n">
        <f aca="false">T456*U456*(1-W456)</f>
        <v>25229.7</v>
      </c>
      <c r="AE456" s="7" t="n">
        <f aca="false">AD456-Z456</f>
        <v>5059.27</v>
      </c>
      <c r="AF456" s="8" t="n">
        <f aca="false">IF(AD456=0,0,AE456/AD456)</f>
        <v>0.200528345560986</v>
      </c>
      <c r="AG456" s="3" t="str">
        <f aca="false">IF(ABS(Y456-AD456)&gt;1,"Mismatch","OK")</f>
        <v>OK</v>
      </c>
      <c r="AH456" s="3" t="str">
        <f aca="false">IF(ABS(AA456-AE456)&gt;1,"Mismatch","OK")</f>
        <v>OK</v>
      </c>
      <c r="AI456" s="6" t="n">
        <f aca="false">IF(B456="","",MONTH(B456))</f>
        <v>3</v>
      </c>
      <c r="AJ456" s="6" t="n">
        <f aca="false">IF(B456="","",YEAR(B456))</f>
        <v>2025</v>
      </c>
      <c r="AK456" s="3" t="str">
        <f aca="false">IF(COUNTIF(raw_data!$A$2:$A$913,A456)&gt;1,"Conflicting Duplicate - Flagged for Review","Unique")</f>
        <v>Unique</v>
      </c>
      <c r="AL456" s="3" t="str">
        <f aca="false">IF(AB456="Refunded","Yes","No")</f>
        <v>No</v>
      </c>
      <c r="AM456" s="3" t="str">
        <f aca="false">IF(OR(AC456&lt;&gt;"Completed",AB456="Failed"),"Excluded","Included")</f>
        <v>Included</v>
      </c>
      <c r="AN456" s="3" t="str">
        <f aca="false">IF(OR(D456="Invalid/Unrecognized",E456="Invalid/Unrecognized",G456="Invalid - Ship Before Order",X456="Negative - Invalid",X456="Above Allowed Range - Invalid",AG456="Mismatch",AH456="Mismatch",AK456="Conflicting Duplicate - Flagged for Review"),"Invalid",IF(OR(L456="Filled - Unknown",S456="Filled - Unknown",X456="Missing - Defaulted to 0",AL456="Yes",AC456="Cancelled",AC456="Returned"),"Warning","Clean"))</f>
        <v>Clean</v>
      </c>
    </row>
    <row r="457" customFormat="false" ht="15" hidden="false" customHeight="false" outlineLevel="0" collapsed="false">
      <c r="A457" s="3" t="str">
        <f aca="false">raw_data!A457</f>
        <v>ORD-2024-10456</v>
      </c>
      <c r="B457" s="4" t="n">
        <f aca="false">IFERROR(IF(MID(raw_data!B457,3,1)="/",DATE(VALUE(RIGHT(raw_data!B457,4)),VALUE(LEFT(raw_data!B457,2)),VALUE(MID(raw_data!B457,4,2))),IF(MID(raw_data!B457,3,1)="-",DATE(VALUE(RIGHT(raw_data!B457,4)),VALUE(MID(raw_data!B457,4,2)),VALUE(LEFT(raw_data!B457,2))),IF(MID(raw_data!B457,5,1)="-",DATE(VALUE(LEFT(raw_data!B457,4)),VALUE(MID(raw_data!B457,6,2)),VALUE(RIGHT(raw_data!B457,2))),DATE(VALUE(RIGHT(raw_data!B457,4)),MATCH(MID(raw_data!B457,4,3),{"Jan","Feb","Mar","Apr","May","Jun","Jul","Aug","Sep","Oct","Nov","Dec"},0),VALUE(LEFT(raw_data!B457,2)))))),"")</f>
        <v>45491</v>
      </c>
      <c r="C457" s="4" t="n">
        <f aca="false">IFERROR(IF(MID(raw_data!C457,3,1)="/",DATE(VALUE(RIGHT(raw_data!C457,4)),VALUE(LEFT(raw_data!C457,2)),VALUE(MID(raw_data!C457,4,2))),IF(MID(raw_data!C457,3,1)="-",DATE(VALUE(RIGHT(raw_data!C457,4)),VALUE(MID(raw_data!C457,4,2)),VALUE(LEFT(raw_data!C457,2))),IF(MID(raw_data!C457,5,1)="-",DATE(VALUE(LEFT(raw_data!C457,4)),VALUE(MID(raw_data!C457,6,2)),VALUE(RIGHT(raw_data!C457,2))),DATE(VALUE(RIGHT(raw_data!C457,4)),MATCH(MID(raw_data!C457,4,3),{"Jan","Feb","Mar","Apr","May","Jun","Jul","Aug","Sep","Oct","Nov","Dec"},0),VALUE(LEFT(raw_data!C457,2)))))),"")</f>
        <v>45495</v>
      </c>
      <c r="D457" s="3" t="str">
        <f aca="false">IF(TRIM(raw_data!B457)="","Missing",IF(B457="","Invalid/Unrecognized","Valid"))</f>
        <v>Valid</v>
      </c>
      <c r="E457" s="3" t="str">
        <f aca="false">IF(TRIM(raw_data!C457)="","Missing",IF(C457="","Invalid/Unrecognized","Valid"))</f>
        <v>Valid</v>
      </c>
      <c r="F457" s="5" t="n">
        <f aca="false">IF(OR(B457="",C457=""),"",C457-B457)</f>
        <v>4</v>
      </c>
      <c r="G457" s="3" t="str">
        <f aca="false">IF(F457="","N/A",IF(F457&lt;0,"Invalid - Ship Before Order","OK"))</f>
        <v>OK</v>
      </c>
      <c r="H457" s="3" t="str">
        <f aca="false">raw_data!D457</f>
        <v>CUST-1800</v>
      </c>
      <c r="I457" s="3" t="str">
        <f aca="false">PROPER(TRIM(raw_data!E457))</f>
        <v>Neha Gupta</v>
      </c>
      <c r="J457" s="3" t="str">
        <f aca="false">PROPER(TRIM(raw_data!F457))</f>
        <v>Small Business</v>
      </c>
      <c r="K457" s="3" t="str">
        <f aca="false">IF(TRIM(raw_data!G457)="","Unknown",PROPER(TRIM(raw_data!G457)))</f>
        <v>South</v>
      </c>
      <c r="L457" s="3" t="str">
        <f aca="false">IF(TRIM(raw_data!G457)="","Filled - Unknown","OK")</f>
        <v>OK</v>
      </c>
      <c r="M457" s="3" t="str">
        <f aca="false">PROPER(TRIM(raw_data!H457))</f>
        <v>Telangana</v>
      </c>
      <c r="N457" s="3" t="str">
        <f aca="false">PROPER(TRIM(raw_data!I457))</f>
        <v>Hyderabad</v>
      </c>
      <c r="O457" s="3" t="str">
        <f aca="false">PROPER(TRIM(raw_data!J457))</f>
        <v>Office Supplies</v>
      </c>
      <c r="P457" s="3" t="str">
        <f aca="false">PROPER(TRIM(raw_data!K457))</f>
        <v>Art</v>
      </c>
      <c r="Q457" s="3" t="str">
        <f aca="false">TRIM(raw_data!L457)</f>
        <v>Basic Art 556</v>
      </c>
      <c r="R457" s="3" t="str">
        <f aca="false">IF(TRIM(raw_data!M457)="","Unknown",PROPER(TRIM(raw_data!M457)))</f>
        <v>Standard Class</v>
      </c>
      <c r="S457" s="3" t="str">
        <f aca="false">IF(TRIM(raw_data!M457)="","Filled - Unknown","OK")</f>
        <v>OK</v>
      </c>
      <c r="T457" s="6" t="n">
        <f aca="false">raw_data!N457</f>
        <v>4</v>
      </c>
      <c r="U457" s="7" t="n">
        <f aca="false">raw_data!O457</f>
        <v>808.77</v>
      </c>
      <c r="V457" s="8" t="n">
        <f aca="false">raw_data!P457</f>
        <v>0</v>
      </c>
      <c r="W457" s="8" t="n">
        <f aca="false">IF(raw_data!P457="",0,IF(ISTEXT(raw_data!P457),IF(RIGHT(raw_data!P457,1)="%",VALUE(LEFT(raw_data!P457,LEN(raw_data!P457)-1))/100,VALUE(raw_data!P457)),raw_data!P457))</f>
        <v>0</v>
      </c>
      <c r="X457" s="3" t="str">
        <f aca="false">IF(raw_data!P457="","Missing - Defaulted to 0",IF(W457&lt;0,"Negative - Invalid",IF(W457&gt;0.3,"Above Allowed Range - Invalid","Valid")))</f>
        <v>Valid</v>
      </c>
      <c r="Y457" s="7" t="n">
        <f aca="false">raw_data!Q457</f>
        <v>3235.08</v>
      </c>
      <c r="Z457" s="7" t="n">
        <f aca="false">raw_data!R457</f>
        <v>1848.6</v>
      </c>
      <c r="AA457" s="7" t="n">
        <f aca="false">raw_data!S457</f>
        <v>1386.48</v>
      </c>
      <c r="AB457" s="3" t="str">
        <f aca="false">PROPER(TRIM(raw_data!T457))</f>
        <v>Paid</v>
      </c>
      <c r="AC457" s="3" t="str">
        <f aca="false">PROPER(TRIM(raw_data!U457))</f>
        <v>Completed</v>
      </c>
      <c r="AD457" s="7" t="n">
        <f aca="false">T457*U457*(1-W457)</f>
        <v>3235.08</v>
      </c>
      <c r="AE457" s="7" t="n">
        <f aca="false">AD457-Z457</f>
        <v>1386.48</v>
      </c>
      <c r="AF457" s="8" t="n">
        <f aca="false">IF(AD457=0,0,AE457/AD457)</f>
        <v>0.428576727623428</v>
      </c>
      <c r="AG457" s="3" t="str">
        <f aca="false">IF(ABS(Y457-AD457)&gt;1,"Mismatch","OK")</f>
        <v>OK</v>
      </c>
      <c r="AH457" s="3" t="str">
        <f aca="false">IF(ABS(AA457-AE457)&gt;1,"Mismatch","OK")</f>
        <v>OK</v>
      </c>
      <c r="AI457" s="6" t="n">
        <f aca="false">IF(B457="","",MONTH(B457))</f>
        <v>7</v>
      </c>
      <c r="AJ457" s="6" t="n">
        <f aca="false">IF(B457="","",YEAR(B457))</f>
        <v>2024</v>
      </c>
      <c r="AK457" s="3" t="str">
        <f aca="false">IF(COUNTIF(raw_data!$A$2:$A$913,A457)&gt;1,"Conflicting Duplicate - Flagged for Review","Unique")</f>
        <v>Unique</v>
      </c>
      <c r="AL457" s="3" t="str">
        <f aca="false">IF(AB457="Refunded","Yes","No")</f>
        <v>No</v>
      </c>
      <c r="AM457" s="3" t="str">
        <f aca="false">IF(OR(AC457&lt;&gt;"Completed",AB457="Failed"),"Excluded","Included")</f>
        <v>Included</v>
      </c>
      <c r="AN457" s="3" t="str">
        <f aca="false">IF(OR(D457="Invalid/Unrecognized",E457="Invalid/Unrecognized",G457="Invalid - Ship Before Order",X457="Negative - Invalid",X457="Above Allowed Range - Invalid",AG457="Mismatch",AH457="Mismatch",AK457="Conflicting Duplicate - Flagged for Review"),"Invalid",IF(OR(L457="Filled - Unknown",S457="Filled - Unknown",X457="Missing - Defaulted to 0",AL457="Yes",AC457="Cancelled",AC457="Returned"),"Warning","Clean"))</f>
        <v>Clean</v>
      </c>
    </row>
    <row r="458" customFormat="false" ht="15" hidden="false" customHeight="false" outlineLevel="0" collapsed="false">
      <c r="A458" s="3" t="str">
        <f aca="false">raw_data!A458</f>
        <v>ORD-2024-10457</v>
      </c>
      <c r="B458" s="4" t="n">
        <f aca="false">IFERROR(IF(MID(raw_data!B458,3,1)="/",DATE(VALUE(RIGHT(raw_data!B458,4)),VALUE(LEFT(raw_data!B458,2)),VALUE(MID(raw_data!B458,4,2))),IF(MID(raw_data!B458,3,1)="-",DATE(VALUE(RIGHT(raw_data!B458,4)),VALUE(MID(raw_data!B458,4,2)),VALUE(LEFT(raw_data!B458,2))),IF(MID(raw_data!B458,5,1)="-",DATE(VALUE(LEFT(raw_data!B458,4)),VALUE(MID(raw_data!B458,6,2)),VALUE(RIGHT(raw_data!B458,2))),DATE(VALUE(RIGHT(raw_data!B458,4)),MATCH(MID(raw_data!B458,4,3),{"Jan","Feb","Mar","Apr","May","Jun","Jul","Aug","Sep","Oct","Nov","Dec"},0),VALUE(LEFT(raw_data!B458,2)))))),"")</f>
        <v>45342</v>
      </c>
      <c r="C458" s="4" t="n">
        <f aca="false">IFERROR(IF(MID(raw_data!C458,3,1)="/",DATE(VALUE(RIGHT(raw_data!C458,4)),VALUE(LEFT(raw_data!C458,2)),VALUE(MID(raw_data!C458,4,2))),IF(MID(raw_data!C458,3,1)="-",DATE(VALUE(RIGHT(raw_data!C458,4)),VALUE(MID(raw_data!C458,4,2)),VALUE(LEFT(raw_data!C458,2))),IF(MID(raw_data!C458,5,1)="-",DATE(VALUE(LEFT(raw_data!C458,4)),VALUE(MID(raw_data!C458,6,2)),VALUE(RIGHT(raw_data!C458,2))),DATE(VALUE(RIGHT(raw_data!C458,4)),MATCH(MID(raw_data!C458,4,3),{"Jan","Feb","Mar","Apr","May","Jun","Jul","Aug","Sep","Oct","Nov","Dec"},0),VALUE(LEFT(raw_data!C458,2)))))),"")</f>
        <v>45342</v>
      </c>
      <c r="D458" s="3" t="str">
        <f aca="false">IF(TRIM(raw_data!B458)="","Missing",IF(B458="","Invalid/Unrecognized","Valid"))</f>
        <v>Valid</v>
      </c>
      <c r="E458" s="3" t="str">
        <f aca="false">IF(TRIM(raw_data!C458)="","Missing",IF(C458="","Invalid/Unrecognized","Valid"))</f>
        <v>Valid</v>
      </c>
      <c r="F458" s="5" t="n">
        <f aca="false">IF(OR(B458="",C458=""),"",C458-B458)</f>
        <v>0</v>
      </c>
      <c r="G458" s="3" t="str">
        <f aca="false">IF(F458="","N/A",IF(F458&lt;0,"Invalid - Ship Before Order","OK"))</f>
        <v>OK</v>
      </c>
      <c r="H458" s="3" t="str">
        <f aca="false">raw_data!D458</f>
        <v>CUST-7688</v>
      </c>
      <c r="I458" s="3" t="str">
        <f aca="false">PROPER(TRIM(raw_data!E458))</f>
        <v>Neha Gupta</v>
      </c>
      <c r="J458" s="3" t="str">
        <f aca="false">PROPER(TRIM(raw_data!F458))</f>
        <v>Corporate</v>
      </c>
      <c r="K458" s="3" t="str">
        <f aca="false">IF(TRIM(raw_data!G458)="","Unknown",PROPER(TRIM(raw_data!G458)))</f>
        <v>North</v>
      </c>
      <c r="L458" s="3" t="str">
        <f aca="false">IF(TRIM(raw_data!G458)="","Filled - Unknown","OK")</f>
        <v>OK</v>
      </c>
      <c r="M458" s="3" t="str">
        <f aca="false">PROPER(TRIM(raw_data!H458))</f>
        <v>Uttar Pradesh</v>
      </c>
      <c r="N458" s="3" t="str">
        <f aca="false">PROPER(TRIM(raw_data!I458))</f>
        <v>Noida</v>
      </c>
      <c r="O458" s="3" t="str">
        <f aca="false">PROPER(TRIM(raw_data!J458))</f>
        <v>Technology</v>
      </c>
      <c r="P458" s="3" t="str">
        <f aca="false">PROPER(TRIM(raw_data!K458))</f>
        <v>Accessories</v>
      </c>
      <c r="Q458" s="3" t="str">
        <f aca="false">TRIM(raw_data!L458)</f>
        <v>Smart Accessories 265</v>
      </c>
      <c r="R458" s="3" t="str">
        <f aca="false">IF(TRIM(raw_data!M458)="","Unknown",PROPER(TRIM(raw_data!M458)))</f>
        <v>Same Day</v>
      </c>
      <c r="S458" s="3" t="str">
        <f aca="false">IF(TRIM(raw_data!M458)="","Filled - Unknown","OK")</f>
        <v>OK</v>
      </c>
      <c r="T458" s="6" t="n">
        <f aca="false">raw_data!N458</f>
        <v>5</v>
      </c>
      <c r="U458" s="7" t="n">
        <f aca="false">raw_data!O458</f>
        <v>2604.91</v>
      </c>
      <c r="V458" s="8" t="n">
        <f aca="false">raw_data!P458</f>
        <v>0.15</v>
      </c>
      <c r="W458" s="8" t="n">
        <f aca="false">IF(raw_data!P458="",0,IF(ISTEXT(raw_data!P458),IF(RIGHT(raw_data!P458,1)="%",VALUE(LEFT(raw_data!P458,LEN(raw_data!P458)-1))/100,VALUE(raw_data!P458)),raw_data!P458))</f>
        <v>0.15</v>
      </c>
      <c r="X458" s="3" t="str">
        <f aca="false">IF(raw_data!P458="","Missing - Defaulted to 0",IF(W458&lt;0,"Negative - Invalid",IF(W458&gt;0.3,"Above Allowed Range - Invalid","Valid")))</f>
        <v>Valid</v>
      </c>
      <c r="Y458" s="7" t="n">
        <f aca="false">raw_data!Q458</f>
        <v>11070.87</v>
      </c>
      <c r="Z458" s="7" t="n">
        <f aca="false">raw_data!R458</f>
        <v>6623.61</v>
      </c>
      <c r="AA458" s="7" t="n">
        <f aca="false">raw_data!S458</f>
        <v>4447.26</v>
      </c>
      <c r="AB458" s="3" t="str">
        <f aca="false">PROPER(TRIM(raw_data!T458))</f>
        <v>Paid</v>
      </c>
      <c r="AC458" s="3" t="str">
        <f aca="false">PROPER(TRIM(raw_data!U458))</f>
        <v>Returned</v>
      </c>
      <c r="AD458" s="7" t="n">
        <f aca="false">T458*U458*(1-W458)</f>
        <v>11070.8675</v>
      </c>
      <c r="AE458" s="7" t="n">
        <f aca="false">AD458-Z458</f>
        <v>4447.2575</v>
      </c>
      <c r="AF458" s="8" t="n">
        <f aca="false">IF(AD458=0,0,AE458/AD458)</f>
        <v>0.401708131724998</v>
      </c>
      <c r="AG458" s="3" t="str">
        <f aca="false">IF(ABS(Y458-AD458)&gt;1,"Mismatch","OK")</f>
        <v>OK</v>
      </c>
      <c r="AH458" s="3" t="str">
        <f aca="false">IF(ABS(AA458-AE458)&gt;1,"Mismatch","OK")</f>
        <v>OK</v>
      </c>
      <c r="AI458" s="6" t="n">
        <f aca="false">IF(B458="","",MONTH(B458))</f>
        <v>2</v>
      </c>
      <c r="AJ458" s="6" t="n">
        <f aca="false">IF(B458="","",YEAR(B458))</f>
        <v>2024</v>
      </c>
      <c r="AK458" s="3" t="str">
        <f aca="false">IF(COUNTIF(raw_data!$A$2:$A$913,A458)&gt;1,"Conflicting Duplicate - Flagged for Review","Unique")</f>
        <v>Unique</v>
      </c>
      <c r="AL458" s="3" t="str">
        <f aca="false">IF(AB458="Refunded","Yes","No")</f>
        <v>No</v>
      </c>
      <c r="AM458" s="3" t="str">
        <f aca="false">IF(OR(AC458&lt;&gt;"Completed",AB458="Failed"),"Excluded","Included")</f>
        <v>Excluded</v>
      </c>
      <c r="AN458" s="3" t="str">
        <f aca="false">IF(OR(D458="Invalid/Unrecognized",E458="Invalid/Unrecognized",G458="Invalid - Ship Before Order",X458="Negative - Invalid",X458="Above Allowed Range - Invalid",AG458="Mismatch",AH458="Mismatch",AK458="Conflicting Duplicate - Flagged for Review"),"Invalid",IF(OR(L458="Filled - Unknown",S458="Filled - Unknown",X458="Missing - Defaulted to 0",AL458="Yes",AC458="Cancelled",AC458="Returned"),"Warning","Clean"))</f>
        <v>Warning</v>
      </c>
    </row>
    <row r="459" customFormat="false" ht="15" hidden="false" customHeight="false" outlineLevel="0" collapsed="false">
      <c r="A459" s="3" t="str">
        <f aca="false">raw_data!A459</f>
        <v>ORD-2024-10458</v>
      </c>
      <c r="B459" s="4" t="n">
        <f aca="false">IFERROR(IF(MID(raw_data!B459,3,1)="/",DATE(VALUE(RIGHT(raw_data!B459,4)),VALUE(LEFT(raw_data!B459,2)),VALUE(MID(raw_data!B459,4,2))),IF(MID(raw_data!B459,3,1)="-",DATE(VALUE(RIGHT(raw_data!B459,4)),VALUE(MID(raw_data!B459,4,2)),VALUE(LEFT(raw_data!B459,2))),IF(MID(raw_data!B459,5,1)="-",DATE(VALUE(LEFT(raw_data!B459,4)),VALUE(MID(raw_data!B459,6,2)),VALUE(RIGHT(raw_data!B459,2))),DATE(VALUE(RIGHT(raw_data!B459,4)),MATCH(MID(raw_data!B459,4,3),{"Jan","Feb","Mar","Apr","May","Jun","Jul","Aug","Sep","Oct","Nov","Dec"},0),VALUE(LEFT(raw_data!B459,2)))))),"")</f>
        <v>45416</v>
      </c>
      <c r="C459" s="4" t="n">
        <f aca="false">IFERROR(IF(MID(raw_data!C459,3,1)="/",DATE(VALUE(RIGHT(raw_data!C459,4)),VALUE(LEFT(raw_data!C459,2)),VALUE(MID(raw_data!C459,4,2))),IF(MID(raw_data!C459,3,1)="-",DATE(VALUE(RIGHT(raw_data!C459,4)),VALUE(MID(raw_data!C459,4,2)),VALUE(LEFT(raw_data!C459,2))),IF(MID(raw_data!C459,5,1)="-",DATE(VALUE(LEFT(raw_data!C459,4)),VALUE(MID(raw_data!C459,6,2)),VALUE(RIGHT(raw_data!C459,2))),DATE(VALUE(RIGHT(raw_data!C459,4)),MATCH(MID(raw_data!C459,4,3),{"Jan","Feb","Mar","Apr","May","Jun","Jul","Aug","Sep","Oct","Nov","Dec"},0),VALUE(LEFT(raw_data!C459,2)))))),"")</f>
        <v>45416</v>
      </c>
      <c r="D459" s="3" t="str">
        <f aca="false">IF(TRIM(raw_data!B459)="","Missing",IF(B459="","Invalid/Unrecognized","Valid"))</f>
        <v>Valid</v>
      </c>
      <c r="E459" s="3" t="str">
        <f aca="false">IF(TRIM(raw_data!C459)="","Missing",IF(C459="","Invalid/Unrecognized","Valid"))</f>
        <v>Valid</v>
      </c>
      <c r="F459" s="5" t="n">
        <f aca="false">IF(OR(B459="",C459=""),"",C459-B459)</f>
        <v>0</v>
      </c>
      <c r="G459" s="3" t="str">
        <f aca="false">IF(F459="","N/A",IF(F459&lt;0,"Invalid - Ship Before Order","OK"))</f>
        <v>OK</v>
      </c>
      <c r="H459" s="3" t="str">
        <f aca="false">raw_data!D459</f>
        <v>CUST-4957</v>
      </c>
      <c r="I459" s="3" t="str">
        <f aca="false">PROPER(TRIM(raw_data!E459))</f>
        <v>Mira Das</v>
      </c>
      <c r="J459" s="3" t="str">
        <f aca="false">PROPER(TRIM(raw_data!F459))</f>
        <v>Small Business</v>
      </c>
      <c r="K459" s="3" t="str">
        <f aca="false">IF(TRIM(raw_data!G459)="","Unknown",PROPER(TRIM(raw_data!G459)))</f>
        <v>West</v>
      </c>
      <c r="L459" s="3" t="str">
        <f aca="false">IF(TRIM(raw_data!G459)="","Filled - Unknown","OK")</f>
        <v>OK</v>
      </c>
      <c r="M459" s="3" t="str">
        <f aca="false">PROPER(TRIM(raw_data!H459))</f>
        <v>Goa</v>
      </c>
      <c r="N459" s="3" t="str">
        <f aca="false">PROPER(TRIM(raw_data!I459))</f>
        <v>Panaji</v>
      </c>
      <c r="O459" s="3" t="str">
        <f aca="false">PROPER(TRIM(raw_data!J459))</f>
        <v>Furniture</v>
      </c>
      <c r="P459" s="3" t="str">
        <f aca="false">PROPER(TRIM(raw_data!K459))</f>
        <v>Tables</v>
      </c>
      <c r="Q459" s="3" t="str">
        <f aca="false">TRIM(raw_data!L459)</f>
        <v>Elite Tables 418</v>
      </c>
      <c r="R459" s="3" t="str">
        <f aca="false">IF(TRIM(raw_data!M459)="","Unknown",PROPER(TRIM(raw_data!M459)))</f>
        <v>Standard Class</v>
      </c>
      <c r="S459" s="3" t="str">
        <f aca="false">IF(TRIM(raw_data!M459)="","Filled - Unknown","OK")</f>
        <v>OK</v>
      </c>
      <c r="T459" s="6" t="n">
        <f aca="false">raw_data!N459</f>
        <v>7</v>
      </c>
      <c r="U459" s="7" t="n">
        <f aca="false">raw_data!O459</f>
        <v>2851.51</v>
      </c>
      <c r="V459" s="8" t="n">
        <f aca="false">raw_data!P459</f>
        <v>0</v>
      </c>
      <c r="W459" s="8" t="n">
        <f aca="false">IF(raw_data!P459="",0,IF(ISTEXT(raw_data!P459),IF(RIGHT(raw_data!P459,1)="%",VALUE(LEFT(raw_data!P459,LEN(raw_data!P459)-1))/100,VALUE(raw_data!P459)),raw_data!P459))</f>
        <v>0</v>
      </c>
      <c r="X459" s="3" t="str">
        <f aca="false">IF(raw_data!P459="","Missing - Defaulted to 0",IF(W459&lt;0,"Negative - Invalid",IF(W459&gt;0.3,"Above Allowed Range - Invalid","Valid")))</f>
        <v>Valid</v>
      </c>
      <c r="Y459" s="7" t="n">
        <f aca="false">raw_data!Q459</f>
        <v>19960.57</v>
      </c>
      <c r="Z459" s="7" t="n">
        <f aca="false">raw_data!R459</f>
        <v>16603.6</v>
      </c>
      <c r="AA459" s="7" t="n">
        <f aca="false">raw_data!S459</f>
        <v>3356.97</v>
      </c>
      <c r="AB459" s="3" t="str">
        <f aca="false">PROPER(TRIM(raw_data!T459))</f>
        <v>Paid</v>
      </c>
      <c r="AC459" s="3" t="str">
        <f aca="false">PROPER(TRIM(raw_data!U459))</f>
        <v>Completed</v>
      </c>
      <c r="AD459" s="7" t="n">
        <f aca="false">T459*U459*(1-W459)</f>
        <v>19960.57</v>
      </c>
      <c r="AE459" s="7" t="n">
        <f aca="false">AD459-Z459</f>
        <v>3356.97</v>
      </c>
      <c r="AF459" s="8" t="n">
        <f aca="false">IF(AD459=0,0,AE459/AD459)</f>
        <v>0.168180067002095</v>
      </c>
      <c r="AG459" s="3" t="str">
        <f aca="false">IF(ABS(Y459-AD459)&gt;1,"Mismatch","OK")</f>
        <v>OK</v>
      </c>
      <c r="AH459" s="3" t="str">
        <f aca="false">IF(ABS(AA459-AE459)&gt;1,"Mismatch","OK")</f>
        <v>OK</v>
      </c>
      <c r="AI459" s="6" t="n">
        <f aca="false">IF(B459="","",MONTH(B459))</f>
        <v>5</v>
      </c>
      <c r="AJ459" s="6" t="n">
        <f aca="false">IF(B459="","",YEAR(B459))</f>
        <v>2024</v>
      </c>
      <c r="AK459" s="3" t="str">
        <f aca="false">IF(COUNTIF(raw_data!$A$2:$A$913,A459)&gt;1,"Conflicting Duplicate - Flagged for Review","Unique")</f>
        <v>Unique</v>
      </c>
      <c r="AL459" s="3" t="str">
        <f aca="false">IF(AB459="Refunded","Yes","No")</f>
        <v>No</v>
      </c>
      <c r="AM459" s="3" t="str">
        <f aca="false">IF(OR(AC459&lt;&gt;"Completed",AB459="Failed"),"Excluded","Included")</f>
        <v>Included</v>
      </c>
      <c r="AN459" s="3" t="str">
        <f aca="false">IF(OR(D459="Invalid/Unrecognized",E459="Invalid/Unrecognized",G459="Invalid - Ship Before Order",X459="Negative - Invalid",X459="Above Allowed Range - Invalid",AG459="Mismatch",AH459="Mismatch",AK459="Conflicting Duplicate - Flagged for Review"),"Invalid",IF(OR(L459="Filled - Unknown",S459="Filled - Unknown",X459="Missing - Defaulted to 0",AL459="Yes",AC459="Cancelled",AC459="Returned"),"Warning","Clean"))</f>
        <v>Clean</v>
      </c>
    </row>
    <row r="460" customFormat="false" ht="15" hidden="false" customHeight="false" outlineLevel="0" collapsed="false">
      <c r="A460" s="3" t="str">
        <f aca="false">raw_data!A460</f>
        <v>ORD-2024-10459</v>
      </c>
      <c r="B460" s="4" t="n">
        <f aca="false">IFERROR(IF(MID(raw_data!B460,3,1)="/",DATE(VALUE(RIGHT(raw_data!B460,4)),VALUE(LEFT(raw_data!B460,2)),VALUE(MID(raw_data!B460,4,2))),IF(MID(raw_data!B460,3,1)="-",DATE(VALUE(RIGHT(raw_data!B460,4)),VALUE(MID(raw_data!B460,4,2)),VALUE(LEFT(raw_data!B460,2))),IF(MID(raw_data!B460,5,1)="-",DATE(VALUE(LEFT(raw_data!B460,4)),VALUE(MID(raw_data!B460,6,2)),VALUE(RIGHT(raw_data!B460,2))),DATE(VALUE(RIGHT(raw_data!B460,4)),MATCH(MID(raw_data!B460,4,3),{"Jan","Feb","Mar","Apr","May","Jun","Jul","Aug","Sep","Oct","Nov","Dec"},0),VALUE(LEFT(raw_data!B460,2)))))),"")</f>
        <v>45332</v>
      </c>
      <c r="C460" s="4" t="n">
        <f aca="false">IFERROR(IF(MID(raw_data!C460,3,1)="/",DATE(VALUE(RIGHT(raw_data!C460,4)),VALUE(LEFT(raw_data!C460,2)),VALUE(MID(raw_data!C460,4,2))),IF(MID(raw_data!C460,3,1)="-",DATE(VALUE(RIGHT(raw_data!C460,4)),VALUE(MID(raw_data!C460,4,2)),VALUE(LEFT(raw_data!C460,2))),IF(MID(raw_data!C460,5,1)="-",DATE(VALUE(LEFT(raw_data!C460,4)),VALUE(MID(raw_data!C460,6,2)),VALUE(RIGHT(raw_data!C460,2))),DATE(VALUE(RIGHT(raw_data!C460,4)),MATCH(MID(raw_data!C460,4,3),{"Jan","Feb","Mar","Apr","May","Jun","Jul","Aug","Sep","Oct","Nov","Dec"},0),VALUE(LEFT(raw_data!C460,2)))))),"")</f>
        <v>45333</v>
      </c>
      <c r="D460" s="3" t="str">
        <f aca="false">IF(TRIM(raw_data!B460)="","Missing",IF(B460="","Invalid/Unrecognized","Valid"))</f>
        <v>Valid</v>
      </c>
      <c r="E460" s="3" t="str">
        <f aca="false">IF(TRIM(raw_data!C460)="","Missing",IF(C460="","Invalid/Unrecognized","Valid"))</f>
        <v>Valid</v>
      </c>
      <c r="F460" s="5" t="n">
        <f aca="false">IF(OR(B460="",C460=""),"",C460-B460)</f>
        <v>1</v>
      </c>
      <c r="G460" s="3" t="str">
        <f aca="false">IF(F460="","N/A",IF(F460&lt;0,"Invalid - Ship Before Order","OK"))</f>
        <v>OK</v>
      </c>
      <c r="H460" s="3" t="str">
        <f aca="false">raw_data!D460</f>
        <v>CUST-1263</v>
      </c>
      <c r="I460" s="3" t="str">
        <f aca="false">PROPER(TRIM(raw_data!E460))</f>
        <v>Karan Malhotra</v>
      </c>
      <c r="J460" s="3" t="str">
        <f aca="false">PROPER(TRIM(raw_data!F460))</f>
        <v>Corporate</v>
      </c>
      <c r="K460" s="3" t="str">
        <f aca="false">IF(TRIM(raw_data!G460)="","Unknown",PROPER(TRIM(raw_data!G460)))</f>
        <v>North</v>
      </c>
      <c r="L460" s="3" t="str">
        <f aca="false">IF(TRIM(raw_data!G460)="","Filled - Unknown","OK")</f>
        <v>OK</v>
      </c>
      <c r="M460" s="3" t="str">
        <f aca="false">PROPER(TRIM(raw_data!H460))</f>
        <v>Rajasthan</v>
      </c>
      <c r="N460" s="3" t="str">
        <f aca="false">PROPER(TRIM(raw_data!I460))</f>
        <v>Jaipur</v>
      </c>
      <c r="O460" s="3" t="str">
        <f aca="false">PROPER(TRIM(raw_data!J460))</f>
        <v>Technology</v>
      </c>
      <c r="P460" s="3" t="str">
        <f aca="false">PROPER(TRIM(raw_data!K460))</f>
        <v>Phones</v>
      </c>
      <c r="Q460" s="3" t="str">
        <f aca="false">TRIM(raw_data!L460)</f>
        <v>Pro Phones 907</v>
      </c>
      <c r="R460" s="3" t="str">
        <f aca="false">IF(TRIM(raw_data!M460)="","Unknown",PROPER(TRIM(raw_data!M460)))</f>
        <v>Second Class</v>
      </c>
      <c r="S460" s="3" t="str">
        <f aca="false">IF(TRIM(raw_data!M460)="","Filled - Unknown","OK")</f>
        <v>OK</v>
      </c>
      <c r="T460" s="6" t="n">
        <f aca="false">raw_data!N460</f>
        <v>3</v>
      </c>
      <c r="U460" s="7" t="n">
        <f aca="false">raw_data!O460</f>
        <v>3183.72</v>
      </c>
      <c r="V460" s="8" t="n">
        <f aca="false">raw_data!P460</f>
        <v>0.1</v>
      </c>
      <c r="W460" s="8" t="n">
        <f aca="false">IF(raw_data!P460="",0,IF(ISTEXT(raw_data!P460),IF(RIGHT(raw_data!P460,1)="%",VALUE(LEFT(raw_data!P460,LEN(raw_data!P460)-1))/100,VALUE(raw_data!P460)),raw_data!P460))</f>
        <v>0.1</v>
      </c>
      <c r="X460" s="3" t="str">
        <f aca="false">IF(raw_data!P460="","Missing - Defaulted to 0",IF(W460&lt;0,"Negative - Invalid",IF(W460&gt;0.3,"Above Allowed Range - Invalid","Valid")))</f>
        <v>Valid</v>
      </c>
      <c r="Y460" s="7" t="n">
        <f aca="false">raw_data!Q460</f>
        <v>8596.04</v>
      </c>
      <c r="Z460" s="7" t="n">
        <f aca="false">raw_data!R460</f>
        <v>5378.16</v>
      </c>
      <c r="AA460" s="7" t="n">
        <f aca="false">raw_data!S460</f>
        <v>3217.88</v>
      </c>
      <c r="AB460" s="3" t="str">
        <f aca="false">PROPER(TRIM(raw_data!T460))</f>
        <v>Paid</v>
      </c>
      <c r="AC460" s="3" t="str">
        <f aca="false">PROPER(TRIM(raw_data!U460))</f>
        <v>Completed</v>
      </c>
      <c r="AD460" s="7" t="n">
        <f aca="false">T460*U460*(1-W460)</f>
        <v>8596.044</v>
      </c>
      <c r="AE460" s="7" t="n">
        <f aca="false">AD460-Z460</f>
        <v>3217.884</v>
      </c>
      <c r="AF460" s="8" t="n">
        <f aca="false">IF(AD460=0,0,AE460/AD460)</f>
        <v>0.37434475672763</v>
      </c>
      <c r="AG460" s="3" t="str">
        <f aca="false">IF(ABS(Y460-AD460)&gt;1,"Mismatch","OK")</f>
        <v>OK</v>
      </c>
      <c r="AH460" s="3" t="str">
        <f aca="false">IF(ABS(AA460-AE460)&gt;1,"Mismatch","OK")</f>
        <v>OK</v>
      </c>
      <c r="AI460" s="6" t="n">
        <f aca="false">IF(B460="","",MONTH(B460))</f>
        <v>2</v>
      </c>
      <c r="AJ460" s="6" t="n">
        <f aca="false">IF(B460="","",YEAR(B460))</f>
        <v>2024</v>
      </c>
      <c r="AK460" s="3" t="str">
        <f aca="false">IF(COUNTIF(raw_data!$A$2:$A$913,A460)&gt;1,"Conflicting Duplicate - Flagged for Review","Unique")</f>
        <v>Unique</v>
      </c>
      <c r="AL460" s="3" t="str">
        <f aca="false">IF(AB460="Refunded","Yes","No")</f>
        <v>No</v>
      </c>
      <c r="AM460" s="3" t="str">
        <f aca="false">IF(OR(AC460&lt;&gt;"Completed",AB460="Failed"),"Excluded","Included")</f>
        <v>Included</v>
      </c>
      <c r="AN460" s="3" t="str">
        <f aca="false">IF(OR(D460="Invalid/Unrecognized",E460="Invalid/Unrecognized",G460="Invalid - Ship Before Order",X460="Negative - Invalid",X460="Above Allowed Range - Invalid",AG460="Mismatch",AH460="Mismatch",AK460="Conflicting Duplicate - Flagged for Review"),"Invalid",IF(OR(L460="Filled - Unknown",S460="Filled - Unknown",X460="Missing - Defaulted to 0",AL460="Yes",AC460="Cancelled",AC460="Returned"),"Warning","Clean"))</f>
        <v>Clean</v>
      </c>
    </row>
    <row r="461" customFormat="false" ht="15" hidden="false" customHeight="false" outlineLevel="0" collapsed="false">
      <c r="A461" s="3" t="str">
        <f aca="false">raw_data!A461</f>
        <v>ORD-2024-10460</v>
      </c>
      <c r="B461" s="4" t="n">
        <f aca="false">IFERROR(IF(MID(raw_data!B461,3,1)="/",DATE(VALUE(RIGHT(raw_data!B461,4)),VALUE(LEFT(raw_data!B461,2)),VALUE(MID(raw_data!B461,4,2))),IF(MID(raw_data!B461,3,1)="-",DATE(VALUE(RIGHT(raw_data!B461,4)),VALUE(MID(raw_data!B461,4,2)),VALUE(LEFT(raw_data!B461,2))),IF(MID(raw_data!B461,5,1)="-",DATE(VALUE(LEFT(raw_data!B461,4)),VALUE(MID(raw_data!B461,6,2)),VALUE(RIGHT(raw_data!B461,2))),DATE(VALUE(RIGHT(raw_data!B461,4)),MATCH(MID(raw_data!B461,4,3),{"Jan","Feb","Mar","Apr","May","Jun","Jul","Aug","Sep","Oct","Nov","Dec"},0),VALUE(LEFT(raw_data!B461,2)))))),"")</f>
        <v>45379</v>
      </c>
      <c r="C461" s="4" t="n">
        <f aca="false">IFERROR(IF(MID(raw_data!C461,3,1)="/",DATE(VALUE(RIGHT(raw_data!C461,4)),VALUE(LEFT(raw_data!C461,2)),VALUE(MID(raw_data!C461,4,2))),IF(MID(raw_data!C461,3,1)="-",DATE(VALUE(RIGHT(raw_data!C461,4)),VALUE(MID(raw_data!C461,4,2)),VALUE(LEFT(raw_data!C461,2))),IF(MID(raw_data!C461,5,1)="-",DATE(VALUE(LEFT(raw_data!C461,4)),VALUE(MID(raw_data!C461,6,2)),VALUE(RIGHT(raw_data!C461,2))),DATE(VALUE(RIGHT(raw_data!C461,4)),MATCH(MID(raw_data!C461,4,3),{"Jan","Feb","Mar","Apr","May","Jun","Jul","Aug","Sep","Oct","Nov","Dec"},0),VALUE(LEFT(raw_data!C461,2)))))),"")</f>
        <v>45386</v>
      </c>
      <c r="D461" s="3" t="str">
        <f aca="false">IF(TRIM(raw_data!B461)="","Missing",IF(B461="","Invalid/Unrecognized","Valid"))</f>
        <v>Valid</v>
      </c>
      <c r="E461" s="3" t="str">
        <f aca="false">IF(TRIM(raw_data!C461)="","Missing",IF(C461="","Invalid/Unrecognized","Valid"))</f>
        <v>Valid</v>
      </c>
      <c r="F461" s="5" t="n">
        <f aca="false">IF(OR(B461="",C461=""),"",C461-B461)</f>
        <v>7</v>
      </c>
      <c r="G461" s="3" t="str">
        <f aca="false">IF(F461="","N/A",IF(F461&lt;0,"Invalid - Ship Before Order","OK"))</f>
        <v>OK</v>
      </c>
      <c r="H461" s="3" t="str">
        <f aca="false">raw_data!D461</f>
        <v>CUST-4745</v>
      </c>
      <c r="I461" s="3" t="str">
        <f aca="false">PROPER(TRIM(raw_data!E461))</f>
        <v>Ananya Rao</v>
      </c>
      <c r="J461" s="3" t="str">
        <f aca="false">PROPER(TRIM(raw_data!F461))</f>
        <v>Home Office</v>
      </c>
      <c r="K461" s="3" t="str">
        <f aca="false">IF(TRIM(raw_data!G461)="","Unknown",PROPER(TRIM(raw_data!G461)))</f>
        <v>West</v>
      </c>
      <c r="L461" s="3" t="str">
        <f aca="false">IF(TRIM(raw_data!G461)="","Filled - Unknown","OK")</f>
        <v>OK</v>
      </c>
      <c r="M461" s="3" t="str">
        <f aca="false">PROPER(TRIM(raw_data!H461))</f>
        <v>Goa</v>
      </c>
      <c r="N461" s="3" t="str">
        <f aca="false">PROPER(TRIM(raw_data!I461))</f>
        <v>Panaji</v>
      </c>
      <c r="O461" s="3" t="str">
        <f aca="false">PROPER(TRIM(raw_data!J461))</f>
        <v>Office Supplies</v>
      </c>
      <c r="P461" s="3" t="str">
        <f aca="false">PROPER(TRIM(raw_data!K461))</f>
        <v>Paper</v>
      </c>
      <c r="Q461" s="3" t="str">
        <f aca="false">TRIM(raw_data!L461)</f>
        <v>Basic Paper 233</v>
      </c>
      <c r="R461" s="3" t="str">
        <f aca="false">IF(TRIM(raw_data!M461)="","Unknown",PROPER(TRIM(raw_data!M461)))</f>
        <v>First Class</v>
      </c>
      <c r="S461" s="3" t="str">
        <f aca="false">IF(TRIM(raw_data!M461)="","Filled - Unknown","OK")</f>
        <v>OK</v>
      </c>
      <c r="T461" s="6" t="n">
        <f aca="false">raw_data!N461</f>
        <v>3</v>
      </c>
      <c r="U461" s="7" t="n">
        <f aca="false">raw_data!O461</f>
        <v>1150.92</v>
      </c>
      <c r="V461" s="8" t="n">
        <f aca="false">raw_data!P461</f>
        <v>0</v>
      </c>
      <c r="W461" s="8" t="n">
        <f aca="false">IF(raw_data!P461="",0,IF(ISTEXT(raw_data!P461),IF(RIGHT(raw_data!P461,1)="%",VALUE(LEFT(raw_data!P461,LEN(raw_data!P461)-1))/100,VALUE(raw_data!P461)),raw_data!P461))</f>
        <v>0</v>
      </c>
      <c r="X461" s="3" t="str">
        <f aca="false">IF(raw_data!P461="","Missing - Defaulted to 0",IF(W461&lt;0,"Negative - Invalid",IF(W461&gt;0.3,"Above Allowed Range - Invalid","Valid")))</f>
        <v>Valid</v>
      </c>
      <c r="Y461" s="7" t="n">
        <f aca="false">raw_data!Q461</f>
        <v>3452.76</v>
      </c>
      <c r="Z461" s="7" t="n">
        <f aca="false">raw_data!R461</f>
        <v>2077.96</v>
      </c>
      <c r="AA461" s="7" t="n">
        <f aca="false">raw_data!S461</f>
        <v>1374.8</v>
      </c>
      <c r="AB461" s="3" t="str">
        <f aca="false">PROPER(TRIM(raw_data!T461))</f>
        <v>Paid</v>
      </c>
      <c r="AC461" s="3" t="str">
        <f aca="false">PROPER(TRIM(raw_data!U461))</f>
        <v>Completed</v>
      </c>
      <c r="AD461" s="7" t="n">
        <f aca="false">T461*U461*(1-W461)</f>
        <v>3452.76</v>
      </c>
      <c r="AE461" s="7" t="n">
        <f aca="false">AD461-Z461</f>
        <v>1374.8</v>
      </c>
      <c r="AF461" s="8" t="n">
        <f aca="false">IF(AD461=0,0,AE461/AD461)</f>
        <v>0.398174214251787</v>
      </c>
      <c r="AG461" s="3" t="str">
        <f aca="false">IF(ABS(Y461-AD461)&gt;1,"Mismatch","OK")</f>
        <v>OK</v>
      </c>
      <c r="AH461" s="3" t="str">
        <f aca="false">IF(ABS(AA461-AE461)&gt;1,"Mismatch","OK")</f>
        <v>OK</v>
      </c>
      <c r="AI461" s="6" t="n">
        <f aca="false">IF(B461="","",MONTH(B461))</f>
        <v>3</v>
      </c>
      <c r="AJ461" s="6" t="n">
        <f aca="false">IF(B461="","",YEAR(B461))</f>
        <v>2024</v>
      </c>
      <c r="AK461" s="3" t="str">
        <f aca="false">IF(COUNTIF(raw_data!$A$2:$A$913,A461)&gt;1,"Conflicting Duplicate - Flagged for Review","Unique")</f>
        <v>Unique</v>
      </c>
      <c r="AL461" s="3" t="str">
        <f aca="false">IF(AB461="Refunded","Yes","No")</f>
        <v>No</v>
      </c>
      <c r="AM461" s="3" t="str">
        <f aca="false">IF(OR(AC461&lt;&gt;"Completed",AB461="Failed"),"Excluded","Included")</f>
        <v>Included</v>
      </c>
      <c r="AN461" s="3" t="str">
        <f aca="false">IF(OR(D461="Invalid/Unrecognized",E461="Invalid/Unrecognized",G461="Invalid - Ship Before Order",X461="Negative - Invalid",X461="Above Allowed Range - Invalid",AG461="Mismatch",AH461="Mismatch",AK461="Conflicting Duplicate - Flagged for Review"),"Invalid",IF(OR(L461="Filled - Unknown",S461="Filled - Unknown",X461="Missing - Defaulted to 0",AL461="Yes",AC461="Cancelled",AC461="Returned"),"Warning","Clean"))</f>
        <v>Clean</v>
      </c>
    </row>
    <row r="462" customFormat="false" ht="15" hidden="false" customHeight="false" outlineLevel="0" collapsed="false">
      <c r="A462" s="3" t="str">
        <f aca="false">raw_data!A462</f>
        <v>ORD-2025-10461</v>
      </c>
      <c r="B462" s="4" t="n">
        <f aca="false">IFERROR(IF(MID(raw_data!B462,3,1)="/",DATE(VALUE(RIGHT(raw_data!B462,4)),VALUE(LEFT(raw_data!B462,2)),VALUE(MID(raw_data!B462,4,2))),IF(MID(raw_data!B462,3,1)="-",DATE(VALUE(RIGHT(raw_data!B462,4)),VALUE(MID(raw_data!B462,4,2)),VALUE(LEFT(raw_data!B462,2))),IF(MID(raw_data!B462,5,1)="-",DATE(VALUE(LEFT(raw_data!B462,4)),VALUE(MID(raw_data!B462,6,2)),VALUE(RIGHT(raw_data!B462,2))),DATE(VALUE(RIGHT(raw_data!B462,4)),MATCH(MID(raw_data!B462,4,3),{"Jan","Feb","Mar","Apr","May","Jun","Jul","Aug","Sep","Oct","Nov","Dec"},0),VALUE(LEFT(raw_data!B462,2)))))),"")</f>
        <v>45930</v>
      </c>
      <c r="C462" s="4" t="n">
        <f aca="false">IFERROR(IF(MID(raw_data!C462,3,1)="/",DATE(VALUE(RIGHT(raw_data!C462,4)),VALUE(LEFT(raw_data!C462,2)),VALUE(MID(raw_data!C462,4,2))),IF(MID(raw_data!C462,3,1)="-",DATE(VALUE(RIGHT(raw_data!C462,4)),VALUE(MID(raw_data!C462,4,2)),VALUE(LEFT(raw_data!C462,2))),IF(MID(raw_data!C462,5,1)="-",DATE(VALUE(LEFT(raw_data!C462,4)),VALUE(MID(raw_data!C462,6,2)),VALUE(RIGHT(raw_data!C462,2))),DATE(VALUE(RIGHT(raw_data!C462,4)),MATCH(MID(raw_data!C462,4,3),{"Jan","Feb","Mar","Apr","May","Jun","Jul","Aug","Sep","Oct","Nov","Dec"},0),VALUE(LEFT(raw_data!C462,2)))))),"")</f>
        <v>45936</v>
      </c>
      <c r="D462" s="3" t="str">
        <f aca="false">IF(TRIM(raw_data!B462)="","Missing",IF(B462="","Invalid/Unrecognized","Valid"))</f>
        <v>Valid</v>
      </c>
      <c r="E462" s="3" t="str">
        <f aca="false">IF(TRIM(raw_data!C462)="","Missing",IF(C462="","Invalid/Unrecognized","Valid"))</f>
        <v>Valid</v>
      </c>
      <c r="F462" s="5" t="n">
        <f aca="false">IF(OR(B462="",C462=""),"",C462-B462)</f>
        <v>6</v>
      </c>
      <c r="G462" s="3" t="str">
        <f aca="false">IF(F462="","N/A",IF(F462&lt;0,"Invalid - Ship Before Order","OK"))</f>
        <v>OK</v>
      </c>
      <c r="H462" s="3" t="str">
        <f aca="false">raw_data!D462</f>
        <v>CUST-5551</v>
      </c>
      <c r="I462" s="3" t="str">
        <f aca="false">PROPER(TRIM(raw_data!E462))</f>
        <v>Aarav Sharma</v>
      </c>
      <c r="J462" s="3" t="str">
        <f aca="false">PROPER(TRIM(raw_data!F462))</f>
        <v>Corporate</v>
      </c>
      <c r="K462" s="3" t="str">
        <f aca="false">IF(TRIM(raw_data!G462)="","Unknown",PROPER(TRIM(raw_data!G462)))</f>
        <v>Unknown</v>
      </c>
      <c r="L462" s="3" t="str">
        <f aca="false">IF(TRIM(raw_data!G462)="","Filled - Unknown","OK")</f>
        <v>Filled - Unknown</v>
      </c>
      <c r="M462" s="3" t="str">
        <f aca="false">PROPER(TRIM(raw_data!H462))</f>
        <v>Rajasthan</v>
      </c>
      <c r="N462" s="3" t="str">
        <f aca="false">PROPER(TRIM(raw_data!I462))</f>
        <v>Jaipur</v>
      </c>
      <c r="O462" s="3" t="str">
        <f aca="false">PROPER(TRIM(raw_data!J462))</f>
        <v>Technology</v>
      </c>
      <c r="P462" s="3" t="str">
        <f aca="false">PROPER(TRIM(raw_data!K462))</f>
        <v>Copiers</v>
      </c>
      <c r="Q462" s="3" t="str">
        <f aca="false">TRIM(raw_data!L462)</f>
        <v>Eco Copiers 603</v>
      </c>
      <c r="R462" s="3" t="str">
        <f aca="false">IF(TRIM(raw_data!M462)="","Unknown",PROPER(TRIM(raw_data!M462)))</f>
        <v>Second Class</v>
      </c>
      <c r="S462" s="3" t="str">
        <f aca="false">IF(TRIM(raw_data!M462)="","Filled - Unknown","OK")</f>
        <v>OK</v>
      </c>
      <c r="T462" s="6" t="n">
        <f aca="false">raw_data!N462</f>
        <v>9</v>
      </c>
      <c r="U462" s="7" t="n">
        <f aca="false">raw_data!O462</f>
        <v>1359.88</v>
      </c>
      <c r="V462" s="8" t="n">
        <f aca="false">raw_data!P462</f>
        <v>0.05</v>
      </c>
      <c r="W462" s="8" t="n">
        <f aca="false">IF(raw_data!P462="",0,IF(ISTEXT(raw_data!P462),IF(RIGHT(raw_data!P462,1)="%",VALUE(LEFT(raw_data!P462,LEN(raw_data!P462)-1))/100,VALUE(raw_data!P462)),raw_data!P462))</f>
        <v>0.05</v>
      </c>
      <c r="X462" s="3" t="str">
        <f aca="false">IF(raw_data!P462="","Missing - Defaulted to 0",IF(W462&lt;0,"Negative - Invalid",IF(W462&gt;0.3,"Above Allowed Range - Invalid","Valid")))</f>
        <v>Valid</v>
      </c>
      <c r="Y462" s="7" t="n">
        <f aca="false">raw_data!Q462</f>
        <v>11626.97</v>
      </c>
      <c r="Z462" s="7" t="n">
        <f aca="false">raw_data!R462</f>
        <v>7394.07</v>
      </c>
      <c r="AA462" s="7" t="n">
        <f aca="false">raw_data!S462</f>
        <v>4232.9</v>
      </c>
      <c r="AB462" s="3" t="str">
        <f aca="false">PROPER(TRIM(raw_data!T462))</f>
        <v>Paid</v>
      </c>
      <c r="AC462" s="3" t="str">
        <f aca="false">PROPER(TRIM(raw_data!U462))</f>
        <v>Completed</v>
      </c>
      <c r="AD462" s="7" t="n">
        <f aca="false">T462*U462*(1-W462)</f>
        <v>11626.974</v>
      </c>
      <c r="AE462" s="7" t="n">
        <f aca="false">AD462-Z462</f>
        <v>4232.904</v>
      </c>
      <c r="AF462" s="8" t="n">
        <f aca="false">IF(AD462=0,0,AE462/AD462)</f>
        <v>0.364058954634284</v>
      </c>
      <c r="AG462" s="3" t="str">
        <f aca="false">IF(ABS(Y462-AD462)&gt;1,"Mismatch","OK")</f>
        <v>OK</v>
      </c>
      <c r="AH462" s="3" t="str">
        <f aca="false">IF(ABS(AA462-AE462)&gt;1,"Mismatch","OK")</f>
        <v>OK</v>
      </c>
      <c r="AI462" s="6" t="n">
        <f aca="false">IF(B462="","",MONTH(B462))</f>
        <v>9</v>
      </c>
      <c r="AJ462" s="6" t="n">
        <f aca="false">IF(B462="","",YEAR(B462))</f>
        <v>2025</v>
      </c>
      <c r="AK462" s="3" t="str">
        <f aca="false">IF(COUNTIF(raw_data!$A$2:$A$913,A462)&gt;1,"Conflicting Duplicate - Flagged for Review","Unique")</f>
        <v>Unique</v>
      </c>
      <c r="AL462" s="3" t="str">
        <f aca="false">IF(AB462="Refunded","Yes","No")</f>
        <v>No</v>
      </c>
      <c r="AM462" s="3" t="str">
        <f aca="false">IF(OR(AC462&lt;&gt;"Completed",AB462="Failed"),"Excluded","Included")</f>
        <v>Included</v>
      </c>
      <c r="AN462" s="3" t="str">
        <f aca="false">IF(OR(D462="Invalid/Unrecognized",E462="Invalid/Unrecognized",G462="Invalid - Ship Before Order",X462="Negative - Invalid",X462="Above Allowed Range - Invalid",AG462="Mismatch",AH462="Mismatch",AK462="Conflicting Duplicate - Flagged for Review"),"Invalid",IF(OR(L462="Filled - Unknown",S462="Filled - Unknown",X462="Missing - Defaulted to 0",AL462="Yes",AC462="Cancelled",AC462="Returned"),"Warning","Clean"))</f>
        <v>Warning</v>
      </c>
    </row>
    <row r="463" customFormat="false" ht="15" hidden="false" customHeight="false" outlineLevel="0" collapsed="false">
      <c r="A463" s="3" t="str">
        <f aca="false">raw_data!A463</f>
        <v>ORD-2025-10462</v>
      </c>
      <c r="B463" s="4" t="n">
        <f aca="false">IFERROR(IF(MID(raw_data!B463,3,1)="/",DATE(VALUE(RIGHT(raw_data!B463,4)),VALUE(LEFT(raw_data!B463,2)),VALUE(MID(raw_data!B463,4,2))),IF(MID(raw_data!B463,3,1)="-",DATE(VALUE(RIGHT(raw_data!B463,4)),VALUE(MID(raw_data!B463,4,2)),VALUE(LEFT(raw_data!B463,2))),IF(MID(raw_data!B463,5,1)="-",DATE(VALUE(LEFT(raw_data!B463,4)),VALUE(MID(raw_data!B463,6,2)),VALUE(RIGHT(raw_data!B463,2))),DATE(VALUE(RIGHT(raw_data!B463,4)),MATCH(MID(raw_data!B463,4,3),{"Jan","Feb","Mar","Apr","May","Jun","Jul","Aug","Sep","Oct","Nov","Dec"},0),VALUE(LEFT(raw_data!B463,2)))))),"")</f>
        <v>45802</v>
      </c>
      <c r="C463" s="4" t="n">
        <f aca="false">IFERROR(IF(MID(raw_data!C463,3,1)="/",DATE(VALUE(RIGHT(raw_data!C463,4)),VALUE(LEFT(raw_data!C463,2)),VALUE(MID(raw_data!C463,4,2))),IF(MID(raw_data!C463,3,1)="-",DATE(VALUE(RIGHT(raw_data!C463,4)),VALUE(MID(raw_data!C463,4,2)),VALUE(LEFT(raw_data!C463,2))),IF(MID(raw_data!C463,5,1)="-",DATE(VALUE(LEFT(raw_data!C463,4)),VALUE(MID(raw_data!C463,6,2)),VALUE(RIGHT(raw_data!C463,2))),DATE(VALUE(RIGHT(raw_data!C463,4)),MATCH(MID(raw_data!C463,4,3),{"Jan","Feb","Mar","Apr","May","Jun","Jul","Aug","Sep","Oct","Nov","Dec"},0),VALUE(LEFT(raw_data!C463,2)))))),"")</f>
        <v>45803</v>
      </c>
      <c r="D463" s="3" t="str">
        <f aca="false">IF(TRIM(raw_data!B463)="","Missing",IF(B463="","Invalid/Unrecognized","Valid"))</f>
        <v>Valid</v>
      </c>
      <c r="E463" s="3" t="str">
        <f aca="false">IF(TRIM(raw_data!C463)="","Missing",IF(C463="","Invalid/Unrecognized","Valid"))</f>
        <v>Valid</v>
      </c>
      <c r="F463" s="5" t="n">
        <f aca="false">IF(OR(B463="",C463=""),"",C463-B463)</f>
        <v>1</v>
      </c>
      <c r="G463" s="3" t="str">
        <f aca="false">IF(F463="","N/A",IF(F463&lt;0,"Invalid - Ship Before Order","OK"))</f>
        <v>OK</v>
      </c>
      <c r="H463" s="3" t="str">
        <f aca="false">raw_data!D463</f>
        <v>CUST-3659</v>
      </c>
      <c r="I463" s="3" t="str">
        <f aca="false">PROPER(TRIM(raw_data!E463))</f>
        <v>Neha Gupta</v>
      </c>
      <c r="J463" s="3" t="str">
        <f aca="false">PROPER(TRIM(raw_data!F463))</f>
        <v>Corporate</v>
      </c>
      <c r="K463" s="3" t="str">
        <f aca="false">IF(TRIM(raw_data!G463)="","Unknown",PROPER(TRIM(raw_data!G463)))</f>
        <v>South</v>
      </c>
      <c r="L463" s="3" t="str">
        <f aca="false">IF(TRIM(raw_data!G463)="","Filled - Unknown","OK")</f>
        <v>OK</v>
      </c>
      <c r="M463" s="3" t="str">
        <f aca="false">PROPER(TRIM(raw_data!H463))</f>
        <v>Andhra Pradesh</v>
      </c>
      <c r="N463" s="3" t="str">
        <f aca="false">PROPER(TRIM(raw_data!I463))</f>
        <v>Vijayawada</v>
      </c>
      <c r="O463" s="3" t="str">
        <f aca="false">PROPER(TRIM(raw_data!J463))</f>
        <v>Office Supplies</v>
      </c>
      <c r="P463" s="3" t="str">
        <f aca="false">PROPER(TRIM(raw_data!K463))</f>
        <v>Paper</v>
      </c>
      <c r="Q463" s="3" t="str">
        <f aca="false">TRIM(raw_data!L463)</f>
        <v>Max Paper 700</v>
      </c>
      <c r="R463" s="3" t="str">
        <f aca="false">IF(TRIM(raw_data!M463)="","Unknown",PROPER(TRIM(raw_data!M463)))</f>
        <v>Standard Class</v>
      </c>
      <c r="S463" s="3" t="str">
        <f aca="false">IF(TRIM(raw_data!M463)="","Filled - Unknown","OK")</f>
        <v>OK</v>
      </c>
      <c r="T463" s="6" t="n">
        <f aca="false">raw_data!N463</f>
        <v>3</v>
      </c>
      <c r="U463" s="7" t="n">
        <f aca="false">raw_data!O463</f>
        <v>3378.15</v>
      </c>
      <c r="V463" s="8" t="n">
        <f aca="false">raw_data!P463</f>
        <v>0.15</v>
      </c>
      <c r="W463" s="8" t="n">
        <f aca="false">IF(raw_data!P463="",0,IF(ISTEXT(raw_data!P463),IF(RIGHT(raw_data!P463,1)="%",VALUE(LEFT(raw_data!P463,LEN(raw_data!P463)-1))/100,VALUE(raw_data!P463)),raw_data!P463))</f>
        <v>0.15</v>
      </c>
      <c r="X463" s="3" t="str">
        <f aca="false">IF(raw_data!P463="","Missing - Defaulted to 0",IF(W463&lt;0,"Negative - Invalid",IF(W463&gt;0.3,"Above Allowed Range - Invalid","Valid")))</f>
        <v>Valid</v>
      </c>
      <c r="Y463" s="7" t="n">
        <f aca="false">raw_data!Q463</f>
        <v>8614.28</v>
      </c>
      <c r="Z463" s="7" t="n">
        <f aca="false">raw_data!R463</f>
        <v>7052.08</v>
      </c>
      <c r="AA463" s="7" t="n">
        <f aca="false">raw_data!S463</f>
        <v>1562.2</v>
      </c>
      <c r="AB463" s="3" t="str">
        <f aca="false">PROPER(TRIM(raw_data!T463))</f>
        <v>Paid</v>
      </c>
      <c r="AC463" s="3" t="str">
        <f aca="false">PROPER(TRIM(raw_data!U463))</f>
        <v>Completed</v>
      </c>
      <c r="AD463" s="7" t="n">
        <f aca="false">T463*U463*(1-W463)</f>
        <v>8614.2825</v>
      </c>
      <c r="AE463" s="7" t="n">
        <f aca="false">AD463-Z463</f>
        <v>1562.2025</v>
      </c>
      <c r="AF463" s="8" t="n">
        <f aca="false">IF(AD463=0,0,AE463/AD463)</f>
        <v>0.181350274964862</v>
      </c>
      <c r="AG463" s="3" t="str">
        <f aca="false">IF(ABS(Y463-AD463)&gt;1,"Mismatch","OK")</f>
        <v>OK</v>
      </c>
      <c r="AH463" s="3" t="str">
        <f aca="false">IF(ABS(AA463-AE463)&gt;1,"Mismatch","OK")</f>
        <v>OK</v>
      </c>
      <c r="AI463" s="6" t="n">
        <f aca="false">IF(B463="","",MONTH(B463))</f>
        <v>5</v>
      </c>
      <c r="AJ463" s="6" t="n">
        <f aca="false">IF(B463="","",YEAR(B463))</f>
        <v>2025</v>
      </c>
      <c r="AK463" s="3" t="str">
        <f aca="false">IF(COUNTIF(raw_data!$A$2:$A$913,A463)&gt;1,"Conflicting Duplicate - Flagged for Review","Unique")</f>
        <v>Unique</v>
      </c>
      <c r="AL463" s="3" t="str">
        <f aca="false">IF(AB463="Refunded","Yes","No")</f>
        <v>No</v>
      </c>
      <c r="AM463" s="3" t="str">
        <f aca="false">IF(OR(AC463&lt;&gt;"Completed",AB463="Failed"),"Excluded","Included")</f>
        <v>Included</v>
      </c>
      <c r="AN463" s="3" t="str">
        <f aca="false">IF(OR(D463="Invalid/Unrecognized",E463="Invalid/Unrecognized",G463="Invalid - Ship Before Order",X463="Negative - Invalid",X463="Above Allowed Range - Invalid",AG463="Mismatch",AH463="Mismatch",AK463="Conflicting Duplicate - Flagged for Review"),"Invalid",IF(OR(L463="Filled - Unknown",S463="Filled - Unknown",X463="Missing - Defaulted to 0",AL463="Yes",AC463="Cancelled",AC463="Returned"),"Warning","Clean"))</f>
        <v>Clean</v>
      </c>
    </row>
    <row r="464" customFormat="false" ht="15" hidden="false" customHeight="false" outlineLevel="0" collapsed="false">
      <c r="A464" s="3" t="str">
        <f aca="false">raw_data!A464</f>
        <v>ORD-2024-10463</v>
      </c>
      <c r="B464" s="4" t="n">
        <f aca="false">IFERROR(IF(MID(raw_data!B464,3,1)="/",DATE(VALUE(RIGHT(raw_data!B464,4)),VALUE(LEFT(raw_data!B464,2)),VALUE(MID(raw_data!B464,4,2))),IF(MID(raw_data!B464,3,1)="-",DATE(VALUE(RIGHT(raw_data!B464,4)),VALUE(MID(raw_data!B464,4,2)),VALUE(LEFT(raw_data!B464,2))),IF(MID(raw_data!B464,5,1)="-",DATE(VALUE(LEFT(raw_data!B464,4)),VALUE(MID(raw_data!B464,6,2)),VALUE(RIGHT(raw_data!B464,2))),DATE(VALUE(RIGHT(raw_data!B464,4)),MATCH(MID(raw_data!B464,4,3),{"Jan","Feb","Mar","Apr","May","Jun","Jul","Aug","Sep","Oct","Nov","Dec"},0),VALUE(LEFT(raw_data!B464,2)))))),"")</f>
        <v>45558</v>
      </c>
      <c r="C464" s="4" t="n">
        <f aca="false">IFERROR(IF(MID(raw_data!C464,3,1)="/",DATE(VALUE(RIGHT(raw_data!C464,4)),VALUE(LEFT(raw_data!C464,2)),VALUE(MID(raw_data!C464,4,2))),IF(MID(raw_data!C464,3,1)="-",DATE(VALUE(RIGHT(raw_data!C464,4)),VALUE(MID(raw_data!C464,4,2)),VALUE(LEFT(raw_data!C464,2))),IF(MID(raw_data!C464,5,1)="-",DATE(VALUE(LEFT(raw_data!C464,4)),VALUE(MID(raw_data!C464,6,2)),VALUE(RIGHT(raw_data!C464,2))),DATE(VALUE(RIGHT(raw_data!C464,4)),MATCH(MID(raw_data!C464,4,3),{"Jan","Feb","Mar","Apr","May","Jun","Jul","Aug","Sep","Oct","Nov","Dec"},0),VALUE(LEFT(raw_data!C464,2)))))),"")</f>
        <v>45560</v>
      </c>
      <c r="D464" s="3" t="str">
        <f aca="false">IF(TRIM(raw_data!B464)="","Missing",IF(B464="","Invalid/Unrecognized","Valid"))</f>
        <v>Valid</v>
      </c>
      <c r="E464" s="3" t="str">
        <f aca="false">IF(TRIM(raw_data!C464)="","Missing",IF(C464="","Invalid/Unrecognized","Valid"))</f>
        <v>Valid</v>
      </c>
      <c r="F464" s="5" t="n">
        <f aca="false">IF(OR(B464="",C464=""),"",C464-B464)</f>
        <v>2</v>
      </c>
      <c r="G464" s="3" t="str">
        <f aca="false">IF(F464="","N/A",IF(F464&lt;0,"Invalid - Ship Before Order","OK"))</f>
        <v>OK</v>
      </c>
      <c r="H464" s="3" t="str">
        <f aca="false">raw_data!D464</f>
        <v>CUST-6594</v>
      </c>
      <c r="I464" s="3" t="str">
        <f aca="false">PROPER(TRIM(raw_data!E464))</f>
        <v>Aarav Sharma</v>
      </c>
      <c r="J464" s="3" t="str">
        <f aca="false">PROPER(TRIM(raw_data!F464))</f>
        <v>Home Office</v>
      </c>
      <c r="K464" s="3" t="str">
        <f aca="false">IF(TRIM(raw_data!G464)="","Unknown",PROPER(TRIM(raw_data!G464)))</f>
        <v>North</v>
      </c>
      <c r="L464" s="3" t="str">
        <f aca="false">IF(TRIM(raw_data!G464)="","Filled - Unknown","OK")</f>
        <v>OK</v>
      </c>
      <c r="M464" s="3" t="str">
        <f aca="false">PROPER(TRIM(raw_data!H464))</f>
        <v>Delhi</v>
      </c>
      <c r="N464" s="3" t="str">
        <f aca="false">PROPER(TRIM(raw_data!I464))</f>
        <v>New Delhi</v>
      </c>
      <c r="O464" s="3" t="str">
        <f aca="false">PROPER(TRIM(raw_data!J464))</f>
        <v>Office Supplies</v>
      </c>
      <c r="P464" s="3" t="str">
        <f aca="false">PROPER(TRIM(raw_data!K464))</f>
        <v>Binders</v>
      </c>
      <c r="Q464" s="3" t="str">
        <f aca="false">TRIM(raw_data!L464)</f>
        <v>Pro Binders 404</v>
      </c>
      <c r="R464" s="3" t="str">
        <f aca="false">IF(TRIM(raw_data!M464)="","Unknown",PROPER(TRIM(raw_data!M464)))</f>
        <v>First Class</v>
      </c>
      <c r="S464" s="3" t="str">
        <f aca="false">IF(TRIM(raw_data!M464)="","Filled - Unknown","OK")</f>
        <v>OK</v>
      </c>
      <c r="T464" s="6" t="n">
        <f aca="false">raw_data!N464</f>
        <v>2</v>
      </c>
      <c r="U464" s="7" t="n">
        <f aca="false">raw_data!O464</f>
        <v>1275.14</v>
      </c>
      <c r="V464" s="8" t="n">
        <f aca="false">raw_data!P464</f>
        <v>0.2</v>
      </c>
      <c r="W464" s="8" t="n">
        <f aca="false">IF(raw_data!P464="",0,IF(ISTEXT(raw_data!P464),IF(RIGHT(raw_data!P464,1)="%",VALUE(LEFT(raw_data!P464,LEN(raw_data!P464)-1))/100,VALUE(raw_data!P464)),raw_data!P464))</f>
        <v>0.2</v>
      </c>
      <c r="X464" s="3" t="str">
        <f aca="false">IF(raw_data!P464="","Missing - Defaulted to 0",IF(W464&lt;0,"Negative - Invalid",IF(W464&gt;0.3,"Above Allowed Range - Invalid","Valid")))</f>
        <v>Valid</v>
      </c>
      <c r="Y464" s="7" t="n">
        <f aca="false">raw_data!Q464</f>
        <v>2040.22</v>
      </c>
      <c r="Z464" s="7" t="n">
        <f aca="false">raw_data!R464</f>
        <v>1395.71</v>
      </c>
      <c r="AA464" s="7" t="n">
        <f aca="false">raw_data!S464</f>
        <v>644.51</v>
      </c>
      <c r="AB464" s="3" t="str">
        <f aca="false">PROPER(TRIM(raw_data!T464))</f>
        <v>Paid</v>
      </c>
      <c r="AC464" s="3" t="str">
        <f aca="false">PROPER(TRIM(raw_data!U464))</f>
        <v>Completed</v>
      </c>
      <c r="AD464" s="7" t="n">
        <f aca="false">T464*U464*(1-W464)</f>
        <v>2040.224</v>
      </c>
      <c r="AE464" s="7" t="n">
        <f aca="false">AD464-Z464</f>
        <v>644.514</v>
      </c>
      <c r="AF464" s="8" t="n">
        <f aca="false">IF(AD464=0,0,AE464/AD464)</f>
        <v>0.315903547845727</v>
      </c>
      <c r="AG464" s="3" t="str">
        <f aca="false">IF(ABS(Y464-AD464)&gt;1,"Mismatch","OK")</f>
        <v>OK</v>
      </c>
      <c r="AH464" s="3" t="str">
        <f aca="false">IF(ABS(AA464-AE464)&gt;1,"Mismatch","OK")</f>
        <v>OK</v>
      </c>
      <c r="AI464" s="6" t="n">
        <f aca="false">IF(B464="","",MONTH(B464))</f>
        <v>9</v>
      </c>
      <c r="AJ464" s="6" t="n">
        <f aca="false">IF(B464="","",YEAR(B464))</f>
        <v>2024</v>
      </c>
      <c r="AK464" s="3" t="str">
        <f aca="false">IF(COUNTIF(raw_data!$A$2:$A$913,A464)&gt;1,"Conflicting Duplicate - Flagged for Review","Unique")</f>
        <v>Unique</v>
      </c>
      <c r="AL464" s="3" t="str">
        <f aca="false">IF(AB464="Refunded","Yes","No")</f>
        <v>No</v>
      </c>
      <c r="AM464" s="3" t="str">
        <f aca="false">IF(OR(AC464&lt;&gt;"Completed",AB464="Failed"),"Excluded","Included")</f>
        <v>Included</v>
      </c>
      <c r="AN464" s="3" t="str">
        <f aca="false">IF(OR(D464="Invalid/Unrecognized",E464="Invalid/Unrecognized",G464="Invalid - Ship Before Order",X464="Negative - Invalid",X464="Above Allowed Range - Invalid",AG464="Mismatch",AH464="Mismatch",AK464="Conflicting Duplicate - Flagged for Review"),"Invalid",IF(OR(L464="Filled - Unknown",S464="Filled - Unknown",X464="Missing - Defaulted to 0",AL464="Yes",AC464="Cancelled",AC464="Returned"),"Warning","Clean"))</f>
        <v>Clean</v>
      </c>
    </row>
    <row r="465" customFormat="false" ht="15" hidden="false" customHeight="false" outlineLevel="0" collapsed="false">
      <c r="A465" s="3" t="str">
        <f aca="false">raw_data!A465</f>
        <v>ORD-2025-10464</v>
      </c>
      <c r="B465" s="4" t="n">
        <f aca="false">IFERROR(IF(MID(raw_data!B465,3,1)="/",DATE(VALUE(RIGHT(raw_data!B465,4)),VALUE(LEFT(raw_data!B465,2)),VALUE(MID(raw_data!B465,4,2))),IF(MID(raw_data!B465,3,1)="-",DATE(VALUE(RIGHT(raw_data!B465,4)),VALUE(MID(raw_data!B465,4,2)),VALUE(LEFT(raw_data!B465,2))),IF(MID(raw_data!B465,5,1)="-",DATE(VALUE(LEFT(raw_data!B465,4)),VALUE(MID(raw_data!B465,6,2)),VALUE(RIGHT(raw_data!B465,2))),DATE(VALUE(RIGHT(raw_data!B465,4)),MATCH(MID(raw_data!B465,4,3),{"Jan","Feb","Mar","Apr","May","Jun","Jul","Aug","Sep","Oct","Nov","Dec"},0),VALUE(LEFT(raw_data!B465,2)))))),"")</f>
        <v>45695</v>
      </c>
      <c r="C465" s="4" t="n">
        <f aca="false">IFERROR(IF(MID(raw_data!C465,3,1)="/",DATE(VALUE(RIGHT(raw_data!C465,4)),VALUE(LEFT(raw_data!C465,2)),VALUE(MID(raw_data!C465,4,2))),IF(MID(raw_data!C465,3,1)="-",DATE(VALUE(RIGHT(raw_data!C465,4)),VALUE(MID(raw_data!C465,4,2)),VALUE(LEFT(raw_data!C465,2))),IF(MID(raw_data!C465,5,1)="-",DATE(VALUE(LEFT(raw_data!C465,4)),VALUE(MID(raw_data!C465,6,2)),VALUE(RIGHT(raw_data!C465,2))),DATE(VALUE(RIGHT(raw_data!C465,4)),MATCH(MID(raw_data!C465,4,3),{"Jan","Feb","Mar","Apr","May","Jun","Jul","Aug","Sep","Oct","Nov","Dec"},0),VALUE(LEFT(raw_data!C465,2)))))),"")</f>
        <v>45696</v>
      </c>
      <c r="D465" s="3" t="str">
        <f aca="false">IF(TRIM(raw_data!B465)="","Missing",IF(B465="","Invalid/Unrecognized","Valid"))</f>
        <v>Valid</v>
      </c>
      <c r="E465" s="3" t="str">
        <f aca="false">IF(TRIM(raw_data!C465)="","Missing",IF(C465="","Invalid/Unrecognized","Valid"))</f>
        <v>Valid</v>
      </c>
      <c r="F465" s="5" t="n">
        <f aca="false">IF(OR(B465="",C465=""),"",C465-B465)</f>
        <v>1</v>
      </c>
      <c r="G465" s="3" t="str">
        <f aca="false">IF(F465="","N/A",IF(F465&lt;0,"Invalid - Ship Before Order","OK"))</f>
        <v>OK</v>
      </c>
      <c r="H465" s="3" t="str">
        <f aca="false">raw_data!D465</f>
        <v>CUST-2626</v>
      </c>
      <c r="I465" s="3" t="str">
        <f aca="false">PROPER(TRIM(raw_data!E465))</f>
        <v>Arjun Bose</v>
      </c>
      <c r="J465" s="3" t="str">
        <f aca="false">PROPER(TRIM(raw_data!F465))</f>
        <v>Corporate</v>
      </c>
      <c r="K465" s="3" t="str">
        <f aca="false">IF(TRIM(raw_data!G465)="","Unknown",PROPER(TRIM(raw_data!G465)))</f>
        <v>West</v>
      </c>
      <c r="L465" s="3" t="str">
        <f aca="false">IF(TRIM(raw_data!G465)="","Filled - Unknown","OK")</f>
        <v>OK</v>
      </c>
      <c r="M465" s="3" t="str">
        <f aca="false">PROPER(TRIM(raw_data!H465))</f>
        <v>Madhya Pradesh</v>
      </c>
      <c r="N465" s="3" t="str">
        <f aca="false">PROPER(TRIM(raw_data!I465))</f>
        <v>Indore</v>
      </c>
      <c r="O465" s="3" t="str">
        <f aca="false">PROPER(TRIM(raw_data!J465))</f>
        <v>Technology</v>
      </c>
      <c r="P465" s="3" t="str">
        <f aca="false">PROPER(TRIM(raw_data!K465))</f>
        <v>Phones</v>
      </c>
      <c r="Q465" s="3" t="str">
        <f aca="false">TRIM(raw_data!L465)</f>
        <v>Eco Phones 208</v>
      </c>
      <c r="R465" s="3" t="str">
        <f aca="false">IF(TRIM(raw_data!M465)="","Unknown",PROPER(TRIM(raw_data!M465)))</f>
        <v>Standard Class</v>
      </c>
      <c r="S465" s="3" t="str">
        <f aca="false">IF(TRIM(raw_data!M465)="","Filled - Unknown","OK")</f>
        <v>OK</v>
      </c>
      <c r="T465" s="6" t="n">
        <f aca="false">raw_data!N465</f>
        <v>4</v>
      </c>
      <c r="U465" s="7" t="n">
        <f aca="false">raw_data!O465</f>
        <v>889.5</v>
      </c>
      <c r="V465" s="8" t="n">
        <f aca="false">raw_data!P465</f>
        <v>0.2</v>
      </c>
      <c r="W465" s="8" t="n">
        <f aca="false">IF(raw_data!P465="",0,IF(ISTEXT(raw_data!P465),IF(RIGHT(raw_data!P465,1)="%",VALUE(LEFT(raw_data!P465,LEN(raw_data!P465)-1))/100,VALUE(raw_data!P465)),raw_data!P465))</f>
        <v>0.2</v>
      </c>
      <c r="X465" s="3" t="str">
        <f aca="false">IF(raw_data!P465="","Missing - Defaulted to 0",IF(W465&lt;0,"Negative - Invalid",IF(W465&gt;0.3,"Above Allowed Range - Invalid","Valid")))</f>
        <v>Valid</v>
      </c>
      <c r="Y465" s="7" t="n">
        <f aca="false">raw_data!Q465</f>
        <v>2846.4</v>
      </c>
      <c r="Z465" s="7" t="n">
        <f aca="false">raw_data!R465</f>
        <v>2132.37</v>
      </c>
      <c r="AA465" s="7" t="n">
        <f aca="false">raw_data!S465</f>
        <v>714.03</v>
      </c>
      <c r="AB465" s="3" t="str">
        <f aca="false">PROPER(TRIM(raw_data!T465))</f>
        <v>Paid</v>
      </c>
      <c r="AC465" s="3" t="str">
        <f aca="false">PROPER(TRIM(raw_data!U465))</f>
        <v>Completed</v>
      </c>
      <c r="AD465" s="7" t="n">
        <f aca="false">T465*U465*(1-W465)</f>
        <v>2846.4</v>
      </c>
      <c r="AE465" s="7" t="n">
        <f aca="false">AD465-Z465</f>
        <v>714.03</v>
      </c>
      <c r="AF465" s="8" t="n">
        <f aca="false">IF(AD465=0,0,AE465/AD465)</f>
        <v>0.25085370994941</v>
      </c>
      <c r="AG465" s="3" t="str">
        <f aca="false">IF(ABS(Y465-AD465)&gt;1,"Mismatch","OK")</f>
        <v>OK</v>
      </c>
      <c r="AH465" s="3" t="str">
        <f aca="false">IF(ABS(AA465-AE465)&gt;1,"Mismatch","OK")</f>
        <v>OK</v>
      </c>
      <c r="AI465" s="6" t="n">
        <f aca="false">IF(B465="","",MONTH(B465))</f>
        <v>2</v>
      </c>
      <c r="AJ465" s="6" t="n">
        <f aca="false">IF(B465="","",YEAR(B465))</f>
        <v>2025</v>
      </c>
      <c r="AK465" s="3" t="str">
        <f aca="false">IF(COUNTIF(raw_data!$A$2:$A$913,A465)&gt;1,"Conflicting Duplicate - Flagged for Review","Unique")</f>
        <v>Unique</v>
      </c>
      <c r="AL465" s="3" t="str">
        <f aca="false">IF(AB465="Refunded","Yes","No")</f>
        <v>No</v>
      </c>
      <c r="AM465" s="3" t="str">
        <f aca="false">IF(OR(AC465&lt;&gt;"Completed",AB465="Failed"),"Excluded","Included")</f>
        <v>Included</v>
      </c>
      <c r="AN465" s="3" t="str">
        <f aca="false">IF(OR(D465="Invalid/Unrecognized",E465="Invalid/Unrecognized",G465="Invalid - Ship Before Order",X465="Negative - Invalid",X465="Above Allowed Range - Invalid",AG465="Mismatch",AH465="Mismatch",AK465="Conflicting Duplicate - Flagged for Review"),"Invalid",IF(OR(L465="Filled - Unknown",S465="Filled - Unknown",X465="Missing - Defaulted to 0",AL465="Yes",AC465="Cancelled",AC465="Returned"),"Warning","Clean"))</f>
        <v>Clean</v>
      </c>
    </row>
    <row r="466" customFormat="false" ht="15" hidden="false" customHeight="false" outlineLevel="0" collapsed="false">
      <c r="A466" s="3" t="str">
        <f aca="false">raw_data!A466</f>
        <v>ORD-2025-10465</v>
      </c>
      <c r="B466" s="4" t="n">
        <f aca="false">IFERROR(IF(MID(raw_data!B466,3,1)="/",DATE(VALUE(RIGHT(raw_data!B466,4)),VALUE(LEFT(raw_data!B466,2)),VALUE(MID(raw_data!B466,4,2))),IF(MID(raw_data!B466,3,1)="-",DATE(VALUE(RIGHT(raw_data!B466,4)),VALUE(MID(raw_data!B466,4,2)),VALUE(LEFT(raw_data!B466,2))),IF(MID(raw_data!B466,5,1)="-",DATE(VALUE(LEFT(raw_data!B466,4)),VALUE(MID(raw_data!B466,6,2)),VALUE(RIGHT(raw_data!B466,2))),DATE(VALUE(RIGHT(raw_data!B466,4)),MATCH(MID(raw_data!B466,4,3),{"Jan","Feb","Mar","Apr","May","Jun","Jul","Aug","Sep","Oct","Nov","Dec"},0),VALUE(LEFT(raw_data!B466,2)))))),"")</f>
        <v>45727</v>
      </c>
      <c r="C466" s="4" t="n">
        <f aca="false">IFERROR(IF(MID(raw_data!C466,3,1)="/",DATE(VALUE(RIGHT(raw_data!C466,4)),VALUE(LEFT(raw_data!C466,2)),VALUE(MID(raw_data!C466,4,2))),IF(MID(raw_data!C466,3,1)="-",DATE(VALUE(RIGHT(raw_data!C466,4)),VALUE(MID(raw_data!C466,4,2)),VALUE(LEFT(raw_data!C466,2))),IF(MID(raw_data!C466,5,1)="-",DATE(VALUE(LEFT(raw_data!C466,4)),VALUE(MID(raw_data!C466,6,2)),VALUE(RIGHT(raw_data!C466,2))),DATE(VALUE(RIGHT(raw_data!C466,4)),MATCH(MID(raw_data!C466,4,3),{"Jan","Feb","Mar","Apr","May","Jun","Jul","Aug","Sep","Oct","Nov","Dec"},0),VALUE(LEFT(raw_data!C466,2)))))),"")</f>
        <v>45731</v>
      </c>
      <c r="D466" s="3" t="str">
        <f aca="false">IF(TRIM(raw_data!B466)="","Missing",IF(B466="","Invalid/Unrecognized","Valid"))</f>
        <v>Valid</v>
      </c>
      <c r="E466" s="3" t="str">
        <f aca="false">IF(TRIM(raw_data!C466)="","Missing",IF(C466="","Invalid/Unrecognized","Valid"))</f>
        <v>Valid</v>
      </c>
      <c r="F466" s="5" t="n">
        <f aca="false">IF(OR(B466="",C466=""),"",C466-B466)</f>
        <v>4</v>
      </c>
      <c r="G466" s="3" t="str">
        <f aca="false">IF(F466="","N/A",IF(F466&lt;0,"Invalid - Ship Before Order","OK"))</f>
        <v>OK</v>
      </c>
      <c r="H466" s="3" t="str">
        <f aca="false">raw_data!D466</f>
        <v>CUST-7362</v>
      </c>
      <c r="I466" s="3" t="str">
        <f aca="false">PROPER(TRIM(raw_data!E466))</f>
        <v>Arjun Bose</v>
      </c>
      <c r="J466" s="3" t="str">
        <f aca="false">PROPER(TRIM(raw_data!F466))</f>
        <v>Corporate</v>
      </c>
      <c r="K466" s="3" t="str">
        <f aca="false">IF(TRIM(raw_data!G466)="","Unknown",PROPER(TRIM(raw_data!G466)))</f>
        <v>East</v>
      </c>
      <c r="L466" s="3" t="str">
        <f aca="false">IF(TRIM(raw_data!G466)="","Filled - Unknown","OK")</f>
        <v>OK</v>
      </c>
      <c r="M466" s="3" t="str">
        <f aca="false">PROPER(TRIM(raw_data!H466))</f>
        <v>Bihar</v>
      </c>
      <c r="N466" s="3" t="str">
        <f aca="false">PROPER(TRIM(raw_data!I466))</f>
        <v>Patna</v>
      </c>
      <c r="O466" s="3" t="str">
        <f aca="false">PROPER(TRIM(raw_data!J466))</f>
        <v>Office Supplies</v>
      </c>
      <c r="P466" s="3" t="str">
        <f aca="false">PROPER(TRIM(raw_data!K466))</f>
        <v>Paper</v>
      </c>
      <c r="Q466" s="3" t="str">
        <f aca="false">TRIM(raw_data!L466)</f>
        <v>Elite Paper 106</v>
      </c>
      <c r="R466" s="3" t="str">
        <f aca="false">IF(TRIM(raw_data!M466)="","Unknown",PROPER(TRIM(raw_data!M466)))</f>
        <v>Same Day</v>
      </c>
      <c r="S466" s="3" t="str">
        <f aca="false">IF(TRIM(raw_data!M466)="","Filled - Unknown","OK")</f>
        <v>OK</v>
      </c>
      <c r="T466" s="6" t="n">
        <f aca="false">raw_data!N466</f>
        <v>3</v>
      </c>
      <c r="U466" s="7" t="n">
        <f aca="false">raw_data!O466</f>
        <v>3625.08</v>
      </c>
      <c r="V466" s="8" t="n">
        <f aca="false">raw_data!P466</f>
        <v>0.05</v>
      </c>
      <c r="W466" s="8" t="n">
        <f aca="false">IF(raw_data!P466="",0,IF(ISTEXT(raw_data!P466),IF(RIGHT(raw_data!P466,1)="%",VALUE(LEFT(raw_data!P466,LEN(raw_data!P466)-1))/100,VALUE(raw_data!P466)),raw_data!P466))</f>
        <v>0.05</v>
      </c>
      <c r="X466" s="3" t="str">
        <f aca="false">IF(raw_data!P466="","Missing - Defaulted to 0",IF(W466&lt;0,"Negative - Invalid",IF(W466&gt;0.3,"Above Allowed Range - Invalid","Valid")))</f>
        <v>Valid</v>
      </c>
      <c r="Y466" s="7" t="n">
        <f aca="false">raw_data!Q466</f>
        <v>10331.48</v>
      </c>
      <c r="Z466" s="7" t="n">
        <f aca="false">raw_data!R466</f>
        <v>7131.91</v>
      </c>
      <c r="AA466" s="7" t="n">
        <f aca="false">raw_data!S466</f>
        <v>3199.57</v>
      </c>
      <c r="AB466" s="3" t="str">
        <f aca="false">PROPER(TRIM(raw_data!T466))</f>
        <v>Pending</v>
      </c>
      <c r="AC466" s="3" t="str">
        <f aca="false">PROPER(TRIM(raw_data!U466))</f>
        <v>Cancelled</v>
      </c>
      <c r="AD466" s="7" t="n">
        <f aca="false">T466*U466*(1-W466)</f>
        <v>10331.478</v>
      </c>
      <c r="AE466" s="7" t="n">
        <f aca="false">AD466-Z466</f>
        <v>3199.568</v>
      </c>
      <c r="AF466" s="8" t="n">
        <f aca="false">IF(AD466=0,0,AE466/AD466)</f>
        <v>0.309691217461819</v>
      </c>
      <c r="AG466" s="3" t="str">
        <f aca="false">IF(ABS(Y466-AD466)&gt;1,"Mismatch","OK")</f>
        <v>OK</v>
      </c>
      <c r="AH466" s="3" t="str">
        <f aca="false">IF(ABS(AA466-AE466)&gt;1,"Mismatch","OK")</f>
        <v>OK</v>
      </c>
      <c r="AI466" s="6" t="n">
        <f aca="false">IF(B466="","",MONTH(B466))</f>
        <v>3</v>
      </c>
      <c r="AJ466" s="6" t="n">
        <f aca="false">IF(B466="","",YEAR(B466))</f>
        <v>2025</v>
      </c>
      <c r="AK466" s="3" t="str">
        <f aca="false">IF(COUNTIF(raw_data!$A$2:$A$913,A466)&gt;1,"Conflicting Duplicate - Flagged for Review","Unique")</f>
        <v>Unique</v>
      </c>
      <c r="AL466" s="3" t="str">
        <f aca="false">IF(AB466="Refunded","Yes","No")</f>
        <v>No</v>
      </c>
      <c r="AM466" s="3" t="str">
        <f aca="false">IF(OR(AC466&lt;&gt;"Completed",AB466="Failed"),"Excluded","Included")</f>
        <v>Excluded</v>
      </c>
      <c r="AN466" s="3" t="str">
        <f aca="false">IF(OR(D466="Invalid/Unrecognized",E466="Invalid/Unrecognized",G466="Invalid - Ship Before Order",X466="Negative - Invalid",X466="Above Allowed Range - Invalid",AG466="Mismatch",AH466="Mismatch",AK466="Conflicting Duplicate - Flagged for Review"),"Invalid",IF(OR(L466="Filled - Unknown",S466="Filled - Unknown",X466="Missing - Defaulted to 0",AL466="Yes",AC466="Cancelled",AC466="Returned"),"Warning","Clean"))</f>
        <v>Warning</v>
      </c>
    </row>
    <row r="467" customFormat="false" ht="15" hidden="false" customHeight="false" outlineLevel="0" collapsed="false">
      <c r="A467" s="3" t="str">
        <f aca="false">raw_data!A467</f>
        <v>ORD-2024-10466</v>
      </c>
      <c r="B467" s="4" t="n">
        <f aca="false">IFERROR(IF(MID(raw_data!B467,3,1)="/",DATE(VALUE(RIGHT(raw_data!B467,4)),VALUE(LEFT(raw_data!B467,2)),VALUE(MID(raw_data!B467,4,2))),IF(MID(raw_data!B467,3,1)="-",DATE(VALUE(RIGHT(raw_data!B467,4)),VALUE(MID(raw_data!B467,4,2)),VALUE(LEFT(raw_data!B467,2))),IF(MID(raw_data!B467,5,1)="-",DATE(VALUE(LEFT(raw_data!B467,4)),VALUE(MID(raw_data!B467,6,2)),VALUE(RIGHT(raw_data!B467,2))),DATE(VALUE(RIGHT(raw_data!B467,4)),MATCH(MID(raw_data!B467,4,3),{"Jan","Feb","Mar","Apr","May","Jun","Jul","Aug","Sep","Oct","Nov","Dec"},0),VALUE(LEFT(raw_data!B467,2)))))),"")</f>
        <v>45320</v>
      </c>
      <c r="C467" s="4" t="n">
        <f aca="false">IFERROR(IF(MID(raw_data!C467,3,1)="/",DATE(VALUE(RIGHT(raw_data!C467,4)),VALUE(LEFT(raw_data!C467,2)),VALUE(MID(raw_data!C467,4,2))),IF(MID(raw_data!C467,3,1)="-",DATE(VALUE(RIGHT(raw_data!C467,4)),VALUE(MID(raw_data!C467,4,2)),VALUE(LEFT(raw_data!C467,2))),IF(MID(raw_data!C467,5,1)="-",DATE(VALUE(LEFT(raw_data!C467,4)),VALUE(MID(raw_data!C467,6,2)),VALUE(RIGHT(raw_data!C467,2))),DATE(VALUE(RIGHT(raw_data!C467,4)),MATCH(MID(raw_data!C467,4,3),{"Jan","Feb","Mar","Apr","May","Jun","Jul","Aug","Sep","Oct","Nov","Dec"},0),VALUE(LEFT(raw_data!C467,2)))))),"")</f>
        <v>45328</v>
      </c>
      <c r="D467" s="3" t="str">
        <f aca="false">IF(TRIM(raw_data!B467)="","Missing",IF(B467="","Invalid/Unrecognized","Valid"))</f>
        <v>Valid</v>
      </c>
      <c r="E467" s="3" t="str">
        <f aca="false">IF(TRIM(raw_data!C467)="","Missing",IF(C467="","Invalid/Unrecognized","Valid"))</f>
        <v>Valid</v>
      </c>
      <c r="F467" s="5" t="n">
        <f aca="false">IF(OR(B467="",C467=""),"",C467-B467)</f>
        <v>8</v>
      </c>
      <c r="G467" s="3" t="str">
        <f aca="false">IF(F467="","N/A",IF(F467&lt;0,"Invalid - Ship Before Order","OK"))</f>
        <v>OK</v>
      </c>
      <c r="H467" s="3" t="str">
        <f aca="false">raw_data!D467</f>
        <v>CUST-1748</v>
      </c>
      <c r="I467" s="3" t="str">
        <f aca="false">PROPER(TRIM(raw_data!E467))</f>
        <v>Aarav Sharma</v>
      </c>
      <c r="J467" s="3" t="str">
        <f aca="false">PROPER(TRIM(raw_data!F467))</f>
        <v>Small Business</v>
      </c>
      <c r="K467" s="3" t="str">
        <f aca="false">IF(TRIM(raw_data!G467)="","Unknown",PROPER(TRIM(raw_data!G467)))</f>
        <v>West</v>
      </c>
      <c r="L467" s="3" t="str">
        <f aca="false">IF(TRIM(raw_data!G467)="","Filled - Unknown","OK")</f>
        <v>OK</v>
      </c>
      <c r="M467" s="3" t="str">
        <f aca="false">PROPER(TRIM(raw_data!H467))</f>
        <v>Madhya Pradesh</v>
      </c>
      <c r="N467" s="3" t="str">
        <f aca="false">PROPER(TRIM(raw_data!I467))</f>
        <v>Indore</v>
      </c>
      <c r="O467" s="3" t="str">
        <f aca="false">PROPER(TRIM(raw_data!J467))</f>
        <v>Office Supplies</v>
      </c>
      <c r="P467" s="3" t="str">
        <f aca="false">PROPER(TRIM(raw_data!K467))</f>
        <v>Labels</v>
      </c>
      <c r="Q467" s="3" t="str">
        <f aca="false">TRIM(raw_data!L467)</f>
        <v>Eco Labels 914</v>
      </c>
      <c r="R467" s="3" t="str">
        <f aca="false">IF(TRIM(raw_data!M467)="","Unknown",PROPER(TRIM(raw_data!M467)))</f>
        <v>Standard Class</v>
      </c>
      <c r="S467" s="3" t="str">
        <f aca="false">IF(TRIM(raw_data!M467)="","Filled - Unknown","OK")</f>
        <v>OK</v>
      </c>
      <c r="T467" s="6" t="n">
        <f aca="false">raw_data!N467</f>
        <v>2</v>
      </c>
      <c r="U467" s="7" t="n">
        <f aca="false">raw_data!O467</f>
        <v>1258.9</v>
      </c>
      <c r="V467" s="8" t="n">
        <f aca="false">raw_data!P467</f>
        <v>0</v>
      </c>
      <c r="W467" s="8" t="n">
        <f aca="false">IF(raw_data!P467="",0,IF(ISTEXT(raw_data!P467),IF(RIGHT(raw_data!P467,1)="%",VALUE(LEFT(raw_data!P467,LEN(raw_data!P467)-1))/100,VALUE(raw_data!P467)),raw_data!P467))</f>
        <v>0</v>
      </c>
      <c r="X467" s="3" t="str">
        <f aca="false">IF(raw_data!P467="","Missing - Defaulted to 0",IF(W467&lt;0,"Negative - Invalid",IF(W467&gt;0.3,"Above Allowed Range - Invalid","Valid")))</f>
        <v>Valid</v>
      </c>
      <c r="Y467" s="7" t="n">
        <f aca="false">raw_data!Q467</f>
        <v>2517.8</v>
      </c>
      <c r="Z467" s="7" t="n">
        <f aca="false">raw_data!R467</f>
        <v>1478.54</v>
      </c>
      <c r="AA467" s="7" t="n">
        <f aca="false">raw_data!S467</f>
        <v>1039.26</v>
      </c>
      <c r="AB467" s="3" t="str">
        <f aca="false">PROPER(TRIM(raw_data!T467))</f>
        <v>Paid</v>
      </c>
      <c r="AC467" s="3" t="str">
        <f aca="false">PROPER(TRIM(raw_data!U467))</f>
        <v>Completed</v>
      </c>
      <c r="AD467" s="7" t="n">
        <f aca="false">T467*U467*(1-W467)</f>
        <v>2517.8</v>
      </c>
      <c r="AE467" s="7" t="n">
        <f aca="false">AD467-Z467</f>
        <v>1039.26</v>
      </c>
      <c r="AF467" s="8" t="n">
        <f aca="false">IF(AD467=0,0,AE467/AD467)</f>
        <v>0.412765112399714</v>
      </c>
      <c r="AG467" s="3" t="str">
        <f aca="false">IF(ABS(Y467-AD467)&gt;1,"Mismatch","OK")</f>
        <v>OK</v>
      </c>
      <c r="AH467" s="3" t="str">
        <f aca="false">IF(ABS(AA467-AE467)&gt;1,"Mismatch","OK")</f>
        <v>OK</v>
      </c>
      <c r="AI467" s="6" t="n">
        <f aca="false">IF(B467="","",MONTH(B467))</f>
        <v>1</v>
      </c>
      <c r="AJ467" s="6" t="n">
        <f aca="false">IF(B467="","",YEAR(B467))</f>
        <v>2024</v>
      </c>
      <c r="AK467" s="3" t="str">
        <f aca="false">IF(COUNTIF(raw_data!$A$2:$A$913,A467)&gt;1,"Conflicting Duplicate - Flagged for Review","Unique")</f>
        <v>Unique</v>
      </c>
      <c r="AL467" s="3" t="str">
        <f aca="false">IF(AB467="Refunded","Yes","No")</f>
        <v>No</v>
      </c>
      <c r="AM467" s="3" t="str">
        <f aca="false">IF(OR(AC467&lt;&gt;"Completed",AB467="Failed"),"Excluded","Included")</f>
        <v>Included</v>
      </c>
      <c r="AN467" s="3" t="str">
        <f aca="false">IF(OR(D467="Invalid/Unrecognized",E467="Invalid/Unrecognized",G467="Invalid - Ship Before Order",X467="Negative - Invalid",X467="Above Allowed Range - Invalid",AG467="Mismatch",AH467="Mismatch",AK467="Conflicting Duplicate - Flagged for Review"),"Invalid",IF(OR(L467="Filled - Unknown",S467="Filled - Unknown",X467="Missing - Defaulted to 0",AL467="Yes",AC467="Cancelled",AC467="Returned"),"Warning","Clean"))</f>
        <v>Clean</v>
      </c>
    </row>
    <row r="468" customFormat="false" ht="15" hidden="false" customHeight="false" outlineLevel="0" collapsed="false">
      <c r="A468" s="3" t="str">
        <f aca="false">raw_data!A468</f>
        <v>ORD-2024-10467</v>
      </c>
      <c r="B468" s="4" t="n">
        <f aca="false">IFERROR(IF(MID(raw_data!B468,3,1)="/",DATE(VALUE(RIGHT(raw_data!B468,4)),VALUE(LEFT(raw_data!B468,2)),VALUE(MID(raw_data!B468,4,2))),IF(MID(raw_data!B468,3,1)="-",DATE(VALUE(RIGHT(raw_data!B468,4)),VALUE(MID(raw_data!B468,4,2)),VALUE(LEFT(raw_data!B468,2))),IF(MID(raw_data!B468,5,1)="-",DATE(VALUE(LEFT(raw_data!B468,4)),VALUE(MID(raw_data!B468,6,2)),VALUE(RIGHT(raw_data!B468,2))),DATE(VALUE(RIGHT(raw_data!B468,4)),MATCH(MID(raw_data!B468,4,3),{"Jan","Feb","Mar","Apr","May","Jun","Jul","Aug","Sep","Oct","Nov","Dec"},0),VALUE(LEFT(raw_data!B468,2)))))),"")</f>
        <v>45295</v>
      </c>
      <c r="C468" s="4" t="n">
        <f aca="false">IFERROR(IF(MID(raw_data!C468,3,1)="/",DATE(VALUE(RIGHT(raw_data!C468,4)),VALUE(LEFT(raw_data!C468,2)),VALUE(MID(raw_data!C468,4,2))),IF(MID(raw_data!C468,3,1)="-",DATE(VALUE(RIGHT(raw_data!C468,4)),VALUE(MID(raw_data!C468,4,2)),VALUE(LEFT(raw_data!C468,2))),IF(MID(raw_data!C468,5,1)="-",DATE(VALUE(LEFT(raw_data!C468,4)),VALUE(MID(raw_data!C468,6,2)),VALUE(RIGHT(raw_data!C468,2))),DATE(VALUE(RIGHT(raw_data!C468,4)),MATCH(MID(raw_data!C468,4,3),{"Jan","Feb","Mar","Apr","May","Jun","Jul","Aug","Sep","Oct","Nov","Dec"},0),VALUE(LEFT(raw_data!C468,2)))))),"")</f>
        <v>45299</v>
      </c>
      <c r="D468" s="3" t="str">
        <f aca="false">IF(TRIM(raw_data!B468)="","Missing",IF(B468="","Invalid/Unrecognized","Valid"))</f>
        <v>Valid</v>
      </c>
      <c r="E468" s="3" t="str">
        <f aca="false">IF(TRIM(raw_data!C468)="","Missing",IF(C468="","Invalid/Unrecognized","Valid"))</f>
        <v>Valid</v>
      </c>
      <c r="F468" s="5" t="n">
        <f aca="false">IF(OR(B468="",C468=""),"",C468-B468)</f>
        <v>4</v>
      </c>
      <c r="G468" s="3" t="str">
        <f aca="false">IF(F468="","N/A",IF(F468&lt;0,"Invalid - Ship Before Order","OK"))</f>
        <v>OK</v>
      </c>
      <c r="H468" s="3" t="str">
        <f aca="false">raw_data!D468</f>
        <v>CUST-2725</v>
      </c>
      <c r="I468" s="3" t="str">
        <f aca="false">PROPER(TRIM(raw_data!E468))</f>
        <v>Mira Das</v>
      </c>
      <c r="J468" s="3" t="str">
        <f aca="false">PROPER(TRIM(raw_data!F468))</f>
        <v>Small Business</v>
      </c>
      <c r="K468" s="3" t="str">
        <f aca="false">IF(TRIM(raw_data!G468)="","Unknown",PROPER(TRIM(raw_data!G468)))</f>
        <v>East</v>
      </c>
      <c r="L468" s="3" t="str">
        <f aca="false">IF(TRIM(raw_data!G468)="","Filled - Unknown","OK")</f>
        <v>OK</v>
      </c>
      <c r="M468" s="3" t="str">
        <f aca="false">PROPER(TRIM(raw_data!H468))</f>
        <v>Bihar</v>
      </c>
      <c r="N468" s="3" t="str">
        <f aca="false">PROPER(TRIM(raw_data!I468))</f>
        <v>Patna</v>
      </c>
      <c r="O468" s="3" t="str">
        <f aca="false">PROPER(TRIM(raw_data!J468))</f>
        <v>Technology</v>
      </c>
      <c r="P468" s="3" t="str">
        <f aca="false">PROPER(TRIM(raw_data!K468))</f>
        <v>Accessories</v>
      </c>
      <c r="Q468" s="3" t="str">
        <f aca="false">TRIM(raw_data!L468)</f>
        <v>Max Accessories 486</v>
      </c>
      <c r="R468" s="3" t="str">
        <f aca="false">IF(TRIM(raw_data!M468)="","Unknown",PROPER(TRIM(raw_data!M468)))</f>
        <v>Same Day</v>
      </c>
      <c r="S468" s="3" t="str">
        <f aca="false">IF(TRIM(raw_data!M468)="","Filled - Unknown","OK")</f>
        <v>OK</v>
      </c>
      <c r="T468" s="6" t="n">
        <f aca="false">raw_data!N468</f>
        <v>9</v>
      </c>
      <c r="U468" s="7" t="n">
        <f aca="false">raw_data!O468</f>
        <v>1591.96</v>
      </c>
      <c r="V468" s="8" t="n">
        <f aca="false">raw_data!P468</f>
        <v>0.2</v>
      </c>
      <c r="W468" s="8" t="n">
        <f aca="false">IF(raw_data!P468="",0,IF(ISTEXT(raw_data!P468),IF(RIGHT(raw_data!P468,1)="%",VALUE(LEFT(raw_data!P468,LEN(raw_data!P468)-1))/100,VALUE(raw_data!P468)),raw_data!P468))</f>
        <v>0.2</v>
      </c>
      <c r="X468" s="3" t="str">
        <f aca="false">IF(raw_data!P468="","Missing - Defaulted to 0",IF(W468&lt;0,"Negative - Invalid",IF(W468&gt;0.3,"Above Allowed Range - Invalid","Valid")))</f>
        <v>Valid</v>
      </c>
      <c r="Y468" s="7" t="n">
        <f aca="false">raw_data!Q468</f>
        <v>11462.11</v>
      </c>
      <c r="Z468" s="7" t="n">
        <f aca="false">raw_data!R468</f>
        <v>7105.48</v>
      </c>
      <c r="AA468" s="7" t="n">
        <f aca="false">raw_data!S468</f>
        <v>4356.63</v>
      </c>
      <c r="AB468" s="3" t="str">
        <f aca="false">PROPER(TRIM(raw_data!T468))</f>
        <v>Paid</v>
      </c>
      <c r="AC468" s="3" t="str">
        <f aca="false">PROPER(TRIM(raw_data!U468))</f>
        <v>Completed</v>
      </c>
      <c r="AD468" s="7" t="n">
        <f aca="false">T468*U468*(1-W468)</f>
        <v>11462.112</v>
      </c>
      <c r="AE468" s="7" t="n">
        <f aca="false">AD468-Z468</f>
        <v>4356.632</v>
      </c>
      <c r="AF468" s="8" t="n">
        <f aca="false">IF(AD468=0,0,AE468/AD468)</f>
        <v>0.380089812418514</v>
      </c>
      <c r="AG468" s="3" t="str">
        <f aca="false">IF(ABS(Y468-AD468)&gt;1,"Mismatch","OK")</f>
        <v>OK</v>
      </c>
      <c r="AH468" s="3" t="str">
        <f aca="false">IF(ABS(AA468-AE468)&gt;1,"Mismatch","OK")</f>
        <v>OK</v>
      </c>
      <c r="AI468" s="6" t="n">
        <f aca="false">IF(B468="","",MONTH(B468))</f>
        <v>1</v>
      </c>
      <c r="AJ468" s="6" t="n">
        <f aca="false">IF(B468="","",YEAR(B468))</f>
        <v>2024</v>
      </c>
      <c r="AK468" s="3" t="str">
        <f aca="false">IF(COUNTIF(raw_data!$A$2:$A$913,A468)&gt;1,"Conflicting Duplicate - Flagged for Review","Unique")</f>
        <v>Unique</v>
      </c>
      <c r="AL468" s="3" t="str">
        <f aca="false">IF(AB468="Refunded","Yes","No")</f>
        <v>No</v>
      </c>
      <c r="AM468" s="3" t="str">
        <f aca="false">IF(OR(AC468&lt;&gt;"Completed",AB468="Failed"),"Excluded","Included")</f>
        <v>Included</v>
      </c>
      <c r="AN468" s="3" t="str">
        <f aca="false">IF(OR(D468="Invalid/Unrecognized",E468="Invalid/Unrecognized",G468="Invalid - Ship Before Order",X468="Negative - Invalid",X468="Above Allowed Range - Invalid",AG468="Mismatch",AH468="Mismatch",AK468="Conflicting Duplicate - Flagged for Review"),"Invalid",IF(OR(L468="Filled - Unknown",S468="Filled - Unknown",X468="Missing - Defaulted to 0",AL468="Yes",AC468="Cancelled",AC468="Returned"),"Warning","Clean"))</f>
        <v>Clean</v>
      </c>
    </row>
    <row r="469" customFormat="false" ht="15" hidden="false" customHeight="false" outlineLevel="0" collapsed="false">
      <c r="A469" s="3" t="str">
        <f aca="false">raw_data!A469</f>
        <v>ORD-2024-10468</v>
      </c>
      <c r="B469" s="4" t="n">
        <f aca="false">IFERROR(IF(MID(raw_data!B469,3,1)="/",DATE(VALUE(RIGHT(raw_data!B469,4)),VALUE(LEFT(raw_data!B469,2)),VALUE(MID(raw_data!B469,4,2))),IF(MID(raw_data!B469,3,1)="-",DATE(VALUE(RIGHT(raw_data!B469,4)),VALUE(MID(raw_data!B469,4,2)),VALUE(LEFT(raw_data!B469,2))),IF(MID(raw_data!B469,5,1)="-",DATE(VALUE(LEFT(raw_data!B469,4)),VALUE(MID(raw_data!B469,6,2)),VALUE(RIGHT(raw_data!B469,2))),DATE(VALUE(RIGHT(raw_data!B469,4)),MATCH(MID(raw_data!B469,4,3),{"Jan","Feb","Mar","Apr","May","Jun","Jul","Aug","Sep","Oct","Nov","Dec"},0),VALUE(LEFT(raw_data!B469,2)))))),"")</f>
        <v>45524</v>
      </c>
      <c r="C469" s="4" t="n">
        <f aca="false">IFERROR(IF(MID(raw_data!C469,3,1)="/",DATE(VALUE(RIGHT(raw_data!C469,4)),VALUE(LEFT(raw_data!C469,2)),VALUE(MID(raw_data!C469,4,2))),IF(MID(raw_data!C469,3,1)="-",DATE(VALUE(RIGHT(raw_data!C469,4)),VALUE(MID(raw_data!C469,4,2)),VALUE(LEFT(raw_data!C469,2))),IF(MID(raw_data!C469,5,1)="-",DATE(VALUE(LEFT(raw_data!C469,4)),VALUE(MID(raw_data!C469,6,2)),VALUE(RIGHT(raw_data!C469,2))),DATE(VALUE(RIGHT(raw_data!C469,4)),MATCH(MID(raw_data!C469,4,3),{"Jan","Feb","Mar","Apr","May","Jun","Jul","Aug","Sep","Oct","Nov","Dec"},0),VALUE(LEFT(raw_data!C469,2)))))),"")</f>
        <v>45525</v>
      </c>
      <c r="D469" s="3" t="str">
        <f aca="false">IF(TRIM(raw_data!B469)="","Missing",IF(B469="","Invalid/Unrecognized","Valid"))</f>
        <v>Valid</v>
      </c>
      <c r="E469" s="3" t="str">
        <f aca="false">IF(TRIM(raw_data!C469)="","Missing",IF(C469="","Invalid/Unrecognized","Valid"))</f>
        <v>Valid</v>
      </c>
      <c r="F469" s="5" t="n">
        <f aca="false">IF(OR(B469="",C469=""),"",C469-B469)</f>
        <v>1</v>
      </c>
      <c r="G469" s="3" t="str">
        <f aca="false">IF(F469="","N/A",IF(F469&lt;0,"Invalid - Ship Before Order","OK"))</f>
        <v>OK</v>
      </c>
      <c r="H469" s="3" t="str">
        <f aca="false">raw_data!D469</f>
        <v>CUST-9470</v>
      </c>
      <c r="I469" s="3" t="str">
        <f aca="false">PROPER(TRIM(raw_data!E469))</f>
        <v>Aditi Sen</v>
      </c>
      <c r="J469" s="3" t="str">
        <f aca="false">PROPER(TRIM(raw_data!F469))</f>
        <v>Corporate</v>
      </c>
      <c r="K469" s="3" t="str">
        <f aca="false">IF(TRIM(raw_data!G469)="","Unknown",PROPER(TRIM(raw_data!G469)))</f>
        <v>East</v>
      </c>
      <c r="L469" s="3" t="str">
        <f aca="false">IF(TRIM(raw_data!G469)="","Filled - Unknown","OK")</f>
        <v>OK</v>
      </c>
      <c r="M469" s="3" t="str">
        <f aca="false">PROPER(TRIM(raw_data!H469))</f>
        <v>Odisha</v>
      </c>
      <c r="N469" s="3" t="str">
        <f aca="false">PROPER(TRIM(raw_data!I469))</f>
        <v>Bhubaneswar</v>
      </c>
      <c r="O469" s="3" t="str">
        <f aca="false">PROPER(TRIM(raw_data!J469))</f>
        <v>Technology</v>
      </c>
      <c r="P469" s="3" t="str">
        <f aca="false">PROPER(TRIM(raw_data!K469))</f>
        <v>Copiers</v>
      </c>
      <c r="Q469" s="3" t="str">
        <f aca="false">TRIM(raw_data!L469)</f>
        <v>Max Copiers 867</v>
      </c>
      <c r="R469" s="3" t="str">
        <f aca="false">IF(TRIM(raw_data!M469)="","Unknown",PROPER(TRIM(raw_data!M469)))</f>
        <v>First Class</v>
      </c>
      <c r="S469" s="3" t="str">
        <f aca="false">IF(TRIM(raw_data!M469)="","Filled - Unknown","OK")</f>
        <v>OK</v>
      </c>
      <c r="T469" s="6" t="n">
        <f aca="false">raw_data!N469</f>
        <v>5</v>
      </c>
      <c r="U469" s="7" t="n">
        <f aca="false">raw_data!O469</f>
        <v>4288.33</v>
      </c>
      <c r="V469" s="8" t="n">
        <f aca="false">raw_data!P469</f>
        <v>0.1</v>
      </c>
      <c r="W469" s="8" t="n">
        <f aca="false">IF(raw_data!P469="",0,IF(ISTEXT(raw_data!P469),IF(RIGHT(raw_data!P469,1)="%",VALUE(LEFT(raw_data!P469,LEN(raw_data!P469)-1))/100,VALUE(raw_data!P469)),raw_data!P469))</f>
        <v>0.1</v>
      </c>
      <c r="X469" s="3" t="str">
        <f aca="false">IF(raw_data!P469="","Missing - Defaulted to 0",IF(W469&lt;0,"Negative - Invalid",IF(W469&gt;0.3,"Above Allowed Range - Invalid","Valid")))</f>
        <v>Valid</v>
      </c>
      <c r="Y469" s="7" t="n">
        <f aca="false">raw_data!Q469</f>
        <v>19297.49</v>
      </c>
      <c r="Z469" s="7" t="n">
        <f aca="false">raw_data!R469</f>
        <v>15451.66</v>
      </c>
      <c r="AA469" s="7" t="n">
        <f aca="false">raw_data!S469</f>
        <v>3845.83</v>
      </c>
      <c r="AB469" s="3" t="str">
        <f aca="false">PROPER(TRIM(raw_data!T469))</f>
        <v>Refunded</v>
      </c>
      <c r="AC469" s="3" t="str">
        <f aca="false">PROPER(TRIM(raw_data!U469))</f>
        <v>Cancelled</v>
      </c>
      <c r="AD469" s="7" t="n">
        <f aca="false">T469*U469*(1-W469)</f>
        <v>19297.485</v>
      </c>
      <c r="AE469" s="7" t="n">
        <f aca="false">AD469-Z469</f>
        <v>3845.825</v>
      </c>
      <c r="AF469" s="8" t="n">
        <f aca="false">IF(AD469=0,0,AE469/AD469)</f>
        <v>0.199291513894168</v>
      </c>
      <c r="AG469" s="3" t="str">
        <f aca="false">IF(ABS(Y469-AD469)&gt;1,"Mismatch","OK")</f>
        <v>OK</v>
      </c>
      <c r="AH469" s="3" t="str">
        <f aca="false">IF(ABS(AA469-AE469)&gt;1,"Mismatch","OK")</f>
        <v>OK</v>
      </c>
      <c r="AI469" s="6" t="n">
        <f aca="false">IF(B469="","",MONTH(B469))</f>
        <v>8</v>
      </c>
      <c r="AJ469" s="6" t="n">
        <f aca="false">IF(B469="","",YEAR(B469))</f>
        <v>2024</v>
      </c>
      <c r="AK469" s="3" t="str">
        <f aca="false">IF(COUNTIF(raw_data!$A$2:$A$913,A469)&gt;1,"Conflicting Duplicate - Flagged for Review","Unique")</f>
        <v>Unique</v>
      </c>
      <c r="AL469" s="3" t="str">
        <f aca="false">IF(AB469="Refunded","Yes","No")</f>
        <v>Yes</v>
      </c>
      <c r="AM469" s="3" t="str">
        <f aca="false">IF(OR(AC469&lt;&gt;"Completed",AB469="Failed"),"Excluded","Included")</f>
        <v>Excluded</v>
      </c>
      <c r="AN469" s="3" t="str">
        <f aca="false">IF(OR(D469="Invalid/Unrecognized",E469="Invalid/Unrecognized",G469="Invalid - Ship Before Order",X469="Negative - Invalid",X469="Above Allowed Range - Invalid",AG469="Mismatch",AH469="Mismatch",AK469="Conflicting Duplicate - Flagged for Review"),"Invalid",IF(OR(L469="Filled - Unknown",S469="Filled - Unknown",X469="Missing - Defaulted to 0",AL469="Yes",AC469="Cancelled",AC469="Returned"),"Warning","Clean"))</f>
        <v>Warning</v>
      </c>
    </row>
    <row r="470" customFormat="false" ht="15" hidden="false" customHeight="false" outlineLevel="0" collapsed="false">
      <c r="A470" s="3" t="str">
        <f aca="false">raw_data!A470</f>
        <v>ORD-2025-10469</v>
      </c>
      <c r="B470" s="4" t="n">
        <f aca="false">IFERROR(IF(MID(raw_data!B470,3,1)="/",DATE(VALUE(RIGHT(raw_data!B470,4)),VALUE(LEFT(raw_data!B470,2)),VALUE(MID(raw_data!B470,4,2))),IF(MID(raw_data!B470,3,1)="-",DATE(VALUE(RIGHT(raw_data!B470,4)),VALUE(MID(raw_data!B470,4,2)),VALUE(LEFT(raw_data!B470,2))),IF(MID(raw_data!B470,5,1)="-",DATE(VALUE(LEFT(raw_data!B470,4)),VALUE(MID(raw_data!B470,6,2)),VALUE(RIGHT(raw_data!B470,2))),DATE(VALUE(RIGHT(raw_data!B470,4)),MATCH(MID(raw_data!B470,4,3),{"Jan","Feb","Mar","Apr","May","Jun","Jul","Aug","Sep","Oct","Nov","Dec"},0),VALUE(LEFT(raw_data!B470,2)))))),"")</f>
        <v>45666</v>
      </c>
      <c r="C470" s="4" t="n">
        <f aca="false">IFERROR(IF(MID(raw_data!C470,3,1)="/",DATE(VALUE(RIGHT(raw_data!C470,4)),VALUE(LEFT(raw_data!C470,2)),VALUE(MID(raw_data!C470,4,2))),IF(MID(raw_data!C470,3,1)="-",DATE(VALUE(RIGHT(raw_data!C470,4)),VALUE(MID(raw_data!C470,4,2)),VALUE(LEFT(raw_data!C470,2))),IF(MID(raw_data!C470,5,1)="-",DATE(VALUE(LEFT(raw_data!C470,4)),VALUE(MID(raw_data!C470,6,2)),VALUE(RIGHT(raw_data!C470,2))),DATE(VALUE(RIGHT(raw_data!C470,4)),MATCH(MID(raw_data!C470,4,3),{"Jan","Feb","Mar","Apr","May","Jun","Jul","Aug","Sep","Oct","Nov","Dec"},0),VALUE(LEFT(raw_data!C470,2)))))),"")</f>
        <v>45664</v>
      </c>
      <c r="D470" s="3" t="str">
        <f aca="false">IF(TRIM(raw_data!B470)="","Missing",IF(B470="","Invalid/Unrecognized","Valid"))</f>
        <v>Valid</v>
      </c>
      <c r="E470" s="3" t="str">
        <f aca="false">IF(TRIM(raw_data!C470)="","Missing",IF(C470="","Invalid/Unrecognized","Valid"))</f>
        <v>Valid</v>
      </c>
      <c r="F470" s="5" t="n">
        <f aca="false">IF(OR(B470="",C470=""),"",C470-B470)</f>
        <v>-2</v>
      </c>
      <c r="G470" s="3" t="str">
        <f aca="false">IF(F470="","N/A",IF(F470&lt;0,"Invalid - Ship Before Order","OK"))</f>
        <v>Invalid - Ship Before Order</v>
      </c>
      <c r="H470" s="3" t="str">
        <f aca="false">raw_data!D470</f>
        <v>CUST-4176</v>
      </c>
      <c r="I470" s="3" t="str">
        <f aca="false">PROPER(TRIM(raw_data!E470))</f>
        <v>Aarav Sharma</v>
      </c>
      <c r="J470" s="3" t="str">
        <f aca="false">PROPER(TRIM(raw_data!F470))</f>
        <v>Home Office</v>
      </c>
      <c r="K470" s="3" t="str">
        <f aca="false">IF(TRIM(raw_data!G470)="","Unknown",PROPER(TRIM(raw_data!G470)))</f>
        <v>East</v>
      </c>
      <c r="L470" s="3" t="str">
        <f aca="false">IF(TRIM(raw_data!G470)="","Filled - Unknown","OK")</f>
        <v>OK</v>
      </c>
      <c r="M470" s="3" t="str">
        <f aca="false">PROPER(TRIM(raw_data!H470))</f>
        <v>West Bengal</v>
      </c>
      <c r="N470" s="3" t="str">
        <f aca="false">PROPER(TRIM(raw_data!I470))</f>
        <v>Kolkata</v>
      </c>
      <c r="O470" s="3" t="str">
        <f aca="false">PROPER(TRIM(raw_data!J470))</f>
        <v>Office Supplies</v>
      </c>
      <c r="P470" s="3" t="str">
        <f aca="false">PROPER(TRIM(raw_data!K470))</f>
        <v>Binders</v>
      </c>
      <c r="Q470" s="3" t="str">
        <f aca="false">TRIM(raw_data!L470)</f>
        <v>Pro Binders 555</v>
      </c>
      <c r="R470" s="3" t="str">
        <f aca="false">IF(TRIM(raw_data!M470)="","Unknown",PROPER(TRIM(raw_data!M470)))</f>
        <v>Second Class</v>
      </c>
      <c r="S470" s="3" t="str">
        <f aca="false">IF(TRIM(raw_data!M470)="","Filled - Unknown","OK")</f>
        <v>OK</v>
      </c>
      <c r="T470" s="6" t="n">
        <f aca="false">raw_data!N470</f>
        <v>3</v>
      </c>
      <c r="U470" s="7" t="n">
        <f aca="false">raw_data!O470</f>
        <v>2188.33</v>
      </c>
      <c r="V470" s="8" t="n">
        <f aca="false">raw_data!P470</f>
        <v>0</v>
      </c>
      <c r="W470" s="8" t="n">
        <f aca="false">IF(raw_data!P470="",0,IF(ISTEXT(raw_data!P470),IF(RIGHT(raw_data!P470,1)="%",VALUE(LEFT(raw_data!P470,LEN(raw_data!P470)-1))/100,VALUE(raw_data!P470)),raw_data!P470))</f>
        <v>0</v>
      </c>
      <c r="X470" s="3" t="str">
        <f aca="false">IF(raw_data!P470="","Missing - Defaulted to 0",IF(W470&lt;0,"Negative - Invalid",IF(W470&gt;0.3,"Above Allowed Range - Invalid","Valid")))</f>
        <v>Valid</v>
      </c>
      <c r="Y470" s="7" t="n">
        <f aca="false">raw_data!Q470</f>
        <v>6564.99</v>
      </c>
      <c r="Z470" s="7" t="n">
        <f aca="false">raw_data!R470</f>
        <v>5407.24</v>
      </c>
      <c r="AA470" s="7" t="n">
        <f aca="false">raw_data!S470</f>
        <v>1157.75</v>
      </c>
      <c r="AB470" s="3" t="str">
        <f aca="false">PROPER(TRIM(raw_data!T470))</f>
        <v>Paid</v>
      </c>
      <c r="AC470" s="3" t="str">
        <f aca="false">PROPER(TRIM(raw_data!U470))</f>
        <v>Completed</v>
      </c>
      <c r="AD470" s="7" t="n">
        <f aca="false">T470*U470*(1-W470)</f>
        <v>6564.99</v>
      </c>
      <c r="AE470" s="7" t="n">
        <f aca="false">AD470-Z470</f>
        <v>1157.75</v>
      </c>
      <c r="AF470" s="8" t="n">
        <f aca="false">IF(AD470=0,0,AE470/AD470)</f>
        <v>0.176352134580555</v>
      </c>
      <c r="AG470" s="3" t="str">
        <f aca="false">IF(ABS(Y470-AD470)&gt;1,"Mismatch","OK")</f>
        <v>OK</v>
      </c>
      <c r="AH470" s="3" t="str">
        <f aca="false">IF(ABS(AA470-AE470)&gt;1,"Mismatch","OK")</f>
        <v>OK</v>
      </c>
      <c r="AI470" s="6" t="n">
        <f aca="false">IF(B470="","",MONTH(B470))</f>
        <v>1</v>
      </c>
      <c r="AJ470" s="6" t="n">
        <f aca="false">IF(B470="","",YEAR(B470))</f>
        <v>2025</v>
      </c>
      <c r="AK470" s="3" t="str">
        <f aca="false">IF(COUNTIF(raw_data!$A$2:$A$913,A470)&gt;1,"Conflicting Duplicate - Flagged for Review","Unique")</f>
        <v>Unique</v>
      </c>
      <c r="AL470" s="3" t="str">
        <f aca="false">IF(AB470="Refunded","Yes","No")</f>
        <v>No</v>
      </c>
      <c r="AM470" s="3" t="str">
        <f aca="false">IF(OR(AC470&lt;&gt;"Completed",AB470="Failed"),"Excluded","Included")</f>
        <v>Included</v>
      </c>
      <c r="AN470" s="3" t="str">
        <f aca="false">IF(OR(D470="Invalid/Unrecognized",E470="Invalid/Unrecognized",G470="Invalid - Ship Before Order",X470="Negative - Invalid",X470="Above Allowed Range - Invalid",AG470="Mismatch",AH470="Mismatch",AK470="Conflicting Duplicate - Flagged for Review"),"Invalid",IF(OR(L470="Filled - Unknown",S470="Filled - Unknown",X470="Missing - Defaulted to 0",AL470="Yes",AC470="Cancelled",AC470="Returned"),"Warning","Clean"))</f>
        <v>Invalid</v>
      </c>
    </row>
    <row r="471" customFormat="false" ht="15" hidden="false" customHeight="false" outlineLevel="0" collapsed="false">
      <c r="A471" s="3" t="str">
        <f aca="false">raw_data!A471</f>
        <v>ORD-2024-10470</v>
      </c>
      <c r="B471" s="4" t="n">
        <f aca="false">IFERROR(IF(MID(raw_data!B471,3,1)="/",DATE(VALUE(RIGHT(raw_data!B471,4)),VALUE(LEFT(raw_data!B471,2)),VALUE(MID(raw_data!B471,4,2))),IF(MID(raw_data!B471,3,1)="-",DATE(VALUE(RIGHT(raw_data!B471,4)),VALUE(MID(raw_data!B471,4,2)),VALUE(LEFT(raw_data!B471,2))),IF(MID(raw_data!B471,5,1)="-",DATE(VALUE(LEFT(raw_data!B471,4)),VALUE(MID(raw_data!B471,6,2)),VALUE(RIGHT(raw_data!B471,2))),DATE(VALUE(RIGHT(raw_data!B471,4)),MATCH(MID(raw_data!B471,4,3),{"Jan","Feb","Mar","Apr","May","Jun","Jul","Aug","Sep","Oct","Nov","Dec"},0),VALUE(LEFT(raw_data!B471,2)))))),"")</f>
        <v>45310</v>
      </c>
      <c r="C471" s="4" t="n">
        <f aca="false">IFERROR(IF(MID(raw_data!C471,3,1)="/",DATE(VALUE(RIGHT(raw_data!C471,4)),VALUE(LEFT(raw_data!C471,2)),VALUE(MID(raw_data!C471,4,2))),IF(MID(raw_data!C471,3,1)="-",DATE(VALUE(RIGHT(raw_data!C471,4)),VALUE(MID(raw_data!C471,4,2)),VALUE(LEFT(raw_data!C471,2))),IF(MID(raw_data!C471,5,1)="-",DATE(VALUE(LEFT(raw_data!C471,4)),VALUE(MID(raw_data!C471,6,2)),VALUE(RIGHT(raw_data!C471,2))),DATE(VALUE(RIGHT(raw_data!C471,4)),MATCH(MID(raw_data!C471,4,3),{"Jan","Feb","Mar","Apr","May","Jun","Jul","Aug","Sep","Oct","Nov","Dec"},0),VALUE(LEFT(raw_data!C471,2)))))),"")</f>
        <v>45316</v>
      </c>
      <c r="D471" s="3" t="str">
        <f aca="false">IF(TRIM(raw_data!B471)="","Missing",IF(B471="","Invalid/Unrecognized","Valid"))</f>
        <v>Valid</v>
      </c>
      <c r="E471" s="3" t="str">
        <f aca="false">IF(TRIM(raw_data!C471)="","Missing",IF(C471="","Invalid/Unrecognized","Valid"))</f>
        <v>Valid</v>
      </c>
      <c r="F471" s="5" t="n">
        <f aca="false">IF(OR(B471="",C471=""),"",C471-B471)</f>
        <v>6</v>
      </c>
      <c r="G471" s="3" t="str">
        <f aca="false">IF(F471="","N/A",IF(F471&lt;0,"Invalid - Ship Before Order","OK"))</f>
        <v>OK</v>
      </c>
      <c r="H471" s="3" t="str">
        <f aca="false">raw_data!D471</f>
        <v>CUST-3448</v>
      </c>
      <c r="I471" s="3" t="str">
        <f aca="false">PROPER(TRIM(raw_data!E471))</f>
        <v>Aditi Sen</v>
      </c>
      <c r="J471" s="3" t="str">
        <f aca="false">PROPER(TRIM(raw_data!F471))</f>
        <v>Corporate</v>
      </c>
      <c r="K471" s="3" t="str">
        <f aca="false">IF(TRIM(raw_data!G471)="","Unknown",PROPER(TRIM(raw_data!G471)))</f>
        <v>West</v>
      </c>
      <c r="L471" s="3" t="str">
        <f aca="false">IF(TRIM(raw_data!G471)="","Filled - Unknown","OK")</f>
        <v>OK</v>
      </c>
      <c r="M471" s="3" t="str">
        <f aca="false">PROPER(TRIM(raw_data!H471))</f>
        <v>Goa</v>
      </c>
      <c r="N471" s="3" t="str">
        <f aca="false">PROPER(TRIM(raw_data!I471))</f>
        <v>Panaji</v>
      </c>
      <c r="O471" s="3" t="str">
        <f aca="false">PROPER(TRIM(raw_data!J471))</f>
        <v>Technology</v>
      </c>
      <c r="P471" s="3" t="str">
        <f aca="false">PROPER(TRIM(raw_data!K471))</f>
        <v>Copiers</v>
      </c>
      <c r="Q471" s="3" t="str">
        <f aca="false">TRIM(raw_data!L471)</f>
        <v>Pro Copiers 971</v>
      </c>
      <c r="R471" s="3" t="str">
        <f aca="false">IF(TRIM(raw_data!M471)="","Unknown",PROPER(TRIM(raw_data!M471)))</f>
        <v>First Class</v>
      </c>
      <c r="S471" s="3" t="str">
        <f aca="false">IF(TRIM(raw_data!M471)="","Filled - Unknown","OK")</f>
        <v>OK</v>
      </c>
      <c r="T471" s="6" t="n">
        <f aca="false">raw_data!N471</f>
        <v>3</v>
      </c>
      <c r="U471" s="7" t="n">
        <f aca="false">raw_data!O471</f>
        <v>1041.66</v>
      </c>
      <c r="V471" s="8" t="n">
        <f aca="false">raw_data!P471</f>
        <v>0.1</v>
      </c>
      <c r="W471" s="8" t="n">
        <f aca="false">IF(raw_data!P471="",0,IF(ISTEXT(raw_data!P471),IF(RIGHT(raw_data!P471,1)="%",VALUE(LEFT(raw_data!P471,LEN(raw_data!P471)-1))/100,VALUE(raw_data!P471)),raw_data!P471))</f>
        <v>0.1</v>
      </c>
      <c r="X471" s="3" t="str">
        <f aca="false">IF(raw_data!P471="","Missing - Defaulted to 0",IF(W471&lt;0,"Negative - Invalid",IF(W471&gt;0.3,"Above Allowed Range - Invalid","Valid")))</f>
        <v>Valid</v>
      </c>
      <c r="Y471" s="7" t="n">
        <f aca="false">raw_data!Q471</f>
        <v>2812.48</v>
      </c>
      <c r="Z471" s="7" t="n">
        <f aca="false">raw_data!R471</f>
        <v>2282.12</v>
      </c>
      <c r="AA471" s="7" t="n">
        <f aca="false">raw_data!S471</f>
        <v>530.36</v>
      </c>
      <c r="AB471" s="3" t="str">
        <f aca="false">PROPER(TRIM(raw_data!T471))</f>
        <v>Paid</v>
      </c>
      <c r="AC471" s="3" t="str">
        <f aca="false">PROPER(TRIM(raw_data!U471))</f>
        <v>Completed</v>
      </c>
      <c r="AD471" s="7" t="n">
        <f aca="false">T471*U471*(1-W471)</f>
        <v>2812.482</v>
      </c>
      <c r="AE471" s="7" t="n">
        <f aca="false">AD471-Z471</f>
        <v>530.362000000001</v>
      </c>
      <c r="AF471" s="8" t="n">
        <f aca="false">IF(AD471=0,0,AE471/AD471)</f>
        <v>0.188574362431475</v>
      </c>
      <c r="AG471" s="3" t="str">
        <f aca="false">IF(ABS(Y471-AD471)&gt;1,"Mismatch","OK")</f>
        <v>OK</v>
      </c>
      <c r="AH471" s="3" t="str">
        <f aca="false">IF(ABS(AA471-AE471)&gt;1,"Mismatch","OK")</f>
        <v>OK</v>
      </c>
      <c r="AI471" s="6" t="n">
        <f aca="false">IF(B471="","",MONTH(B471))</f>
        <v>1</v>
      </c>
      <c r="AJ471" s="6" t="n">
        <f aca="false">IF(B471="","",YEAR(B471))</f>
        <v>2024</v>
      </c>
      <c r="AK471" s="3" t="str">
        <f aca="false">IF(COUNTIF(raw_data!$A$2:$A$913,A471)&gt;1,"Conflicting Duplicate - Flagged for Review","Unique")</f>
        <v>Unique</v>
      </c>
      <c r="AL471" s="3" t="str">
        <f aca="false">IF(AB471="Refunded","Yes","No")</f>
        <v>No</v>
      </c>
      <c r="AM471" s="3" t="str">
        <f aca="false">IF(OR(AC471&lt;&gt;"Completed",AB471="Failed"),"Excluded","Included")</f>
        <v>Included</v>
      </c>
      <c r="AN471" s="3" t="str">
        <f aca="false">IF(OR(D471="Invalid/Unrecognized",E471="Invalid/Unrecognized",G471="Invalid - Ship Before Order",X471="Negative - Invalid",X471="Above Allowed Range - Invalid",AG471="Mismatch",AH471="Mismatch",AK471="Conflicting Duplicate - Flagged for Review"),"Invalid",IF(OR(L471="Filled - Unknown",S471="Filled - Unknown",X471="Missing - Defaulted to 0",AL471="Yes",AC471="Cancelled",AC471="Returned"),"Warning","Clean"))</f>
        <v>Clean</v>
      </c>
    </row>
    <row r="472" customFormat="false" ht="15" hidden="false" customHeight="false" outlineLevel="0" collapsed="false">
      <c r="A472" s="3" t="str">
        <f aca="false">raw_data!A472</f>
        <v>ORD-2024-10471</v>
      </c>
      <c r="B472" s="4" t="n">
        <f aca="false">IFERROR(IF(MID(raw_data!B472,3,1)="/",DATE(VALUE(RIGHT(raw_data!B472,4)),VALUE(LEFT(raw_data!B472,2)),VALUE(MID(raw_data!B472,4,2))),IF(MID(raw_data!B472,3,1)="-",DATE(VALUE(RIGHT(raw_data!B472,4)),VALUE(MID(raw_data!B472,4,2)),VALUE(LEFT(raw_data!B472,2))),IF(MID(raw_data!B472,5,1)="-",DATE(VALUE(LEFT(raw_data!B472,4)),VALUE(MID(raw_data!B472,6,2)),VALUE(RIGHT(raw_data!B472,2))),DATE(VALUE(RIGHT(raw_data!B472,4)),MATCH(MID(raw_data!B472,4,3),{"Jan","Feb","Mar","Apr","May","Jun","Jul","Aug","Sep","Oct","Nov","Dec"},0),VALUE(LEFT(raw_data!B472,2)))))),"")</f>
        <v>45501</v>
      </c>
      <c r="C472" s="4" t="n">
        <f aca="false">IFERROR(IF(MID(raw_data!C472,3,1)="/",DATE(VALUE(RIGHT(raw_data!C472,4)),VALUE(LEFT(raw_data!C472,2)),VALUE(MID(raw_data!C472,4,2))),IF(MID(raw_data!C472,3,1)="-",DATE(VALUE(RIGHT(raw_data!C472,4)),VALUE(MID(raw_data!C472,4,2)),VALUE(LEFT(raw_data!C472,2))),IF(MID(raw_data!C472,5,1)="-",DATE(VALUE(LEFT(raw_data!C472,4)),VALUE(MID(raw_data!C472,6,2)),VALUE(RIGHT(raw_data!C472,2))),DATE(VALUE(RIGHT(raw_data!C472,4)),MATCH(MID(raw_data!C472,4,3),{"Jan","Feb","Mar","Apr","May","Jun","Jul","Aug","Sep","Oct","Nov","Dec"},0),VALUE(LEFT(raw_data!C472,2)))))),"")</f>
        <v>45504</v>
      </c>
      <c r="D472" s="3" t="str">
        <f aca="false">IF(TRIM(raw_data!B472)="","Missing",IF(B472="","Invalid/Unrecognized","Valid"))</f>
        <v>Valid</v>
      </c>
      <c r="E472" s="3" t="str">
        <f aca="false">IF(TRIM(raw_data!C472)="","Missing",IF(C472="","Invalid/Unrecognized","Valid"))</f>
        <v>Valid</v>
      </c>
      <c r="F472" s="5" t="n">
        <f aca="false">IF(OR(B472="",C472=""),"",C472-B472)</f>
        <v>3</v>
      </c>
      <c r="G472" s="3" t="str">
        <f aca="false">IF(F472="","N/A",IF(F472&lt;0,"Invalid - Ship Before Order","OK"))</f>
        <v>OK</v>
      </c>
      <c r="H472" s="3" t="str">
        <f aca="false">raw_data!D472</f>
        <v>CUST-4970</v>
      </c>
      <c r="I472" s="3" t="str">
        <f aca="false">PROPER(TRIM(raw_data!E472))</f>
        <v>Aditi Sen</v>
      </c>
      <c r="J472" s="3" t="str">
        <f aca="false">PROPER(TRIM(raw_data!F472))</f>
        <v>Consumer</v>
      </c>
      <c r="K472" s="3" t="str">
        <f aca="false">IF(TRIM(raw_data!G472)="","Unknown",PROPER(TRIM(raw_data!G472)))</f>
        <v>North</v>
      </c>
      <c r="L472" s="3" t="str">
        <f aca="false">IF(TRIM(raw_data!G472)="","Filled - Unknown","OK")</f>
        <v>OK</v>
      </c>
      <c r="M472" s="3" t="str">
        <f aca="false">PROPER(TRIM(raw_data!H472))</f>
        <v>Rajasthan</v>
      </c>
      <c r="N472" s="3" t="str">
        <f aca="false">PROPER(TRIM(raw_data!I472))</f>
        <v>Jaipur</v>
      </c>
      <c r="O472" s="3" t="str">
        <f aca="false">PROPER(TRIM(raw_data!J472))</f>
        <v>Furniture</v>
      </c>
      <c r="P472" s="3" t="str">
        <f aca="false">PROPER(TRIM(raw_data!K472))</f>
        <v>Tables</v>
      </c>
      <c r="Q472" s="3" t="str">
        <f aca="false">TRIM(raw_data!L472)</f>
        <v>Pro Tables 833</v>
      </c>
      <c r="R472" s="3" t="str">
        <f aca="false">IF(TRIM(raw_data!M472)="","Unknown",PROPER(TRIM(raw_data!M472)))</f>
        <v>Same Day</v>
      </c>
      <c r="S472" s="3" t="str">
        <f aca="false">IF(TRIM(raw_data!M472)="","Filled - Unknown","OK")</f>
        <v>OK</v>
      </c>
      <c r="T472" s="6" t="n">
        <f aca="false">raw_data!N472</f>
        <v>2</v>
      </c>
      <c r="U472" s="7" t="n">
        <f aca="false">raw_data!O472</f>
        <v>4424.78</v>
      </c>
      <c r="V472" s="8" t="n">
        <f aca="false">raw_data!P472</f>
        <v>0.2</v>
      </c>
      <c r="W472" s="8" t="n">
        <f aca="false">IF(raw_data!P472="",0,IF(ISTEXT(raw_data!P472),IF(RIGHT(raw_data!P472,1)="%",VALUE(LEFT(raw_data!P472,LEN(raw_data!P472)-1))/100,VALUE(raw_data!P472)),raw_data!P472))</f>
        <v>0.2</v>
      </c>
      <c r="X472" s="3" t="str">
        <f aca="false">IF(raw_data!P472="","Missing - Defaulted to 0",IF(W472&lt;0,"Negative - Invalid",IF(W472&gt;0.3,"Above Allowed Range - Invalid","Valid")))</f>
        <v>Valid</v>
      </c>
      <c r="Y472" s="7" t="n">
        <f aca="false">raw_data!Q472</f>
        <v>7079.65</v>
      </c>
      <c r="Z472" s="7" t="n">
        <f aca="false">raw_data!R472</f>
        <v>4465.91</v>
      </c>
      <c r="AA472" s="7" t="n">
        <f aca="false">raw_data!S472</f>
        <v>2613.74</v>
      </c>
      <c r="AB472" s="3" t="str">
        <f aca="false">PROPER(TRIM(raw_data!T472))</f>
        <v>Paid</v>
      </c>
      <c r="AC472" s="3" t="str">
        <f aca="false">PROPER(TRIM(raw_data!U472))</f>
        <v>Completed</v>
      </c>
      <c r="AD472" s="7" t="n">
        <f aca="false">T472*U472*(1-W472)</f>
        <v>7079.648</v>
      </c>
      <c r="AE472" s="7" t="n">
        <f aca="false">AD472-Z472</f>
        <v>2613.738</v>
      </c>
      <c r="AF472" s="8" t="n">
        <f aca="false">IF(AD472=0,0,AE472/AD472)</f>
        <v>0.369190389126691</v>
      </c>
      <c r="AG472" s="3" t="str">
        <f aca="false">IF(ABS(Y472-AD472)&gt;1,"Mismatch","OK")</f>
        <v>OK</v>
      </c>
      <c r="AH472" s="3" t="str">
        <f aca="false">IF(ABS(AA472-AE472)&gt;1,"Mismatch","OK")</f>
        <v>OK</v>
      </c>
      <c r="AI472" s="6" t="n">
        <f aca="false">IF(B472="","",MONTH(B472))</f>
        <v>7</v>
      </c>
      <c r="AJ472" s="6" t="n">
        <f aca="false">IF(B472="","",YEAR(B472))</f>
        <v>2024</v>
      </c>
      <c r="AK472" s="3" t="str">
        <f aca="false">IF(COUNTIF(raw_data!$A$2:$A$913,A472)&gt;1,"Conflicting Duplicate - Flagged for Review","Unique")</f>
        <v>Unique</v>
      </c>
      <c r="AL472" s="3" t="str">
        <f aca="false">IF(AB472="Refunded","Yes","No")</f>
        <v>No</v>
      </c>
      <c r="AM472" s="3" t="str">
        <f aca="false">IF(OR(AC472&lt;&gt;"Completed",AB472="Failed"),"Excluded","Included")</f>
        <v>Included</v>
      </c>
      <c r="AN472" s="3" t="str">
        <f aca="false">IF(OR(D472="Invalid/Unrecognized",E472="Invalid/Unrecognized",G472="Invalid - Ship Before Order",X472="Negative - Invalid",X472="Above Allowed Range - Invalid",AG472="Mismatch",AH472="Mismatch",AK472="Conflicting Duplicate - Flagged for Review"),"Invalid",IF(OR(L472="Filled - Unknown",S472="Filled - Unknown",X472="Missing - Defaulted to 0",AL472="Yes",AC472="Cancelled",AC472="Returned"),"Warning","Clean"))</f>
        <v>Clean</v>
      </c>
    </row>
    <row r="473" customFormat="false" ht="15" hidden="false" customHeight="false" outlineLevel="0" collapsed="false">
      <c r="A473" s="3" t="str">
        <f aca="false">raw_data!A473</f>
        <v>ORD-2024-10472</v>
      </c>
      <c r="B473" s="4" t="n">
        <f aca="false">IFERROR(IF(MID(raw_data!B473,3,1)="/",DATE(VALUE(RIGHT(raw_data!B473,4)),VALUE(LEFT(raw_data!B473,2)),VALUE(MID(raw_data!B473,4,2))),IF(MID(raw_data!B473,3,1)="-",DATE(VALUE(RIGHT(raw_data!B473,4)),VALUE(MID(raw_data!B473,4,2)),VALUE(LEFT(raw_data!B473,2))),IF(MID(raw_data!B473,5,1)="-",DATE(VALUE(LEFT(raw_data!B473,4)),VALUE(MID(raw_data!B473,6,2)),VALUE(RIGHT(raw_data!B473,2))),DATE(VALUE(RIGHT(raw_data!B473,4)),MATCH(MID(raw_data!B473,4,3),{"Jan","Feb","Mar","Apr","May","Jun","Jul","Aug","Sep","Oct","Nov","Dec"},0),VALUE(LEFT(raw_data!B473,2)))))),"")</f>
        <v>45333</v>
      </c>
      <c r="C473" s="4" t="n">
        <f aca="false">IFERROR(IF(MID(raw_data!C473,3,1)="/",DATE(VALUE(RIGHT(raw_data!C473,4)),VALUE(LEFT(raw_data!C473,2)),VALUE(MID(raw_data!C473,4,2))),IF(MID(raw_data!C473,3,1)="-",DATE(VALUE(RIGHT(raw_data!C473,4)),VALUE(MID(raw_data!C473,4,2)),VALUE(LEFT(raw_data!C473,2))),IF(MID(raw_data!C473,5,1)="-",DATE(VALUE(LEFT(raw_data!C473,4)),VALUE(MID(raw_data!C473,6,2)),VALUE(RIGHT(raw_data!C473,2))),DATE(VALUE(RIGHT(raw_data!C473,4)),MATCH(MID(raw_data!C473,4,3),{"Jan","Feb","Mar","Apr","May","Jun","Jul","Aug","Sep","Oct","Nov","Dec"},0),VALUE(LEFT(raw_data!C473,2)))))),"")</f>
        <v>45337</v>
      </c>
      <c r="D473" s="3" t="str">
        <f aca="false">IF(TRIM(raw_data!B473)="","Missing",IF(B473="","Invalid/Unrecognized","Valid"))</f>
        <v>Valid</v>
      </c>
      <c r="E473" s="3" t="str">
        <f aca="false">IF(TRIM(raw_data!C473)="","Missing",IF(C473="","Invalid/Unrecognized","Valid"))</f>
        <v>Valid</v>
      </c>
      <c r="F473" s="5" t="n">
        <f aca="false">IF(OR(B473="",C473=""),"",C473-B473)</f>
        <v>4</v>
      </c>
      <c r="G473" s="3" t="str">
        <f aca="false">IF(F473="","N/A",IF(F473&lt;0,"Invalid - Ship Before Order","OK"))</f>
        <v>OK</v>
      </c>
      <c r="H473" s="3" t="str">
        <f aca="false">raw_data!D473</f>
        <v>CUST-6147</v>
      </c>
      <c r="I473" s="3" t="str">
        <f aca="false">PROPER(TRIM(raw_data!E473))</f>
        <v>Kabir Singh</v>
      </c>
      <c r="J473" s="3" t="str">
        <f aca="false">PROPER(TRIM(raw_data!F473))</f>
        <v>Consumer</v>
      </c>
      <c r="K473" s="3" t="str">
        <f aca="false">IF(TRIM(raw_data!G473)="","Unknown",PROPER(TRIM(raw_data!G473)))</f>
        <v>South</v>
      </c>
      <c r="L473" s="3" t="str">
        <f aca="false">IF(TRIM(raw_data!G473)="","Filled - Unknown","OK")</f>
        <v>OK</v>
      </c>
      <c r="M473" s="3" t="str">
        <f aca="false">PROPER(TRIM(raw_data!H473))</f>
        <v>Telangana</v>
      </c>
      <c r="N473" s="3" t="str">
        <f aca="false">PROPER(TRIM(raw_data!I473))</f>
        <v>Hyderabad</v>
      </c>
      <c r="O473" s="3" t="str">
        <f aca="false">PROPER(TRIM(raw_data!J473))</f>
        <v>Office Supplies</v>
      </c>
      <c r="P473" s="3" t="str">
        <f aca="false">PROPER(TRIM(raw_data!K473))</f>
        <v>Binders</v>
      </c>
      <c r="Q473" s="3" t="str">
        <f aca="false">TRIM(raw_data!L473)</f>
        <v>Prime Binders 497</v>
      </c>
      <c r="R473" s="3" t="str">
        <f aca="false">IF(TRIM(raw_data!M473)="","Unknown",PROPER(TRIM(raw_data!M473)))</f>
        <v>Standard Class</v>
      </c>
      <c r="S473" s="3" t="str">
        <f aca="false">IF(TRIM(raw_data!M473)="","Filled - Unknown","OK")</f>
        <v>OK</v>
      </c>
      <c r="T473" s="6" t="n">
        <f aca="false">raw_data!N473</f>
        <v>3</v>
      </c>
      <c r="U473" s="7" t="n">
        <f aca="false">raw_data!O473</f>
        <v>3019.14</v>
      </c>
      <c r="V473" s="8" t="n">
        <f aca="false">raw_data!P473</f>
        <v>0.25</v>
      </c>
      <c r="W473" s="8" t="n">
        <f aca="false">IF(raw_data!P473="",0,IF(ISTEXT(raw_data!P473),IF(RIGHT(raw_data!P473,1)="%",VALUE(LEFT(raw_data!P473,LEN(raw_data!P473)-1))/100,VALUE(raw_data!P473)),raw_data!P473))</f>
        <v>0.25</v>
      </c>
      <c r="X473" s="3" t="str">
        <f aca="false">IF(raw_data!P473="","Missing - Defaulted to 0",IF(W473&lt;0,"Negative - Invalid",IF(W473&gt;0.3,"Above Allowed Range - Invalid","Valid")))</f>
        <v>Valid</v>
      </c>
      <c r="Y473" s="7" t="n">
        <f aca="false">raw_data!Q473</f>
        <v>6793.07</v>
      </c>
      <c r="Z473" s="7" t="n">
        <f aca="false">raw_data!R473</f>
        <v>4985.22</v>
      </c>
      <c r="AA473" s="7" t="n">
        <f aca="false">raw_data!S473</f>
        <v>1807.85</v>
      </c>
      <c r="AB473" s="3" t="str">
        <f aca="false">PROPER(TRIM(raw_data!T473))</f>
        <v>Paid</v>
      </c>
      <c r="AC473" s="3" t="str">
        <f aca="false">PROPER(TRIM(raw_data!U473))</f>
        <v>Completed</v>
      </c>
      <c r="AD473" s="7" t="n">
        <f aca="false">T473*U473*(1-W473)</f>
        <v>6793.065</v>
      </c>
      <c r="AE473" s="7" t="n">
        <f aca="false">AD473-Z473</f>
        <v>1807.845</v>
      </c>
      <c r="AF473" s="8" t="n">
        <f aca="false">IF(AD473=0,0,AE473/AD473)</f>
        <v>0.266130973279367</v>
      </c>
      <c r="AG473" s="3" t="str">
        <f aca="false">IF(ABS(Y473-AD473)&gt;1,"Mismatch","OK")</f>
        <v>OK</v>
      </c>
      <c r="AH473" s="3" t="str">
        <f aca="false">IF(ABS(AA473-AE473)&gt;1,"Mismatch","OK")</f>
        <v>OK</v>
      </c>
      <c r="AI473" s="6" t="n">
        <f aca="false">IF(B473="","",MONTH(B473))</f>
        <v>2</v>
      </c>
      <c r="AJ473" s="6" t="n">
        <f aca="false">IF(B473="","",YEAR(B473))</f>
        <v>2024</v>
      </c>
      <c r="AK473" s="3" t="str">
        <f aca="false">IF(COUNTIF(raw_data!$A$2:$A$913,A473)&gt;1,"Conflicting Duplicate - Flagged for Review","Unique")</f>
        <v>Unique</v>
      </c>
      <c r="AL473" s="3" t="str">
        <f aca="false">IF(AB473="Refunded","Yes","No")</f>
        <v>No</v>
      </c>
      <c r="AM473" s="3" t="str">
        <f aca="false">IF(OR(AC473&lt;&gt;"Completed",AB473="Failed"),"Excluded","Included")</f>
        <v>Included</v>
      </c>
      <c r="AN473" s="3" t="str">
        <f aca="false">IF(OR(D473="Invalid/Unrecognized",E473="Invalid/Unrecognized",G473="Invalid - Ship Before Order",X473="Negative - Invalid",X473="Above Allowed Range - Invalid",AG473="Mismatch",AH473="Mismatch",AK473="Conflicting Duplicate - Flagged for Review"),"Invalid",IF(OR(L473="Filled - Unknown",S473="Filled - Unknown",X473="Missing - Defaulted to 0",AL473="Yes",AC473="Cancelled",AC473="Returned"),"Warning","Clean"))</f>
        <v>Clean</v>
      </c>
    </row>
    <row r="474" customFormat="false" ht="15" hidden="false" customHeight="false" outlineLevel="0" collapsed="false">
      <c r="A474" s="3" t="str">
        <f aca="false">raw_data!A474</f>
        <v>ORD-2024-10473</v>
      </c>
      <c r="B474" s="4" t="n">
        <f aca="false">IFERROR(IF(MID(raw_data!B474,3,1)="/",DATE(VALUE(RIGHT(raw_data!B474,4)),VALUE(LEFT(raw_data!B474,2)),VALUE(MID(raw_data!B474,4,2))),IF(MID(raw_data!B474,3,1)="-",DATE(VALUE(RIGHT(raw_data!B474,4)),VALUE(MID(raw_data!B474,4,2)),VALUE(LEFT(raw_data!B474,2))),IF(MID(raw_data!B474,5,1)="-",DATE(VALUE(LEFT(raw_data!B474,4)),VALUE(MID(raw_data!B474,6,2)),VALUE(RIGHT(raw_data!B474,2))),DATE(VALUE(RIGHT(raw_data!B474,4)),MATCH(MID(raw_data!B474,4,3),{"Jan","Feb","Mar","Apr","May","Jun","Jul","Aug","Sep","Oct","Nov","Dec"},0),VALUE(LEFT(raw_data!B474,2)))))),"")</f>
        <v>45353</v>
      </c>
      <c r="C474" s="4" t="n">
        <f aca="false">IFERROR(IF(MID(raw_data!C474,3,1)="/",DATE(VALUE(RIGHT(raw_data!C474,4)),VALUE(LEFT(raw_data!C474,2)),VALUE(MID(raw_data!C474,4,2))),IF(MID(raw_data!C474,3,1)="-",DATE(VALUE(RIGHT(raw_data!C474,4)),VALUE(MID(raw_data!C474,4,2)),VALUE(LEFT(raw_data!C474,2))),IF(MID(raw_data!C474,5,1)="-",DATE(VALUE(LEFT(raw_data!C474,4)),VALUE(MID(raw_data!C474,6,2)),VALUE(RIGHT(raw_data!C474,2))),DATE(VALUE(RIGHT(raw_data!C474,4)),MATCH(MID(raw_data!C474,4,3),{"Jan","Feb","Mar","Apr","May","Jun","Jul","Aug","Sep","Oct","Nov","Dec"},0),VALUE(LEFT(raw_data!C474,2)))))),"")</f>
        <v>45358</v>
      </c>
      <c r="D474" s="3" t="str">
        <f aca="false">IF(TRIM(raw_data!B474)="","Missing",IF(B474="","Invalid/Unrecognized","Valid"))</f>
        <v>Valid</v>
      </c>
      <c r="E474" s="3" t="str">
        <f aca="false">IF(TRIM(raw_data!C474)="","Missing",IF(C474="","Invalid/Unrecognized","Valid"))</f>
        <v>Valid</v>
      </c>
      <c r="F474" s="5" t="n">
        <f aca="false">IF(OR(B474="",C474=""),"",C474-B474)</f>
        <v>5</v>
      </c>
      <c r="G474" s="3" t="str">
        <f aca="false">IF(F474="","N/A",IF(F474&lt;0,"Invalid - Ship Before Order","OK"))</f>
        <v>OK</v>
      </c>
      <c r="H474" s="3" t="str">
        <f aca="false">raw_data!D474</f>
        <v>CUST-7208</v>
      </c>
      <c r="I474" s="3" t="str">
        <f aca="false">PROPER(TRIM(raw_data!E474))</f>
        <v>Rohan Mehta</v>
      </c>
      <c r="J474" s="3" t="str">
        <f aca="false">PROPER(TRIM(raw_data!F474))</f>
        <v>Corporate</v>
      </c>
      <c r="K474" s="3" t="str">
        <f aca="false">IF(TRIM(raw_data!G474)="","Unknown",PROPER(TRIM(raw_data!G474)))</f>
        <v>East</v>
      </c>
      <c r="L474" s="3" t="str">
        <f aca="false">IF(TRIM(raw_data!G474)="","Filled - Unknown","OK")</f>
        <v>OK</v>
      </c>
      <c r="M474" s="3" t="str">
        <f aca="false">PROPER(TRIM(raw_data!H474))</f>
        <v>Odisha</v>
      </c>
      <c r="N474" s="3" t="str">
        <f aca="false">PROPER(TRIM(raw_data!I474))</f>
        <v>Bhubaneswar</v>
      </c>
      <c r="O474" s="3" t="str">
        <f aca="false">PROPER(TRIM(raw_data!J474))</f>
        <v>Office Supplies</v>
      </c>
      <c r="P474" s="3" t="str">
        <f aca="false">PROPER(TRIM(raw_data!K474))</f>
        <v>Storage</v>
      </c>
      <c r="Q474" s="3" t="str">
        <f aca="false">TRIM(raw_data!L474)</f>
        <v>Pro Storage 756</v>
      </c>
      <c r="R474" s="3" t="str">
        <f aca="false">IF(TRIM(raw_data!M474)="","Unknown",PROPER(TRIM(raw_data!M474)))</f>
        <v>Standard Class</v>
      </c>
      <c r="S474" s="3" t="str">
        <f aca="false">IF(TRIM(raw_data!M474)="","Filled - Unknown","OK")</f>
        <v>OK</v>
      </c>
      <c r="T474" s="6" t="n">
        <f aca="false">raw_data!N474</f>
        <v>7</v>
      </c>
      <c r="U474" s="7" t="n">
        <f aca="false">raw_data!O474</f>
        <v>263.46</v>
      </c>
      <c r="V474" s="8" t="n">
        <f aca="false">raw_data!P474</f>
        <v>0</v>
      </c>
      <c r="W474" s="8" t="n">
        <f aca="false">IF(raw_data!P474="",0,IF(ISTEXT(raw_data!P474),IF(RIGHT(raw_data!P474,1)="%",VALUE(LEFT(raw_data!P474,LEN(raw_data!P474)-1))/100,VALUE(raw_data!P474)),raw_data!P474))</f>
        <v>0</v>
      </c>
      <c r="X474" s="3" t="str">
        <f aca="false">IF(raw_data!P474="","Missing - Defaulted to 0",IF(W474&lt;0,"Negative - Invalid",IF(W474&gt;0.3,"Above Allowed Range - Invalid","Valid")))</f>
        <v>Valid</v>
      </c>
      <c r="Y474" s="7" t="n">
        <f aca="false">raw_data!Q474</f>
        <v>1844.22</v>
      </c>
      <c r="Z474" s="7" t="n">
        <f aca="false">raw_data!R474</f>
        <v>1094.21</v>
      </c>
      <c r="AA474" s="7" t="n">
        <f aca="false">raw_data!S474</f>
        <v>750.01</v>
      </c>
      <c r="AB474" s="3" t="str">
        <f aca="false">PROPER(TRIM(raw_data!T474))</f>
        <v>Paid</v>
      </c>
      <c r="AC474" s="3" t="str">
        <f aca="false">PROPER(TRIM(raw_data!U474))</f>
        <v>Completed</v>
      </c>
      <c r="AD474" s="7" t="n">
        <f aca="false">T474*U474*(1-W474)</f>
        <v>1844.22</v>
      </c>
      <c r="AE474" s="7" t="n">
        <f aca="false">AD474-Z474</f>
        <v>750.01</v>
      </c>
      <c r="AF474" s="8" t="n">
        <f aca="false">IF(AD474=0,0,AE474/AD474)</f>
        <v>0.40668141544935</v>
      </c>
      <c r="AG474" s="3" t="str">
        <f aca="false">IF(ABS(Y474-AD474)&gt;1,"Mismatch","OK")</f>
        <v>OK</v>
      </c>
      <c r="AH474" s="3" t="str">
        <f aca="false">IF(ABS(AA474-AE474)&gt;1,"Mismatch","OK")</f>
        <v>OK</v>
      </c>
      <c r="AI474" s="6" t="n">
        <f aca="false">IF(B474="","",MONTH(B474))</f>
        <v>3</v>
      </c>
      <c r="AJ474" s="6" t="n">
        <f aca="false">IF(B474="","",YEAR(B474))</f>
        <v>2024</v>
      </c>
      <c r="AK474" s="3" t="str">
        <f aca="false">IF(COUNTIF(raw_data!$A$2:$A$913,A474)&gt;1,"Conflicting Duplicate - Flagged for Review","Unique")</f>
        <v>Unique</v>
      </c>
      <c r="AL474" s="3" t="str">
        <f aca="false">IF(AB474="Refunded","Yes","No")</f>
        <v>No</v>
      </c>
      <c r="AM474" s="3" t="str">
        <f aca="false">IF(OR(AC474&lt;&gt;"Completed",AB474="Failed"),"Excluded","Included")</f>
        <v>Included</v>
      </c>
      <c r="AN474" s="3" t="str">
        <f aca="false">IF(OR(D474="Invalid/Unrecognized",E474="Invalid/Unrecognized",G474="Invalid - Ship Before Order",X474="Negative - Invalid",X474="Above Allowed Range - Invalid",AG474="Mismatch",AH474="Mismatch",AK474="Conflicting Duplicate - Flagged for Review"),"Invalid",IF(OR(L474="Filled - Unknown",S474="Filled - Unknown",X474="Missing - Defaulted to 0",AL474="Yes",AC474="Cancelled",AC474="Returned"),"Warning","Clean"))</f>
        <v>Clean</v>
      </c>
    </row>
    <row r="475" customFormat="false" ht="15" hidden="false" customHeight="false" outlineLevel="0" collapsed="false">
      <c r="A475" s="3" t="str">
        <f aca="false">raw_data!A475</f>
        <v>ORD-2024-10474</v>
      </c>
      <c r="B475" s="4" t="n">
        <f aca="false">IFERROR(IF(MID(raw_data!B475,3,1)="/",DATE(VALUE(RIGHT(raw_data!B475,4)),VALUE(LEFT(raw_data!B475,2)),VALUE(MID(raw_data!B475,4,2))),IF(MID(raw_data!B475,3,1)="-",DATE(VALUE(RIGHT(raw_data!B475,4)),VALUE(MID(raw_data!B475,4,2)),VALUE(LEFT(raw_data!B475,2))),IF(MID(raw_data!B475,5,1)="-",DATE(VALUE(LEFT(raw_data!B475,4)),VALUE(MID(raw_data!B475,6,2)),VALUE(RIGHT(raw_data!B475,2))),DATE(VALUE(RIGHT(raw_data!B475,4)),MATCH(MID(raw_data!B475,4,3),{"Jan","Feb","Mar","Apr","May","Jun","Jul","Aug","Sep","Oct","Nov","Dec"},0),VALUE(LEFT(raw_data!B475,2)))))),"")</f>
        <v>45609</v>
      </c>
      <c r="C475" s="4" t="n">
        <f aca="false">IFERROR(IF(MID(raw_data!C475,3,1)="/",DATE(VALUE(RIGHT(raw_data!C475,4)),VALUE(LEFT(raw_data!C475,2)),VALUE(MID(raw_data!C475,4,2))),IF(MID(raw_data!C475,3,1)="-",DATE(VALUE(RIGHT(raw_data!C475,4)),VALUE(MID(raw_data!C475,4,2)),VALUE(LEFT(raw_data!C475,2))),IF(MID(raw_data!C475,5,1)="-",DATE(VALUE(LEFT(raw_data!C475,4)),VALUE(MID(raw_data!C475,6,2)),VALUE(RIGHT(raw_data!C475,2))),DATE(VALUE(RIGHT(raw_data!C475,4)),MATCH(MID(raw_data!C475,4,3),{"Jan","Feb","Mar","Apr","May","Jun","Jul","Aug","Sep","Oct","Nov","Dec"},0),VALUE(LEFT(raw_data!C475,2)))))),"")</f>
        <v>45609</v>
      </c>
      <c r="D475" s="3" t="str">
        <f aca="false">IF(TRIM(raw_data!B475)="","Missing",IF(B475="","Invalid/Unrecognized","Valid"))</f>
        <v>Valid</v>
      </c>
      <c r="E475" s="3" t="str">
        <f aca="false">IF(TRIM(raw_data!C475)="","Missing",IF(C475="","Invalid/Unrecognized","Valid"))</f>
        <v>Valid</v>
      </c>
      <c r="F475" s="5" t="n">
        <f aca="false">IF(OR(B475="",C475=""),"",C475-B475)</f>
        <v>0</v>
      </c>
      <c r="G475" s="3" t="str">
        <f aca="false">IF(F475="","N/A",IF(F475&lt;0,"Invalid - Ship Before Order","OK"))</f>
        <v>OK</v>
      </c>
      <c r="H475" s="3" t="str">
        <f aca="false">raw_data!D475</f>
        <v>CUST-2794</v>
      </c>
      <c r="I475" s="3" t="str">
        <f aca="false">PROPER(TRIM(raw_data!E475))</f>
        <v>Priya Menon</v>
      </c>
      <c r="J475" s="3" t="str">
        <f aca="false">PROPER(TRIM(raw_data!F475))</f>
        <v>Consumer</v>
      </c>
      <c r="K475" s="3" t="str">
        <f aca="false">IF(TRIM(raw_data!G475)="","Unknown",PROPER(TRIM(raw_data!G475)))</f>
        <v>West</v>
      </c>
      <c r="L475" s="3" t="str">
        <f aca="false">IF(TRIM(raw_data!G475)="","Filled - Unknown","OK")</f>
        <v>OK</v>
      </c>
      <c r="M475" s="3" t="str">
        <f aca="false">PROPER(TRIM(raw_data!H475))</f>
        <v>Goa</v>
      </c>
      <c r="N475" s="3" t="str">
        <f aca="false">PROPER(TRIM(raw_data!I475))</f>
        <v>Panaji</v>
      </c>
      <c r="O475" s="3" t="str">
        <f aca="false">PROPER(TRIM(raw_data!J475))</f>
        <v>Technology</v>
      </c>
      <c r="P475" s="3" t="str">
        <f aca="false">PROPER(TRIM(raw_data!K475))</f>
        <v>Copiers</v>
      </c>
      <c r="Q475" s="3" t="str">
        <f aca="false">TRIM(raw_data!L475)</f>
        <v>Max Copiers 829</v>
      </c>
      <c r="R475" s="3" t="str">
        <f aca="false">IF(TRIM(raw_data!M475)="","Unknown",PROPER(TRIM(raw_data!M475)))</f>
        <v>Standard Class</v>
      </c>
      <c r="S475" s="3" t="str">
        <f aca="false">IF(TRIM(raw_data!M475)="","Filled - Unknown","OK")</f>
        <v>OK</v>
      </c>
      <c r="T475" s="6" t="n">
        <f aca="false">raw_data!N475</f>
        <v>6</v>
      </c>
      <c r="U475" s="7" t="n">
        <f aca="false">raw_data!O475</f>
        <v>191.45</v>
      </c>
      <c r="V475" s="8" t="n">
        <f aca="false">raw_data!P475</f>
        <v>0.2</v>
      </c>
      <c r="W475" s="8" t="n">
        <f aca="false">IF(raw_data!P475="",0,IF(ISTEXT(raw_data!P475),IF(RIGHT(raw_data!P475,1)="%",VALUE(LEFT(raw_data!P475,LEN(raw_data!P475)-1))/100,VALUE(raw_data!P475)),raw_data!P475))</f>
        <v>0.2</v>
      </c>
      <c r="X475" s="3" t="str">
        <f aca="false">IF(raw_data!P475="","Missing - Defaulted to 0",IF(W475&lt;0,"Negative - Invalid",IF(W475&gt;0.3,"Above Allowed Range - Invalid","Valid")))</f>
        <v>Valid</v>
      </c>
      <c r="Y475" s="7" t="n">
        <f aca="false">raw_data!Q475</f>
        <v>918.96</v>
      </c>
      <c r="Z475" s="7" t="n">
        <f aca="false">raw_data!R475</f>
        <v>554.18</v>
      </c>
      <c r="AA475" s="7" t="n">
        <f aca="false">raw_data!S475</f>
        <v>364.78</v>
      </c>
      <c r="AB475" s="3" t="str">
        <f aca="false">PROPER(TRIM(raw_data!T475))</f>
        <v>Paid</v>
      </c>
      <c r="AC475" s="3" t="str">
        <f aca="false">PROPER(TRIM(raw_data!U475))</f>
        <v>Completed</v>
      </c>
      <c r="AD475" s="7" t="n">
        <f aca="false">T475*U475*(1-W475)</f>
        <v>918.96</v>
      </c>
      <c r="AE475" s="7" t="n">
        <f aca="false">AD475-Z475</f>
        <v>364.78</v>
      </c>
      <c r="AF475" s="8" t="n">
        <f aca="false">IF(AD475=0,0,AE475/AD475)</f>
        <v>0.396948724645251</v>
      </c>
      <c r="AG475" s="3" t="str">
        <f aca="false">IF(ABS(Y475-AD475)&gt;1,"Mismatch","OK")</f>
        <v>OK</v>
      </c>
      <c r="AH475" s="3" t="str">
        <f aca="false">IF(ABS(AA475-AE475)&gt;1,"Mismatch","OK")</f>
        <v>OK</v>
      </c>
      <c r="AI475" s="6" t="n">
        <f aca="false">IF(B475="","",MONTH(B475))</f>
        <v>11</v>
      </c>
      <c r="AJ475" s="6" t="n">
        <f aca="false">IF(B475="","",YEAR(B475))</f>
        <v>2024</v>
      </c>
      <c r="AK475" s="3" t="str">
        <f aca="false">IF(COUNTIF(raw_data!$A$2:$A$913,A475)&gt;1,"Conflicting Duplicate - Flagged for Review","Unique")</f>
        <v>Unique</v>
      </c>
      <c r="AL475" s="3" t="str">
        <f aca="false">IF(AB475="Refunded","Yes","No")</f>
        <v>No</v>
      </c>
      <c r="AM475" s="3" t="str">
        <f aca="false">IF(OR(AC475&lt;&gt;"Completed",AB475="Failed"),"Excluded","Included")</f>
        <v>Included</v>
      </c>
      <c r="AN475" s="3" t="str">
        <f aca="false">IF(OR(D475="Invalid/Unrecognized",E475="Invalid/Unrecognized",G475="Invalid - Ship Before Order",X475="Negative - Invalid",X475="Above Allowed Range - Invalid",AG475="Mismatch",AH475="Mismatch",AK475="Conflicting Duplicate - Flagged for Review"),"Invalid",IF(OR(L475="Filled - Unknown",S475="Filled - Unknown",X475="Missing - Defaulted to 0",AL475="Yes",AC475="Cancelled",AC475="Returned"),"Warning","Clean"))</f>
        <v>Clean</v>
      </c>
    </row>
    <row r="476" customFormat="false" ht="15" hidden="false" customHeight="false" outlineLevel="0" collapsed="false">
      <c r="A476" s="3" t="str">
        <f aca="false">raw_data!A476</f>
        <v>ORD-2024-10475</v>
      </c>
      <c r="B476" s="4" t="n">
        <f aca="false">IFERROR(IF(MID(raw_data!B476,3,1)="/",DATE(VALUE(RIGHT(raw_data!B476,4)),VALUE(LEFT(raw_data!B476,2)),VALUE(MID(raw_data!B476,4,2))),IF(MID(raw_data!B476,3,1)="-",DATE(VALUE(RIGHT(raw_data!B476,4)),VALUE(MID(raw_data!B476,4,2)),VALUE(LEFT(raw_data!B476,2))),IF(MID(raw_data!B476,5,1)="-",DATE(VALUE(LEFT(raw_data!B476,4)),VALUE(MID(raw_data!B476,6,2)),VALUE(RIGHT(raw_data!B476,2))),DATE(VALUE(RIGHT(raw_data!B476,4)),MATCH(MID(raw_data!B476,4,3),{"Jan","Feb","Mar","Apr","May","Jun","Jul","Aug","Sep","Oct","Nov","Dec"},0),VALUE(LEFT(raw_data!B476,2)))))),"")</f>
        <v>45446</v>
      </c>
      <c r="C476" s="4" t="n">
        <f aca="false">IFERROR(IF(MID(raw_data!C476,3,1)="/",DATE(VALUE(RIGHT(raw_data!C476,4)),VALUE(LEFT(raw_data!C476,2)),VALUE(MID(raw_data!C476,4,2))),IF(MID(raw_data!C476,3,1)="-",DATE(VALUE(RIGHT(raw_data!C476,4)),VALUE(MID(raw_data!C476,4,2)),VALUE(LEFT(raw_data!C476,2))),IF(MID(raw_data!C476,5,1)="-",DATE(VALUE(LEFT(raw_data!C476,4)),VALUE(MID(raw_data!C476,6,2)),VALUE(RIGHT(raw_data!C476,2))),DATE(VALUE(RIGHT(raw_data!C476,4)),MATCH(MID(raw_data!C476,4,3),{"Jan","Feb","Mar","Apr","May","Jun","Jul","Aug","Sep","Oct","Nov","Dec"},0),VALUE(LEFT(raw_data!C476,2)))))),"")</f>
        <v>45453</v>
      </c>
      <c r="D476" s="3" t="str">
        <f aca="false">IF(TRIM(raw_data!B476)="","Missing",IF(B476="","Invalid/Unrecognized","Valid"))</f>
        <v>Valid</v>
      </c>
      <c r="E476" s="3" t="str">
        <f aca="false">IF(TRIM(raw_data!C476)="","Missing",IF(C476="","Invalid/Unrecognized","Valid"))</f>
        <v>Valid</v>
      </c>
      <c r="F476" s="5" t="n">
        <f aca="false">IF(OR(B476="",C476=""),"",C476-B476)</f>
        <v>7</v>
      </c>
      <c r="G476" s="3" t="str">
        <f aca="false">IF(F476="","N/A",IF(F476&lt;0,"Invalid - Ship Before Order","OK"))</f>
        <v>OK</v>
      </c>
      <c r="H476" s="3" t="str">
        <f aca="false">raw_data!D476</f>
        <v>CUST-6249</v>
      </c>
      <c r="I476" s="3" t="str">
        <f aca="false">PROPER(TRIM(raw_data!E476))</f>
        <v>Diya Patel</v>
      </c>
      <c r="J476" s="3" t="str">
        <f aca="false">PROPER(TRIM(raw_data!F476))</f>
        <v>Corporate</v>
      </c>
      <c r="K476" s="3" t="str">
        <f aca="false">IF(TRIM(raw_data!G476)="","Unknown",PROPER(TRIM(raw_data!G476)))</f>
        <v>North</v>
      </c>
      <c r="L476" s="3" t="str">
        <f aca="false">IF(TRIM(raw_data!G476)="","Filled - Unknown","OK")</f>
        <v>OK</v>
      </c>
      <c r="M476" s="3" t="str">
        <f aca="false">PROPER(TRIM(raw_data!H476))</f>
        <v>Punjab</v>
      </c>
      <c r="N476" s="3" t="str">
        <f aca="false">PROPER(TRIM(raw_data!I476))</f>
        <v>Ludhiana</v>
      </c>
      <c r="O476" s="3" t="str">
        <f aca="false">PROPER(TRIM(raw_data!J476))</f>
        <v>Furniture</v>
      </c>
      <c r="P476" s="3" t="str">
        <f aca="false">PROPER(TRIM(raw_data!K476))</f>
        <v>Furnishings</v>
      </c>
      <c r="Q476" s="3" t="str">
        <f aca="false">TRIM(raw_data!L476)</f>
        <v>Prime Furnishings 827</v>
      </c>
      <c r="R476" s="3" t="str">
        <f aca="false">IF(TRIM(raw_data!M476)="","Unknown",PROPER(TRIM(raw_data!M476)))</f>
        <v>Standard Class</v>
      </c>
      <c r="S476" s="3" t="str">
        <f aca="false">IF(TRIM(raw_data!M476)="","Filled - Unknown","OK")</f>
        <v>OK</v>
      </c>
      <c r="T476" s="6" t="n">
        <f aca="false">raw_data!N476</f>
        <v>3</v>
      </c>
      <c r="U476" s="7" t="n">
        <f aca="false">raw_data!O476</f>
        <v>1633.57</v>
      </c>
      <c r="V476" s="8" t="n">
        <f aca="false">raw_data!P476</f>
        <v>0</v>
      </c>
      <c r="W476" s="8" t="n">
        <f aca="false">IF(raw_data!P476="",0,IF(ISTEXT(raw_data!P476),IF(RIGHT(raw_data!P476,1)="%",VALUE(LEFT(raw_data!P476,LEN(raw_data!P476)-1))/100,VALUE(raw_data!P476)),raw_data!P476))</f>
        <v>0</v>
      </c>
      <c r="X476" s="3" t="str">
        <f aca="false">IF(raw_data!P476="","Missing - Defaulted to 0",IF(W476&lt;0,"Negative - Invalid",IF(W476&gt;0.3,"Above Allowed Range - Invalid","Valid")))</f>
        <v>Valid</v>
      </c>
      <c r="Y476" s="7" t="n">
        <f aca="false">raw_data!Q476</f>
        <v>4900.71</v>
      </c>
      <c r="Z476" s="7" t="n">
        <f aca="false">raw_data!R476</f>
        <v>2713.9</v>
      </c>
      <c r="AA476" s="7" t="n">
        <f aca="false">raw_data!S476</f>
        <v>2186.81</v>
      </c>
      <c r="AB476" s="3" t="str">
        <f aca="false">PROPER(TRIM(raw_data!T476))</f>
        <v>Paid</v>
      </c>
      <c r="AC476" s="3" t="str">
        <f aca="false">PROPER(TRIM(raw_data!U476))</f>
        <v>Completed</v>
      </c>
      <c r="AD476" s="7" t="n">
        <f aca="false">T476*U476*(1-W476)</f>
        <v>4900.71</v>
      </c>
      <c r="AE476" s="7" t="n">
        <f aca="false">AD476-Z476</f>
        <v>2186.81</v>
      </c>
      <c r="AF476" s="8" t="n">
        <f aca="false">IF(AD476=0,0,AE476/AD476)</f>
        <v>0.446223098285759</v>
      </c>
      <c r="AG476" s="3" t="str">
        <f aca="false">IF(ABS(Y476-AD476)&gt;1,"Mismatch","OK")</f>
        <v>OK</v>
      </c>
      <c r="AH476" s="3" t="str">
        <f aca="false">IF(ABS(AA476-AE476)&gt;1,"Mismatch","OK")</f>
        <v>OK</v>
      </c>
      <c r="AI476" s="6" t="n">
        <f aca="false">IF(B476="","",MONTH(B476))</f>
        <v>6</v>
      </c>
      <c r="AJ476" s="6" t="n">
        <f aca="false">IF(B476="","",YEAR(B476))</f>
        <v>2024</v>
      </c>
      <c r="AK476" s="3" t="str">
        <f aca="false">IF(COUNTIF(raw_data!$A$2:$A$913,A476)&gt;1,"Conflicting Duplicate - Flagged for Review","Unique")</f>
        <v>Unique</v>
      </c>
      <c r="AL476" s="3" t="str">
        <f aca="false">IF(AB476="Refunded","Yes","No")</f>
        <v>No</v>
      </c>
      <c r="AM476" s="3" t="str">
        <f aca="false">IF(OR(AC476&lt;&gt;"Completed",AB476="Failed"),"Excluded","Included")</f>
        <v>Included</v>
      </c>
      <c r="AN476" s="3" t="str">
        <f aca="false">IF(OR(D476="Invalid/Unrecognized",E476="Invalid/Unrecognized",G476="Invalid - Ship Before Order",X476="Negative - Invalid",X476="Above Allowed Range - Invalid",AG476="Mismatch",AH476="Mismatch",AK476="Conflicting Duplicate - Flagged for Review"),"Invalid",IF(OR(L476="Filled - Unknown",S476="Filled - Unknown",X476="Missing - Defaulted to 0",AL476="Yes",AC476="Cancelled",AC476="Returned"),"Warning","Clean"))</f>
        <v>Clean</v>
      </c>
    </row>
    <row r="477" customFormat="false" ht="15" hidden="false" customHeight="false" outlineLevel="0" collapsed="false">
      <c r="A477" s="3" t="str">
        <f aca="false">raw_data!A477</f>
        <v>ORD-2025-10476</v>
      </c>
      <c r="B477" s="4" t="n">
        <f aca="false">IFERROR(IF(MID(raw_data!B477,3,1)="/",DATE(VALUE(RIGHT(raw_data!B477,4)),VALUE(LEFT(raw_data!B477,2)),VALUE(MID(raw_data!B477,4,2))),IF(MID(raw_data!B477,3,1)="-",DATE(VALUE(RIGHT(raw_data!B477,4)),VALUE(MID(raw_data!B477,4,2)),VALUE(LEFT(raw_data!B477,2))),IF(MID(raw_data!B477,5,1)="-",DATE(VALUE(LEFT(raw_data!B477,4)),VALUE(MID(raw_data!B477,6,2)),VALUE(RIGHT(raw_data!B477,2))),DATE(VALUE(RIGHT(raw_data!B477,4)),MATCH(MID(raw_data!B477,4,3),{"Jan","Feb","Mar","Apr","May","Jun","Jul","Aug","Sep","Oct","Nov","Dec"},0),VALUE(LEFT(raw_data!B477,2)))))),"")</f>
        <v>45717</v>
      </c>
      <c r="C477" s="4" t="n">
        <f aca="false">IFERROR(IF(MID(raw_data!C477,3,1)="/",DATE(VALUE(RIGHT(raw_data!C477,4)),VALUE(LEFT(raw_data!C477,2)),VALUE(MID(raw_data!C477,4,2))),IF(MID(raw_data!C477,3,1)="-",DATE(VALUE(RIGHT(raw_data!C477,4)),VALUE(MID(raw_data!C477,4,2)),VALUE(LEFT(raw_data!C477,2))),IF(MID(raw_data!C477,5,1)="-",DATE(VALUE(LEFT(raw_data!C477,4)),VALUE(MID(raw_data!C477,6,2)),VALUE(RIGHT(raw_data!C477,2))),DATE(VALUE(RIGHT(raw_data!C477,4)),MATCH(MID(raw_data!C477,4,3),{"Jan","Feb","Mar","Apr","May","Jun","Jul","Aug","Sep","Oct","Nov","Dec"},0),VALUE(LEFT(raw_data!C477,2)))))),"")</f>
        <v>45724</v>
      </c>
      <c r="D477" s="3" t="str">
        <f aca="false">IF(TRIM(raw_data!B477)="","Missing",IF(B477="","Invalid/Unrecognized","Valid"))</f>
        <v>Valid</v>
      </c>
      <c r="E477" s="3" t="str">
        <f aca="false">IF(TRIM(raw_data!C477)="","Missing",IF(C477="","Invalid/Unrecognized","Valid"))</f>
        <v>Valid</v>
      </c>
      <c r="F477" s="5" t="n">
        <f aca="false">IF(OR(B477="",C477=""),"",C477-B477)</f>
        <v>7</v>
      </c>
      <c r="G477" s="3" t="str">
        <f aca="false">IF(F477="","N/A",IF(F477&lt;0,"Invalid - Ship Before Order","OK"))</f>
        <v>OK</v>
      </c>
      <c r="H477" s="3" t="str">
        <f aca="false">raw_data!D477</f>
        <v>CUST-5712</v>
      </c>
      <c r="I477" s="3" t="str">
        <f aca="false">PROPER(TRIM(raw_data!E477))</f>
        <v>Vikram Iyer</v>
      </c>
      <c r="J477" s="3" t="str">
        <f aca="false">PROPER(TRIM(raw_data!F477))</f>
        <v>Consumer</v>
      </c>
      <c r="K477" s="3" t="str">
        <f aca="false">IF(TRIM(raw_data!G477)="","Unknown",PROPER(TRIM(raw_data!G477)))</f>
        <v>East</v>
      </c>
      <c r="L477" s="3" t="str">
        <f aca="false">IF(TRIM(raw_data!G477)="","Filled - Unknown","OK")</f>
        <v>OK</v>
      </c>
      <c r="M477" s="3" t="str">
        <f aca="false">PROPER(TRIM(raw_data!H477))</f>
        <v>West Bengal</v>
      </c>
      <c r="N477" s="3" t="str">
        <f aca="false">PROPER(TRIM(raw_data!I477))</f>
        <v>Kolkata</v>
      </c>
      <c r="O477" s="3" t="str">
        <f aca="false">PROPER(TRIM(raw_data!J477))</f>
        <v>Furniture</v>
      </c>
      <c r="P477" s="3" t="str">
        <f aca="false">PROPER(TRIM(raw_data!K477))</f>
        <v>Chairs</v>
      </c>
      <c r="Q477" s="3" t="str">
        <f aca="false">TRIM(raw_data!L477)</f>
        <v>Eco Chairs 365</v>
      </c>
      <c r="R477" s="3" t="str">
        <f aca="false">IF(TRIM(raw_data!M477)="","Unknown",PROPER(TRIM(raw_data!M477)))</f>
        <v>Same Day</v>
      </c>
      <c r="S477" s="3" t="str">
        <f aca="false">IF(TRIM(raw_data!M477)="","Filled - Unknown","OK")</f>
        <v>OK</v>
      </c>
      <c r="T477" s="6" t="n">
        <f aca="false">raw_data!N477</f>
        <v>8</v>
      </c>
      <c r="U477" s="7" t="n">
        <f aca="false">raw_data!O477</f>
        <v>3378.82</v>
      </c>
      <c r="V477" s="8" t="n">
        <f aca="false">raw_data!P477</f>
        <v>0.25</v>
      </c>
      <c r="W477" s="8" t="n">
        <f aca="false">IF(raw_data!P477="",0,IF(ISTEXT(raw_data!P477),IF(RIGHT(raw_data!P477,1)="%",VALUE(LEFT(raw_data!P477,LEN(raw_data!P477)-1))/100,VALUE(raw_data!P477)),raw_data!P477))</f>
        <v>0.25</v>
      </c>
      <c r="X477" s="3" t="str">
        <f aca="false">IF(raw_data!P477="","Missing - Defaulted to 0",IF(W477&lt;0,"Negative - Invalid",IF(W477&gt;0.3,"Above Allowed Range - Invalid","Valid")))</f>
        <v>Valid</v>
      </c>
      <c r="Y477" s="7" t="n">
        <f aca="false">raw_data!Q477</f>
        <v>20272.92</v>
      </c>
      <c r="Z477" s="7" t="n">
        <f aca="false">raw_data!R477</f>
        <v>15873.38</v>
      </c>
      <c r="AA477" s="7" t="n">
        <f aca="false">raw_data!S477</f>
        <v>4399.54</v>
      </c>
      <c r="AB477" s="3" t="str">
        <f aca="false">PROPER(TRIM(raw_data!T477))</f>
        <v>Pending</v>
      </c>
      <c r="AC477" s="3" t="str">
        <f aca="false">PROPER(TRIM(raw_data!U477))</f>
        <v>Returned</v>
      </c>
      <c r="AD477" s="7" t="n">
        <f aca="false">T477*U477*(1-W477)</f>
        <v>20272.92</v>
      </c>
      <c r="AE477" s="7" t="n">
        <f aca="false">AD477-Z477</f>
        <v>4399.54</v>
      </c>
      <c r="AF477" s="8" t="n">
        <f aca="false">IF(AD477=0,0,AE477/AD477)</f>
        <v>0.217015605053441</v>
      </c>
      <c r="AG477" s="3" t="str">
        <f aca="false">IF(ABS(Y477-AD477)&gt;1,"Mismatch","OK")</f>
        <v>OK</v>
      </c>
      <c r="AH477" s="3" t="str">
        <f aca="false">IF(ABS(AA477-AE477)&gt;1,"Mismatch","OK")</f>
        <v>OK</v>
      </c>
      <c r="AI477" s="6" t="n">
        <f aca="false">IF(B477="","",MONTH(B477))</f>
        <v>3</v>
      </c>
      <c r="AJ477" s="6" t="n">
        <f aca="false">IF(B477="","",YEAR(B477))</f>
        <v>2025</v>
      </c>
      <c r="AK477" s="3" t="str">
        <f aca="false">IF(COUNTIF(raw_data!$A$2:$A$913,A477)&gt;1,"Conflicting Duplicate - Flagged for Review","Unique")</f>
        <v>Unique</v>
      </c>
      <c r="AL477" s="3" t="str">
        <f aca="false">IF(AB477="Refunded","Yes","No")</f>
        <v>No</v>
      </c>
      <c r="AM477" s="3" t="str">
        <f aca="false">IF(OR(AC477&lt;&gt;"Completed",AB477="Failed"),"Excluded","Included")</f>
        <v>Excluded</v>
      </c>
      <c r="AN477" s="3" t="str">
        <f aca="false">IF(OR(D477="Invalid/Unrecognized",E477="Invalid/Unrecognized",G477="Invalid - Ship Before Order",X477="Negative - Invalid",X477="Above Allowed Range - Invalid",AG477="Mismatch",AH477="Mismatch",AK477="Conflicting Duplicate - Flagged for Review"),"Invalid",IF(OR(L477="Filled - Unknown",S477="Filled - Unknown",X477="Missing - Defaulted to 0",AL477="Yes",AC477="Cancelled",AC477="Returned"),"Warning","Clean"))</f>
        <v>Warning</v>
      </c>
    </row>
    <row r="478" customFormat="false" ht="15" hidden="false" customHeight="false" outlineLevel="0" collapsed="false">
      <c r="A478" s="3" t="str">
        <f aca="false">raw_data!A478</f>
        <v>ORD-2024-10477</v>
      </c>
      <c r="B478" s="4" t="n">
        <f aca="false">IFERROR(IF(MID(raw_data!B478,3,1)="/",DATE(VALUE(RIGHT(raw_data!B478,4)),VALUE(LEFT(raw_data!B478,2)),VALUE(MID(raw_data!B478,4,2))),IF(MID(raw_data!B478,3,1)="-",DATE(VALUE(RIGHT(raw_data!B478,4)),VALUE(MID(raw_data!B478,4,2)),VALUE(LEFT(raw_data!B478,2))),IF(MID(raw_data!B478,5,1)="-",DATE(VALUE(LEFT(raw_data!B478,4)),VALUE(MID(raw_data!B478,6,2)),VALUE(RIGHT(raw_data!B478,2))),DATE(VALUE(RIGHT(raw_data!B478,4)),MATCH(MID(raw_data!B478,4,3),{"Jan","Feb","Mar","Apr","May","Jun","Jul","Aug","Sep","Oct","Nov","Dec"},0),VALUE(LEFT(raw_data!B478,2)))))),"")</f>
        <v>45419</v>
      </c>
      <c r="C478" s="4" t="n">
        <f aca="false">IFERROR(IF(MID(raw_data!C478,3,1)="/",DATE(VALUE(RIGHT(raw_data!C478,4)),VALUE(LEFT(raw_data!C478,2)),VALUE(MID(raw_data!C478,4,2))),IF(MID(raw_data!C478,3,1)="-",DATE(VALUE(RIGHT(raw_data!C478,4)),VALUE(MID(raw_data!C478,4,2)),VALUE(LEFT(raw_data!C478,2))),IF(MID(raw_data!C478,5,1)="-",DATE(VALUE(LEFT(raw_data!C478,4)),VALUE(MID(raw_data!C478,6,2)),VALUE(RIGHT(raw_data!C478,2))),DATE(VALUE(RIGHT(raw_data!C478,4)),MATCH(MID(raw_data!C478,4,3),{"Jan","Feb","Mar","Apr","May","Jun","Jul","Aug","Sep","Oct","Nov","Dec"},0),VALUE(LEFT(raw_data!C478,2)))))),"")</f>
        <v>45426</v>
      </c>
      <c r="D478" s="3" t="str">
        <f aca="false">IF(TRIM(raw_data!B478)="","Missing",IF(B478="","Invalid/Unrecognized","Valid"))</f>
        <v>Valid</v>
      </c>
      <c r="E478" s="3" t="str">
        <f aca="false">IF(TRIM(raw_data!C478)="","Missing",IF(C478="","Invalid/Unrecognized","Valid"))</f>
        <v>Valid</v>
      </c>
      <c r="F478" s="5" t="n">
        <f aca="false">IF(OR(B478="",C478=""),"",C478-B478)</f>
        <v>7</v>
      </c>
      <c r="G478" s="3" t="str">
        <f aca="false">IF(F478="","N/A",IF(F478&lt;0,"Invalid - Ship Before Order","OK"))</f>
        <v>OK</v>
      </c>
      <c r="H478" s="3" t="str">
        <f aca="false">raw_data!D478</f>
        <v>CUST-3004</v>
      </c>
      <c r="I478" s="3" t="str">
        <f aca="false">PROPER(TRIM(raw_data!E478))</f>
        <v>Sneha Kapoor</v>
      </c>
      <c r="J478" s="3" t="str">
        <f aca="false">PROPER(TRIM(raw_data!F478))</f>
        <v>Small Business</v>
      </c>
      <c r="K478" s="3" t="str">
        <f aca="false">IF(TRIM(raw_data!G478)="","Unknown",PROPER(TRIM(raw_data!G478)))</f>
        <v>North</v>
      </c>
      <c r="L478" s="3" t="str">
        <f aca="false">IF(TRIM(raw_data!G478)="","Filled - Unknown","OK")</f>
        <v>OK</v>
      </c>
      <c r="M478" s="3" t="str">
        <f aca="false">PROPER(TRIM(raw_data!H478))</f>
        <v>Rajasthan</v>
      </c>
      <c r="N478" s="3" t="str">
        <f aca="false">PROPER(TRIM(raw_data!I478))</f>
        <v>Jaipur</v>
      </c>
      <c r="O478" s="3" t="str">
        <f aca="false">PROPER(TRIM(raw_data!J478))</f>
        <v>Office Supplies</v>
      </c>
      <c r="P478" s="3" t="str">
        <f aca="false">PROPER(TRIM(raw_data!K478))</f>
        <v>Storage</v>
      </c>
      <c r="Q478" s="3" t="str">
        <f aca="false">TRIM(raw_data!L478)</f>
        <v>Classic Storage 545</v>
      </c>
      <c r="R478" s="3" t="str">
        <f aca="false">IF(TRIM(raw_data!M478)="","Unknown",PROPER(TRIM(raw_data!M478)))</f>
        <v>First Class</v>
      </c>
      <c r="S478" s="3" t="str">
        <f aca="false">IF(TRIM(raw_data!M478)="","Filled - Unknown","OK")</f>
        <v>OK</v>
      </c>
      <c r="T478" s="6" t="n">
        <f aca="false">raw_data!N478</f>
        <v>3</v>
      </c>
      <c r="U478" s="7" t="n">
        <f aca="false">raw_data!O478</f>
        <v>383.58</v>
      </c>
      <c r="V478" s="8" t="n">
        <f aca="false">raw_data!P478</f>
        <v>0.1</v>
      </c>
      <c r="W478" s="8" t="n">
        <f aca="false">IF(raw_data!P478="",0,IF(ISTEXT(raw_data!P478),IF(RIGHT(raw_data!P478,1)="%",VALUE(LEFT(raw_data!P478,LEN(raw_data!P478)-1))/100,VALUE(raw_data!P478)),raw_data!P478))</f>
        <v>0.1</v>
      </c>
      <c r="X478" s="3" t="str">
        <f aca="false">IF(raw_data!P478="","Missing - Defaulted to 0",IF(W478&lt;0,"Negative - Invalid",IF(W478&gt;0.3,"Above Allowed Range - Invalid","Valid")))</f>
        <v>Valid</v>
      </c>
      <c r="Y478" s="7" t="n">
        <f aca="false">raw_data!Q478</f>
        <v>1035.67</v>
      </c>
      <c r="Z478" s="7" t="n">
        <f aca="false">raw_data!R478</f>
        <v>595.42</v>
      </c>
      <c r="AA478" s="7" t="n">
        <f aca="false">raw_data!S478</f>
        <v>440.25</v>
      </c>
      <c r="AB478" s="3" t="str">
        <f aca="false">PROPER(TRIM(raw_data!T478))</f>
        <v>Paid</v>
      </c>
      <c r="AC478" s="3" t="str">
        <f aca="false">PROPER(TRIM(raw_data!U478))</f>
        <v>Completed</v>
      </c>
      <c r="AD478" s="7" t="n">
        <f aca="false">T478*U478*(1-W478)</f>
        <v>1035.666</v>
      </c>
      <c r="AE478" s="7" t="n">
        <f aca="false">AD478-Z478</f>
        <v>440.246</v>
      </c>
      <c r="AF478" s="8" t="n">
        <f aca="false">IF(AD478=0,0,AE478/AD478)</f>
        <v>0.425084921200464</v>
      </c>
      <c r="AG478" s="3" t="str">
        <f aca="false">IF(ABS(Y478-AD478)&gt;1,"Mismatch","OK")</f>
        <v>OK</v>
      </c>
      <c r="AH478" s="3" t="str">
        <f aca="false">IF(ABS(AA478-AE478)&gt;1,"Mismatch","OK")</f>
        <v>OK</v>
      </c>
      <c r="AI478" s="6" t="n">
        <f aca="false">IF(B478="","",MONTH(B478))</f>
        <v>5</v>
      </c>
      <c r="AJ478" s="6" t="n">
        <f aca="false">IF(B478="","",YEAR(B478))</f>
        <v>2024</v>
      </c>
      <c r="AK478" s="3" t="str">
        <f aca="false">IF(COUNTIF(raw_data!$A$2:$A$913,A478)&gt;1,"Conflicting Duplicate - Flagged for Review","Unique")</f>
        <v>Unique</v>
      </c>
      <c r="AL478" s="3" t="str">
        <f aca="false">IF(AB478="Refunded","Yes","No")</f>
        <v>No</v>
      </c>
      <c r="AM478" s="3" t="str">
        <f aca="false">IF(OR(AC478&lt;&gt;"Completed",AB478="Failed"),"Excluded","Included")</f>
        <v>Included</v>
      </c>
      <c r="AN478" s="3" t="str">
        <f aca="false">IF(OR(D478="Invalid/Unrecognized",E478="Invalid/Unrecognized",G478="Invalid - Ship Before Order",X478="Negative - Invalid",X478="Above Allowed Range - Invalid",AG478="Mismatch",AH478="Mismatch",AK478="Conflicting Duplicate - Flagged for Review"),"Invalid",IF(OR(L478="Filled - Unknown",S478="Filled - Unknown",X478="Missing - Defaulted to 0",AL478="Yes",AC478="Cancelled",AC478="Returned"),"Warning","Clean"))</f>
        <v>Clean</v>
      </c>
    </row>
    <row r="479" customFormat="false" ht="15" hidden="false" customHeight="false" outlineLevel="0" collapsed="false">
      <c r="A479" s="3" t="str">
        <f aca="false">raw_data!A479</f>
        <v>ORD-2025-10478</v>
      </c>
      <c r="B479" s="4" t="n">
        <f aca="false">IFERROR(IF(MID(raw_data!B479,3,1)="/",DATE(VALUE(RIGHT(raw_data!B479,4)),VALUE(LEFT(raw_data!B479,2)),VALUE(MID(raw_data!B479,4,2))),IF(MID(raw_data!B479,3,1)="-",DATE(VALUE(RIGHT(raw_data!B479,4)),VALUE(MID(raw_data!B479,4,2)),VALUE(LEFT(raw_data!B479,2))),IF(MID(raw_data!B479,5,1)="-",DATE(VALUE(LEFT(raw_data!B479,4)),VALUE(MID(raw_data!B479,6,2)),VALUE(RIGHT(raw_data!B479,2))),DATE(VALUE(RIGHT(raw_data!B479,4)),MATCH(MID(raw_data!B479,4,3),{"Jan","Feb","Mar","Apr","May","Jun","Jul","Aug","Sep","Oct","Nov","Dec"},0),VALUE(LEFT(raw_data!B479,2)))))),"")</f>
        <v>45892</v>
      </c>
      <c r="C479" s="4" t="n">
        <f aca="false">IFERROR(IF(MID(raw_data!C479,3,1)="/",DATE(VALUE(RIGHT(raw_data!C479,4)),VALUE(LEFT(raw_data!C479,2)),VALUE(MID(raw_data!C479,4,2))),IF(MID(raw_data!C479,3,1)="-",DATE(VALUE(RIGHT(raw_data!C479,4)),VALUE(MID(raw_data!C479,4,2)),VALUE(LEFT(raw_data!C479,2))),IF(MID(raw_data!C479,5,1)="-",DATE(VALUE(LEFT(raw_data!C479,4)),VALUE(MID(raw_data!C479,6,2)),VALUE(RIGHT(raw_data!C479,2))),DATE(VALUE(RIGHT(raw_data!C479,4)),MATCH(MID(raw_data!C479,4,3),{"Jan","Feb","Mar","Apr","May","Jun","Jul","Aug","Sep","Oct","Nov","Dec"},0),VALUE(LEFT(raw_data!C479,2)))))),"")</f>
        <v>45897</v>
      </c>
      <c r="D479" s="3" t="str">
        <f aca="false">IF(TRIM(raw_data!B479)="","Missing",IF(B479="","Invalid/Unrecognized","Valid"))</f>
        <v>Valid</v>
      </c>
      <c r="E479" s="3" t="str">
        <f aca="false">IF(TRIM(raw_data!C479)="","Missing",IF(C479="","Invalid/Unrecognized","Valid"))</f>
        <v>Valid</v>
      </c>
      <c r="F479" s="5" t="n">
        <f aca="false">IF(OR(B479="",C479=""),"",C479-B479)</f>
        <v>5</v>
      </c>
      <c r="G479" s="3" t="str">
        <f aca="false">IF(F479="","N/A",IF(F479&lt;0,"Invalid - Ship Before Order","OK"))</f>
        <v>OK</v>
      </c>
      <c r="H479" s="3" t="str">
        <f aca="false">raw_data!D479</f>
        <v>CUST-6920</v>
      </c>
      <c r="I479" s="3" t="str">
        <f aca="false">PROPER(TRIM(raw_data!E479))</f>
        <v>Vikram Iyer</v>
      </c>
      <c r="J479" s="3" t="str">
        <f aca="false">PROPER(TRIM(raw_data!F479))</f>
        <v>Corporate</v>
      </c>
      <c r="K479" s="3" t="str">
        <f aca="false">IF(TRIM(raw_data!G479)="","Unknown",PROPER(TRIM(raw_data!G479)))</f>
        <v>West</v>
      </c>
      <c r="L479" s="3" t="str">
        <f aca="false">IF(TRIM(raw_data!G479)="","Filled - Unknown","OK")</f>
        <v>OK</v>
      </c>
      <c r="M479" s="3" t="str">
        <f aca="false">PROPER(TRIM(raw_data!H479))</f>
        <v>Gujarat</v>
      </c>
      <c r="N479" s="3" t="str">
        <f aca="false">PROPER(TRIM(raw_data!I479))</f>
        <v>Ahmedabad</v>
      </c>
      <c r="O479" s="3" t="str">
        <f aca="false">PROPER(TRIM(raw_data!J479))</f>
        <v>Furniture</v>
      </c>
      <c r="P479" s="3" t="str">
        <f aca="false">PROPER(TRIM(raw_data!K479))</f>
        <v>Chairs</v>
      </c>
      <c r="Q479" s="3" t="str">
        <f aca="false">TRIM(raw_data!L479)</f>
        <v>Pro Chairs 186</v>
      </c>
      <c r="R479" s="3" t="str">
        <f aca="false">IF(TRIM(raw_data!M479)="","Unknown",PROPER(TRIM(raw_data!M479)))</f>
        <v>Standard Class</v>
      </c>
      <c r="S479" s="3" t="str">
        <f aca="false">IF(TRIM(raw_data!M479)="","Filled - Unknown","OK")</f>
        <v>OK</v>
      </c>
      <c r="T479" s="6" t="n">
        <f aca="false">raw_data!N479</f>
        <v>6</v>
      </c>
      <c r="U479" s="7" t="n">
        <f aca="false">raw_data!O479</f>
        <v>2193.23</v>
      </c>
      <c r="V479" s="8" t="n">
        <f aca="false">raw_data!P479</f>
        <v>0.1</v>
      </c>
      <c r="W479" s="8" t="n">
        <f aca="false">IF(raw_data!P479="",0,IF(ISTEXT(raw_data!P479),IF(RIGHT(raw_data!P479,1)="%",VALUE(LEFT(raw_data!P479,LEN(raw_data!P479)-1))/100,VALUE(raw_data!P479)),raw_data!P479))</f>
        <v>0.1</v>
      </c>
      <c r="X479" s="3" t="str">
        <f aca="false">IF(raw_data!P479="","Missing - Defaulted to 0",IF(W479&lt;0,"Negative - Invalid",IF(W479&gt;0.3,"Above Allowed Range - Invalid","Valid")))</f>
        <v>Valid</v>
      </c>
      <c r="Y479" s="7" t="n">
        <f aca="false">raw_data!Q479</f>
        <v>11843.44</v>
      </c>
      <c r="Z479" s="7" t="n">
        <f aca="false">raw_data!R479</f>
        <v>9356.88</v>
      </c>
      <c r="AA479" s="7" t="n">
        <f aca="false">raw_data!S479</f>
        <v>2486.56</v>
      </c>
      <c r="AB479" s="3" t="str">
        <f aca="false">PROPER(TRIM(raw_data!T479))</f>
        <v>Paid</v>
      </c>
      <c r="AC479" s="3" t="str">
        <f aca="false">PROPER(TRIM(raw_data!U479))</f>
        <v>Cancelled</v>
      </c>
      <c r="AD479" s="7" t="n">
        <f aca="false">T479*U479*(1-W479)</f>
        <v>11843.442</v>
      </c>
      <c r="AE479" s="7" t="n">
        <f aca="false">AD479-Z479</f>
        <v>2486.562</v>
      </c>
      <c r="AF479" s="8" t="n">
        <f aca="false">IF(AD479=0,0,AE479/AD479)</f>
        <v>0.20995264721185</v>
      </c>
      <c r="AG479" s="3" t="str">
        <f aca="false">IF(ABS(Y479-AD479)&gt;1,"Mismatch","OK")</f>
        <v>OK</v>
      </c>
      <c r="AH479" s="3" t="str">
        <f aca="false">IF(ABS(AA479-AE479)&gt;1,"Mismatch","OK")</f>
        <v>OK</v>
      </c>
      <c r="AI479" s="6" t="n">
        <f aca="false">IF(B479="","",MONTH(B479))</f>
        <v>8</v>
      </c>
      <c r="AJ479" s="6" t="n">
        <f aca="false">IF(B479="","",YEAR(B479))</f>
        <v>2025</v>
      </c>
      <c r="AK479" s="3" t="str">
        <f aca="false">IF(COUNTIF(raw_data!$A$2:$A$913,A479)&gt;1,"Conflicting Duplicate - Flagged for Review","Unique")</f>
        <v>Unique</v>
      </c>
      <c r="AL479" s="3" t="str">
        <f aca="false">IF(AB479="Refunded","Yes","No")</f>
        <v>No</v>
      </c>
      <c r="AM479" s="3" t="str">
        <f aca="false">IF(OR(AC479&lt;&gt;"Completed",AB479="Failed"),"Excluded","Included")</f>
        <v>Excluded</v>
      </c>
      <c r="AN479" s="3" t="str">
        <f aca="false">IF(OR(D479="Invalid/Unrecognized",E479="Invalid/Unrecognized",G479="Invalid - Ship Before Order",X479="Negative - Invalid",X479="Above Allowed Range - Invalid",AG479="Mismatch",AH479="Mismatch",AK479="Conflicting Duplicate - Flagged for Review"),"Invalid",IF(OR(L479="Filled - Unknown",S479="Filled - Unknown",X479="Missing - Defaulted to 0",AL479="Yes",AC479="Cancelled",AC479="Returned"),"Warning","Clean"))</f>
        <v>Warning</v>
      </c>
    </row>
    <row r="480" customFormat="false" ht="15" hidden="false" customHeight="false" outlineLevel="0" collapsed="false">
      <c r="A480" s="3" t="str">
        <f aca="false">raw_data!A480</f>
        <v>ORD-2024-10479</v>
      </c>
      <c r="B480" s="4" t="n">
        <f aca="false">IFERROR(IF(MID(raw_data!B480,3,1)="/",DATE(VALUE(RIGHT(raw_data!B480,4)),VALUE(LEFT(raw_data!B480,2)),VALUE(MID(raw_data!B480,4,2))),IF(MID(raw_data!B480,3,1)="-",DATE(VALUE(RIGHT(raw_data!B480,4)),VALUE(MID(raw_data!B480,4,2)),VALUE(LEFT(raw_data!B480,2))),IF(MID(raw_data!B480,5,1)="-",DATE(VALUE(LEFT(raw_data!B480,4)),VALUE(MID(raw_data!B480,6,2)),VALUE(RIGHT(raw_data!B480,2))),DATE(VALUE(RIGHT(raw_data!B480,4)),MATCH(MID(raw_data!B480,4,3),{"Jan","Feb","Mar","Apr","May","Jun","Jul","Aug","Sep","Oct","Nov","Dec"},0),VALUE(LEFT(raw_data!B480,2)))))),"")</f>
        <v>45452</v>
      </c>
      <c r="C480" s="4" t="n">
        <f aca="false">IFERROR(IF(MID(raw_data!C480,3,1)="/",DATE(VALUE(RIGHT(raw_data!C480,4)),VALUE(LEFT(raw_data!C480,2)),VALUE(MID(raw_data!C480,4,2))),IF(MID(raw_data!C480,3,1)="-",DATE(VALUE(RIGHT(raw_data!C480,4)),VALUE(MID(raw_data!C480,4,2)),VALUE(LEFT(raw_data!C480,2))),IF(MID(raw_data!C480,5,1)="-",DATE(VALUE(LEFT(raw_data!C480,4)),VALUE(MID(raw_data!C480,6,2)),VALUE(RIGHT(raw_data!C480,2))),DATE(VALUE(RIGHT(raw_data!C480,4)),MATCH(MID(raw_data!C480,4,3),{"Jan","Feb","Mar","Apr","May","Jun","Jul","Aug","Sep","Oct","Nov","Dec"},0),VALUE(LEFT(raw_data!C480,2)))))),"")</f>
        <v>45456</v>
      </c>
      <c r="D480" s="3" t="str">
        <f aca="false">IF(TRIM(raw_data!B480)="","Missing",IF(B480="","Invalid/Unrecognized","Valid"))</f>
        <v>Valid</v>
      </c>
      <c r="E480" s="3" t="str">
        <f aca="false">IF(TRIM(raw_data!C480)="","Missing",IF(C480="","Invalid/Unrecognized","Valid"))</f>
        <v>Valid</v>
      </c>
      <c r="F480" s="5" t="n">
        <f aca="false">IF(OR(B480="",C480=""),"",C480-B480)</f>
        <v>4</v>
      </c>
      <c r="G480" s="3" t="str">
        <f aca="false">IF(F480="","N/A",IF(F480&lt;0,"Invalid - Ship Before Order","OK"))</f>
        <v>OK</v>
      </c>
      <c r="H480" s="3" t="str">
        <f aca="false">raw_data!D480</f>
        <v>CUST-4838</v>
      </c>
      <c r="I480" s="3" t="str">
        <f aca="false">PROPER(TRIM(raw_data!E480))</f>
        <v>Mira Das</v>
      </c>
      <c r="J480" s="3" t="str">
        <f aca="false">PROPER(TRIM(raw_data!F480))</f>
        <v>Home Office</v>
      </c>
      <c r="K480" s="3" t="str">
        <f aca="false">IF(TRIM(raw_data!G480)="","Unknown",PROPER(TRIM(raw_data!G480)))</f>
        <v>Unknown</v>
      </c>
      <c r="L480" s="3" t="str">
        <f aca="false">IF(TRIM(raw_data!G480)="","Filled - Unknown","OK")</f>
        <v>Filled - Unknown</v>
      </c>
      <c r="M480" s="3" t="str">
        <f aca="false">PROPER(TRIM(raw_data!H480))</f>
        <v>Uttar Pradesh</v>
      </c>
      <c r="N480" s="3" t="str">
        <f aca="false">PROPER(TRIM(raw_data!I480))</f>
        <v>Noida</v>
      </c>
      <c r="O480" s="3" t="str">
        <f aca="false">PROPER(TRIM(raw_data!J480))</f>
        <v>Technology</v>
      </c>
      <c r="P480" s="3" t="str">
        <f aca="false">PROPER(TRIM(raw_data!K480))</f>
        <v>Machines</v>
      </c>
      <c r="Q480" s="3" t="str">
        <f aca="false">TRIM(raw_data!L480)</f>
        <v>Classic Machines 561</v>
      </c>
      <c r="R480" s="3" t="str">
        <f aca="false">IF(TRIM(raw_data!M480)="","Unknown",PROPER(TRIM(raw_data!M480)))</f>
        <v>Same Day</v>
      </c>
      <c r="S480" s="3" t="str">
        <f aca="false">IF(TRIM(raw_data!M480)="","Filled - Unknown","OK")</f>
        <v>OK</v>
      </c>
      <c r="T480" s="6" t="n">
        <f aca="false">raw_data!N480</f>
        <v>7</v>
      </c>
      <c r="U480" s="7" t="n">
        <f aca="false">raw_data!O480</f>
        <v>4079.71</v>
      </c>
      <c r="V480" s="8" t="n">
        <f aca="false">raw_data!P480</f>
        <v>0.1</v>
      </c>
      <c r="W480" s="8" t="n">
        <f aca="false">IF(raw_data!P480="",0,IF(ISTEXT(raw_data!P480),IF(RIGHT(raw_data!P480,1)="%",VALUE(LEFT(raw_data!P480,LEN(raw_data!P480)-1))/100,VALUE(raw_data!P480)),raw_data!P480))</f>
        <v>0.1</v>
      </c>
      <c r="X480" s="3" t="str">
        <f aca="false">IF(raw_data!P480="","Missing - Defaulted to 0",IF(W480&lt;0,"Negative - Invalid",IF(W480&gt;0.3,"Above Allowed Range - Invalid","Valid")))</f>
        <v>Valid</v>
      </c>
      <c r="Y480" s="7" t="n">
        <f aca="false">raw_data!Q480</f>
        <v>25702.17</v>
      </c>
      <c r="Z480" s="7" t="n">
        <f aca="false">raw_data!R480</f>
        <v>14571.48</v>
      </c>
      <c r="AA480" s="7" t="n">
        <f aca="false">raw_data!S480</f>
        <v>11130.69</v>
      </c>
      <c r="AB480" s="3" t="str">
        <f aca="false">PROPER(TRIM(raw_data!T480))</f>
        <v>Refunded</v>
      </c>
      <c r="AC480" s="3" t="str">
        <f aca="false">PROPER(TRIM(raw_data!U480))</f>
        <v>Returned</v>
      </c>
      <c r="AD480" s="7" t="n">
        <f aca="false">T480*U480*(1-W480)</f>
        <v>25702.173</v>
      </c>
      <c r="AE480" s="7" t="n">
        <f aca="false">AD480-Z480</f>
        <v>11130.693</v>
      </c>
      <c r="AF480" s="8" t="n">
        <f aca="false">IF(AD480=0,0,AE480/AD480)</f>
        <v>0.433064278261609</v>
      </c>
      <c r="AG480" s="3" t="str">
        <f aca="false">IF(ABS(Y480-AD480)&gt;1,"Mismatch","OK")</f>
        <v>OK</v>
      </c>
      <c r="AH480" s="3" t="str">
        <f aca="false">IF(ABS(AA480-AE480)&gt;1,"Mismatch","OK")</f>
        <v>OK</v>
      </c>
      <c r="AI480" s="6" t="n">
        <f aca="false">IF(B480="","",MONTH(B480))</f>
        <v>6</v>
      </c>
      <c r="AJ480" s="6" t="n">
        <f aca="false">IF(B480="","",YEAR(B480))</f>
        <v>2024</v>
      </c>
      <c r="AK480" s="3" t="str">
        <f aca="false">IF(COUNTIF(raw_data!$A$2:$A$913,A480)&gt;1,"Conflicting Duplicate - Flagged for Review","Unique")</f>
        <v>Unique</v>
      </c>
      <c r="AL480" s="3" t="str">
        <f aca="false">IF(AB480="Refunded","Yes","No")</f>
        <v>Yes</v>
      </c>
      <c r="AM480" s="3" t="str">
        <f aca="false">IF(OR(AC480&lt;&gt;"Completed",AB480="Failed"),"Excluded","Included")</f>
        <v>Excluded</v>
      </c>
      <c r="AN480" s="3" t="str">
        <f aca="false">IF(OR(D480="Invalid/Unrecognized",E480="Invalid/Unrecognized",G480="Invalid - Ship Before Order",X480="Negative - Invalid",X480="Above Allowed Range - Invalid",AG480="Mismatch",AH480="Mismatch",AK480="Conflicting Duplicate - Flagged for Review"),"Invalid",IF(OR(L480="Filled - Unknown",S480="Filled - Unknown",X480="Missing - Defaulted to 0",AL480="Yes",AC480="Cancelled",AC480="Returned"),"Warning","Clean"))</f>
        <v>Warning</v>
      </c>
    </row>
    <row r="481" customFormat="false" ht="15" hidden="false" customHeight="false" outlineLevel="0" collapsed="false">
      <c r="A481" s="3" t="str">
        <f aca="false">raw_data!A481</f>
        <v>ORD-2024-10480</v>
      </c>
      <c r="B481" s="4" t="n">
        <f aca="false">IFERROR(IF(MID(raw_data!B481,3,1)="/",DATE(VALUE(RIGHT(raw_data!B481,4)),VALUE(LEFT(raw_data!B481,2)),VALUE(MID(raw_data!B481,4,2))),IF(MID(raw_data!B481,3,1)="-",DATE(VALUE(RIGHT(raw_data!B481,4)),VALUE(MID(raw_data!B481,4,2)),VALUE(LEFT(raw_data!B481,2))),IF(MID(raw_data!B481,5,1)="-",DATE(VALUE(LEFT(raw_data!B481,4)),VALUE(MID(raw_data!B481,6,2)),VALUE(RIGHT(raw_data!B481,2))),DATE(VALUE(RIGHT(raw_data!B481,4)),MATCH(MID(raw_data!B481,4,3),{"Jan","Feb","Mar","Apr","May","Jun","Jul","Aug","Sep","Oct","Nov","Dec"},0),VALUE(LEFT(raw_data!B481,2)))))),"")</f>
        <v>45345</v>
      </c>
      <c r="C481" s="4" t="n">
        <f aca="false">IFERROR(IF(MID(raw_data!C481,3,1)="/",DATE(VALUE(RIGHT(raw_data!C481,4)),VALUE(LEFT(raw_data!C481,2)),VALUE(MID(raw_data!C481,4,2))),IF(MID(raw_data!C481,3,1)="-",DATE(VALUE(RIGHT(raw_data!C481,4)),VALUE(MID(raw_data!C481,4,2)),VALUE(LEFT(raw_data!C481,2))),IF(MID(raw_data!C481,5,1)="-",DATE(VALUE(LEFT(raw_data!C481,4)),VALUE(MID(raw_data!C481,6,2)),VALUE(RIGHT(raw_data!C481,2))),DATE(VALUE(RIGHT(raw_data!C481,4)),MATCH(MID(raw_data!C481,4,3),{"Jan","Feb","Mar","Apr","May","Jun","Jul","Aug","Sep","Oct","Nov","Dec"},0),VALUE(LEFT(raw_data!C481,2)))))),"")</f>
        <v>45342</v>
      </c>
      <c r="D481" s="3" t="str">
        <f aca="false">IF(TRIM(raw_data!B481)="","Missing",IF(B481="","Invalid/Unrecognized","Valid"))</f>
        <v>Valid</v>
      </c>
      <c r="E481" s="3" t="str">
        <f aca="false">IF(TRIM(raw_data!C481)="","Missing",IF(C481="","Invalid/Unrecognized","Valid"))</f>
        <v>Valid</v>
      </c>
      <c r="F481" s="5" t="n">
        <f aca="false">IF(OR(B481="",C481=""),"",C481-B481)</f>
        <v>-3</v>
      </c>
      <c r="G481" s="3" t="str">
        <f aca="false">IF(F481="","N/A",IF(F481&lt;0,"Invalid - Ship Before Order","OK"))</f>
        <v>Invalid - Ship Before Order</v>
      </c>
      <c r="H481" s="3" t="str">
        <f aca="false">raw_data!D481</f>
        <v>CUST-7520</v>
      </c>
      <c r="I481" s="3" t="str">
        <f aca="false">PROPER(TRIM(raw_data!E481))</f>
        <v>Arjun Bose</v>
      </c>
      <c r="J481" s="3" t="str">
        <f aca="false">PROPER(TRIM(raw_data!F481))</f>
        <v>Corporate</v>
      </c>
      <c r="K481" s="3" t="str">
        <f aca="false">IF(TRIM(raw_data!G481)="","Unknown",PROPER(TRIM(raw_data!G481)))</f>
        <v>East</v>
      </c>
      <c r="L481" s="3" t="str">
        <f aca="false">IF(TRIM(raw_data!G481)="","Filled - Unknown","OK")</f>
        <v>OK</v>
      </c>
      <c r="M481" s="3" t="str">
        <f aca="false">PROPER(TRIM(raw_data!H481))</f>
        <v>Odisha</v>
      </c>
      <c r="N481" s="3" t="str">
        <f aca="false">PROPER(TRIM(raw_data!I481))</f>
        <v>Bhubaneswar</v>
      </c>
      <c r="O481" s="3" t="str">
        <f aca="false">PROPER(TRIM(raw_data!J481))</f>
        <v>Furniture</v>
      </c>
      <c r="P481" s="3" t="str">
        <f aca="false">PROPER(TRIM(raw_data!K481))</f>
        <v>Chairs</v>
      </c>
      <c r="Q481" s="3" t="str">
        <f aca="false">TRIM(raw_data!L481)</f>
        <v>Max Chairs 594</v>
      </c>
      <c r="R481" s="3" t="str">
        <f aca="false">IF(TRIM(raw_data!M481)="","Unknown",PROPER(TRIM(raw_data!M481)))</f>
        <v>Second Class</v>
      </c>
      <c r="S481" s="3" t="str">
        <f aca="false">IF(TRIM(raw_data!M481)="","Filled - Unknown","OK")</f>
        <v>OK</v>
      </c>
      <c r="T481" s="6" t="n">
        <f aca="false">raw_data!N481</f>
        <v>1</v>
      </c>
      <c r="U481" s="7" t="n">
        <f aca="false">raw_data!O481</f>
        <v>2202.55</v>
      </c>
      <c r="V481" s="8" t="n">
        <f aca="false">raw_data!P481</f>
        <v>0</v>
      </c>
      <c r="W481" s="8" t="n">
        <f aca="false">IF(raw_data!P481="",0,IF(ISTEXT(raw_data!P481),IF(RIGHT(raw_data!P481,1)="%",VALUE(LEFT(raw_data!P481,LEN(raw_data!P481)-1))/100,VALUE(raw_data!P481)),raw_data!P481))</f>
        <v>0</v>
      </c>
      <c r="X481" s="3" t="str">
        <f aca="false">IF(raw_data!P481="","Missing - Defaulted to 0",IF(W481&lt;0,"Negative - Invalid",IF(W481&gt;0.3,"Above Allowed Range - Invalid","Valid")))</f>
        <v>Missing - Defaulted to 0</v>
      </c>
      <c r="Y481" s="7" t="n">
        <f aca="false">raw_data!Q481</f>
        <v>1651.91</v>
      </c>
      <c r="Z481" s="7" t="n">
        <f aca="false">raw_data!R481</f>
        <v>1034.57</v>
      </c>
      <c r="AA481" s="7" t="n">
        <f aca="false">raw_data!S481</f>
        <v>617.34</v>
      </c>
      <c r="AB481" s="3" t="str">
        <f aca="false">PROPER(TRIM(raw_data!T481))</f>
        <v>Paid</v>
      </c>
      <c r="AC481" s="3" t="str">
        <f aca="false">PROPER(TRIM(raw_data!U481))</f>
        <v>Completed</v>
      </c>
      <c r="AD481" s="7" t="n">
        <f aca="false">T481*U481*(1-W481)</f>
        <v>2202.55</v>
      </c>
      <c r="AE481" s="7" t="n">
        <f aca="false">AD481-Z481</f>
        <v>1167.98</v>
      </c>
      <c r="AF481" s="8" t="n">
        <f aca="false">IF(AD481=0,0,AE481/AD481)</f>
        <v>0.53028535107035</v>
      </c>
      <c r="AG481" s="3" t="str">
        <f aca="false">IF(ABS(Y481-AD481)&gt;1,"Mismatch","OK")</f>
        <v>Mismatch</v>
      </c>
      <c r="AH481" s="3" t="str">
        <f aca="false">IF(ABS(AA481-AE481)&gt;1,"Mismatch","OK")</f>
        <v>Mismatch</v>
      </c>
      <c r="AI481" s="6" t="n">
        <f aca="false">IF(B481="","",MONTH(B481))</f>
        <v>2</v>
      </c>
      <c r="AJ481" s="6" t="n">
        <f aca="false">IF(B481="","",YEAR(B481))</f>
        <v>2024</v>
      </c>
      <c r="AK481" s="3" t="str">
        <f aca="false">IF(COUNTIF(raw_data!$A$2:$A$913,A481)&gt;1,"Conflicting Duplicate - Flagged for Review","Unique")</f>
        <v>Unique</v>
      </c>
      <c r="AL481" s="3" t="str">
        <f aca="false">IF(AB481="Refunded","Yes","No")</f>
        <v>No</v>
      </c>
      <c r="AM481" s="3" t="str">
        <f aca="false">IF(OR(AC481&lt;&gt;"Completed",AB481="Failed"),"Excluded","Included")</f>
        <v>Included</v>
      </c>
      <c r="AN481" s="3" t="str">
        <f aca="false">IF(OR(D481="Invalid/Unrecognized",E481="Invalid/Unrecognized",G481="Invalid - Ship Before Order",X481="Negative - Invalid",X481="Above Allowed Range - Invalid",AG481="Mismatch",AH481="Mismatch",AK481="Conflicting Duplicate - Flagged for Review"),"Invalid",IF(OR(L481="Filled - Unknown",S481="Filled - Unknown",X481="Missing - Defaulted to 0",AL481="Yes",AC481="Cancelled",AC481="Returned"),"Warning","Clean"))</f>
        <v>Invalid</v>
      </c>
    </row>
    <row r="482" customFormat="false" ht="15" hidden="false" customHeight="false" outlineLevel="0" collapsed="false">
      <c r="A482" s="3" t="str">
        <f aca="false">raw_data!A482</f>
        <v>ORD-2025-10481</v>
      </c>
      <c r="B482" s="4" t="n">
        <f aca="false">IFERROR(IF(MID(raw_data!B482,3,1)="/",DATE(VALUE(RIGHT(raw_data!B482,4)),VALUE(LEFT(raw_data!B482,2)),VALUE(MID(raw_data!B482,4,2))),IF(MID(raw_data!B482,3,1)="-",DATE(VALUE(RIGHT(raw_data!B482,4)),VALUE(MID(raw_data!B482,4,2)),VALUE(LEFT(raw_data!B482,2))),IF(MID(raw_data!B482,5,1)="-",DATE(VALUE(LEFT(raw_data!B482,4)),VALUE(MID(raw_data!B482,6,2)),VALUE(RIGHT(raw_data!B482,2))),DATE(VALUE(RIGHT(raw_data!B482,4)),MATCH(MID(raw_data!B482,4,3),{"Jan","Feb","Mar","Apr","May","Jun","Jul","Aug","Sep","Oct","Nov","Dec"},0),VALUE(LEFT(raw_data!B482,2)))))),"")</f>
        <v>45662</v>
      </c>
      <c r="C482" s="4" t="n">
        <f aca="false">IFERROR(IF(MID(raw_data!C482,3,1)="/",DATE(VALUE(RIGHT(raw_data!C482,4)),VALUE(LEFT(raw_data!C482,2)),VALUE(MID(raw_data!C482,4,2))),IF(MID(raw_data!C482,3,1)="-",DATE(VALUE(RIGHT(raw_data!C482,4)),VALUE(MID(raw_data!C482,4,2)),VALUE(LEFT(raw_data!C482,2))),IF(MID(raw_data!C482,5,1)="-",DATE(VALUE(LEFT(raw_data!C482,4)),VALUE(MID(raw_data!C482,6,2)),VALUE(RIGHT(raw_data!C482,2))),DATE(VALUE(RIGHT(raw_data!C482,4)),MATCH(MID(raw_data!C482,4,3),{"Jan","Feb","Mar","Apr","May","Jun","Jul","Aug","Sep","Oct","Nov","Dec"},0),VALUE(LEFT(raw_data!C482,2)))))),"")</f>
        <v>45666</v>
      </c>
      <c r="D482" s="3" t="str">
        <f aca="false">IF(TRIM(raw_data!B482)="","Missing",IF(B482="","Invalid/Unrecognized","Valid"))</f>
        <v>Valid</v>
      </c>
      <c r="E482" s="3" t="str">
        <f aca="false">IF(TRIM(raw_data!C482)="","Missing",IF(C482="","Invalid/Unrecognized","Valid"))</f>
        <v>Valid</v>
      </c>
      <c r="F482" s="5" t="n">
        <f aca="false">IF(OR(B482="",C482=""),"",C482-B482)</f>
        <v>4</v>
      </c>
      <c r="G482" s="3" t="str">
        <f aca="false">IF(F482="","N/A",IF(F482&lt;0,"Invalid - Ship Before Order","OK"))</f>
        <v>OK</v>
      </c>
      <c r="H482" s="3" t="str">
        <f aca="false">raw_data!D482</f>
        <v>CUST-9947</v>
      </c>
      <c r="I482" s="3" t="str">
        <f aca="false">PROPER(TRIM(raw_data!E482))</f>
        <v>Neha Gupta</v>
      </c>
      <c r="J482" s="3" t="str">
        <f aca="false">PROPER(TRIM(raw_data!F482))</f>
        <v>Small Business</v>
      </c>
      <c r="K482" s="3" t="str">
        <f aca="false">IF(TRIM(raw_data!G482)="","Unknown",PROPER(TRIM(raw_data!G482)))</f>
        <v>South</v>
      </c>
      <c r="L482" s="3" t="str">
        <f aca="false">IF(TRIM(raw_data!G482)="","Filled - Unknown","OK")</f>
        <v>OK</v>
      </c>
      <c r="M482" s="3" t="str">
        <f aca="false">PROPER(TRIM(raw_data!H482))</f>
        <v>Tamil Nadu</v>
      </c>
      <c r="N482" s="3" t="str">
        <f aca="false">PROPER(TRIM(raw_data!I482))</f>
        <v>Chennai</v>
      </c>
      <c r="O482" s="3" t="str">
        <f aca="false">PROPER(TRIM(raw_data!J482))</f>
        <v>Office Supplies</v>
      </c>
      <c r="P482" s="3" t="str">
        <f aca="false">PROPER(TRIM(raw_data!K482))</f>
        <v>Storage</v>
      </c>
      <c r="Q482" s="3" t="str">
        <f aca="false">TRIM(raw_data!L482)</f>
        <v>Eco Storage 923</v>
      </c>
      <c r="R482" s="3" t="str">
        <f aca="false">IF(TRIM(raw_data!M482)="","Unknown",PROPER(TRIM(raw_data!M482)))</f>
        <v>Unknown</v>
      </c>
      <c r="S482" s="3" t="str">
        <f aca="false">IF(TRIM(raw_data!M482)="","Filled - Unknown","OK")</f>
        <v>Filled - Unknown</v>
      </c>
      <c r="T482" s="6" t="n">
        <f aca="false">raw_data!N482</f>
        <v>5</v>
      </c>
      <c r="U482" s="7" t="n">
        <f aca="false">raw_data!O482</f>
        <v>905.16</v>
      </c>
      <c r="V482" s="8" t="n">
        <f aca="false">raw_data!P482</f>
        <v>0</v>
      </c>
      <c r="W482" s="8" t="n">
        <f aca="false">IF(raw_data!P482="",0,IF(ISTEXT(raw_data!P482),IF(RIGHT(raw_data!P482,1)="%",VALUE(LEFT(raw_data!P482,LEN(raw_data!P482)-1))/100,VALUE(raw_data!P482)),raw_data!P482))</f>
        <v>0</v>
      </c>
      <c r="X482" s="3" t="str">
        <f aca="false">IF(raw_data!P482="","Missing - Defaulted to 0",IF(W482&lt;0,"Negative - Invalid",IF(W482&gt;0.3,"Above Allowed Range - Invalid","Valid")))</f>
        <v>Valid</v>
      </c>
      <c r="Y482" s="7" t="n">
        <f aca="false">raw_data!Q482</f>
        <v>4525.8</v>
      </c>
      <c r="Z482" s="7" t="n">
        <f aca="false">raw_data!R482</f>
        <v>2714.51</v>
      </c>
      <c r="AA482" s="7" t="n">
        <f aca="false">raw_data!S482</f>
        <v>1811.29</v>
      </c>
      <c r="AB482" s="3" t="str">
        <f aca="false">PROPER(TRIM(raw_data!T482))</f>
        <v>Paid</v>
      </c>
      <c r="AC482" s="3" t="str">
        <f aca="false">PROPER(TRIM(raw_data!U482))</f>
        <v>Completed</v>
      </c>
      <c r="AD482" s="7" t="n">
        <f aca="false">T482*U482*(1-W482)</f>
        <v>4525.8</v>
      </c>
      <c r="AE482" s="7" t="n">
        <f aca="false">AD482-Z482</f>
        <v>1811.29</v>
      </c>
      <c r="AF482" s="8" t="n">
        <f aca="false">IF(AD482=0,0,AE482/AD482)</f>
        <v>0.400214326748862</v>
      </c>
      <c r="AG482" s="3" t="str">
        <f aca="false">IF(ABS(Y482-AD482)&gt;1,"Mismatch","OK")</f>
        <v>OK</v>
      </c>
      <c r="AH482" s="3" t="str">
        <f aca="false">IF(ABS(AA482-AE482)&gt;1,"Mismatch","OK")</f>
        <v>OK</v>
      </c>
      <c r="AI482" s="6" t="n">
        <f aca="false">IF(B482="","",MONTH(B482))</f>
        <v>1</v>
      </c>
      <c r="AJ482" s="6" t="n">
        <f aca="false">IF(B482="","",YEAR(B482))</f>
        <v>2025</v>
      </c>
      <c r="AK482" s="3" t="str">
        <f aca="false">IF(COUNTIF(raw_data!$A$2:$A$913,A482)&gt;1,"Conflicting Duplicate - Flagged for Review","Unique")</f>
        <v>Unique</v>
      </c>
      <c r="AL482" s="3" t="str">
        <f aca="false">IF(AB482="Refunded","Yes","No")</f>
        <v>No</v>
      </c>
      <c r="AM482" s="3" t="str">
        <f aca="false">IF(OR(AC482&lt;&gt;"Completed",AB482="Failed"),"Excluded","Included")</f>
        <v>Included</v>
      </c>
      <c r="AN482" s="3" t="str">
        <f aca="false">IF(OR(D482="Invalid/Unrecognized",E482="Invalid/Unrecognized",G482="Invalid - Ship Before Order",X482="Negative - Invalid",X482="Above Allowed Range - Invalid",AG482="Mismatch",AH482="Mismatch",AK482="Conflicting Duplicate - Flagged for Review"),"Invalid",IF(OR(L482="Filled - Unknown",S482="Filled - Unknown",X482="Missing - Defaulted to 0",AL482="Yes",AC482="Cancelled",AC482="Returned"),"Warning","Clean"))</f>
        <v>Warning</v>
      </c>
    </row>
    <row r="483" customFormat="false" ht="15" hidden="false" customHeight="false" outlineLevel="0" collapsed="false">
      <c r="A483" s="3" t="str">
        <f aca="false">raw_data!A483</f>
        <v>ORD-2025-10482</v>
      </c>
      <c r="B483" s="4" t="n">
        <f aca="false">IFERROR(IF(MID(raw_data!B483,3,1)="/",DATE(VALUE(RIGHT(raw_data!B483,4)),VALUE(LEFT(raw_data!B483,2)),VALUE(MID(raw_data!B483,4,2))),IF(MID(raw_data!B483,3,1)="-",DATE(VALUE(RIGHT(raw_data!B483,4)),VALUE(MID(raw_data!B483,4,2)),VALUE(LEFT(raw_data!B483,2))),IF(MID(raw_data!B483,5,1)="-",DATE(VALUE(LEFT(raw_data!B483,4)),VALUE(MID(raw_data!B483,6,2)),VALUE(RIGHT(raw_data!B483,2))),DATE(VALUE(RIGHT(raw_data!B483,4)),MATCH(MID(raw_data!B483,4,3),{"Jan","Feb","Mar","Apr","May","Jun","Jul","Aug","Sep","Oct","Nov","Dec"},0),VALUE(LEFT(raw_data!B483,2)))))),"")</f>
        <v>45813</v>
      </c>
      <c r="C483" s="4" t="n">
        <f aca="false">IFERROR(IF(MID(raw_data!C483,3,1)="/",DATE(VALUE(RIGHT(raw_data!C483,4)),VALUE(LEFT(raw_data!C483,2)),VALUE(MID(raw_data!C483,4,2))),IF(MID(raw_data!C483,3,1)="-",DATE(VALUE(RIGHT(raw_data!C483,4)),VALUE(MID(raw_data!C483,4,2)),VALUE(LEFT(raw_data!C483,2))),IF(MID(raw_data!C483,5,1)="-",DATE(VALUE(LEFT(raw_data!C483,4)),VALUE(MID(raw_data!C483,6,2)),VALUE(RIGHT(raw_data!C483,2))),DATE(VALUE(RIGHT(raw_data!C483,4)),MATCH(MID(raw_data!C483,4,3),{"Jan","Feb","Mar","Apr","May","Jun","Jul","Aug","Sep","Oct","Nov","Dec"},0),VALUE(LEFT(raw_data!C483,2)))))),"")</f>
        <v>45821</v>
      </c>
      <c r="D483" s="3" t="str">
        <f aca="false">IF(TRIM(raw_data!B483)="","Missing",IF(B483="","Invalid/Unrecognized","Valid"))</f>
        <v>Valid</v>
      </c>
      <c r="E483" s="3" t="str">
        <f aca="false">IF(TRIM(raw_data!C483)="","Missing",IF(C483="","Invalid/Unrecognized","Valid"))</f>
        <v>Valid</v>
      </c>
      <c r="F483" s="5" t="n">
        <f aca="false">IF(OR(B483="",C483=""),"",C483-B483)</f>
        <v>8</v>
      </c>
      <c r="G483" s="3" t="str">
        <f aca="false">IF(F483="","N/A",IF(F483&lt;0,"Invalid - Ship Before Order","OK"))</f>
        <v>OK</v>
      </c>
      <c r="H483" s="3" t="str">
        <f aca="false">raw_data!D483</f>
        <v>CUST-4403</v>
      </c>
      <c r="I483" s="3" t="str">
        <f aca="false">PROPER(TRIM(raw_data!E483))</f>
        <v>Isha Nair</v>
      </c>
      <c r="J483" s="3" t="str">
        <f aca="false">PROPER(TRIM(raw_data!F483))</f>
        <v>Consumer</v>
      </c>
      <c r="K483" s="3" t="str">
        <f aca="false">IF(TRIM(raw_data!G483)="","Unknown",PROPER(TRIM(raw_data!G483)))</f>
        <v>North</v>
      </c>
      <c r="L483" s="3" t="str">
        <f aca="false">IF(TRIM(raw_data!G483)="","Filled - Unknown","OK")</f>
        <v>OK</v>
      </c>
      <c r="M483" s="3" t="str">
        <f aca="false">PROPER(TRIM(raw_data!H483))</f>
        <v>Uttar Pradesh</v>
      </c>
      <c r="N483" s="3" t="str">
        <f aca="false">PROPER(TRIM(raw_data!I483))</f>
        <v>Noida</v>
      </c>
      <c r="O483" s="3" t="str">
        <f aca="false">PROPER(TRIM(raw_data!J483))</f>
        <v>Technology</v>
      </c>
      <c r="P483" s="3" t="str">
        <f aca="false">PROPER(TRIM(raw_data!K483))</f>
        <v>Machines</v>
      </c>
      <c r="Q483" s="3" t="str">
        <f aca="false">TRIM(raw_data!L483)</f>
        <v>Classic Machines 287</v>
      </c>
      <c r="R483" s="3" t="str">
        <f aca="false">IF(TRIM(raw_data!M483)="","Unknown",PROPER(TRIM(raw_data!M483)))</f>
        <v>Same Day</v>
      </c>
      <c r="S483" s="3" t="str">
        <f aca="false">IF(TRIM(raw_data!M483)="","Filled - Unknown","OK")</f>
        <v>OK</v>
      </c>
      <c r="T483" s="6" t="n">
        <f aca="false">raw_data!N483</f>
        <v>4</v>
      </c>
      <c r="U483" s="7" t="n">
        <f aca="false">raw_data!O483</f>
        <v>2793.88</v>
      </c>
      <c r="V483" s="8" t="str">
        <f aca="false">raw_data!P483</f>
        <v>85%</v>
      </c>
      <c r="W483" s="8" t="n">
        <f aca="false">IF(raw_data!P483="",0,IF(ISTEXT(raw_data!P483),IF(RIGHT(raw_data!P483,1)="%",VALUE(LEFT(raw_data!P483,LEN(raw_data!P483)-1))/100,VALUE(raw_data!P483)),raw_data!P483))</f>
        <v>0.85</v>
      </c>
      <c r="X483" s="3" t="str">
        <f aca="false">IF(raw_data!P483="","Missing - Defaulted to 0",IF(W483&lt;0,"Negative - Invalid",IF(W483&gt;0.3,"Above Allowed Range - Invalid","Valid")))</f>
        <v>Above Allowed Range - Invalid</v>
      </c>
      <c r="Y483" s="7" t="n">
        <f aca="false">raw_data!Q483</f>
        <v>10616.74</v>
      </c>
      <c r="Z483" s="7" t="n">
        <f aca="false">raw_data!R483</f>
        <v>6353.59</v>
      </c>
      <c r="AA483" s="7" t="n">
        <f aca="false">raw_data!S483</f>
        <v>4263.15</v>
      </c>
      <c r="AB483" s="3" t="str">
        <f aca="false">PROPER(TRIM(raw_data!T483))</f>
        <v>Paid</v>
      </c>
      <c r="AC483" s="3" t="str">
        <f aca="false">PROPER(TRIM(raw_data!U483))</f>
        <v>Completed</v>
      </c>
      <c r="AD483" s="7" t="n">
        <f aca="false">T483*U483*(1-W483)</f>
        <v>1676.328</v>
      </c>
      <c r="AE483" s="7" t="n">
        <f aca="false">AD483-Z483</f>
        <v>-4677.262</v>
      </c>
      <c r="AF483" s="8" t="n">
        <f aca="false">IF(AD483=0,0,AE483/AD483)</f>
        <v>-2.79018306679838</v>
      </c>
      <c r="AG483" s="3" t="str">
        <f aca="false">IF(ABS(Y483-AD483)&gt;1,"Mismatch","OK")</f>
        <v>Mismatch</v>
      </c>
      <c r="AH483" s="3" t="str">
        <f aca="false">IF(ABS(AA483-AE483)&gt;1,"Mismatch","OK")</f>
        <v>Mismatch</v>
      </c>
      <c r="AI483" s="6" t="n">
        <f aca="false">IF(B483="","",MONTH(B483))</f>
        <v>6</v>
      </c>
      <c r="AJ483" s="6" t="n">
        <f aca="false">IF(B483="","",YEAR(B483))</f>
        <v>2025</v>
      </c>
      <c r="AK483" s="3" t="str">
        <f aca="false">IF(COUNTIF(raw_data!$A$2:$A$913,A483)&gt;1,"Conflicting Duplicate - Flagged for Review","Unique")</f>
        <v>Unique</v>
      </c>
      <c r="AL483" s="3" t="str">
        <f aca="false">IF(AB483="Refunded","Yes","No")</f>
        <v>No</v>
      </c>
      <c r="AM483" s="3" t="str">
        <f aca="false">IF(OR(AC483&lt;&gt;"Completed",AB483="Failed"),"Excluded","Included")</f>
        <v>Included</v>
      </c>
      <c r="AN483" s="3" t="str">
        <f aca="false">IF(OR(D483="Invalid/Unrecognized",E483="Invalid/Unrecognized",G483="Invalid - Ship Before Order",X483="Negative - Invalid",X483="Above Allowed Range - Invalid",AG483="Mismatch",AH483="Mismatch",AK483="Conflicting Duplicate - Flagged for Review"),"Invalid",IF(OR(L483="Filled - Unknown",S483="Filled - Unknown",X483="Missing - Defaulted to 0",AL483="Yes",AC483="Cancelled",AC483="Returned"),"Warning","Clean"))</f>
        <v>Invalid</v>
      </c>
    </row>
    <row r="484" customFormat="false" ht="15" hidden="false" customHeight="false" outlineLevel="0" collapsed="false">
      <c r="A484" s="3" t="str">
        <f aca="false">raw_data!A484</f>
        <v>ORD-2024-10483</v>
      </c>
      <c r="B484" s="4" t="n">
        <f aca="false">IFERROR(IF(MID(raw_data!B484,3,1)="/",DATE(VALUE(RIGHT(raw_data!B484,4)),VALUE(LEFT(raw_data!B484,2)),VALUE(MID(raw_data!B484,4,2))),IF(MID(raw_data!B484,3,1)="-",DATE(VALUE(RIGHT(raw_data!B484,4)),VALUE(MID(raw_data!B484,4,2)),VALUE(LEFT(raw_data!B484,2))),IF(MID(raw_data!B484,5,1)="-",DATE(VALUE(LEFT(raw_data!B484,4)),VALUE(MID(raw_data!B484,6,2)),VALUE(RIGHT(raw_data!B484,2))),DATE(VALUE(RIGHT(raw_data!B484,4)),MATCH(MID(raw_data!B484,4,3),{"Jan","Feb","Mar","Apr","May","Jun","Jul","Aug","Sep","Oct","Nov","Dec"},0),VALUE(LEFT(raw_data!B484,2)))))),"")</f>
        <v>45495</v>
      </c>
      <c r="C484" s="4" t="n">
        <f aca="false">IFERROR(IF(MID(raw_data!C484,3,1)="/",DATE(VALUE(RIGHT(raw_data!C484,4)),VALUE(LEFT(raw_data!C484,2)),VALUE(MID(raw_data!C484,4,2))),IF(MID(raw_data!C484,3,1)="-",DATE(VALUE(RIGHT(raw_data!C484,4)),VALUE(MID(raw_data!C484,4,2)),VALUE(LEFT(raw_data!C484,2))),IF(MID(raw_data!C484,5,1)="-",DATE(VALUE(LEFT(raw_data!C484,4)),VALUE(MID(raw_data!C484,6,2)),VALUE(RIGHT(raw_data!C484,2))),DATE(VALUE(RIGHT(raw_data!C484,4)),MATCH(MID(raw_data!C484,4,3),{"Jan","Feb","Mar","Apr","May","Jun","Jul","Aug","Sep","Oct","Nov","Dec"},0),VALUE(LEFT(raw_data!C484,2)))))),"")</f>
        <v>45495</v>
      </c>
      <c r="D484" s="3" t="str">
        <f aca="false">IF(TRIM(raw_data!B484)="","Missing",IF(B484="","Invalid/Unrecognized","Valid"))</f>
        <v>Valid</v>
      </c>
      <c r="E484" s="3" t="str">
        <f aca="false">IF(TRIM(raw_data!C484)="","Missing",IF(C484="","Invalid/Unrecognized","Valid"))</f>
        <v>Valid</v>
      </c>
      <c r="F484" s="5" t="n">
        <f aca="false">IF(OR(B484="",C484=""),"",C484-B484)</f>
        <v>0</v>
      </c>
      <c r="G484" s="3" t="str">
        <f aca="false">IF(F484="","N/A",IF(F484&lt;0,"Invalid - Ship Before Order","OK"))</f>
        <v>OK</v>
      </c>
      <c r="H484" s="3" t="str">
        <f aca="false">raw_data!D484</f>
        <v>CUST-3583</v>
      </c>
      <c r="I484" s="3" t="str">
        <f aca="false">PROPER(TRIM(raw_data!E484))</f>
        <v>Priya Menon</v>
      </c>
      <c r="J484" s="3" t="str">
        <f aca="false">PROPER(TRIM(raw_data!F484))</f>
        <v>Consumer</v>
      </c>
      <c r="K484" s="3" t="str">
        <f aca="false">IF(TRIM(raw_data!G484)="","Unknown",PROPER(TRIM(raw_data!G484)))</f>
        <v>South</v>
      </c>
      <c r="L484" s="3" t="str">
        <f aca="false">IF(TRIM(raw_data!G484)="","Filled - Unknown","OK")</f>
        <v>OK</v>
      </c>
      <c r="M484" s="3" t="str">
        <f aca="false">PROPER(TRIM(raw_data!H484))</f>
        <v>Karnataka</v>
      </c>
      <c r="N484" s="3" t="str">
        <f aca="false">PROPER(TRIM(raw_data!I484))</f>
        <v>Bengaluru</v>
      </c>
      <c r="O484" s="3" t="str">
        <f aca="false">PROPER(TRIM(raw_data!J484))</f>
        <v>Technology</v>
      </c>
      <c r="P484" s="3" t="str">
        <f aca="false">PROPER(TRIM(raw_data!K484))</f>
        <v>Accessories</v>
      </c>
      <c r="Q484" s="3" t="str">
        <f aca="false">TRIM(raw_data!L484)</f>
        <v>Basic Accessories 518</v>
      </c>
      <c r="R484" s="3" t="str">
        <f aca="false">IF(TRIM(raw_data!M484)="","Unknown",PROPER(TRIM(raw_data!M484)))</f>
        <v>Second Class</v>
      </c>
      <c r="S484" s="3" t="str">
        <f aca="false">IF(TRIM(raw_data!M484)="","Filled - Unknown","OK")</f>
        <v>OK</v>
      </c>
      <c r="T484" s="6" t="n">
        <f aca="false">raw_data!N484</f>
        <v>3</v>
      </c>
      <c r="U484" s="7" t="n">
        <f aca="false">raw_data!O484</f>
        <v>1286.22</v>
      </c>
      <c r="V484" s="8" t="n">
        <f aca="false">raw_data!P484</f>
        <v>0.25</v>
      </c>
      <c r="W484" s="8" t="n">
        <f aca="false">IF(raw_data!P484="",0,IF(ISTEXT(raw_data!P484),IF(RIGHT(raw_data!P484,1)="%",VALUE(LEFT(raw_data!P484,LEN(raw_data!P484)-1))/100,VALUE(raw_data!P484)),raw_data!P484))</f>
        <v>0.25</v>
      </c>
      <c r="X484" s="3" t="str">
        <f aca="false">IF(raw_data!P484="","Missing - Defaulted to 0",IF(W484&lt;0,"Negative - Invalid",IF(W484&gt;0.3,"Above Allowed Range - Invalid","Valid")))</f>
        <v>Valid</v>
      </c>
      <c r="Y484" s="7" t="n">
        <f aca="false">raw_data!Q484</f>
        <v>2893.99</v>
      </c>
      <c r="Z484" s="7" t="n">
        <f aca="false">raw_data!R484</f>
        <v>1856.03</v>
      </c>
      <c r="AA484" s="7" t="n">
        <f aca="false">raw_data!S484</f>
        <v>1037.96</v>
      </c>
      <c r="AB484" s="3" t="str">
        <f aca="false">PROPER(TRIM(raw_data!T484))</f>
        <v>Paid</v>
      </c>
      <c r="AC484" s="3" t="str">
        <f aca="false">PROPER(TRIM(raw_data!U484))</f>
        <v>Completed</v>
      </c>
      <c r="AD484" s="7" t="n">
        <f aca="false">T484*U484*(1-W484)</f>
        <v>2893.995</v>
      </c>
      <c r="AE484" s="7" t="n">
        <f aca="false">AD484-Z484</f>
        <v>1037.965</v>
      </c>
      <c r="AF484" s="8" t="n">
        <f aca="false">IF(AD484=0,0,AE484/AD484)</f>
        <v>0.358661642470011</v>
      </c>
      <c r="AG484" s="3" t="str">
        <f aca="false">IF(ABS(Y484-AD484)&gt;1,"Mismatch","OK")</f>
        <v>OK</v>
      </c>
      <c r="AH484" s="3" t="str">
        <f aca="false">IF(ABS(AA484-AE484)&gt;1,"Mismatch","OK")</f>
        <v>OK</v>
      </c>
      <c r="AI484" s="6" t="n">
        <f aca="false">IF(B484="","",MONTH(B484))</f>
        <v>7</v>
      </c>
      <c r="AJ484" s="6" t="n">
        <f aca="false">IF(B484="","",YEAR(B484))</f>
        <v>2024</v>
      </c>
      <c r="AK484" s="3" t="str">
        <f aca="false">IF(COUNTIF(raw_data!$A$2:$A$913,A484)&gt;1,"Conflicting Duplicate - Flagged for Review","Unique")</f>
        <v>Unique</v>
      </c>
      <c r="AL484" s="3" t="str">
        <f aca="false">IF(AB484="Refunded","Yes","No")</f>
        <v>No</v>
      </c>
      <c r="AM484" s="3" t="str">
        <f aca="false">IF(OR(AC484&lt;&gt;"Completed",AB484="Failed"),"Excluded","Included")</f>
        <v>Included</v>
      </c>
      <c r="AN484" s="3" t="str">
        <f aca="false">IF(OR(D484="Invalid/Unrecognized",E484="Invalid/Unrecognized",G484="Invalid - Ship Before Order",X484="Negative - Invalid",X484="Above Allowed Range - Invalid",AG484="Mismatch",AH484="Mismatch",AK484="Conflicting Duplicate - Flagged for Review"),"Invalid",IF(OR(L484="Filled - Unknown",S484="Filled - Unknown",X484="Missing - Defaulted to 0",AL484="Yes",AC484="Cancelled",AC484="Returned"),"Warning","Clean"))</f>
        <v>Clean</v>
      </c>
    </row>
    <row r="485" customFormat="false" ht="15" hidden="false" customHeight="false" outlineLevel="0" collapsed="false">
      <c r="A485" s="3" t="str">
        <f aca="false">raw_data!A485</f>
        <v>ORD-2024-10484</v>
      </c>
      <c r="B485" s="4" t="n">
        <f aca="false">IFERROR(IF(MID(raw_data!B485,3,1)="/",DATE(VALUE(RIGHT(raw_data!B485,4)),VALUE(LEFT(raw_data!B485,2)),VALUE(MID(raw_data!B485,4,2))),IF(MID(raw_data!B485,3,1)="-",DATE(VALUE(RIGHT(raw_data!B485,4)),VALUE(MID(raw_data!B485,4,2)),VALUE(LEFT(raw_data!B485,2))),IF(MID(raw_data!B485,5,1)="-",DATE(VALUE(LEFT(raw_data!B485,4)),VALUE(MID(raw_data!B485,6,2)),VALUE(RIGHT(raw_data!B485,2))),DATE(VALUE(RIGHT(raw_data!B485,4)),MATCH(MID(raw_data!B485,4,3),{"Jan","Feb","Mar","Apr","May","Jun","Jul","Aug","Sep","Oct","Nov","Dec"},0),VALUE(LEFT(raw_data!B485,2)))))),"")</f>
        <v>45651</v>
      </c>
      <c r="C485" s="4" t="n">
        <f aca="false">IFERROR(IF(MID(raw_data!C485,3,1)="/",DATE(VALUE(RIGHT(raw_data!C485,4)),VALUE(LEFT(raw_data!C485,2)),VALUE(MID(raw_data!C485,4,2))),IF(MID(raw_data!C485,3,1)="-",DATE(VALUE(RIGHT(raw_data!C485,4)),VALUE(MID(raw_data!C485,4,2)),VALUE(LEFT(raw_data!C485,2))),IF(MID(raw_data!C485,5,1)="-",DATE(VALUE(LEFT(raw_data!C485,4)),VALUE(MID(raw_data!C485,6,2)),VALUE(RIGHT(raw_data!C485,2))),DATE(VALUE(RIGHT(raw_data!C485,4)),MATCH(MID(raw_data!C485,4,3),{"Jan","Feb","Mar","Apr","May","Jun","Jul","Aug","Sep","Oct","Nov","Dec"},0),VALUE(LEFT(raw_data!C485,2)))))),"")</f>
        <v>45651</v>
      </c>
      <c r="D485" s="3" t="str">
        <f aca="false">IF(TRIM(raw_data!B485)="","Missing",IF(B485="","Invalid/Unrecognized","Valid"))</f>
        <v>Valid</v>
      </c>
      <c r="E485" s="3" t="str">
        <f aca="false">IF(TRIM(raw_data!C485)="","Missing",IF(C485="","Invalid/Unrecognized","Valid"))</f>
        <v>Valid</v>
      </c>
      <c r="F485" s="5" t="n">
        <f aca="false">IF(OR(B485="",C485=""),"",C485-B485)</f>
        <v>0</v>
      </c>
      <c r="G485" s="3" t="str">
        <f aca="false">IF(F485="","N/A",IF(F485&lt;0,"Invalid - Ship Before Order","OK"))</f>
        <v>OK</v>
      </c>
      <c r="H485" s="3" t="str">
        <f aca="false">raw_data!D485</f>
        <v>CUST-9432</v>
      </c>
      <c r="I485" s="3" t="str">
        <f aca="false">PROPER(TRIM(raw_data!E485))</f>
        <v>Mira Das</v>
      </c>
      <c r="J485" s="3" t="str">
        <f aca="false">PROPER(TRIM(raw_data!F485))</f>
        <v>Corporate</v>
      </c>
      <c r="K485" s="3" t="str">
        <f aca="false">IF(TRIM(raw_data!G485)="","Unknown",PROPER(TRIM(raw_data!G485)))</f>
        <v>East</v>
      </c>
      <c r="L485" s="3" t="str">
        <f aca="false">IF(TRIM(raw_data!G485)="","Filled - Unknown","OK")</f>
        <v>OK</v>
      </c>
      <c r="M485" s="3" t="str">
        <f aca="false">PROPER(TRIM(raw_data!H485))</f>
        <v>Bihar</v>
      </c>
      <c r="N485" s="3" t="str">
        <f aca="false">PROPER(TRIM(raw_data!I485))</f>
        <v>Patna</v>
      </c>
      <c r="O485" s="3" t="str">
        <f aca="false">PROPER(TRIM(raw_data!J485))</f>
        <v>Technology</v>
      </c>
      <c r="P485" s="3" t="str">
        <f aca="false">PROPER(TRIM(raw_data!K485))</f>
        <v>Copiers</v>
      </c>
      <c r="Q485" s="3" t="str">
        <f aca="false">TRIM(raw_data!L485)</f>
        <v>Pro Copiers 984</v>
      </c>
      <c r="R485" s="3" t="str">
        <f aca="false">IF(TRIM(raw_data!M485)="","Unknown",PROPER(TRIM(raw_data!M485)))</f>
        <v>Standard Class</v>
      </c>
      <c r="S485" s="3" t="str">
        <f aca="false">IF(TRIM(raw_data!M485)="","Filled - Unknown","OK")</f>
        <v>OK</v>
      </c>
      <c r="T485" s="6" t="n">
        <f aca="false">raw_data!N485</f>
        <v>1</v>
      </c>
      <c r="U485" s="7" t="n">
        <f aca="false">raw_data!O485</f>
        <v>829.66</v>
      </c>
      <c r="V485" s="8" t="n">
        <f aca="false">raw_data!P485</f>
        <v>0.15</v>
      </c>
      <c r="W485" s="8" t="n">
        <f aca="false">IF(raw_data!P485="",0,IF(ISTEXT(raw_data!P485),IF(RIGHT(raw_data!P485,1)="%",VALUE(LEFT(raw_data!P485,LEN(raw_data!P485)-1))/100,VALUE(raw_data!P485)),raw_data!P485))</f>
        <v>0.15</v>
      </c>
      <c r="X485" s="3" t="str">
        <f aca="false">IF(raw_data!P485="","Missing - Defaulted to 0",IF(W485&lt;0,"Negative - Invalid",IF(W485&gt;0.3,"Above Allowed Range - Invalid","Valid")))</f>
        <v>Valid</v>
      </c>
      <c r="Y485" s="7" t="n">
        <f aca="false">raw_data!Q485</f>
        <v>705.21</v>
      </c>
      <c r="Z485" s="7" t="n">
        <f aca="false">raw_data!R485</f>
        <v>438.32</v>
      </c>
      <c r="AA485" s="7" t="n">
        <f aca="false">raw_data!S485</f>
        <v>266.89</v>
      </c>
      <c r="AB485" s="3" t="str">
        <f aca="false">PROPER(TRIM(raw_data!T485))</f>
        <v>Paid</v>
      </c>
      <c r="AC485" s="3" t="str">
        <f aca="false">PROPER(TRIM(raw_data!U485))</f>
        <v>Completed</v>
      </c>
      <c r="AD485" s="7" t="n">
        <f aca="false">T485*U485*(1-W485)</f>
        <v>705.211</v>
      </c>
      <c r="AE485" s="7" t="n">
        <f aca="false">AD485-Z485</f>
        <v>266.891</v>
      </c>
      <c r="AF485" s="8" t="n">
        <f aca="false">IF(AD485=0,0,AE485/AD485)</f>
        <v>0.378455526076593</v>
      </c>
      <c r="AG485" s="3" t="str">
        <f aca="false">IF(ABS(Y485-AD485)&gt;1,"Mismatch","OK")</f>
        <v>OK</v>
      </c>
      <c r="AH485" s="3" t="str">
        <f aca="false">IF(ABS(AA485-AE485)&gt;1,"Mismatch","OK")</f>
        <v>OK</v>
      </c>
      <c r="AI485" s="6" t="n">
        <f aca="false">IF(B485="","",MONTH(B485))</f>
        <v>12</v>
      </c>
      <c r="AJ485" s="6" t="n">
        <f aca="false">IF(B485="","",YEAR(B485))</f>
        <v>2024</v>
      </c>
      <c r="AK485" s="3" t="str">
        <f aca="false">IF(COUNTIF(raw_data!$A$2:$A$913,A485)&gt;1,"Conflicting Duplicate - Flagged for Review","Unique")</f>
        <v>Unique</v>
      </c>
      <c r="AL485" s="3" t="str">
        <f aca="false">IF(AB485="Refunded","Yes","No")</f>
        <v>No</v>
      </c>
      <c r="AM485" s="3" t="str">
        <f aca="false">IF(OR(AC485&lt;&gt;"Completed",AB485="Failed"),"Excluded","Included")</f>
        <v>Included</v>
      </c>
      <c r="AN485" s="3" t="str">
        <f aca="false">IF(OR(D485="Invalid/Unrecognized",E485="Invalid/Unrecognized",G485="Invalid - Ship Before Order",X485="Negative - Invalid",X485="Above Allowed Range - Invalid",AG485="Mismatch",AH485="Mismatch",AK485="Conflicting Duplicate - Flagged for Review"),"Invalid",IF(OR(L485="Filled - Unknown",S485="Filled - Unknown",X485="Missing - Defaulted to 0",AL485="Yes",AC485="Cancelled",AC485="Returned"),"Warning","Clean"))</f>
        <v>Clean</v>
      </c>
    </row>
    <row r="486" customFormat="false" ht="15" hidden="false" customHeight="false" outlineLevel="0" collapsed="false">
      <c r="A486" s="3" t="str">
        <f aca="false">raw_data!A486</f>
        <v>ORD-2024-10485</v>
      </c>
      <c r="B486" s="4" t="n">
        <f aca="false">IFERROR(IF(MID(raw_data!B486,3,1)="/",DATE(VALUE(RIGHT(raw_data!B486,4)),VALUE(LEFT(raw_data!B486,2)),VALUE(MID(raw_data!B486,4,2))),IF(MID(raw_data!B486,3,1)="-",DATE(VALUE(RIGHT(raw_data!B486,4)),VALUE(MID(raw_data!B486,4,2)),VALUE(LEFT(raw_data!B486,2))),IF(MID(raw_data!B486,5,1)="-",DATE(VALUE(LEFT(raw_data!B486,4)),VALUE(MID(raw_data!B486,6,2)),VALUE(RIGHT(raw_data!B486,2))),DATE(VALUE(RIGHT(raw_data!B486,4)),MATCH(MID(raw_data!B486,4,3),{"Jan","Feb","Mar","Apr","May","Jun","Jul","Aug","Sep","Oct","Nov","Dec"},0),VALUE(LEFT(raw_data!B486,2)))))),"")</f>
        <v>45654</v>
      </c>
      <c r="C486" s="4" t="n">
        <f aca="false">IFERROR(IF(MID(raw_data!C486,3,1)="/",DATE(VALUE(RIGHT(raw_data!C486,4)),VALUE(LEFT(raw_data!C486,2)),VALUE(MID(raw_data!C486,4,2))),IF(MID(raw_data!C486,3,1)="-",DATE(VALUE(RIGHT(raw_data!C486,4)),VALUE(MID(raw_data!C486,4,2)),VALUE(LEFT(raw_data!C486,2))),IF(MID(raw_data!C486,5,1)="-",DATE(VALUE(LEFT(raw_data!C486,4)),VALUE(MID(raw_data!C486,6,2)),VALUE(RIGHT(raw_data!C486,2))),DATE(VALUE(RIGHT(raw_data!C486,4)),MATCH(MID(raw_data!C486,4,3),{"Jan","Feb","Mar","Apr","May","Jun","Jul","Aug","Sep","Oct","Nov","Dec"},0),VALUE(LEFT(raw_data!C486,2)))))),"")</f>
        <v>45657</v>
      </c>
      <c r="D486" s="3" t="str">
        <f aca="false">IF(TRIM(raw_data!B486)="","Missing",IF(B486="","Invalid/Unrecognized","Valid"))</f>
        <v>Valid</v>
      </c>
      <c r="E486" s="3" t="str">
        <f aca="false">IF(TRIM(raw_data!C486)="","Missing",IF(C486="","Invalid/Unrecognized","Valid"))</f>
        <v>Valid</v>
      </c>
      <c r="F486" s="5" t="n">
        <f aca="false">IF(OR(B486="",C486=""),"",C486-B486)</f>
        <v>3</v>
      </c>
      <c r="G486" s="3" t="str">
        <f aca="false">IF(F486="","N/A",IF(F486&lt;0,"Invalid - Ship Before Order","OK"))</f>
        <v>OK</v>
      </c>
      <c r="H486" s="3" t="str">
        <f aca="false">raw_data!D486</f>
        <v>CUST-1801</v>
      </c>
      <c r="I486" s="3" t="str">
        <f aca="false">PROPER(TRIM(raw_data!E486))</f>
        <v>Mira Das</v>
      </c>
      <c r="J486" s="3" t="str">
        <f aca="false">PROPER(TRIM(raw_data!F486))</f>
        <v>Small Business</v>
      </c>
      <c r="K486" s="3" t="str">
        <f aca="false">IF(TRIM(raw_data!G486)="","Unknown",PROPER(TRIM(raw_data!G486)))</f>
        <v>South</v>
      </c>
      <c r="L486" s="3" t="str">
        <f aca="false">IF(TRIM(raw_data!G486)="","Filled - Unknown","OK")</f>
        <v>OK</v>
      </c>
      <c r="M486" s="3" t="str">
        <f aca="false">PROPER(TRIM(raw_data!H486))</f>
        <v>Andhra Pradesh</v>
      </c>
      <c r="N486" s="3" t="str">
        <f aca="false">PROPER(TRIM(raw_data!I486))</f>
        <v>Vijayawada</v>
      </c>
      <c r="O486" s="3" t="str">
        <f aca="false">PROPER(TRIM(raw_data!J486))</f>
        <v>Furniture</v>
      </c>
      <c r="P486" s="3" t="str">
        <f aca="false">PROPER(TRIM(raw_data!K486))</f>
        <v>Furnishings</v>
      </c>
      <c r="Q486" s="3" t="str">
        <f aca="false">TRIM(raw_data!L486)</f>
        <v>Max Furnishings 297</v>
      </c>
      <c r="R486" s="3" t="str">
        <f aca="false">IF(TRIM(raw_data!M486)="","Unknown",PROPER(TRIM(raw_data!M486)))</f>
        <v>First Class</v>
      </c>
      <c r="S486" s="3" t="str">
        <f aca="false">IF(TRIM(raw_data!M486)="","Filled - Unknown","OK")</f>
        <v>OK</v>
      </c>
      <c r="T486" s="6" t="n">
        <f aca="false">raw_data!N486</f>
        <v>6</v>
      </c>
      <c r="U486" s="7" t="n">
        <f aca="false">raw_data!O486</f>
        <v>3641.22</v>
      </c>
      <c r="V486" s="8" t="n">
        <f aca="false">raw_data!P486</f>
        <v>0.25</v>
      </c>
      <c r="W486" s="8" t="n">
        <f aca="false">IF(raw_data!P486="",0,IF(ISTEXT(raw_data!P486),IF(RIGHT(raw_data!P486,1)="%",VALUE(LEFT(raw_data!P486,LEN(raw_data!P486)-1))/100,VALUE(raw_data!P486)),raw_data!P486))</f>
        <v>0.25</v>
      </c>
      <c r="X486" s="3" t="str">
        <f aca="false">IF(raw_data!P486="","Missing - Defaulted to 0",IF(W486&lt;0,"Negative - Invalid",IF(W486&gt;0.3,"Above Allowed Range - Invalid","Valid")))</f>
        <v>Valid</v>
      </c>
      <c r="Y486" s="7" t="n">
        <f aca="false">raw_data!Q486</f>
        <v>16385.49</v>
      </c>
      <c r="Z486" s="7" t="n">
        <f aca="false">raw_data!R486</f>
        <v>13679.24</v>
      </c>
      <c r="AA486" s="7" t="n">
        <f aca="false">raw_data!S486</f>
        <v>2706.25</v>
      </c>
      <c r="AB486" s="3" t="str">
        <f aca="false">PROPER(TRIM(raw_data!T486))</f>
        <v>Paid</v>
      </c>
      <c r="AC486" s="3" t="str">
        <f aca="false">PROPER(TRIM(raw_data!U486))</f>
        <v>Completed</v>
      </c>
      <c r="AD486" s="7" t="n">
        <f aca="false">T486*U486*(1-W486)</f>
        <v>16385.49</v>
      </c>
      <c r="AE486" s="7" t="n">
        <f aca="false">AD486-Z486</f>
        <v>2706.25</v>
      </c>
      <c r="AF486" s="8" t="n">
        <f aca="false">IF(AD486=0,0,AE486/AD486)</f>
        <v>0.165161371432896</v>
      </c>
      <c r="AG486" s="3" t="str">
        <f aca="false">IF(ABS(Y486-AD486)&gt;1,"Mismatch","OK")</f>
        <v>OK</v>
      </c>
      <c r="AH486" s="3" t="str">
        <f aca="false">IF(ABS(AA486-AE486)&gt;1,"Mismatch","OK")</f>
        <v>OK</v>
      </c>
      <c r="AI486" s="6" t="n">
        <f aca="false">IF(B486="","",MONTH(B486))</f>
        <v>12</v>
      </c>
      <c r="AJ486" s="6" t="n">
        <f aca="false">IF(B486="","",YEAR(B486))</f>
        <v>2024</v>
      </c>
      <c r="AK486" s="3" t="str">
        <f aca="false">IF(COUNTIF(raw_data!$A$2:$A$913,A486)&gt;1,"Conflicting Duplicate - Flagged for Review","Unique")</f>
        <v>Unique</v>
      </c>
      <c r="AL486" s="3" t="str">
        <f aca="false">IF(AB486="Refunded","Yes","No")</f>
        <v>No</v>
      </c>
      <c r="AM486" s="3" t="str">
        <f aca="false">IF(OR(AC486&lt;&gt;"Completed",AB486="Failed"),"Excluded","Included")</f>
        <v>Included</v>
      </c>
      <c r="AN486" s="3" t="str">
        <f aca="false">IF(OR(D486="Invalid/Unrecognized",E486="Invalid/Unrecognized",G486="Invalid - Ship Before Order",X486="Negative - Invalid",X486="Above Allowed Range - Invalid",AG486="Mismatch",AH486="Mismatch",AK486="Conflicting Duplicate - Flagged for Review"),"Invalid",IF(OR(L486="Filled - Unknown",S486="Filled - Unknown",X486="Missing - Defaulted to 0",AL486="Yes",AC486="Cancelled",AC486="Returned"),"Warning","Clean"))</f>
        <v>Clean</v>
      </c>
    </row>
    <row r="487" customFormat="false" ht="15" hidden="false" customHeight="false" outlineLevel="0" collapsed="false">
      <c r="A487" s="3" t="str">
        <f aca="false">raw_data!A487</f>
        <v>ORD-2025-10486</v>
      </c>
      <c r="B487" s="4" t="n">
        <f aca="false">IFERROR(IF(MID(raw_data!B487,3,1)="/",DATE(VALUE(RIGHT(raw_data!B487,4)),VALUE(LEFT(raw_data!B487,2)),VALUE(MID(raw_data!B487,4,2))),IF(MID(raw_data!B487,3,1)="-",DATE(VALUE(RIGHT(raw_data!B487,4)),VALUE(MID(raw_data!B487,4,2)),VALUE(LEFT(raw_data!B487,2))),IF(MID(raw_data!B487,5,1)="-",DATE(VALUE(LEFT(raw_data!B487,4)),VALUE(MID(raw_data!B487,6,2)),VALUE(RIGHT(raw_data!B487,2))),DATE(VALUE(RIGHT(raw_data!B487,4)),MATCH(MID(raw_data!B487,4,3),{"Jan","Feb","Mar","Apr","May","Jun","Jul","Aug","Sep","Oct","Nov","Dec"},0),VALUE(LEFT(raw_data!B487,2)))))),"")</f>
        <v>45679</v>
      </c>
      <c r="C487" s="4" t="n">
        <f aca="false">IFERROR(IF(MID(raw_data!C487,3,1)="/",DATE(VALUE(RIGHT(raw_data!C487,4)),VALUE(LEFT(raw_data!C487,2)),VALUE(MID(raw_data!C487,4,2))),IF(MID(raw_data!C487,3,1)="-",DATE(VALUE(RIGHT(raw_data!C487,4)),VALUE(MID(raw_data!C487,4,2)),VALUE(LEFT(raw_data!C487,2))),IF(MID(raw_data!C487,5,1)="-",DATE(VALUE(LEFT(raw_data!C487,4)),VALUE(MID(raw_data!C487,6,2)),VALUE(RIGHT(raw_data!C487,2))),DATE(VALUE(RIGHT(raw_data!C487,4)),MATCH(MID(raw_data!C487,4,3),{"Jan","Feb","Mar","Apr","May","Jun","Jul","Aug","Sep","Oct","Nov","Dec"},0),VALUE(LEFT(raw_data!C487,2)))))),"")</f>
        <v>45680</v>
      </c>
      <c r="D487" s="3" t="str">
        <f aca="false">IF(TRIM(raw_data!B487)="","Missing",IF(B487="","Invalid/Unrecognized","Valid"))</f>
        <v>Valid</v>
      </c>
      <c r="E487" s="3" t="str">
        <f aca="false">IF(TRIM(raw_data!C487)="","Missing",IF(C487="","Invalid/Unrecognized","Valid"))</f>
        <v>Valid</v>
      </c>
      <c r="F487" s="5" t="n">
        <f aca="false">IF(OR(B487="",C487=""),"",C487-B487)</f>
        <v>1</v>
      </c>
      <c r="G487" s="3" t="str">
        <f aca="false">IF(F487="","N/A",IF(F487&lt;0,"Invalid - Ship Before Order","OK"))</f>
        <v>OK</v>
      </c>
      <c r="H487" s="3" t="str">
        <f aca="false">raw_data!D487</f>
        <v>CUST-1594</v>
      </c>
      <c r="I487" s="3" t="str">
        <f aca="false">PROPER(TRIM(raw_data!E487))</f>
        <v>Rahul Verma</v>
      </c>
      <c r="J487" s="3" t="str">
        <f aca="false">PROPER(TRIM(raw_data!F487))</f>
        <v>Corporate</v>
      </c>
      <c r="K487" s="3" t="str">
        <f aca="false">IF(TRIM(raw_data!G487)="","Unknown",PROPER(TRIM(raw_data!G487)))</f>
        <v>West</v>
      </c>
      <c r="L487" s="3" t="str">
        <f aca="false">IF(TRIM(raw_data!G487)="","Filled - Unknown","OK")</f>
        <v>OK</v>
      </c>
      <c r="M487" s="3" t="str">
        <f aca="false">PROPER(TRIM(raw_data!H487))</f>
        <v>Goa</v>
      </c>
      <c r="N487" s="3" t="str">
        <f aca="false">PROPER(TRIM(raw_data!I487))</f>
        <v>Panaji</v>
      </c>
      <c r="O487" s="3" t="str">
        <f aca="false">PROPER(TRIM(raw_data!J487))</f>
        <v>Furniture</v>
      </c>
      <c r="P487" s="3" t="str">
        <f aca="false">PROPER(TRIM(raw_data!K487))</f>
        <v>Bookcases</v>
      </c>
      <c r="Q487" s="3" t="str">
        <f aca="false">TRIM(raw_data!L487)</f>
        <v>Elite Bookcases 802</v>
      </c>
      <c r="R487" s="3" t="str">
        <f aca="false">IF(TRIM(raw_data!M487)="","Unknown",PROPER(TRIM(raw_data!M487)))</f>
        <v>Standard Class</v>
      </c>
      <c r="S487" s="3" t="str">
        <f aca="false">IF(TRIM(raw_data!M487)="","Filled - Unknown","OK")</f>
        <v>OK</v>
      </c>
      <c r="T487" s="6" t="n">
        <f aca="false">raw_data!N487</f>
        <v>4</v>
      </c>
      <c r="U487" s="7" t="n">
        <f aca="false">raw_data!O487</f>
        <v>2555.19</v>
      </c>
      <c r="V487" s="8" t="n">
        <f aca="false">raw_data!P487</f>
        <v>0.25</v>
      </c>
      <c r="W487" s="8" t="n">
        <f aca="false">IF(raw_data!P487="",0,IF(ISTEXT(raw_data!P487),IF(RIGHT(raw_data!P487,1)="%",VALUE(LEFT(raw_data!P487,LEN(raw_data!P487)-1))/100,VALUE(raw_data!P487)),raw_data!P487))</f>
        <v>0.25</v>
      </c>
      <c r="X487" s="3" t="str">
        <f aca="false">IF(raw_data!P487="","Missing - Defaulted to 0",IF(W487&lt;0,"Negative - Invalid",IF(W487&gt;0.3,"Above Allowed Range - Invalid","Valid")))</f>
        <v>Valid</v>
      </c>
      <c r="Y487" s="7" t="n">
        <f aca="false">raw_data!Q487</f>
        <v>7665.57</v>
      </c>
      <c r="Z487" s="7" t="n">
        <f aca="false">raw_data!R487</f>
        <v>5595.6</v>
      </c>
      <c r="AA487" s="7" t="n">
        <f aca="false">raw_data!S487</f>
        <v>2069.97</v>
      </c>
      <c r="AB487" s="3" t="str">
        <f aca="false">PROPER(TRIM(raw_data!T487))</f>
        <v>Paid</v>
      </c>
      <c r="AC487" s="3" t="str">
        <f aca="false">PROPER(TRIM(raw_data!U487))</f>
        <v>Completed</v>
      </c>
      <c r="AD487" s="7" t="n">
        <f aca="false">T487*U487*(1-W487)</f>
        <v>7665.57</v>
      </c>
      <c r="AE487" s="7" t="n">
        <f aca="false">AD487-Z487</f>
        <v>2069.97</v>
      </c>
      <c r="AF487" s="8" t="n">
        <f aca="false">IF(AD487=0,0,AE487/AD487)</f>
        <v>0.270034713661215</v>
      </c>
      <c r="AG487" s="3" t="str">
        <f aca="false">IF(ABS(Y487-AD487)&gt;1,"Mismatch","OK")</f>
        <v>OK</v>
      </c>
      <c r="AH487" s="3" t="str">
        <f aca="false">IF(ABS(AA487-AE487)&gt;1,"Mismatch","OK")</f>
        <v>OK</v>
      </c>
      <c r="AI487" s="6" t="n">
        <f aca="false">IF(B487="","",MONTH(B487))</f>
        <v>1</v>
      </c>
      <c r="AJ487" s="6" t="n">
        <f aca="false">IF(B487="","",YEAR(B487))</f>
        <v>2025</v>
      </c>
      <c r="AK487" s="3" t="str">
        <f aca="false">IF(COUNTIF(raw_data!$A$2:$A$913,A487)&gt;1,"Conflicting Duplicate - Flagged for Review","Unique")</f>
        <v>Unique</v>
      </c>
      <c r="AL487" s="3" t="str">
        <f aca="false">IF(AB487="Refunded","Yes","No")</f>
        <v>No</v>
      </c>
      <c r="AM487" s="3" t="str">
        <f aca="false">IF(OR(AC487&lt;&gt;"Completed",AB487="Failed"),"Excluded","Included")</f>
        <v>Included</v>
      </c>
      <c r="AN487" s="3" t="str">
        <f aca="false">IF(OR(D487="Invalid/Unrecognized",E487="Invalid/Unrecognized",G487="Invalid - Ship Before Order",X487="Negative - Invalid",X487="Above Allowed Range - Invalid",AG487="Mismatch",AH487="Mismatch",AK487="Conflicting Duplicate - Flagged for Review"),"Invalid",IF(OR(L487="Filled - Unknown",S487="Filled - Unknown",X487="Missing - Defaulted to 0",AL487="Yes",AC487="Cancelled",AC487="Returned"),"Warning","Clean"))</f>
        <v>Clean</v>
      </c>
    </row>
    <row r="488" customFormat="false" ht="15" hidden="false" customHeight="false" outlineLevel="0" collapsed="false">
      <c r="A488" s="3" t="str">
        <f aca="false">raw_data!A488</f>
        <v>ORD-2025-10487</v>
      </c>
      <c r="B488" s="4" t="n">
        <f aca="false">IFERROR(IF(MID(raw_data!B488,3,1)="/",DATE(VALUE(RIGHT(raw_data!B488,4)),VALUE(LEFT(raw_data!B488,2)),VALUE(MID(raw_data!B488,4,2))),IF(MID(raw_data!B488,3,1)="-",DATE(VALUE(RIGHT(raw_data!B488,4)),VALUE(MID(raw_data!B488,4,2)),VALUE(LEFT(raw_data!B488,2))),IF(MID(raw_data!B488,5,1)="-",DATE(VALUE(LEFT(raw_data!B488,4)),VALUE(MID(raw_data!B488,6,2)),VALUE(RIGHT(raw_data!B488,2))),DATE(VALUE(RIGHT(raw_data!B488,4)),MATCH(MID(raw_data!B488,4,3),{"Jan","Feb","Mar","Apr","May","Jun","Jul","Aug","Sep","Oct","Nov","Dec"},0),VALUE(LEFT(raw_data!B488,2)))))),"")</f>
        <v>45830</v>
      </c>
      <c r="C488" s="4" t="n">
        <f aca="false">IFERROR(IF(MID(raw_data!C488,3,1)="/",DATE(VALUE(RIGHT(raw_data!C488,4)),VALUE(LEFT(raw_data!C488,2)),VALUE(MID(raw_data!C488,4,2))),IF(MID(raw_data!C488,3,1)="-",DATE(VALUE(RIGHT(raw_data!C488,4)),VALUE(MID(raw_data!C488,4,2)),VALUE(LEFT(raw_data!C488,2))),IF(MID(raw_data!C488,5,1)="-",DATE(VALUE(LEFT(raw_data!C488,4)),VALUE(MID(raw_data!C488,6,2)),VALUE(RIGHT(raw_data!C488,2))),DATE(VALUE(RIGHT(raw_data!C488,4)),MATCH(MID(raw_data!C488,4,3),{"Jan","Feb","Mar","Apr","May","Jun","Jul","Aug","Sep","Oct","Nov","Dec"},0),VALUE(LEFT(raw_data!C488,2)))))),"")</f>
        <v>45834</v>
      </c>
      <c r="D488" s="3" t="str">
        <f aca="false">IF(TRIM(raw_data!B488)="","Missing",IF(B488="","Invalid/Unrecognized","Valid"))</f>
        <v>Valid</v>
      </c>
      <c r="E488" s="3" t="str">
        <f aca="false">IF(TRIM(raw_data!C488)="","Missing",IF(C488="","Invalid/Unrecognized","Valid"))</f>
        <v>Valid</v>
      </c>
      <c r="F488" s="5" t="n">
        <f aca="false">IF(OR(B488="",C488=""),"",C488-B488)</f>
        <v>4</v>
      </c>
      <c r="G488" s="3" t="str">
        <f aca="false">IF(F488="","N/A",IF(F488&lt;0,"Invalid - Ship Before Order","OK"))</f>
        <v>OK</v>
      </c>
      <c r="H488" s="3" t="str">
        <f aca="false">raw_data!D488</f>
        <v>CUST-8132</v>
      </c>
      <c r="I488" s="3" t="str">
        <f aca="false">PROPER(TRIM(raw_data!E488))</f>
        <v>Rahul Verma</v>
      </c>
      <c r="J488" s="3" t="str">
        <f aca="false">PROPER(TRIM(raw_data!F488))</f>
        <v>Corporate</v>
      </c>
      <c r="K488" s="3" t="str">
        <f aca="false">IF(TRIM(raw_data!G488)="","Unknown",PROPER(TRIM(raw_data!G488)))</f>
        <v>West</v>
      </c>
      <c r="L488" s="3" t="str">
        <f aca="false">IF(TRIM(raw_data!G488)="","Filled - Unknown","OK")</f>
        <v>OK</v>
      </c>
      <c r="M488" s="3" t="str">
        <f aca="false">PROPER(TRIM(raw_data!H488))</f>
        <v>Goa</v>
      </c>
      <c r="N488" s="3" t="str">
        <f aca="false">PROPER(TRIM(raw_data!I488))</f>
        <v>Panaji</v>
      </c>
      <c r="O488" s="3" t="str">
        <f aca="false">PROPER(TRIM(raw_data!J488))</f>
        <v>Furniture</v>
      </c>
      <c r="P488" s="3" t="str">
        <f aca="false">PROPER(TRIM(raw_data!K488))</f>
        <v>Tables</v>
      </c>
      <c r="Q488" s="3" t="str">
        <f aca="false">TRIM(raw_data!L488)</f>
        <v>Pro Tables 257</v>
      </c>
      <c r="R488" s="3" t="str">
        <f aca="false">IF(TRIM(raw_data!M488)="","Unknown",PROPER(TRIM(raw_data!M488)))</f>
        <v>Standard Class</v>
      </c>
      <c r="S488" s="3" t="str">
        <f aca="false">IF(TRIM(raw_data!M488)="","Filled - Unknown","OK")</f>
        <v>OK</v>
      </c>
      <c r="T488" s="6" t="n">
        <f aca="false">raw_data!N488</f>
        <v>3</v>
      </c>
      <c r="U488" s="7" t="n">
        <f aca="false">raw_data!O488</f>
        <v>1946.18</v>
      </c>
      <c r="V488" s="8" t="n">
        <f aca="false">raw_data!P488</f>
        <v>0.2</v>
      </c>
      <c r="W488" s="8" t="n">
        <f aca="false">IF(raw_data!P488="",0,IF(ISTEXT(raw_data!P488),IF(RIGHT(raw_data!P488,1)="%",VALUE(LEFT(raw_data!P488,LEN(raw_data!P488)-1))/100,VALUE(raw_data!P488)),raw_data!P488))</f>
        <v>0.2</v>
      </c>
      <c r="X488" s="3" t="str">
        <f aca="false">IF(raw_data!P488="","Missing - Defaulted to 0",IF(W488&lt;0,"Negative - Invalid",IF(W488&gt;0.3,"Above Allowed Range - Invalid","Valid")))</f>
        <v>Valid</v>
      </c>
      <c r="Y488" s="7" t="n">
        <f aca="false">raw_data!Q488</f>
        <v>4670.83</v>
      </c>
      <c r="Z488" s="7" t="n">
        <f aca="false">raw_data!R488</f>
        <v>3166.49</v>
      </c>
      <c r="AA488" s="7" t="n">
        <f aca="false">raw_data!S488</f>
        <v>1504.34</v>
      </c>
      <c r="AB488" s="3" t="str">
        <f aca="false">PROPER(TRIM(raw_data!T488))</f>
        <v>Paid</v>
      </c>
      <c r="AC488" s="3" t="str">
        <f aca="false">PROPER(TRIM(raw_data!U488))</f>
        <v>Completed</v>
      </c>
      <c r="AD488" s="7" t="n">
        <f aca="false">T488*U488*(1-W488)</f>
        <v>4670.832</v>
      </c>
      <c r="AE488" s="7" t="n">
        <f aca="false">AD488-Z488</f>
        <v>1504.342</v>
      </c>
      <c r="AF488" s="8" t="n">
        <f aca="false">IF(AD488=0,0,AE488/AD488)</f>
        <v>0.322071528156012</v>
      </c>
      <c r="AG488" s="3" t="str">
        <f aca="false">IF(ABS(Y488-AD488)&gt;1,"Mismatch","OK")</f>
        <v>OK</v>
      </c>
      <c r="AH488" s="3" t="str">
        <f aca="false">IF(ABS(AA488-AE488)&gt;1,"Mismatch","OK")</f>
        <v>OK</v>
      </c>
      <c r="AI488" s="6" t="n">
        <f aca="false">IF(B488="","",MONTH(B488))</f>
        <v>6</v>
      </c>
      <c r="AJ488" s="6" t="n">
        <f aca="false">IF(B488="","",YEAR(B488))</f>
        <v>2025</v>
      </c>
      <c r="AK488" s="3" t="str">
        <f aca="false">IF(COUNTIF(raw_data!$A$2:$A$913,A488)&gt;1,"Conflicting Duplicate - Flagged for Review","Unique")</f>
        <v>Unique</v>
      </c>
      <c r="AL488" s="3" t="str">
        <f aca="false">IF(AB488="Refunded","Yes","No")</f>
        <v>No</v>
      </c>
      <c r="AM488" s="3" t="str">
        <f aca="false">IF(OR(AC488&lt;&gt;"Completed",AB488="Failed"),"Excluded","Included")</f>
        <v>Included</v>
      </c>
      <c r="AN488" s="3" t="str">
        <f aca="false">IF(OR(D488="Invalid/Unrecognized",E488="Invalid/Unrecognized",G488="Invalid - Ship Before Order",X488="Negative - Invalid",X488="Above Allowed Range - Invalid",AG488="Mismatch",AH488="Mismatch",AK488="Conflicting Duplicate - Flagged for Review"),"Invalid",IF(OR(L488="Filled - Unknown",S488="Filled - Unknown",X488="Missing - Defaulted to 0",AL488="Yes",AC488="Cancelled",AC488="Returned"),"Warning","Clean"))</f>
        <v>Clean</v>
      </c>
    </row>
    <row r="489" customFormat="false" ht="15" hidden="false" customHeight="false" outlineLevel="0" collapsed="false">
      <c r="A489" s="3" t="str">
        <f aca="false">raw_data!A489</f>
        <v>ORD-2025-10488</v>
      </c>
      <c r="B489" s="4" t="n">
        <f aca="false">IFERROR(IF(MID(raw_data!B489,3,1)="/",DATE(VALUE(RIGHT(raw_data!B489,4)),VALUE(LEFT(raw_data!B489,2)),VALUE(MID(raw_data!B489,4,2))),IF(MID(raw_data!B489,3,1)="-",DATE(VALUE(RIGHT(raw_data!B489,4)),VALUE(MID(raw_data!B489,4,2)),VALUE(LEFT(raw_data!B489,2))),IF(MID(raw_data!B489,5,1)="-",DATE(VALUE(LEFT(raw_data!B489,4)),VALUE(MID(raw_data!B489,6,2)),VALUE(RIGHT(raw_data!B489,2))),DATE(VALUE(RIGHT(raw_data!B489,4)),MATCH(MID(raw_data!B489,4,3),{"Jan","Feb","Mar","Apr","May","Jun","Jul","Aug","Sep","Oct","Nov","Dec"},0),VALUE(LEFT(raw_data!B489,2)))))),"")</f>
        <v>45818</v>
      </c>
      <c r="C489" s="4" t="n">
        <f aca="false">IFERROR(IF(MID(raw_data!C489,3,1)="/",DATE(VALUE(RIGHT(raw_data!C489,4)),VALUE(LEFT(raw_data!C489,2)),VALUE(MID(raw_data!C489,4,2))),IF(MID(raw_data!C489,3,1)="-",DATE(VALUE(RIGHT(raw_data!C489,4)),VALUE(MID(raw_data!C489,4,2)),VALUE(LEFT(raw_data!C489,2))),IF(MID(raw_data!C489,5,1)="-",DATE(VALUE(LEFT(raw_data!C489,4)),VALUE(MID(raw_data!C489,6,2)),VALUE(RIGHT(raw_data!C489,2))),DATE(VALUE(RIGHT(raw_data!C489,4)),MATCH(MID(raw_data!C489,4,3),{"Jan","Feb","Mar","Apr","May","Jun","Jul","Aug","Sep","Oct","Nov","Dec"},0),VALUE(LEFT(raw_data!C489,2)))))),"")</f>
        <v>45825</v>
      </c>
      <c r="D489" s="3" t="str">
        <f aca="false">IF(TRIM(raw_data!B489)="","Missing",IF(B489="","Invalid/Unrecognized","Valid"))</f>
        <v>Valid</v>
      </c>
      <c r="E489" s="3" t="str">
        <f aca="false">IF(TRIM(raw_data!C489)="","Missing",IF(C489="","Invalid/Unrecognized","Valid"))</f>
        <v>Valid</v>
      </c>
      <c r="F489" s="5" t="n">
        <f aca="false">IF(OR(B489="",C489=""),"",C489-B489)</f>
        <v>7</v>
      </c>
      <c r="G489" s="3" t="str">
        <f aca="false">IF(F489="","N/A",IF(F489&lt;0,"Invalid - Ship Before Order","OK"))</f>
        <v>OK</v>
      </c>
      <c r="H489" s="3" t="str">
        <f aca="false">raw_data!D489</f>
        <v>CUST-7685</v>
      </c>
      <c r="I489" s="3" t="str">
        <f aca="false">PROPER(TRIM(raw_data!E489))</f>
        <v>Rahul Verma</v>
      </c>
      <c r="J489" s="3" t="str">
        <f aca="false">PROPER(TRIM(raw_data!F489))</f>
        <v>Corporate</v>
      </c>
      <c r="K489" s="3" t="str">
        <f aca="false">IF(TRIM(raw_data!G489)="","Unknown",PROPER(TRIM(raw_data!G489)))</f>
        <v>South</v>
      </c>
      <c r="L489" s="3" t="str">
        <f aca="false">IF(TRIM(raw_data!G489)="","Filled - Unknown","OK")</f>
        <v>OK</v>
      </c>
      <c r="M489" s="3" t="str">
        <f aca="false">PROPER(TRIM(raw_data!H489))</f>
        <v>Telangana</v>
      </c>
      <c r="N489" s="3" t="str">
        <f aca="false">PROPER(TRIM(raw_data!I489))</f>
        <v>Hyderabad</v>
      </c>
      <c r="O489" s="3" t="str">
        <f aca="false">PROPER(TRIM(raw_data!J489))</f>
        <v>Furniture</v>
      </c>
      <c r="P489" s="3" t="str">
        <f aca="false">PROPER(TRIM(raw_data!K489))</f>
        <v>Furnishings</v>
      </c>
      <c r="Q489" s="3" t="str">
        <f aca="false">TRIM(raw_data!L489)</f>
        <v>Prime Furnishings 299</v>
      </c>
      <c r="R489" s="3" t="str">
        <f aca="false">IF(TRIM(raw_data!M489)="","Unknown",PROPER(TRIM(raw_data!M489)))</f>
        <v>Standard Class</v>
      </c>
      <c r="S489" s="3" t="str">
        <f aca="false">IF(TRIM(raw_data!M489)="","Filled - Unknown","OK")</f>
        <v>OK</v>
      </c>
      <c r="T489" s="6" t="n">
        <f aca="false">raw_data!N489</f>
        <v>5</v>
      </c>
      <c r="U489" s="7" t="n">
        <f aca="false">raw_data!O489</f>
        <v>1231.1</v>
      </c>
      <c r="V489" s="8" t="n">
        <f aca="false">raw_data!P489</f>
        <v>0</v>
      </c>
      <c r="W489" s="8" t="n">
        <f aca="false">IF(raw_data!P489="",0,IF(ISTEXT(raw_data!P489),IF(RIGHT(raw_data!P489,1)="%",VALUE(LEFT(raw_data!P489,LEN(raw_data!P489)-1))/100,VALUE(raw_data!P489)),raw_data!P489))</f>
        <v>0</v>
      </c>
      <c r="X489" s="3" t="str">
        <f aca="false">IF(raw_data!P489="","Missing - Defaulted to 0",IF(W489&lt;0,"Negative - Invalid",IF(W489&gt;0.3,"Above Allowed Range - Invalid","Valid")))</f>
        <v>Valid</v>
      </c>
      <c r="Y489" s="7" t="n">
        <f aca="false">raw_data!Q489</f>
        <v>6155.5</v>
      </c>
      <c r="Z489" s="7" t="n">
        <f aca="false">raw_data!R489</f>
        <v>4282.09</v>
      </c>
      <c r="AA489" s="7" t="n">
        <f aca="false">raw_data!S489</f>
        <v>1873.41</v>
      </c>
      <c r="AB489" s="3" t="str">
        <f aca="false">PROPER(TRIM(raw_data!T489))</f>
        <v>Refunded</v>
      </c>
      <c r="AC489" s="3" t="str">
        <f aca="false">PROPER(TRIM(raw_data!U489))</f>
        <v>Returned</v>
      </c>
      <c r="AD489" s="7" t="n">
        <f aca="false">T489*U489*(1-W489)</f>
        <v>6155.5</v>
      </c>
      <c r="AE489" s="7" t="n">
        <f aca="false">AD489-Z489</f>
        <v>1873.41</v>
      </c>
      <c r="AF489" s="8" t="n">
        <f aca="false">IF(AD489=0,0,AE489/AD489)</f>
        <v>0.304347331654618</v>
      </c>
      <c r="AG489" s="3" t="str">
        <f aca="false">IF(ABS(Y489-AD489)&gt;1,"Mismatch","OK")</f>
        <v>OK</v>
      </c>
      <c r="AH489" s="3" t="str">
        <f aca="false">IF(ABS(AA489-AE489)&gt;1,"Mismatch","OK")</f>
        <v>OK</v>
      </c>
      <c r="AI489" s="6" t="n">
        <f aca="false">IF(B489="","",MONTH(B489))</f>
        <v>6</v>
      </c>
      <c r="AJ489" s="6" t="n">
        <f aca="false">IF(B489="","",YEAR(B489))</f>
        <v>2025</v>
      </c>
      <c r="AK489" s="3" t="str">
        <f aca="false">IF(COUNTIF(raw_data!$A$2:$A$913,A489)&gt;1,"Conflicting Duplicate - Flagged for Review","Unique")</f>
        <v>Unique</v>
      </c>
      <c r="AL489" s="3" t="str">
        <f aca="false">IF(AB489="Refunded","Yes","No")</f>
        <v>Yes</v>
      </c>
      <c r="AM489" s="3" t="str">
        <f aca="false">IF(OR(AC489&lt;&gt;"Completed",AB489="Failed"),"Excluded","Included")</f>
        <v>Excluded</v>
      </c>
      <c r="AN489" s="3" t="str">
        <f aca="false">IF(OR(D489="Invalid/Unrecognized",E489="Invalid/Unrecognized",G489="Invalid - Ship Before Order",X489="Negative - Invalid",X489="Above Allowed Range - Invalid",AG489="Mismatch",AH489="Mismatch",AK489="Conflicting Duplicate - Flagged for Review"),"Invalid",IF(OR(L489="Filled - Unknown",S489="Filled - Unknown",X489="Missing - Defaulted to 0",AL489="Yes",AC489="Cancelled",AC489="Returned"),"Warning","Clean"))</f>
        <v>Warning</v>
      </c>
    </row>
    <row r="490" customFormat="false" ht="15" hidden="false" customHeight="false" outlineLevel="0" collapsed="false">
      <c r="A490" s="3" t="str">
        <f aca="false">raw_data!A490</f>
        <v>ORD-2024-10489</v>
      </c>
      <c r="B490" s="4" t="n">
        <f aca="false">IFERROR(IF(MID(raw_data!B490,3,1)="/",DATE(VALUE(RIGHT(raw_data!B490,4)),VALUE(LEFT(raw_data!B490,2)),VALUE(MID(raw_data!B490,4,2))),IF(MID(raw_data!B490,3,1)="-",DATE(VALUE(RIGHT(raw_data!B490,4)),VALUE(MID(raw_data!B490,4,2)),VALUE(LEFT(raw_data!B490,2))),IF(MID(raw_data!B490,5,1)="-",DATE(VALUE(LEFT(raw_data!B490,4)),VALUE(MID(raw_data!B490,6,2)),VALUE(RIGHT(raw_data!B490,2))),DATE(VALUE(RIGHT(raw_data!B490,4)),MATCH(MID(raw_data!B490,4,3),{"Jan","Feb","Mar","Apr","May","Jun","Jul","Aug","Sep","Oct","Nov","Dec"},0),VALUE(LEFT(raw_data!B490,2)))))),"")</f>
        <v>45579</v>
      </c>
      <c r="C490" s="4" t="n">
        <f aca="false">IFERROR(IF(MID(raw_data!C490,3,1)="/",DATE(VALUE(RIGHT(raw_data!C490,4)),VALUE(LEFT(raw_data!C490,2)),VALUE(MID(raw_data!C490,4,2))),IF(MID(raw_data!C490,3,1)="-",DATE(VALUE(RIGHT(raw_data!C490,4)),VALUE(MID(raw_data!C490,4,2)),VALUE(LEFT(raw_data!C490,2))),IF(MID(raw_data!C490,5,1)="-",DATE(VALUE(LEFT(raw_data!C490,4)),VALUE(MID(raw_data!C490,6,2)),VALUE(RIGHT(raw_data!C490,2))),DATE(VALUE(RIGHT(raw_data!C490,4)),MATCH(MID(raw_data!C490,4,3),{"Jan","Feb","Mar","Apr","May","Jun","Jul","Aug","Sep","Oct","Nov","Dec"},0),VALUE(LEFT(raw_data!C490,2)))))),"")</f>
        <v>45585</v>
      </c>
      <c r="D490" s="3" t="str">
        <f aca="false">IF(TRIM(raw_data!B490)="","Missing",IF(B490="","Invalid/Unrecognized","Valid"))</f>
        <v>Valid</v>
      </c>
      <c r="E490" s="3" t="str">
        <f aca="false">IF(TRIM(raw_data!C490)="","Missing",IF(C490="","Invalid/Unrecognized","Valid"))</f>
        <v>Valid</v>
      </c>
      <c r="F490" s="5" t="n">
        <f aca="false">IF(OR(B490="",C490=""),"",C490-B490)</f>
        <v>6</v>
      </c>
      <c r="G490" s="3" t="str">
        <f aca="false">IF(F490="","N/A",IF(F490&lt;0,"Invalid - Ship Before Order","OK"))</f>
        <v>OK</v>
      </c>
      <c r="H490" s="3" t="str">
        <f aca="false">raw_data!D490</f>
        <v>CUST-2183</v>
      </c>
      <c r="I490" s="3" t="str">
        <f aca="false">PROPER(TRIM(raw_data!E490))</f>
        <v>Aditi Sen</v>
      </c>
      <c r="J490" s="3" t="str">
        <f aca="false">PROPER(TRIM(raw_data!F490))</f>
        <v>Small Business</v>
      </c>
      <c r="K490" s="3" t="str">
        <f aca="false">IF(TRIM(raw_data!G490)="","Unknown",PROPER(TRIM(raw_data!G490)))</f>
        <v>North</v>
      </c>
      <c r="L490" s="3" t="str">
        <f aca="false">IF(TRIM(raw_data!G490)="","Filled - Unknown","OK")</f>
        <v>OK</v>
      </c>
      <c r="M490" s="3" t="str">
        <f aca="false">PROPER(TRIM(raw_data!H490))</f>
        <v>Rajasthan</v>
      </c>
      <c r="N490" s="3" t="str">
        <f aca="false">PROPER(TRIM(raw_data!I490))</f>
        <v>Jaipur</v>
      </c>
      <c r="O490" s="3" t="str">
        <f aca="false">PROPER(TRIM(raw_data!J490))</f>
        <v>Furniture</v>
      </c>
      <c r="P490" s="3" t="str">
        <f aca="false">PROPER(TRIM(raw_data!K490))</f>
        <v>Tables</v>
      </c>
      <c r="Q490" s="3" t="str">
        <f aca="false">TRIM(raw_data!L490)</f>
        <v>Eco Tables 487</v>
      </c>
      <c r="R490" s="3" t="str">
        <f aca="false">IF(TRIM(raw_data!M490)="","Unknown",PROPER(TRIM(raw_data!M490)))</f>
        <v>Same Day</v>
      </c>
      <c r="S490" s="3" t="str">
        <f aca="false">IF(TRIM(raw_data!M490)="","Filled - Unknown","OK")</f>
        <v>OK</v>
      </c>
      <c r="T490" s="6" t="n">
        <f aca="false">raw_data!N490</f>
        <v>7</v>
      </c>
      <c r="U490" s="7" t="n">
        <f aca="false">raw_data!O490</f>
        <v>1547.6</v>
      </c>
      <c r="V490" s="8" t="n">
        <f aca="false">raw_data!P490</f>
        <v>0.2</v>
      </c>
      <c r="W490" s="8" t="n">
        <f aca="false">IF(raw_data!P490="",0,IF(ISTEXT(raw_data!P490),IF(RIGHT(raw_data!P490,1)="%",VALUE(LEFT(raw_data!P490,LEN(raw_data!P490)-1))/100,VALUE(raw_data!P490)),raw_data!P490))</f>
        <v>0.2</v>
      </c>
      <c r="X490" s="3" t="str">
        <f aca="false">IF(raw_data!P490="","Missing - Defaulted to 0",IF(W490&lt;0,"Negative - Invalid",IF(W490&gt;0.3,"Above Allowed Range - Invalid","Valid")))</f>
        <v>Valid</v>
      </c>
      <c r="Y490" s="7" t="n">
        <f aca="false">raw_data!Q490</f>
        <v>8666.56</v>
      </c>
      <c r="Z490" s="7" t="n">
        <f aca="false">raw_data!R490</f>
        <v>5967.44</v>
      </c>
      <c r="AA490" s="7" t="n">
        <f aca="false">raw_data!S490</f>
        <v>2699.12</v>
      </c>
      <c r="AB490" s="3" t="str">
        <f aca="false">PROPER(TRIM(raw_data!T490))</f>
        <v>Paid</v>
      </c>
      <c r="AC490" s="3" t="str">
        <f aca="false">PROPER(TRIM(raw_data!U490))</f>
        <v>Completed</v>
      </c>
      <c r="AD490" s="7" t="n">
        <f aca="false">T490*U490*(1-W490)</f>
        <v>8666.56</v>
      </c>
      <c r="AE490" s="7" t="n">
        <f aca="false">AD490-Z490</f>
        <v>2699.12</v>
      </c>
      <c r="AF490" s="8" t="n">
        <f aca="false">IF(AD490=0,0,AE490/AD490)</f>
        <v>0.311440756193922</v>
      </c>
      <c r="AG490" s="3" t="str">
        <f aca="false">IF(ABS(Y490-AD490)&gt;1,"Mismatch","OK")</f>
        <v>OK</v>
      </c>
      <c r="AH490" s="3" t="str">
        <f aca="false">IF(ABS(AA490-AE490)&gt;1,"Mismatch","OK")</f>
        <v>OK</v>
      </c>
      <c r="AI490" s="6" t="n">
        <f aca="false">IF(B490="","",MONTH(B490))</f>
        <v>10</v>
      </c>
      <c r="AJ490" s="6" t="n">
        <f aca="false">IF(B490="","",YEAR(B490))</f>
        <v>2024</v>
      </c>
      <c r="AK490" s="3" t="str">
        <f aca="false">IF(COUNTIF(raw_data!$A$2:$A$913,A490)&gt;1,"Conflicting Duplicate - Flagged for Review","Unique")</f>
        <v>Unique</v>
      </c>
      <c r="AL490" s="3" t="str">
        <f aca="false">IF(AB490="Refunded","Yes","No")</f>
        <v>No</v>
      </c>
      <c r="AM490" s="3" t="str">
        <f aca="false">IF(OR(AC490&lt;&gt;"Completed",AB490="Failed"),"Excluded","Included")</f>
        <v>Included</v>
      </c>
      <c r="AN490" s="3" t="str">
        <f aca="false">IF(OR(D490="Invalid/Unrecognized",E490="Invalid/Unrecognized",G490="Invalid - Ship Before Order",X490="Negative - Invalid",X490="Above Allowed Range - Invalid",AG490="Mismatch",AH490="Mismatch",AK490="Conflicting Duplicate - Flagged for Review"),"Invalid",IF(OR(L490="Filled - Unknown",S490="Filled - Unknown",X490="Missing - Defaulted to 0",AL490="Yes",AC490="Cancelled",AC490="Returned"),"Warning","Clean"))</f>
        <v>Clean</v>
      </c>
    </row>
    <row r="491" customFormat="false" ht="15" hidden="false" customHeight="false" outlineLevel="0" collapsed="false">
      <c r="A491" s="3" t="str">
        <f aca="false">raw_data!A491</f>
        <v>ORD-2024-10490</v>
      </c>
      <c r="B491" s="4" t="n">
        <f aca="false">IFERROR(IF(MID(raw_data!B491,3,1)="/",DATE(VALUE(RIGHT(raw_data!B491,4)),VALUE(LEFT(raw_data!B491,2)),VALUE(MID(raw_data!B491,4,2))),IF(MID(raw_data!B491,3,1)="-",DATE(VALUE(RIGHT(raw_data!B491,4)),VALUE(MID(raw_data!B491,4,2)),VALUE(LEFT(raw_data!B491,2))),IF(MID(raw_data!B491,5,1)="-",DATE(VALUE(LEFT(raw_data!B491,4)),VALUE(MID(raw_data!B491,6,2)),VALUE(RIGHT(raw_data!B491,2))),DATE(VALUE(RIGHT(raw_data!B491,4)),MATCH(MID(raw_data!B491,4,3),{"Jan","Feb","Mar","Apr","May","Jun","Jul","Aug","Sep","Oct","Nov","Dec"},0),VALUE(LEFT(raw_data!B491,2)))))),"")</f>
        <v>45329</v>
      </c>
      <c r="C491" s="4" t="n">
        <f aca="false">IFERROR(IF(MID(raw_data!C491,3,1)="/",DATE(VALUE(RIGHT(raw_data!C491,4)),VALUE(LEFT(raw_data!C491,2)),VALUE(MID(raw_data!C491,4,2))),IF(MID(raw_data!C491,3,1)="-",DATE(VALUE(RIGHT(raw_data!C491,4)),VALUE(MID(raw_data!C491,4,2)),VALUE(LEFT(raw_data!C491,2))),IF(MID(raw_data!C491,5,1)="-",DATE(VALUE(LEFT(raw_data!C491,4)),VALUE(MID(raw_data!C491,6,2)),VALUE(RIGHT(raw_data!C491,2))),DATE(VALUE(RIGHT(raw_data!C491,4)),MATCH(MID(raw_data!C491,4,3),{"Jan","Feb","Mar","Apr","May","Jun","Jul","Aug","Sep","Oct","Nov","Dec"},0),VALUE(LEFT(raw_data!C491,2)))))),"")</f>
        <v>45334</v>
      </c>
      <c r="D491" s="3" t="str">
        <f aca="false">IF(TRIM(raw_data!B491)="","Missing",IF(B491="","Invalid/Unrecognized","Valid"))</f>
        <v>Valid</v>
      </c>
      <c r="E491" s="3" t="str">
        <f aca="false">IF(TRIM(raw_data!C491)="","Missing",IF(C491="","Invalid/Unrecognized","Valid"))</f>
        <v>Valid</v>
      </c>
      <c r="F491" s="5" t="n">
        <f aca="false">IF(OR(B491="",C491=""),"",C491-B491)</f>
        <v>5</v>
      </c>
      <c r="G491" s="3" t="str">
        <f aca="false">IF(F491="","N/A",IF(F491&lt;0,"Invalid - Ship Before Order","OK"))</f>
        <v>OK</v>
      </c>
      <c r="H491" s="3" t="str">
        <f aca="false">raw_data!D491</f>
        <v>CUST-1636</v>
      </c>
      <c r="I491" s="3" t="str">
        <f aca="false">PROPER(TRIM(raw_data!E491))</f>
        <v>Arjun Bose</v>
      </c>
      <c r="J491" s="3" t="str">
        <f aca="false">PROPER(TRIM(raw_data!F491))</f>
        <v>Home Office</v>
      </c>
      <c r="K491" s="3" t="str">
        <f aca="false">IF(TRIM(raw_data!G491)="","Unknown",PROPER(TRIM(raw_data!G491)))</f>
        <v>East</v>
      </c>
      <c r="L491" s="3" t="str">
        <f aca="false">IF(TRIM(raw_data!G491)="","Filled - Unknown","OK")</f>
        <v>OK</v>
      </c>
      <c r="M491" s="3" t="str">
        <f aca="false">PROPER(TRIM(raw_data!H491))</f>
        <v>West Bengal</v>
      </c>
      <c r="N491" s="3" t="str">
        <f aca="false">PROPER(TRIM(raw_data!I491))</f>
        <v>Kolkata</v>
      </c>
      <c r="O491" s="3" t="str">
        <f aca="false">PROPER(TRIM(raw_data!J491))</f>
        <v>Technology</v>
      </c>
      <c r="P491" s="3" t="str">
        <f aca="false">PROPER(TRIM(raw_data!K491))</f>
        <v>Accessories</v>
      </c>
      <c r="Q491" s="3" t="str">
        <f aca="false">TRIM(raw_data!L491)</f>
        <v>Prime Accessories 960</v>
      </c>
      <c r="R491" s="3" t="str">
        <f aca="false">IF(TRIM(raw_data!M491)="","Unknown",PROPER(TRIM(raw_data!M491)))</f>
        <v>Second Class</v>
      </c>
      <c r="S491" s="3" t="str">
        <f aca="false">IF(TRIM(raw_data!M491)="","Filled - Unknown","OK")</f>
        <v>OK</v>
      </c>
      <c r="T491" s="6" t="n">
        <f aca="false">raw_data!N491</f>
        <v>1</v>
      </c>
      <c r="U491" s="7" t="n">
        <f aca="false">raw_data!O491</f>
        <v>452.19</v>
      </c>
      <c r="V491" s="8" t="n">
        <f aca="false">raw_data!P491</f>
        <v>0.2</v>
      </c>
      <c r="W491" s="8" t="n">
        <f aca="false">IF(raw_data!P491="",0,IF(ISTEXT(raw_data!P491),IF(RIGHT(raw_data!P491,1)="%",VALUE(LEFT(raw_data!P491,LEN(raw_data!P491)-1))/100,VALUE(raw_data!P491)),raw_data!P491))</f>
        <v>0.2</v>
      </c>
      <c r="X491" s="3" t="str">
        <f aca="false">IF(raw_data!P491="","Missing - Defaulted to 0",IF(W491&lt;0,"Negative - Invalid",IF(W491&gt;0.3,"Above Allowed Range - Invalid","Valid")))</f>
        <v>Valid</v>
      </c>
      <c r="Y491" s="7" t="n">
        <f aca="false">raw_data!Q491</f>
        <v>361.75</v>
      </c>
      <c r="Z491" s="7" t="n">
        <f aca="false">raw_data!R491</f>
        <v>262.53</v>
      </c>
      <c r="AA491" s="7" t="n">
        <f aca="false">raw_data!S491</f>
        <v>99.22</v>
      </c>
      <c r="AB491" s="3" t="str">
        <f aca="false">PROPER(TRIM(raw_data!T491))</f>
        <v>Paid</v>
      </c>
      <c r="AC491" s="3" t="str">
        <f aca="false">PROPER(TRIM(raw_data!U491))</f>
        <v>Completed</v>
      </c>
      <c r="AD491" s="7" t="n">
        <f aca="false">T491*U491*(1-W491)</f>
        <v>361.752</v>
      </c>
      <c r="AE491" s="7" t="n">
        <f aca="false">AD491-Z491</f>
        <v>99.222</v>
      </c>
      <c r="AF491" s="8" t="n">
        <f aca="false">IF(AD491=0,0,AE491/AD491)</f>
        <v>0.27428182843495</v>
      </c>
      <c r="AG491" s="3" t="str">
        <f aca="false">IF(ABS(Y491-AD491)&gt;1,"Mismatch","OK")</f>
        <v>OK</v>
      </c>
      <c r="AH491" s="3" t="str">
        <f aca="false">IF(ABS(AA491-AE491)&gt;1,"Mismatch","OK")</f>
        <v>OK</v>
      </c>
      <c r="AI491" s="6" t="n">
        <f aca="false">IF(B491="","",MONTH(B491))</f>
        <v>2</v>
      </c>
      <c r="AJ491" s="6" t="n">
        <f aca="false">IF(B491="","",YEAR(B491))</f>
        <v>2024</v>
      </c>
      <c r="AK491" s="3" t="str">
        <f aca="false">IF(COUNTIF(raw_data!$A$2:$A$913,A491)&gt;1,"Conflicting Duplicate - Flagged for Review","Unique")</f>
        <v>Unique</v>
      </c>
      <c r="AL491" s="3" t="str">
        <f aca="false">IF(AB491="Refunded","Yes","No")</f>
        <v>No</v>
      </c>
      <c r="AM491" s="3" t="str">
        <f aca="false">IF(OR(AC491&lt;&gt;"Completed",AB491="Failed"),"Excluded","Included")</f>
        <v>Included</v>
      </c>
      <c r="AN491" s="3" t="str">
        <f aca="false">IF(OR(D491="Invalid/Unrecognized",E491="Invalid/Unrecognized",G491="Invalid - Ship Before Order",X491="Negative - Invalid",X491="Above Allowed Range - Invalid",AG491="Mismatch",AH491="Mismatch",AK491="Conflicting Duplicate - Flagged for Review"),"Invalid",IF(OR(L491="Filled - Unknown",S491="Filled - Unknown",X491="Missing - Defaulted to 0",AL491="Yes",AC491="Cancelled",AC491="Returned"),"Warning","Clean"))</f>
        <v>Clean</v>
      </c>
    </row>
    <row r="492" customFormat="false" ht="15" hidden="false" customHeight="false" outlineLevel="0" collapsed="false">
      <c r="A492" s="3" t="str">
        <f aca="false">raw_data!A492</f>
        <v>ORD-2024-10491</v>
      </c>
      <c r="B492" s="4" t="n">
        <f aca="false">IFERROR(IF(MID(raw_data!B492,3,1)="/",DATE(VALUE(RIGHT(raw_data!B492,4)),VALUE(LEFT(raw_data!B492,2)),VALUE(MID(raw_data!B492,4,2))),IF(MID(raw_data!B492,3,1)="-",DATE(VALUE(RIGHT(raw_data!B492,4)),VALUE(MID(raw_data!B492,4,2)),VALUE(LEFT(raw_data!B492,2))),IF(MID(raw_data!B492,5,1)="-",DATE(VALUE(LEFT(raw_data!B492,4)),VALUE(MID(raw_data!B492,6,2)),VALUE(RIGHT(raw_data!B492,2))),DATE(VALUE(RIGHT(raw_data!B492,4)),MATCH(MID(raw_data!B492,4,3),{"Jan","Feb","Mar","Apr","May","Jun","Jul","Aug","Sep","Oct","Nov","Dec"},0),VALUE(LEFT(raw_data!B492,2)))))),"")</f>
        <v>45551</v>
      </c>
      <c r="C492" s="4" t="n">
        <f aca="false">IFERROR(IF(MID(raw_data!C492,3,1)="/",DATE(VALUE(RIGHT(raw_data!C492,4)),VALUE(LEFT(raw_data!C492,2)),VALUE(MID(raw_data!C492,4,2))),IF(MID(raw_data!C492,3,1)="-",DATE(VALUE(RIGHT(raw_data!C492,4)),VALUE(MID(raw_data!C492,4,2)),VALUE(LEFT(raw_data!C492,2))),IF(MID(raw_data!C492,5,1)="-",DATE(VALUE(LEFT(raw_data!C492,4)),VALUE(MID(raw_data!C492,6,2)),VALUE(RIGHT(raw_data!C492,2))),DATE(VALUE(RIGHT(raw_data!C492,4)),MATCH(MID(raw_data!C492,4,3),{"Jan","Feb","Mar","Apr","May","Jun","Jul","Aug","Sep","Oct","Nov","Dec"},0),VALUE(LEFT(raw_data!C492,2)))))),"")</f>
        <v>45554</v>
      </c>
      <c r="D492" s="3" t="str">
        <f aca="false">IF(TRIM(raw_data!B492)="","Missing",IF(B492="","Invalid/Unrecognized","Valid"))</f>
        <v>Valid</v>
      </c>
      <c r="E492" s="3" t="str">
        <f aca="false">IF(TRIM(raw_data!C492)="","Missing",IF(C492="","Invalid/Unrecognized","Valid"))</f>
        <v>Valid</v>
      </c>
      <c r="F492" s="5" t="n">
        <f aca="false">IF(OR(B492="",C492=""),"",C492-B492)</f>
        <v>3</v>
      </c>
      <c r="G492" s="3" t="str">
        <f aca="false">IF(F492="","N/A",IF(F492&lt;0,"Invalid - Ship Before Order","OK"))</f>
        <v>OK</v>
      </c>
      <c r="H492" s="3" t="str">
        <f aca="false">raw_data!D492</f>
        <v>CUST-1350</v>
      </c>
      <c r="I492" s="3" t="str">
        <f aca="false">PROPER(TRIM(raw_data!E492))</f>
        <v>Aditi Sen</v>
      </c>
      <c r="J492" s="3" t="str">
        <f aca="false">PROPER(TRIM(raw_data!F492))</f>
        <v>Consumer</v>
      </c>
      <c r="K492" s="3" t="str">
        <f aca="false">IF(TRIM(raw_data!G492)="","Unknown",PROPER(TRIM(raw_data!G492)))</f>
        <v>West</v>
      </c>
      <c r="L492" s="3" t="str">
        <f aca="false">IF(TRIM(raw_data!G492)="","Filled - Unknown","OK")</f>
        <v>OK</v>
      </c>
      <c r="M492" s="3" t="str">
        <f aca="false">PROPER(TRIM(raw_data!H492))</f>
        <v>Rajasthan</v>
      </c>
      <c r="N492" s="3" t="str">
        <f aca="false">PROPER(TRIM(raw_data!I492))</f>
        <v>Udaipur</v>
      </c>
      <c r="O492" s="3" t="str">
        <f aca="false">PROPER(TRIM(raw_data!J492))</f>
        <v>Office Supplies</v>
      </c>
      <c r="P492" s="3" t="str">
        <f aca="false">PROPER(TRIM(raw_data!K492))</f>
        <v>Binders</v>
      </c>
      <c r="Q492" s="3" t="str">
        <f aca="false">TRIM(raw_data!L492)</f>
        <v>Smart Binders 191</v>
      </c>
      <c r="R492" s="3" t="str">
        <f aca="false">IF(TRIM(raw_data!M492)="","Unknown",PROPER(TRIM(raw_data!M492)))</f>
        <v>First Class</v>
      </c>
      <c r="S492" s="3" t="str">
        <f aca="false">IF(TRIM(raw_data!M492)="","Filled - Unknown","OK")</f>
        <v>OK</v>
      </c>
      <c r="T492" s="6" t="n">
        <f aca="false">raw_data!N492</f>
        <v>7</v>
      </c>
      <c r="U492" s="7" t="n">
        <f aca="false">raw_data!O492</f>
        <v>406.42</v>
      </c>
      <c r="V492" s="8" t="n">
        <f aca="false">raw_data!P492</f>
        <v>0.15</v>
      </c>
      <c r="W492" s="8" t="n">
        <f aca="false">IF(raw_data!P492="",0,IF(ISTEXT(raw_data!P492),IF(RIGHT(raw_data!P492,1)="%",VALUE(LEFT(raw_data!P492,LEN(raw_data!P492)-1))/100,VALUE(raw_data!P492)),raw_data!P492))</f>
        <v>0.15</v>
      </c>
      <c r="X492" s="3" t="str">
        <f aca="false">IF(raw_data!P492="","Missing - Defaulted to 0",IF(W492&lt;0,"Negative - Invalid",IF(W492&gt;0.3,"Above Allowed Range - Invalid","Valid")))</f>
        <v>Valid</v>
      </c>
      <c r="Y492" s="7" t="n">
        <f aca="false">raw_data!Q492</f>
        <v>2418.2</v>
      </c>
      <c r="Z492" s="7" t="n">
        <f aca="false">raw_data!R492</f>
        <v>1613.82</v>
      </c>
      <c r="AA492" s="7" t="n">
        <f aca="false">raw_data!S492</f>
        <v>804.38</v>
      </c>
      <c r="AB492" s="3" t="str">
        <f aca="false">PROPER(TRIM(raw_data!T492))</f>
        <v>Paid</v>
      </c>
      <c r="AC492" s="3" t="str">
        <f aca="false">PROPER(TRIM(raw_data!U492))</f>
        <v>Completed</v>
      </c>
      <c r="AD492" s="7" t="n">
        <f aca="false">T492*U492*(1-W492)</f>
        <v>2418.199</v>
      </c>
      <c r="AE492" s="7" t="n">
        <f aca="false">AD492-Z492</f>
        <v>804.379</v>
      </c>
      <c r="AF492" s="8" t="n">
        <f aca="false">IF(AD492=0,0,AE492/AD492)</f>
        <v>0.332635568867575</v>
      </c>
      <c r="AG492" s="3" t="str">
        <f aca="false">IF(ABS(Y492-AD492)&gt;1,"Mismatch","OK")</f>
        <v>OK</v>
      </c>
      <c r="AH492" s="3" t="str">
        <f aca="false">IF(ABS(AA492-AE492)&gt;1,"Mismatch","OK")</f>
        <v>OK</v>
      </c>
      <c r="AI492" s="6" t="n">
        <f aca="false">IF(B492="","",MONTH(B492))</f>
        <v>9</v>
      </c>
      <c r="AJ492" s="6" t="n">
        <f aca="false">IF(B492="","",YEAR(B492))</f>
        <v>2024</v>
      </c>
      <c r="AK492" s="3" t="str">
        <f aca="false">IF(COUNTIF(raw_data!$A$2:$A$913,A492)&gt;1,"Conflicting Duplicate - Flagged for Review","Unique")</f>
        <v>Unique</v>
      </c>
      <c r="AL492" s="3" t="str">
        <f aca="false">IF(AB492="Refunded","Yes","No")</f>
        <v>No</v>
      </c>
      <c r="AM492" s="3" t="str">
        <f aca="false">IF(OR(AC492&lt;&gt;"Completed",AB492="Failed"),"Excluded","Included")</f>
        <v>Included</v>
      </c>
      <c r="AN492" s="3" t="str">
        <f aca="false">IF(OR(D492="Invalid/Unrecognized",E492="Invalid/Unrecognized",G492="Invalid - Ship Before Order",X492="Negative - Invalid",X492="Above Allowed Range - Invalid",AG492="Mismatch",AH492="Mismatch",AK492="Conflicting Duplicate - Flagged for Review"),"Invalid",IF(OR(L492="Filled - Unknown",S492="Filled - Unknown",X492="Missing - Defaulted to 0",AL492="Yes",AC492="Cancelled",AC492="Returned"),"Warning","Clean"))</f>
        <v>Clean</v>
      </c>
    </row>
    <row r="493" customFormat="false" ht="15" hidden="false" customHeight="false" outlineLevel="0" collapsed="false">
      <c r="A493" s="3" t="str">
        <f aca="false">raw_data!A493</f>
        <v>ORD-2025-10492</v>
      </c>
      <c r="B493" s="4" t="n">
        <f aca="false">IFERROR(IF(MID(raw_data!B493,3,1)="/",DATE(VALUE(RIGHT(raw_data!B493,4)),VALUE(LEFT(raw_data!B493,2)),VALUE(MID(raw_data!B493,4,2))),IF(MID(raw_data!B493,3,1)="-",DATE(VALUE(RIGHT(raw_data!B493,4)),VALUE(MID(raw_data!B493,4,2)),VALUE(LEFT(raw_data!B493,2))),IF(MID(raw_data!B493,5,1)="-",DATE(VALUE(LEFT(raw_data!B493,4)),VALUE(MID(raw_data!B493,6,2)),VALUE(RIGHT(raw_data!B493,2))),DATE(VALUE(RIGHT(raw_data!B493,4)),MATCH(MID(raw_data!B493,4,3),{"Jan","Feb","Mar","Apr","May","Jun","Jul","Aug","Sep","Oct","Nov","Dec"},0),VALUE(LEFT(raw_data!B493,2)))))),"")</f>
        <v>45776</v>
      </c>
      <c r="C493" s="4" t="n">
        <f aca="false">IFERROR(IF(MID(raw_data!C493,3,1)="/",DATE(VALUE(RIGHT(raw_data!C493,4)),VALUE(LEFT(raw_data!C493,2)),VALUE(MID(raw_data!C493,4,2))),IF(MID(raw_data!C493,3,1)="-",DATE(VALUE(RIGHT(raw_data!C493,4)),VALUE(MID(raw_data!C493,4,2)),VALUE(LEFT(raw_data!C493,2))),IF(MID(raw_data!C493,5,1)="-",DATE(VALUE(LEFT(raw_data!C493,4)),VALUE(MID(raw_data!C493,6,2)),VALUE(RIGHT(raw_data!C493,2))),DATE(VALUE(RIGHT(raw_data!C493,4)),MATCH(MID(raw_data!C493,4,3),{"Jan","Feb","Mar","Apr","May","Jun","Jul","Aug","Sep","Oct","Nov","Dec"},0),VALUE(LEFT(raw_data!C493,2)))))),"")</f>
        <v>45777</v>
      </c>
      <c r="D493" s="3" t="str">
        <f aca="false">IF(TRIM(raw_data!B493)="","Missing",IF(B493="","Invalid/Unrecognized","Valid"))</f>
        <v>Valid</v>
      </c>
      <c r="E493" s="3" t="str">
        <f aca="false">IF(TRIM(raw_data!C493)="","Missing",IF(C493="","Invalid/Unrecognized","Valid"))</f>
        <v>Valid</v>
      </c>
      <c r="F493" s="5" t="n">
        <f aca="false">IF(OR(B493="",C493=""),"",C493-B493)</f>
        <v>1</v>
      </c>
      <c r="G493" s="3" t="str">
        <f aca="false">IF(F493="","N/A",IF(F493&lt;0,"Invalid - Ship Before Order","OK"))</f>
        <v>OK</v>
      </c>
      <c r="H493" s="3" t="str">
        <f aca="false">raw_data!D493</f>
        <v>CUST-4101</v>
      </c>
      <c r="I493" s="3" t="str">
        <f aca="false">PROPER(TRIM(raw_data!E493))</f>
        <v>Mira Das</v>
      </c>
      <c r="J493" s="3" t="str">
        <f aca="false">PROPER(TRIM(raw_data!F493))</f>
        <v>Corporate</v>
      </c>
      <c r="K493" s="3" t="str">
        <f aca="false">IF(TRIM(raw_data!G493)="","Unknown",PROPER(TRIM(raw_data!G493)))</f>
        <v>South</v>
      </c>
      <c r="L493" s="3" t="str">
        <f aca="false">IF(TRIM(raw_data!G493)="","Filled - Unknown","OK")</f>
        <v>OK</v>
      </c>
      <c r="M493" s="3" t="str">
        <f aca="false">PROPER(TRIM(raw_data!H493))</f>
        <v>Kerala</v>
      </c>
      <c r="N493" s="3" t="str">
        <f aca="false">PROPER(TRIM(raw_data!I493))</f>
        <v>Kochi</v>
      </c>
      <c r="O493" s="3" t="str">
        <f aca="false">PROPER(TRIM(raw_data!J493))</f>
        <v>Technology</v>
      </c>
      <c r="P493" s="3" t="str">
        <f aca="false">PROPER(TRIM(raw_data!K493))</f>
        <v>Accessories</v>
      </c>
      <c r="Q493" s="3" t="str">
        <f aca="false">TRIM(raw_data!L493)</f>
        <v>Prime Accessories 118</v>
      </c>
      <c r="R493" s="3" t="str">
        <f aca="false">IF(TRIM(raw_data!M493)="","Unknown",PROPER(TRIM(raw_data!M493)))</f>
        <v>Standard Class</v>
      </c>
      <c r="S493" s="3" t="str">
        <f aca="false">IF(TRIM(raw_data!M493)="","Filled - Unknown","OK")</f>
        <v>OK</v>
      </c>
      <c r="T493" s="6" t="n">
        <f aca="false">raw_data!N493</f>
        <v>4</v>
      </c>
      <c r="U493" s="7" t="n">
        <f aca="false">raw_data!O493</f>
        <v>606.58</v>
      </c>
      <c r="V493" s="8" t="n">
        <f aca="false">raw_data!P493</f>
        <v>0.2</v>
      </c>
      <c r="W493" s="8" t="n">
        <f aca="false">IF(raw_data!P493="",0,IF(ISTEXT(raw_data!P493),IF(RIGHT(raw_data!P493,1)="%",VALUE(LEFT(raw_data!P493,LEN(raw_data!P493)-1))/100,VALUE(raw_data!P493)),raw_data!P493))</f>
        <v>0.2</v>
      </c>
      <c r="X493" s="3" t="str">
        <f aca="false">IF(raw_data!P493="","Missing - Defaulted to 0",IF(W493&lt;0,"Negative - Invalid",IF(W493&gt;0.3,"Above Allowed Range - Invalid","Valid")))</f>
        <v>Valid</v>
      </c>
      <c r="Y493" s="7" t="n">
        <f aca="false">raw_data!Q493</f>
        <v>1941.06</v>
      </c>
      <c r="Z493" s="7" t="n">
        <f aca="false">raw_data!R493</f>
        <v>1207.42</v>
      </c>
      <c r="AA493" s="7" t="n">
        <f aca="false">raw_data!S493</f>
        <v>733.64</v>
      </c>
      <c r="AB493" s="3" t="str">
        <f aca="false">PROPER(TRIM(raw_data!T493))</f>
        <v>Paid</v>
      </c>
      <c r="AC493" s="3" t="str">
        <f aca="false">PROPER(TRIM(raw_data!U493))</f>
        <v>Completed</v>
      </c>
      <c r="AD493" s="7" t="n">
        <f aca="false">T493*U493*(1-W493)</f>
        <v>1941.056</v>
      </c>
      <c r="AE493" s="7" t="n">
        <f aca="false">AD493-Z493</f>
        <v>733.636</v>
      </c>
      <c r="AF493" s="8" t="n">
        <f aca="false">IF(AD493=0,0,AE493/AD493)</f>
        <v>0.377957153219691</v>
      </c>
      <c r="AG493" s="3" t="str">
        <f aca="false">IF(ABS(Y493-AD493)&gt;1,"Mismatch","OK")</f>
        <v>OK</v>
      </c>
      <c r="AH493" s="3" t="str">
        <f aca="false">IF(ABS(AA493-AE493)&gt;1,"Mismatch","OK")</f>
        <v>OK</v>
      </c>
      <c r="AI493" s="6" t="n">
        <f aca="false">IF(B493="","",MONTH(B493))</f>
        <v>4</v>
      </c>
      <c r="AJ493" s="6" t="n">
        <f aca="false">IF(B493="","",YEAR(B493))</f>
        <v>2025</v>
      </c>
      <c r="AK493" s="3" t="str">
        <f aca="false">IF(COUNTIF(raw_data!$A$2:$A$913,A493)&gt;1,"Conflicting Duplicate - Flagged for Review","Unique")</f>
        <v>Unique</v>
      </c>
      <c r="AL493" s="3" t="str">
        <f aca="false">IF(AB493="Refunded","Yes","No")</f>
        <v>No</v>
      </c>
      <c r="AM493" s="3" t="str">
        <f aca="false">IF(OR(AC493&lt;&gt;"Completed",AB493="Failed"),"Excluded","Included")</f>
        <v>Included</v>
      </c>
      <c r="AN493" s="3" t="str">
        <f aca="false">IF(OR(D493="Invalid/Unrecognized",E493="Invalid/Unrecognized",G493="Invalid - Ship Before Order",X493="Negative - Invalid",X493="Above Allowed Range - Invalid",AG493="Mismatch",AH493="Mismatch",AK493="Conflicting Duplicate - Flagged for Review"),"Invalid",IF(OR(L493="Filled - Unknown",S493="Filled - Unknown",X493="Missing - Defaulted to 0",AL493="Yes",AC493="Cancelled",AC493="Returned"),"Warning","Clean"))</f>
        <v>Clean</v>
      </c>
    </row>
    <row r="494" customFormat="false" ht="15" hidden="false" customHeight="false" outlineLevel="0" collapsed="false">
      <c r="A494" s="3" t="str">
        <f aca="false">raw_data!A494</f>
        <v>ORD-2025-10493</v>
      </c>
      <c r="B494" s="4" t="n">
        <f aca="false">IFERROR(IF(MID(raw_data!B494,3,1)="/",DATE(VALUE(RIGHT(raw_data!B494,4)),VALUE(LEFT(raw_data!B494,2)),VALUE(MID(raw_data!B494,4,2))),IF(MID(raw_data!B494,3,1)="-",DATE(VALUE(RIGHT(raw_data!B494,4)),VALUE(MID(raw_data!B494,4,2)),VALUE(LEFT(raw_data!B494,2))),IF(MID(raw_data!B494,5,1)="-",DATE(VALUE(LEFT(raw_data!B494,4)),VALUE(MID(raw_data!B494,6,2)),VALUE(RIGHT(raw_data!B494,2))),DATE(VALUE(RIGHT(raw_data!B494,4)),MATCH(MID(raw_data!B494,4,3),{"Jan","Feb","Mar","Apr","May","Jun","Jul","Aug","Sep","Oct","Nov","Dec"},0),VALUE(LEFT(raw_data!B494,2)))))),"")</f>
        <v>45836</v>
      </c>
      <c r="C494" s="4" t="n">
        <f aca="false">IFERROR(IF(MID(raw_data!C494,3,1)="/",DATE(VALUE(RIGHT(raw_data!C494,4)),VALUE(LEFT(raw_data!C494,2)),VALUE(MID(raw_data!C494,4,2))),IF(MID(raw_data!C494,3,1)="-",DATE(VALUE(RIGHT(raw_data!C494,4)),VALUE(MID(raw_data!C494,4,2)),VALUE(LEFT(raw_data!C494,2))),IF(MID(raw_data!C494,5,1)="-",DATE(VALUE(LEFT(raw_data!C494,4)),VALUE(MID(raw_data!C494,6,2)),VALUE(RIGHT(raw_data!C494,2))),DATE(VALUE(RIGHT(raw_data!C494,4)),MATCH(MID(raw_data!C494,4,3),{"Jan","Feb","Mar","Apr","May","Jun","Jul","Aug","Sep","Oct","Nov","Dec"},0),VALUE(LEFT(raw_data!C494,2)))))),"")</f>
        <v>45840</v>
      </c>
      <c r="D494" s="3" t="str">
        <f aca="false">IF(TRIM(raw_data!B494)="","Missing",IF(B494="","Invalid/Unrecognized","Valid"))</f>
        <v>Valid</v>
      </c>
      <c r="E494" s="3" t="str">
        <f aca="false">IF(TRIM(raw_data!C494)="","Missing",IF(C494="","Invalid/Unrecognized","Valid"))</f>
        <v>Valid</v>
      </c>
      <c r="F494" s="5" t="n">
        <f aca="false">IF(OR(B494="",C494=""),"",C494-B494)</f>
        <v>4</v>
      </c>
      <c r="G494" s="3" t="str">
        <f aca="false">IF(F494="","N/A",IF(F494&lt;0,"Invalid - Ship Before Order","OK"))</f>
        <v>OK</v>
      </c>
      <c r="H494" s="3" t="str">
        <f aca="false">raw_data!D494</f>
        <v>CUST-4679</v>
      </c>
      <c r="I494" s="3" t="str">
        <f aca="false">PROPER(TRIM(raw_data!E494))</f>
        <v>Ananya Rao</v>
      </c>
      <c r="J494" s="3" t="str">
        <f aca="false">PROPER(TRIM(raw_data!F494))</f>
        <v>Corporate</v>
      </c>
      <c r="K494" s="3" t="str">
        <f aca="false">IF(TRIM(raw_data!G494)="","Unknown",PROPER(TRIM(raw_data!G494)))</f>
        <v>South</v>
      </c>
      <c r="L494" s="3" t="str">
        <f aca="false">IF(TRIM(raw_data!G494)="","Filled - Unknown","OK")</f>
        <v>OK</v>
      </c>
      <c r="M494" s="3" t="str">
        <f aca="false">PROPER(TRIM(raw_data!H494))</f>
        <v>Andhra Pradesh</v>
      </c>
      <c r="N494" s="3" t="str">
        <f aca="false">PROPER(TRIM(raw_data!I494))</f>
        <v>Vijayawada</v>
      </c>
      <c r="O494" s="3" t="str">
        <f aca="false">PROPER(TRIM(raw_data!J494))</f>
        <v>Office Supplies</v>
      </c>
      <c r="P494" s="3" t="str">
        <f aca="false">PROPER(TRIM(raw_data!K494))</f>
        <v>Storage</v>
      </c>
      <c r="Q494" s="3" t="str">
        <f aca="false">TRIM(raw_data!L494)</f>
        <v>Elite Storage 331</v>
      </c>
      <c r="R494" s="3" t="str">
        <f aca="false">IF(TRIM(raw_data!M494)="","Unknown",PROPER(TRIM(raw_data!M494)))</f>
        <v>Second Class</v>
      </c>
      <c r="S494" s="3" t="str">
        <f aca="false">IF(TRIM(raw_data!M494)="","Filled - Unknown","OK")</f>
        <v>OK</v>
      </c>
      <c r="T494" s="6" t="n">
        <f aca="false">raw_data!N494</f>
        <v>2</v>
      </c>
      <c r="U494" s="7" t="n">
        <f aca="false">raw_data!O494</f>
        <v>2725.44</v>
      </c>
      <c r="V494" s="8" t="n">
        <f aca="false">raw_data!P494</f>
        <v>0.25</v>
      </c>
      <c r="W494" s="8" t="n">
        <f aca="false">IF(raw_data!P494="",0,IF(ISTEXT(raw_data!P494),IF(RIGHT(raw_data!P494,1)="%",VALUE(LEFT(raw_data!P494,LEN(raw_data!P494)-1))/100,VALUE(raw_data!P494)),raw_data!P494))</f>
        <v>0.25</v>
      </c>
      <c r="X494" s="3" t="str">
        <f aca="false">IF(raw_data!P494="","Missing - Defaulted to 0",IF(W494&lt;0,"Negative - Invalid",IF(W494&gt;0.3,"Above Allowed Range - Invalid","Valid")))</f>
        <v>Valid</v>
      </c>
      <c r="Y494" s="7" t="n">
        <f aca="false">raw_data!Q494</f>
        <v>4088.16</v>
      </c>
      <c r="Z494" s="7" t="n">
        <f aca="false">raw_data!R494</f>
        <v>3205.68</v>
      </c>
      <c r="AA494" s="7" t="n">
        <f aca="false">raw_data!S494</f>
        <v>882.48</v>
      </c>
      <c r="AB494" s="3" t="str">
        <f aca="false">PROPER(TRIM(raw_data!T494))</f>
        <v>Paid</v>
      </c>
      <c r="AC494" s="3" t="str">
        <f aca="false">PROPER(TRIM(raw_data!U494))</f>
        <v>Completed</v>
      </c>
      <c r="AD494" s="7" t="n">
        <f aca="false">T494*U494*(1-W494)</f>
        <v>4088.16</v>
      </c>
      <c r="AE494" s="7" t="n">
        <f aca="false">AD494-Z494</f>
        <v>882.48</v>
      </c>
      <c r="AF494" s="8" t="n">
        <f aca="false">IF(AD494=0,0,AE494/AD494)</f>
        <v>0.215862392861336</v>
      </c>
      <c r="AG494" s="3" t="str">
        <f aca="false">IF(ABS(Y494-AD494)&gt;1,"Mismatch","OK")</f>
        <v>OK</v>
      </c>
      <c r="AH494" s="3" t="str">
        <f aca="false">IF(ABS(AA494-AE494)&gt;1,"Mismatch","OK")</f>
        <v>OK</v>
      </c>
      <c r="AI494" s="6" t="n">
        <f aca="false">IF(B494="","",MONTH(B494))</f>
        <v>6</v>
      </c>
      <c r="AJ494" s="6" t="n">
        <f aca="false">IF(B494="","",YEAR(B494))</f>
        <v>2025</v>
      </c>
      <c r="AK494" s="3" t="str">
        <f aca="false">IF(COUNTIF(raw_data!$A$2:$A$913,A494)&gt;1,"Conflicting Duplicate - Flagged for Review","Unique")</f>
        <v>Unique</v>
      </c>
      <c r="AL494" s="3" t="str">
        <f aca="false">IF(AB494="Refunded","Yes","No")</f>
        <v>No</v>
      </c>
      <c r="AM494" s="3" t="str">
        <f aca="false">IF(OR(AC494&lt;&gt;"Completed",AB494="Failed"),"Excluded","Included")</f>
        <v>Included</v>
      </c>
      <c r="AN494" s="3" t="str">
        <f aca="false">IF(OR(D494="Invalid/Unrecognized",E494="Invalid/Unrecognized",G494="Invalid - Ship Before Order",X494="Negative - Invalid",X494="Above Allowed Range - Invalid",AG494="Mismatch",AH494="Mismatch",AK494="Conflicting Duplicate - Flagged for Review"),"Invalid",IF(OR(L494="Filled - Unknown",S494="Filled - Unknown",X494="Missing - Defaulted to 0",AL494="Yes",AC494="Cancelled",AC494="Returned"),"Warning","Clean"))</f>
        <v>Clean</v>
      </c>
    </row>
    <row r="495" customFormat="false" ht="15" hidden="false" customHeight="false" outlineLevel="0" collapsed="false">
      <c r="A495" s="3" t="str">
        <f aca="false">raw_data!A495</f>
        <v>ORD-2025-10494</v>
      </c>
      <c r="B495" s="4" t="n">
        <f aca="false">IFERROR(IF(MID(raw_data!B495,3,1)="/",DATE(VALUE(RIGHT(raw_data!B495,4)),VALUE(LEFT(raw_data!B495,2)),VALUE(MID(raw_data!B495,4,2))),IF(MID(raw_data!B495,3,1)="-",DATE(VALUE(RIGHT(raw_data!B495,4)),VALUE(MID(raw_data!B495,4,2)),VALUE(LEFT(raw_data!B495,2))),IF(MID(raw_data!B495,5,1)="-",DATE(VALUE(LEFT(raw_data!B495,4)),VALUE(MID(raw_data!B495,6,2)),VALUE(RIGHT(raw_data!B495,2))),DATE(VALUE(RIGHT(raw_data!B495,4)),MATCH(MID(raw_data!B495,4,3),{"Jan","Feb","Mar","Apr","May","Jun","Jul","Aug","Sep","Oct","Nov","Dec"},0),VALUE(LEFT(raw_data!B495,2)))))),"")</f>
        <v>45701</v>
      </c>
      <c r="C495" s="4" t="n">
        <f aca="false">IFERROR(IF(MID(raw_data!C495,3,1)="/",DATE(VALUE(RIGHT(raw_data!C495,4)),VALUE(LEFT(raw_data!C495,2)),VALUE(MID(raw_data!C495,4,2))),IF(MID(raw_data!C495,3,1)="-",DATE(VALUE(RIGHT(raw_data!C495,4)),VALUE(MID(raw_data!C495,4,2)),VALUE(LEFT(raw_data!C495,2))),IF(MID(raw_data!C495,5,1)="-",DATE(VALUE(LEFT(raw_data!C495,4)),VALUE(MID(raw_data!C495,6,2)),VALUE(RIGHT(raw_data!C495,2))),DATE(VALUE(RIGHT(raw_data!C495,4)),MATCH(MID(raw_data!C495,4,3),{"Jan","Feb","Mar","Apr","May","Jun","Jul","Aug","Sep","Oct","Nov","Dec"},0),VALUE(LEFT(raw_data!C495,2)))))),"")</f>
        <v>45701</v>
      </c>
      <c r="D495" s="3" t="str">
        <f aca="false">IF(TRIM(raw_data!B495)="","Missing",IF(B495="","Invalid/Unrecognized","Valid"))</f>
        <v>Valid</v>
      </c>
      <c r="E495" s="3" t="str">
        <f aca="false">IF(TRIM(raw_data!C495)="","Missing",IF(C495="","Invalid/Unrecognized","Valid"))</f>
        <v>Valid</v>
      </c>
      <c r="F495" s="5" t="n">
        <f aca="false">IF(OR(B495="",C495=""),"",C495-B495)</f>
        <v>0</v>
      </c>
      <c r="G495" s="3" t="str">
        <f aca="false">IF(F495="","N/A",IF(F495&lt;0,"Invalid - Ship Before Order","OK"))</f>
        <v>OK</v>
      </c>
      <c r="H495" s="3" t="str">
        <f aca="false">raw_data!D495</f>
        <v>CUST-3765</v>
      </c>
      <c r="I495" s="3" t="str">
        <f aca="false">PROPER(TRIM(raw_data!E495))</f>
        <v>Kabir Singh</v>
      </c>
      <c r="J495" s="3" t="str">
        <f aca="false">PROPER(TRIM(raw_data!F495))</f>
        <v>Corporate</v>
      </c>
      <c r="K495" s="3" t="str">
        <f aca="false">IF(TRIM(raw_data!G495)="","Unknown",PROPER(TRIM(raw_data!G495)))</f>
        <v>East</v>
      </c>
      <c r="L495" s="3" t="str">
        <f aca="false">IF(TRIM(raw_data!G495)="","Filled - Unknown","OK")</f>
        <v>OK</v>
      </c>
      <c r="M495" s="3" t="str">
        <f aca="false">PROPER(TRIM(raw_data!H495))</f>
        <v>Odisha</v>
      </c>
      <c r="N495" s="3" t="str">
        <f aca="false">PROPER(TRIM(raw_data!I495))</f>
        <v>Bhubaneswar</v>
      </c>
      <c r="O495" s="3" t="str">
        <f aca="false">PROPER(TRIM(raw_data!J495))</f>
        <v>Office Supplies</v>
      </c>
      <c r="P495" s="3" t="str">
        <f aca="false">PROPER(TRIM(raw_data!K495))</f>
        <v>Paper</v>
      </c>
      <c r="Q495" s="3" t="str">
        <f aca="false">TRIM(raw_data!L495)</f>
        <v>Prime Paper 996</v>
      </c>
      <c r="R495" s="3" t="str">
        <f aca="false">IF(TRIM(raw_data!M495)="","Unknown",PROPER(TRIM(raw_data!M495)))</f>
        <v>Second Class</v>
      </c>
      <c r="S495" s="3" t="str">
        <f aca="false">IF(TRIM(raw_data!M495)="","Filled - Unknown","OK")</f>
        <v>OK</v>
      </c>
      <c r="T495" s="6" t="n">
        <f aca="false">raw_data!N495</f>
        <v>7</v>
      </c>
      <c r="U495" s="7" t="n">
        <f aca="false">raw_data!O495</f>
        <v>2296.7</v>
      </c>
      <c r="V495" s="8" t="n">
        <f aca="false">raw_data!P495</f>
        <v>0.05</v>
      </c>
      <c r="W495" s="8" t="n">
        <f aca="false">IF(raw_data!P495="",0,IF(ISTEXT(raw_data!P495),IF(RIGHT(raw_data!P495,1)="%",VALUE(LEFT(raw_data!P495,LEN(raw_data!P495)-1))/100,VALUE(raw_data!P495)),raw_data!P495))</f>
        <v>0.05</v>
      </c>
      <c r="X495" s="3" t="str">
        <f aca="false">IF(raw_data!P495="","Missing - Defaulted to 0",IF(W495&lt;0,"Negative - Invalid",IF(W495&gt;0.3,"Above Allowed Range - Invalid","Valid")))</f>
        <v>Valid</v>
      </c>
      <c r="Y495" s="7" t="n">
        <f aca="false">raw_data!Q495</f>
        <v>15273.05</v>
      </c>
      <c r="Z495" s="7" t="n">
        <f aca="false">raw_data!R495</f>
        <v>11088.76</v>
      </c>
      <c r="AA495" s="7" t="n">
        <f aca="false">raw_data!S495</f>
        <v>4184.29</v>
      </c>
      <c r="AB495" s="3" t="str">
        <f aca="false">PROPER(TRIM(raw_data!T495))</f>
        <v>Paid</v>
      </c>
      <c r="AC495" s="3" t="str">
        <f aca="false">PROPER(TRIM(raw_data!U495))</f>
        <v>Completed</v>
      </c>
      <c r="AD495" s="7" t="n">
        <f aca="false">T495*U495*(1-W495)</f>
        <v>15273.055</v>
      </c>
      <c r="AE495" s="7" t="n">
        <f aca="false">AD495-Z495</f>
        <v>4184.295</v>
      </c>
      <c r="AF495" s="8" t="n">
        <f aca="false">IF(AD495=0,0,AE495/AD495)</f>
        <v>0.273965817578736</v>
      </c>
      <c r="AG495" s="3" t="str">
        <f aca="false">IF(ABS(Y495-AD495)&gt;1,"Mismatch","OK")</f>
        <v>OK</v>
      </c>
      <c r="AH495" s="3" t="str">
        <f aca="false">IF(ABS(AA495-AE495)&gt;1,"Mismatch","OK")</f>
        <v>OK</v>
      </c>
      <c r="AI495" s="6" t="n">
        <f aca="false">IF(B495="","",MONTH(B495))</f>
        <v>2</v>
      </c>
      <c r="AJ495" s="6" t="n">
        <f aca="false">IF(B495="","",YEAR(B495))</f>
        <v>2025</v>
      </c>
      <c r="AK495" s="3" t="str">
        <f aca="false">IF(COUNTIF(raw_data!$A$2:$A$913,A495)&gt;1,"Conflicting Duplicate - Flagged for Review","Unique")</f>
        <v>Unique</v>
      </c>
      <c r="AL495" s="3" t="str">
        <f aca="false">IF(AB495="Refunded","Yes","No")</f>
        <v>No</v>
      </c>
      <c r="AM495" s="3" t="str">
        <f aca="false">IF(OR(AC495&lt;&gt;"Completed",AB495="Failed"),"Excluded","Included")</f>
        <v>Included</v>
      </c>
      <c r="AN495" s="3" t="str">
        <f aca="false">IF(OR(D495="Invalid/Unrecognized",E495="Invalid/Unrecognized",G495="Invalid - Ship Before Order",X495="Negative - Invalid",X495="Above Allowed Range - Invalid",AG495="Mismatch",AH495="Mismatch",AK495="Conflicting Duplicate - Flagged for Review"),"Invalid",IF(OR(L495="Filled - Unknown",S495="Filled - Unknown",X495="Missing - Defaulted to 0",AL495="Yes",AC495="Cancelled",AC495="Returned"),"Warning","Clean"))</f>
        <v>Clean</v>
      </c>
    </row>
    <row r="496" customFormat="false" ht="15" hidden="false" customHeight="false" outlineLevel="0" collapsed="false">
      <c r="A496" s="3" t="str">
        <f aca="false">raw_data!A496</f>
        <v>ORD-2024-10495</v>
      </c>
      <c r="B496" s="4" t="n">
        <f aca="false">IFERROR(IF(MID(raw_data!B496,3,1)="/",DATE(VALUE(RIGHT(raw_data!B496,4)),VALUE(LEFT(raw_data!B496,2)),VALUE(MID(raw_data!B496,4,2))),IF(MID(raw_data!B496,3,1)="-",DATE(VALUE(RIGHT(raw_data!B496,4)),VALUE(MID(raw_data!B496,4,2)),VALUE(LEFT(raw_data!B496,2))),IF(MID(raw_data!B496,5,1)="-",DATE(VALUE(LEFT(raw_data!B496,4)),VALUE(MID(raw_data!B496,6,2)),VALUE(RIGHT(raw_data!B496,2))),DATE(VALUE(RIGHT(raw_data!B496,4)),MATCH(MID(raw_data!B496,4,3),{"Jan","Feb","Mar","Apr","May","Jun","Jul","Aug","Sep","Oct","Nov","Dec"},0),VALUE(LEFT(raw_data!B496,2)))))),"")</f>
        <v>45610</v>
      </c>
      <c r="C496" s="4" t="n">
        <f aca="false">IFERROR(IF(MID(raw_data!C496,3,1)="/",DATE(VALUE(RIGHT(raw_data!C496,4)),VALUE(LEFT(raw_data!C496,2)),VALUE(MID(raw_data!C496,4,2))),IF(MID(raw_data!C496,3,1)="-",DATE(VALUE(RIGHT(raw_data!C496,4)),VALUE(MID(raw_data!C496,4,2)),VALUE(LEFT(raw_data!C496,2))),IF(MID(raw_data!C496,5,1)="-",DATE(VALUE(LEFT(raw_data!C496,4)),VALUE(MID(raw_data!C496,6,2)),VALUE(RIGHT(raw_data!C496,2))),DATE(VALUE(RIGHT(raw_data!C496,4)),MATCH(MID(raw_data!C496,4,3),{"Jan","Feb","Mar","Apr","May","Jun","Jul","Aug","Sep","Oct","Nov","Dec"},0),VALUE(LEFT(raw_data!C496,2)))))),"")</f>
        <v>45618</v>
      </c>
      <c r="D496" s="3" t="str">
        <f aca="false">IF(TRIM(raw_data!B496)="","Missing",IF(B496="","Invalid/Unrecognized","Valid"))</f>
        <v>Valid</v>
      </c>
      <c r="E496" s="3" t="str">
        <f aca="false">IF(TRIM(raw_data!C496)="","Missing",IF(C496="","Invalid/Unrecognized","Valid"))</f>
        <v>Valid</v>
      </c>
      <c r="F496" s="5" t="n">
        <f aca="false">IF(OR(B496="",C496=""),"",C496-B496)</f>
        <v>8</v>
      </c>
      <c r="G496" s="3" t="str">
        <f aca="false">IF(F496="","N/A",IF(F496&lt;0,"Invalid - Ship Before Order","OK"))</f>
        <v>OK</v>
      </c>
      <c r="H496" s="3" t="str">
        <f aca="false">raw_data!D496</f>
        <v>CUST-9056</v>
      </c>
      <c r="I496" s="3" t="str">
        <f aca="false">PROPER(TRIM(raw_data!E496))</f>
        <v>Isha Nair</v>
      </c>
      <c r="J496" s="3" t="str">
        <f aca="false">PROPER(TRIM(raw_data!F496))</f>
        <v>Consumer</v>
      </c>
      <c r="K496" s="3" t="str">
        <f aca="false">IF(TRIM(raw_data!G496)="","Unknown",PROPER(TRIM(raw_data!G496)))</f>
        <v>West</v>
      </c>
      <c r="L496" s="3" t="str">
        <f aca="false">IF(TRIM(raw_data!G496)="","Filled - Unknown","OK")</f>
        <v>OK</v>
      </c>
      <c r="M496" s="3" t="str">
        <f aca="false">PROPER(TRIM(raw_data!H496))</f>
        <v>Madhya Pradesh</v>
      </c>
      <c r="N496" s="3" t="str">
        <f aca="false">PROPER(TRIM(raw_data!I496))</f>
        <v>Indore</v>
      </c>
      <c r="O496" s="3" t="str">
        <f aca="false">PROPER(TRIM(raw_data!J496))</f>
        <v>Technology</v>
      </c>
      <c r="P496" s="3" t="str">
        <f aca="false">PROPER(TRIM(raw_data!K496))</f>
        <v>Phones</v>
      </c>
      <c r="Q496" s="3" t="str">
        <f aca="false">TRIM(raw_data!L496)</f>
        <v>Smart Phones 125</v>
      </c>
      <c r="R496" s="3" t="str">
        <f aca="false">IF(TRIM(raw_data!M496)="","Unknown",PROPER(TRIM(raw_data!M496)))</f>
        <v>Standard Class</v>
      </c>
      <c r="S496" s="3" t="str">
        <f aca="false">IF(TRIM(raw_data!M496)="","Filled - Unknown","OK")</f>
        <v>OK</v>
      </c>
      <c r="T496" s="6" t="n">
        <f aca="false">raw_data!N496</f>
        <v>3</v>
      </c>
      <c r="U496" s="7" t="n">
        <f aca="false">raw_data!O496</f>
        <v>671.68</v>
      </c>
      <c r="V496" s="8" t="n">
        <f aca="false">raw_data!P496</f>
        <v>-0.13</v>
      </c>
      <c r="W496" s="8" t="n">
        <f aca="false">IF(raw_data!P496="",0,IF(ISTEXT(raw_data!P496),IF(RIGHT(raw_data!P496,1)="%",VALUE(LEFT(raw_data!P496,LEN(raw_data!P496)-1))/100,VALUE(raw_data!P496)),raw_data!P496))</f>
        <v>-0.13</v>
      </c>
      <c r="X496" s="3" t="str">
        <f aca="false">IF(raw_data!P496="","Missing - Defaulted to 0",IF(W496&lt;0,"Negative - Invalid",IF(W496&gt;0.3,"Above Allowed Range - Invalid","Valid")))</f>
        <v>Negative - Invalid</v>
      </c>
      <c r="Y496" s="7" t="n">
        <f aca="false">raw_data!Q496</f>
        <v>1712.78</v>
      </c>
      <c r="Z496" s="7" t="n">
        <f aca="false">raw_data!R496</f>
        <v>1569.38</v>
      </c>
      <c r="AA496" s="7" t="n">
        <f aca="false">raw_data!S496</f>
        <v>360.66</v>
      </c>
      <c r="AB496" s="3" t="str">
        <f aca="false">PROPER(TRIM(raw_data!T496))</f>
        <v>Failed</v>
      </c>
      <c r="AC496" s="3" t="str">
        <f aca="false">PROPER(TRIM(raw_data!U496))</f>
        <v>Cancelled</v>
      </c>
      <c r="AD496" s="7" t="n">
        <f aca="false">T496*U496*(1-W496)</f>
        <v>2276.9952</v>
      </c>
      <c r="AE496" s="7" t="n">
        <f aca="false">AD496-Z496</f>
        <v>707.6152</v>
      </c>
      <c r="AF496" s="8" t="n">
        <f aca="false">IF(AD496=0,0,AE496/AD496)</f>
        <v>0.310767102188006</v>
      </c>
      <c r="AG496" s="3" t="str">
        <f aca="false">IF(ABS(Y496-AD496)&gt;1,"Mismatch","OK")</f>
        <v>Mismatch</v>
      </c>
      <c r="AH496" s="3" t="str">
        <f aca="false">IF(ABS(AA496-AE496)&gt;1,"Mismatch","OK")</f>
        <v>Mismatch</v>
      </c>
      <c r="AI496" s="6" t="n">
        <f aca="false">IF(B496="","",MONTH(B496))</f>
        <v>11</v>
      </c>
      <c r="AJ496" s="6" t="n">
        <f aca="false">IF(B496="","",YEAR(B496))</f>
        <v>2024</v>
      </c>
      <c r="AK496" s="3" t="str">
        <f aca="false">IF(COUNTIF(raw_data!$A$2:$A$913,A496)&gt;1,"Conflicting Duplicate - Flagged for Review","Unique")</f>
        <v>Unique</v>
      </c>
      <c r="AL496" s="3" t="str">
        <f aca="false">IF(AB496="Refunded","Yes","No")</f>
        <v>No</v>
      </c>
      <c r="AM496" s="3" t="str">
        <f aca="false">IF(OR(AC496&lt;&gt;"Completed",AB496="Failed"),"Excluded","Included")</f>
        <v>Excluded</v>
      </c>
      <c r="AN496" s="3" t="str">
        <f aca="false">IF(OR(D496="Invalid/Unrecognized",E496="Invalid/Unrecognized",G496="Invalid - Ship Before Order",X496="Negative - Invalid",X496="Above Allowed Range - Invalid",AG496="Mismatch",AH496="Mismatch",AK496="Conflicting Duplicate - Flagged for Review"),"Invalid",IF(OR(L496="Filled - Unknown",S496="Filled - Unknown",X496="Missing - Defaulted to 0",AL496="Yes",AC496="Cancelled",AC496="Returned"),"Warning","Clean"))</f>
        <v>Invalid</v>
      </c>
    </row>
    <row r="497" customFormat="false" ht="15" hidden="false" customHeight="false" outlineLevel="0" collapsed="false">
      <c r="A497" s="3" t="str">
        <f aca="false">raw_data!A497</f>
        <v>ORD-2024-10496</v>
      </c>
      <c r="B497" s="4" t="n">
        <f aca="false">IFERROR(IF(MID(raw_data!B497,3,1)="/",DATE(VALUE(RIGHT(raw_data!B497,4)),VALUE(LEFT(raw_data!B497,2)),VALUE(MID(raw_data!B497,4,2))),IF(MID(raw_data!B497,3,1)="-",DATE(VALUE(RIGHT(raw_data!B497,4)),VALUE(MID(raw_data!B497,4,2)),VALUE(LEFT(raw_data!B497,2))),IF(MID(raw_data!B497,5,1)="-",DATE(VALUE(LEFT(raw_data!B497,4)),VALUE(MID(raw_data!B497,6,2)),VALUE(RIGHT(raw_data!B497,2))),DATE(VALUE(RIGHT(raw_data!B497,4)),MATCH(MID(raw_data!B497,4,3),{"Jan","Feb","Mar","Apr","May","Jun","Jul","Aug","Sep","Oct","Nov","Dec"},0),VALUE(LEFT(raw_data!B497,2)))))),"")</f>
        <v>45421</v>
      </c>
      <c r="C497" s="4" t="n">
        <f aca="false">IFERROR(IF(MID(raw_data!C497,3,1)="/",DATE(VALUE(RIGHT(raw_data!C497,4)),VALUE(LEFT(raw_data!C497,2)),VALUE(MID(raw_data!C497,4,2))),IF(MID(raw_data!C497,3,1)="-",DATE(VALUE(RIGHT(raw_data!C497,4)),VALUE(MID(raw_data!C497,4,2)),VALUE(LEFT(raw_data!C497,2))),IF(MID(raw_data!C497,5,1)="-",DATE(VALUE(LEFT(raw_data!C497,4)),VALUE(MID(raw_data!C497,6,2)),VALUE(RIGHT(raw_data!C497,2))),DATE(VALUE(RIGHT(raw_data!C497,4)),MATCH(MID(raw_data!C497,4,3),{"Jan","Feb","Mar","Apr","May","Jun","Jul","Aug","Sep","Oct","Nov","Dec"},0),VALUE(LEFT(raw_data!C497,2)))))),"")</f>
        <v>45427</v>
      </c>
      <c r="D497" s="3" t="str">
        <f aca="false">IF(TRIM(raw_data!B497)="","Missing",IF(B497="","Invalid/Unrecognized","Valid"))</f>
        <v>Valid</v>
      </c>
      <c r="E497" s="3" t="str">
        <f aca="false">IF(TRIM(raw_data!C497)="","Missing",IF(C497="","Invalid/Unrecognized","Valid"))</f>
        <v>Valid</v>
      </c>
      <c r="F497" s="5" t="n">
        <f aca="false">IF(OR(B497="",C497=""),"",C497-B497)</f>
        <v>6</v>
      </c>
      <c r="G497" s="3" t="str">
        <f aca="false">IF(F497="","N/A",IF(F497&lt;0,"Invalid - Ship Before Order","OK"))</f>
        <v>OK</v>
      </c>
      <c r="H497" s="3" t="str">
        <f aca="false">raw_data!D497</f>
        <v>CUST-9801</v>
      </c>
      <c r="I497" s="3" t="str">
        <f aca="false">PROPER(TRIM(raw_data!E497))</f>
        <v>Mira Das</v>
      </c>
      <c r="J497" s="3" t="str">
        <f aca="false">PROPER(TRIM(raw_data!F497))</f>
        <v>Small Business</v>
      </c>
      <c r="K497" s="3" t="str">
        <f aca="false">IF(TRIM(raw_data!G497)="","Unknown",PROPER(TRIM(raw_data!G497)))</f>
        <v>East</v>
      </c>
      <c r="L497" s="3" t="str">
        <f aca="false">IF(TRIM(raw_data!G497)="","Filled - Unknown","OK")</f>
        <v>OK</v>
      </c>
      <c r="M497" s="3" t="str">
        <f aca="false">PROPER(TRIM(raw_data!H497))</f>
        <v>Assam</v>
      </c>
      <c r="N497" s="3" t="str">
        <f aca="false">PROPER(TRIM(raw_data!I497))</f>
        <v>Guwahati</v>
      </c>
      <c r="O497" s="3" t="str">
        <f aca="false">PROPER(TRIM(raw_data!J497))</f>
        <v>Technology</v>
      </c>
      <c r="P497" s="3" t="str">
        <f aca="false">PROPER(TRIM(raw_data!K497))</f>
        <v>Phones</v>
      </c>
      <c r="Q497" s="3" t="str">
        <f aca="false">TRIM(raw_data!L497)</f>
        <v>Eco Phones 220</v>
      </c>
      <c r="R497" s="3" t="str">
        <f aca="false">IF(TRIM(raw_data!M497)="","Unknown",PROPER(TRIM(raw_data!M497)))</f>
        <v>Second Class</v>
      </c>
      <c r="S497" s="3" t="str">
        <f aca="false">IF(TRIM(raw_data!M497)="","Filled - Unknown","OK")</f>
        <v>OK</v>
      </c>
      <c r="T497" s="6" t="n">
        <f aca="false">raw_data!N497</f>
        <v>4</v>
      </c>
      <c r="U497" s="7" t="n">
        <f aca="false">raw_data!O497</f>
        <v>995.98</v>
      </c>
      <c r="V497" s="8" t="n">
        <f aca="false">raw_data!P497</f>
        <v>0.05</v>
      </c>
      <c r="W497" s="8" t="n">
        <f aca="false">IF(raw_data!P497="",0,IF(ISTEXT(raw_data!P497),IF(RIGHT(raw_data!P497,1)="%",VALUE(LEFT(raw_data!P497,LEN(raw_data!P497)-1))/100,VALUE(raw_data!P497)),raw_data!P497))</f>
        <v>0.05</v>
      </c>
      <c r="X497" s="3" t="str">
        <f aca="false">IF(raw_data!P497="","Missing - Defaulted to 0",IF(W497&lt;0,"Negative - Invalid",IF(W497&gt;0.3,"Above Allowed Range - Invalid","Valid")))</f>
        <v>Valid</v>
      </c>
      <c r="Y497" s="7" t="n">
        <f aca="false">raw_data!Q497</f>
        <v>3784.72</v>
      </c>
      <c r="Z497" s="7" t="n">
        <f aca="false">raw_data!R497</f>
        <v>2419.24</v>
      </c>
      <c r="AA497" s="7" t="n">
        <f aca="false">raw_data!S497</f>
        <v>1365.48</v>
      </c>
      <c r="AB497" s="3" t="str">
        <f aca="false">PROPER(TRIM(raw_data!T497))</f>
        <v>Refunded</v>
      </c>
      <c r="AC497" s="3" t="str">
        <f aca="false">PROPER(TRIM(raw_data!U497))</f>
        <v>Returned</v>
      </c>
      <c r="AD497" s="7" t="n">
        <f aca="false">T497*U497*(1-W497)</f>
        <v>3784.724</v>
      </c>
      <c r="AE497" s="7" t="n">
        <f aca="false">AD497-Z497</f>
        <v>1365.484</v>
      </c>
      <c r="AF497" s="8" t="n">
        <f aca="false">IF(AD497=0,0,AE497/AD497)</f>
        <v>0.360788263556339</v>
      </c>
      <c r="AG497" s="3" t="str">
        <f aca="false">IF(ABS(Y497-AD497)&gt;1,"Mismatch","OK")</f>
        <v>OK</v>
      </c>
      <c r="AH497" s="3" t="str">
        <f aca="false">IF(ABS(AA497-AE497)&gt;1,"Mismatch","OK")</f>
        <v>OK</v>
      </c>
      <c r="AI497" s="6" t="n">
        <f aca="false">IF(B497="","",MONTH(B497))</f>
        <v>5</v>
      </c>
      <c r="AJ497" s="6" t="n">
        <f aca="false">IF(B497="","",YEAR(B497))</f>
        <v>2024</v>
      </c>
      <c r="AK497" s="3" t="str">
        <f aca="false">IF(COUNTIF(raw_data!$A$2:$A$913,A497)&gt;1,"Conflicting Duplicate - Flagged for Review","Unique")</f>
        <v>Unique</v>
      </c>
      <c r="AL497" s="3" t="str">
        <f aca="false">IF(AB497="Refunded","Yes","No")</f>
        <v>Yes</v>
      </c>
      <c r="AM497" s="3" t="str">
        <f aca="false">IF(OR(AC497&lt;&gt;"Completed",AB497="Failed"),"Excluded","Included")</f>
        <v>Excluded</v>
      </c>
      <c r="AN497" s="3" t="str">
        <f aca="false">IF(OR(D497="Invalid/Unrecognized",E497="Invalid/Unrecognized",G497="Invalid - Ship Before Order",X497="Negative - Invalid",X497="Above Allowed Range - Invalid",AG497="Mismatch",AH497="Mismatch",AK497="Conflicting Duplicate - Flagged for Review"),"Invalid",IF(OR(L497="Filled - Unknown",S497="Filled - Unknown",X497="Missing - Defaulted to 0",AL497="Yes",AC497="Cancelled",AC497="Returned"),"Warning","Clean"))</f>
        <v>Warning</v>
      </c>
    </row>
    <row r="498" customFormat="false" ht="15" hidden="false" customHeight="false" outlineLevel="0" collapsed="false">
      <c r="A498" s="3" t="str">
        <f aca="false">raw_data!A498</f>
        <v>ORD-2025-10497</v>
      </c>
      <c r="B498" s="4" t="n">
        <f aca="false">IFERROR(IF(MID(raw_data!B498,3,1)="/",DATE(VALUE(RIGHT(raw_data!B498,4)),VALUE(LEFT(raw_data!B498,2)),VALUE(MID(raw_data!B498,4,2))),IF(MID(raw_data!B498,3,1)="-",DATE(VALUE(RIGHT(raw_data!B498,4)),VALUE(MID(raw_data!B498,4,2)),VALUE(LEFT(raw_data!B498,2))),IF(MID(raw_data!B498,5,1)="-",DATE(VALUE(LEFT(raw_data!B498,4)),VALUE(MID(raw_data!B498,6,2)),VALUE(RIGHT(raw_data!B498,2))),DATE(VALUE(RIGHT(raw_data!B498,4)),MATCH(MID(raw_data!B498,4,3),{"Jan","Feb","Mar","Apr","May","Jun","Jul","Aug","Sep","Oct","Nov","Dec"},0),VALUE(LEFT(raw_data!B498,2)))))),"")</f>
        <v>45842</v>
      </c>
      <c r="C498" s="4" t="n">
        <f aca="false">IFERROR(IF(MID(raw_data!C498,3,1)="/",DATE(VALUE(RIGHT(raw_data!C498,4)),VALUE(LEFT(raw_data!C498,2)),VALUE(MID(raw_data!C498,4,2))),IF(MID(raw_data!C498,3,1)="-",DATE(VALUE(RIGHT(raw_data!C498,4)),VALUE(MID(raw_data!C498,4,2)),VALUE(LEFT(raw_data!C498,2))),IF(MID(raw_data!C498,5,1)="-",DATE(VALUE(LEFT(raw_data!C498,4)),VALUE(MID(raw_data!C498,6,2)),VALUE(RIGHT(raw_data!C498,2))),DATE(VALUE(RIGHT(raw_data!C498,4)),MATCH(MID(raw_data!C498,4,3),{"Jan","Feb","Mar","Apr","May","Jun","Jul","Aug","Sep","Oct","Nov","Dec"},0),VALUE(LEFT(raw_data!C498,2)))))),"")</f>
        <v>45844</v>
      </c>
      <c r="D498" s="3" t="str">
        <f aca="false">IF(TRIM(raw_data!B498)="","Missing",IF(B498="","Invalid/Unrecognized","Valid"))</f>
        <v>Valid</v>
      </c>
      <c r="E498" s="3" t="str">
        <f aca="false">IF(TRIM(raw_data!C498)="","Missing",IF(C498="","Invalid/Unrecognized","Valid"))</f>
        <v>Valid</v>
      </c>
      <c r="F498" s="5" t="n">
        <f aca="false">IF(OR(B498="",C498=""),"",C498-B498)</f>
        <v>2</v>
      </c>
      <c r="G498" s="3" t="str">
        <f aca="false">IF(F498="","N/A",IF(F498&lt;0,"Invalid - Ship Before Order","OK"))</f>
        <v>OK</v>
      </c>
      <c r="H498" s="3" t="str">
        <f aca="false">raw_data!D498</f>
        <v>CUST-2038</v>
      </c>
      <c r="I498" s="3" t="str">
        <f aca="false">PROPER(TRIM(raw_data!E498))</f>
        <v>Kabir Singh</v>
      </c>
      <c r="J498" s="3" t="str">
        <f aca="false">PROPER(TRIM(raw_data!F498))</f>
        <v>Small Business</v>
      </c>
      <c r="K498" s="3" t="str">
        <f aca="false">IF(TRIM(raw_data!G498)="","Unknown",PROPER(TRIM(raw_data!G498)))</f>
        <v>East</v>
      </c>
      <c r="L498" s="3" t="str">
        <f aca="false">IF(TRIM(raw_data!G498)="","Filled - Unknown","OK")</f>
        <v>OK</v>
      </c>
      <c r="M498" s="3" t="str">
        <f aca="false">PROPER(TRIM(raw_data!H498))</f>
        <v>Jharkhand</v>
      </c>
      <c r="N498" s="3" t="str">
        <f aca="false">PROPER(TRIM(raw_data!I498))</f>
        <v>Ranchi</v>
      </c>
      <c r="O498" s="3" t="str">
        <f aca="false">PROPER(TRIM(raw_data!J498))</f>
        <v>Furniture</v>
      </c>
      <c r="P498" s="3" t="str">
        <f aca="false">PROPER(TRIM(raw_data!K498))</f>
        <v>Chairs</v>
      </c>
      <c r="Q498" s="3" t="str">
        <f aca="false">TRIM(raw_data!L498)</f>
        <v>Eco Chairs 795</v>
      </c>
      <c r="R498" s="3" t="str">
        <f aca="false">IF(TRIM(raw_data!M498)="","Unknown",PROPER(TRIM(raw_data!M498)))</f>
        <v>Second Class</v>
      </c>
      <c r="S498" s="3" t="str">
        <f aca="false">IF(TRIM(raw_data!M498)="","Filled - Unknown","OK")</f>
        <v>OK</v>
      </c>
      <c r="T498" s="6" t="n">
        <f aca="false">raw_data!N498</f>
        <v>2</v>
      </c>
      <c r="U498" s="7" t="n">
        <f aca="false">raw_data!O498</f>
        <v>3686.42</v>
      </c>
      <c r="V498" s="8" t="n">
        <f aca="false">raw_data!P498</f>
        <v>0.1</v>
      </c>
      <c r="W498" s="8" t="n">
        <f aca="false">IF(raw_data!P498="",0,IF(ISTEXT(raw_data!P498),IF(RIGHT(raw_data!P498,1)="%",VALUE(LEFT(raw_data!P498,LEN(raw_data!P498)-1))/100,VALUE(raw_data!P498)),raw_data!P498))</f>
        <v>0.1</v>
      </c>
      <c r="X498" s="3" t="str">
        <f aca="false">IF(raw_data!P498="","Missing - Defaulted to 0",IF(W498&lt;0,"Negative - Invalid",IF(W498&gt;0.3,"Above Allowed Range - Invalid","Valid")))</f>
        <v>Valid</v>
      </c>
      <c r="Y498" s="7" t="n">
        <f aca="false">raw_data!Q498</f>
        <v>6635.56</v>
      </c>
      <c r="Z498" s="7" t="n">
        <f aca="false">raw_data!R498</f>
        <v>3652.91</v>
      </c>
      <c r="AA498" s="7" t="n">
        <f aca="false">raw_data!S498</f>
        <v>2982.65</v>
      </c>
      <c r="AB498" s="3" t="str">
        <f aca="false">PROPER(TRIM(raw_data!T498))</f>
        <v>Paid</v>
      </c>
      <c r="AC498" s="3" t="str">
        <f aca="false">PROPER(TRIM(raw_data!U498))</f>
        <v>Completed</v>
      </c>
      <c r="AD498" s="7" t="n">
        <f aca="false">T498*U498*(1-W498)</f>
        <v>6635.556</v>
      </c>
      <c r="AE498" s="7" t="n">
        <f aca="false">AD498-Z498</f>
        <v>2982.646</v>
      </c>
      <c r="AF498" s="8" t="n">
        <f aca="false">IF(AD498=0,0,AE498/AD498)</f>
        <v>0.449494511085431</v>
      </c>
      <c r="AG498" s="3" t="str">
        <f aca="false">IF(ABS(Y498-AD498)&gt;1,"Mismatch","OK")</f>
        <v>OK</v>
      </c>
      <c r="AH498" s="3" t="str">
        <f aca="false">IF(ABS(AA498-AE498)&gt;1,"Mismatch","OK")</f>
        <v>OK</v>
      </c>
      <c r="AI498" s="6" t="n">
        <f aca="false">IF(B498="","",MONTH(B498))</f>
        <v>7</v>
      </c>
      <c r="AJ498" s="6" t="n">
        <f aca="false">IF(B498="","",YEAR(B498))</f>
        <v>2025</v>
      </c>
      <c r="AK498" s="3" t="str">
        <f aca="false">IF(COUNTIF(raw_data!$A$2:$A$913,A498)&gt;1,"Conflicting Duplicate - Flagged for Review","Unique")</f>
        <v>Unique</v>
      </c>
      <c r="AL498" s="3" t="str">
        <f aca="false">IF(AB498="Refunded","Yes","No")</f>
        <v>No</v>
      </c>
      <c r="AM498" s="3" t="str">
        <f aca="false">IF(OR(AC498&lt;&gt;"Completed",AB498="Failed"),"Excluded","Included")</f>
        <v>Included</v>
      </c>
      <c r="AN498" s="3" t="str">
        <f aca="false">IF(OR(D498="Invalid/Unrecognized",E498="Invalid/Unrecognized",G498="Invalid - Ship Before Order",X498="Negative - Invalid",X498="Above Allowed Range - Invalid",AG498="Mismatch",AH498="Mismatch",AK498="Conflicting Duplicate - Flagged for Review"),"Invalid",IF(OR(L498="Filled - Unknown",S498="Filled - Unknown",X498="Missing - Defaulted to 0",AL498="Yes",AC498="Cancelled",AC498="Returned"),"Warning","Clean"))</f>
        <v>Clean</v>
      </c>
    </row>
    <row r="499" customFormat="false" ht="15" hidden="false" customHeight="false" outlineLevel="0" collapsed="false">
      <c r="A499" s="3" t="str">
        <f aca="false">raw_data!A499</f>
        <v>ORD-2024-10498</v>
      </c>
      <c r="B499" s="4" t="n">
        <f aca="false">IFERROR(IF(MID(raw_data!B499,3,1)="/",DATE(VALUE(RIGHT(raw_data!B499,4)),VALUE(LEFT(raw_data!B499,2)),VALUE(MID(raw_data!B499,4,2))),IF(MID(raw_data!B499,3,1)="-",DATE(VALUE(RIGHT(raw_data!B499,4)),VALUE(MID(raw_data!B499,4,2)),VALUE(LEFT(raw_data!B499,2))),IF(MID(raw_data!B499,5,1)="-",DATE(VALUE(LEFT(raw_data!B499,4)),VALUE(MID(raw_data!B499,6,2)),VALUE(RIGHT(raw_data!B499,2))),DATE(VALUE(RIGHT(raw_data!B499,4)),MATCH(MID(raw_data!B499,4,3),{"Jan","Feb","Mar","Apr","May","Jun","Jul","Aug","Sep","Oct","Nov","Dec"},0),VALUE(LEFT(raw_data!B499,2)))))),"")</f>
        <v>45533</v>
      </c>
      <c r="C499" s="4" t="n">
        <f aca="false">IFERROR(IF(MID(raw_data!C499,3,1)="/",DATE(VALUE(RIGHT(raw_data!C499,4)),VALUE(LEFT(raw_data!C499,2)),VALUE(MID(raw_data!C499,4,2))),IF(MID(raw_data!C499,3,1)="-",DATE(VALUE(RIGHT(raw_data!C499,4)),VALUE(MID(raw_data!C499,4,2)),VALUE(LEFT(raw_data!C499,2))),IF(MID(raw_data!C499,5,1)="-",DATE(VALUE(LEFT(raw_data!C499,4)),VALUE(MID(raw_data!C499,6,2)),VALUE(RIGHT(raw_data!C499,2))),DATE(VALUE(RIGHT(raw_data!C499,4)),MATCH(MID(raw_data!C499,4,3),{"Jan","Feb","Mar","Apr","May","Jun","Jul","Aug","Sep","Oct","Nov","Dec"},0),VALUE(LEFT(raw_data!C499,2)))))),"")</f>
        <v>45533</v>
      </c>
      <c r="D499" s="3" t="str">
        <f aca="false">IF(TRIM(raw_data!B499)="","Missing",IF(B499="","Invalid/Unrecognized","Valid"))</f>
        <v>Valid</v>
      </c>
      <c r="E499" s="3" t="str">
        <f aca="false">IF(TRIM(raw_data!C499)="","Missing",IF(C499="","Invalid/Unrecognized","Valid"))</f>
        <v>Valid</v>
      </c>
      <c r="F499" s="5" t="n">
        <f aca="false">IF(OR(B499="",C499=""),"",C499-B499)</f>
        <v>0</v>
      </c>
      <c r="G499" s="3" t="str">
        <f aca="false">IF(F499="","N/A",IF(F499&lt;0,"Invalid - Ship Before Order","OK"))</f>
        <v>OK</v>
      </c>
      <c r="H499" s="3" t="str">
        <f aca="false">raw_data!D499</f>
        <v>CUST-1567</v>
      </c>
      <c r="I499" s="3" t="str">
        <f aca="false">PROPER(TRIM(raw_data!E499))</f>
        <v>Sneha Kapoor</v>
      </c>
      <c r="J499" s="3" t="str">
        <f aca="false">PROPER(TRIM(raw_data!F499))</f>
        <v>Small Business</v>
      </c>
      <c r="K499" s="3" t="str">
        <f aca="false">IF(TRIM(raw_data!G499)="","Unknown",PROPER(TRIM(raw_data!G499)))</f>
        <v>North</v>
      </c>
      <c r="L499" s="3" t="str">
        <f aca="false">IF(TRIM(raw_data!G499)="","Filled - Unknown","OK")</f>
        <v>OK</v>
      </c>
      <c r="M499" s="3" t="str">
        <f aca="false">PROPER(TRIM(raw_data!H499))</f>
        <v>Uttar Pradesh</v>
      </c>
      <c r="N499" s="3" t="str">
        <f aca="false">PROPER(TRIM(raw_data!I499))</f>
        <v>Noida</v>
      </c>
      <c r="O499" s="3" t="str">
        <f aca="false">PROPER(TRIM(raw_data!J499))</f>
        <v>Technology</v>
      </c>
      <c r="P499" s="3" t="str">
        <f aca="false">PROPER(TRIM(raw_data!K499))</f>
        <v>Accessories</v>
      </c>
      <c r="Q499" s="3" t="str">
        <f aca="false">TRIM(raw_data!L499)</f>
        <v>Smart Accessories 896</v>
      </c>
      <c r="R499" s="3" t="str">
        <f aca="false">IF(TRIM(raw_data!M499)="","Unknown",PROPER(TRIM(raw_data!M499)))</f>
        <v>Second Class</v>
      </c>
      <c r="S499" s="3" t="str">
        <f aca="false">IF(TRIM(raw_data!M499)="","Filled - Unknown","OK")</f>
        <v>OK</v>
      </c>
      <c r="T499" s="6" t="n">
        <f aca="false">raw_data!N499</f>
        <v>1</v>
      </c>
      <c r="U499" s="7" t="n">
        <f aca="false">raw_data!O499</f>
        <v>3106.88</v>
      </c>
      <c r="V499" s="8" t="n">
        <f aca="false">raw_data!P499</f>
        <v>0.2</v>
      </c>
      <c r="W499" s="8" t="n">
        <f aca="false">IF(raw_data!P499="",0,IF(ISTEXT(raw_data!P499),IF(RIGHT(raw_data!P499,1)="%",VALUE(LEFT(raw_data!P499,LEN(raw_data!P499)-1))/100,VALUE(raw_data!P499)),raw_data!P499))</f>
        <v>0.2</v>
      </c>
      <c r="X499" s="3" t="str">
        <f aca="false">IF(raw_data!P499="","Missing - Defaulted to 0",IF(W499&lt;0,"Negative - Invalid",IF(W499&gt;0.3,"Above Allowed Range - Invalid","Valid")))</f>
        <v>Valid</v>
      </c>
      <c r="Y499" s="7" t="n">
        <f aca="false">raw_data!Q499</f>
        <v>2485.5</v>
      </c>
      <c r="Z499" s="7" t="n">
        <f aca="false">raw_data!R499</f>
        <v>2028.43</v>
      </c>
      <c r="AA499" s="7" t="n">
        <f aca="false">raw_data!S499</f>
        <v>457.07</v>
      </c>
      <c r="AB499" s="3" t="str">
        <f aca="false">PROPER(TRIM(raw_data!T499))</f>
        <v>Paid</v>
      </c>
      <c r="AC499" s="3" t="str">
        <f aca="false">PROPER(TRIM(raw_data!U499))</f>
        <v>Cancelled</v>
      </c>
      <c r="AD499" s="7" t="n">
        <f aca="false">T499*U499*(1-W499)</f>
        <v>2485.504</v>
      </c>
      <c r="AE499" s="7" t="n">
        <f aca="false">AD499-Z499</f>
        <v>457.074</v>
      </c>
      <c r="AF499" s="8" t="n">
        <f aca="false">IF(AD499=0,0,AE499/AD499)</f>
        <v>0.183895901998146</v>
      </c>
      <c r="AG499" s="3" t="str">
        <f aca="false">IF(ABS(Y499-AD499)&gt;1,"Mismatch","OK")</f>
        <v>OK</v>
      </c>
      <c r="AH499" s="3" t="str">
        <f aca="false">IF(ABS(AA499-AE499)&gt;1,"Mismatch","OK")</f>
        <v>OK</v>
      </c>
      <c r="AI499" s="6" t="n">
        <f aca="false">IF(B499="","",MONTH(B499))</f>
        <v>8</v>
      </c>
      <c r="AJ499" s="6" t="n">
        <f aca="false">IF(B499="","",YEAR(B499))</f>
        <v>2024</v>
      </c>
      <c r="AK499" s="3" t="str">
        <f aca="false">IF(COUNTIF(raw_data!$A$2:$A$913,A499)&gt;1,"Conflicting Duplicate - Flagged for Review","Unique")</f>
        <v>Unique</v>
      </c>
      <c r="AL499" s="3" t="str">
        <f aca="false">IF(AB499="Refunded","Yes","No")</f>
        <v>No</v>
      </c>
      <c r="AM499" s="3" t="str">
        <f aca="false">IF(OR(AC499&lt;&gt;"Completed",AB499="Failed"),"Excluded","Included")</f>
        <v>Excluded</v>
      </c>
      <c r="AN499" s="3" t="str">
        <f aca="false">IF(OR(D499="Invalid/Unrecognized",E499="Invalid/Unrecognized",G499="Invalid - Ship Before Order",X499="Negative - Invalid",X499="Above Allowed Range - Invalid",AG499="Mismatch",AH499="Mismatch",AK499="Conflicting Duplicate - Flagged for Review"),"Invalid",IF(OR(L499="Filled - Unknown",S499="Filled - Unknown",X499="Missing - Defaulted to 0",AL499="Yes",AC499="Cancelled",AC499="Returned"),"Warning","Clean"))</f>
        <v>Warning</v>
      </c>
    </row>
    <row r="500" customFormat="false" ht="15" hidden="false" customHeight="false" outlineLevel="0" collapsed="false">
      <c r="A500" s="3" t="str">
        <f aca="false">raw_data!A500</f>
        <v>ORD-2025-10499</v>
      </c>
      <c r="B500" s="4" t="n">
        <f aca="false">IFERROR(IF(MID(raw_data!B500,3,1)="/",DATE(VALUE(RIGHT(raw_data!B500,4)),VALUE(LEFT(raw_data!B500,2)),VALUE(MID(raw_data!B500,4,2))),IF(MID(raw_data!B500,3,1)="-",DATE(VALUE(RIGHT(raw_data!B500,4)),VALUE(MID(raw_data!B500,4,2)),VALUE(LEFT(raw_data!B500,2))),IF(MID(raw_data!B500,5,1)="-",DATE(VALUE(LEFT(raw_data!B500,4)),VALUE(MID(raw_data!B500,6,2)),VALUE(RIGHT(raw_data!B500,2))),DATE(VALUE(RIGHT(raw_data!B500,4)),MATCH(MID(raw_data!B500,4,3),{"Jan","Feb","Mar","Apr","May","Jun","Jul","Aug","Sep","Oct","Nov","Dec"},0),VALUE(LEFT(raw_data!B500,2)))))),"")</f>
        <v>45907</v>
      </c>
      <c r="C500" s="4" t="n">
        <f aca="false">IFERROR(IF(MID(raw_data!C500,3,1)="/",DATE(VALUE(RIGHT(raw_data!C500,4)),VALUE(LEFT(raw_data!C500,2)),VALUE(MID(raw_data!C500,4,2))),IF(MID(raw_data!C500,3,1)="-",DATE(VALUE(RIGHT(raw_data!C500,4)),VALUE(MID(raw_data!C500,4,2)),VALUE(LEFT(raw_data!C500,2))),IF(MID(raw_data!C500,5,1)="-",DATE(VALUE(LEFT(raw_data!C500,4)),VALUE(MID(raw_data!C500,6,2)),VALUE(RIGHT(raw_data!C500,2))),DATE(VALUE(RIGHT(raw_data!C500,4)),MATCH(MID(raw_data!C500,4,3),{"Jan","Feb","Mar","Apr","May","Jun","Jul","Aug","Sep","Oct","Nov","Dec"},0),VALUE(LEFT(raw_data!C500,2)))))),"")</f>
        <v>45910</v>
      </c>
      <c r="D500" s="3" t="str">
        <f aca="false">IF(TRIM(raw_data!B500)="","Missing",IF(B500="","Invalid/Unrecognized","Valid"))</f>
        <v>Valid</v>
      </c>
      <c r="E500" s="3" t="str">
        <f aca="false">IF(TRIM(raw_data!C500)="","Missing",IF(C500="","Invalid/Unrecognized","Valid"))</f>
        <v>Valid</v>
      </c>
      <c r="F500" s="5" t="n">
        <f aca="false">IF(OR(B500="",C500=""),"",C500-B500)</f>
        <v>3</v>
      </c>
      <c r="G500" s="3" t="str">
        <f aca="false">IF(F500="","N/A",IF(F500&lt;0,"Invalid - Ship Before Order","OK"))</f>
        <v>OK</v>
      </c>
      <c r="H500" s="3" t="str">
        <f aca="false">raw_data!D500</f>
        <v>CUST-1190</v>
      </c>
      <c r="I500" s="3" t="str">
        <f aca="false">PROPER(TRIM(raw_data!E500))</f>
        <v>Karan Malhotra</v>
      </c>
      <c r="J500" s="3" t="str">
        <f aca="false">PROPER(TRIM(raw_data!F500))</f>
        <v>Consumer</v>
      </c>
      <c r="K500" s="3" t="str">
        <f aca="false">IF(TRIM(raw_data!G500)="","Unknown",PROPER(TRIM(raw_data!G500)))</f>
        <v>North</v>
      </c>
      <c r="L500" s="3" t="str">
        <f aca="false">IF(TRIM(raw_data!G500)="","Filled - Unknown","OK")</f>
        <v>OK</v>
      </c>
      <c r="M500" s="3" t="str">
        <f aca="false">PROPER(TRIM(raw_data!H500))</f>
        <v>Punjab</v>
      </c>
      <c r="N500" s="3" t="str">
        <f aca="false">PROPER(TRIM(raw_data!I500))</f>
        <v>Ludhiana</v>
      </c>
      <c r="O500" s="3" t="str">
        <f aca="false">PROPER(TRIM(raw_data!J500))</f>
        <v>Furniture</v>
      </c>
      <c r="P500" s="3" t="str">
        <f aca="false">PROPER(TRIM(raw_data!K500))</f>
        <v>Chairs</v>
      </c>
      <c r="Q500" s="3" t="str">
        <f aca="false">TRIM(raw_data!L500)</f>
        <v>Basic Chairs 255</v>
      </c>
      <c r="R500" s="3" t="str">
        <f aca="false">IF(TRIM(raw_data!M500)="","Unknown",PROPER(TRIM(raw_data!M500)))</f>
        <v>Same Day</v>
      </c>
      <c r="S500" s="3" t="str">
        <f aca="false">IF(TRIM(raw_data!M500)="","Filled - Unknown","OK")</f>
        <v>OK</v>
      </c>
      <c r="T500" s="6" t="n">
        <f aca="false">raw_data!N500</f>
        <v>2</v>
      </c>
      <c r="U500" s="7" t="n">
        <f aca="false">raw_data!O500</f>
        <v>447.55</v>
      </c>
      <c r="V500" s="8" t="n">
        <f aca="false">raw_data!P500</f>
        <v>0.05</v>
      </c>
      <c r="W500" s="8" t="n">
        <f aca="false">IF(raw_data!P500="",0,IF(ISTEXT(raw_data!P500),IF(RIGHT(raw_data!P500,1)="%",VALUE(LEFT(raw_data!P500,LEN(raw_data!P500)-1))/100,VALUE(raw_data!P500)),raw_data!P500))</f>
        <v>0.05</v>
      </c>
      <c r="X500" s="3" t="str">
        <f aca="false">IF(raw_data!P500="","Missing - Defaulted to 0",IF(W500&lt;0,"Negative - Invalid",IF(W500&gt;0.3,"Above Allowed Range - Invalid","Valid")))</f>
        <v>Valid</v>
      </c>
      <c r="Y500" s="7" t="n">
        <f aca="false">raw_data!Q500</f>
        <v>850.35</v>
      </c>
      <c r="Z500" s="7" t="n">
        <f aca="false">raw_data!R500</f>
        <v>600.98</v>
      </c>
      <c r="AA500" s="7" t="n">
        <f aca="false">raw_data!S500</f>
        <v>249.37</v>
      </c>
      <c r="AB500" s="3" t="str">
        <f aca="false">PROPER(TRIM(raw_data!T500))</f>
        <v>Refunded</v>
      </c>
      <c r="AC500" s="3" t="str">
        <f aca="false">PROPER(TRIM(raw_data!U500))</f>
        <v>Cancelled</v>
      </c>
      <c r="AD500" s="7" t="n">
        <f aca="false">T500*U500*(1-W500)</f>
        <v>850.345</v>
      </c>
      <c r="AE500" s="7" t="n">
        <f aca="false">AD500-Z500</f>
        <v>249.365</v>
      </c>
      <c r="AF500" s="8" t="n">
        <f aca="false">IF(AD500=0,0,AE500/AD500)</f>
        <v>0.293251562601062</v>
      </c>
      <c r="AG500" s="3" t="str">
        <f aca="false">IF(ABS(Y500-AD500)&gt;1,"Mismatch","OK")</f>
        <v>OK</v>
      </c>
      <c r="AH500" s="3" t="str">
        <f aca="false">IF(ABS(AA500-AE500)&gt;1,"Mismatch","OK")</f>
        <v>OK</v>
      </c>
      <c r="AI500" s="6" t="n">
        <f aca="false">IF(B500="","",MONTH(B500))</f>
        <v>9</v>
      </c>
      <c r="AJ500" s="6" t="n">
        <f aca="false">IF(B500="","",YEAR(B500))</f>
        <v>2025</v>
      </c>
      <c r="AK500" s="3" t="str">
        <f aca="false">IF(COUNTIF(raw_data!$A$2:$A$913,A500)&gt;1,"Conflicting Duplicate - Flagged for Review","Unique")</f>
        <v>Unique</v>
      </c>
      <c r="AL500" s="3" t="str">
        <f aca="false">IF(AB500="Refunded","Yes","No")</f>
        <v>Yes</v>
      </c>
      <c r="AM500" s="3" t="str">
        <f aca="false">IF(OR(AC500&lt;&gt;"Completed",AB500="Failed"),"Excluded","Included")</f>
        <v>Excluded</v>
      </c>
      <c r="AN500" s="3" t="str">
        <f aca="false">IF(OR(D500="Invalid/Unrecognized",E500="Invalid/Unrecognized",G500="Invalid - Ship Before Order",X500="Negative - Invalid",X500="Above Allowed Range - Invalid",AG500="Mismatch",AH500="Mismatch",AK500="Conflicting Duplicate - Flagged for Review"),"Invalid",IF(OR(L500="Filled - Unknown",S500="Filled - Unknown",X500="Missing - Defaulted to 0",AL500="Yes",AC500="Cancelled",AC500="Returned"),"Warning","Clean"))</f>
        <v>Warning</v>
      </c>
    </row>
    <row r="501" customFormat="false" ht="15" hidden="false" customHeight="false" outlineLevel="0" collapsed="false">
      <c r="A501" s="3" t="str">
        <f aca="false">raw_data!A501</f>
        <v>ORD-2024-10500</v>
      </c>
      <c r="B501" s="4" t="n">
        <f aca="false">IFERROR(IF(MID(raw_data!B501,3,1)="/",DATE(VALUE(RIGHT(raw_data!B501,4)),VALUE(LEFT(raw_data!B501,2)),VALUE(MID(raw_data!B501,4,2))),IF(MID(raw_data!B501,3,1)="-",DATE(VALUE(RIGHT(raw_data!B501,4)),VALUE(MID(raw_data!B501,4,2)),VALUE(LEFT(raw_data!B501,2))),IF(MID(raw_data!B501,5,1)="-",DATE(VALUE(LEFT(raw_data!B501,4)),VALUE(MID(raw_data!B501,6,2)),VALUE(RIGHT(raw_data!B501,2))),DATE(VALUE(RIGHT(raw_data!B501,4)),MATCH(MID(raw_data!B501,4,3),{"Jan","Feb","Mar","Apr","May","Jun","Jul","Aug","Sep","Oct","Nov","Dec"},0),VALUE(LEFT(raw_data!B501,2)))))),"")</f>
        <v>45648</v>
      </c>
      <c r="C501" s="4" t="n">
        <f aca="false">IFERROR(IF(MID(raw_data!C501,3,1)="/",DATE(VALUE(RIGHT(raw_data!C501,4)),VALUE(LEFT(raw_data!C501,2)),VALUE(MID(raw_data!C501,4,2))),IF(MID(raw_data!C501,3,1)="-",DATE(VALUE(RIGHT(raw_data!C501,4)),VALUE(MID(raw_data!C501,4,2)),VALUE(LEFT(raw_data!C501,2))),IF(MID(raw_data!C501,5,1)="-",DATE(VALUE(LEFT(raw_data!C501,4)),VALUE(MID(raw_data!C501,6,2)),VALUE(RIGHT(raw_data!C501,2))),DATE(VALUE(RIGHT(raw_data!C501,4)),MATCH(MID(raw_data!C501,4,3),{"Jan","Feb","Mar","Apr","May","Jun","Jul","Aug","Sep","Oct","Nov","Dec"},0),VALUE(LEFT(raw_data!C501,2)))))),"")</f>
        <v>45652</v>
      </c>
      <c r="D501" s="3" t="str">
        <f aca="false">IF(TRIM(raw_data!B501)="","Missing",IF(B501="","Invalid/Unrecognized","Valid"))</f>
        <v>Valid</v>
      </c>
      <c r="E501" s="3" t="str">
        <f aca="false">IF(TRIM(raw_data!C501)="","Missing",IF(C501="","Invalid/Unrecognized","Valid"))</f>
        <v>Valid</v>
      </c>
      <c r="F501" s="5" t="n">
        <f aca="false">IF(OR(B501="",C501=""),"",C501-B501)</f>
        <v>4</v>
      </c>
      <c r="G501" s="3" t="str">
        <f aca="false">IF(F501="","N/A",IF(F501&lt;0,"Invalid - Ship Before Order","OK"))</f>
        <v>OK</v>
      </c>
      <c r="H501" s="3" t="str">
        <f aca="false">raw_data!D501</f>
        <v>CUST-5604</v>
      </c>
      <c r="I501" s="3" t="str">
        <f aca="false">PROPER(TRIM(raw_data!E501))</f>
        <v>Rahul Verma</v>
      </c>
      <c r="J501" s="3" t="str">
        <f aca="false">PROPER(TRIM(raw_data!F501))</f>
        <v>Home Office</v>
      </c>
      <c r="K501" s="3" t="str">
        <f aca="false">IF(TRIM(raw_data!G501)="","Unknown",PROPER(TRIM(raw_data!G501)))</f>
        <v>North</v>
      </c>
      <c r="L501" s="3" t="str">
        <f aca="false">IF(TRIM(raw_data!G501)="","Filled - Unknown","OK")</f>
        <v>OK</v>
      </c>
      <c r="M501" s="3" t="str">
        <f aca="false">PROPER(TRIM(raw_data!H501))</f>
        <v>Uttar Pradesh</v>
      </c>
      <c r="N501" s="3" t="str">
        <f aca="false">PROPER(TRIM(raw_data!I501))</f>
        <v>Noida</v>
      </c>
      <c r="O501" s="3" t="str">
        <f aca="false">PROPER(TRIM(raw_data!J501))</f>
        <v>Furniture</v>
      </c>
      <c r="P501" s="3" t="str">
        <f aca="false">PROPER(TRIM(raw_data!K501))</f>
        <v>Chairs</v>
      </c>
      <c r="Q501" s="3" t="str">
        <f aca="false">TRIM(raw_data!L501)</f>
        <v>Eco Chairs 210</v>
      </c>
      <c r="R501" s="3" t="str">
        <f aca="false">IF(TRIM(raw_data!M501)="","Unknown",PROPER(TRIM(raw_data!M501)))</f>
        <v>Standard Class</v>
      </c>
      <c r="S501" s="3" t="str">
        <f aca="false">IF(TRIM(raw_data!M501)="","Filled - Unknown","OK")</f>
        <v>OK</v>
      </c>
      <c r="T501" s="6" t="n">
        <f aca="false">raw_data!N501</f>
        <v>9</v>
      </c>
      <c r="U501" s="7" t="n">
        <f aca="false">raw_data!O501</f>
        <v>1110.87</v>
      </c>
      <c r="V501" s="8" t="n">
        <f aca="false">raw_data!P501</f>
        <v>0</v>
      </c>
      <c r="W501" s="8" t="n">
        <f aca="false">IF(raw_data!P501="",0,IF(ISTEXT(raw_data!P501),IF(RIGHT(raw_data!P501,1)="%",VALUE(LEFT(raw_data!P501,LEN(raw_data!P501)-1))/100,VALUE(raw_data!P501)),raw_data!P501))</f>
        <v>0</v>
      </c>
      <c r="X501" s="3" t="str">
        <f aca="false">IF(raw_data!P501="","Missing - Defaulted to 0",IF(W501&lt;0,"Negative - Invalid",IF(W501&gt;0.3,"Above Allowed Range - Invalid","Valid")))</f>
        <v>Missing - Defaulted to 0</v>
      </c>
      <c r="Y501" s="7" t="n">
        <f aca="false">raw_data!Q501</f>
        <v>7498.37</v>
      </c>
      <c r="Z501" s="7" t="n">
        <f aca="false">raw_data!R501</f>
        <v>6059.07</v>
      </c>
      <c r="AA501" s="7" t="n">
        <f aca="false">raw_data!S501</f>
        <v>1439.3</v>
      </c>
      <c r="AB501" s="3" t="str">
        <f aca="false">PROPER(TRIM(raw_data!T501))</f>
        <v>Paid</v>
      </c>
      <c r="AC501" s="3" t="str">
        <f aca="false">PROPER(TRIM(raw_data!U501))</f>
        <v>Cancelled</v>
      </c>
      <c r="AD501" s="7" t="n">
        <f aca="false">T501*U501*(1-W501)</f>
        <v>9997.83</v>
      </c>
      <c r="AE501" s="7" t="n">
        <f aca="false">AD501-Z501</f>
        <v>3938.76</v>
      </c>
      <c r="AF501" s="8" t="n">
        <f aca="false">IF(AD501=0,0,AE501/AD501)</f>
        <v>0.393961489643253</v>
      </c>
      <c r="AG501" s="3" t="str">
        <f aca="false">IF(ABS(Y501-AD501)&gt;1,"Mismatch","OK")</f>
        <v>Mismatch</v>
      </c>
      <c r="AH501" s="3" t="str">
        <f aca="false">IF(ABS(AA501-AE501)&gt;1,"Mismatch","OK")</f>
        <v>Mismatch</v>
      </c>
      <c r="AI501" s="6" t="n">
        <f aca="false">IF(B501="","",MONTH(B501))</f>
        <v>12</v>
      </c>
      <c r="AJ501" s="6" t="n">
        <f aca="false">IF(B501="","",YEAR(B501))</f>
        <v>2024</v>
      </c>
      <c r="AK501" s="3" t="str">
        <f aca="false">IF(COUNTIF(raw_data!$A$2:$A$913,A501)&gt;1,"Conflicting Duplicate - Flagged for Review","Unique")</f>
        <v>Unique</v>
      </c>
      <c r="AL501" s="3" t="str">
        <f aca="false">IF(AB501="Refunded","Yes","No")</f>
        <v>No</v>
      </c>
      <c r="AM501" s="3" t="str">
        <f aca="false">IF(OR(AC501&lt;&gt;"Completed",AB501="Failed"),"Excluded","Included")</f>
        <v>Excluded</v>
      </c>
      <c r="AN501" s="3" t="str">
        <f aca="false">IF(OR(D501="Invalid/Unrecognized",E501="Invalid/Unrecognized",G501="Invalid - Ship Before Order",X501="Negative - Invalid",X501="Above Allowed Range - Invalid",AG501="Mismatch",AH501="Mismatch",AK501="Conflicting Duplicate - Flagged for Review"),"Invalid",IF(OR(L501="Filled - Unknown",S501="Filled - Unknown",X501="Missing - Defaulted to 0",AL501="Yes",AC501="Cancelled",AC501="Returned"),"Warning","Clean"))</f>
        <v>Invalid</v>
      </c>
    </row>
    <row r="502" customFormat="false" ht="15" hidden="false" customHeight="false" outlineLevel="0" collapsed="false">
      <c r="A502" s="3" t="str">
        <f aca="false">raw_data!A502</f>
        <v>ORD-2024-10501</v>
      </c>
      <c r="B502" s="4" t="n">
        <f aca="false">IFERROR(IF(MID(raw_data!B502,3,1)="/",DATE(VALUE(RIGHT(raw_data!B502,4)),VALUE(LEFT(raw_data!B502,2)),VALUE(MID(raw_data!B502,4,2))),IF(MID(raw_data!B502,3,1)="-",DATE(VALUE(RIGHT(raw_data!B502,4)),VALUE(MID(raw_data!B502,4,2)),VALUE(LEFT(raw_data!B502,2))),IF(MID(raw_data!B502,5,1)="-",DATE(VALUE(LEFT(raw_data!B502,4)),VALUE(MID(raw_data!B502,6,2)),VALUE(RIGHT(raw_data!B502,2))),DATE(VALUE(RIGHT(raw_data!B502,4)),MATCH(MID(raw_data!B502,4,3),{"Jan","Feb","Mar","Apr","May","Jun","Jul","Aug","Sep","Oct","Nov","Dec"},0),VALUE(LEFT(raw_data!B502,2)))))),"")</f>
        <v>45429</v>
      </c>
      <c r="C502" s="4" t="n">
        <f aca="false">IFERROR(IF(MID(raw_data!C502,3,1)="/",DATE(VALUE(RIGHT(raw_data!C502,4)),VALUE(LEFT(raw_data!C502,2)),VALUE(MID(raw_data!C502,4,2))),IF(MID(raw_data!C502,3,1)="-",DATE(VALUE(RIGHT(raw_data!C502,4)),VALUE(MID(raw_data!C502,4,2)),VALUE(LEFT(raw_data!C502,2))),IF(MID(raw_data!C502,5,1)="-",DATE(VALUE(LEFT(raw_data!C502,4)),VALUE(MID(raw_data!C502,6,2)),VALUE(RIGHT(raw_data!C502,2))),DATE(VALUE(RIGHT(raw_data!C502,4)),MATCH(MID(raw_data!C502,4,3),{"Jan","Feb","Mar","Apr","May","Jun","Jul","Aug","Sep","Oct","Nov","Dec"},0),VALUE(LEFT(raw_data!C502,2)))))),"")</f>
        <v>45434</v>
      </c>
      <c r="D502" s="3" t="str">
        <f aca="false">IF(TRIM(raw_data!B502)="","Missing",IF(B502="","Invalid/Unrecognized","Valid"))</f>
        <v>Valid</v>
      </c>
      <c r="E502" s="3" t="str">
        <f aca="false">IF(TRIM(raw_data!C502)="","Missing",IF(C502="","Invalid/Unrecognized","Valid"))</f>
        <v>Valid</v>
      </c>
      <c r="F502" s="5" t="n">
        <f aca="false">IF(OR(B502="",C502=""),"",C502-B502)</f>
        <v>5</v>
      </c>
      <c r="G502" s="3" t="str">
        <f aca="false">IF(F502="","N/A",IF(F502&lt;0,"Invalid - Ship Before Order","OK"))</f>
        <v>OK</v>
      </c>
      <c r="H502" s="3" t="str">
        <f aca="false">raw_data!D502</f>
        <v>CUST-7661</v>
      </c>
      <c r="I502" s="3" t="str">
        <f aca="false">PROPER(TRIM(raw_data!E502))</f>
        <v>Sneha Kapoor</v>
      </c>
      <c r="J502" s="3" t="str">
        <f aca="false">PROPER(TRIM(raw_data!F502))</f>
        <v>Consumer</v>
      </c>
      <c r="K502" s="3" t="str">
        <f aca="false">IF(TRIM(raw_data!G502)="","Unknown",PROPER(TRIM(raw_data!G502)))</f>
        <v>South</v>
      </c>
      <c r="L502" s="3" t="str">
        <f aca="false">IF(TRIM(raw_data!G502)="","Filled - Unknown","OK")</f>
        <v>OK</v>
      </c>
      <c r="M502" s="3" t="str">
        <f aca="false">PROPER(TRIM(raw_data!H502))</f>
        <v>Kerala</v>
      </c>
      <c r="N502" s="3" t="str">
        <f aca="false">PROPER(TRIM(raw_data!I502))</f>
        <v>Kochi</v>
      </c>
      <c r="O502" s="3" t="str">
        <f aca="false">PROPER(TRIM(raw_data!J502))</f>
        <v>Technology</v>
      </c>
      <c r="P502" s="3" t="str">
        <f aca="false">PROPER(TRIM(raw_data!K502))</f>
        <v>Phones</v>
      </c>
      <c r="Q502" s="3" t="str">
        <f aca="false">TRIM(raw_data!L502)</f>
        <v>Prime Phones 533</v>
      </c>
      <c r="R502" s="3" t="str">
        <f aca="false">IF(TRIM(raw_data!M502)="","Unknown",PROPER(TRIM(raw_data!M502)))</f>
        <v>Same Day</v>
      </c>
      <c r="S502" s="3" t="str">
        <f aca="false">IF(TRIM(raw_data!M502)="","Filled - Unknown","OK")</f>
        <v>OK</v>
      </c>
      <c r="T502" s="6" t="n">
        <f aca="false">raw_data!N502</f>
        <v>9</v>
      </c>
      <c r="U502" s="7" t="n">
        <f aca="false">raw_data!O502</f>
        <v>3795.99</v>
      </c>
      <c r="V502" s="8" t="str">
        <f aca="false">raw_data!P502</f>
        <v>85%</v>
      </c>
      <c r="W502" s="8" t="n">
        <f aca="false">IF(raw_data!P502="",0,IF(ISTEXT(raw_data!P502),IF(RIGHT(raw_data!P502,1)="%",VALUE(LEFT(raw_data!P502,LEN(raw_data!P502)-1))/100,VALUE(raw_data!P502)),raw_data!P502))</f>
        <v>0.85</v>
      </c>
      <c r="X502" s="3" t="str">
        <f aca="false">IF(raw_data!P502="","Missing - Defaulted to 0",IF(W502&lt;0,"Negative - Invalid",IF(W502&gt;0.3,"Above Allowed Range - Invalid","Valid")))</f>
        <v>Above Allowed Range - Invalid</v>
      </c>
      <c r="Y502" s="7" t="n">
        <f aca="false">raw_data!Q502</f>
        <v>34163.91</v>
      </c>
      <c r="Z502" s="7" t="n">
        <f aca="false">raw_data!R502</f>
        <v>28577.15</v>
      </c>
      <c r="AA502" s="7" t="n">
        <f aca="false">raw_data!S502</f>
        <v>5586.76</v>
      </c>
      <c r="AB502" s="3" t="str">
        <f aca="false">PROPER(TRIM(raw_data!T502))</f>
        <v>Paid</v>
      </c>
      <c r="AC502" s="3" t="str">
        <f aca="false">PROPER(TRIM(raw_data!U502))</f>
        <v>Completed</v>
      </c>
      <c r="AD502" s="7" t="n">
        <f aca="false">T502*U502*(1-W502)</f>
        <v>5124.5865</v>
      </c>
      <c r="AE502" s="7" t="n">
        <f aca="false">AD502-Z502</f>
        <v>-23452.5635</v>
      </c>
      <c r="AF502" s="8" t="n">
        <f aca="false">IF(AD502=0,0,AE502/AD502)</f>
        <v>-4.57647919495553</v>
      </c>
      <c r="AG502" s="3" t="str">
        <f aca="false">IF(ABS(Y502-AD502)&gt;1,"Mismatch","OK")</f>
        <v>Mismatch</v>
      </c>
      <c r="AH502" s="3" t="str">
        <f aca="false">IF(ABS(AA502-AE502)&gt;1,"Mismatch","OK")</f>
        <v>Mismatch</v>
      </c>
      <c r="AI502" s="6" t="n">
        <f aca="false">IF(B502="","",MONTH(B502))</f>
        <v>5</v>
      </c>
      <c r="AJ502" s="6" t="n">
        <f aca="false">IF(B502="","",YEAR(B502))</f>
        <v>2024</v>
      </c>
      <c r="AK502" s="3" t="str">
        <f aca="false">IF(COUNTIF(raw_data!$A$2:$A$913,A502)&gt;1,"Conflicting Duplicate - Flagged for Review","Unique")</f>
        <v>Unique</v>
      </c>
      <c r="AL502" s="3" t="str">
        <f aca="false">IF(AB502="Refunded","Yes","No")</f>
        <v>No</v>
      </c>
      <c r="AM502" s="3" t="str">
        <f aca="false">IF(OR(AC502&lt;&gt;"Completed",AB502="Failed"),"Excluded","Included")</f>
        <v>Included</v>
      </c>
      <c r="AN502" s="3" t="str">
        <f aca="false">IF(OR(D502="Invalid/Unrecognized",E502="Invalid/Unrecognized",G502="Invalid - Ship Before Order",X502="Negative - Invalid",X502="Above Allowed Range - Invalid",AG502="Mismatch",AH502="Mismatch",AK502="Conflicting Duplicate - Flagged for Review"),"Invalid",IF(OR(L502="Filled - Unknown",S502="Filled - Unknown",X502="Missing - Defaulted to 0",AL502="Yes",AC502="Cancelled",AC502="Returned"),"Warning","Clean"))</f>
        <v>Invalid</v>
      </c>
    </row>
    <row r="503" customFormat="false" ht="15" hidden="false" customHeight="false" outlineLevel="0" collapsed="false">
      <c r="A503" s="3" t="str">
        <f aca="false">raw_data!A503</f>
        <v>ORD-2024-10502</v>
      </c>
      <c r="B503" s="4" t="n">
        <f aca="false">IFERROR(IF(MID(raw_data!B503,3,1)="/",DATE(VALUE(RIGHT(raw_data!B503,4)),VALUE(LEFT(raw_data!B503,2)),VALUE(MID(raw_data!B503,4,2))),IF(MID(raw_data!B503,3,1)="-",DATE(VALUE(RIGHT(raw_data!B503,4)),VALUE(MID(raw_data!B503,4,2)),VALUE(LEFT(raw_data!B503,2))),IF(MID(raw_data!B503,5,1)="-",DATE(VALUE(LEFT(raw_data!B503,4)),VALUE(MID(raw_data!B503,6,2)),VALUE(RIGHT(raw_data!B503,2))),DATE(VALUE(RIGHT(raw_data!B503,4)),MATCH(MID(raw_data!B503,4,3),{"Jan","Feb","Mar","Apr","May","Jun","Jul","Aug","Sep","Oct","Nov","Dec"},0),VALUE(LEFT(raw_data!B503,2)))))),"")</f>
        <v>45515</v>
      </c>
      <c r="C503" s="4" t="n">
        <f aca="false">IFERROR(IF(MID(raw_data!C503,3,1)="/",DATE(VALUE(RIGHT(raw_data!C503,4)),VALUE(LEFT(raw_data!C503,2)),VALUE(MID(raw_data!C503,4,2))),IF(MID(raw_data!C503,3,1)="-",DATE(VALUE(RIGHT(raw_data!C503,4)),VALUE(MID(raw_data!C503,4,2)),VALUE(LEFT(raw_data!C503,2))),IF(MID(raw_data!C503,5,1)="-",DATE(VALUE(LEFT(raw_data!C503,4)),VALUE(MID(raw_data!C503,6,2)),VALUE(RIGHT(raw_data!C503,2))),DATE(VALUE(RIGHT(raw_data!C503,4)),MATCH(MID(raw_data!C503,4,3),{"Jan","Feb","Mar","Apr","May","Jun","Jul","Aug","Sep","Oct","Nov","Dec"},0),VALUE(LEFT(raw_data!C503,2)))))),"")</f>
        <v>45521</v>
      </c>
      <c r="D503" s="3" t="str">
        <f aca="false">IF(TRIM(raw_data!B503)="","Missing",IF(B503="","Invalid/Unrecognized","Valid"))</f>
        <v>Valid</v>
      </c>
      <c r="E503" s="3" t="str">
        <f aca="false">IF(TRIM(raw_data!C503)="","Missing",IF(C503="","Invalid/Unrecognized","Valid"))</f>
        <v>Valid</v>
      </c>
      <c r="F503" s="5" t="n">
        <f aca="false">IF(OR(B503="",C503=""),"",C503-B503)</f>
        <v>6</v>
      </c>
      <c r="G503" s="3" t="str">
        <f aca="false">IF(F503="","N/A",IF(F503&lt;0,"Invalid - Ship Before Order","OK"))</f>
        <v>OK</v>
      </c>
      <c r="H503" s="3" t="str">
        <f aca="false">raw_data!D503</f>
        <v>CUST-3710</v>
      </c>
      <c r="I503" s="3" t="str">
        <f aca="false">PROPER(TRIM(raw_data!E503))</f>
        <v>Neha Gupta</v>
      </c>
      <c r="J503" s="3" t="str">
        <f aca="false">PROPER(TRIM(raw_data!F503))</f>
        <v>Consumer</v>
      </c>
      <c r="K503" s="3" t="str">
        <f aca="false">IF(TRIM(raw_data!G503)="","Unknown",PROPER(TRIM(raw_data!G503)))</f>
        <v>East</v>
      </c>
      <c r="L503" s="3" t="str">
        <f aca="false">IF(TRIM(raw_data!G503)="","Filled - Unknown","OK")</f>
        <v>OK</v>
      </c>
      <c r="M503" s="3" t="str">
        <f aca="false">PROPER(TRIM(raw_data!H503))</f>
        <v>Jharkhand</v>
      </c>
      <c r="N503" s="3" t="str">
        <f aca="false">PROPER(TRIM(raw_data!I503))</f>
        <v>Ranchi</v>
      </c>
      <c r="O503" s="3" t="str">
        <f aca="false">PROPER(TRIM(raw_data!J503))</f>
        <v>Office Supplies</v>
      </c>
      <c r="P503" s="3" t="str">
        <f aca="false">PROPER(TRIM(raw_data!K503))</f>
        <v>Art</v>
      </c>
      <c r="Q503" s="3" t="str">
        <f aca="false">TRIM(raw_data!L503)</f>
        <v>Elite Art 325</v>
      </c>
      <c r="R503" s="3" t="str">
        <f aca="false">IF(TRIM(raw_data!M503)="","Unknown",PROPER(TRIM(raw_data!M503)))</f>
        <v>Second Class</v>
      </c>
      <c r="S503" s="3" t="str">
        <f aca="false">IF(TRIM(raw_data!M503)="","Filled - Unknown","OK")</f>
        <v>OK</v>
      </c>
      <c r="T503" s="6" t="n">
        <f aca="false">raw_data!N503</f>
        <v>6</v>
      </c>
      <c r="U503" s="7" t="n">
        <f aca="false">raw_data!O503</f>
        <v>3497.54</v>
      </c>
      <c r="V503" s="8" t="n">
        <f aca="false">raw_data!P503</f>
        <v>0.15</v>
      </c>
      <c r="W503" s="8" t="n">
        <f aca="false">IF(raw_data!P503="",0,IF(ISTEXT(raw_data!P503),IF(RIGHT(raw_data!P503,1)="%",VALUE(LEFT(raw_data!P503,LEN(raw_data!P503)-1))/100,VALUE(raw_data!P503)),raw_data!P503))</f>
        <v>0.15</v>
      </c>
      <c r="X503" s="3" t="str">
        <f aca="false">IF(raw_data!P503="","Missing - Defaulted to 0",IF(W503&lt;0,"Negative - Invalid",IF(W503&gt;0.3,"Above Allowed Range - Invalid","Valid")))</f>
        <v>Valid</v>
      </c>
      <c r="Y503" s="7" t="n">
        <f aca="false">raw_data!Q503</f>
        <v>17837.45</v>
      </c>
      <c r="Z503" s="7" t="n">
        <f aca="false">raw_data!R503</f>
        <v>13627.02</v>
      </c>
      <c r="AA503" s="7" t="n">
        <f aca="false">raw_data!S503</f>
        <v>4210.43</v>
      </c>
      <c r="AB503" s="3" t="str">
        <f aca="false">PROPER(TRIM(raw_data!T503))</f>
        <v>Paid</v>
      </c>
      <c r="AC503" s="3" t="str">
        <f aca="false">PROPER(TRIM(raw_data!U503))</f>
        <v>Completed</v>
      </c>
      <c r="AD503" s="7" t="n">
        <f aca="false">T503*U503*(1-W503)</f>
        <v>17837.454</v>
      </c>
      <c r="AE503" s="7" t="n">
        <f aca="false">AD503-Z503</f>
        <v>4210.434</v>
      </c>
      <c r="AF503" s="8" t="n">
        <f aca="false">IF(AD503=0,0,AE503/AD503)</f>
        <v>0.236044561067964</v>
      </c>
      <c r="AG503" s="3" t="str">
        <f aca="false">IF(ABS(Y503-AD503)&gt;1,"Mismatch","OK")</f>
        <v>OK</v>
      </c>
      <c r="AH503" s="3" t="str">
        <f aca="false">IF(ABS(AA503-AE503)&gt;1,"Mismatch","OK")</f>
        <v>OK</v>
      </c>
      <c r="AI503" s="6" t="n">
        <f aca="false">IF(B503="","",MONTH(B503))</f>
        <v>8</v>
      </c>
      <c r="AJ503" s="6" t="n">
        <f aca="false">IF(B503="","",YEAR(B503))</f>
        <v>2024</v>
      </c>
      <c r="AK503" s="3" t="str">
        <f aca="false">IF(COUNTIF(raw_data!$A$2:$A$913,A503)&gt;1,"Conflicting Duplicate - Flagged for Review","Unique")</f>
        <v>Unique</v>
      </c>
      <c r="AL503" s="3" t="str">
        <f aca="false">IF(AB503="Refunded","Yes","No")</f>
        <v>No</v>
      </c>
      <c r="AM503" s="3" t="str">
        <f aca="false">IF(OR(AC503&lt;&gt;"Completed",AB503="Failed"),"Excluded","Included")</f>
        <v>Included</v>
      </c>
      <c r="AN503" s="3" t="str">
        <f aca="false">IF(OR(D503="Invalid/Unrecognized",E503="Invalid/Unrecognized",G503="Invalid - Ship Before Order",X503="Negative - Invalid",X503="Above Allowed Range - Invalid",AG503="Mismatch",AH503="Mismatch",AK503="Conflicting Duplicate - Flagged for Review"),"Invalid",IF(OR(L503="Filled - Unknown",S503="Filled - Unknown",X503="Missing - Defaulted to 0",AL503="Yes",AC503="Cancelled",AC503="Returned"),"Warning","Clean"))</f>
        <v>Clean</v>
      </c>
    </row>
    <row r="504" customFormat="false" ht="15" hidden="false" customHeight="false" outlineLevel="0" collapsed="false">
      <c r="A504" s="3" t="str">
        <f aca="false">raw_data!A504</f>
        <v>ORD-2024-10503</v>
      </c>
      <c r="B504" s="4" t="n">
        <f aca="false">IFERROR(IF(MID(raw_data!B504,3,1)="/",DATE(VALUE(RIGHT(raw_data!B504,4)),VALUE(LEFT(raw_data!B504,2)),VALUE(MID(raw_data!B504,4,2))),IF(MID(raw_data!B504,3,1)="-",DATE(VALUE(RIGHT(raw_data!B504,4)),VALUE(MID(raw_data!B504,4,2)),VALUE(LEFT(raw_data!B504,2))),IF(MID(raw_data!B504,5,1)="-",DATE(VALUE(LEFT(raw_data!B504,4)),VALUE(MID(raw_data!B504,6,2)),VALUE(RIGHT(raw_data!B504,2))),DATE(VALUE(RIGHT(raw_data!B504,4)),MATCH(MID(raw_data!B504,4,3),{"Jan","Feb","Mar","Apr","May","Jun","Jul","Aug","Sep","Oct","Nov","Dec"},0),VALUE(LEFT(raw_data!B504,2)))))),"")</f>
        <v>45383</v>
      </c>
      <c r="C504" s="4" t="n">
        <f aca="false">IFERROR(IF(MID(raw_data!C504,3,1)="/",DATE(VALUE(RIGHT(raw_data!C504,4)),VALUE(LEFT(raw_data!C504,2)),VALUE(MID(raw_data!C504,4,2))),IF(MID(raw_data!C504,3,1)="-",DATE(VALUE(RIGHT(raw_data!C504,4)),VALUE(MID(raw_data!C504,4,2)),VALUE(LEFT(raw_data!C504,2))),IF(MID(raw_data!C504,5,1)="-",DATE(VALUE(LEFT(raw_data!C504,4)),VALUE(MID(raw_data!C504,6,2)),VALUE(RIGHT(raw_data!C504,2))),DATE(VALUE(RIGHT(raw_data!C504,4)),MATCH(MID(raw_data!C504,4,3),{"Jan","Feb","Mar","Apr","May","Jun","Jul","Aug","Sep","Oct","Nov","Dec"},0),VALUE(LEFT(raw_data!C504,2)))))),"")</f>
        <v>45391</v>
      </c>
      <c r="D504" s="3" t="str">
        <f aca="false">IF(TRIM(raw_data!B504)="","Missing",IF(B504="","Invalid/Unrecognized","Valid"))</f>
        <v>Valid</v>
      </c>
      <c r="E504" s="3" t="str">
        <f aca="false">IF(TRIM(raw_data!C504)="","Missing",IF(C504="","Invalid/Unrecognized","Valid"))</f>
        <v>Valid</v>
      </c>
      <c r="F504" s="5" t="n">
        <f aca="false">IF(OR(B504="",C504=""),"",C504-B504)</f>
        <v>8</v>
      </c>
      <c r="G504" s="3" t="str">
        <f aca="false">IF(F504="","N/A",IF(F504&lt;0,"Invalid - Ship Before Order","OK"))</f>
        <v>OK</v>
      </c>
      <c r="H504" s="3" t="str">
        <f aca="false">raw_data!D504</f>
        <v>CUST-1534</v>
      </c>
      <c r="I504" s="3" t="str">
        <f aca="false">PROPER(TRIM(raw_data!E504))</f>
        <v>Priya Menon</v>
      </c>
      <c r="J504" s="3" t="str">
        <f aca="false">PROPER(TRIM(raw_data!F504))</f>
        <v>Small Business</v>
      </c>
      <c r="K504" s="3" t="str">
        <f aca="false">IF(TRIM(raw_data!G504)="","Unknown",PROPER(TRIM(raw_data!G504)))</f>
        <v>East</v>
      </c>
      <c r="L504" s="3" t="str">
        <f aca="false">IF(TRIM(raw_data!G504)="","Filled - Unknown","OK")</f>
        <v>OK</v>
      </c>
      <c r="M504" s="3" t="str">
        <f aca="false">PROPER(TRIM(raw_data!H504))</f>
        <v>Odisha</v>
      </c>
      <c r="N504" s="3" t="str">
        <f aca="false">PROPER(TRIM(raw_data!I504))</f>
        <v>Bhubaneswar</v>
      </c>
      <c r="O504" s="3" t="str">
        <f aca="false">PROPER(TRIM(raw_data!J504))</f>
        <v>Technology</v>
      </c>
      <c r="P504" s="3" t="str">
        <f aca="false">PROPER(TRIM(raw_data!K504))</f>
        <v>Copiers</v>
      </c>
      <c r="Q504" s="3" t="str">
        <f aca="false">TRIM(raw_data!L504)</f>
        <v>Prime Copiers 557</v>
      </c>
      <c r="R504" s="3" t="str">
        <f aca="false">IF(TRIM(raw_data!M504)="","Unknown",PROPER(TRIM(raw_data!M504)))</f>
        <v>Second Class</v>
      </c>
      <c r="S504" s="3" t="str">
        <f aca="false">IF(TRIM(raw_data!M504)="","Filled - Unknown","OK")</f>
        <v>OK</v>
      </c>
      <c r="T504" s="6" t="n">
        <f aca="false">raw_data!N504</f>
        <v>6</v>
      </c>
      <c r="U504" s="7" t="n">
        <f aca="false">raw_data!O504</f>
        <v>826.93</v>
      </c>
      <c r="V504" s="8" t="n">
        <f aca="false">raw_data!P504</f>
        <v>0.1</v>
      </c>
      <c r="W504" s="8" t="n">
        <f aca="false">IF(raw_data!P504="",0,IF(ISTEXT(raw_data!P504),IF(RIGHT(raw_data!P504,1)="%",VALUE(LEFT(raw_data!P504,LEN(raw_data!P504)-1))/100,VALUE(raw_data!P504)),raw_data!P504))</f>
        <v>0.1</v>
      </c>
      <c r="X504" s="3" t="str">
        <f aca="false">IF(raw_data!P504="","Missing - Defaulted to 0",IF(W504&lt;0,"Negative - Invalid",IF(W504&gt;0.3,"Above Allowed Range - Invalid","Valid")))</f>
        <v>Valid</v>
      </c>
      <c r="Y504" s="7" t="n">
        <f aca="false">raw_data!Q504</f>
        <v>4465.42</v>
      </c>
      <c r="Z504" s="7" t="n">
        <f aca="false">raw_data!R504</f>
        <v>3377.1</v>
      </c>
      <c r="AA504" s="7" t="n">
        <f aca="false">raw_data!S504</f>
        <v>1088.32</v>
      </c>
      <c r="AB504" s="3" t="str">
        <f aca="false">PROPER(TRIM(raw_data!T504))</f>
        <v>Paid</v>
      </c>
      <c r="AC504" s="3" t="str">
        <f aca="false">PROPER(TRIM(raw_data!U504))</f>
        <v>Completed</v>
      </c>
      <c r="AD504" s="7" t="n">
        <f aca="false">T504*U504*(1-W504)</f>
        <v>4465.422</v>
      </c>
      <c r="AE504" s="7" t="n">
        <f aca="false">AD504-Z504</f>
        <v>1088.322</v>
      </c>
      <c r="AF504" s="8" t="n">
        <f aca="false">IF(AD504=0,0,AE504/AD504)</f>
        <v>0.243722093902883</v>
      </c>
      <c r="AG504" s="3" t="str">
        <f aca="false">IF(ABS(Y504-AD504)&gt;1,"Mismatch","OK")</f>
        <v>OK</v>
      </c>
      <c r="AH504" s="3" t="str">
        <f aca="false">IF(ABS(AA504-AE504)&gt;1,"Mismatch","OK")</f>
        <v>OK</v>
      </c>
      <c r="AI504" s="6" t="n">
        <f aca="false">IF(B504="","",MONTH(B504))</f>
        <v>4</v>
      </c>
      <c r="AJ504" s="6" t="n">
        <f aca="false">IF(B504="","",YEAR(B504))</f>
        <v>2024</v>
      </c>
      <c r="AK504" s="3" t="str">
        <f aca="false">IF(COUNTIF(raw_data!$A$2:$A$913,A504)&gt;1,"Conflicting Duplicate - Flagged for Review","Unique")</f>
        <v>Unique</v>
      </c>
      <c r="AL504" s="3" t="str">
        <f aca="false">IF(AB504="Refunded","Yes","No")</f>
        <v>No</v>
      </c>
      <c r="AM504" s="3" t="str">
        <f aca="false">IF(OR(AC504&lt;&gt;"Completed",AB504="Failed"),"Excluded","Included")</f>
        <v>Included</v>
      </c>
      <c r="AN504" s="3" t="str">
        <f aca="false">IF(OR(D504="Invalid/Unrecognized",E504="Invalid/Unrecognized",G504="Invalid - Ship Before Order",X504="Negative - Invalid",X504="Above Allowed Range - Invalid",AG504="Mismatch",AH504="Mismatch",AK504="Conflicting Duplicate - Flagged for Review"),"Invalid",IF(OR(L504="Filled - Unknown",S504="Filled - Unknown",X504="Missing - Defaulted to 0",AL504="Yes",AC504="Cancelled",AC504="Returned"),"Warning","Clean"))</f>
        <v>Clean</v>
      </c>
    </row>
    <row r="505" customFormat="false" ht="15" hidden="false" customHeight="false" outlineLevel="0" collapsed="false">
      <c r="A505" s="3" t="str">
        <f aca="false">raw_data!A505</f>
        <v>ORD-2024-10504</v>
      </c>
      <c r="B505" s="4" t="n">
        <f aca="false">IFERROR(IF(MID(raw_data!B505,3,1)="/",DATE(VALUE(RIGHT(raw_data!B505,4)),VALUE(LEFT(raw_data!B505,2)),VALUE(MID(raw_data!B505,4,2))),IF(MID(raw_data!B505,3,1)="-",DATE(VALUE(RIGHT(raw_data!B505,4)),VALUE(MID(raw_data!B505,4,2)),VALUE(LEFT(raw_data!B505,2))),IF(MID(raw_data!B505,5,1)="-",DATE(VALUE(LEFT(raw_data!B505,4)),VALUE(MID(raw_data!B505,6,2)),VALUE(RIGHT(raw_data!B505,2))),DATE(VALUE(RIGHT(raw_data!B505,4)),MATCH(MID(raw_data!B505,4,3),{"Jan","Feb","Mar","Apr","May","Jun","Jul","Aug","Sep","Oct","Nov","Dec"},0),VALUE(LEFT(raw_data!B505,2)))))),"")</f>
        <v>45563</v>
      </c>
      <c r="C505" s="4" t="n">
        <f aca="false">IFERROR(IF(MID(raw_data!C505,3,1)="/",DATE(VALUE(RIGHT(raw_data!C505,4)),VALUE(LEFT(raw_data!C505,2)),VALUE(MID(raw_data!C505,4,2))),IF(MID(raw_data!C505,3,1)="-",DATE(VALUE(RIGHT(raw_data!C505,4)),VALUE(MID(raw_data!C505,4,2)),VALUE(LEFT(raw_data!C505,2))),IF(MID(raw_data!C505,5,1)="-",DATE(VALUE(LEFT(raw_data!C505,4)),VALUE(MID(raw_data!C505,6,2)),VALUE(RIGHT(raw_data!C505,2))),DATE(VALUE(RIGHT(raw_data!C505,4)),MATCH(MID(raw_data!C505,4,3),{"Jan","Feb","Mar","Apr","May","Jun","Jul","Aug","Sep","Oct","Nov","Dec"},0),VALUE(LEFT(raw_data!C505,2)))))),"")</f>
        <v>45570</v>
      </c>
      <c r="D505" s="3" t="str">
        <f aca="false">IF(TRIM(raw_data!B505)="","Missing",IF(B505="","Invalid/Unrecognized","Valid"))</f>
        <v>Valid</v>
      </c>
      <c r="E505" s="3" t="str">
        <f aca="false">IF(TRIM(raw_data!C505)="","Missing",IF(C505="","Invalid/Unrecognized","Valid"))</f>
        <v>Valid</v>
      </c>
      <c r="F505" s="5" t="n">
        <f aca="false">IF(OR(B505="",C505=""),"",C505-B505)</f>
        <v>7</v>
      </c>
      <c r="G505" s="3" t="str">
        <f aca="false">IF(F505="","N/A",IF(F505&lt;0,"Invalid - Ship Before Order","OK"))</f>
        <v>OK</v>
      </c>
      <c r="H505" s="3" t="str">
        <f aca="false">raw_data!D505</f>
        <v>CUST-7422</v>
      </c>
      <c r="I505" s="3" t="str">
        <f aca="false">PROPER(TRIM(raw_data!E505))</f>
        <v>Aarav Sharma</v>
      </c>
      <c r="J505" s="3" t="str">
        <f aca="false">PROPER(TRIM(raw_data!F505))</f>
        <v>Consumer</v>
      </c>
      <c r="K505" s="3" t="str">
        <f aca="false">IF(TRIM(raw_data!G505)="","Unknown",PROPER(TRIM(raw_data!G505)))</f>
        <v>South</v>
      </c>
      <c r="L505" s="3" t="str">
        <f aca="false">IF(TRIM(raw_data!G505)="","Filled - Unknown","OK")</f>
        <v>OK</v>
      </c>
      <c r="M505" s="3" t="str">
        <f aca="false">PROPER(TRIM(raw_data!H505))</f>
        <v>Tamil Nadu</v>
      </c>
      <c r="N505" s="3" t="str">
        <f aca="false">PROPER(TRIM(raw_data!I505))</f>
        <v>Chennai</v>
      </c>
      <c r="O505" s="3" t="str">
        <f aca="false">PROPER(TRIM(raw_data!J505))</f>
        <v>Technology</v>
      </c>
      <c r="P505" s="3" t="str">
        <f aca="false">PROPER(TRIM(raw_data!K505))</f>
        <v>Phones</v>
      </c>
      <c r="Q505" s="3" t="str">
        <f aca="false">TRIM(raw_data!L505)</f>
        <v>Smart Phones 674</v>
      </c>
      <c r="R505" s="3" t="str">
        <f aca="false">IF(TRIM(raw_data!M505)="","Unknown",PROPER(TRIM(raw_data!M505)))</f>
        <v>Standard Class</v>
      </c>
      <c r="S505" s="3" t="str">
        <f aca="false">IF(TRIM(raw_data!M505)="","Filled - Unknown","OK")</f>
        <v>OK</v>
      </c>
      <c r="T505" s="6" t="n">
        <f aca="false">raw_data!N505</f>
        <v>7</v>
      </c>
      <c r="U505" s="7" t="n">
        <f aca="false">raw_data!O505</f>
        <v>1681.6</v>
      </c>
      <c r="V505" s="8" t="n">
        <f aca="false">raw_data!P505</f>
        <v>0.1</v>
      </c>
      <c r="W505" s="8" t="n">
        <f aca="false">IF(raw_data!P505="",0,IF(ISTEXT(raw_data!P505),IF(RIGHT(raw_data!P505,1)="%",VALUE(LEFT(raw_data!P505,LEN(raw_data!P505)-1))/100,VALUE(raw_data!P505)),raw_data!P505))</f>
        <v>0.1</v>
      </c>
      <c r="X505" s="3" t="str">
        <f aca="false">IF(raw_data!P505="","Missing - Defaulted to 0",IF(W505&lt;0,"Negative - Invalid",IF(W505&gt;0.3,"Above Allowed Range - Invalid","Valid")))</f>
        <v>Valid</v>
      </c>
      <c r="Y505" s="7" t="n">
        <f aca="false">raw_data!Q505</f>
        <v>10594.08</v>
      </c>
      <c r="Z505" s="7" t="n">
        <f aca="false">raw_data!R505</f>
        <v>7160.31</v>
      </c>
      <c r="AA505" s="7" t="n">
        <f aca="false">raw_data!S505</f>
        <v>3433.77</v>
      </c>
      <c r="AB505" s="3" t="str">
        <f aca="false">PROPER(TRIM(raw_data!T505))</f>
        <v>Paid</v>
      </c>
      <c r="AC505" s="3" t="str">
        <f aca="false">PROPER(TRIM(raw_data!U505))</f>
        <v>Completed</v>
      </c>
      <c r="AD505" s="7" t="n">
        <f aca="false">T505*U505*(1-W505)</f>
        <v>10594.08</v>
      </c>
      <c r="AE505" s="7" t="n">
        <f aca="false">AD505-Z505</f>
        <v>3433.77</v>
      </c>
      <c r="AF505" s="8" t="n">
        <f aca="false">IF(AD505=0,0,AE505/AD505)</f>
        <v>0.324121584885143</v>
      </c>
      <c r="AG505" s="3" t="str">
        <f aca="false">IF(ABS(Y505-AD505)&gt;1,"Mismatch","OK")</f>
        <v>OK</v>
      </c>
      <c r="AH505" s="3" t="str">
        <f aca="false">IF(ABS(AA505-AE505)&gt;1,"Mismatch","OK")</f>
        <v>OK</v>
      </c>
      <c r="AI505" s="6" t="n">
        <f aca="false">IF(B505="","",MONTH(B505))</f>
        <v>9</v>
      </c>
      <c r="AJ505" s="6" t="n">
        <f aca="false">IF(B505="","",YEAR(B505))</f>
        <v>2024</v>
      </c>
      <c r="AK505" s="3" t="str">
        <f aca="false">IF(COUNTIF(raw_data!$A$2:$A$913,A505)&gt;1,"Conflicting Duplicate - Flagged for Review","Unique")</f>
        <v>Unique</v>
      </c>
      <c r="AL505" s="3" t="str">
        <f aca="false">IF(AB505="Refunded","Yes","No")</f>
        <v>No</v>
      </c>
      <c r="AM505" s="3" t="str">
        <f aca="false">IF(OR(AC505&lt;&gt;"Completed",AB505="Failed"),"Excluded","Included")</f>
        <v>Included</v>
      </c>
      <c r="AN505" s="3" t="str">
        <f aca="false">IF(OR(D505="Invalid/Unrecognized",E505="Invalid/Unrecognized",G505="Invalid - Ship Before Order",X505="Negative - Invalid",X505="Above Allowed Range - Invalid",AG505="Mismatch",AH505="Mismatch",AK505="Conflicting Duplicate - Flagged for Review"),"Invalid",IF(OR(L505="Filled - Unknown",S505="Filled - Unknown",X505="Missing - Defaulted to 0",AL505="Yes",AC505="Cancelled",AC505="Returned"),"Warning","Clean"))</f>
        <v>Clean</v>
      </c>
    </row>
    <row r="506" customFormat="false" ht="15" hidden="false" customHeight="false" outlineLevel="0" collapsed="false">
      <c r="A506" s="3" t="str">
        <f aca="false">raw_data!A506</f>
        <v>ORD-2025-10505</v>
      </c>
      <c r="B506" s="4" t="n">
        <f aca="false">IFERROR(IF(MID(raw_data!B506,3,1)="/",DATE(VALUE(RIGHT(raw_data!B506,4)),VALUE(LEFT(raw_data!B506,2)),VALUE(MID(raw_data!B506,4,2))),IF(MID(raw_data!B506,3,1)="-",DATE(VALUE(RIGHT(raw_data!B506,4)),VALUE(MID(raw_data!B506,4,2)),VALUE(LEFT(raw_data!B506,2))),IF(MID(raw_data!B506,5,1)="-",DATE(VALUE(LEFT(raw_data!B506,4)),VALUE(MID(raw_data!B506,6,2)),VALUE(RIGHT(raw_data!B506,2))),DATE(VALUE(RIGHT(raw_data!B506,4)),MATCH(MID(raw_data!B506,4,3),{"Jan","Feb","Mar","Apr","May","Jun","Jul","Aug","Sep","Oct","Nov","Dec"},0),VALUE(LEFT(raw_data!B506,2)))))),"")</f>
        <v>45700</v>
      </c>
      <c r="C506" s="4" t="n">
        <f aca="false">IFERROR(IF(MID(raw_data!C506,3,1)="/",DATE(VALUE(RIGHT(raw_data!C506,4)),VALUE(LEFT(raw_data!C506,2)),VALUE(MID(raw_data!C506,4,2))),IF(MID(raw_data!C506,3,1)="-",DATE(VALUE(RIGHT(raw_data!C506,4)),VALUE(MID(raw_data!C506,4,2)),VALUE(LEFT(raw_data!C506,2))),IF(MID(raw_data!C506,5,1)="-",DATE(VALUE(LEFT(raw_data!C506,4)),VALUE(MID(raw_data!C506,6,2)),VALUE(RIGHT(raw_data!C506,2))),DATE(VALUE(RIGHT(raw_data!C506,4)),MATCH(MID(raw_data!C506,4,3),{"Jan","Feb","Mar","Apr","May","Jun","Jul","Aug","Sep","Oct","Nov","Dec"},0),VALUE(LEFT(raw_data!C506,2)))))),"")</f>
        <v>45705</v>
      </c>
      <c r="D506" s="3" t="str">
        <f aca="false">IF(TRIM(raw_data!B506)="","Missing",IF(B506="","Invalid/Unrecognized","Valid"))</f>
        <v>Valid</v>
      </c>
      <c r="E506" s="3" t="str">
        <f aca="false">IF(TRIM(raw_data!C506)="","Missing",IF(C506="","Invalid/Unrecognized","Valid"))</f>
        <v>Valid</v>
      </c>
      <c r="F506" s="5" t="n">
        <f aca="false">IF(OR(B506="",C506=""),"",C506-B506)</f>
        <v>5</v>
      </c>
      <c r="G506" s="3" t="str">
        <f aca="false">IF(F506="","N/A",IF(F506&lt;0,"Invalid - Ship Before Order","OK"))</f>
        <v>OK</v>
      </c>
      <c r="H506" s="3" t="str">
        <f aca="false">raw_data!D506</f>
        <v>CUST-9693</v>
      </c>
      <c r="I506" s="3" t="str">
        <f aca="false">PROPER(TRIM(raw_data!E506))</f>
        <v>Arjun Bose</v>
      </c>
      <c r="J506" s="3" t="str">
        <f aca="false">PROPER(TRIM(raw_data!F506))</f>
        <v>Corporate</v>
      </c>
      <c r="K506" s="3" t="str">
        <f aca="false">IF(TRIM(raw_data!G506)="","Unknown",PROPER(TRIM(raw_data!G506)))</f>
        <v>West</v>
      </c>
      <c r="L506" s="3" t="str">
        <f aca="false">IF(TRIM(raw_data!G506)="","Filled - Unknown","OK")</f>
        <v>OK</v>
      </c>
      <c r="M506" s="3" t="str">
        <f aca="false">PROPER(TRIM(raw_data!H506))</f>
        <v>Gujarat</v>
      </c>
      <c r="N506" s="3" t="str">
        <f aca="false">PROPER(TRIM(raw_data!I506))</f>
        <v>Ahmedabad</v>
      </c>
      <c r="O506" s="3" t="str">
        <f aca="false">PROPER(TRIM(raw_data!J506))</f>
        <v>Office Supplies</v>
      </c>
      <c r="P506" s="3" t="str">
        <f aca="false">PROPER(TRIM(raw_data!K506))</f>
        <v>Art</v>
      </c>
      <c r="Q506" s="3" t="str">
        <f aca="false">TRIM(raw_data!L506)</f>
        <v>Elite Art 553</v>
      </c>
      <c r="R506" s="3" t="str">
        <f aca="false">IF(TRIM(raw_data!M506)="","Unknown",PROPER(TRIM(raw_data!M506)))</f>
        <v>Standard Class</v>
      </c>
      <c r="S506" s="3" t="str">
        <f aca="false">IF(TRIM(raw_data!M506)="","Filled - Unknown","OK")</f>
        <v>OK</v>
      </c>
      <c r="T506" s="6" t="n">
        <f aca="false">raw_data!N506</f>
        <v>4</v>
      </c>
      <c r="U506" s="7" t="n">
        <f aca="false">raw_data!O506</f>
        <v>4328.12</v>
      </c>
      <c r="V506" s="8" t="n">
        <f aca="false">raw_data!P506</f>
        <v>0</v>
      </c>
      <c r="W506" s="8" t="n">
        <f aca="false">IF(raw_data!P506="",0,IF(ISTEXT(raw_data!P506),IF(RIGHT(raw_data!P506,1)="%",VALUE(LEFT(raw_data!P506,LEN(raw_data!P506)-1))/100,VALUE(raw_data!P506)),raw_data!P506))</f>
        <v>0</v>
      </c>
      <c r="X506" s="3" t="str">
        <f aca="false">IF(raw_data!P506="","Missing - Defaulted to 0",IF(W506&lt;0,"Negative - Invalid",IF(W506&gt;0.3,"Above Allowed Range - Invalid","Valid")))</f>
        <v>Valid</v>
      </c>
      <c r="Y506" s="7" t="n">
        <f aca="false">raw_data!Q506</f>
        <v>17312.48</v>
      </c>
      <c r="Z506" s="7" t="n">
        <f aca="false">raw_data!R506</f>
        <v>14424.22</v>
      </c>
      <c r="AA506" s="7" t="n">
        <f aca="false">raw_data!S506</f>
        <v>2888.26</v>
      </c>
      <c r="AB506" s="3" t="str">
        <f aca="false">PROPER(TRIM(raw_data!T506))</f>
        <v>Paid</v>
      </c>
      <c r="AC506" s="3" t="str">
        <f aca="false">PROPER(TRIM(raw_data!U506))</f>
        <v>Completed</v>
      </c>
      <c r="AD506" s="7" t="n">
        <f aca="false">T506*U506*(1-W506)</f>
        <v>17312.48</v>
      </c>
      <c r="AE506" s="7" t="n">
        <f aca="false">AD506-Z506</f>
        <v>2888.26</v>
      </c>
      <c r="AF506" s="8" t="n">
        <f aca="false">IF(AD506=0,0,AE506/AD506)</f>
        <v>0.166831095256139</v>
      </c>
      <c r="AG506" s="3" t="str">
        <f aca="false">IF(ABS(Y506-AD506)&gt;1,"Mismatch","OK")</f>
        <v>OK</v>
      </c>
      <c r="AH506" s="3" t="str">
        <f aca="false">IF(ABS(AA506-AE506)&gt;1,"Mismatch","OK")</f>
        <v>OK</v>
      </c>
      <c r="AI506" s="6" t="n">
        <f aca="false">IF(B506="","",MONTH(B506))</f>
        <v>2</v>
      </c>
      <c r="AJ506" s="6" t="n">
        <f aca="false">IF(B506="","",YEAR(B506))</f>
        <v>2025</v>
      </c>
      <c r="AK506" s="3" t="str">
        <f aca="false">IF(COUNTIF(raw_data!$A$2:$A$913,A506)&gt;1,"Conflicting Duplicate - Flagged for Review","Unique")</f>
        <v>Unique</v>
      </c>
      <c r="AL506" s="3" t="str">
        <f aca="false">IF(AB506="Refunded","Yes","No")</f>
        <v>No</v>
      </c>
      <c r="AM506" s="3" t="str">
        <f aca="false">IF(OR(AC506&lt;&gt;"Completed",AB506="Failed"),"Excluded","Included")</f>
        <v>Included</v>
      </c>
      <c r="AN506" s="3" t="str">
        <f aca="false">IF(OR(D506="Invalid/Unrecognized",E506="Invalid/Unrecognized",G506="Invalid - Ship Before Order",X506="Negative - Invalid",X506="Above Allowed Range - Invalid",AG506="Mismatch",AH506="Mismatch",AK506="Conflicting Duplicate - Flagged for Review"),"Invalid",IF(OR(L506="Filled - Unknown",S506="Filled - Unknown",X506="Missing - Defaulted to 0",AL506="Yes",AC506="Cancelled",AC506="Returned"),"Warning","Clean"))</f>
        <v>Clean</v>
      </c>
    </row>
    <row r="507" customFormat="false" ht="15" hidden="false" customHeight="false" outlineLevel="0" collapsed="false">
      <c r="A507" s="3" t="str">
        <f aca="false">raw_data!A507</f>
        <v>ORD-2024-10506</v>
      </c>
      <c r="B507" s="4" t="n">
        <f aca="false">IFERROR(IF(MID(raw_data!B507,3,1)="/",DATE(VALUE(RIGHT(raw_data!B507,4)),VALUE(LEFT(raw_data!B507,2)),VALUE(MID(raw_data!B507,4,2))),IF(MID(raw_data!B507,3,1)="-",DATE(VALUE(RIGHT(raw_data!B507,4)),VALUE(MID(raw_data!B507,4,2)),VALUE(LEFT(raw_data!B507,2))),IF(MID(raw_data!B507,5,1)="-",DATE(VALUE(LEFT(raw_data!B507,4)),VALUE(MID(raw_data!B507,6,2)),VALUE(RIGHT(raw_data!B507,2))),DATE(VALUE(RIGHT(raw_data!B507,4)),MATCH(MID(raw_data!B507,4,3),{"Jan","Feb","Mar","Apr","May","Jun","Jul","Aug","Sep","Oct","Nov","Dec"},0),VALUE(LEFT(raw_data!B507,2)))))),"")</f>
        <v>45605</v>
      </c>
      <c r="C507" s="4" t="n">
        <f aca="false">IFERROR(IF(MID(raw_data!C507,3,1)="/",DATE(VALUE(RIGHT(raw_data!C507,4)),VALUE(LEFT(raw_data!C507,2)),VALUE(MID(raw_data!C507,4,2))),IF(MID(raw_data!C507,3,1)="-",DATE(VALUE(RIGHT(raw_data!C507,4)),VALUE(MID(raw_data!C507,4,2)),VALUE(LEFT(raw_data!C507,2))),IF(MID(raw_data!C507,5,1)="-",DATE(VALUE(LEFT(raw_data!C507,4)),VALUE(MID(raw_data!C507,6,2)),VALUE(RIGHT(raw_data!C507,2))),DATE(VALUE(RIGHT(raw_data!C507,4)),MATCH(MID(raw_data!C507,4,3),{"Jan","Feb","Mar","Apr","May","Jun","Jul","Aug","Sep","Oct","Nov","Dec"},0),VALUE(LEFT(raw_data!C507,2)))))),"")</f>
        <v>45610</v>
      </c>
      <c r="D507" s="3" t="str">
        <f aca="false">IF(TRIM(raw_data!B507)="","Missing",IF(B507="","Invalid/Unrecognized","Valid"))</f>
        <v>Valid</v>
      </c>
      <c r="E507" s="3" t="str">
        <f aca="false">IF(TRIM(raw_data!C507)="","Missing",IF(C507="","Invalid/Unrecognized","Valid"))</f>
        <v>Valid</v>
      </c>
      <c r="F507" s="5" t="n">
        <f aca="false">IF(OR(B507="",C507=""),"",C507-B507)</f>
        <v>5</v>
      </c>
      <c r="G507" s="3" t="str">
        <f aca="false">IF(F507="","N/A",IF(F507&lt;0,"Invalid - Ship Before Order","OK"))</f>
        <v>OK</v>
      </c>
      <c r="H507" s="3" t="str">
        <f aca="false">raw_data!D507</f>
        <v>CUST-5458</v>
      </c>
      <c r="I507" s="3" t="str">
        <f aca="false">PROPER(TRIM(raw_data!E507))</f>
        <v>Neha Gupta</v>
      </c>
      <c r="J507" s="3" t="str">
        <f aca="false">PROPER(TRIM(raw_data!F507))</f>
        <v>Corporate</v>
      </c>
      <c r="K507" s="3" t="str">
        <f aca="false">IF(TRIM(raw_data!G507)="","Unknown",PROPER(TRIM(raw_data!G507)))</f>
        <v>West</v>
      </c>
      <c r="L507" s="3" t="str">
        <f aca="false">IF(TRIM(raw_data!G507)="","Filled - Unknown","OK")</f>
        <v>OK</v>
      </c>
      <c r="M507" s="3" t="str">
        <f aca="false">PROPER(TRIM(raw_data!H507))</f>
        <v>Madhya Pradesh</v>
      </c>
      <c r="N507" s="3" t="str">
        <f aca="false">PROPER(TRIM(raw_data!I507))</f>
        <v>Indore</v>
      </c>
      <c r="O507" s="3" t="str">
        <f aca="false">PROPER(TRIM(raw_data!J507))</f>
        <v>Office Supplies</v>
      </c>
      <c r="P507" s="3" t="str">
        <f aca="false">PROPER(TRIM(raw_data!K507))</f>
        <v>Art</v>
      </c>
      <c r="Q507" s="3" t="str">
        <f aca="false">TRIM(raw_data!L507)</f>
        <v>Classic Art 339</v>
      </c>
      <c r="R507" s="3" t="str">
        <f aca="false">IF(TRIM(raw_data!M507)="","Unknown",PROPER(TRIM(raw_data!M507)))</f>
        <v>First Class</v>
      </c>
      <c r="S507" s="3" t="str">
        <f aca="false">IF(TRIM(raw_data!M507)="","Filled - Unknown","OK")</f>
        <v>OK</v>
      </c>
      <c r="T507" s="6" t="n">
        <f aca="false">raw_data!N507</f>
        <v>9</v>
      </c>
      <c r="U507" s="7" t="n">
        <f aca="false">raw_data!O507</f>
        <v>2438.29</v>
      </c>
      <c r="V507" s="8" t="n">
        <f aca="false">raw_data!P507</f>
        <v>0.2</v>
      </c>
      <c r="W507" s="8" t="n">
        <f aca="false">IF(raw_data!P507="",0,IF(ISTEXT(raw_data!P507),IF(RIGHT(raw_data!P507,1)="%",VALUE(LEFT(raw_data!P507,LEN(raw_data!P507)-1))/100,VALUE(raw_data!P507)),raw_data!P507))</f>
        <v>0.2</v>
      </c>
      <c r="X507" s="3" t="str">
        <f aca="false">IF(raw_data!P507="","Missing - Defaulted to 0",IF(W507&lt;0,"Negative - Invalid",IF(W507&gt;0.3,"Above Allowed Range - Invalid","Valid")))</f>
        <v>Valid</v>
      </c>
      <c r="Y507" s="7" t="n">
        <f aca="false">raw_data!Q507</f>
        <v>17555.69</v>
      </c>
      <c r="Z507" s="7" t="n">
        <f aca="false">raw_data!R507</f>
        <v>13293.2</v>
      </c>
      <c r="AA507" s="7" t="n">
        <f aca="false">raw_data!S507</f>
        <v>4262.49</v>
      </c>
      <c r="AB507" s="3" t="str">
        <f aca="false">PROPER(TRIM(raw_data!T507))</f>
        <v>Paid</v>
      </c>
      <c r="AC507" s="3" t="str">
        <f aca="false">PROPER(TRIM(raw_data!U507))</f>
        <v>Cancelled</v>
      </c>
      <c r="AD507" s="7" t="n">
        <f aca="false">T507*U507*(1-W507)</f>
        <v>17555.688</v>
      </c>
      <c r="AE507" s="7" t="n">
        <f aca="false">AD507-Z507</f>
        <v>4262.488</v>
      </c>
      <c r="AF507" s="8" t="n">
        <f aca="false">IF(AD507=0,0,AE507/AD507)</f>
        <v>0.242798117624328</v>
      </c>
      <c r="AG507" s="3" t="str">
        <f aca="false">IF(ABS(Y507-AD507)&gt;1,"Mismatch","OK")</f>
        <v>OK</v>
      </c>
      <c r="AH507" s="3" t="str">
        <f aca="false">IF(ABS(AA507-AE507)&gt;1,"Mismatch","OK")</f>
        <v>OK</v>
      </c>
      <c r="AI507" s="6" t="n">
        <f aca="false">IF(B507="","",MONTH(B507))</f>
        <v>11</v>
      </c>
      <c r="AJ507" s="6" t="n">
        <f aca="false">IF(B507="","",YEAR(B507))</f>
        <v>2024</v>
      </c>
      <c r="AK507" s="3" t="str">
        <f aca="false">IF(COUNTIF(raw_data!$A$2:$A$913,A507)&gt;1,"Conflicting Duplicate - Flagged for Review","Unique")</f>
        <v>Unique</v>
      </c>
      <c r="AL507" s="3" t="str">
        <f aca="false">IF(AB507="Refunded","Yes","No")</f>
        <v>No</v>
      </c>
      <c r="AM507" s="3" t="str">
        <f aca="false">IF(OR(AC507&lt;&gt;"Completed",AB507="Failed"),"Excluded","Included")</f>
        <v>Excluded</v>
      </c>
      <c r="AN507" s="3" t="str">
        <f aca="false">IF(OR(D507="Invalid/Unrecognized",E507="Invalid/Unrecognized",G507="Invalid - Ship Before Order",X507="Negative - Invalid",X507="Above Allowed Range - Invalid",AG507="Mismatch",AH507="Mismatch",AK507="Conflicting Duplicate - Flagged for Review"),"Invalid",IF(OR(L507="Filled - Unknown",S507="Filled - Unknown",X507="Missing - Defaulted to 0",AL507="Yes",AC507="Cancelled",AC507="Returned"),"Warning","Clean"))</f>
        <v>Warning</v>
      </c>
    </row>
    <row r="508" customFormat="false" ht="15" hidden="false" customHeight="false" outlineLevel="0" collapsed="false">
      <c r="A508" s="3" t="str">
        <f aca="false">raw_data!A508</f>
        <v>ORD-2024-10507</v>
      </c>
      <c r="B508" s="4" t="n">
        <f aca="false">IFERROR(IF(MID(raw_data!B508,3,1)="/",DATE(VALUE(RIGHT(raw_data!B508,4)),VALUE(LEFT(raw_data!B508,2)),VALUE(MID(raw_data!B508,4,2))),IF(MID(raw_data!B508,3,1)="-",DATE(VALUE(RIGHT(raw_data!B508,4)),VALUE(MID(raw_data!B508,4,2)),VALUE(LEFT(raw_data!B508,2))),IF(MID(raw_data!B508,5,1)="-",DATE(VALUE(LEFT(raw_data!B508,4)),VALUE(MID(raw_data!B508,6,2)),VALUE(RIGHT(raw_data!B508,2))),DATE(VALUE(RIGHT(raw_data!B508,4)),MATCH(MID(raw_data!B508,4,3),{"Jan","Feb","Mar","Apr","May","Jun","Jul","Aug","Sep","Oct","Nov","Dec"},0),VALUE(LEFT(raw_data!B508,2)))))),"")</f>
        <v>45641</v>
      </c>
      <c r="C508" s="4" t="n">
        <f aca="false">IFERROR(IF(MID(raw_data!C508,3,1)="/",DATE(VALUE(RIGHT(raw_data!C508,4)),VALUE(LEFT(raw_data!C508,2)),VALUE(MID(raw_data!C508,4,2))),IF(MID(raw_data!C508,3,1)="-",DATE(VALUE(RIGHT(raw_data!C508,4)),VALUE(MID(raw_data!C508,4,2)),VALUE(LEFT(raw_data!C508,2))),IF(MID(raw_data!C508,5,1)="-",DATE(VALUE(LEFT(raw_data!C508,4)),VALUE(MID(raw_data!C508,6,2)),VALUE(RIGHT(raw_data!C508,2))),DATE(VALUE(RIGHT(raw_data!C508,4)),MATCH(MID(raw_data!C508,4,3),{"Jan","Feb","Mar","Apr","May","Jun","Jul","Aug","Sep","Oct","Nov","Dec"},0),VALUE(LEFT(raw_data!C508,2)))))),"")</f>
        <v>45641</v>
      </c>
      <c r="D508" s="3" t="str">
        <f aca="false">IF(TRIM(raw_data!B508)="","Missing",IF(B508="","Invalid/Unrecognized","Valid"))</f>
        <v>Valid</v>
      </c>
      <c r="E508" s="3" t="str">
        <f aca="false">IF(TRIM(raw_data!C508)="","Missing",IF(C508="","Invalid/Unrecognized","Valid"))</f>
        <v>Valid</v>
      </c>
      <c r="F508" s="5" t="n">
        <f aca="false">IF(OR(B508="",C508=""),"",C508-B508)</f>
        <v>0</v>
      </c>
      <c r="G508" s="3" t="str">
        <f aca="false">IF(F508="","N/A",IF(F508&lt;0,"Invalid - Ship Before Order","OK"))</f>
        <v>OK</v>
      </c>
      <c r="H508" s="3" t="str">
        <f aca="false">raw_data!D508</f>
        <v>CUST-3011</v>
      </c>
      <c r="I508" s="3" t="str">
        <f aca="false">PROPER(TRIM(raw_data!E508))</f>
        <v>Aarav Sharma</v>
      </c>
      <c r="J508" s="3" t="str">
        <f aca="false">PROPER(TRIM(raw_data!F508))</f>
        <v>Small Business</v>
      </c>
      <c r="K508" s="3" t="str">
        <f aca="false">IF(TRIM(raw_data!G508)="","Unknown",PROPER(TRIM(raw_data!G508)))</f>
        <v>North</v>
      </c>
      <c r="L508" s="3" t="str">
        <f aca="false">IF(TRIM(raw_data!G508)="","Filled - Unknown","OK")</f>
        <v>OK</v>
      </c>
      <c r="M508" s="3" t="str">
        <f aca="false">PROPER(TRIM(raw_data!H508))</f>
        <v>Punjab</v>
      </c>
      <c r="N508" s="3" t="str">
        <f aca="false">PROPER(TRIM(raw_data!I508))</f>
        <v>Ludhiana</v>
      </c>
      <c r="O508" s="3" t="str">
        <f aca="false">PROPER(TRIM(raw_data!J508))</f>
        <v>Furniture</v>
      </c>
      <c r="P508" s="3" t="str">
        <f aca="false">PROPER(TRIM(raw_data!K508))</f>
        <v>Furnishings</v>
      </c>
      <c r="Q508" s="3" t="str">
        <f aca="false">TRIM(raw_data!L508)</f>
        <v>Smart Furnishings 352</v>
      </c>
      <c r="R508" s="3" t="str">
        <f aca="false">IF(TRIM(raw_data!M508)="","Unknown",PROPER(TRIM(raw_data!M508)))</f>
        <v>First Class</v>
      </c>
      <c r="S508" s="3" t="str">
        <f aca="false">IF(TRIM(raw_data!M508)="","Filled - Unknown","OK")</f>
        <v>OK</v>
      </c>
      <c r="T508" s="6" t="n">
        <f aca="false">raw_data!N508</f>
        <v>2</v>
      </c>
      <c r="U508" s="7" t="n">
        <f aca="false">raw_data!O508</f>
        <v>669.8</v>
      </c>
      <c r="V508" s="8" t="n">
        <f aca="false">raw_data!P508</f>
        <v>0.1</v>
      </c>
      <c r="W508" s="8" t="n">
        <f aca="false">IF(raw_data!P508="",0,IF(ISTEXT(raw_data!P508),IF(RIGHT(raw_data!P508,1)="%",VALUE(LEFT(raw_data!P508,LEN(raw_data!P508)-1))/100,VALUE(raw_data!P508)),raw_data!P508))</f>
        <v>0.1</v>
      </c>
      <c r="X508" s="3" t="str">
        <f aca="false">IF(raw_data!P508="","Missing - Defaulted to 0",IF(W508&lt;0,"Negative - Invalid",IF(W508&gt;0.3,"Above Allowed Range - Invalid","Valid")))</f>
        <v>Valid</v>
      </c>
      <c r="Y508" s="7" t="n">
        <f aca="false">raw_data!Q508</f>
        <v>1205.64</v>
      </c>
      <c r="Z508" s="7" t="n">
        <f aca="false">raw_data!R508</f>
        <v>842.07</v>
      </c>
      <c r="AA508" s="7" t="n">
        <f aca="false">raw_data!S508</f>
        <v>363.57</v>
      </c>
      <c r="AB508" s="3" t="str">
        <f aca="false">PROPER(TRIM(raw_data!T508))</f>
        <v>Refunded</v>
      </c>
      <c r="AC508" s="3" t="str">
        <f aca="false">PROPER(TRIM(raw_data!U508))</f>
        <v>Returned</v>
      </c>
      <c r="AD508" s="7" t="n">
        <f aca="false">T508*U508*(1-W508)</f>
        <v>1205.64</v>
      </c>
      <c r="AE508" s="7" t="n">
        <f aca="false">AD508-Z508</f>
        <v>363.57</v>
      </c>
      <c r="AF508" s="8" t="n">
        <f aca="false">IF(AD508=0,0,AE508/AD508)</f>
        <v>0.301557678909127</v>
      </c>
      <c r="AG508" s="3" t="str">
        <f aca="false">IF(ABS(Y508-AD508)&gt;1,"Mismatch","OK")</f>
        <v>OK</v>
      </c>
      <c r="AH508" s="3" t="str">
        <f aca="false">IF(ABS(AA508-AE508)&gt;1,"Mismatch","OK")</f>
        <v>OK</v>
      </c>
      <c r="AI508" s="6" t="n">
        <f aca="false">IF(B508="","",MONTH(B508))</f>
        <v>12</v>
      </c>
      <c r="AJ508" s="6" t="n">
        <f aca="false">IF(B508="","",YEAR(B508))</f>
        <v>2024</v>
      </c>
      <c r="AK508" s="3" t="str">
        <f aca="false">IF(COUNTIF(raw_data!$A$2:$A$913,A508)&gt;1,"Conflicting Duplicate - Flagged for Review","Unique")</f>
        <v>Unique</v>
      </c>
      <c r="AL508" s="3" t="str">
        <f aca="false">IF(AB508="Refunded","Yes","No")</f>
        <v>Yes</v>
      </c>
      <c r="AM508" s="3" t="str">
        <f aca="false">IF(OR(AC508&lt;&gt;"Completed",AB508="Failed"),"Excluded","Included")</f>
        <v>Excluded</v>
      </c>
      <c r="AN508" s="3" t="str">
        <f aca="false">IF(OR(D508="Invalid/Unrecognized",E508="Invalid/Unrecognized",G508="Invalid - Ship Before Order",X508="Negative - Invalid",X508="Above Allowed Range - Invalid",AG508="Mismatch",AH508="Mismatch",AK508="Conflicting Duplicate - Flagged for Review"),"Invalid",IF(OR(L508="Filled - Unknown",S508="Filled - Unknown",X508="Missing - Defaulted to 0",AL508="Yes",AC508="Cancelled",AC508="Returned"),"Warning","Clean"))</f>
        <v>Warning</v>
      </c>
    </row>
    <row r="509" customFormat="false" ht="15" hidden="false" customHeight="false" outlineLevel="0" collapsed="false">
      <c r="A509" s="3" t="str">
        <f aca="false">raw_data!A509</f>
        <v>ORD-2025-10508</v>
      </c>
      <c r="B509" s="4" t="n">
        <f aca="false">IFERROR(IF(MID(raw_data!B509,3,1)="/",DATE(VALUE(RIGHT(raw_data!B509,4)),VALUE(LEFT(raw_data!B509,2)),VALUE(MID(raw_data!B509,4,2))),IF(MID(raw_data!B509,3,1)="-",DATE(VALUE(RIGHT(raw_data!B509,4)),VALUE(MID(raw_data!B509,4,2)),VALUE(LEFT(raw_data!B509,2))),IF(MID(raw_data!B509,5,1)="-",DATE(VALUE(LEFT(raw_data!B509,4)),VALUE(MID(raw_data!B509,6,2)),VALUE(RIGHT(raw_data!B509,2))),DATE(VALUE(RIGHT(raw_data!B509,4)),MATCH(MID(raw_data!B509,4,3),{"Jan","Feb","Mar","Apr","May","Jun","Jul","Aug","Sep","Oct","Nov","Dec"},0),VALUE(LEFT(raw_data!B509,2)))))),"")</f>
        <v>45762</v>
      </c>
      <c r="C509" s="4" t="n">
        <f aca="false">IFERROR(IF(MID(raw_data!C509,3,1)="/",DATE(VALUE(RIGHT(raw_data!C509,4)),VALUE(LEFT(raw_data!C509,2)),VALUE(MID(raw_data!C509,4,2))),IF(MID(raw_data!C509,3,1)="-",DATE(VALUE(RIGHT(raw_data!C509,4)),VALUE(MID(raw_data!C509,4,2)),VALUE(LEFT(raw_data!C509,2))),IF(MID(raw_data!C509,5,1)="-",DATE(VALUE(LEFT(raw_data!C509,4)),VALUE(MID(raw_data!C509,6,2)),VALUE(RIGHT(raw_data!C509,2))),DATE(VALUE(RIGHT(raw_data!C509,4)),MATCH(MID(raw_data!C509,4,3),{"Jan","Feb","Mar","Apr","May","Jun","Jul","Aug","Sep","Oct","Nov","Dec"},0),VALUE(LEFT(raw_data!C509,2)))))),"")</f>
        <v>45769</v>
      </c>
      <c r="D509" s="3" t="str">
        <f aca="false">IF(TRIM(raw_data!B509)="","Missing",IF(B509="","Invalid/Unrecognized","Valid"))</f>
        <v>Valid</v>
      </c>
      <c r="E509" s="3" t="str">
        <f aca="false">IF(TRIM(raw_data!C509)="","Missing",IF(C509="","Invalid/Unrecognized","Valid"))</f>
        <v>Valid</v>
      </c>
      <c r="F509" s="5" t="n">
        <f aca="false">IF(OR(B509="",C509=""),"",C509-B509)</f>
        <v>7</v>
      </c>
      <c r="G509" s="3" t="str">
        <f aca="false">IF(F509="","N/A",IF(F509&lt;0,"Invalid - Ship Before Order","OK"))</f>
        <v>OK</v>
      </c>
      <c r="H509" s="3" t="str">
        <f aca="false">raw_data!D509</f>
        <v>CUST-1826</v>
      </c>
      <c r="I509" s="3" t="str">
        <f aca="false">PROPER(TRIM(raw_data!E509))</f>
        <v>Isha Nair</v>
      </c>
      <c r="J509" s="3" t="str">
        <f aca="false">PROPER(TRIM(raw_data!F509))</f>
        <v>Small Business</v>
      </c>
      <c r="K509" s="3" t="str">
        <f aca="false">IF(TRIM(raw_data!G509)="","Unknown",PROPER(TRIM(raw_data!G509)))</f>
        <v>North</v>
      </c>
      <c r="L509" s="3" t="str">
        <f aca="false">IF(TRIM(raw_data!G509)="","Filled - Unknown","OK")</f>
        <v>OK</v>
      </c>
      <c r="M509" s="3" t="str">
        <f aca="false">PROPER(TRIM(raw_data!H509))</f>
        <v>Haryana</v>
      </c>
      <c r="N509" s="3" t="str">
        <f aca="false">PROPER(TRIM(raw_data!I509))</f>
        <v>Gurugram</v>
      </c>
      <c r="O509" s="3" t="str">
        <f aca="false">PROPER(TRIM(raw_data!J509))</f>
        <v>Office Supplies</v>
      </c>
      <c r="P509" s="3" t="str">
        <f aca="false">PROPER(TRIM(raw_data!K509))</f>
        <v>Binders</v>
      </c>
      <c r="Q509" s="3" t="str">
        <f aca="false">TRIM(raw_data!L509)</f>
        <v>Classic Binders 602</v>
      </c>
      <c r="R509" s="3" t="str">
        <f aca="false">IF(TRIM(raw_data!M509)="","Unknown",PROPER(TRIM(raw_data!M509)))</f>
        <v>Same Day</v>
      </c>
      <c r="S509" s="3" t="str">
        <f aca="false">IF(TRIM(raw_data!M509)="","Filled - Unknown","OK")</f>
        <v>OK</v>
      </c>
      <c r="T509" s="6" t="n">
        <f aca="false">raw_data!N509</f>
        <v>4</v>
      </c>
      <c r="U509" s="7" t="n">
        <f aca="false">raw_data!O509</f>
        <v>2990.42</v>
      </c>
      <c r="V509" s="8" t="n">
        <f aca="false">raw_data!P509</f>
        <v>0.25</v>
      </c>
      <c r="W509" s="8" t="n">
        <f aca="false">IF(raw_data!P509="",0,IF(ISTEXT(raw_data!P509),IF(RIGHT(raw_data!P509,1)="%",VALUE(LEFT(raw_data!P509,LEN(raw_data!P509)-1))/100,VALUE(raw_data!P509)),raw_data!P509))</f>
        <v>0.25</v>
      </c>
      <c r="X509" s="3" t="str">
        <f aca="false">IF(raw_data!P509="","Missing - Defaulted to 0",IF(W509&lt;0,"Negative - Invalid",IF(W509&gt;0.3,"Above Allowed Range - Invalid","Valid")))</f>
        <v>Valid</v>
      </c>
      <c r="Y509" s="7" t="n">
        <f aca="false">raw_data!Q509</f>
        <v>8971.26</v>
      </c>
      <c r="Z509" s="7" t="n">
        <f aca="false">raw_data!R509</f>
        <v>6814.35</v>
      </c>
      <c r="AA509" s="7" t="n">
        <f aca="false">raw_data!S509</f>
        <v>2156.91</v>
      </c>
      <c r="AB509" s="3" t="str">
        <f aca="false">PROPER(TRIM(raw_data!T509))</f>
        <v>Paid</v>
      </c>
      <c r="AC509" s="3" t="str">
        <f aca="false">PROPER(TRIM(raw_data!U509))</f>
        <v>Completed</v>
      </c>
      <c r="AD509" s="7" t="n">
        <f aca="false">T509*U509*(1-W509)</f>
        <v>8971.26</v>
      </c>
      <c r="AE509" s="7" t="n">
        <f aca="false">AD509-Z509</f>
        <v>2156.91</v>
      </c>
      <c r="AF509" s="8" t="n">
        <f aca="false">IF(AD509=0,0,AE509/AD509)</f>
        <v>0.240424421987547</v>
      </c>
      <c r="AG509" s="3" t="str">
        <f aca="false">IF(ABS(Y509-AD509)&gt;1,"Mismatch","OK")</f>
        <v>OK</v>
      </c>
      <c r="AH509" s="3" t="str">
        <f aca="false">IF(ABS(AA509-AE509)&gt;1,"Mismatch","OK")</f>
        <v>OK</v>
      </c>
      <c r="AI509" s="6" t="n">
        <f aca="false">IF(B509="","",MONTH(B509))</f>
        <v>4</v>
      </c>
      <c r="AJ509" s="6" t="n">
        <f aca="false">IF(B509="","",YEAR(B509))</f>
        <v>2025</v>
      </c>
      <c r="AK509" s="3" t="str">
        <f aca="false">IF(COUNTIF(raw_data!$A$2:$A$913,A509)&gt;1,"Conflicting Duplicate - Flagged for Review","Unique")</f>
        <v>Unique</v>
      </c>
      <c r="AL509" s="3" t="str">
        <f aca="false">IF(AB509="Refunded","Yes","No")</f>
        <v>No</v>
      </c>
      <c r="AM509" s="3" t="str">
        <f aca="false">IF(OR(AC509&lt;&gt;"Completed",AB509="Failed"),"Excluded","Included")</f>
        <v>Included</v>
      </c>
      <c r="AN509" s="3" t="str">
        <f aca="false">IF(OR(D509="Invalid/Unrecognized",E509="Invalid/Unrecognized",G509="Invalid - Ship Before Order",X509="Negative - Invalid",X509="Above Allowed Range - Invalid",AG509="Mismatch",AH509="Mismatch",AK509="Conflicting Duplicate - Flagged for Review"),"Invalid",IF(OR(L509="Filled - Unknown",S509="Filled - Unknown",X509="Missing - Defaulted to 0",AL509="Yes",AC509="Cancelled",AC509="Returned"),"Warning","Clean"))</f>
        <v>Clean</v>
      </c>
    </row>
    <row r="510" customFormat="false" ht="15" hidden="false" customHeight="false" outlineLevel="0" collapsed="false">
      <c r="A510" s="3" t="str">
        <f aca="false">raw_data!A510</f>
        <v>ORD-2024-10509</v>
      </c>
      <c r="B510" s="4" t="n">
        <f aca="false">IFERROR(IF(MID(raw_data!B510,3,1)="/",DATE(VALUE(RIGHT(raw_data!B510,4)),VALUE(LEFT(raw_data!B510,2)),VALUE(MID(raw_data!B510,4,2))),IF(MID(raw_data!B510,3,1)="-",DATE(VALUE(RIGHT(raw_data!B510,4)),VALUE(MID(raw_data!B510,4,2)),VALUE(LEFT(raw_data!B510,2))),IF(MID(raw_data!B510,5,1)="-",DATE(VALUE(LEFT(raw_data!B510,4)),VALUE(MID(raw_data!B510,6,2)),VALUE(RIGHT(raw_data!B510,2))),DATE(VALUE(RIGHT(raw_data!B510,4)),MATCH(MID(raw_data!B510,4,3),{"Jan","Feb","Mar","Apr","May","Jun","Jul","Aug","Sep","Oct","Nov","Dec"},0),VALUE(LEFT(raw_data!B510,2)))))),"")</f>
        <v>45382</v>
      </c>
      <c r="C510" s="4" t="n">
        <f aca="false">IFERROR(IF(MID(raw_data!C510,3,1)="/",DATE(VALUE(RIGHT(raw_data!C510,4)),VALUE(LEFT(raw_data!C510,2)),VALUE(MID(raw_data!C510,4,2))),IF(MID(raw_data!C510,3,1)="-",DATE(VALUE(RIGHT(raw_data!C510,4)),VALUE(MID(raw_data!C510,4,2)),VALUE(LEFT(raw_data!C510,2))),IF(MID(raw_data!C510,5,1)="-",DATE(VALUE(LEFT(raw_data!C510,4)),VALUE(MID(raw_data!C510,6,2)),VALUE(RIGHT(raw_data!C510,2))),DATE(VALUE(RIGHT(raw_data!C510,4)),MATCH(MID(raw_data!C510,4,3),{"Jan","Feb","Mar","Apr","May","Jun","Jul","Aug","Sep","Oct","Nov","Dec"},0),VALUE(LEFT(raw_data!C510,2)))))),"")</f>
        <v>45389</v>
      </c>
      <c r="D510" s="3" t="str">
        <f aca="false">IF(TRIM(raw_data!B510)="","Missing",IF(B510="","Invalid/Unrecognized","Valid"))</f>
        <v>Valid</v>
      </c>
      <c r="E510" s="3" t="str">
        <f aca="false">IF(TRIM(raw_data!C510)="","Missing",IF(C510="","Invalid/Unrecognized","Valid"))</f>
        <v>Valid</v>
      </c>
      <c r="F510" s="5" t="n">
        <f aca="false">IF(OR(B510="",C510=""),"",C510-B510)</f>
        <v>7</v>
      </c>
      <c r="G510" s="3" t="str">
        <f aca="false">IF(F510="","N/A",IF(F510&lt;0,"Invalid - Ship Before Order","OK"))</f>
        <v>OK</v>
      </c>
      <c r="H510" s="3" t="str">
        <f aca="false">raw_data!D510</f>
        <v>CUST-3333</v>
      </c>
      <c r="I510" s="3" t="str">
        <f aca="false">PROPER(TRIM(raw_data!E510))</f>
        <v>Isha Nair</v>
      </c>
      <c r="J510" s="3" t="str">
        <f aca="false">PROPER(TRIM(raw_data!F510))</f>
        <v>Small Business</v>
      </c>
      <c r="K510" s="3" t="str">
        <f aca="false">IF(TRIM(raw_data!G510)="","Unknown",PROPER(TRIM(raw_data!G510)))</f>
        <v>North</v>
      </c>
      <c r="L510" s="3" t="str">
        <f aca="false">IF(TRIM(raw_data!G510)="","Filled - Unknown","OK")</f>
        <v>OK</v>
      </c>
      <c r="M510" s="3" t="str">
        <f aca="false">PROPER(TRIM(raw_data!H510))</f>
        <v>Haryana</v>
      </c>
      <c r="N510" s="3" t="str">
        <f aca="false">PROPER(TRIM(raw_data!I510))</f>
        <v>Gurugram</v>
      </c>
      <c r="O510" s="3" t="str">
        <f aca="false">PROPER(TRIM(raw_data!J510))</f>
        <v>Technology</v>
      </c>
      <c r="P510" s="3" t="str">
        <f aca="false">PROPER(TRIM(raw_data!K510))</f>
        <v>Machines</v>
      </c>
      <c r="Q510" s="3" t="str">
        <f aca="false">TRIM(raw_data!L510)</f>
        <v>Smart Machines 853</v>
      </c>
      <c r="R510" s="3" t="str">
        <f aca="false">IF(TRIM(raw_data!M510)="","Unknown",PROPER(TRIM(raw_data!M510)))</f>
        <v>Second Class</v>
      </c>
      <c r="S510" s="3" t="str">
        <f aca="false">IF(TRIM(raw_data!M510)="","Filled - Unknown","OK")</f>
        <v>OK</v>
      </c>
      <c r="T510" s="6" t="n">
        <f aca="false">raw_data!N510</f>
        <v>4</v>
      </c>
      <c r="U510" s="7" t="n">
        <f aca="false">raw_data!O510</f>
        <v>1831</v>
      </c>
      <c r="V510" s="8" t="n">
        <f aca="false">raw_data!P510</f>
        <v>0</v>
      </c>
      <c r="W510" s="8" t="n">
        <f aca="false">IF(raw_data!P510="",0,IF(ISTEXT(raw_data!P510),IF(RIGHT(raw_data!P510,1)="%",VALUE(LEFT(raw_data!P510,LEN(raw_data!P510)-1))/100,VALUE(raw_data!P510)),raw_data!P510))</f>
        <v>0</v>
      </c>
      <c r="X510" s="3" t="str">
        <f aca="false">IF(raw_data!P510="","Missing - Defaulted to 0",IF(W510&lt;0,"Negative - Invalid",IF(W510&gt;0.3,"Above Allowed Range - Invalid","Valid")))</f>
        <v>Valid</v>
      </c>
      <c r="Y510" s="7" t="n">
        <f aca="false">raw_data!Q510</f>
        <v>7324</v>
      </c>
      <c r="Z510" s="7" t="n">
        <f aca="false">raw_data!R510</f>
        <v>4179.63</v>
      </c>
      <c r="AA510" s="7" t="n">
        <f aca="false">raw_data!S510</f>
        <v>3144.37</v>
      </c>
      <c r="AB510" s="3" t="str">
        <f aca="false">PROPER(TRIM(raw_data!T510))</f>
        <v>Paid</v>
      </c>
      <c r="AC510" s="3" t="str">
        <f aca="false">PROPER(TRIM(raw_data!U510))</f>
        <v>Completed</v>
      </c>
      <c r="AD510" s="7" t="n">
        <f aca="false">T510*U510*(1-W510)</f>
        <v>7324</v>
      </c>
      <c r="AE510" s="7" t="n">
        <f aca="false">AD510-Z510</f>
        <v>3144.37</v>
      </c>
      <c r="AF510" s="8" t="n">
        <f aca="false">IF(AD510=0,0,AE510/AD510)</f>
        <v>0.429324139814309</v>
      </c>
      <c r="AG510" s="3" t="str">
        <f aca="false">IF(ABS(Y510-AD510)&gt;1,"Mismatch","OK")</f>
        <v>OK</v>
      </c>
      <c r="AH510" s="3" t="str">
        <f aca="false">IF(ABS(AA510-AE510)&gt;1,"Mismatch","OK")</f>
        <v>OK</v>
      </c>
      <c r="AI510" s="6" t="n">
        <f aca="false">IF(B510="","",MONTH(B510))</f>
        <v>3</v>
      </c>
      <c r="AJ510" s="6" t="n">
        <f aca="false">IF(B510="","",YEAR(B510))</f>
        <v>2024</v>
      </c>
      <c r="AK510" s="3" t="str">
        <f aca="false">IF(COUNTIF(raw_data!$A$2:$A$913,A510)&gt;1,"Conflicting Duplicate - Flagged for Review","Unique")</f>
        <v>Unique</v>
      </c>
      <c r="AL510" s="3" t="str">
        <f aca="false">IF(AB510="Refunded","Yes","No")</f>
        <v>No</v>
      </c>
      <c r="AM510" s="3" t="str">
        <f aca="false">IF(OR(AC510&lt;&gt;"Completed",AB510="Failed"),"Excluded","Included")</f>
        <v>Included</v>
      </c>
      <c r="AN510" s="3" t="str">
        <f aca="false">IF(OR(D510="Invalid/Unrecognized",E510="Invalid/Unrecognized",G510="Invalid - Ship Before Order",X510="Negative - Invalid",X510="Above Allowed Range - Invalid",AG510="Mismatch",AH510="Mismatch",AK510="Conflicting Duplicate - Flagged for Review"),"Invalid",IF(OR(L510="Filled - Unknown",S510="Filled - Unknown",X510="Missing - Defaulted to 0",AL510="Yes",AC510="Cancelled",AC510="Returned"),"Warning","Clean"))</f>
        <v>Clean</v>
      </c>
    </row>
    <row r="511" customFormat="false" ht="15" hidden="false" customHeight="false" outlineLevel="0" collapsed="false">
      <c r="A511" s="3" t="str">
        <f aca="false">raw_data!A511</f>
        <v>ORD-2025-10510</v>
      </c>
      <c r="B511" s="4" t="n">
        <f aca="false">IFERROR(IF(MID(raw_data!B511,3,1)="/",DATE(VALUE(RIGHT(raw_data!B511,4)),VALUE(LEFT(raw_data!B511,2)),VALUE(MID(raw_data!B511,4,2))),IF(MID(raw_data!B511,3,1)="-",DATE(VALUE(RIGHT(raw_data!B511,4)),VALUE(MID(raw_data!B511,4,2)),VALUE(LEFT(raw_data!B511,2))),IF(MID(raw_data!B511,5,1)="-",DATE(VALUE(LEFT(raw_data!B511,4)),VALUE(MID(raw_data!B511,6,2)),VALUE(RIGHT(raw_data!B511,2))),DATE(VALUE(RIGHT(raw_data!B511,4)),MATCH(MID(raw_data!B511,4,3),{"Jan","Feb","Mar","Apr","May","Jun","Jul","Aug","Sep","Oct","Nov","Dec"},0),VALUE(LEFT(raw_data!B511,2)))))),"")</f>
        <v>45789</v>
      </c>
      <c r="C511" s="4" t="n">
        <f aca="false">IFERROR(IF(MID(raw_data!C511,3,1)="/",DATE(VALUE(RIGHT(raw_data!C511,4)),VALUE(LEFT(raw_data!C511,2)),VALUE(MID(raw_data!C511,4,2))),IF(MID(raw_data!C511,3,1)="-",DATE(VALUE(RIGHT(raw_data!C511,4)),VALUE(MID(raw_data!C511,4,2)),VALUE(LEFT(raw_data!C511,2))),IF(MID(raw_data!C511,5,1)="-",DATE(VALUE(LEFT(raw_data!C511,4)),VALUE(MID(raw_data!C511,6,2)),VALUE(RIGHT(raw_data!C511,2))),DATE(VALUE(RIGHT(raw_data!C511,4)),MATCH(MID(raw_data!C511,4,3),{"Jan","Feb","Mar","Apr","May","Jun","Jul","Aug","Sep","Oct","Nov","Dec"},0),VALUE(LEFT(raw_data!C511,2)))))),"")</f>
        <v>45791</v>
      </c>
      <c r="D511" s="3" t="str">
        <f aca="false">IF(TRIM(raw_data!B511)="","Missing",IF(B511="","Invalid/Unrecognized","Valid"))</f>
        <v>Valid</v>
      </c>
      <c r="E511" s="3" t="str">
        <f aca="false">IF(TRIM(raw_data!C511)="","Missing",IF(C511="","Invalid/Unrecognized","Valid"))</f>
        <v>Valid</v>
      </c>
      <c r="F511" s="5" t="n">
        <f aca="false">IF(OR(B511="",C511=""),"",C511-B511)</f>
        <v>2</v>
      </c>
      <c r="G511" s="3" t="str">
        <f aca="false">IF(F511="","N/A",IF(F511&lt;0,"Invalid - Ship Before Order","OK"))</f>
        <v>OK</v>
      </c>
      <c r="H511" s="3" t="str">
        <f aca="false">raw_data!D511</f>
        <v>CUST-7901</v>
      </c>
      <c r="I511" s="3" t="str">
        <f aca="false">PROPER(TRIM(raw_data!E511))</f>
        <v>Neha Gupta</v>
      </c>
      <c r="J511" s="3" t="str">
        <f aca="false">PROPER(TRIM(raw_data!F511))</f>
        <v>Consumer</v>
      </c>
      <c r="K511" s="3" t="str">
        <f aca="false">IF(TRIM(raw_data!G511)="","Unknown",PROPER(TRIM(raw_data!G511)))</f>
        <v>West</v>
      </c>
      <c r="L511" s="3" t="str">
        <f aca="false">IF(TRIM(raw_data!G511)="","Filled - Unknown","OK")</f>
        <v>OK</v>
      </c>
      <c r="M511" s="3" t="str">
        <f aca="false">PROPER(TRIM(raw_data!H511))</f>
        <v>Gujarat</v>
      </c>
      <c r="N511" s="3" t="str">
        <f aca="false">PROPER(TRIM(raw_data!I511))</f>
        <v>Ahmedabad</v>
      </c>
      <c r="O511" s="3" t="str">
        <f aca="false">PROPER(TRIM(raw_data!J511))</f>
        <v>Technology</v>
      </c>
      <c r="P511" s="3" t="str">
        <f aca="false">PROPER(TRIM(raw_data!K511))</f>
        <v>Machines</v>
      </c>
      <c r="Q511" s="3" t="str">
        <f aca="false">TRIM(raw_data!L511)</f>
        <v>Classic Machines 599</v>
      </c>
      <c r="R511" s="3" t="str">
        <f aca="false">IF(TRIM(raw_data!M511)="","Unknown",PROPER(TRIM(raw_data!M511)))</f>
        <v>Same Day</v>
      </c>
      <c r="S511" s="3" t="str">
        <f aca="false">IF(TRIM(raw_data!M511)="","Filled - Unknown","OK")</f>
        <v>OK</v>
      </c>
      <c r="T511" s="6" t="n">
        <f aca="false">raw_data!N511</f>
        <v>8</v>
      </c>
      <c r="U511" s="7" t="n">
        <f aca="false">raw_data!O511</f>
        <v>3631.44</v>
      </c>
      <c r="V511" s="8" t="n">
        <f aca="false">raw_data!P511</f>
        <v>0.2</v>
      </c>
      <c r="W511" s="8" t="n">
        <f aca="false">IF(raw_data!P511="",0,IF(ISTEXT(raw_data!P511),IF(RIGHT(raw_data!P511,1)="%",VALUE(LEFT(raw_data!P511,LEN(raw_data!P511)-1))/100,VALUE(raw_data!P511)),raw_data!P511))</f>
        <v>0.2</v>
      </c>
      <c r="X511" s="3" t="str">
        <f aca="false">IF(raw_data!P511="","Missing - Defaulted to 0",IF(W511&lt;0,"Negative - Invalid",IF(W511&gt;0.3,"Above Allowed Range - Invalid","Valid")))</f>
        <v>Valid</v>
      </c>
      <c r="Y511" s="7" t="n">
        <f aca="false">raw_data!Q511</f>
        <v>23241.22</v>
      </c>
      <c r="Z511" s="7" t="n">
        <f aca="false">raw_data!R511</f>
        <v>17220.9</v>
      </c>
      <c r="AA511" s="7" t="n">
        <f aca="false">raw_data!S511</f>
        <v>6020.32</v>
      </c>
      <c r="AB511" s="3" t="str">
        <f aca="false">PROPER(TRIM(raw_data!T511))</f>
        <v>Paid</v>
      </c>
      <c r="AC511" s="3" t="str">
        <f aca="false">PROPER(TRIM(raw_data!U511))</f>
        <v>Completed</v>
      </c>
      <c r="AD511" s="7" t="n">
        <f aca="false">T511*U511*(1-W511)</f>
        <v>23241.216</v>
      </c>
      <c r="AE511" s="7" t="n">
        <f aca="false">AD511-Z511</f>
        <v>6020.316</v>
      </c>
      <c r="AF511" s="8" t="n">
        <f aca="false">IF(AD511=0,0,AE511/AD511)</f>
        <v>0.25903618812372</v>
      </c>
      <c r="AG511" s="3" t="str">
        <f aca="false">IF(ABS(Y511-AD511)&gt;1,"Mismatch","OK")</f>
        <v>OK</v>
      </c>
      <c r="AH511" s="3" t="str">
        <f aca="false">IF(ABS(AA511-AE511)&gt;1,"Mismatch","OK")</f>
        <v>OK</v>
      </c>
      <c r="AI511" s="6" t="n">
        <f aca="false">IF(B511="","",MONTH(B511))</f>
        <v>5</v>
      </c>
      <c r="AJ511" s="6" t="n">
        <f aca="false">IF(B511="","",YEAR(B511))</f>
        <v>2025</v>
      </c>
      <c r="AK511" s="3" t="str">
        <f aca="false">IF(COUNTIF(raw_data!$A$2:$A$913,A511)&gt;1,"Conflicting Duplicate - Flagged for Review","Unique")</f>
        <v>Unique</v>
      </c>
      <c r="AL511" s="3" t="str">
        <f aca="false">IF(AB511="Refunded","Yes","No")</f>
        <v>No</v>
      </c>
      <c r="AM511" s="3" t="str">
        <f aca="false">IF(OR(AC511&lt;&gt;"Completed",AB511="Failed"),"Excluded","Included")</f>
        <v>Included</v>
      </c>
      <c r="AN511" s="3" t="str">
        <f aca="false">IF(OR(D511="Invalid/Unrecognized",E511="Invalid/Unrecognized",G511="Invalid - Ship Before Order",X511="Negative - Invalid",X511="Above Allowed Range - Invalid",AG511="Mismatch",AH511="Mismatch",AK511="Conflicting Duplicate - Flagged for Review"),"Invalid",IF(OR(L511="Filled - Unknown",S511="Filled - Unknown",X511="Missing - Defaulted to 0",AL511="Yes",AC511="Cancelled",AC511="Returned"),"Warning","Clean"))</f>
        <v>Clean</v>
      </c>
    </row>
    <row r="512" customFormat="false" ht="15" hidden="false" customHeight="false" outlineLevel="0" collapsed="false">
      <c r="A512" s="3" t="str">
        <f aca="false">raw_data!A512</f>
        <v>ORD-2024-10511</v>
      </c>
      <c r="B512" s="4" t="n">
        <f aca="false">IFERROR(IF(MID(raw_data!B512,3,1)="/",DATE(VALUE(RIGHT(raw_data!B512,4)),VALUE(LEFT(raw_data!B512,2)),VALUE(MID(raw_data!B512,4,2))),IF(MID(raw_data!B512,3,1)="-",DATE(VALUE(RIGHT(raw_data!B512,4)),VALUE(MID(raw_data!B512,4,2)),VALUE(LEFT(raw_data!B512,2))),IF(MID(raw_data!B512,5,1)="-",DATE(VALUE(LEFT(raw_data!B512,4)),VALUE(MID(raw_data!B512,6,2)),VALUE(RIGHT(raw_data!B512,2))),DATE(VALUE(RIGHT(raw_data!B512,4)),MATCH(MID(raw_data!B512,4,3),{"Jan","Feb","Mar","Apr","May","Jun","Jul","Aug","Sep","Oct","Nov","Dec"},0),VALUE(LEFT(raw_data!B512,2)))))),"")</f>
        <v>45583</v>
      </c>
      <c r="C512" s="4" t="n">
        <f aca="false">IFERROR(IF(MID(raw_data!C512,3,1)="/",DATE(VALUE(RIGHT(raw_data!C512,4)),VALUE(LEFT(raw_data!C512,2)),VALUE(MID(raw_data!C512,4,2))),IF(MID(raw_data!C512,3,1)="-",DATE(VALUE(RIGHT(raw_data!C512,4)),VALUE(MID(raw_data!C512,4,2)),VALUE(LEFT(raw_data!C512,2))),IF(MID(raw_data!C512,5,1)="-",DATE(VALUE(LEFT(raw_data!C512,4)),VALUE(MID(raw_data!C512,6,2)),VALUE(RIGHT(raw_data!C512,2))),DATE(VALUE(RIGHT(raw_data!C512,4)),MATCH(MID(raw_data!C512,4,3),{"Jan","Feb","Mar","Apr","May","Jun","Jul","Aug","Sep","Oct","Nov","Dec"},0),VALUE(LEFT(raw_data!C512,2)))))),"")</f>
        <v>45586</v>
      </c>
      <c r="D512" s="3" t="str">
        <f aca="false">IF(TRIM(raw_data!B512)="","Missing",IF(B512="","Invalid/Unrecognized","Valid"))</f>
        <v>Valid</v>
      </c>
      <c r="E512" s="3" t="str">
        <f aca="false">IF(TRIM(raw_data!C512)="","Missing",IF(C512="","Invalid/Unrecognized","Valid"))</f>
        <v>Valid</v>
      </c>
      <c r="F512" s="5" t="n">
        <f aca="false">IF(OR(B512="",C512=""),"",C512-B512)</f>
        <v>3</v>
      </c>
      <c r="G512" s="3" t="str">
        <f aca="false">IF(F512="","N/A",IF(F512&lt;0,"Invalid - Ship Before Order","OK"))</f>
        <v>OK</v>
      </c>
      <c r="H512" s="3" t="str">
        <f aca="false">raw_data!D512</f>
        <v>CUST-9759</v>
      </c>
      <c r="I512" s="3" t="str">
        <f aca="false">PROPER(TRIM(raw_data!E512))</f>
        <v>Aarav Sharma</v>
      </c>
      <c r="J512" s="3" t="str">
        <f aca="false">PROPER(TRIM(raw_data!F512))</f>
        <v>Consumer</v>
      </c>
      <c r="K512" s="3" t="str">
        <f aca="false">IF(TRIM(raw_data!G512)="","Unknown",PROPER(TRIM(raw_data!G512)))</f>
        <v>South</v>
      </c>
      <c r="L512" s="3" t="str">
        <f aca="false">IF(TRIM(raw_data!G512)="","Filled - Unknown","OK")</f>
        <v>OK</v>
      </c>
      <c r="M512" s="3" t="str">
        <f aca="false">PROPER(TRIM(raw_data!H512))</f>
        <v>Karnataka</v>
      </c>
      <c r="N512" s="3" t="str">
        <f aca="false">PROPER(TRIM(raw_data!I512))</f>
        <v>Bengaluru</v>
      </c>
      <c r="O512" s="3" t="str">
        <f aca="false">PROPER(TRIM(raw_data!J512))</f>
        <v>Office Supplies</v>
      </c>
      <c r="P512" s="3" t="str">
        <f aca="false">PROPER(TRIM(raw_data!K512))</f>
        <v>Storage</v>
      </c>
      <c r="Q512" s="3" t="str">
        <f aca="false">TRIM(raw_data!L512)</f>
        <v>Pro Storage 373</v>
      </c>
      <c r="R512" s="3" t="str">
        <f aca="false">IF(TRIM(raw_data!M512)="","Unknown",PROPER(TRIM(raw_data!M512)))</f>
        <v>Second Class</v>
      </c>
      <c r="S512" s="3" t="str">
        <f aca="false">IF(TRIM(raw_data!M512)="","Filled - Unknown","OK")</f>
        <v>OK</v>
      </c>
      <c r="T512" s="6" t="n">
        <f aca="false">raw_data!N512</f>
        <v>2</v>
      </c>
      <c r="U512" s="7" t="n">
        <f aca="false">raw_data!O512</f>
        <v>4238.51</v>
      </c>
      <c r="V512" s="8" t="n">
        <f aca="false">raw_data!P512</f>
        <v>0</v>
      </c>
      <c r="W512" s="8" t="n">
        <f aca="false">IF(raw_data!P512="",0,IF(ISTEXT(raw_data!P512),IF(RIGHT(raw_data!P512,1)="%",VALUE(LEFT(raw_data!P512,LEN(raw_data!P512)-1))/100,VALUE(raw_data!P512)),raw_data!P512))</f>
        <v>0</v>
      </c>
      <c r="X512" s="3" t="str">
        <f aca="false">IF(raw_data!P512="","Missing - Defaulted to 0",IF(W512&lt;0,"Negative - Invalid",IF(W512&gt;0.3,"Above Allowed Range - Invalid","Valid")))</f>
        <v>Valid</v>
      </c>
      <c r="Y512" s="7" t="n">
        <f aca="false">raw_data!Q512</f>
        <v>8477.02</v>
      </c>
      <c r="Z512" s="7" t="n">
        <f aca="false">raw_data!R512</f>
        <v>6884.96</v>
      </c>
      <c r="AA512" s="7" t="n">
        <f aca="false">raw_data!S512</f>
        <v>1592.06</v>
      </c>
      <c r="AB512" s="3" t="str">
        <f aca="false">PROPER(TRIM(raw_data!T512))</f>
        <v>Paid</v>
      </c>
      <c r="AC512" s="3" t="str">
        <f aca="false">PROPER(TRIM(raw_data!U512))</f>
        <v>Completed</v>
      </c>
      <c r="AD512" s="7" t="n">
        <f aca="false">T512*U512*(1-W512)</f>
        <v>8477.02</v>
      </c>
      <c r="AE512" s="7" t="n">
        <f aca="false">AD512-Z512</f>
        <v>1592.06</v>
      </c>
      <c r="AF512" s="8" t="n">
        <f aca="false">IF(AD512=0,0,AE512/AD512)</f>
        <v>0.187808923418843</v>
      </c>
      <c r="AG512" s="3" t="str">
        <f aca="false">IF(ABS(Y512-AD512)&gt;1,"Mismatch","OK")</f>
        <v>OK</v>
      </c>
      <c r="AH512" s="3" t="str">
        <f aca="false">IF(ABS(AA512-AE512)&gt;1,"Mismatch","OK")</f>
        <v>OK</v>
      </c>
      <c r="AI512" s="6" t="n">
        <f aca="false">IF(B512="","",MONTH(B512))</f>
        <v>10</v>
      </c>
      <c r="AJ512" s="6" t="n">
        <f aca="false">IF(B512="","",YEAR(B512))</f>
        <v>2024</v>
      </c>
      <c r="AK512" s="3" t="str">
        <f aca="false">IF(COUNTIF(raw_data!$A$2:$A$913,A512)&gt;1,"Conflicting Duplicate - Flagged for Review","Unique")</f>
        <v>Unique</v>
      </c>
      <c r="AL512" s="3" t="str">
        <f aca="false">IF(AB512="Refunded","Yes","No")</f>
        <v>No</v>
      </c>
      <c r="AM512" s="3" t="str">
        <f aca="false">IF(OR(AC512&lt;&gt;"Completed",AB512="Failed"),"Excluded","Included")</f>
        <v>Included</v>
      </c>
      <c r="AN512" s="3" t="str">
        <f aca="false">IF(OR(D512="Invalid/Unrecognized",E512="Invalid/Unrecognized",G512="Invalid - Ship Before Order",X512="Negative - Invalid",X512="Above Allowed Range - Invalid",AG512="Mismatch",AH512="Mismatch",AK512="Conflicting Duplicate - Flagged for Review"),"Invalid",IF(OR(L512="Filled - Unknown",S512="Filled - Unknown",X512="Missing - Defaulted to 0",AL512="Yes",AC512="Cancelled",AC512="Returned"),"Warning","Clean"))</f>
        <v>Clean</v>
      </c>
    </row>
    <row r="513" customFormat="false" ht="15" hidden="false" customHeight="false" outlineLevel="0" collapsed="false">
      <c r="A513" s="3" t="str">
        <f aca="false">raw_data!A513</f>
        <v>ORD-2024-10512</v>
      </c>
      <c r="B513" s="4" t="n">
        <f aca="false">IFERROR(IF(MID(raw_data!B513,3,1)="/",DATE(VALUE(RIGHT(raw_data!B513,4)),VALUE(LEFT(raw_data!B513,2)),VALUE(MID(raw_data!B513,4,2))),IF(MID(raw_data!B513,3,1)="-",DATE(VALUE(RIGHT(raw_data!B513,4)),VALUE(MID(raw_data!B513,4,2)),VALUE(LEFT(raw_data!B513,2))),IF(MID(raw_data!B513,5,1)="-",DATE(VALUE(LEFT(raw_data!B513,4)),VALUE(MID(raw_data!B513,6,2)),VALUE(RIGHT(raw_data!B513,2))),DATE(VALUE(RIGHT(raw_data!B513,4)),MATCH(MID(raw_data!B513,4,3),{"Jan","Feb","Mar","Apr","May","Jun","Jul","Aug","Sep","Oct","Nov","Dec"},0),VALUE(LEFT(raw_data!B513,2)))))),"")</f>
        <v>45588</v>
      </c>
      <c r="C513" s="4" t="n">
        <f aca="false">IFERROR(IF(MID(raw_data!C513,3,1)="/",DATE(VALUE(RIGHT(raw_data!C513,4)),VALUE(LEFT(raw_data!C513,2)),VALUE(MID(raw_data!C513,4,2))),IF(MID(raw_data!C513,3,1)="-",DATE(VALUE(RIGHT(raw_data!C513,4)),VALUE(MID(raw_data!C513,4,2)),VALUE(LEFT(raw_data!C513,2))),IF(MID(raw_data!C513,5,1)="-",DATE(VALUE(LEFT(raw_data!C513,4)),VALUE(MID(raw_data!C513,6,2)),VALUE(RIGHT(raw_data!C513,2))),DATE(VALUE(RIGHT(raw_data!C513,4)),MATCH(MID(raw_data!C513,4,3),{"Jan","Feb","Mar","Apr","May","Jun","Jul","Aug","Sep","Oct","Nov","Dec"},0),VALUE(LEFT(raw_data!C513,2)))))),"")</f>
        <v>45591</v>
      </c>
      <c r="D513" s="3" t="str">
        <f aca="false">IF(TRIM(raw_data!B513)="","Missing",IF(B513="","Invalid/Unrecognized","Valid"))</f>
        <v>Valid</v>
      </c>
      <c r="E513" s="3" t="str">
        <f aca="false">IF(TRIM(raw_data!C513)="","Missing",IF(C513="","Invalid/Unrecognized","Valid"))</f>
        <v>Valid</v>
      </c>
      <c r="F513" s="5" t="n">
        <f aca="false">IF(OR(B513="",C513=""),"",C513-B513)</f>
        <v>3</v>
      </c>
      <c r="G513" s="3" t="str">
        <f aca="false">IF(F513="","N/A",IF(F513&lt;0,"Invalid - Ship Before Order","OK"))</f>
        <v>OK</v>
      </c>
      <c r="H513" s="3" t="str">
        <f aca="false">raw_data!D513</f>
        <v>CUST-7232</v>
      </c>
      <c r="I513" s="3" t="str">
        <f aca="false">PROPER(TRIM(raw_data!E513))</f>
        <v>Sneha Kapoor</v>
      </c>
      <c r="J513" s="3" t="str">
        <f aca="false">PROPER(TRIM(raw_data!F513))</f>
        <v>Consumer</v>
      </c>
      <c r="K513" s="3" t="str">
        <f aca="false">IF(TRIM(raw_data!G513)="","Unknown",PROPER(TRIM(raw_data!G513)))</f>
        <v>West</v>
      </c>
      <c r="L513" s="3" t="str">
        <f aca="false">IF(TRIM(raw_data!G513)="","Filled - Unknown","OK")</f>
        <v>OK</v>
      </c>
      <c r="M513" s="3" t="str">
        <f aca="false">PROPER(TRIM(raw_data!H513))</f>
        <v>Madhya Pradesh</v>
      </c>
      <c r="N513" s="3" t="str">
        <f aca="false">PROPER(TRIM(raw_data!I513))</f>
        <v>Indore</v>
      </c>
      <c r="O513" s="3" t="str">
        <f aca="false">PROPER(TRIM(raw_data!J513))</f>
        <v>Furniture</v>
      </c>
      <c r="P513" s="3" t="str">
        <f aca="false">PROPER(TRIM(raw_data!K513))</f>
        <v>Bookcases</v>
      </c>
      <c r="Q513" s="3" t="str">
        <f aca="false">TRIM(raw_data!L513)</f>
        <v>Smart Bookcases 920</v>
      </c>
      <c r="R513" s="3" t="str">
        <f aca="false">IF(TRIM(raw_data!M513)="","Unknown",PROPER(TRIM(raw_data!M513)))</f>
        <v>Standard Class</v>
      </c>
      <c r="S513" s="3" t="str">
        <f aca="false">IF(TRIM(raw_data!M513)="","Filled - Unknown","OK")</f>
        <v>OK</v>
      </c>
      <c r="T513" s="6" t="n">
        <f aca="false">raw_data!N513</f>
        <v>9</v>
      </c>
      <c r="U513" s="7" t="n">
        <f aca="false">raw_data!O513</f>
        <v>544.27</v>
      </c>
      <c r="V513" s="8" t="n">
        <f aca="false">raw_data!P513</f>
        <v>0.25</v>
      </c>
      <c r="W513" s="8" t="n">
        <f aca="false">IF(raw_data!P513="",0,IF(ISTEXT(raw_data!P513),IF(RIGHT(raw_data!P513,1)="%",VALUE(LEFT(raw_data!P513,LEN(raw_data!P513)-1))/100,VALUE(raw_data!P513)),raw_data!P513))</f>
        <v>0.25</v>
      </c>
      <c r="X513" s="3" t="str">
        <f aca="false">IF(raw_data!P513="","Missing - Defaulted to 0",IF(W513&lt;0,"Negative - Invalid",IF(W513&gt;0.3,"Above Allowed Range - Invalid","Valid")))</f>
        <v>Valid</v>
      </c>
      <c r="Y513" s="7" t="n">
        <f aca="false">raw_data!Q513</f>
        <v>3673.82</v>
      </c>
      <c r="Z513" s="7" t="n">
        <f aca="false">raw_data!R513</f>
        <v>2088.15</v>
      </c>
      <c r="AA513" s="7" t="n">
        <f aca="false">raw_data!S513</f>
        <v>1585.67</v>
      </c>
      <c r="AB513" s="3" t="str">
        <f aca="false">PROPER(TRIM(raw_data!T513))</f>
        <v>Paid</v>
      </c>
      <c r="AC513" s="3" t="str">
        <f aca="false">PROPER(TRIM(raw_data!U513))</f>
        <v>Completed</v>
      </c>
      <c r="AD513" s="7" t="n">
        <f aca="false">T513*U513*(1-W513)</f>
        <v>3673.8225</v>
      </c>
      <c r="AE513" s="7" t="n">
        <f aca="false">AD513-Z513</f>
        <v>1585.6725</v>
      </c>
      <c r="AF513" s="8" t="n">
        <f aca="false">IF(AD513=0,0,AE513/AD513)</f>
        <v>0.431613802789874</v>
      </c>
      <c r="AG513" s="3" t="str">
        <f aca="false">IF(ABS(Y513-AD513)&gt;1,"Mismatch","OK")</f>
        <v>OK</v>
      </c>
      <c r="AH513" s="3" t="str">
        <f aca="false">IF(ABS(AA513-AE513)&gt;1,"Mismatch","OK")</f>
        <v>OK</v>
      </c>
      <c r="AI513" s="6" t="n">
        <f aca="false">IF(B513="","",MONTH(B513))</f>
        <v>10</v>
      </c>
      <c r="AJ513" s="6" t="n">
        <f aca="false">IF(B513="","",YEAR(B513))</f>
        <v>2024</v>
      </c>
      <c r="AK513" s="3" t="str">
        <f aca="false">IF(COUNTIF(raw_data!$A$2:$A$913,A513)&gt;1,"Conflicting Duplicate - Flagged for Review","Unique")</f>
        <v>Unique</v>
      </c>
      <c r="AL513" s="3" t="str">
        <f aca="false">IF(AB513="Refunded","Yes","No")</f>
        <v>No</v>
      </c>
      <c r="AM513" s="3" t="str">
        <f aca="false">IF(OR(AC513&lt;&gt;"Completed",AB513="Failed"),"Excluded","Included")</f>
        <v>Included</v>
      </c>
      <c r="AN513" s="3" t="str">
        <f aca="false">IF(OR(D513="Invalid/Unrecognized",E513="Invalid/Unrecognized",G513="Invalid - Ship Before Order",X513="Negative - Invalid",X513="Above Allowed Range - Invalid",AG513="Mismatch",AH513="Mismatch",AK513="Conflicting Duplicate - Flagged for Review"),"Invalid",IF(OR(L513="Filled - Unknown",S513="Filled - Unknown",X513="Missing - Defaulted to 0",AL513="Yes",AC513="Cancelled",AC513="Returned"),"Warning","Clean"))</f>
        <v>Clean</v>
      </c>
    </row>
    <row r="514" customFormat="false" ht="15" hidden="false" customHeight="false" outlineLevel="0" collapsed="false">
      <c r="A514" s="3" t="str">
        <f aca="false">raw_data!A514</f>
        <v>ORD-2025-10513</v>
      </c>
      <c r="B514" s="4" t="n">
        <f aca="false">IFERROR(IF(MID(raw_data!B514,3,1)="/",DATE(VALUE(RIGHT(raw_data!B514,4)),VALUE(LEFT(raw_data!B514,2)),VALUE(MID(raw_data!B514,4,2))),IF(MID(raw_data!B514,3,1)="-",DATE(VALUE(RIGHT(raw_data!B514,4)),VALUE(MID(raw_data!B514,4,2)),VALUE(LEFT(raw_data!B514,2))),IF(MID(raw_data!B514,5,1)="-",DATE(VALUE(LEFT(raw_data!B514,4)),VALUE(MID(raw_data!B514,6,2)),VALUE(RIGHT(raw_data!B514,2))),DATE(VALUE(RIGHT(raw_data!B514,4)),MATCH(MID(raw_data!B514,4,3),{"Jan","Feb","Mar","Apr","May","Jun","Jul","Aug","Sep","Oct","Nov","Dec"},0),VALUE(LEFT(raw_data!B514,2)))))),"")</f>
        <v>45718</v>
      </c>
      <c r="C514" s="4" t="n">
        <f aca="false">IFERROR(IF(MID(raw_data!C514,3,1)="/",DATE(VALUE(RIGHT(raw_data!C514,4)),VALUE(LEFT(raw_data!C514,2)),VALUE(MID(raw_data!C514,4,2))),IF(MID(raw_data!C514,3,1)="-",DATE(VALUE(RIGHT(raw_data!C514,4)),VALUE(MID(raw_data!C514,4,2)),VALUE(LEFT(raw_data!C514,2))),IF(MID(raw_data!C514,5,1)="-",DATE(VALUE(LEFT(raw_data!C514,4)),VALUE(MID(raw_data!C514,6,2)),VALUE(RIGHT(raw_data!C514,2))),DATE(VALUE(RIGHT(raw_data!C514,4)),MATCH(MID(raw_data!C514,4,3),{"Jan","Feb","Mar","Apr","May","Jun","Jul","Aug","Sep","Oct","Nov","Dec"},0),VALUE(LEFT(raw_data!C514,2)))))),"")</f>
        <v>45719</v>
      </c>
      <c r="D514" s="3" t="str">
        <f aca="false">IF(TRIM(raw_data!B514)="","Missing",IF(B514="","Invalid/Unrecognized","Valid"))</f>
        <v>Valid</v>
      </c>
      <c r="E514" s="3" t="str">
        <f aca="false">IF(TRIM(raw_data!C514)="","Missing",IF(C514="","Invalid/Unrecognized","Valid"))</f>
        <v>Valid</v>
      </c>
      <c r="F514" s="5" t="n">
        <f aca="false">IF(OR(B514="",C514=""),"",C514-B514)</f>
        <v>1</v>
      </c>
      <c r="G514" s="3" t="str">
        <f aca="false">IF(F514="","N/A",IF(F514&lt;0,"Invalid - Ship Before Order","OK"))</f>
        <v>OK</v>
      </c>
      <c r="H514" s="3" t="str">
        <f aca="false">raw_data!D514</f>
        <v>CUST-9943</v>
      </c>
      <c r="I514" s="3" t="str">
        <f aca="false">PROPER(TRIM(raw_data!E514))</f>
        <v>Isha Nair</v>
      </c>
      <c r="J514" s="3" t="str">
        <f aca="false">PROPER(TRIM(raw_data!F514))</f>
        <v>Corporate</v>
      </c>
      <c r="K514" s="3" t="str">
        <f aca="false">IF(TRIM(raw_data!G514)="","Unknown",PROPER(TRIM(raw_data!G514)))</f>
        <v>South</v>
      </c>
      <c r="L514" s="3" t="str">
        <f aca="false">IF(TRIM(raw_data!G514)="","Filled - Unknown","OK")</f>
        <v>OK</v>
      </c>
      <c r="M514" s="3" t="str">
        <f aca="false">PROPER(TRIM(raw_data!H514))</f>
        <v>Kerala</v>
      </c>
      <c r="N514" s="3" t="str">
        <f aca="false">PROPER(TRIM(raw_data!I514))</f>
        <v>Kochi</v>
      </c>
      <c r="O514" s="3" t="str">
        <f aca="false">PROPER(TRIM(raw_data!J514))</f>
        <v>Office Supplies</v>
      </c>
      <c r="P514" s="3" t="str">
        <f aca="false">PROPER(TRIM(raw_data!K514))</f>
        <v>Labels</v>
      </c>
      <c r="Q514" s="3" t="str">
        <f aca="false">TRIM(raw_data!L514)</f>
        <v>Pro Labels 849</v>
      </c>
      <c r="R514" s="3" t="str">
        <f aca="false">IF(TRIM(raw_data!M514)="","Unknown",PROPER(TRIM(raw_data!M514)))</f>
        <v>Second Class</v>
      </c>
      <c r="S514" s="3" t="str">
        <f aca="false">IF(TRIM(raw_data!M514)="","Filled - Unknown","OK")</f>
        <v>OK</v>
      </c>
      <c r="T514" s="6" t="n">
        <f aca="false">raw_data!N514</f>
        <v>2</v>
      </c>
      <c r="U514" s="7" t="n">
        <f aca="false">raw_data!O514</f>
        <v>4031.45</v>
      </c>
      <c r="V514" s="8" t="n">
        <f aca="false">raw_data!P514</f>
        <v>0.25</v>
      </c>
      <c r="W514" s="8" t="n">
        <f aca="false">IF(raw_data!P514="",0,IF(ISTEXT(raw_data!P514),IF(RIGHT(raw_data!P514,1)="%",VALUE(LEFT(raw_data!P514,LEN(raw_data!P514)-1))/100,VALUE(raw_data!P514)),raw_data!P514))</f>
        <v>0.25</v>
      </c>
      <c r="X514" s="3" t="str">
        <f aca="false">IF(raw_data!P514="","Missing - Defaulted to 0",IF(W514&lt;0,"Negative - Invalid",IF(W514&gt;0.3,"Above Allowed Range - Invalid","Valid")))</f>
        <v>Valid</v>
      </c>
      <c r="Y514" s="7" t="n">
        <f aca="false">raw_data!Q514</f>
        <v>6047.17</v>
      </c>
      <c r="Z514" s="7" t="n">
        <f aca="false">raw_data!R514</f>
        <v>3368.79</v>
      </c>
      <c r="AA514" s="7" t="n">
        <f aca="false">raw_data!S514</f>
        <v>2678.38</v>
      </c>
      <c r="AB514" s="3" t="str">
        <f aca="false">PROPER(TRIM(raw_data!T514))</f>
        <v>Paid</v>
      </c>
      <c r="AC514" s="3" t="str">
        <f aca="false">PROPER(TRIM(raw_data!U514))</f>
        <v>Completed</v>
      </c>
      <c r="AD514" s="7" t="n">
        <f aca="false">T514*U514*(1-W514)</f>
        <v>6047.175</v>
      </c>
      <c r="AE514" s="7" t="n">
        <f aca="false">AD514-Z514</f>
        <v>2678.385</v>
      </c>
      <c r="AF514" s="8" t="n">
        <f aca="false">IF(AD514=0,0,AE514/AD514)</f>
        <v>0.442915080182068</v>
      </c>
      <c r="AG514" s="3" t="str">
        <f aca="false">IF(ABS(Y514-AD514)&gt;1,"Mismatch","OK")</f>
        <v>OK</v>
      </c>
      <c r="AH514" s="3" t="str">
        <f aca="false">IF(ABS(AA514-AE514)&gt;1,"Mismatch","OK")</f>
        <v>OK</v>
      </c>
      <c r="AI514" s="6" t="n">
        <f aca="false">IF(B514="","",MONTH(B514))</f>
        <v>3</v>
      </c>
      <c r="AJ514" s="6" t="n">
        <f aca="false">IF(B514="","",YEAR(B514))</f>
        <v>2025</v>
      </c>
      <c r="AK514" s="3" t="str">
        <f aca="false">IF(COUNTIF(raw_data!$A$2:$A$913,A514)&gt;1,"Conflicting Duplicate - Flagged for Review","Unique")</f>
        <v>Unique</v>
      </c>
      <c r="AL514" s="3" t="str">
        <f aca="false">IF(AB514="Refunded","Yes","No")</f>
        <v>No</v>
      </c>
      <c r="AM514" s="3" t="str">
        <f aca="false">IF(OR(AC514&lt;&gt;"Completed",AB514="Failed"),"Excluded","Included")</f>
        <v>Included</v>
      </c>
      <c r="AN514" s="3" t="str">
        <f aca="false">IF(OR(D514="Invalid/Unrecognized",E514="Invalid/Unrecognized",G514="Invalid - Ship Before Order",X514="Negative - Invalid",X514="Above Allowed Range - Invalid",AG514="Mismatch",AH514="Mismatch",AK514="Conflicting Duplicate - Flagged for Review"),"Invalid",IF(OR(L514="Filled - Unknown",S514="Filled - Unknown",X514="Missing - Defaulted to 0",AL514="Yes",AC514="Cancelled",AC514="Returned"),"Warning","Clean"))</f>
        <v>Clean</v>
      </c>
    </row>
    <row r="515" customFormat="false" ht="15" hidden="false" customHeight="false" outlineLevel="0" collapsed="false">
      <c r="A515" s="3" t="str">
        <f aca="false">raw_data!A515</f>
        <v>ORD-2025-10514</v>
      </c>
      <c r="B515" s="4" t="n">
        <f aca="false">IFERROR(IF(MID(raw_data!B515,3,1)="/",DATE(VALUE(RIGHT(raw_data!B515,4)),VALUE(LEFT(raw_data!B515,2)),VALUE(MID(raw_data!B515,4,2))),IF(MID(raw_data!B515,3,1)="-",DATE(VALUE(RIGHT(raw_data!B515,4)),VALUE(MID(raw_data!B515,4,2)),VALUE(LEFT(raw_data!B515,2))),IF(MID(raw_data!B515,5,1)="-",DATE(VALUE(LEFT(raw_data!B515,4)),VALUE(MID(raw_data!B515,6,2)),VALUE(RIGHT(raw_data!B515,2))),DATE(VALUE(RIGHT(raw_data!B515,4)),MATCH(MID(raw_data!B515,4,3),{"Jan","Feb","Mar","Apr","May","Jun","Jul","Aug","Sep","Oct","Nov","Dec"},0),VALUE(LEFT(raw_data!B515,2)))))),"")</f>
        <v>45835</v>
      </c>
      <c r="C515" s="4" t="n">
        <f aca="false">IFERROR(IF(MID(raw_data!C515,3,1)="/",DATE(VALUE(RIGHT(raw_data!C515,4)),VALUE(LEFT(raw_data!C515,2)),VALUE(MID(raw_data!C515,4,2))),IF(MID(raw_data!C515,3,1)="-",DATE(VALUE(RIGHT(raw_data!C515,4)),VALUE(MID(raw_data!C515,4,2)),VALUE(LEFT(raw_data!C515,2))),IF(MID(raw_data!C515,5,1)="-",DATE(VALUE(LEFT(raw_data!C515,4)),VALUE(MID(raw_data!C515,6,2)),VALUE(RIGHT(raw_data!C515,2))),DATE(VALUE(RIGHT(raw_data!C515,4)),MATCH(MID(raw_data!C515,4,3),{"Jan","Feb","Mar","Apr","May","Jun","Jul","Aug","Sep","Oct","Nov","Dec"},0),VALUE(LEFT(raw_data!C515,2)))))),"")</f>
        <v>45840</v>
      </c>
      <c r="D515" s="3" t="str">
        <f aca="false">IF(TRIM(raw_data!B515)="","Missing",IF(B515="","Invalid/Unrecognized","Valid"))</f>
        <v>Valid</v>
      </c>
      <c r="E515" s="3" t="str">
        <f aca="false">IF(TRIM(raw_data!C515)="","Missing",IF(C515="","Invalid/Unrecognized","Valid"))</f>
        <v>Valid</v>
      </c>
      <c r="F515" s="5" t="n">
        <f aca="false">IF(OR(B515="",C515=""),"",C515-B515)</f>
        <v>5</v>
      </c>
      <c r="G515" s="3" t="str">
        <f aca="false">IF(F515="","N/A",IF(F515&lt;0,"Invalid - Ship Before Order","OK"))</f>
        <v>OK</v>
      </c>
      <c r="H515" s="3" t="str">
        <f aca="false">raw_data!D515</f>
        <v>CUST-8993</v>
      </c>
      <c r="I515" s="3" t="str">
        <f aca="false">PROPER(TRIM(raw_data!E515))</f>
        <v>Aarav Sharma</v>
      </c>
      <c r="J515" s="3" t="str">
        <f aca="false">PROPER(TRIM(raw_data!F515))</f>
        <v>Corporate</v>
      </c>
      <c r="K515" s="3" t="str">
        <f aca="false">IF(TRIM(raw_data!G515)="","Unknown",PROPER(TRIM(raw_data!G515)))</f>
        <v>South</v>
      </c>
      <c r="L515" s="3" t="str">
        <f aca="false">IF(TRIM(raw_data!G515)="","Filled - Unknown","OK")</f>
        <v>OK</v>
      </c>
      <c r="M515" s="3" t="str">
        <f aca="false">PROPER(TRIM(raw_data!H515))</f>
        <v>Kerala</v>
      </c>
      <c r="N515" s="3" t="str">
        <f aca="false">PROPER(TRIM(raw_data!I515))</f>
        <v>Kochi</v>
      </c>
      <c r="O515" s="3" t="str">
        <f aca="false">PROPER(TRIM(raw_data!J515))</f>
        <v>Technology</v>
      </c>
      <c r="P515" s="3" t="str">
        <f aca="false">PROPER(TRIM(raw_data!K515))</f>
        <v>Accessories</v>
      </c>
      <c r="Q515" s="3" t="str">
        <f aca="false">TRIM(raw_data!L515)</f>
        <v>Prime Accessories 849</v>
      </c>
      <c r="R515" s="3" t="str">
        <f aca="false">IF(TRIM(raw_data!M515)="","Unknown",PROPER(TRIM(raw_data!M515)))</f>
        <v>First Class</v>
      </c>
      <c r="S515" s="3" t="str">
        <f aca="false">IF(TRIM(raw_data!M515)="","Filled - Unknown","OK")</f>
        <v>OK</v>
      </c>
      <c r="T515" s="6" t="n">
        <f aca="false">raw_data!N515</f>
        <v>6</v>
      </c>
      <c r="U515" s="7" t="n">
        <f aca="false">raw_data!O515</f>
        <v>1099.49</v>
      </c>
      <c r="V515" s="8" t="n">
        <f aca="false">raw_data!P515</f>
        <v>0.1</v>
      </c>
      <c r="W515" s="8" t="n">
        <f aca="false">IF(raw_data!P515="",0,IF(ISTEXT(raw_data!P515),IF(RIGHT(raw_data!P515,1)="%",VALUE(LEFT(raw_data!P515,LEN(raw_data!P515)-1))/100,VALUE(raw_data!P515)),raw_data!P515))</f>
        <v>0.1</v>
      </c>
      <c r="X515" s="3" t="str">
        <f aca="false">IF(raw_data!P515="","Missing - Defaulted to 0",IF(W515&lt;0,"Negative - Invalid",IF(W515&gt;0.3,"Above Allowed Range - Invalid","Valid")))</f>
        <v>Valid</v>
      </c>
      <c r="Y515" s="7" t="n">
        <f aca="false">raw_data!Q515</f>
        <v>6212.38</v>
      </c>
      <c r="Z515" s="7" t="n">
        <f aca="false">raw_data!R515</f>
        <v>4088.46</v>
      </c>
      <c r="AA515" s="7" t="n">
        <f aca="false">raw_data!S515</f>
        <v>1848.79</v>
      </c>
      <c r="AB515" s="3" t="str">
        <f aca="false">PROPER(TRIM(raw_data!T515))</f>
        <v>Paid</v>
      </c>
      <c r="AC515" s="3" t="str">
        <f aca="false">PROPER(TRIM(raw_data!U515))</f>
        <v>Completed</v>
      </c>
      <c r="AD515" s="7" t="n">
        <f aca="false">T515*U515*(1-W515)</f>
        <v>5937.246</v>
      </c>
      <c r="AE515" s="7" t="n">
        <f aca="false">AD515-Z515</f>
        <v>1848.786</v>
      </c>
      <c r="AF515" s="8" t="n">
        <f aca="false">IF(AD515=0,0,AE515/AD515)</f>
        <v>0.31138780505305</v>
      </c>
      <c r="AG515" s="3" t="str">
        <f aca="false">IF(ABS(Y515-AD515)&gt;1,"Mismatch","OK")</f>
        <v>Mismatch</v>
      </c>
      <c r="AH515" s="3" t="str">
        <f aca="false">IF(ABS(AA515-AE515)&gt;1,"Mismatch","OK")</f>
        <v>OK</v>
      </c>
      <c r="AI515" s="6" t="n">
        <f aca="false">IF(B515="","",MONTH(B515))</f>
        <v>6</v>
      </c>
      <c r="AJ515" s="6" t="n">
        <f aca="false">IF(B515="","",YEAR(B515))</f>
        <v>2025</v>
      </c>
      <c r="AK515" s="3" t="str">
        <f aca="false">IF(COUNTIF(raw_data!$A$2:$A$913,A515)&gt;1,"Conflicting Duplicate - Flagged for Review","Unique")</f>
        <v>Unique</v>
      </c>
      <c r="AL515" s="3" t="str">
        <f aca="false">IF(AB515="Refunded","Yes","No")</f>
        <v>No</v>
      </c>
      <c r="AM515" s="3" t="str">
        <f aca="false">IF(OR(AC515&lt;&gt;"Completed",AB515="Failed"),"Excluded","Included")</f>
        <v>Included</v>
      </c>
      <c r="AN515" s="3" t="str">
        <f aca="false">IF(OR(D515="Invalid/Unrecognized",E515="Invalid/Unrecognized",G515="Invalid - Ship Before Order",X515="Negative - Invalid",X515="Above Allowed Range - Invalid",AG515="Mismatch",AH515="Mismatch",AK515="Conflicting Duplicate - Flagged for Review"),"Invalid",IF(OR(L515="Filled - Unknown",S515="Filled - Unknown",X515="Missing - Defaulted to 0",AL515="Yes",AC515="Cancelled",AC515="Returned"),"Warning","Clean"))</f>
        <v>Invalid</v>
      </c>
    </row>
    <row r="516" customFormat="false" ht="15" hidden="false" customHeight="false" outlineLevel="0" collapsed="false">
      <c r="A516" s="3" t="str">
        <f aca="false">raw_data!A516</f>
        <v>ORD-2024-10515</v>
      </c>
      <c r="B516" s="4" t="n">
        <f aca="false">IFERROR(IF(MID(raw_data!B516,3,1)="/",DATE(VALUE(RIGHT(raw_data!B516,4)),VALUE(LEFT(raw_data!B516,2)),VALUE(MID(raw_data!B516,4,2))),IF(MID(raw_data!B516,3,1)="-",DATE(VALUE(RIGHT(raw_data!B516,4)),VALUE(MID(raw_data!B516,4,2)),VALUE(LEFT(raw_data!B516,2))),IF(MID(raw_data!B516,5,1)="-",DATE(VALUE(LEFT(raw_data!B516,4)),VALUE(MID(raw_data!B516,6,2)),VALUE(RIGHT(raw_data!B516,2))),DATE(VALUE(RIGHT(raw_data!B516,4)),MATCH(MID(raw_data!B516,4,3),{"Jan","Feb","Mar","Apr","May","Jun","Jul","Aug","Sep","Oct","Nov","Dec"},0),VALUE(LEFT(raw_data!B516,2)))))),"")</f>
        <v>45614</v>
      </c>
      <c r="C516" s="4" t="n">
        <f aca="false">IFERROR(IF(MID(raw_data!C516,3,1)="/",DATE(VALUE(RIGHT(raw_data!C516,4)),VALUE(LEFT(raw_data!C516,2)),VALUE(MID(raw_data!C516,4,2))),IF(MID(raw_data!C516,3,1)="-",DATE(VALUE(RIGHT(raw_data!C516,4)),VALUE(MID(raw_data!C516,4,2)),VALUE(LEFT(raw_data!C516,2))),IF(MID(raw_data!C516,5,1)="-",DATE(VALUE(LEFT(raw_data!C516,4)),VALUE(MID(raw_data!C516,6,2)),VALUE(RIGHT(raw_data!C516,2))),DATE(VALUE(RIGHT(raw_data!C516,4)),MATCH(MID(raw_data!C516,4,3),{"Jan","Feb","Mar","Apr","May","Jun","Jul","Aug","Sep","Oct","Nov","Dec"},0),VALUE(LEFT(raw_data!C516,2)))))),"")</f>
        <v>45618</v>
      </c>
      <c r="D516" s="3" t="str">
        <f aca="false">IF(TRIM(raw_data!B516)="","Missing",IF(B516="","Invalid/Unrecognized","Valid"))</f>
        <v>Valid</v>
      </c>
      <c r="E516" s="3" t="str">
        <f aca="false">IF(TRIM(raw_data!C516)="","Missing",IF(C516="","Invalid/Unrecognized","Valid"))</f>
        <v>Valid</v>
      </c>
      <c r="F516" s="5" t="n">
        <f aca="false">IF(OR(B516="",C516=""),"",C516-B516)</f>
        <v>4</v>
      </c>
      <c r="G516" s="3" t="str">
        <f aca="false">IF(F516="","N/A",IF(F516&lt;0,"Invalid - Ship Before Order","OK"))</f>
        <v>OK</v>
      </c>
      <c r="H516" s="3" t="str">
        <f aca="false">raw_data!D516</f>
        <v>CUST-7729</v>
      </c>
      <c r="I516" s="3" t="str">
        <f aca="false">PROPER(TRIM(raw_data!E516))</f>
        <v>Karan Malhotra</v>
      </c>
      <c r="J516" s="3" t="str">
        <f aca="false">PROPER(TRIM(raw_data!F516))</f>
        <v>Home Office</v>
      </c>
      <c r="K516" s="3" t="str">
        <f aca="false">IF(TRIM(raw_data!G516)="","Unknown",PROPER(TRIM(raw_data!G516)))</f>
        <v>South</v>
      </c>
      <c r="L516" s="3" t="str">
        <f aca="false">IF(TRIM(raw_data!G516)="","Filled - Unknown","OK")</f>
        <v>OK</v>
      </c>
      <c r="M516" s="3" t="str">
        <f aca="false">PROPER(TRIM(raw_data!H516))</f>
        <v>Kerala</v>
      </c>
      <c r="N516" s="3" t="str">
        <f aca="false">PROPER(TRIM(raw_data!I516))</f>
        <v>Kochi</v>
      </c>
      <c r="O516" s="3" t="str">
        <f aca="false">PROPER(TRIM(raw_data!J516))</f>
        <v>Technology</v>
      </c>
      <c r="P516" s="3" t="str">
        <f aca="false">PROPER(TRIM(raw_data!K516))</f>
        <v>Accessories</v>
      </c>
      <c r="Q516" s="3" t="str">
        <f aca="false">TRIM(raw_data!L516)</f>
        <v>Smart Accessories 388</v>
      </c>
      <c r="R516" s="3" t="str">
        <f aca="false">IF(TRIM(raw_data!M516)="","Unknown",PROPER(TRIM(raw_data!M516)))</f>
        <v>Standard Class</v>
      </c>
      <c r="S516" s="3" t="str">
        <f aca="false">IF(TRIM(raw_data!M516)="","Filled - Unknown","OK")</f>
        <v>OK</v>
      </c>
      <c r="T516" s="6" t="n">
        <f aca="false">raw_data!N516</f>
        <v>6</v>
      </c>
      <c r="U516" s="7" t="n">
        <f aca="false">raw_data!O516</f>
        <v>3872.94</v>
      </c>
      <c r="V516" s="8" t="n">
        <f aca="false">raw_data!P516</f>
        <v>0.1</v>
      </c>
      <c r="W516" s="8" t="n">
        <f aca="false">IF(raw_data!P516="",0,IF(ISTEXT(raw_data!P516),IF(RIGHT(raw_data!P516,1)="%",VALUE(LEFT(raw_data!P516,LEN(raw_data!P516)-1))/100,VALUE(raw_data!P516)),raw_data!P516))</f>
        <v>0.1</v>
      </c>
      <c r="X516" s="3" t="str">
        <f aca="false">IF(raw_data!P516="","Missing - Defaulted to 0",IF(W516&lt;0,"Negative - Invalid",IF(W516&gt;0.3,"Above Allowed Range - Invalid","Valid")))</f>
        <v>Valid</v>
      </c>
      <c r="Y516" s="7" t="n">
        <f aca="false">raw_data!Q516</f>
        <v>20913.88</v>
      </c>
      <c r="Z516" s="7" t="n">
        <f aca="false">raw_data!R516</f>
        <v>11684.68</v>
      </c>
      <c r="AA516" s="7" t="n">
        <f aca="false">raw_data!S516</f>
        <v>9229.2</v>
      </c>
      <c r="AB516" s="3" t="str">
        <f aca="false">PROPER(TRIM(raw_data!T516))</f>
        <v>Paid</v>
      </c>
      <c r="AC516" s="3" t="str">
        <f aca="false">PROPER(TRIM(raw_data!U516))</f>
        <v>Completed</v>
      </c>
      <c r="AD516" s="7" t="n">
        <f aca="false">T516*U516*(1-W516)</f>
        <v>20913.876</v>
      </c>
      <c r="AE516" s="7" t="n">
        <f aca="false">AD516-Z516</f>
        <v>9229.196</v>
      </c>
      <c r="AF516" s="8" t="n">
        <f aca="false">IF(AD516=0,0,AE516/AD516)</f>
        <v>0.441295339037106</v>
      </c>
      <c r="AG516" s="3" t="str">
        <f aca="false">IF(ABS(Y516-AD516)&gt;1,"Mismatch","OK")</f>
        <v>OK</v>
      </c>
      <c r="AH516" s="3" t="str">
        <f aca="false">IF(ABS(AA516-AE516)&gt;1,"Mismatch","OK")</f>
        <v>OK</v>
      </c>
      <c r="AI516" s="6" t="n">
        <f aca="false">IF(B516="","",MONTH(B516))</f>
        <v>11</v>
      </c>
      <c r="AJ516" s="6" t="n">
        <f aca="false">IF(B516="","",YEAR(B516))</f>
        <v>2024</v>
      </c>
      <c r="AK516" s="3" t="str">
        <f aca="false">IF(COUNTIF(raw_data!$A$2:$A$913,A516)&gt;1,"Conflicting Duplicate - Flagged for Review","Unique")</f>
        <v>Unique</v>
      </c>
      <c r="AL516" s="3" t="str">
        <f aca="false">IF(AB516="Refunded","Yes","No")</f>
        <v>No</v>
      </c>
      <c r="AM516" s="3" t="str">
        <f aca="false">IF(OR(AC516&lt;&gt;"Completed",AB516="Failed"),"Excluded","Included")</f>
        <v>Included</v>
      </c>
      <c r="AN516" s="3" t="str">
        <f aca="false">IF(OR(D516="Invalid/Unrecognized",E516="Invalid/Unrecognized",G516="Invalid - Ship Before Order",X516="Negative - Invalid",X516="Above Allowed Range - Invalid",AG516="Mismatch",AH516="Mismatch",AK516="Conflicting Duplicate - Flagged for Review"),"Invalid",IF(OR(L516="Filled - Unknown",S516="Filled - Unknown",X516="Missing - Defaulted to 0",AL516="Yes",AC516="Cancelled",AC516="Returned"),"Warning","Clean"))</f>
        <v>Clean</v>
      </c>
    </row>
    <row r="517" customFormat="false" ht="15" hidden="false" customHeight="false" outlineLevel="0" collapsed="false">
      <c r="A517" s="3" t="str">
        <f aca="false">raw_data!A517</f>
        <v>ORD-2025-10516</v>
      </c>
      <c r="B517" s="4" t="n">
        <f aca="false">IFERROR(IF(MID(raw_data!B517,3,1)="/",DATE(VALUE(RIGHT(raw_data!B517,4)),VALUE(LEFT(raw_data!B517,2)),VALUE(MID(raw_data!B517,4,2))),IF(MID(raw_data!B517,3,1)="-",DATE(VALUE(RIGHT(raw_data!B517,4)),VALUE(MID(raw_data!B517,4,2)),VALUE(LEFT(raw_data!B517,2))),IF(MID(raw_data!B517,5,1)="-",DATE(VALUE(LEFT(raw_data!B517,4)),VALUE(MID(raw_data!B517,6,2)),VALUE(RIGHT(raw_data!B517,2))),DATE(VALUE(RIGHT(raw_data!B517,4)),MATCH(MID(raw_data!B517,4,3),{"Jan","Feb","Mar","Apr","May","Jun","Jul","Aug","Sep","Oct","Nov","Dec"},0),VALUE(LEFT(raw_data!B517,2)))))),"")</f>
        <v>45758</v>
      </c>
      <c r="C517" s="4" t="n">
        <f aca="false">IFERROR(IF(MID(raw_data!C517,3,1)="/",DATE(VALUE(RIGHT(raw_data!C517,4)),VALUE(LEFT(raw_data!C517,2)),VALUE(MID(raw_data!C517,4,2))),IF(MID(raw_data!C517,3,1)="-",DATE(VALUE(RIGHT(raw_data!C517,4)),VALUE(MID(raw_data!C517,4,2)),VALUE(LEFT(raw_data!C517,2))),IF(MID(raw_data!C517,5,1)="-",DATE(VALUE(LEFT(raw_data!C517,4)),VALUE(MID(raw_data!C517,6,2)),VALUE(RIGHT(raw_data!C517,2))),DATE(VALUE(RIGHT(raw_data!C517,4)),MATCH(MID(raw_data!C517,4,3),{"Jan","Feb","Mar","Apr","May","Jun","Jul","Aug","Sep","Oct","Nov","Dec"},0),VALUE(LEFT(raw_data!C517,2)))))),"")</f>
        <v>45758</v>
      </c>
      <c r="D517" s="3" t="str">
        <f aca="false">IF(TRIM(raw_data!B517)="","Missing",IF(B517="","Invalid/Unrecognized","Valid"))</f>
        <v>Valid</v>
      </c>
      <c r="E517" s="3" t="str">
        <f aca="false">IF(TRIM(raw_data!C517)="","Missing",IF(C517="","Invalid/Unrecognized","Valid"))</f>
        <v>Valid</v>
      </c>
      <c r="F517" s="5" t="n">
        <f aca="false">IF(OR(B517="",C517=""),"",C517-B517)</f>
        <v>0</v>
      </c>
      <c r="G517" s="3" t="str">
        <f aca="false">IF(F517="","N/A",IF(F517&lt;0,"Invalid - Ship Before Order","OK"))</f>
        <v>OK</v>
      </c>
      <c r="H517" s="3" t="str">
        <f aca="false">raw_data!D517</f>
        <v>CUST-9986</v>
      </c>
      <c r="I517" s="3" t="str">
        <f aca="false">PROPER(TRIM(raw_data!E517))</f>
        <v>Rahul Verma</v>
      </c>
      <c r="J517" s="3" t="str">
        <f aca="false">PROPER(TRIM(raw_data!F517))</f>
        <v>Corporate</v>
      </c>
      <c r="K517" s="3" t="str">
        <f aca="false">IF(TRIM(raw_data!G517)="","Unknown",PROPER(TRIM(raw_data!G517)))</f>
        <v>North</v>
      </c>
      <c r="L517" s="3" t="str">
        <f aca="false">IF(TRIM(raw_data!G517)="","Filled - Unknown","OK")</f>
        <v>OK</v>
      </c>
      <c r="M517" s="3" t="str">
        <f aca="false">PROPER(TRIM(raw_data!H517))</f>
        <v>Delhi</v>
      </c>
      <c r="N517" s="3" t="str">
        <f aca="false">PROPER(TRIM(raw_data!I517))</f>
        <v>New Delhi</v>
      </c>
      <c r="O517" s="3" t="str">
        <f aca="false">PROPER(TRIM(raw_data!J517))</f>
        <v>Office Supplies</v>
      </c>
      <c r="P517" s="3" t="str">
        <f aca="false">PROPER(TRIM(raw_data!K517))</f>
        <v>Paper</v>
      </c>
      <c r="Q517" s="3" t="str">
        <f aca="false">TRIM(raw_data!L517)</f>
        <v>Classic Paper 752</v>
      </c>
      <c r="R517" s="3" t="str">
        <f aca="false">IF(TRIM(raw_data!M517)="","Unknown",PROPER(TRIM(raw_data!M517)))</f>
        <v>Standard Class</v>
      </c>
      <c r="S517" s="3" t="str">
        <f aca="false">IF(TRIM(raw_data!M517)="","Filled - Unknown","OK")</f>
        <v>OK</v>
      </c>
      <c r="T517" s="6" t="n">
        <f aca="false">raw_data!N517</f>
        <v>1</v>
      </c>
      <c r="U517" s="7" t="n">
        <f aca="false">raw_data!O517</f>
        <v>4458.49</v>
      </c>
      <c r="V517" s="8" t="n">
        <f aca="false">raw_data!P517</f>
        <v>-0.07</v>
      </c>
      <c r="W517" s="8" t="n">
        <f aca="false">IF(raw_data!P517="",0,IF(ISTEXT(raw_data!P517),IF(RIGHT(raw_data!P517,1)="%",VALUE(LEFT(raw_data!P517,LEN(raw_data!P517)-1))/100,VALUE(raw_data!P517)),raw_data!P517))</f>
        <v>-0.07</v>
      </c>
      <c r="X517" s="3" t="str">
        <f aca="false">IF(raw_data!P517="","Missing - Defaulted to 0",IF(W517&lt;0,"Negative - Invalid",IF(W517&gt;0.3,"Above Allowed Range - Invalid","Valid")))</f>
        <v>Negative - Invalid</v>
      </c>
      <c r="Y517" s="7" t="n">
        <f aca="false">raw_data!Q517</f>
        <v>3566.79</v>
      </c>
      <c r="Z517" s="7" t="n">
        <f aca="false">raw_data!R517</f>
        <v>2083.41</v>
      </c>
      <c r="AA517" s="7" t="n">
        <f aca="false">raw_data!S517</f>
        <v>1483.38</v>
      </c>
      <c r="AB517" s="3" t="str">
        <f aca="false">PROPER(TRIM(raw_data!T517))</f>
        <v>Paid</v>
      </c>
      <c r="AC517" s="3" t="str">
        <f aca="false">PROPER(TRIM(raw_data!U517))</f>
        <v>Completed</v>
      </c>
      <c r="AD517" s="7" t="n">
        <f aca="false">T517*U517*(1-W517)</f>
        <v>4770.5843</v>
      </c>
      <c r="AE517" s="7" t="n">
        <f aca="false">AD517-Z517</f>
        <v>2687.1743</v>
      </c>
      <c r="AF517" s="8" t="n">
        <f aca="false">IF(AD517=0,0,AE517/AD517)</f>
        <v>0.563279911016351</v>
      </c>
      <c r="AG517" s="3" t="str">
        <f aca="false">IF(ABS(Y517-AD517)&gt;1,"Mismatch","OK")</f>
        <v>Mismatch</v>
      </c>
      <c r="AH517" s="3" t="str">
        <f aca="false">IF(ABS(AA517-AE517)&gt;1,"Mismatch","OK")</f>
        <v>Mismatch</v>
      </c>
      <c r="AI517" s="6" t="n">
        <f aca="false">IF(B517="","",MONTH(B517))</f>
        <v>4</v>
      </c>
      <c r="AJ517" s="6" t="n">
        <f aca="false">IF(B517="","",YEAR(B517))</f>
        <v>2025</v>
      </c>
      <c r="AK517" s="3" t="str">
        <f aca="false">IF(COUNTIF(raw_data!$A$2:$A$913,A517)&gt;1,"Conflicting Duplicate - Flagged for Review","Unique")</f>
        <v>Unique</v>
      </c>
      <c r="AL517" s="3" t="str">
        <f aca="false">IF(AB517="Refunded","Yes","No")</f>
        <v>No</v>
      </c>
      <c r="AM517" s="3" t="str">
        <f aca="false">IF(OR(AC517&lt;&gt;"Completed",AB517="Failed"),"Excluded","Included")</f>
        <v>Included</v>
      </c>
      <c r="AN517" s="3" t="str">
        <f aca="false">IF(OR(D517="Invalid/Unrecognized",E517="Invalid/Unrecognized",G517="Invalid - Ship Before Order",X517="Negative - Invalid",X517="Above Allowed Range - Invalid",AG517="Mismatch",AH517="Mismatch",AK517="Conflicting Duplicate - Flagged for Review"),"Invalid",IF(OR(L517="Filled - Unknown",S517="Filled - Unknown",X517="Missing - Defaulted to 0",AL517="Yes",AC517="Cancelled",AC517="Returned"),"Warning","Clean"))</f>
        <v>Invalid</v>
      </c>
    </row>
    <row r="518" customFormat="false" ht="15" hidden="false" customHeight="false" outlineLevel="0" collapsed="false">
      <c r="A518" s="3" t="str">
        <f aca="false">raw_data!A518</f>
        <v>ORD-2024-10517</v>
      </c>
      <c r="B518" s="4" t="n">
        <f aca="false">IFERROR(IF(MID(raw_data!B518,3,1)="/",DATE(VALUE(RIGHT(raw_data!B518,4)),VALUE(LEFT(raw_data!B518,2)),VALUE(MID(raw_data!B518,4,2))),IF(MID(raw_data!B518,3,1)="-",DATE(VALUE(RIGHT(raw_data!B518,4)),VALUE(MID(raw_data!B518,4,2)),VALUE(LEFT(raw_data!B518,2))),IF(MID(raw_data!B518,5,1)="-",DATE(VALUE(LEFT(raw_data!B518,4)),VALUE(MID(raw_data!B518,6,2)),VALUE(RIGHT(raw_data!B518,2))),DATE(VALUE(RIGHT(raw_data!B518,4)),MATCH(MID(raw_data!B518,4,3),{"Jan","Feb","Mar","Apr","May","Jun","Jul","Aug","Sep","Oct","Nov","Dec"},0),VALUE(LEFT(raw_data!B518,2)))))),"")</f>
        <v>45563</v>
      </c>
      <c r="C518" s="4" t="n">
        <f aca="false">IFERROR(IF(MID(raw_data!C518,3,1)="/",DATE(VALUE(RIGHT(raw_data!C518,4)),VALUE(LEFT(raw_data!C518,2)),VALUE(MID(raw_data!C518,4,2))),IF(MID(raw_data!C518,3,1)="-",DATE(VALUE(RIGHT(raw_data!C518,4)),VALUE(MID(raw_data!C518,4,2)),VALUE(LEFT(raw_data!C518,2))),IF(MID(raw_data!C518,5,1)="-",DATE(VALUE(LEFT(raw_data!C518,4)),VALUE(MID(raw_data!C518,6,2)),VALUE(RIGHT(raw_data!C518,2))),DATE(VALUE(RIGHT(raw_data!C518,4)),MATCH(MID(raw_data!C518,4,3),{"Jan","Feb","Mar","Apr","May","Jun","Jul","Aug","Sep","Oct","Nov","Dec"},0),VALUE(LEFT(raw_data!C518,2)))))),"")</f>
        <v>45569</v>
      </c>
      <c r="D518" s="3" t="str">
        <f aca="false">IF(TRIM(raw_data!B518)="","Missing",IF(B518="","Invalid/Unrecognized","Valid"))</f>
        <v>Valid</v>
      </c>
      <c r="E518" s="3" t="str">
        <f aca="false">IF(TRIM(raw_data!C518)="","Missing",IF(C518="","Invalid/Unrecognized","Valid"))</f>
        <v>Valid</v>
      </c>
      <c r="F518" s="5" t="n">
        <f aca="false">IF(OR(B518="",C518=""),"",C518-B518)</f>
        <v>6</v>
      </c>
      <c r="G518" s="3" t="str">
        <f aca="false">IF(F518="","N/A",IF(F518&lt;0,"Invalid - Ship Before Order","OK"))</f>
        <v>OK</v>
      </c>
      <c r="H518" s="3" t="str">
        <f aca="false">raw_data!D518</f>
        <v>CUST-2731</v>
      </c>
      <c r="I518" s="3" t="str">
        <f aca="false">PROPER(TRIM(raw_data!E518))</f>
        <v>Kabir Singh</v>
      </c>
      <c r="J518" s="3" t="str">
        <f aca="false">PROPER(TRIM(raw_data!F518))</f>
        <v>Home Office</v>
      </c>
      <c r="K518" s="3" t="str">
        <f aca="false">IF(TRIM(raw_data!G518)="","Unknown",PROPER(TRIM(raw_data!G518)))</f>
        <v>North</v>
      </c>
      <c r="L518" s="3" t="str">
        <f aca="false">IF(TRIM(raw_data!G518)="","Filled - Unknown","OK")</f>
        <v>OK</v>
      </c>
      <c r="M518" s="3" t="str">
        <f aca="false">PROPER(TRIM(raw_data!H518))</f>
        <v>Delhi</v>
      </c>
      <c r="N518" s="3" t="str">
        <f aca="false">PROPER(TRIM(raw_data!I518))</f>
        <v>New Delhi</v>
      </c>
      <c r="O518" s="3" t="str">
        <f aca="false">PROPER(TRIM(raw_data!J518))</f>
        <v>Technology</v>
      </c>
      <c r="P518" s="3" t="str">
        <f aca="false">PROPER(TRIM(raw_data!K518))</f>
        <v>Copiers</v>
      </c>
      <c r="Q518" s="3" t="str">
        <f aca="false">TRIM(raw_data!L518)</f>
        <v>Classic Copiers 143</v>
      </c>
      <c r="R518" s="3" t="str">
        <f aca="false">IF(TRIM(raw_data!M518)="","Unknown",PROPER(TRIM(raw_data!M518)))</f>
        <v>Standard Class</v>
      </c>
      <c r="S518" s="3" t="str">
        <f aca="false">IF(TRIM(raw_data!M518)="","Filled - Unknown","OK")</f>
        <v>OK</v>
      </c>
      <c r="T518" s="6" t="n">
        <f aca="false">raw_data!N518</f>
        <v>1</v>
      </c>
      <c r="U518" s="7" t="n">
        <f aca="false">raw_data!O518</f>
        <v>2233.18</v>
      </c>
      <c r="V518" s="8" t="n">
        <f aca="false">raw_data!P518</f>
        <v>0</v>
      </c>
      <c r="W518" s="8" t="n">
        <f aca="false">IF(raw_data!P518="",0,IF(ISTEXT(raw_data!P518),IF(RIGHT(raw_data!P518,1)="%",VALUE(LEFT(raw_data!P518,LEN(raw_data!P518)-1))/100,VALUE(raw_data!P518)),raw_data!P518))</f>
        <v>0</v>
      </c>
      <c r="X518" s="3" t="str">
        <f aca="false">IF(raw_data!P518="","Missing - Defaulted to 0",IF(W518&lt;0,"Negative - Invalid",IF(W518&gt;0.3,"Above Allowed Range - Invalid","Valid")))</f>
        <v>Valid</v>
      </c>
      <c r="Y518" s="7" t="n">
        <f aca="false">raw_data!Q518</f>
        <v>2233.18</v>
      </c>
      <c r="Z518" s="7" t="n">
        <f aca="false">raw_data!R518</f>
        <v>1585.82</v>
      </c>
      <c r="AA518" s="7" t="n">
        <f aca="false">raw_data!S518</f>
        <v>647.36</v>
      </c>
      <c r="AB518" s="3" t="str">
        <f aca="false">PROPER(TRIM(raw_data!T518))</f>
        <v>Failed</v>
      </c>
      <c r="AC518" s="3" t="str">
        <f aca="false">PROPER(TRIM(raw_data!U518))</f>
        <v>Returned</v>
      </c>
      <c r="AD518" s="7" t="n">
        <f aca="false">T518*U518*(1-W518)</f>
        <v>2233.18</v>
      </c>
      <c r="AE518" s="7" t="n">
        <f aca="false">AD518-Z518</f>
        <v>647.36</v>
      </c>
      <c r="AF518" s="8" t="n">
        <f aca="false">IF(AD518=0,0,AE518/AD518)</f>
        <v>0.289882588953868</v>
      </c>
      <c r="AG518" s="3" t="str">
        <f aca="false">IF(ABS(Y518-AD518)&gt;1,"Mismatch","OK")</f>
        <v>OK</v>
      </c>
      <c r="AH518" s="3" t="str">
        <f aca="false">IF(ABS(AA518-AE518)&gt;1,"Mismatch","OK")</f>
        <v>OK</v>
      </c>
      <c r="AI518" s="6" t="n">
        <f aca="false">IF(B518="","",MONTH(B518))</f>
        <v>9</v>
      </c>
      <c r="AJ518" s="6" t="n">
        <f aca="false">IF(B518="","",YEAR(B518))</f>
        <v>2024</v>
      </c>
      <c r="AK518" s="3" t="str">
        <f aca="false">IF(COUNTIF(raw_data!$A$2:$A$913,A518)&gt;1,"Conflicting Duplicate - Flagged for Review","Unique")</f>
        <v>Unique</v>
      </c>
      <c r="AL518" s="3" t="str">
        <f aca="false">IF(AB518="Refunded","Yes","No")</f>
        <v>No</v>
      </c>
      <c r="AM518" s="3" t="str">
        <f aca="false">IF(OR(AC518&lt;&gt;"Completed",AB518="Failed"),"Excluded","Included")</f>
        <v>Excluded</v>
      </c>
      <c r="AN518" s="3" t="str">
        <f aca="false">IF(OR(D518="Invalid/Unrecognized",E518="Invalid/Unrecognized",G518="Invalid - Ship Before Order",X518="Negative - Invalid",X518="Above Allowed Range - Invalid",AG518="Mismatch",AH518="Mismatch",AK518="Conflicting Duplicate - Flagged for Review"),"Invalid",IF(OR(L518="Filled - Unknown",S518="Filled - Unknown",X518="Missing - Defaulted to 0",AL518="Yes",AC518="Cancelled",AC518="Returned"),"Warning","Clean"))</f>
        <v>Warning</v>
      </c>
    </row>
    <row r="519" customFormat="false" ht="15" hidden="false" customHeight="false" outlineLevel="0" collapsed="false">
      <c r="A519" s="3" t="str">
        <f aca="false">raw_data!A519</f>
        <v>ORD-2025-10518</v>
      </c>
      <c r="B519" s="4" t="n">
        <f aca="false">IFERROR(IF(MID(raw_data!B519,3,1)="/",DATE(VALUE(RIGHT(raw_data!B519,4)),VALUE(LEFT(raw_data!B519,2)),VALUE(MID(raw_data!B519,4,2))),IF(MID(raw_data!B519,3,1)="-",DATE(VALUE(RIGHT(raw_data!B519,4)),VALUE(MID(raw_data!B519,4,2)),VALUE(LEFT(raw_data!B519,2))),IF(MID(raw_data!B519,5,1)="-",DATE(VALUE(LEFT(raw_data!B519,4)),VALUE(MID(raw_data!B519,6,2)),VALUE(RIGHT(raw_data!B519,2))),DATE(VALUE(RIGHT(raw_data!B519,4)),MATCH(MID(raw_data!B519,4,3),{"Jan","Feb","Mar","Apr","May","Jun","Jul","Aug","Sep","Oct","Nov","Dec"},0),VALUE(LEFT(raw_data!B519,2)))))),"")</f>
        <v>45802</v>
      </c>
      <c r="C519" s="4" t="n">
        <f aca="false">IFERROR(IF(MID(raw_data!C519,3,1)="/",DATE(VALUE(RIGHT(raw_data!C519,4)),VALUE(LEFT(raw_data!C519,2)),VALUE(MID(raw_data!C519,4,2))),IF(MID(raw_data!C519,3,1)="-",DATE(VALUE(RIGHT(raw_data!C519,4)),VALUE(MID(raw_data!C519,4,2)),VALUE(LEFT(raw_data!C519,2))),IF(MID(raw_data!C519,5,1)="-",DATE(VALUE(LEFT(raw_data!C519,4)),VALUE(MID(raw_data!C519,6,2)),VALUE(RIGHT(raw_data!C519,2))),DATE(VALUE(RIGHT(raw_data!C519,4)),MATCH(MID(raw_data!C519,4,3),{"Jan","Feb","Mar","Apr","May","Jun","Jul","Aug","Sep","Oct","Nov","Dec"},0),VALUE(LEFT(raw_data!C519,2)))))),"")</f>
        <v>45804</v>
      </c>
      <c r="D519" s="3" t="str">
        <f aca="false">IF(TRIM(raw_data!B519)="","Missing",IF(B519="","Invalid/Unrecognized","Valid"))</f>
        <v>Valid</v>
      </c>
      <c r="E519" s="3" t="str">
        <f aca="false">IF(TRIM(raw_data!C519)="","Missing",IF(C519="","Invalid/Unrecognized","Valid"))</f>
        <v>Valid</v>
      </c>
      <c r="F519" s="5" t="n">
        <f aca="false">IF(OR(B519="",C519=""),"",C519-B519)</f>
        <v>2</v>
      </c>
      <c r="G519" s="3" t="str">
        <f aca="false">IF(F519="","N/A",IF(F519&lt;0,"Invalid - Ship Before Order","OK"))</f>
        <v>OK</v>
      </c>
      <c r="H519" s="3" t="str">
        <f aca="false">raw_data!D519</f>
        <v>CUST-4235</v>
      </c>
      <c r="I519" s="3" t="str">
        <f aca="false">PROPER(TRIM(raw_data!E519))</f>
        <v>Rahul Verma</v>
      </c>
      <c r="J519" s="3" t="str">
        <f aca="false">PROPER(TRIM(raw_data!F519))</f>
        <v>Consumer</v>
      </c>
      <c r="K519" s="3" t="str">
        <f aca="false">IF(TRIM(raw_data!G519)="","Unknown",PROPER(TRIM(raw_data!G519)))</f>
        <v>East</v>
      </c>
      <c r="L519" s="3" t="str">
        <f aca="false">IF(TRIM(raw_data!G519)="","Filled - Unknown","OK")</f>
        <v>OK</v>
      </c>
      <c r="M519" s="3" t="str">
        <f aca="false">PROPER(TRIM(raw_data!H519))</f>
        <v>Odisha</v>
      </c>
      <c r="N519" s="3" t="str">
        <f aca="false">PROPER(TRIM(raw_data!I519))</f>
        <v>Bhubaneswar</v>
      </c>
      <c r="O519" s="3" t="str">
        <f aca="false">PROPER(TRIM(raw_data!J519))</f>
        <v>Furniture</v>
      </c>
      <c r="P519" s="3" t="str">
        <f aca="false">PROPER(TRIM(raw_data!K519))</f>
        <v>Furnishings</v>
      </c>
      <c r="Q519" s="3" t="str">
        <f aca="false">TRIM(raw_data!L519)</f>
        <v>Basic Furnishings 386</v>
      </c>
      <c r="R519" s="3" t="str">
        <f aca="false">IF(TRIM(raw_data!M519)="","Unknown",PROPER(TRIM(raw_data!M519)))</f>
        <v>Second Class</v>
      </c>
      <c r="S519" s="3" t="str">
        <f aca="false">IF(TRIM(raw_data!M519)="","Filled - Unknown","OK")</f>
        <v>OK</v>
      </c>
      <c r="T519" s="6" t="n">
        <f aca="false">raw_data!N519</f>
        <v>7</v>
      </c>
      <c r="U519" s="7" t="n">
        <f aca="false">raw_data!O519</f>
        <v>2123.28</v>
      </c>
      <c r="V519" s="8" t="n">
        <f aca="false">raw_data!P519</f>
        <v>0.2</v>
      </c>
      <c r="W519" s="8" t="n">
        <f aca="false">IF(raw_data!P519="",0,IF(ISTEXT(raw_data!P519),IF(RIGHT(raw_data!P519,1)="%",VALUE(LEFT(raw_data!P519,LEN(raw_data!P519)-1))/100,VALUE(raw_data!P519)),raw_data!P519))</f>
        <v>0.2</v>
      </c>
      <c r="X519" s="3" t="str">
        <f aca="false">IF(raw_data!P519="","Missing - Defaulted to 0",IF(W519&lt;0,"Negative - Invalid",IF(W519&gt;0.3,"Above Allowed Range - Invalid","Valid")))</f>
        <v>Valid</v>
      </c>
      <c r="Y519" s="7" t="n">
        <f aca="false">raw_data!Q519</f>
        <v>11890.37</v>
      </c>
      <c r="Z519" s="7" t="n">
        <f aca="false">raw_data!R519</f>
        <v>9234.53</v>
      </c>
      <c r="AA519" s="7" t="n">
        <f aca="false">raw_data!S519</f>
        <v>2655.84</v>
      </c>
      <c r="AB519" s="3" t="str">
        <f aca="false">PROPER(TRIM(raw_data!T519))</f>
        <v>Refunded</v>
      </c>
      <c r="AC519" s="3" t="str">
        <f aca="false">PROPER(TRIM(raw_data!U519))</f>
        <v>Returned</v>
      </c>
      <c r="AD519" s="7" t="n">
        <f aca="false">T519*U519*(1-W519)</f>
        <v>11890.368</v>
      </c>
      <c r="AE519" s="7" t="n">
        <f aca="false">AD519-Z519</f>
        <v>2655.838</v>
      </c>
      <c r="AF519" s="8" t="n">
        <f aca="false">IF(AD519=0,0,AE519/AD519)</f>
        <v>0.223360454445144</v>
      </c>
      <c r="AG519" s="3" t="str">
        <f aca="false">IF(ABS(Y519-AD519)&gt;1,"Mismatch","OK")</f>
        <v>OK</v>
      </c>
      <c r="AH519" s="3" t="str">
        <f aca="false">IF(ABS(AA519-AE519)&gt;1,"Mismatch","OK")</f>
        <v>OK</v>
      </c>
      <c r="AI519" s="6" t="n">
        <f aca="false">IF(B519="","",MONTH(B519))</f>
        <v>5</v>
      </c>
      <c r="AJ519" s="6" t="n">
        <f aca="false">IF(B519="","",YEAR(B519))</f>
        <v>2025</v>
      </c>
      <c r="AK519" s="3" t="str">
        <f aca="false">IF(COUNTIF(raw_data!$A$2:$A$913,A519)&gt;1,"Conflicting Duplicate - Flagged for Review","Unique")</f>
        <v>Unique</v>
      </c>
      <c r="AL519" s="3" t="str">
        <f aca="false">IF(AB519="Refunded","Yes","No")</f>
        <v>Yes</v>
      </c>
      <c r="AM519" s="3" t="str">
        <f aca="false">IF(OR(AC519&lt;&gt;"Completed",AB519="Failed"),"Excluded","Included")</f>
        <v>Excluded</v>
      </c>
      <c r="AN519" s="3" t="str">
        <f aca="false">IF(OR(D519="Invalid/Unrecognized",E519="Invalid/Unrecognized",G519="Invalid - Ship Before Order",X519="Negative - Invalid",X519="Above Allowed Range - Invalid",AG519="Mismatch",AH519="Mismatch",AK519="Conflicting Duplicate - Flagged for Review"),"Invalid",IF(OR(L519="Filled - Unknown",S519="Filled - Unknown",X519="Missing - Defaulted to 0",AL519="Yes",AC519="Cancelled",AC519="Returned"),"Warning","Clean"))</f>
        <v>Warning</v>
      </c>
    </row>
    <row r="520" customFormat="false" ht="15" hidden="false" customHeight="false" outlineLevel="0" collapsed="false">
      <c r="A520" s="3" t="str">
        <f aca="false">raw_data!A520</f>
        <v>ORD-2025-10519</v>
      </c>
      <c r="B520" s="4" t="n">
        <f aca="false">IFERROR(IF(MID(raw_data!B520,3,1)="/",DATE(VALUE(RIGHT(raw_data!B520,4)),VALUE(LEFT(raw_data!B520,2)),VALUE(MID(raw_data!B520,4,2))),IF(MID(raw_data!B520,3,1)="-",DATE(VALUE(RIGHT(raw_data!B520,4)),VALUE(MID(raw_data!B520,4,2)),VALUE(LEFT(raw_data!B520,2))),IF(MID(raw_data!B520,5,1)="-",DATE(VALUE(LEFT(raw_data!B520,4)),VALUE(MID(raw_data!B520,6,2)),VALUE(RIGHT(raw_data!B520,2))),DATE(VALUE(RIGHT(raw_data!B520,4)),MATCH(MID(raw_data!B520,4,3),{"Jan","Feb","Mar","Apr","May","Jun","Jul","Aug","Sep","Oct","Nov","Dec"},0),VALUE(LEFT(raw_data!B520,2)))))),"")</f>
        <v>45777</v>
      </c>
      <c r="C520" s="4" t="n">
        <f aca="false">IFERROR(IF(MID(raw_data!C520,3,1)="/",DATE(VALUE(RIGHT(raw_data!C520,4)),VALUE(LEFT(raw_data!C520,2)),VALUE(MID(raw_data!C520,4,2))),IF(MID(raw_data!C520,3,1)="-",DATE(VALUE(RIGHT(raw_data!C520,4)),VALUE(MID(raw_data!C520,4,2)),VALUE(LEFT(raw_data!C520,2))),IF(MID(raw_data!C520,5,1)="-",DATE(VALUE(LEFT(raw_data!C520,4)),VALUE(MID(raw_data!C520,6,2)),VALUE(RIGHT(raw_data!C520,2))),DATE(VALUE(RIGHT(raw_data!C520,4)),MATCH(MID(raw_data!C520,4,3),{"Jan","Feb","Mar","Apr","May","Jun","Jul","Aug","Sep","Oct","Nov","Dec"},0),VALUE(LEFT(raw_data!C520,2)))))),"")</f>
        <v>45773</v>
      </c>
      <c r="D520" s="3" t="str">
        <f aca="false">IF(TRIM(raw_data!B520)="","Missing",IF(B520="","Invalid/Unrecognized","Valid"))</f>
        <v>Valid</v>
      </c>
      <c r="E520" s="3" t="str">
        <f aca="false">IF(TRIM(raw_data!C520)="","Missing",IF(C520="","Invalid/Unrecognized","Valid"))</f>
        <v>Valid</v>
      </c>
      <c r="F520" s="5" t="n">
        <f aca="false">IF(OR(B520="",C520=""),"",C520-B520)</f>
        <v>-4</v>
      </c>
      <c r="G520" s="3" t="str">
        <f aca="false">IF(F520="","N/A",IF(F520&lt;0,"Invalid - Ship Before Order","OK"))</f>
        <v>Invalid - Ship Before Order</v>
      </c>
      <c r="H520" s="3" t="str">
        <f aca="false">raw_data!D520</f>
        <v>CUST-3377</v>
      </c>
      <c r="I520" s="3" t="str">
        <f aca="false">PROPER(TRIM(raw_data!E520))</f>
        <v>Diya Patel</v>
      </c>
      <c r="J520" s="3" t="str">
        <f aca="false">PROPER(TRIM(raw_data!F520))</f>
        <v>Corporate</v>
      </c>
      <c r="K520" s="3" t="str">
        <f aca="false">IF(TRIM(raw_data!G520)="","Unknown",PROPER(TRIM(raw_data!G520)))</f>
        <v>East</v>
      </c>
      <c r="L520" s="3" t="str">
        <f aca="false">IF(TRIM(raw_data!G520)="","Filled - Unknown","OK")</f>
        <v>OK</v>
      </c>
      <c r="M520" s="3" t="str">
        <f aca="false">PROPER(TRIM(raw_data!H520))</f>
        <v>Odisha</v>
      </c>
      <c r="N520" s="3" t="str">
        <f aca="false">PROPER(TRIM(raw_data!I520))</f>
        <v>Bhubaneswar</v>
      </c>
      <c r="O520" s="3" t="str">
        <f aca="false">PROPER(TRIM(raw_data!J520))</f>
        <v>Furniture</v>
      </c>
      <c r="P520" s="3" t="str">
        <f aca="false">PROPER(TRIM(raw_data!K520))</f>
        <v>Tables</v>
      </c>
      <c r="Q520" s="3" t="str">
        <f aca="false">TRIM(raw_data!L520)</f>
        <v>Classic Tables 592</v>
      </c>
      <c r="R520" s="3" t="str">
        <f aca="false">IF(TRIM(raw_data!M520)="","Unknown",PROPER(TRIM(raw_data!M520)))</f>
        <v>First Class</v>
      </c>
      <c r="S520" s="3" t="str">
        <f aca="false">IF(TRIM(raw_data!M520)="","Filled - Unknown","OK")</f>
        <v>OK</v>
      </c>
      <c r="T520" s="6" t="n">
        <f aca="false">raw_data!N520</f>
        <v>7</v>
      </c>
      <c r="U520" s="7" t="n">
        <f aca="false">raw_data!O520</f>
        <v>1604.13</v>
      </c>
      <c r="V520" s="8" t="n">
        <f aca="false">raw_data!P520</f>
        <v>0.25</v>
      </c>
      <c r="W520" s="8" t="n">
        <f aca="false">IF(raw_data!P520="",0,IF(ISTEXT(raw_data!P520),IF(RIGHT(raw_data!P520,1)="%",VALUE(LEFT(raw_data!P520,LEN(raw_data!P520)-1))/100,VALUE(raw_data!P520)),raw_data!P520))</f>
        <v>0.25</v>
      </c>
      <c r="X520" s="3" t="str">
        <f aca="false">IF(raw_data!P520="","Missing - Defaulted to 0",IF(W520&lt;0,"Negative - Invalid",IF(W520&gt;0.3,"Above Allowed Range - Invalid","Valid")))</f>
        <v>Valid</v>
      </c>
      <c r="Y520" s="7" t="n">
        <f aca="false">raw_data!Q520</f>
        <v>8421.68</v>
      </c>
      <c r="Z520" s="7" t="n">
        <f aca="false">raw_data!R520</f>
        <v>6534.47</v>
      </c>
      <c r="AA520" s="7" t="n">
        <f aca="false">raw_data!S520</f>
        <v>1887.21</v>
      </c>
      <c r="AB520" s="3" t="str">
        <f aca="false">PROPER(TRIM(raw_data!T520))</f>
        <v>Paid</v>
      </c>
      <c r="AC520" s="3" t="str">
        <f aca="false">PROPER(TRIM(raw_data!U520))</f>
        <v>Cancelled</v>
      </c>
      <c r="AD520" s="7" t="n">
        <f aca="false">T520*U520*(1-W520)</f>
        <v>8421.6825</v>
      </c>
      <c r="AE520" s="7" t="n">
        <f aca="false">AD520-Z520</f>
        <v>1887.2125</v>
      </c>
      <c r="AF520" s="8" t="n">
        <f aca="false">IF(AD520=0,0,AE520/AD520)</f>
        <v>0.224089723163988</v>
      </c>
      <c r="AG520" s="3" t="str">
        <f aca="false">IF(ABS(Y520-AD520)&gt;1,"Mismatch","OK")</f>
        <v>OK</v>
      </c>
      <c r="AH520" s="3" t="str">
        <f aca="false">IF(ABS(AA520-AE520)&gt;1,"Mismatch","OK")</f>
        <v>OK</v>
      </c>
      <c r="AI520" s="6" t="n">
        <f aca="false">IF(B520="","",MONTH(B520))</f>
        <v>4</v>
      </c>
      <c r="AJ520" s="6" t="n">
        <f aca="false">IF(B520="","",YEAR(B520))</f>
        <v>2025</v>
      </c>
      <c r="AK520" s="3" t="str">
        <f aca="false">IF(COUNTIF(raw_data!$A$2:$A$913,A520)&gt;1,"Conflicting Duplicate - Flagged for Review","Unique")</f>
        <v>Unique</v>
      </c>
      <c r="AL520" s="3" t="str">
        <f aca="false">IF(AB520="Refunded","Yes","No")</f>
        <v>No</v>
      </c>
      <c r="AM520" s="3" t="str">
        <f aca="false">IF(OR(AC520&lt;&gt;"Completed",AB520="Failed"),"Excluded","Included")</f>
        <v>Excluded</v>
      </c>
      <c r="AN520" s="3" t="str">
        <f aca="false">IF(OR(D520="Invalid/Unrecognized",E520="Invalid/Unrecognized",G520="Invalid - Ship Before Order",X520="Negative - Invalid",X520="Above Allowed Range - Invalid",AG520="Mismatch",AH520="Mismatch",AK520="Conflicting Duplicate - Flagged for Review"),"Invalid",IF(OR(L520="Filled - Unknown",S520="Filled - Unknown",X520="Missing - Defaulted to 0",AL520="Yes",AC520="Cancelled",AC520="Returned"),"Warning","Clean"))</f>
        <v>Invalid</v>
      </c>
    </row>
    <row r="521" customFormat="false" ht="15" hidden="false" customHeight="false" outlineLevel="0" collapsed="false">
      <c r="A521" s="3" t="str">
        <f aca="false">raw_data!A521</f>
        <v>ORD-2025-10520</v>
      </c>
      <c r="B521" s="4" t="n">
        <f aca="false">IFERROR(IF(MID(raw_data!B521,3,1)="/",DATE(VALUE(RIGHT(raw_data!B521,4)),VALUE(LEFT(raw_data!B521,2)),VALUE(MID(raw_data!B521,4,2))),IF(MID(raw_data!B521,3,1)="-",DATE(VALUE(RIGHT(raw_data!B521,4)),VALUE(MID(raw_data!B521,4,2)),VALUE(LEFT(raw_data!B521,2))),IF(MID(raw_data!B521,5,1)="-",DATE(VALUE(LEFT(raw_data!B521,4)),VALUE(MID(raw_data!B521,6,2)),VALUE(RIGHT(raw_data!B521,2))),DATE(VALUE(RIGHT(raw_data!B521,4)),MATCH(MID(raw_data!B521,4,3),{"Jan","Feb","Mar","Apr","May","Jun","Jul","Aug","Sep","Oct","Nov","Dec"},0),VALUE(LEFT(raw_data!B521,2)))))),"")</f>
        <v>45841</v>
      </c>
      <c r="C521" s="4" t="n">
        <f aca="false">IFERROR(IF(MID(raw_data!C521,3,1)="/",DATE(VALUE(RIGHT(raw_data!C521,4)),VALUE(LEFT(raw_data!C521,2)),VALUE(MID(raw_data!C521,4,2))),IF(MID(raw_data!C521,3,1)="-",DATE(VALUE(RIGHT(raw_data!C521,4)),VALUE(MID(raw_data!C521,4,2)),VALUE(LEFT(raw_data!C521,2))),IF(MID(raw_data!C521,5,1)="-",DATE(VALUE(LEFT(raw_data!C521,4)),VALUE(MID(raw_data!C521,6,2)),VALUE(RIGHT(raw_data!C521,2))),DATE(VALUE(RIGHT(raw_data!C521,4)),MATCH(MID(raw_data!C521,4,3),{"Jan","Feb","Mar","Apr","May","Jun","Jul","Aug","Sep","Oct","Nov","Dec"},0),VALUE(LEFT(raw_data!C521,2)))))),"")</f>
        <v>45845</v>
      </c>
      <c r="D521" s="3" t="str">
        <f aca="false">IF(TRIM(raw_data!B521)="","Missing",IF(B521="","Invalid/Unrecognized","Valid"))</f>
        <v>Valid</v>
      </c>
      <c r="E521" s="3" t="str">
        <f aca="false">IF(TRIM(raw_data!C521)="","Missing",IF(C521="","Invalid/Unrecognized","Valid"))</f>
        <v>Valid</v>
      </c>
      <c r="F521" s="5" t="n">
        <f aca="false">IF(OR(B521="",C521=""),"",C521-B521)</f>
        <v>4</v>
      </c>
      <c r="G521" s="3" t="str">
        <f aca="false">IF(F521="","N/A",IF(F521&lt;0,"Invalid - Ship Before Order","OK"))</f>
        <v>OK</v>
      </c>
      <c r="H521" s="3" t="str">
        <f aca="false">raw_data!D521</f>
        <v>CUST-3258</v>
      </c>
      <c r="I521" s="3" t="str">
        <f aca="false">PROPER(TRIM(raw_data!E521))</f>
        <v>Priya Menon</v>
      </c>
      <c r="J521" s="3" t="str">
        <f aca="false">PROPER(TRIM(raw_data!F521))</f>
        <v>Consumer</v>
      </c>
      <c r="K521" s="3" t="str">
        <f aca="false">IF(TRIM(raw_data!G521)="","Unknown",PROPER(TRIM(raw_data!G521)))</f>
        <v>North</v>
      </c>
      <c r="L521" s="3" t="str">
        <f aca="false">IF(TRIM(raw_data!G521)="","Filled - Unknown","OK")</f>
        <v>OK</v>
      </c>
      <c r="M521" s="3" t="str">
        <f aca="false">PROPER(TRIM(raw_data!H521))</f>
        <v>Uttar Pradesh</v>
      </c>
      <c r="N521" s="3" t="str">
        <f aca="false">PROPER(TRIM(raw_data!I521))</f>
        <v>Noida</v>
      </c>
      <c r="O521" s="3" t="str">
        <f aca="false">PROPER(TRIM(raw_data!J521))</f>
        <v>Furniture</v>
      </c>
      <c r="P521" s="3" t="str">
        <f aca="false">PROPER(TRIM(raw_data!K521))</f>
        <v>Tables</v>
      </c>
      <c r="Q521" s="3" t="str">
        <f aca="false">TRIM(raw_data!L521)</f>
        <v>Pro Tables 412</v>
      </c>
      <c r="R521" s="3" t="str">
        <f aca="false">IF(TRIM(raw_data!M521)="","Unknown",PROPER(TRIM(raw_data!M521)))</f>
        <v>Standard Class</v>
      </c>
      <c r="S521" s="3" t="str">
        <f aca="false">IF(TRIM(raw_data!M521)="","Filled - Unknown","OK")</f>
        <v>OK</v>
      </c>
      <c r="T521" s="6" t="n">
        <f aca="false">raw_data!N521</f>
        <v>4</v>
      </c>
      <c r="U521" s="7" t="n">
        <f aca="false">raw_data!O521</f>
        <v>4365.21</v>
      </c>
      <c r="V521" s="8" t="n">
        <f aca="false">raw_data!P521</f>
        <v>0.2</v>
      </c>
      <c r="W521" s="8" t="n">
        <f aca="false">IF(raw_data!P521="",0,IF(ISTEXT(raw_data!P521),IF(RIGHT(raw_data!P521,1)="%",VALUE(LEFT(raw_data!P521,LEN(raw_data!P521)-1))/100,VALUE(raw_data!P521)),raw_data!P521))</f>
        <v>0.2</v>
      </c>
      <c r="X521" s="3" t="str">
        <f aca="false">IF(raw_data!P521="","Missing - Defaulted to 0",IF(W521&lt;0,"Negative - Invalid",IF(W521&gt;0.3,"Above Allowed Range - Invalid","Valid")))</f>
        <v>Valid</v>
      </c>
      <c r="Y521" s="7" t="n">
        <f aca="false">raw_data!Q521</f>
        <v>13968.67</v>
      </c>
      <c r="Z521" s="7" t="n">
        <f aca="false">raw_data!R521</f>
        <v>8857.58</v>
      </c>
      <c r="AA521" s="7" t="n">
        <f aca="false">raw_data!S521</f>
        <v>5111.09</v>
      </c>
      <c r="AB521" s="3" t="str">
        <f aca="false">PROPER(TRIM(raw_data!T521))</f>
        <v>Pending</v>
      </c>
      <c r="AC521" s="3" t="str">
        <f aca="false">PROPER(TRIM(raw_data!U521))</f>
        <v>Cancelled</v>
      </c>
      <c r="AD521" s="7" t="n">
        <f aca="false">T521*U521*(1-W521)</f>
        <v>13968.672</v>
      </c>
      <c r="AE521" s="7" t="n">
        <f aca="false">AD521-Z521</f>
        <v>5111.092</v>
      </c>
      <c r="AF521" s="8" t="n">
        <f aca="false">IF(AD521=0,0,AE521/AD521)</f>
        <v>0.365896772434774</v>
      </c>
      <c r="AG521" s="3" t="str">
        <f aca="false">IF(ABS(Y521-AD521)&gt;1,"Mismatch","OK")</f>
        <v>OK</v>
      </c>
      <c r="AH521" s="3" t="str">
        <f aca="false">IF(ABS(AA521-AE521)&gt;1,"Mismatch","OK")</f>
        <v>OK</v>
      </c>
      <c r="AI521" s="6" t="n">
        <f aca="false">IF(B521="","",MONTH(B521))</f>
        <v>7</v>
      </c>
      <c r="AJ521" s="6" t="n">
        <f aca="false">IF(B521="","",YEAR(B521))</f>
        <v>2025</v>
      </c>
      <c r="AK521" s="3" t="str">
        <f aca="false">IF(COUNTIF(raw_data!$A$2:$A$913,A521)&gt;1,"Conflicting Duplicate - Flagged for Review","Unique")</f>
        <v>Unique</v>
      </c>
      <c r="AL521" s="3" t="str">
        <f aca="false">IF(AB521="Refunded","Yes","No")</f>
        <v>No</v>
      </c>
      <c r="AM521" s="3" t="str">
        <f aca="false">IF(OR(AC521&lt;&gt;"Completed",AB521="Failed"),"Excluded","Included")</f>
        <v>Excluded</v>
      </c>
      <c r="AN521" s="3" t="str">
        <f aca="false">IF(OR(D521="Invalid/Unrecognized",E521="Invalid/Unrecognized",G521="Invalid - Ship Before Order",X521="Negative - Invalid",X521="Above Allowed Range - Invalid",AG521="Mismatch",AH521="Mismatch",AK521="Conflicting Duplicate - Flagged for Review"),"Invalid",IF(OR(L521="Filled - Unknown",S521="Filled - Unknown",X521="Missing - Defaulted to 0",AL521="Yes",AC521="Cancelled",AC521="Returned"),"Warning","Clean"))</f>
        <v>Warning</v>
      </c>
    </row>
    <row r="522" customFormat="false" ht="15" hidden="false" customHeight="false" outlineLevel="0" collapsed="false">
      <c r="A522" s="3" t="str">
        <f aca="false">raw_data!A522</f>
        <v>ORD-2024-10521</v>
      </c>
      <c r="B522" s="4" t="n">
        <f aca="false">IFERROR(IF(MID(raw_data!B522,3,1)="/",DATE(VALUE(RIGHT(raw_data!B522,4)),VALUE(LEFT(raw_data!B522,2)),VALUE(MID(raw_data!B522,4,2))),IF(MID(raw_data!B522,3,1)="-",DATE(VALUE(RIGHT(raw_data!B522,4)),VALUE(MID(raw_data!B522,4,2)),VALUE(LEFT(raw_data!B522,2))),IF(MID(raw_data!B522,5,1)="-",DATE(VALUE(LEFT(raw_data!B522,4)),VALUE(MID(raw_data!B522,6,2)),VALUE(RIGHT(raw_data!B522,2))),DATE(VALUE(RIGHT(raw_data!B522,4)),MATCH(MID(raw_data!B522,4,3),{"Jan","Feb","Mar","Apr","May","Jun","Jul","Aug","Sep","Oct","Nov","Dec"},0),VALUE(LEFT(raw_data!B522,2)))))),"")</f>
        <v>45489</v>
      </c>
      <c r="C522" s="4" t="n">
        <f aca="false">IFERROR(IF(MID(raw_data!C522,3,1)="/",DATE(VALUE(RIGHT(raw_data!C522,4)),VALUE(LEFT(raw_data!C522,2)),VALUE(MID(raw_data!C522,4,2))),IF(MID(raw_data!C522,3,1)="-",DATE(VALUE(RIGHT(raw_data!C522,4)),VALUE(MID(raw_data!C522,4,2)),VALUE(LEFT(raw_data!C522,2))),IF(MID(raw_data!C522,5,1)="-",DATE(VALUE(LEFT(raw_data!C522,4)),VALUE(MID(raw_data!C522,6,2)),VALUE(RIGHT(raw_data!C522,2))),DATE(VALUE(RIGHT(raw_data!C522,4)),MATCH(MID(raw_data!C522,4,3),{"Jan","Feb","Mar","Apr","May","Jun","Jul","Aug","Sep","Oct","Nov","Dec"},0),VALUE(LEFT(raw_data!C522,2)))))),"")</f>
        <v>45496</v>
      </c>
      <c r="D522" s="3" t="str">
        <f aca="false">IF(TRIM(raw_data!B522)="","Missing",IF(B522="","Invalid/Unrecognized","Valid"))</f>
        <v>Valid</v>
      </c>
      <c r="E522" s="3" t="str">
        <f aca="false">IF(TRIM(raw_data!C522)="","Missing",IF(C522="","Invalid/Unrecognized","Valid"))</f>
        <v>Valid</v>
      </c>
      <c r="F522" s="5" t="n">
        <f aca="false">IF(OR(B522="",C522=""),"",C522-B522)</f>
        <v>7</v>
      </c>
      <c r="G522" s="3" t="str">
        <f aca="false">IF(F522="","N/A",IF(F522&lt;0,"Invalid - Ship Before Order","OK"))</f>
        <v>OK</v>
      </c>
      <c r="H522" s="3" t="str">
        <f aca="false">raw_data!D522</f>
        <v>CUST-2155</v>
      </c>
      <c r="I522" s="3" t="str">
        <f aca="false">PROPER(TRIM(raw_data!E522))</f>
        <v>Aarav Sharma</v>
      </c>
      <c r="J522" s="3" t="str">
        <f aca="false">PROPER(TRIM(raw_data!F522))</f>
        <v>Home Office</v>
      </c>
      <c r="K522" s="3" t="str">
        <f aca="false">IF(TRIM(raw_data!G522)="","Unknown",PROPER(TRIM(raw_data!G522)))</f>
        <v>South</v>
      </c>
      <c r="L522" s="3" t="str">
        <f aca="false">IF(TRIM(raw_data!G522)="","Filled - Unknown","OK")</f>
        <v>OK</v>
      </c>
      <c r="M522" s="3" t="str">
        <f aca="false">PROPER(TRIM(raw_data!H522))</f>
        <v>Karnataka</v>
      </c>
      <c r="N522" s="3" t="str">
        <f aca="false">PROPER(TRIM(raw_data!I522))</f>
        <v>Bengaluru</v>
      </c>
      <c r="O522" s="3" t="str">
        <f aca="false">PROPER(TRIM(raw_data!J522))</f>
        <v>Technology</v>
      </c>
      <c r="P522" s="3" t="str">
        <f aca="false">PROPER(TRIM(raw_data!K522))</f>
        <v>Machines</v>
      </c>
      <c r="Q522" s="3" t="str">
        <f aca="false">TRIM(raw_data!L522)</f>
        <v>Prime Machines 393</v>
      </c>
      <c r="R522" s="3" t="str">
        <f aca="false">IF(TRIM(raw_data!M522)="","Unknown",PROPER(TRIM(raw_data!M522)))</f>
        <v>Same Day</v>
      </c>
      <c r="S522" s="3" t="str">
        <f aca="false">IF(TRIM(raw_data!M522)="","Filled - Unknown","OK")</f>
        <v>OK</v>
      </c>
      <c r="T522" s="6" t="n">
        <f aca="false">raw_data!N522</f>
        <v>1</v>
      </c>
      <c r="U522" s="7" t="n">
        <f aca="false">raw_data!O522</f>
        <v>1695.91</v>
      </c>
      <c r="V522" s="8" t="n">
        <f aca="false">raw_data!P522</f>
        <v>0.05</v>
      </c>
      <c r="W522" s="8" t="n">
        <f aca="false">IF(raw_data!P522="",0,IF(ISTEXT(raw_data!P522),IF(RIGHT(raw_data!P522,1)="%",VALUE(LEFT(raw_data!P522,LEN(raw_data!P522)-1))/100,VALUE(raw_data!P522)),raw_data!P522))</f>
        <v>0.05</v>
      </c>
      <c r="X522" s="3" t="str">
        <f aca="false">IF(raw_data!P522="","Missing - Defaulted to 0",IF(W522&lt;0,"Negative - Invalid",IF(W522&gt;0.3,"Above Allowed Range - Invalid","Valid")))</f>
        <v>Valid</v>
      </c>
      <c r="Y522" s="7" t="n">
        <f aca="false">raw_data!Q522</f>
        <v>1611.11</v>
      </c>
      <c r="Z522" s="7" t="n">
        <f aca="false">raw_data!R522</f>
        <v>895.15</v>
      </c>
      <c r="AA522" s="7" t="n">
        <f aca="false">raw_data!S522</f>
        <v>715.96</v>
      </c>
      <c r="AB522" s="3" t="str">
        <f aca="false">PROPER(TRIM(raw_data!T522))</f>
        <v>Paid</v>
      </c>
      <c r="AC522" s="3" t="str">
        <f aca="false">PROPER(TRIM(raw_data!U522))</f>
        <v>Completed</v>
      </c>
      <c r="AD522" s="7" t="n">
        <f aca="false">T522*U522*(1-W522)</f>
        <v>1611.1145</v>
      </c>
      <c r="AE522" s="7" t="n">
        <f aca="false">AD522-Z522</f>
        <v>715.9645</v>
      </c>
      <c r="AF522" s="8" t="n">
        <f aca="false">IF(AD522=0,0,AE522/AD522)</f>
        <v>0.444390823867577</v>
      </c>
      <c r="AG522" s="3" t="str">
        <f aca="false">IF(ABS(Y522-AD522)&gt;1,"Mismatch","OK")</f>
        <v>OK</v>
      </c>
      <c r="AH522" s="3" t="str">
        <f aca="false">IF(ABS(AA522-AE522)&gt;1,"Mismatch","OK")</f>
        <v>OK</v>
      </c>
      <c r="AI522" s="6" t="n">
        <f aca="false">IF(B522="","",MONTH(B522))</f>
        <v>7</v>
      </c>
      <c r="AJ522" s="6" t="n">
        <f aca="false">IF(B522="","",YEAR(B522))</f>
        <v>2024</v>
      </c>
      <c r="AK522" s="3" t="str">
        <f aca="false">IF(COUNTIF(raw_data!$A$2:$A$913,A522)&gt;1,"Conflicting Duplicate - Flagged for Review","Unique")</f>
        <v>Unique</v>
      </c>
      <c r="AL522" s="3" t="str">
        <f aca="false">IF(AB522="Refunded","Yes","No")</f>
        <v>No</v>
      </c>
      <c r="AM522" s="3" t="str">
        <f aca="false">IF(OR(AC522&lt;&gt;"Completed",AB522="Failed"),"Excluded","Included")</f>
        <v>Included</v>
      </c>
      <c r="AN522" s="3" t="str">
        <f aca="false">IF(OR(D522="Invalid/Unrecognized",E522="Invalid/Unrecognized",G522="Invalid - Ship Before Order",X522="Negative - Invalid",X522="Above Allowed Range - Invalid",AG522="Mismatch",AH522="Mismatch",AK522="Conflicting Duplicate - Flagged for Review"),"Invalid",IF(OR(L522="Filled - Unknown",S522="Filled - Unknown",X522="Missing - Defaulted to 0",AL522="Yes",AC522="Cancelled",AC522="Returned"),"Warning","Clean"))</f>
        <v>Clean</v>
      </c>
    </row>
    <row r="523" customFormat="false" ht="15" hidden="false" customHeight="false" outlineLevel="0" collapsed="false">
      <c r="A523" s="3" t="str">
        <f aca="false">raw_data!A523</f>
        <v>ORD-2025-10522</v>
      </c>
      <c r="B523" s="4" t="n">
        <f aca="false">IFERROR(IF(MID(raw_data!B523,3,1)="/",DATE(VALUE(RIGHT(raw_data!B523,4)),VALUE(LEFT(raw_data!B523,2)),VALUE(MID(raw_data!B523,4,2))),IF(MID(raw_data!B523,3,1)="-",DATE(VALUE(RIGHT(raw_data!B523,4)),VALUE(MID(raw_data!B523,4,2)),VALUE(LEFT(raw_data!B523,2))),IF(MID(raw_data!B523,5,1)="-",DATE(VALUE(LEFT(raw_data!B523,4)),VALUE(MID(raw_data!B523,6,2)),VALUE(RIGHT(raw_data!B523,2))),DATE(VALUE(RIGHT(raw_data!B523,4)),MATCH(MID(raw_data!B523,4,3),{"Jan","Feb","Mar","Apr","May","Jun","Jul","Aug","Sep","Oct","Nov","Dec"},0),VALUE(LEFT(raw_data!B523,2)))))),"")</f>
        <v>45741</v>
      </c>
      <c r="C523" s="4" t="n">
        <f aca="false">IFERROR(IF(MID(raw_data!C523,3,1)="/",DATE(VALUE(RIGHT(raw_data!C523,4)),VALUE(LEFT(raw_data!C523,2)),VALUE(MID(raw_data!C523,4,2))),IF(MID(raw_data!C523,3,1)="-",DATE(VALUE(RIGHT(raw_data!C523,4)),VALUE(MID(raw_data!C523,4,2)),VALUE(LEFT(raw_data!C523,2))),IF(MID(raw_data!C523,5,1)="-",DATE(VALUE(LEFT(raw_data!C523,4)),VALUE(MID(raw_data!C523,6,2)),VALUE(RIGHT(raw_data!C523,2))),DATE(VALUE(RIGHT(raw_data!C523,4)),MATCH(MID(raw_data!C523,4,3),{"Jan","Feb","Mar","Apr","May","Jun","Jul","Aug","Sep","Oct","Nov","Dec"},0),VALUE(LEFT(raw_data!C523,2)))))),"")</f>
        <v>45748</v>
      </c>
      <c r="D523" s="3" t="str">
        <f aca="false">IF(TRIM(raw_data!B523)="","Missing",IF(B523="","Invalid/Unrecognized","Valid"))</f>
        <v>Valid</v>
      </c>
      <c r="E523" s="3" t="str">
        <f aca="false">IF(TRIM(raw_data!C523)="","Missing",IF(C523="","Invalid/Unrecognized","Valid"))</f>
        <v>Valid</v>
      </c>
      <c r="F523" s="5" t="n">
        <f aca="false">IF(OR(B523="",C523=""),"",C523-B523)</f>
        <v>7</v>
      </c>
      <c r="G523" s="3" t="str">
        <f aca="false">IF(F523="","N/A",IF(F523&lt;0,"Invalid - Ship Before Order","OK"))</f>
        <v>OK</v>
      </c>
      <c r="H523" s="3" t="str">
        <f aca="false">raw_data!D523</f>
        <v>CUST-8012</v>
      </c>
      <c r="I523" s="3" t="str">
        <f aca="false">PROPER(TRIM(raw_data!E523))</f>
        <v>Diya Patel</v>
      </c>
      <c r="J523" s="3" t="str">
        <f aca="false">PROPER(TRIM(raw_data!F523))</f>
        <v>Consumer</v>
      </c>
      <c r="K523" s="3" t="str">
        <f aca="false">IF(TRIM(raw_data!G523)="","Unknown",PROPER(TRIM(raw_data!G523)))</f>
        <v>North</v>
      </c>
      <c r="L523" s="3" t="str">
        <f aca="false">IF(TRIM(raw_data!G523)="","Filled - Unknown","OK")</f>
        <v>OK</v>
      </c>
      <c r="M523" s="3" t="str">
        <f aca="false">PROPER(TRIM(raw_data!H523))</f>
        <v>Punjab</v>
      </c>
      <c r="N523" s="3" t="str">
        <f aca="false">PROPER(TRIM(raw_data!I523))</f>
        <v>Ludhiana</v>
      </c>
      <c r="O523" s="3" t="str">
        <f aca="false">PROPER(TRIM(raw_data!J523))</f>
        <v>Office Supplies</v>
      </c>
      <c r="P523" s="3" t="str">
        <f aca="false">PROPER(TRIM(raw_data!K523))</f>
        <v>Labels</v>
      </c>
      <c r="Q523" s="3" t="str">
        <f aca="false">TRIM(raw_data!L523)</f>
        <v>Classic Labels 776</v>
      </c>
      <c r="R523" s="3" t="str">
        <f aca="false">IF(TRIM(raw_data!M523)="","Unknown",PROPER(TRIM(raw_data!M523)))</f>
        <v>Second Class</v>
      </c>
      <c r="S523" s="3" t="str">
        <f aca="false">IF(TRIM(raw_data!M523)="","Filled - Unknown","OK")</f>
        <v>OK</v>
      </c>
      <c r="T523" s="6" t="n">
        <f aca="false">raw_data!N523</f>
        <v>6</v>
      </c>
      <c r="U523" s="7" t="n">
        <f aca="false">raw_data!O523</f>
        <v>2192.11</v>
      </c>
      <c r="V523" s="8" t="n">
        <f aca="false">raw_data!P523</f>
        <v>0.05</v>
      </c>
      <c r="W523" s="8" t="n">
        <f aca="false">IF(raw_data!P523="",0,IF(ISTEXT(raw_data!P523),IF(RIGHT(raw_data!P523,1)="%",VALUE(LEFT(raw_data!P523,LEN(raw_data!P523)-1))/100,VALUE(raw_data!P523)),raw_data!P523))</f>
        <v>0.05</v>
      </c>
      <c r="X523" s="3" t="str">
        <f aca="false">IF(raw_data!P523="","Missing - Defaulted to 0",IF(W523&lt;0,"Negative - Invalid",IF(W523&gt;0.3,"Above Allowed Range - Invalid","Valid")))</f>
        <v>Valid</v>
      </c>
      <c r="Y523" s="7" t="n">
        <f aca="false">raw_data!Q523</f>
        <v>12495.03</v>
      </c>
      <c r="Z523" s="7" t="n">
        <f aca="false">raw_data!R523</f>
        <v>9184.52</v>
      </c>
      <c r="AA523" s="7" t="n">
        <f aca="false">raw_data!S523</f>
        <v>3310.51</v>
      </c>
      <c r="AB523" s="3" t="str">
        <f aca="false">PROPER(TRIM(raw_data!T523))</f>
        <v>Paid</v>
      </c>
      <c r="AC523" s="3" t="str">
        <f aca="false">PROPER(TRIM(raw_data!U523))</f>
        <v>Completed</v>
      </c>
      <c r="AD523" s="7" t="n">
        <f aca="false">T523*U523*(1-W523)</f>
        <v>12495.027</v>
      </c>
      <c r="AE523" s="7" t="n">
        <f aca="false">AD523-Z523</f>
        <v>3310.507</v>
      </c>
      <c r="AF523" s="8" t="n">
        <f aca="false">IF(AD523=0,0,AE523/AD523)</f>
        <v>0.264945966103154</v>
      </c>
      <c r="AG523" s="3" t="str">
        <f aca="false">IF(ABS(Y523-AD523)&gt;1,"Mismatch","OK")</f>
        <v>OK</v>
      </c>
      <c r="AH523" s="3" t="str">
        <f aca="false">IF(ABS(AA523-AE523)&gt;1,"Mismatch","OK")</f>
        <v>OK</v>
      </c>
      <c r="AI523" s="6" t="n">
        <f aca="false">IF(B523="","",MONTH(B523))</f>
        <v>3</v>
      </c>
      <c r="AJ523" s="6" t="n">
        <f aca="false">IF(B523="","",YEAR(B523))</f>
        <v>2025</v>
      </c>
      <c r="AK523" s="3" t="str">
        <f aca="false">IF(COUNTIF(raw_data!$A$2:$A$913,A523)&gt;1,"Conflicting Duplicate - Flagged for Review","Unique")</f>
        <v>Unique</v>
      </c>
      <c r="AL523" s="3" t="str">
        <f aca="false">IF(AB523="Refunded","Yes","No")</f>
        <v>No</v>
      </c>
      <c r="AM523" s="3" t="str">
        <f aca="false">IF(OR(AC523&lt;&gt;"Completed",AB523="Failed"),"Excluded","Included")</f>
        <v>Included</v>
      </c>
      <c r="AN523" s="3" t="str">
        <f aca="false">IF(OR(D523="Invalid/Unrecognized",E523="Invalid/Unrecognized",G523="Invalid - Ship Before Order",X523="Negative - Invalid",X523="Above Allowed Range - Invalid",AG523="Mismatch",AH523="Mismatch",AK523="Conflicting Duplicate - Flagged for Review"),"Invalid",IF(OR(L523="Filled - Unknown",S523="Filled - Unknown",X523="Missing - Defaulted to 0",AL523="Yes",AC523="Cancelled",AC523="Returned"),"Warning","Clean"))</f>
        <v>Clean</v>
      </c>
    </row>
    <row r="524" customFormat="false" ht="15" hidden="false" customHeight="false" outlineLevel="0" collapsed="false">
      <c r="A524" s="3" t="str">
        <f aca="false">raw_data!A524</f>
        <v>ORD-2025-10523</v>
      </c>
      <c r="B524" s="4" t="n">
        <f aca="false">IFERROR(IF(MID(raw_data!B524,3,1)="/",DATE(VALUE(RIGHT(raw_data!B524,4)),VALUE(LEFT(raw_data!B524,2)),VALUE(MID(raw_data!B524,4,2))),IF(MID(raw_data!B524,3,1)="-",DATE(VALUE(RIGHT(raw_data!B524,4)),VALUE(MID(raw_data!B524,4,2)),VALUE(LEFT(raw_data!B524,2))),IF(MID(raw_data!B524,5,1)="-",DATE(VALUE(LEFT(raw_data!B524,4)),VALUE(MID(raw_data!B524,6,2)),VALUE(RIGHT(raw_data!B524,2))),DATE(VALUE(RIGHT(raw_data!B524,4)),MATCH(MID(raw_data!B524,4,3),{"Jan","Feb","Mar","Apr","May","Jun","Jul","Aug","Sep","Oct","Nov","Dec"},0),VALUE(LEFT(raw_data!B524,2)))))),"")</f>
        <v>45716</v>
      </c>
      <c r="C524" s="4" t="n">
        <f aca="false">IFERROR(IF(MID(raw_data!C524,3,1)="/",DATE(VALUE(RIGHT(raw_data!C524,4)),VALUE(LEFT(raw_data!C524,2)),VALUE(MID(raw_data!C524,4,2))),IF(MID(raw_data!C524,3,1)="-",DATE(VALUE(RIGHT(raw_data!C524,4)),VALUE(MID(raw_data!C524,4,2)),VALUE(LEFT(raw_data!C524,2))),IF(MID(raw_data!C524,5,1)="-",DATE(VALUE(LEFT(raw_data!C524,4)),VALUE(MID(raw_data!C524,6,2)),VALUE(RIGHT(raw_data!C524,2))),DATE(VALUE(RIGHT(raw_data!C524,4)),MATCH(MID(raw_data!C524,4,3),{"Jan","Feb","Mar","Apr","May","Jun","Jul","Aug","Sep","Oct","Nov","Dec"},0),VALUE(LEFT(raw_data!C524,2)))))),"")</f>
        <v>45724</v>
      </c>
      <c r="D524" s="3" t="str">
        <f aca="false">IF(TRIM(raw_data!B524)="","Missing",IF(B524="","Invalid/Unrecognized","Valid"))</f>
        <v>Valid</v>
      </c>
      <c r="E524" s="3" t="str">
        <f aca="false">IF(TRIM(raw_data!C524)="","Missing",IF(C524="","Invalid/Unrecognized","Valid"))</f>
        <v>Valid</v>
      </c>
      <c r="F524" s="5" t="n">
        <f aca="false">IF(OR(B524="",C524=""),"",C524-B524)</f>
        <v>8</v>
      </c>
      <c r="G524" s="3" t="str">
        <f aca="false">IF(F524="","N/A",IF(F524&lt;0,"Invalid - Ship Before Order","OK"))</f>
        <v>OK</v>
      </c>
      <c r="H524" s="3" t="str">
        <f aca="false">raw_data!D524</f>
        <v>CUST-2917</v>
      </c>
      <c r="I524" s="3" t="str">
        <f aca="false">PROPER(TRIM(raw_data!E524))</f>
        <v>Neha Gupta</v>
      </c>
      <c r="J524" s="3" t="str">
        <f aca="false">PROPER(TRIM(raw_data!F524))</f>
        <v>Small Business</v>
      </c>
      <c r="K524" s="3" t="str">
        <f aca="false">IF(TRIM(raw_data!G524)="","Unknown",PROPER(TRIM(raw_data!G524)))</f>
        <v>East</v>
      </c>
      <c r="L524" s="3" t="str">
        <f aca="false">IF(TRIM(raw_data!G524)="","Filled - Unknown","OK")</f>
        <v>OK</v>
      </c>
      <c r="M524" s="3" t="str">
        <f aca="false">PROPER(TRIM(raw_data!H524))</f>
        <v>Jharkhand</v>
      </c>
      <c r="N524" s="3" t="str">
        <f aca="false">PROPER(TRIM(raw_data!I524))</f>
        <v>Ranchi</v>
      </c>
      <c r="O524" s="3" t="str">
        <f aca="false">PROPER(TRIM(raw_data!J524))</f>
        <v>Technology</v>
      </c>
      <c r="P524" s="3" t="str">
        <f aca="false">PROPER(TRIM(raw_data!K524))</f>
        <v>Phones</v>
      </c>
      <c r="Q524" s="3" t="str">
        <f aca="false">TRIM(raw_data!L524)</f>
        <v>Max Phones 612</v>
      </c>
      <c r="R524" s="3" t="str">
        <f aca="false">IF(TRIM(raw_data!M524)="","Unknown",PROPER(TRIM(raw_data!M524)))</f>
        <v>First Class</v>
      </c>
      <c r="S524" s="3" t="str">
        <f aca="false">IF(TRIM(raw_data!M524)="","Filled - Unknown","OK")</f>
        <v>OK</v>
      </c>
      <c r="T524" s="6" t="n">
        <f aca="false">raw_data!N524</f>
        <v>9</v>
      </c>
      <c r="U524" s="7" t="n">
        <f aca="false">raw_data!O524</f>
        <v>3670.54</v>
      </c>
      <c r="V524" s="8" t="n">
        <f aca="false">raw_data!P524</f>
        <v>0</v>
      </c>
      <c r="W524" s="8" t="n">
        <f aca="false">IF(raw_data!P524="",0,IF(ISTEXT(raw_data!P524),IF(RIGHT(raw_data!P524,1)="%",VALUE(LEFT(raw_data!P524,LEN(raw_data!P524)-1))/100,VALUE(raw_data!P524)),raw_data!P524))</f>
        <v>0</v>
      </c>
      <c r="X524" s="3" t="str">
        <f aca="false">IF(raw_data!P524="","Missing - Defaulted to 0",IF(W524&lt;0,"Negative - Invalid",IF(W524&gt;0.3,"Above Allowed Range - Invalid","Valid")))</f>
        <v>Valid</v>
      </c>
      <c r="Y524" s="7" t="n">
        <f aca="false">raw_data!Q524</f>
        <v>33034.86</v>
      </c>
      <c r="Z524" s="7" t="n">
        <f aca="false">raw_data!R524</f>
        <v>24539.83</v>
      </c>
      <c r="AA524" s="7" t="n">
        <f aca="false">raw_data!S524</f>
        <v>8495.03</v>
      </c>
      <c r="AB524" s="3" t="str">
        <f aca="false">PROPER(TRIM(raw_data!T524))</f>
        <v>Paid</v>
      </c>
      <c r="AC524" s="3" t="str">
        <f aca="false">PROPER(TRIM(raw_data!U524))</f>
        <v>Completed</v>
      </c>
      <c r="AD524" s="7" t="n">
        <f aca="false">T524*U524*(1-W524)</f>
        <v>33034.86</v>
      </c>
      <c r="AE524" s="7" t="n">
        <f aca="false">AD524-Z524</f>
        <v>8495.03</v>
      </c>
      <c r="AF524" s="8" t="n">
        <f aca="false">IF(AD524=0,0,AE524/AD524)</f>
        <v>0.257153503904663</v>
      </c>
      <c r="AG524" s="3" t="str">
        <f aca="false">IF(ABS(Y524-AD524)&gt;1,"Mismatch","OK")</f>
        <v>OK</v>
      </c>
      <c r="AH524" s="3" t="str">
        <f aca="false">IF(ABS(AA524-AE524)&gt;1,"Mismatch","OK")</f>
        <v>OK</v>
      </c>
      <c r="AI524" s="6" t="n">
        <f aca="false">IF(B524="","",MONTH(B524))</f>
        <v>2</v>
      </c>
      <c r="AJ524" s="6" t="n">
        <f aca="false">IF(B524="","",YEAR(B524))</f>
        <v>2025</v>
      </c>
      <c r="AK524" s="3" t="str">
        <f aca="false">IF(COUNTIF(raw_data!$A$2:$A$913,A524)&gt;1,"Conflicting Duplicate - Flagged for Review","Unique")</f>
        <v>Unique</v>
      </c>
      <c r="AL524" s="3" t="str">
        <f aca="false">IF(AB524="Refunded","Yes","No")</f>
        <v>No</v>
      </c>
      <c r="AM524" s="3" t="str">
        <f aca="false">IF(OR(AC524&lt;&gt;"Completed",AB524="Failed"),"Excluded","Included")</f>
        <v>Included</v>
      </c>
      <c r="AN524" s="3" t="str">
        <f aca="false">IF(OR(D524="Invalid/Unrecognized",E524="Invalid/Unrecognized",G524="Invalid - Ship Before Order",X524="Negative - Invalid",X524="Above Allowed Range - Invalid",AG524="Mismatch",AH524="Mismatch",AK524="Conflicting Duplicate - Flagged for Review"),"Invalid",IF(OR(L524="Filled - Unknown",S524="Filled - Unknown",X524="Missing - Defaulted to 0",AL524="Yes",AC524="Cancelled",AC524="Returned"),"Warning","Clean"))</f>
        <v>Clean</v>
      </c>
    </row>
    <row r="525" customFormat="false" ht="15" hidden="false" customHeight="false" outlineLevel="0" collapsed="false">
      <c r="A525" s="3" t="str">
        <f aca="false">raw_data!A525</f>
        <v>ORD-2024-10524</v>
      </c>
      <c r="B525" s="4" t="n">
        <f aca="false">IFERROR(IF(MID(raw_data!B525,3,1)="/",DATE(VALUE(RIGHT(raw_data!B525,4)),VALUE(LEFT(raw_data!B525,2)),VALUE(MID(raw_data!B525,4,2))),IF(MID(raw_data!B525,3,1)="-",DATE(VALUE(RIGHT(raw_data!B525,4)),VALUE(MID(raw_data!B525,4,2)),VALUE(LEFT(raw_data!B525,2))),IF(MID(raw_data!B525,5,1)="-",DATE(VALUE(LEFT(raw_data!B525,4)),VALUE(MID(raw_data!B525,6,2)),VALUE(RIGHT(raw_data!B525,2))),DATE(VALUE(RIGHT(raw_data!B525,4)),MATCH(MID(raw_data!B525,4,3),{"Jan","Feb","Mar","Apr","May","Jun","Jul","Aug","Sep","Oct","Nov","Dec"},0),VALUE(LEFT(raw_data!B525,2)))))),"")</f>
        <v>45384</v>
      </c>
      <c r="C525" s="4" t="n">
        <f aca="false">IFERROR(IF(MID(raw_data!C525,3,1)="/",DATE(VALUE(RIGHT(raw_data!C525,4)),VALUE(LEFT(raw_data!C525,2)),VALUE(MID(raw_data!C525,4,2))),IF(MID(raw_data!C525,3,1)="-",DATE(VALUE(RIGHT(raw_data!C525,4)),VALUE(MID(raw_data!C525,4,2)),VALUE(LEFT(raw_data!C525,2))),IF(MID(raw_data!C525,5,1)="-",DATE(VALUE(LEFT(raw_data!C525,4)),VALUE(MID(raw_data!C525,6,2)),VALUE(RIGHT(raw_data!C525,2))),DATE(VALUE(RIGHT(raw_data!C525,4)),MATCH(MID(raw_data!C525,4,3),{"Jan","Feb","Mar","Apr","May","Jun","Jul","Aug","Sep","Oct","Nov","Dec"},0),VALUE(LEFT(raw_data!C525,2)))))),"")</f>
        <v>45385</v>
      </c>
      <c r="D525" s="3" t="str">
        <f aca="false">IF(TRIM(raw_data!B525)="","Missing",IF(B525="","Invalid/Unrecognized","Valid"))</f>
        <v>Valid</v>
      </c>
      <c r="E525" s="3" t="str">
        <f aca="false">IF(TRIM(raw_data!C525)="","Missing",IF(C525="","Invalid/Unrecognized","Valid"))</f>
        <v>Valid</v>
      </c>
      <c r="F525" s="5" t="n">
        <f aca="false">IF(OR(B525="",C525=""),"",C525-B525)</f>
        <v>1</v>
      </c>
      <c r="G525" s="3" t="str">
        <f aca="false">IF(F525="","N/A",IF(F525&lt;0,"Invalid - Ship Before Order","OK"))</f>
        <v>OK</v>
      </c>
      <c r="H525" s="3" t="str">
        <f aca="false">raw_data!D525</f>
        <v>CUST-4653</v>
      </c>
      <c r="I525" s="3" t="str">
        <f aca="false">PROPER(TRIM(raw_data!E525))</f>
        <v>Kabir Singh</v>
      </c>
      <c r="J525" s="3" t="str">
        <f aca="false">PROPER(TRIM(raw_data!F525))</f>
        <v>Home Office</v>
      </c>
      <c r="K525" s="3" t="str">
        <f aca="false">IF(TRIM(raw_data!G525)="","Unknown",PROPER(TRIM(raw_data!G525)))</f>
        <v>West</v>
      </c>
      <c r="L525" s="3" t="str">
        <f aca="false">IF(TRIM(raw_data!G525)="","Filled - Unknown","OK")</f>
        <v>OK</v>
      </c>
      <c r="M525" s="3" t="str">
        <f aca="false">PROPER(TRIM(raw_data!H525))</f>
        <v>Goa</v>
      </c>
      <c r="N525" s="3" t="str">
        <f aca="false">PROPER(TRIM(raw_data!I525))</f>
        <v>Panaji</v>
      </c>
      <c r="O525" s="3" t="str">
        <f aca="false">PROPER(TRIM(raw_data!J525))</f>
        <v>Office Supplies</v>
      </c>
      <c r="P525" s="3" t="str">
        <f aca="false">PROPER(TRIM(raw_data!K525))</f>
        <v>Paper</v>
      </c>
      <c r="Q525" s="3" t="str">
        <f aca="false">TRIM(raw_data!L525)</f>
        <v>Basic Paper 315</v>
      </c>
      <c r="R525" s="3" t="str">
        <f aca="false">IF(TRIM(raw_data!M525)="","Unknown",PROPER(TRIM(raw_data!M525)))</f>
        <v>Second Class</v>
      </c>
      <c r="S525" s="3" t="str">
        <f aca="false">IF(TRIM(raw_data!M525)="","Filled - Unknown","OK")</f>
        <v>OK</v>
      </c>
      <c r="T525" s="6" t="n">
        <f aca="false">raw_data!N525</f>
        <v>2</v>
      </c>
      <c r="U525" s="7" t="n">
        <f aca="false">raw_data!O525</f>
        <v>2902.63</v>
      </c>
      <c r="V525" s="8" t="n">
        <f aca="false">raw_data!P525</f>
        <v>0</v>
      </c>
      <c r="W525" s="8" t="n">
        <f aca="false">IF(raw_data!P525="",0,IF(ISTEXT(raw_data!P525),IF(RIGHT(raw_data!P525,1)="%",VALUE(LEFT(raw_data!P525,LEN(raw_data!P525)-1))/100,VALUE(raw_data!P525)),raw_data!P525))</f>
        <v>0</v>
      </c>
      <c r="X525" s="3" t="str">
        <f aca="false">IF(raw_data!P525="","Missing - Defaulted to 0",IF(W525&lt;0,"Negative - Invalid",IF(W525&gt;0.3,"Above Allowed Range - Invalid","Valid")))</f>
        <v>Valid</v>
      </c>
      <c r="Y525" s="7" t="n">
        <f aca="false">raw_data!Q525</f>
        <v>5805.26</v>
      </c>
      <c r="Z525" s="7" t="n">
        <f aca="false">raw_data!R525</f>
        <v>4654.36</v>
      </c>
      <c r="AA525" s="7" t="n">
        <f aca="false">raw_data!S525</f>
        <v>1150.9</v>
      </c>
      <c r="AB525" s="3" t="str">
        <f aca="false">PROPER(TRIM(raw_data!T525))</f>
        <v>Paid</v>
      </c>
      <c r="AC525" s="3" t="str">
        <f aca="false">PROPER(TRIM(raw_data!U525))</f>
        <v>Returned</v>
      </c>
      <c r="AD525" s="7" t="n">
        <f aca="false">T525*U525*(1-W525)</f>
        <v>5805.26</v>
      </c>
      <c r="AE525" s="7" t="n">
        <f aca="false">AD525-Z525</f>
        <v>1150.9</v>
      </c>
      <c r="AF525" s="8" t="n">
        <f aca="false">IF(AD525=0,0,AE525/AD525)</f>
        <v>0.198251241115816</v>
      </c>
      <c r="AG525" s="3" t="str">
        <f aca="false">IF(ABS(Y525-AD525)&gt;1,"Mismatch","OK")</f>
        <v>OK</v>
      </c>
      <c r="AH525" s="3" t="str">
        <f aca="false">IF(ABS(AA525-AE525)&gt;1,"Mismatch","OK")</f>
        <v>OK</v>
      </c>
      <c r="AI525" s="6" t="n">
        <f aca="false">IF(B525="","",MONTH(B525))</f>
        <v>4</v>
      </c>
      <c r="AJ525" s="6" t="n">
        <f aca="false">IF(B525="","",YEAR(B525))</f>
        <v>2024</v>
      </c>
      <c r="AK525" s="3" t="str">
        <f aca="false">IF(COUNTIF(raw_data!$A$2:$A$913,A525)&gt;1,"Conflicting Duplicate - Flagged for Review","Unique")</f>
        <v>Unique</v>
      </c>
      <c r="AL525" s="3" t="str">
        <f aca="false">IF(AB525="Refunded","Yes","No")</f>
        <v>No</v>
      </c>
      <c r="AM525" s="3" t="str">
        <f aca="false">IF(OR(AC525&lt;&gt;"Completed",AB525="Failed"),"Excluded","Included")</f>
        <v>Excluded</v>
      </c>
      <c r="AN525" s="3" t="str">
        <f aca="false">IF(OR(D525="Invalid/Unrecognized",E525="Invalid/Unrecognized",G525="Invalid - Ship Before Order",X525="Negative - Invalid",X525="Above Allowed Range - Invalid",AG525="Mismatch",AH525="Mismatch",AK525="Conflicting Duplicate - Flagged for Review"),"Invalid",IF(OR(L525="Filled - Unknown",S525="Filled - Unknown",X525="Missing - Defaulted to 0",AL525="Yes",AC525="Cancelled",AC525="Returned"),"Warning","Clean"))</f>
        <v>Warning</v>
      </c>
    </row>
    <row r="526" customFormat="false" ht="15" hidden="false" customHeight="false" outlineLevel="0" collapsed="false">
      <c r="A526" s="3" t="str">
        <f aca="false">raw_data!A526</f>
        <v>ORD-2024-10525</v>
      </c>
      <c r="B526" s="4" t="n">
        <f aca="false">IFERROR(IF(MID(raw_data!B526,3,1)="/",DATE(VALUE(RIGHT(raw_data!B526,4)),VALUE(LEFT(raw_data!B526,2)),VALUE(MID(raw_data!B526,4,2))),IF(MID(raw_data!B526,3,1)="-",DATE(VALUE(RIGHT(raw_data!B526,4)),VALUE(MID(raw_data!B526,4,2)),VALUE(LEFT(raw_data!B526,2))),IF(MID(raw_data!B526,5,1)="-",DATE(VALUE(LEFT(raw_data!B526,4)),VALUE(MID(raw_data!B526,6,2)),VALUE(RIGHT(raw_data!B526,2))),DATE(VALUE(RIGHT(raw_data!B526,4)),MATCH(MID(raw_data!B526,4,3),{"Jan","Feb","Mar","Apr","May","Jun","Jul","Aug","Sep","Oct","Nov","Dec"},0),VALUE(LEFT(raw_data!B526,2)))))),"")</f>
        <v>45626</v>
      </c>
      <c r="C526" s="4" t="n">
        <f aca="false">IFERROR(IF(MID(raw_data!C526,3,1)="/",DATE(VALUE(RIGHT(raw_data!C526,4)),VALUE(LEFT(raw_data!C526,2)),VALUE(MID(raw_data!C526,4,2))),IF(MID(raw_data!C526,3,1)="-",DATE(VALUE(RIGHT(raw_data!C526,4)),VALUE(MID(raw_data!C526,4,2)),VALUE(LEFT(raw_data!C526,2))),IF(MID(raw_data!C526,5,1)="-",DATE(VALUE(LEFT(raw_data!C526,4)),VALUE(MID(raw_data!C526,6,2)),VALUE(RIGHT(raw_data!C526,2))),DATE(VALUE(RIGHT(raw_data!C526,4)),MATCH(MID(raw_data!C526,4,3),{"Jan","Feb","Mar","Apr","May","Jun","Jul","Aug","Sep","Oct","Nov","Dec"},0),VALUE(LEFT(raw_data!C526,2)))))),"")</f>
        <v>45627</v>
      </c>
      <c r="D526" s="3" t="str">
        <f aca="false">IF(TRIM(raw_data!B526)="","Missing",IF(B526="","Invalid/Unrecognized","Valid"))</f>
        <v>Valid</v>
      </c>
      <c r="E526" s="3" t="str">
        <f aca="false">IF(TRIM(raw_data!C526)="","Missing",IF(C526="","Invalid/Unrecognized","Valid"))</f>
        <v>Valid</v>
      </c>
      <c r="F526" s="5" t="n">
        <f aca="false">IF(OR(B526="",C526=""),"",C526-B526)</f>
        <v>1</v>
      </c>
      <c r="G526" s="3" t="str">
        <f aca="false">IF(F526="","N/A",IF(F526&lt;0,"Invalid - Ship Before Order","OK"))</f>
        <v>OK</v>
      </c>
      <c r="H526" s="3" t="str">
        <f aca="false">raw_data!D526</f>
        <v>CUST-3311</v>
      </c>
      <c r="I526" s="3" t="str">
        <f aca="false">PROPER(TRIM(raw_data!E526))</f>
        <v>Ananya Rao</v>
      </c>
      <c r="J526" s="3" t="str">
        <f aca="false">PROPER(TRIM(raw_data!F526))</f>
        <v>Corporate</v>
      </c>
      <c r="K526" s="3" t="str">
        <f aca="false">IF(TRIM(raw_data!G526)="","Unknown",PROPER(TRIM(raw_data!G526)))</f>
        <v>West</v>
      </c>
      <c r="L526" s="3" t="str">
        <f aca="false">IF(TRIM(raw_data!G526)="","Filled - Unknown","OK")</f>
        <v>OK</v>
      </c>
      <c r="M526" s="3" t="str">
        <f aca="false">PROPER(TRIM(raw_data!H526))</f>
        <v>Gujarat</v>
      </c>
      <c r="N526" s="3" t="str">
        <f aca="false">PROPER(TRIM(raw_data!I526))</f>
        <v>Ahmedabad</v>
      </c>
      <c r="O526" s="3" t="str">
        <f aca="false">PROPER(TRIM(raw_data!J526))</f>
        <v>Furniture</v>
      </c>
      <c r="P526" s="3" t="str">
        <f aca="false">PROPER(TRIM(raw_data!K526))</f>
        <v>Chairs</v>
      </c>
      <c r="Q526" s="3" t="str">
        <f aca="false">TRIM(raw_data!L526)</f>
        <v>Basic Chairs 333</v>
      </c>
      <c r="R526" s="3" t="str">
        <f aca="false">IF(TRIM(raw_data!M526)="","Unknown",PROPER(TRIM(raw_data!M526)))</f>
        <v>First Class</v>
      </c>
      <c r="S526" s="3" t="str">
        <f aca="false">IF(TRIM(raw_data!M526)="","Filled - Unknown","OK")</f>
        <v>OK</v>
      </c>
      <c r="T526" s="6" t="n">
        <f aca="false">raw_data!N526</f>
        <v>9</v>
      </c>
      <c r="U526" s="7" t="n">
        <f aca="false">raw_data!O526</f>
        <v>4207.36</v>
      </c>
      <c r="V526" s="8" t="n">
        <f aca="false">raw_data!P526</f>
        <v>0.1</v>
      </c>
      <c r="W526" s="8" t="n">
        <f aca="false">IF(raw_data!P526="",0,IF(ISTEXT(raw_data!P526),IF(RIGHT(raw_data!P526,1)="%",VALUE(LEFT(raw_data!P526,LEN(raw_data!P526)-1))/100,VALUE(raw_data!P526)),raw_data!P526))</f>
        <v>0.1</v>
      </c>
      <c r="X526" s="3" t="str">
        <f aca="false">IF(raw_data!P526="","Missing - Defaulted to 0",IF(W526&lt;0,"Negative - Invalid",IF(W526&gt;0.3,"Above Allowed Range - Invalid","Valid")))</f>
        <v>Valid</v>
      </c>
      <c r="Y526" s="7" t="n">
        <f aca="false">raw_data!Q526</f>
        <v>34079.62</v>
      </c>
      <c r="Z526" s="7" t="n">
        <f aca="false">raw_data!R526</f>
        <v>21871.39</v>
      </c>
      <c r="AA526" s="7" t="n">
        <f aca="false">raw_data!S526</f>
        <v>12208.23</v>
      </c>
      <c r="AB526" s="3" t="str">
        <f aca="false">PROPER(TRIM(raw_data!T526))</f>
        <v>Paid</v>
      </c>
      <c r="AC526" s="3" t="str">
        <f aca="false">PROPER(TRIM(raw_data!U526))</f>
        <v>Completed</v>
      </c>
      <c r="AD526" s="7" t="n">
        <f aca="false">T526*U526*(1-W526)</f>
        <v>34079.616</v>
      </c>
      <c r="AE526" s="7" t="n">
        <f aca="false">AD526-Z526</f>
        <v>12208.226</v>
      </c>
      <c r="AF526" s="8" t="n">
        <f aca="false">IF(AD526=0,0,AE526/AD526)</f>
        <v>0.358226630253111</v>
      </c>
      <c r="AG526" s="3" t="str">
        <f aca="false">IF(ABS(Y526-AD526)&gt;1,"Mismatch","OK")</f>
        <v>OK</v>
      </c>
      <c r="AH526" s="3" t="str">
        <f aca="false">IF(ABS(AA526-AE526)&gt;1,"Mismatch","OK")</f>
        <v>OK</v>
      </c>
      <c r="AI526" s="6" t="n">
        <f aca="false">IF(B526="","",MONTH(B526))</f>
        <v>11</v>
      </c>
      <c r="AJ526" s="6" t="n">
        <f aca="false">IF(B526="","",YEAR(B526))</f>
        <v>2024</v>
      </c>
      <c r="AK526" s="3" t="str">
        <f aca="false">IF(COUNTIF(raw_data!$A$2:$A$913,A526)&gt;1,"Conflicting Duplicate - Flagged for Review","Unique")</f>
        <v>Unique</v>
      </c>
      <c r="AL526" s="3" t="str">
        <f aca="false">IF(AB526="Refunded","Yes","No")</f>
        <v>No</v>
      </c>
      <c r="AM526" s="3" t="str">
        <f aca="false">IF(OR(AC526&lt;&gt;"Completed",AB526="Failed"),"Excluded","Included")</f>
        <v>Included</v>
      </c>
      <c r="AN526" s="3" t="str">
        <f aca="false">IF(OR(D526="Invalid/Unrecognized",E526="Invalid/Unrecognized",G526="Invalid - Ship Before Order",X526="Negative - Invalid",X526="Above Allowed Range - Invalid",AG526="Mismatch",AH526="Mismatch",AK526="Conflicting Duplicate - Flagged for Review"),"Invalid",IF(OR(L526="Filled - Unknown",S526="Filled - Unknown",X526="Missing - Defaulted to 0",AL526="Yes",AC526="Cancelled",AC526="Returned"),"Warning","Clean"))</f>
        <v>Clean</v>
      </c>
    </row>
    <row r="527" customFormat="false" ht="15" hidden="false" customHeight="false" outlineLevel="0" collapsed="false">
      <c r="A527" s="3" t="str">
        <f aca="false">raw_data!A527</f>
        <v>ORD-2024-10526</v>
      </c>
      <c r="B527" s="4" t="n">
        <f aca="false">IFERROR(IF(MID(raw_data!B527,3,1)="/",DATE(VALUE(RIGHT(raw_data!B527,4)),VALUE(LEFT(raw_data!B527,2)),VALUE(MID(raw_data!B527,4,2))),IF(MID(raw_data!B527,3,1)="-",DATE(VALUE(RIGHT(raw_data!B527,4)),VALUE(MID(raw_data!B527,4,2)),VALUE(LEFT(raw_data!B527,2))),IF(MID(raw_data!B527,5,1)="-",DATE(VALUE(LEFT(raw_data!B527,4)),VALUE(MID(raw_data!B527,6,2)),VALUE(RIGHT(raw_data!B527,2))),DATE(VALUE(RIGHT(raw_data!B527,4)),MATCH(MID(raw_data!B527,4,3),{"Jan","Feb","Mar","Apr","May","Jun","Jul","Aug","Sep","Oct","Nov","Dec"},0),VALUE(LEFT(raw_data!B527,2)))))),"")</f>
        <v>45582</v>
      </c>
      <c r="C527" s="4" t="n">
        <f aca="false">IFERROR(IF(MID(raw_data!C527,3,1)="/",DATE(VALUE(RIGHT(raw_data!C527,4)),VALUE(LEFT(raw_data!C527,2)),VALUE(MID(raw_data!C527,4,2))),IF(MID(raw_data!C527,3,1)="-",DATE(VALUE(RIGHT(raw_data!C527,4)),VALUE(MID(raw_data!C527,4,2)),VALUE(LEFT(raw_data!C527,2))),IF(MID(raw_data!C527,5,1)="-",DATE(VALUE(LEFT(raw_data!C527,4)),VALUE(MID(raw_data!C527,6,2)),VALUE(RIGHT(raw_data!C527,2))),DATE(VALUE(RIGHT(raw_data!C527,4)),MATCH(MID(raw_data!C527,4,3),{"Jan","Feb","Mar","Apr","May","Jun","Jul","Aug","Sep","Oct","Nov","Dec"},0),VALUE(LEFT(raw_data!C527,2)))))),"")</f>
        <v>45582</v>
      </c>
      <c r="D527" s="3" t="str">
        <f aca="false">IF(TRIM(raw_data!B527)="","Missing",IF(B527="","Invalid/Unrecognized","Valid"))</f>
        <v>Valid</v>
      </c>
      <c r="E527" s="3" t="str">
        <f aca="false">IF(TRIM(raw_data!C527)="","Missing",IF(C527="","Invalid/Unrecognized","Valid"))</f>
        <v>Valid</v>
      </c>
      <c r="F527" s="5" t="n">
        <f aca="false">IF(OR(B527="",C527=""),"",C527-B527)</f>
        <v>0</v>
      </c>
      <c r="G527" s="3" t="str">
        <f aca="false">IF(F527="","N/A",IF(F527&lt;0,"Invalid - Ship Before Order","OK"))</f>
        <v>OK</v>
      </c>
      <c r="H527" s="3" t="str">
        <f aca="false">raw_data!D527</f>
        <v>CUST-2924</v>
      </c>
      <c r="I527" s="3" t="str">
        <f aca="false">PROPER(TRIM(raw_data!E527))</f>
        <v>Priya Menon</v>
      </c>
      <c r="J527" s="3" t="str">
        <f aca="false">PROPER(TRIM(raw_data!F527))</f>
        <v>Home Office</v>
      </c>
      <c r="K527" s="3" t="str">
        <f aca="false">IF(TRIM(raw_data!G527)="","Unknown",PROPER(TRIM(raw_data!G527)))</f>
        <v>East</v>
      </c>
      <c r="L527" s="3" t="str">
        <f aca="false">IF(TRIM(raw_data!G527)="","Filled - Unknown","OK")</f>
        <v>OK</v>
      </c>
      <c r="M527" s="3" t="str">
        <f aca="false">PROPER(TRIM(raw_data!H527))</f>
        <v>West Bengal</v>
      </c>
      <c r="N527" s="3" t="str">
        <f aca="false">PROPER(TRIM(raw_data!I527))</f>
        <v>Kolkata</v>
      </c>
      <c r="O527" s="3" t="str">
        <f aca="false">PROPER(TRIM(raw_data!J527))</f>
        <v>Furniture</v>
      </c>
      <c r="P527" s="3" t="str">
        <f aca="false">PROPER(TRIM(raw_data!K527))</f>
        <v>Chairs</v>
      </c>
      <c r="Q527" s="3" t="str">
        <f aca="false">TRIM(raw_data!L527)</f>
        <v>Prime Chairs 215</v>
      </c>
      <c r="R527" s="3" t="str">
        <f aca="false">IF(TRIM(raw_data!M527)="","Unknown",PROPER(TRIM(raw_data!M527)))</f>
        <v>Standard Class</v>
      </c>
      <c r="S527" s="3" t="str">
        <f aca="false">IF(TRIM(raw_data!M527)="","Filled - Unknown","OK")</f>
        <v>OK</v>
      </c>
      <c r="T527" s="6" t="n">
        <f aca="false">raw_data!N527</f>
        <v>5</v>
      </c>
      <c r="U527" s="7" t="n">
        <f aca="false">raw_data!O527</f>
        <v>2524.4</v>
      </c>
      <c r="V527" s="8" t="n">
        <f aca="false">raw_data!P527</f>
        <v>0.1</v>
      </c>
      <c r="W527" s="8" t="n">
        <f aca="false">IF(raw_data!P527="",0,IF(ISTEXT(raw_data!P527),IF(RIGHT(raw_data!P527,1)="%",VALUE(LEFT(raw_data!P527,LEN(raw_data!P527)-1))/100,VALUE(raw_data!P527)),raw_data!P527))</f>
        <v>0.1</v>
      </c>
      <c r="X527" s="3" t="str">
        <f aca="false">IF(raw_data!P527="","Missing - Defaulted to 0",IF(W527&lt;0,"Negative - Invalid",IF(W527&gt;0.3,"Above Allowed Range - Invalid","Valid")))</f>
        <v>Valid</v>
      </c>
      <c r="Y527" s="7" t="n">
        <f aca="false">raw_data!Q527</f>
        <v>11359.8</v>
      </c>
      <c r="Z527" s="7" t="n">
        <f aca="false">raw_data!R527</f>
        <v>7062.44</v>
      </c>
      <c r="AA527" s="7" t="n">
        <f aca="false">raw_data!S527</f>
        <v>4297.36</v>
      </c>
      <c r="AB527" s="3" t="str">
        <f aca="false">PROPER(TRIM(raw_data!T527))</f>
        <v>Paid</v>
      </c>
      <c r="AC527" s="3" t="str">
        <f aca="false">PROPER(TRIM(raw_data!U527))</f>
        <v>Completed</v>
      </c>
      <c r="AD527" s="7" t="n">
        <f aca="false">T527*U527*(1-W527)</f>
        <v>11359.8</v>
      </c>
      <c r="AE527" s="7" t="n">
        <f aca="false">AD527-Z527</f>
        <v>4297.36</v>
      </c>
      <c r="AF527" s="8" t="n">
        <f aca="false">IF(AD527=0,0,AE527/AD527)</f>
        <v>0.378295392524516</v>
      </c>
      <c r="AG527" s="3" t="str">
        <f aca="false">IF(ABS(Y527-AD527)&gt;1,"Mismatch","OK")</f>
        <v>OK</v>
      </c>
      <c r="AH527" s="3" t="str">
        <f aca="false">IF(ABS(AA527-AE527)&gt;1,"Mismatch","OK")</f>
        <v>OK</v>
      </c>
      <c r="AI527" s="6" t="n">
        <f aca="false">IF(B527="","",MONTH(B527))</f>
        <v>10</v>
      </c>
      <c r="AJ527" s="6" t="n">
        <f aca="false">IF(B527="","",YEAR(B527))</f>
        <v>2024</v>
      </c>
      <c r="AK527" s="3" t="str">
        <f aca="false">IF(COUNTIF(raw_data!$A$2:$A$913,A527)&gt;1,"Conflicting Duplicate - Flagged for Review","Unique")</f>
        <v>Unique</v>
      </c>
      <c r="AL527" s="3" t="str">
        <f aca="false">IF(AB527="Refunded","Yes","No")</f>
        <v>No</v>
      </c>
      <c r="AM527" s="3" t="str">
        <f aca="false">IF(OR(AC527&lt;&gt;"Completed",AB527="Failed"),"Excluded","Included")</f>
        <v>Included</v>
      </c>
      <c r="AN527" s="3" t="str">
        <f aca="false">IF(OR(D527="Invalid/Unrecognized",E527="Invalid/Unrecognized",G527="Invalid - Ship Before Order",X527="Negative - Invalid",X527="Above Allowed Range - Invalid",AG527="Mismatch",AH527="Mismatch",AK527="Conflicting Duplicate - Flagged for Review"),"Invalid",IF(OR(L527="Filled - Unknown",S527="Filled - Unknown",X527="Missing - Defaulted to 0",AL527="Yes",AC527="Cancelled",AC527="Returned"),"Warning","Clean"))</f>
        <v>Clean</v>
      </c>
    </row>
    <row r="528" customFormat="false" ht="15" hidden="false" customHeight="false" outlineLevel="0" collapsed="false">
      <c r="A528" s="3" t="str">
        <f aca="false">raw_data!A528</f>
        <v>ORD-2025-10527</v>
      </c>
      <c r="B528" s="4" t="n">
        <f aca="false">IFERROR(IF(MID(raw_data!B528,3,1)="/",DATE(VALUE(RIGHT(raw_data!B528,4)),VALUE(LEFT(raw_data!B528,2)),VALUE(MID(raw_data!B528,4,2))),IF(MID(raw_data!B528,3,1)="-",DATE(VALUE(RIGHT(raw_data!B528,4)),VALUE(MID(raw_data!B528,4,2)),VALUE(LEFT(raw_data!B528,2))),IF(MID(raw_data!B528,5,1)="-",DATE(VALUE(LEFT(raw_data!B528,4)),VALUE(MID(raw_data!B528,6,2)),VALUE(RIGHT(raw_data!B528,2))),DATE(VALUE(RIGHT(raw_data!B528,4)),MATCH(MID(raw_data!B528,4,3),{"Jan","Feb","Mar","Apr","May","Jun","Jul","Aug","Sep","Oct","Nov","Dec"},0),VALUE(LEFT(raw_data!B528,2)))))),"")</f>
        <v>45856</v>
      </c>
      <c r="C528" s="4" t="n">
        <f aca="false">IFERROR(IF(MID(raw_data!C528,3,1)="/",DATE(VALUE(RIGHT(raw_data!C528,4)),VALUE(LEFT(raw_data!C528,2)),VALUE(MID(raw_data!C528,4,2))),IF(MID(raw_data!C528,3,1)="-",DATE(VALUE(RIGHT(raw_data!C528,4)),VALUE(MID(raw_data!C528,4,2)),VALUE(LEFT(raw_data!C528,2))),IF(MID(raw_data!C528,5,1)="-",DATE(VALUE(LEFT(raw_data!C528,4)),VALUE(MID(raw_data!C528,6,2)),VALUE(RIGHT(raw_data!C528,2))),DATE(VALUE(RIGHT(raw_data!C528,4)),MATCH(MID(raw_data!C528,4,3),{"Jan","Feb","Mar","Apr","May","Jun","Jul","Aug","Sep","Oct","Nov","Dec"},0),VALUE(LEFT(raw_data!C528,2)))))),"")</f>
        <v>45859</v>
      </c>
      <c r="D528" s="3" t="str">
        <f aca="false">IF(TRIM(raw_data!B528)="","Missing",IF(B528="","Invalid/Unrecognized","Valid"))</f>
        <v>Valid</v>
      </c>
      <c r="E528" s="3" t="str">
        <f aca="false">IF(TRIM(raw_data!C528)="","Missing",IF(C528="","Invalid/Unrecognized","Valid"))</f>
        <v>Valid</v>
      </c>
      <c r="F528" s="5" t="n">
        <f aca="false">IF(OR(B528="",C528=""),"",C528-B528)</f>
        <v>3</v>
      </c>
      <c r="G528" s="3" t="str">
        <f aca="false">IF(F528="","N/A",IF(F528&lt;0,"Invalid - Ship Before Order","OK"))</f>
        <v>OK</v>
      </c>
      <c r="H528" s="3" t="str">
        <f aca="false">raw_data!D528</f>
        <v>CUST-7198</v>
      </c>
      <c r="I528" s="3" t="str">
        <f aca="false">PROPER(TRIM(raw_data!E528))</f>
        <v>Priya Menon</v>
      </c>
      <c r="J528" s="3" t="str">
        <f aca="false">PROPER(TRIM(raw_data!F528))</f>
        <v>Consumer</v>
      </c>
      <c r="K528" s="3" t="str">
        <f aca="false">IF(TRIM(raw_data!G528)="","Unknown",PROPER(TRIM(raw_data!G528)))</f>
        <v>East</v>
      </c>
      <c r="L528" s="3" t="str">
        <f aca="false">IF(TRIM(raw_data!G528)="","Filled - Unknown","OK")</f>
        <v>OK</v>
      </c>
      <c r="M528" s="3" t="str">
        <f aca="false">PROPER(TRIM(raw_data!H528))</f>
        <v>Odisha</v>
      </c>
      <c r="N528" s="3" t="str">
        <f aca="false">PROPER(TRIM(raw_data!I528))</f>
        <v>Bhubaneswar</v>
      </c>
      <c r="O528" s="3" t="str">
        <f aca="false">PROPER(TRIM(raw_data!J528))</f>
        <v>Furniture</v>
      </c>
      <c r="P528" s="3" t="str">
        <f aca="false">PROPER(TRIM(raw_data!K528))</f>
        <v>Tables</v>
      </c>
      <c r="Q528" s="3" t="str">
        <f aca="false">TRIM(raw_data!L528)</f>
        <v>Elite Tables 815</v>
      </c>
      <c r="R528" s="3" t="str">
        <f aca="false">IF(TRIM(raw_data!M528)="","Unknown",PROPER(TRIM(raw_data!M528)))</f>
        <v>Second Class</v>
      </c>
      <c r="S528" s="3" t="str">
        <f aca="false">IF(TRIM(raw_data!M528)="","Filled - Unknown","OK")</f>
        <v>OK</v>
      </c>
      <c r="T528" s="6" t="n">
        <f aca="false">raw_data!N528</f>
        <v>4</v>
      </c>
      <c r="U528" s="7" t="n">
        <f aca="false">raw_data!O528</f>
        <v>284.04</v>
      </c>
      <c r="V528" s="8" t="n">
        <f aca="false">raw_data!P528</f>
        <v>0</v>
      </c>
      <c r="W528" s="8" t="n">
        <f aca="false">IF(raw_data!P528="",0,IF(ISTEXT(raw_data!P528),IF(RIGHT(raw_data!P528,1)="%",VALUE(LEFT(raw_data!P528,LEN(raw_data!P528)-1))/100,VALUE(raw_data!P528)),raw_data!P528))</f>
        <v>0</v>
      </c>
      <c r="X528" s="3" t="str">
        <f aca="false">IF(raw_data!P528="","Missing - Defaulted to 0",IF(W528&lt;0,"Negative - Invalid",IF(W528&gt;0.3,"Above Allowed Range - Invalid","Valid")))</f>
        <v>Missing - Defaulted to 0</v>
      </c>
      <c r="Y528" s="7" t="n">
        <f aca="false">raw_data!Q528</f>
        <v>908.93</v>
      </c>
      <c r="Z528" s="7" t="n">
        <f aca="false">raw_data!R528</f>
        <v>572.08</v>
      </c>
      <c r="AA528" s="7" t="n">
        <f aca="false">raw_data!S528</f>
        <v>336.85</v>
      </c>
      <c r="AB528" s="3" t="str">
        <f aca="false">PROPER(TRIM(raw_data!T528))</f>
        <v>Paid</v>
      </c>
      <c r="AC528" s="3" t="str">
        <f aca="false">PROPER(TRIM(raw_data!U528))</f>
        <v>Completed</v>
      </c>
      <c r="AD528" s="7" t="n">
        <f aca="false">T528*U528*(1-W528)</f>
        <v>1136.16</v>
      </c>
      <c r="AE528" s="7" t="n">
        <f aca="false">AD528-Z528</f>
        <v>564.08</v>
      </c>
      <c r="AF528" s="8" t="n">
        <f aca="false">IF(AD528=0,0,AE528/AD528)</f>
        <v>0.496479369102943</v>
      </c>
      <c r="AG528" s="3" t="str">
        <f aca="false">IF(ABS(Y528-AD528)&gt;1,"Mismatch","OK")</f>
        <v>Mismatch</v>
      </c>
      <c r="AH528" s="3" t="str">
        <f aca="false">IF(ABS(AA528-AE528)&gt;1,"Mismatch","OK")</f>
        <v>Mismatch</v>
      </c>
      <c r="AI528" s="6" t="n">
        <f aca="false">IF(B528="","",MONTH(B528))</f>
        <v>7</v>
      </c>
      <c r="AJ528" s="6" t="n">
        <f aca="false">IF(B528="","",YEAR(B528))</f>
        <v>2025</v>
      </c>
      <c r="AK528" s="3" t="str">
        <f aca="false">IF(COUNTIF(raw_data!$A$2:$A$913,A528)&gt;1,"Conflicting Duplicate - Flagged for Review","Unique")</f>
        <v>Unique</v>
      </c>
      <c r="AL528" s="3" t="str">
        <f aca="false">IF(AB528="Refunded","Yes","No")</f>
        <v>No</v>
      </c>
      <c r="AM528" s="3" t="str">
        <f aca="false">IF(OR(AC528&lt;&gt;"Completed",AB528="Failed"),"Excluded","Included")</f>
        <v>Included</v>
      </c>
      <c r="AN528" s="3" t="str">
        <f aca="false">IF(OR(D528="Invalid/Unrecognized",E528="Invalid/Unrecognized",G528="Invalid - Ship Before Order",X528="Negative - Invalid",X528="Above Allowed Range - Invalid",AG528="Mismatch",AH528="Mismatch",AK528="Conflicting Duplicate - Flagged for Review"),"Invalid",IF(OR(L528="Filled - Unknown",S528="Filled - Unknown",X528="Missing - Defaulted to 0",AL528="Yes",AC528="Cancelled",AC528="Returned"),"Warning","Clean"))</f>
        <v>Invalid</v>
      </c>
    </row>
    <row r="529" customFormat="false" ht="15" hidden="false" customHeight="false" outlineLevel="0" collapsed="false">
      <c r="A529" s="3" t="str">
        <f aca="false">raw_data!A529</f>
        <v>ORD-2025-10528</v>
      </c>
      <c r="B529" s="4" t="n">
        <f aca="false">IFERROR(IF(MID(raw_data!B529,3,1)="/",DATE(VALUE(RIGHT(raw_data!B529,4)),VALUE(LEFT(raw_data!B529,2)),VALUE(MID(raw_data!B529,4,2))),IF(MID(raw_data!B529,3,1)="-",DATE(VALUE(RIGHT(raw_data!B529,4)),VALUE(MID(raw_data!B529,4,2)),VALUE(LEFT(raw_data!B529,2))),IF(MID(raw_data!B529,5,1)="-",DATE(VALUE(LEFT(raw_data!B529,4)),VALUE(MID(raw_data!B529,6,2)),VALUE(RIGHT(raw_data!B529,2))),DATE(VALUE(RIGHT(raw_data!B529,4)),MATCH(MID(raw_data!B529,4,3),{"Jan","Feb","Mar","Apr","May","Jun","Jul","Aug","Sep","Oct","Nov","Dec"},0),VALUE(LEFT(raw_data!B529,2)))))),"")</f>
        <v>45931</v>
      </c>
      <c r="C529" s="4" t="n">
        <f aca="false">IFERROR(IF(MID(raw_data!C529,3,1)="/",DATE(VALUE(RIGHT(raw_data!C529,4)),VALUE(LEFT(raw_data!C529,2)),VALUE(MID(raw_data!C529,4,2))),IF(MID(raw_data!C529,3,1)="-",DATE(VALUE(RIGHT(raw_data!C529,4)),VALUE(MID(raw_data!C529,4,2)),VALUE(LEFT(raw_data!C529,2))),IF(MID(raw_data!C529,5,1)="-",DATE(VALUE(LEFT(raw_data!C529,4)),VALUE(MID(raw_data!C529,6,2)),VALUE(RIGHT(raw_data!C529,2))),DATE(VALUE(RIGHT(raw_data!C529,4)),MATCH(MID(raw_data!C529,4,3),{"Jan","Feb","Mar","Apr","May","Jun","Jul","Aug","Sep","Oct","Nov","Dec"},0),VALUE(LEFT(raw_data!C529,2)))))),"")</f>
        <v>45935</v>
      </c>
      <c r="D529" s="3" t="str">
        <f aca="false">IF(TRIM(raw_data!B529)="","Missing",IF(B529="","Invalid/Unrecognized","Valid"))</f>
        <v>Valid</v>
      </c>
      <c r="E529" s="3" t="str">
        <f aca="false">IF(TRIM(raw_data!C529)="","Missing",IF(C529="","Invalid/Unrecognized","Valid"))</f>
        <v>Valid</v>
      </c>
      <c r="F529" s="5" t="n">
        <f aca="false">IF(OR(B529="",C529=""),"",C529-B529)</f>
        <v>4</v>
      </c>
      <c r="G529" s="3" t="str">
        <f aca="false">IF(F529="","N/A",IF(F529&lt;0,"Invalid - Ship Before Order","OK"))</f>
        <v>OK</v>
      </c>
      <c r="H529" s="3" t="str">
        <f aca="false">raw_data!D529</f>
        <v>CUST-3419</v>
      </c>
      <c r="I529" s="3" t="str">
        <f aca="false">PROPER(TRIM(raw_data!E529))</f>
        <v>Aditi Sen</v>
      </c>
      <c r="J529" s="3" t="str">
        <f aca="false">PROPER(TRIM(raw_data!F529))</f>
        <v>Home Office</v>
      </c>
      <c r="K529" s="3" t="str">
        <f aca="false">IF(TRIM(raw_data!G529)="","Unknown",PROPER(TRIM(raw_data!G529)))</f>
        <v>North</v>
      </c>
      <c r="L529" s="3" t="str">
        <f aca="false">IF(TRIM(raw_data!G529)="","Filled - Unknown","OK")</f>
        <v>OK</v>
      </c>
      <c r="M529" s="3" t="str">
        <f aca="false">PROPER(TRIM(raw_data!H529))</f>
        <v>Haryana</v>
      </c>
      <c r="N529" s="3" t="str">
        <f aca="false">PROPER(TRIM(raw_data!I529))</f>
        <v>Gurugram</v>
      </c>
      <c r="O529" s="3" t="str">
        <f aca="false">PROPER(TRIM(raw_data!J529))</f>
        <v>Office Supplies</v>
      </c>
      <c r="P529" s="3" t="str">
        <f aca="false">PROPER(TRIM(raw_data!K529))</f>
        <v>Paper</v>
      </c>
      <c r="Q529" s="3" t="str">
        <f aca="false">TRIM(raw_data!L529)</f>
        <v>Basic Paper 388</v>
      </c>
      <c r="R529" s="3" t="str">
        <f aca="false">IF(TRIM(raw_data!M529)="","Unknown",PROPER(TRIM(raw_data!M529)))</f>
        <v>First Class</v>
      </c>
      <c r="S529" s="3" t="str">
        <f aca="false">IF(TRIM(raw_data!M529)="","Filled - Unknown","OK")</f>
        <v>OK</v>
      </c>
      <c r="T529" s="6" t="n">
        <f aca="false">raw_data!N529</f>
        <v>5</v>
      </c>
      <c r="U529" s="7" t="n">
        <f aca="false">raw_data!O529</f>
        <v>3247.56</v>
      </c>
      <c r="V529" s="8" t="n">
        <f aca="false">raw_data!P529</f>
        <v>0.15</v>
      </c>
      <c r="W529" s="8" t="n">
        <f aca="false">IF(raw_data!P529="",0,IF(ISTEXT(raw_data!P529),IF(RIGHT(raw_data!P529,1)="%",VALUE(LEFT(raw_data!P529,LEN(raw_data!P529)-1))/100,VALUE(raw_data!P529)),raw_data!P529))</f>
        <v>0.15</v>
      </c>
      <c r="X529" s="3" t="str">
        <f aca="false">IF(raw_data!P529="","Missing - Defaulted to 0",IF(W529&lt;0,"Negative - Invalid",IF(W529&gt;0.3,"Above Allowed Range - Invalid","Valid")))</f>
        <v>Valid</v>
      </c>
      <c r="Y529" s="7" t="n">
        <f aca="false">raw_data!Q529</f>
        <v>13802.13</v>
      </c>
      <c r="Z529" s="7" t="n">
        <f aca="false">raw_data!R529</f>
        <v>10075.93</v>
      </c>
      <c r="AA529" s="7" t="n">
        <f aca="false">raw_data!S529</f>
        <v>3726.2</v>
      </c>
      <c r="AB529" s="3" t="str">
        <f aca="false">PROPER(TRIM(raw_data!T529))</f>
        <v>Paid</v>
      </c>
      <c r="AC529" s="3" t="str">
        <f aca="false">PROPER(TRIM(raw_data!U529))</f>
        <v>Completed</v>
      </c>
      <c r="AD529" s="7" t="n">
        <f aca="false">T529*U529*(1-W529)</f>
        <v>13802.13</v>
      </c>
      <c r="AE529" s="7" t="n">
        <f aca="false">AD529-Z529</f>
        <v>3726.2</v>
      </c>
      <c r="AF529" s="8" t="n">
        <f aca="false">IF(AD529=0,0,AE529/AD529)</f>
        <v>0.269972823035285</v>
      </c>
      <c r="AG529" s="3" t="str">
        <f aca="false">IF(ABS(Y529-AD529)&gt;1,"Mismatch","OK")</f>
        <v>OK</v>
      </c>
      <c r="AH529" s="3" t="str">
        <f aca="false">IF(ABS(AA529-AE529)&gt;1,"Mismatch","OK")</f>
        <v>OK</v>
      </c>
      <c r="AI529" s="6" t="n">
        <f aca="false">IF(B529="","",MONTH(B529))</f>
        <v>10</v>
      </c>
      <c r="AJ529" s="6" t="n">
        <f aca="false">IF(B529="","",YEAR(B529))</f>
        <v>2025</v>
      </c>
      <c r="AK529" s="3" t="str">
        <f aca="false">IF(COUNTIF(raw_data!$A$2:$A$913,A529)&gt;1,"Conflicting Duplicate - Flagged for Review","Unique")</f>
        <v>Unique</v>
      </c>
      <c r="AL529" s="3" t="str">
        <f aca="false">IF(AB529="Refunded","Yes","No")</f>
        <v>No</v>
      </c>
      <c r="AM529" s="3" t="str">
        <f aca="false">IF(OR(AC529&lt;&gt;"Completed",AB529="Failed"),"Excluded","Included")</f>
        <v>Included</v>
      </c>
      <c r="AN529" s="3" t="str">
        <f aca="false">IF(OR(D529="Invalid/Unrecognized",E529="Invalid/Unrecognized",G529="Invalid - Ship Before Order",X529="Negative - Invalid",X529="Above Allowed Range - Invalid",AG529="Mismatch",AH529="Mismatch",AK529="Conflicting Duplicate - Flagged for Review"),"Invalid",IF(OR(L529="Filled - Unknown",S529="Filled - Unknown",X529="Missing - Defaulted to 0",AL529="Yes",AC529="Cancelled",AC529="Returned"),"Warning","Clean"))</f>
        <v>Clean</v>
      </c>
    </row>
    <row r="530" customFormat="false" ht="15" hidden="false" customHeight="false" outlineLevel="0" collapsed="false">
      <c r="A530" s="3" t="str">
        <f aca="false">raw_data!A530</f>
        <v>ORD-2024-10529</v>
      </c>
      <c r="B530" s="4" t="n">
        <f aca="false">IFERROR(IF(MID(raw_data!B530,3,1)="/",DATE(VALUE(RIGHT(raw_data!B530,4)),VALUE(LEFT(raw_data!B530,2)),VALUE(MID(raw_data!B530,4,2))),IF(MID(raw_data!B530,3,1)="-",DATE(VALUE(RIGHT(raw_data!B530,4)),VALUE(MID(raw_data!B530,4,2)),VALUE(LEFT(raw_data!B530,2))),IF(MID(raw_data!B530,5,1)="-",DATE(VALUE(LEFT(raw_data!B530,4)),VALUE(MID(raw_data!B530,6,2)),VALUE(RIGHT(raw_data!B530,2))),DATE(VALUE(RIGHT(raw_data!B530,4)),MATCH(MID(raw_data!B530,4,3),{"Jan","Feb","Mar","Apr","May","Jun","Jul","Aug","Sep","Oct","Nov","Dec"},0),VALUE(LEFT(raw_data!B530,2)))))),"")</f>
        <v>45572</v>
      </c>
      <c r="C530" s="4" t="n">
        <f aca="false">IFERROR(IF(MID(raw_data!C530,3,1)="/",DATE(VALUE(RIGHT(raw_data!C530,4)),VALUE(LEFT(raw_data!C530,2)),VALUE(MID(raw_data!C530,4,2))),IF(MID(raw_data!C530,3,1)="-",DATE(VALUE(RIGHT(raw_data!C530,4)),VALUE(MID(raw_data!C530,4,2)),VALUE(LEFT(raw_data!C530,2))),IF(MID(raw_data!C530,5,1)="-",DATE(VALUE(LEFT(raw_data!C530,4)),VALUE(MID(raw_data!C530,6,2)),VALUE(RIGHT(raw_data!C530,2))),DATE(VALUE(RIGHT(raw_data!C530,4)),MATCH(MID(raw_data!C530,4,3),{"Jan","Feb","Mar","Apr","May","Jun","Jul","Aug","Sep","Oct","Nov","Dec"},0),VALUE(LEFT(raw_data!C530,2)))))),"")</f>
        <v>45574</v>
      </c>
      <c r="D530" s="3" t="str">
        <f aca="false">IF(TRIM(raw_data!B530)="","Missing",IF(B530="","Invalid/Unrecognized","Valid"))</f>
        <v>Valid</v>
      </c>
      <c r="E530" s="3" t="str">
        <f aca="false">IF(TRIM(raw_data!C530)="","Missing",IF(C530="","Invalid/Unrecognized","Valid"))</f>
        <v>Valid</v>
      </c>
      <c r="F530" s="5" t="n">
        <f aca="false">IF(OR(B530="",C530=""),"",C530-B530)</f>
        <v>2</v>
      </c>
      <c r="G530" s="3" t="str">
        <f aca="false">IF(F530="","N/A",IF(F530&lt;0,"Invalid - Ship Before Order","OK"))</f>
        <v>OK</v>
      </c>
      <c r="H530" s="3" t="str">
        <f aca="false">raw_data!D530</f>
        <v>CUST-2390</v>
      </c>
      <c r="I530" s="3" t="str">
        <f aca="false">PROPER(TRIM(raw_data!E530))</f>
        <v>Diya Patel</v>
      </c>
      <c r="J530" s="3" t="str">
        <f aca="false">PROPER(TRIM(raw_data!F530))</f>
        <v>Consumer</v>
      </c>
      <c r="K530" s="3" t="str">
        <f aca="false">IF(TRIM(raw_data!G530)="","Unknown",PROPER(TRIM(raw_data!G530)))</f>
        <v>South</v>
      </c>
      <c r="L530" s="3" t="str">
        <f aca="false">IF(TRIM(raw_data!G530)="","Filled - Unknown","OK")</f>
        <v>OK</v>
      </c>
      <c r="M530" s="3" t="str">
        <f aca="false">PROPER(TRIM(raw_data!H530))</f>
        <v>Tamil Nadu</v>
      </c>
      <c r="N530" s="3" t="str">
        <f aca="false">PROPER(TRIM(raw_data!I530))</f>
        <v>Chennai</v>
      </c>
      <c r="O530" s="3" t="str">
        <f aca="false">PROPER(TRIM(raw_data!J530))</f>
        <v>Office Supplies</v>
      </c>
      <c r="P530" s="3" t="str">
        <f aca="false">PROPER(TRIM(raw_data!K530))</f>
        <v>Binders</v>
      </c>
      <c r="Q530" s="3" t="str">
        <f aca="false">TRIM(raw_data!L530)</f>
        <v>Eco Binders 855</v>
      </c>
      <c r="R530" s="3" t="str">
        <f aca="false">IF(TRIM(raw_data!M530)="","Unknown",PROPER(TRIM(raw_data!M530)))</f>
        <v>Standard Class</v>
      </c>
      <c r="S530" s="3" t="str">
        <f aca="false">IF(TRIM(raw_data!M530)="","Filled - Unknown","OK")</f>
        <v>OK</v>
      </c>
      <c r="T530" s="6" t="n">
        <f aca="false">raw_data!N530</f>
        <v>9</v>
      </c>
      <c r="U530" s="7" t="n">
        <f aca="false">raw_data!O530</f>
        <v>3457.09</v>
      </c>
      <c r="V530" s="8" t="n">
        <f aca="false">raw_data!P530</f>
        <v>0.05</v>
      </c>
      <c r="W530" s="8" t="n">
        <f aca="false">IF(raw_data!P530="",0,IF(ISTEXT(raw_data!P530),IF(RIGHT(raw_data!P530,1)="%",VALUE(LEFT(raw_data!P530,LEN(raw_data!P530)-1))/100,VALUE(raw_data!P530)),raw_data!P530))</f>
        <v>0.05</v>
      </c>
      <c r="X530" s="3" t="str">
        <f aca="false">IF(raw_data!P530="","Missing - Defaulted to 0",IF(W530&lt;0,"Negative - Invalid",IF(W530&gt;0.3,"Above Allowed Range - Invalid","Valid")))</f>
        <v>Valid</v>
      </c>
      <c r="Y530" s="7" t="n">
        <f aca="false">raw_data!Q530</f>
        <v>29558.12</v>
      </c>
      <c r="Z530" s="7" t="n">
        <f aca="false">raw_data!R530</f>
        <v>21302.13</v>
      </c>
      <c r="AA530" s="7" t="n">
        <f aca="false">raw_data!S530</f>
        <v>8255.99</v>
      </c>
      <c r="AB530" s="3" t="str">
        <f aca="false">PROPER(TRIM(raw_data!T530))</f>
        <v>Pending</v>
      </c>
      <c r="AC530" s="3" t="str">
        <f aca="false">PROPER(TRIM(raw_data!U530))</f>
        <v>Returned</v>
      </c>
      <c r="AD530" s="7" t="n">
        <f aca="false">T530*U530*(1-W530)</f>
        <v>29558.1195</v>
      </c>
      <c r="AE530" s="7" t="n">
        <f aca="false">AD530-Z530</f>
        <v>8255.9895</v>
      </c>
      <c r="AF530" s="8" t="n">
        <f aca="false">IF(AD530=0,0,AE530/AD530)</f>
        <v>0.279313760132812</v>
      </c>
      <c r="AG530" s="3" t="str">
        <f aca="false">IF(ABS(Y530-AD530)&gt;1,"Mismatch","OK")</f>
        <v>OK</v>
      </c>
      <c r="AH530" s="3" t="str">
        <f aca="false">IF(ABS(AA530-AE530)&gt;1,"Mismatch","OK")</f>
        <v>OK</v>
      </c>
      <c r="AI530" s="6" t="n">
        <f aca="false">IF(B530="","",MONTH(B530))</f>
        <v>10</v>
      </c>
      <c r="AJ530" s="6" t="n">
        <f aca="false">IF(B530="","",YEAR(B530))</f>
        <v>2024</v>
      </c>
      <c r="AK530" s="3" t="str">
        <f aca="false">IF(COUNTIF(raw_data!$A$2:$A$913,A530)&gt;1,"Conflicting Duplicate - Flagged for Review","Unique")</f>
        <v>Unique</v>
      </c>
      <c r="AL530" s="3" t="str">
        <f aca="false">IF(AB530="Refunded","Yes","No")</f>
        <v>No</v>
      </c>
      <c r="AM530" s="3" t="str">
        <f aca="false">IF(OR(AC530&lt;&gt;"Completed",AB530="Failed"),"Excluded","Included")</f>
        <v>Excluded</v>
      </c>
      <c r="AN530" s="3" t="str">
        <f aca="false">IF(OR(D530="Invalid/Unrecognized",E530="Invalid/Unrecognized",G530="Invalid - Ship Before Order",X530="Negative - Invalid",X530="Above Allowed Range - Invalid",AG530="Mismatch",AH530="Mismatch",AK530="Conflicting Duplicate - Flagged for Review"),"Invalid",IF(OR(L530="Filled - Unknown",S530="Filled - Unknown",X530="Missing - Defaulted to 0",AL530="Yes",AC530="Cancelled",AC530="Returned"),"Warning","Clean"))</f>
        <v>Warning</v>
      </c>
    </row>
    <row r="531" customFormat="false" ht="15" hidden="false" customHeight="false" outlineLevel="0" collapsed="false">
      <c r="A531" s="3" t="str">
        <f aca="false">raw_data!A531</f>
        <v>ORD-2024-10530</v>
      </c>
      <c r="B531" s="4" t="n">
        <f aca="false">IFERROR(IF(MID(raw_data!B531,3,1)="/",DATE(VALUE(RIGHT(raw_data!B531,4)),VALUE(LEFT(raw_data!B531,2)),VALUE(MID(raw_data!B531,4,2))),IF(MID(raw_data!B531,3,1)="-",DATE(VALUE(RIGHT(raw_data!B531,4)),VALUE(MID(raw_data!B531,4,2)),VALUE(LEFT(raw_data!B531,2))),IF(MID(raw_data!B531,5,1)="-",DATE(VALUE(LEFT(raw_data!B531,4)),VALUE(MID(raw_data!B531,6,2)),VALUE(RIGHT(raw_data!B531,2))),DATE(VALUE(RIGHT(raw_data!B531,4)),MATCH(MID(raw_data!B531,4,3),{"Jan","Feb","Mar","Apr","May","Jun","Jul","Aug","Sep","Oct","Nov","Dec"},0),VALUE(LEFT(raw_data!B531,2)))))),"")</f>
        <v>45328</v>
      </c>
      <c r="C531" s="4" t="n">
        <f aca="false">IFERROR(IF(MID(raw_data!C531,3,1)="/",DATE(VALUE(RIGHT(raw_data!C531,4)),VALUE(LEFT(raw_data!C531,2)),VALUE(MID(raw_data!C531,4,2))),IF(MID(raw_data!C531,3,1)="-",DATE(VALUE(RIGHT(raw_data!C531,4)),VALUE(MID(raw_data!C531,4,2)),VALUE(LEFT(raw_data!C531,2))),IF(MID(raw_data!C531,5,1)="-",DATE(VALUE(LEFT(raw_data!C531,4)),VALUE(MID(raw_data!C531,6,2)),VALUE(RIGHT(raw_data!C531,2))),DATE(VALUE(RIGHT(raw_data!C531,4)),MATCH(MID(raw_data!C531,4,3),{"Jan","Feb","Mar","Apr","May","Jun","Jul","Aug","Sep","Oct","Nov","Dec"},0),VALUE(LEFT(raw_data!C531,2)))))),"")</f>
        <v>45330</v>
      </c>
      <c r="D531" s="3" t="str">
        <f aca="false">IF(TRIM(raw_data!B531)="","Missing",IF(B531="","Invalid/Unrecognized","Valid"))</f>
        <v>Valid</v>
      </c>
      <c r="E531" s="3" t="str">
        <f aca="false">IF(TRIM(raw_data!C531)="","Missing",IF(C531="","Invalid/Unrecognized","Valid"))</f>
        <v>Valid</v>
      </c>
      <c r="F531" s="5" t="n">
        <f aca="false">IF(OR(B531="",C531=""),"",C531-B531)</f>
        <v>2</v>
      </c>
      <c r="G531" s="3" t="str">
        <f aca="false">IF(F531="","N/A",IF(F531&lt;0,"Invalid - Ship Before Order","OK"))</f>
        <v>OK</v>
      </c>
      <c r="H531" s="3" t="str">
        <f aca="false">raw_data!D531</f>
        <v>CUST-3362</v>
      </c>
      <c r="I531" s="3" t="str">
        <f aca="false">PROPER(TRIM(raw_data!E531))</f>
        <v>Karan Malhotra</v>
      </c>
      <c r="J531" s="3" t="str">
        <f aca="false">PROPER(TRIM(raw_data!F531))</f>
        <v>Consumer</v>
      </c>
      <c r="K531" s="3" t="str">
        <f aca="false">IF(TRIM(raw_data!G531)="","Unknown",PROPER(TRIM(raw_data!G531)))</f>
        <v>East</v>
      </c>
      <c r="L531" s="3" t="str">
        <f aca="false">IF(TRIM(raw_data!G531)="","Filled - Unknown","OK")</f>
        <v>OK</v>
      </c>
      <c r="M531" s="3" t="str">
        <f aca="false">PROPER(TRIM(raw_data!H531))</f>
        <v>Jharkhand</v>
      </c>
      <c r="N531" s="3" t="str">
        <f aca="false">PROPER(TRIM(raw_data!I531))</f>
        <v>Ranchi</v>
      </c>
      <c r="O531" s="3" t="str">
        <f aca="false">PROPER(TRIM(raw_data!J531))</f>
        <v>Furniture</v>
      </c>
      <c r="P531" s="3" t="str">
        <f aca="false">PROPER(TRIM(raw_data!K531))</f>
        <v>Bookcases</v>
      </c>
      <c r="Q531" s="3" t="str">
        <f aca="false">TRIM(raw_data!L531)</f>
        <v>Classic Bookcases 947</v>
      </c>
      <c r="R531" s="3" t="str">
        <f aca="false">IF(TRIM(raw_data!M531)="","Unknown",PROPER(TRIM(raw_data!M531)))</f>
        <v>Second Class</v>
      </c>
      <c r="S531" s="3" t="str">
        <f aca="false">IF(TRIM(raw_data!M531)="","Filled - Unknown","OK")</f>
        <v>OK</v>
      </c>
      <c r="T531" s="6" t="n">
        <f aca="false">raw_data!N531</f>
        <v>9</v>
      </c>
      <c r="U531" s="7" t="n">
        <f aca="false">raw_data!O531</f>
        <v>1822.25</v>
      </c>
      <c r="V531" s="8" t="n">
        <f aca="false">raw_data!P531</f>
        <v>0</v>
      </c>
      <c r="W531" s="8" t="n">
        <f aca="false">IF(raw_data!P531="",0,IF(ISTEXT(raw_data!P531),IF(RIGHT(raw_data!P531,1)="%",VALUE(LEFT(raw_data!P531,LEN(raw_data!P531)-1))/100,VALUE(raw_data!P531)),raw_data!P531))</f>
        <v>0</v>
      </c>
      <c r="X531" s="3" t="str">
        <f aca="false">IF(raw_data!P531="","Missing - Defaulted to 0",IF(W531&lt;0,"Negative - Invalid",IF(W531&gt;0.3,"Above Allowed Range - Invalid","Valid")))</f>
        <v>Valid</v>
      </c>
      <c r="Y531" s="7" t="n">
        <f aca="false">raw_data!Q531</f>
        <v>16400.25</v>
      </c>
      <c r="Z531" s="7" t="n">
        <f aca="false">raw_data!R531</f>
        <v>12146.96</v>
      </c>
      <c r="AA531" s="7" t="n">
        <f aca="false">raw_data!S531</f>
        <v>4253.29</v>
      </c>
      <c r="AB531" s="3" t="str">
        <f aca="false">PROPER(TRIM(raw_data!T531))</f>
        <v>Paid</v>
      </c>
      <c r="AC531" s="3" t="str">
        <f aca="false">PROPER(TRIM(raw_data!U531))</f>
        <v>Completed</v>
      </c>
      <c r="AD531" s="7" t="n">
        <f aca="false">T531*U531*(1-W531)</f>
        <v>16400.25</v>
      </c>
      <c r="AE531" s="7" t="n">
        <f aca="false">AD531-Z531</f>
        <v>4253.29</v>
      </c>
      <c r="AF531" s="8" t="n">
        <f aca="false">IF(AD531=0,0,AE531/AD531)</f>
        <v>0.259342997820155</v>
      </c>
      <c r="AG531" s="3" t="str">
        <f aca="false">IF(ABS(Y531-AD531)&gt;1,"Mismatch","OK")</f>
        <v>OK</v>
      </c>
      <c r="AH531" s="3" t="str">
        <f aca="false">IF(ABS(AA531-AE531)&gt;1,"Mismatch","OK")</f>
        <v>OK</v>
      </c>
      <c r="AI531" s="6" t="n">
        <f aca="false">IF(B531="","",MONTH(B531))</f>
        <v>2</v>
      </c>
      <c r="AJ531" s="6" t="n">
        <f aca="false">IF(B531="","",YEAR(B531))</f>
        <v>2024</v>
      </c>
      <c r="AK531" s="3" t="str">
        <f aca="false">IF(COUNTIF(raw_data!$A$2:$A$913,A531)&gt;1,"Conflicting Duplicate - Flagged for Review","Unique")</f>
        <v>Unique</v>
      </c>
      <c r="AL531" s="3" t="str">
        <f aca="false">IF(AB531="Refunded","Yes","No")</f>
        <v>No</v>
      </c>
      <c r="AM531" s="3" t="str">
        <f aca="false">IF(OR(AC531&lt;&gt;"Completed",AB531="Failed"),"Excluded","Included")</f>
        <v>Included</v>
      </c>
      <c r="AN531" s="3" t="str">
        <f aca="false">IF(OR(D531="Invalid/Unrecognized",E531="Invalid/Unrecognized",G531="Invalid - Ship Before Order",X531="Negative - Invalid",X531="Above Allowed Range - Invalid",AG531="Mismatch",AH531="Mismatch",AK531="Conflicting Duplicate - Flagged for Review"),"Invalid",IF(OR(L531="Filled - Unknown",S531="Filled - Unknown",X531="Missing - Defaulted to 0",AL531="Yes",AC531="Cancelled",AC531="Returned"),"Warning","Clean"))</f>
        <v>Clean</v>
      </c>
    </row>
    <row r="532" customFormat="false" ht="15" hidden="false" customHeight="false" outlineLevel="0" collapsed="false">
      <c r="A532" s="3" t="str">
        <f aca="false">raw_data!A532</f>
        <v>ORD-2025-10531</v>
      </c>
      <c r="B532" s="4" t="n">
        <f aca="false">IFERROR(IF(MID(raw_data!B532,3,1)="/",DATE(VALUE(RIGHT(raw_data!B532,4)),VALUE(LEFT(raw_data!B532,2)),VALUE(MID(raw_data!B532,4,2))),IF(MID(raw_data!B532,3,1)="-",DATE(VALUE(RIGHT(raw_data!B532,4)),VALUE(MID(raw_data!B532,4,2)),VALUE(LEFT(raw_data!B532,2))),IF(MID(raw_data!B532,5,1)="-",DATE(VALUE(LEFT(raw_data!B532,4)),VALUE(MID(raw_data!B532,6,2)),VALUE(RIGHT(raw_data!B532,2))),DATE(VALUE(RIGHT(raw_data!B532,4)),MATCH(MID(raw_data!B532,4,3),{"Jan","Feb","Mar","Apr","May","Jun","Jul","Aug","Sep","Oct","Nov","Dec"},0),VALUE(LEFT(raw_data!B532,2)))))),"")</f>
        <v>45807</v>
      </c>
      <c r="C532" s="4" t="n">
        <f aca="false">IFERROR(IF(MID(raw_data!C532,3,1)="/",DATE(VALUE(RIGHT(raw_data!C532,4)),VALUE(LEFT(raw_data!C532,2)),VALUE(MID(raw_data!C532,4,2))),IF(MID(raw_data!C532,3,1)="-",DATE(VALUE(RIGHT(raw_data!C532,4)),VALUE(MID(raw_data!C532,4,2)),VALUE(LEFT(raw_data!C532,2))),IF(MID(raw_data!C532,5,1)="-",DATE(VALUE(LEFT(raw_data!C532,4)),VALUE(MID(raw_data!C532,6,2)),VALUE(RIGHT(raw_data!C532,2))),DATE(VALUE(RIGHT(raw_data!C532,4)),MATCH(MID(raw_data!C532,4,3),{"Jan","Feb","Mar","Apr","May","Jun","Jul","Aug","Sep","Oct","Nov","Dec"},0),VALUE(LEFT(raw_data!C532,2)))))),"")</f>
        <v>45809</v>
      </c>
      <c r="D532" s="3" t="str">
        <f aca="false">IF(TRIM(raw_data!B532)="","Missing",IF(B532="","Invalid/Unrecognized","Valid"))</f>
        <v>Valid</v>
      </c>
      <c r="E532" s="3" t="str">
        <f aca="false">IF(TRIM(raw_data!C532)="","Missing",IF(C532="","Invalid/Unrecognized","Valid"))</f>
        <v>Valid</v>
      </c>
      <c r="F532" s="5" t="n">
        <f aca="false">IF(OR(B532="",C532=""),"",C532-B532)</f>
        <v>2</v>
      </c>
      <c r="G532" s="3" t="str">
        <f aca="false">IF(F532="","N/A",IF(F532&lt;0,"Invalid - Ship Before Order","OK"))</f>
        <v>OK</v>
      </c>
      <c r="H532" s="3" t="str">
        <f aca="false">raw_data!D532</f>
        <v>CUST-8177</v>
      </c>
      <c r="I532" s="3" t="str">
        <f aca="false">PROPER(TRIM(raw_data!E532))</f>
        <v>Rahul Verma</v>
      </c>
      <c r="J532" s="3" t="str">
        <f aca="false">PROPER(TRIM(raw_data!F532))</f>
        <v>Home Office</v>
      </c>
      <c r="K532" s="3" t="str">
        <f aca="false">IF(TRIM(raw_data!G532)="","Unknown",PROPER(TRIM(raw_data!G532)))</f>
        <v>South</v>
      </c>
      <c r="L532" s="3" t="str">
        <f aca="false">IF(TRIM(raw_data!G532)="","Filled - Unknown","OK")</f>
        <v>OK</v>
      </c>
      <c r="M532" s="3" t="str">
        <f aca="false">PROPER(TRIM(raw_data!H532))</f>
        <v>Tamil Nadu</v>
      </c>
      <c r="N532" s="3" t="str">
        <f aca="false">PROPER(TRIM(raw_data!I532))</f>
        <v>Chennai</v>
      </c>
      <c r="O532" s="3" t="str">
        <f aca="false">PROPER(TRIM(raw_data!J532))</f>
        <v>Office Supplies</v>
      </c>
      <c r="P532" s="3" t="str">
        <f aca="false">PROPER(TRIM(raw_data!K532))</f>
        <v>Binders</v>
      </c>
      <c r="Q532" s="3" t="str">
        <f aca="false">TRIM(raw_data!L532)</f>
        <v>Eco Binders 352</v>
      </c>
      <c r="R532" s="3" t="str">
        <f aca="false">IF(TRIM(raw_data!M532)="","Unknown",PROPER(TRIM(raw_data!M532)))</f>
        <v>Standard Class</v>
      </c>
      <c r="S532" s="3" t="str">
        <f aca="false">IF(TRIM(raw_data!M532)="","Filled - Unknown","OK")</f>
        <v>OK</v>
      </c>
      <c r="T532" s="6" t="n">
        <f aca="false">raw_data!N532</f>
        <v>9</v>
      </c>
      <c r="U532" s="7" t="n">
        <f aca="false">raw_data!O532</f>
        <v>1994.51</v>
      </c>
      <c r="V532" s="8" t="n">
        <f aca="false">raw_data!P532</f>
        <v>0.05</v>
      </c>
      <c r="W532" s="8" t="n">
        <f aca="false">IF(raw_data!P532="",0,IF(ISTEXT(raw_data!P532),IF(RIGHT(raw_data!P532,1)="%",VALUE(LEFT(raw_data!P532,LEN(raw_data!P532)-1))/100,VALUE(raw_data!P532)),raw_data!P532))</f>
        <v>0.05</v>
      </c>
      <c r="X532" s="3" t="str">
        <f aca="false">IF(raw_data!P532="","Missing - Defaulted to 0",IF(W532&lt;0,"Negative - Invalid",IF(W532&gt;0.3,"Above Allowed Range - Invalid","Valid")))</f>
        <v>Valid</v>
      </c>
      <c r="Y532" s="7" t="n">
        <f aca="false">raw_data!Q532</f>
        <v>17053.06</v>
      </c>
      <c r="Z532" s="7" t="n">
        <f aca="false">raw_data!R532</f>
        <v>10742.38</v>
      </c>
      <c r="AA532" s="7" t="n">
        <f aca="false">raw_data!S532</f>
        <v>6310.68</v>
      </c>
      <c r="AB532" s="3" t="str">
        <f aca="false">PROPER(TRIM(raw_data!T532))</f>
        <v>Paid</v>
      </c>
      <c r="AC532" s="3" t="str">
        <f aca="false">PROPER(TRIM(raw_data!U532))</f>
        <v>Completed</v>
      </c>
      <c r="AD532" s="7" t="n">
        <f aca="false">T532*U532*(1-W532)</f>
        <v>17053.0605</v>
      </c>
      <c r="AE532" s="7" t="n">
        <f aca="false">AD532-Z532</f>
        <v>6310.6805</v>
      </c>
      <c r="AF532" s="8" t="n">
        <f aca="false">IF(AD532=0,0,AE532/AD532)</f>
        <v>0.370061461988011</v>
      </c>
      <c r="AG532" s="3" t="str">
        <f aca="false">IF(ABS(Y532-AD532)&gt;1,"Mismatch","OK")</f>
        <v>OK</v>
      </c>
      <c r="AH532" s="3" t="str">
        <f aca="false">IF(ABS(AA532-AE532)&gt;1,"Mismatch","OK")</f>
        <v>OK</v>
      </c>
      <c r="AI532" s="6" t="n">
        <f aca="false">IF(B532="","",MONTH(B532))</f>
        <v>5</v>
      </c>
      <c r="AJ532" s="6" t="n">
        <f aca="false">IF(B532="","",YEAR(B532))</f>
        <v>2025</v>
      </c>
      <c r="AK532" s="3" t="str">
        <f aca="false">IF(COUNTIF(raw_data!$A$2:$A$913,A532)&gt;1,"Conflicting Duplicate - Flagged for Review","Unique")</f>
        <v>Unique</v>
      </c>
      <c r="AL532" s="3" t="str">
        <f aca="false">IF(AB532="Refunded","Yes","No")</f>
        <v>No</v>
      </c>
      <c r="AM532" s="3" t="str">
        <f aca="false">IF(OR(AC532&lt;&gt;"Completed",AB532="Failed"),"Excluded","Included")</f>
        <v>Included</v>
      </c>
      <c r="AN532" s="3" t="str">
        <f aca="false">IF(OR(D532="Invalid/Unrecognized",E532="Invalid/Unrecognized",G532="Invalid - Ship Before Order",X532="Negative - Invalid",X532="Above Allowed Range - Invalid",AG532="Mismatch",AH532="Mismatch",AK532="Conflicting Duplicate - Flagged for Review"),"Invalid",IF(OR(L532="Filled - Unknown",S532="Filled - Unknown",X532="Missing - Defaulted to 0",AL532="Yes",AC532="Cancelled",AC532="Returned"),"Warning","Clean"))</f>
        <v>Clean</v>
      </c>
    </row>
    <row r="533" customFormat="false" ht="15" hidden="false" customHeight="false" outlineLevel="0" collapsed="false">
      <c r="A533" s="3" t="str">
        <f aca="false">raw_data!A533</f>
        <v>ORD-2024-10532</v>
      </c>
      <c r="B533" s="4" t="n">
        <f aca="false">IFERROR(IF(MID(raw_data!B533,3,1)="/",DATE(VALUE(RIGHT(raw_data!B533,4)),VALUE(LEFT(raw_data!B533,2)),VALUE(MID(raw_data!B533,4,2))),IF(MID(raw_data!B533,3,1)="-",DATE(VALUE(RIGHT(raw_data!B533,4)),VALUE(MID(raw_data!B533,4,2)),VALUE(LEFT(raw_data!B533,2))),IF(MID(raw_data!B533,5,1)="-",DATE(VALUE(LEFT(raw_data!B533,4)),VALUE(MID(raw_data!B533,6,2)),VALUE(RIGHT(raw_data!B533,2))),DATE(VALUE(RIGHT(raw_data!B533,4)),MATCH(MID(raw_data!B533,4,3),{"Jan","Feb","Mar","Apr","May","Jun","Jul","Aug","Sep","Oct","Nov","Dec"},0),VALUE(LEFT(raw_data!B533,2)))))),"")</f>
        <v>45505</v>
      </c>
      <c r="C533" s="4" t="n">
        <f aca="false">IFERROR(IF(MID(raw_data!C533,3,1)="/",DATE(VALUE(RIGHT(raw_data!C533,4)),VALUE(LEFT(raw_data!C533,2)),VALUE(MID(raw_data!C533,4,2))),IF(MID(raw_data!C533,3,1)="-",DATE(VALUE(RIGHT(raw_data!C533,4)),VALUE(MID(raw_data!C533,4,2)),VALUE(LEFT(raw_data!C533,2))),IF(MID(raw_data!C533,5,1)="-",DATE(VALUE(LEFT(raw_data!C533,4)),VALUE(MID(raw_data!C533,6,2)),VALUE(RIGHT(raw_data!C533,2))),DATE(VALUE(RIGHT(raw_data!C533,4)),MATCH(MID(raw_data!C533,4,3),{"Jan","Feb","Mar","Apr","May","Jun","Jul","Aug","Sep","Oct","Nov","Dec"},0),VALUE(LEFT(raw_data!C533,2)))))),"")</f>
        <v>45512</v>
      </c>
      <c r="D533" s="3" t="str">
        <f aca="false">IF(TRIM(raw_data!B533)="","Missing",IF(B533="","Invalid/Unrecognized","Valid"))</f>
        <v>Valid</v>
      </c>
      <c r="E533" s="3" t="str">
        <f aca="false">IF(TRIM(raw_data!C533)="","Missing",IF(C533="","Invalid/Unrecognized","Valid"))</f>
        <v>Valid</v>
      </c>
      <c r="F533" s="5" t="n">
        <f aca="false">IF(OR(B533="",C533=""),"",C533-B533)</f>
        <v>7</v>
      </c>
      <c r="G533" s="3" t="str">
        <f aca="false">IF(F533="","N/A",IF(F533&lt;0,"Invalid - Ship Before Order","OK"))</f>
        <v>OK</v>
      </c>
      <c r="H533" s="3" t="str">
        <f aca="false">raw_data!D533</f>
        <v>CUST-6357</v>
      </c>
      <c r="I533" s="3" t="str">
        <f aca="false">PROPER(TRIM(raw_data!E533))</f>
        <v>Diya Patel</v>
      </c>
      <c r="J533" s="3" t="str">
        <f aca="false">PROPER(TRIM(raw_data!F533))</f>
        <v>Small Business</v>
      </c>
      <c r="K533" s="3" t="str">
        <f aca="false">IF(TRIM(raw_data!G533)="","Unknown",PROPER(TRIM(raw_data!G533)))</f>
        <v>West</v>
      </c>
      <c r="L533" s="3" t="str">
        <f aca="false">IF(TRIM(raw_data!G533)="","Filled - Unknown","OK")</f>
        <v>OK</v>
      </c>
      <c r="M533" s="3" t="str">
        <f aca="false">PROPER(TRIM(raw_data!H533))</f>
        <v>Maharashtra</v>
      </c>
      <c r="N533" s="3" t="str">
        <f aca="false">PROPER(TRIM(raw_data!I533))</f>
        <v>Mumbai</v>
      </c>
      <c r="O533" s="3" t="str">
        <f aca="false">PROPER(TRIM(raw_data!J533))</f>
        <v>Office Supplies</v>
      </c>
      <c r="P533" s="3" t="str">
        <f aca="false">PROPER(TRIM(raw_data!K533))</f>
        <v>Storage</v>
      </c>
      <c r="Q533" s="3" t="str">
        <f aca="false">TRIM(raw_data!L533)</f>
        <v>Pro Storage 364</v>
      </c>
      <c r="R533" s="3" t="str">
        <f aca="false">IF(TRIM(raw_data!M533)="","Unknown",PROPER(TRIM(raw_data!M533)))</f>
        <v>Unknown</v>
      </c>
      <c r="S533" s="3" t="str">
        <f aca="false">IF(TRIM(raw_data!M533)="","Filled - Unknown","OK")</f>
        <v>Filled - Unknown</v>
      </c>
      <c r="T533" s="6" t="n">
        <f aca="false">raw_data!N533</f>
        <v>1</v>
      </c>
      <c r="U533" s="7" t="n">
        <f aca="false">raw_data!O533</f>
        <v>442.97</v>
      </c>
      <c r="V533" s="8" t="n">
        <f aca="false">raw_data!P533</f>
        <v>0.1</v>
      </c>
      <c r="W533" s="8" t="n">
        <f aca="false">IF(raw_data!P533="",0,IF(ISTEXT(raw_data!P533),IF(RIGHT(raw_data!P533,1)="%",VALUE(LEFT(raw_data!P533,LEN(raw_data!P533)-1))/100,VALUE(raw_data!P533)),raw_data!P533))</f>
        <v>0.1</v>
      </c>
      <c r="X533" s="3" t="str">
        <f aca="false">IF(raw_data!P533="","Missing - Defaulted to 0",IF(W533&lt;0,"Negative - Invalid",IF(W533&gt;0.3,"Above Allowed Range - Invalid","Valid")))</f>
        <v>Valid</v>
      </c>
      <c r="Y533" s="7" t="n">
        <f aca="false">raw_data!Q533</f>
        <v>398.67</v>
      </c>
      <c r="Z533" s="7" t="n">
        <f aca="false">raw_data!R533</f>
        <v>311.66</v>
      </c>
      <c r="AA533" s="7" t="n">
        <f aca="false">raw_data!S533</f>
        <v>87.01</v>
      </c>
      <c r="AB533" s="3" t="str">
        <f aca="false">PROPER(TRIM(raw_data!T533))</f>
        <v>Paid</v>
      </c>
      <c r="AC533" s="3" t="str">
        <f aca="false">PROPER(TRIM(raw_data!U533))</f>
        <v>Completed</v>
      </c>
      <c r="AD533" s="7" t="n">
        <f aca="false">T533*U533*(1-W533)</f>
        <v>398.673</v>
      </c>
      <c r="AE533" s="7" t="n">
        <f aca="false">AD533-Z533</f>
        <v>87.013</v>
      </c>
      <c r="AF533" s="8" t="n">
        <f aca="false">IF(AD533=0,0,AE533/AD533)</f>
        <v>0.21825656615823</v>
      </c>
      <c r="AG533" s="3" t="str">
        <f aca="false">IF(ABS(Y533-AD533)&gt;1,"Mismatch","OK")</f>
        <v>OK</v>
      </c>
      <c r="AH533" s="3" t="str">
        <f aca="false">IF(ABS(AA533-AE533)&gt;1,"Mismatch","OK")</f>
        <v>OK</v>
      </c>
      <c r="AI533" s="6" t="n">
        <f aca="false">IF(B533="","",MONTH(B533))</f>
        <v>8</v>
      </c>
      <c r="AJ533" s="6" t="n">
        <f aca="false">IF(B533="","",YEAR(B533))</f>
        <v>2024</v>
      </c>
      <c r="AK533" s="3" t="str">
        <f aca="false">IF(COUNTIF(raw_data!$A$2:$A$913,A533)&gt;1,"Conflicting Duplicate - Flagged for Review","Unique")</f>
        <v>Unique</v>
      </c>
      <c r="AL533" s="3" t="str">
        <f aca="false">IF(AB533="Refunded","Yes","No")</f>
        <v>No</v>
      </c>
      <c r="AM533" s="3" t="str">
        <f aca="false">IF(OR(AC533&lt;&gt;"Completed",AB533="Failed"),"Excluded","Included")</f>
        <v>Included</v>
      </c>
      <c r="AN533" s="3" t="str">
        <f aca="false">IF(OR(D533="Invalid/Unrecognized",E533="Invalid/Unrecognized",G533="Invalid - Ship Before Order",X533="Negative - Invalid",X533="Above Allowed Range - Invalid",AG533="Mismatch",AH533="Mismatch",AK533="Conflicting Duplicate - Flagged for Review"),"Invalid",IF(OR(L533="Filled - Unknown",S533="Filled - Unknown",X533="Missing - Defaulted to 0",AL533="Yes",AC533="Cancelled",AC533="Returned"),"Warning","Clean"))</f>
        <v>Warning</v>
      </c>
    </row>
    <row r="534" customFormat="false" ht="15" hidden="false" customHeight="false" outlineLevel="0" collapsed="false">
      <c r="A534" s="3" t="str">
        <f aca="false">raw_data!A534</f>
        <v>ORD-2025-10533</v>
      </c>
      <c r="B534" s="4" t="n">
        <f aca="false">IFERROR(IF(MID(raw_data!B534,3,1)="/",DATE(VALUE(RIGHT(raw_data!B534,4)),VALUE(LEFT(raw_data!B534,2)),VALUE(MID(raw_data!B534,4,2))),IF(MID(raw_data!B534,3,1)="-",DATE(VALUE(RIGHT(raw_data!B534,4)),VALUE(MID(raw_data!B534,4,2)),VALUE(LEFT(raw_data!B534,2))),IF(MID(raw_data!B534,5,1)="-",DATE(VALUE(LEFT(raw_data!B534,4)),VALUE(MID(raw_data!B534,6,2)),VALUE(RIGHT(raw_data!B534,2))),DATE(VALUE(RIGHT(raw_data!B534,4)),MATCH(MID(raw_data!B534,4,3),{"Jan","Feb","Mar","Apr","May","Jun","Jul","Aug","Sep","Oct","Nov","Dec"},0),VALUE(LEFT(raw_data!B534,2)))))),"")</f>
        <v>45935</v>
      </c>
      <c r="C534" s="4" t="n">
        <f aca="false">IFERROR(IF(MID(raw_data!C534,3,1)="/",DATE(VALUE(RIGHT(raw_data!C534,4)),VALUE(LEFT(raw_data!C534,2)),VALUE(MID(raw_data!C534,4,2))),IF(MID(raw_data!C534,3,1)="-",DATE(VALUE(RIGHT(raw_data!C534,4)),VALUE(MID(raw_data!C534,4,2)),VALUE(LEFT(raw_data!C534,2))),IF(MID(raw_data!C534,5,1)="-",DATE(VALUE(LEFT(raw_data!C534,4)),VALUE(MID(raw_data!C534,6,2)),VALUE(RIGHT(raw_data!C534,2))),DATE(VALUE(RIGHT(raw_data!C534,4)),MATCH(MID(raw_data!C534,4,3),{"Jan","Feb","Mar","Apr","May","Jun","Jul","Aug","Sep","Oct","Nov","Dec"},0),VALUE(LEFT(raw_data!C534,2)))))),"")</f>
        <v>45940</v>
      </c>
      <c r="D534" s="3" t="str">
        <f aca="false">IF(TRIM(raw_data!B534)="","Missing",IF(B534="","Invalid/Unrecognized","Valid"))</f>
        <v>Valid</v>
      </c>
      <c r="E534" s="3" t="str">
        <f aca="false">IF(TRIM(raw_data!C534)="","Missing",IF(C534="","Invalid/Unrecognized","Valid"))</f>
        <v>Valid</v>
      </c>
      <c r="F534" s="5" t="n">
        <f aca="false">IF(OR(B534="",C534=""),"",C534-B534)</f>
        <v>5</v>
      </c>
      <c r="G534" s="3" t="str">
        <f aca="false">IF(F534="","N/A",IF(F534&lt;0,"Invalid - Ship Before Order","OK"))</f>
        <v>OK</v>
      </c>
      <c r="H534" s="3" t="str">
        <f aca="false">raw_data!D534</f>
        <v>CUST-7690</v>
      </c>
      <c r="I534" s="3" t="str">
        <f aca="false">PROPER(TRIM(raw_data!E534))</f>
        <v>Priya Menon</v>
      </c>
      <c r="J534" s="3" t="str">
        <f aca="false">PROPER(TRIM(raw_data!F534))</f>
        <v>Corporate</v>
      </c>
      <c r="K534" s="3" t="str">
        <f aca="false">IF(TRIM(raw_data!G534)="","Unknown",PROPER(TRIM(raw_data!G534)))</f>
        <v>East</v>
      </c>
      <c r="L534" s="3" t="str">
        <f aca="false">IF(TRIM(raw_data!G534)="","Filled - Unknown","OK")</f>
        <v>OK</v>
      </c>
      <c r="M534" s="3" t="str">
        <f aca="false">PROPER(TRIM(raw_data!H534))</f>
        <v>Assam</v>
      </c>
      <c r="N534" s="3" t="str">
        <f aca="false">PROPER(TRIM(raw_data!I534))</f>
        <v>Guwahati</v>
      </c>
      <c r="O534" s="3" t="str">
        <f aca="false">PROPER(TRIM(raw_data!J534))</f>
        <v>Furniture</v>
      </c>
      <c r="P534" s="3" t="str">
        <f aca="false">PROPER(TRIM(raw_data!K534))</f>
        <v>Tables</v>
      </c>
      <c r="Q534" s="3" t="str">
        <f aca="false">TRIM(raw_data!L534)</f>
        <v>Classic Tables 213</v>
      </c>
      <c r="R534" s="3" t="str">
        <f aca="false">IF(TRIM(raw_data!M534)="","Unknown",PROPER(TRIM(raw_data!M534)))</f>
        <v>Second Class</v>
      </c>
      <c r="S534" s="3" t="str">
        <f aca="false">IF(TRIM(raw_data!M534)="","Filled - Unknown","OK")</f>
        <v>OK</v>
      </c>
      <c r="T534" s="6" t="n">
        <f aca="false">raw_data!N534</f>
        <v>9</v>
      </c>
      <c r="U534" s="7" t="n">
        <f aca="false">raw_data!O534</f>
        <v>2089.14</v>
      </c>
      <c r="V534" s="8" t="n">
        <f aca="false">raw_data!P534</f>
        <v>0.05</v>
      </c>
      <c r="W534" s="8" t="n">
        <f aca="false">IF(raw_data!P534="",0,IF(ISTEXT(raw_data!P534),IF(RIGHT(raw_data!P534,1)="%",VALUE(LEFT(raw_data!P534,LEN(raw_data!P534)-1))/100,VALUE(raw_data!P534)),raw_data!P534))</f>
        <v>0.05</v>
      </c>
      <c r="X534" s="3" t="str">
        <f aca="false">IF(raw_data!P534="","Missing - Defaulted to 0",IF(W534&lt;0,"Negative - Invalid",IF(W534&gt;0.3,"Above Allowed Range - Invalid","Valid")))</f>
        <v>Valid</v>
      </c>
      <c r="Y534" s="7" t="n">
        <f aca="false">raw_data!Q534</f>
        <v>17862.15</v>
      </c>
      <c r="Z534" s="7" t="n">
        <f aca="false">raw_data!R534</f>
        <v>9892.21</v>
      </c>
      <c r="AA534" s="7" t="n">
        <f aca="false">raw_data!S534</f>
        <v>7969.94</v>
      </c>
      <c r="AB534" s="3" t="str">
        <f aca="false">PROPER(TRIM(raw_data!T534))</f>
        <v>Failed</v>
      </c>
      <c r="AC534" s="3" t="str">
        <f aca="false">PROPER(TRIM(raw_data!U534))</f>
        <v>Cancelled</v>
      </c>
      <c r="AD534" s="7" t="n">
        <f aca="false">T534*U534*(1-W534)</f>
        <v>17862.147</v>
      </c>
      <c r="AE534" s="7" t="n">
        <f aca="false">AD534-Z534</f>
        <v>7969.937</v>
      </c>
      <c r="AF534" s="8" t="n">
        <f aca="false">IF(AD534=0,0,AE534/AD534)</f>
        <v>0.44619143488182</v>
      </c>
      <c r="AG534" s="3" t="str">
        <f aca="false">IF(ABS(Y534-AD534)&gt;1,"Mismatch","OK")</f>
        <v>OK</v>
      </c>
      <c r="AH534" s="3" t="str">
        <f aca="false">IF(ABS(AA534-AE534)&gt;1,"Mismatch","OK")</f>
        <v>OK</v>
      </c>
      <c r="AI534" s="6" t="n">
        <f aca="false">IF(B534="","",MONTH(B534))</f>
        <v>10</v>
      </c>
      <c r="AJ534" s="6" t="n">
        <f aca="false">IF(B534="","",YEAR(B534))</f>
        <v>2025</v>
      </c>
      <c r="AK534" s="3" t="str">
        <f aca="false">IF(COUNTIF(raw_data!$A$2:$A$913,A534)&gt;1,"Conflicting Duplicate - Flagged for Review","Unique")</f>
        <v>Unique</v>
      </c>
      <c r="AL534" s="3" t="str">
        <f aca="false">IF(AB534="Refunded","Yes","No")</f>
        <v>No</v>
      </c>
      <c r="AM534" s="3" t="str">
        <f aca="false">IF(OR(AC534&lt;&gt;"Completed",AB534="Failed"),"Excluded","Included")</f>
        <v>Excluded</v>
      </c>
      <c r="AN534" s="3" t="str">
        <f aca="false">IF(OR(D534="Invalid/Unrecognized",E534="Invalid/Unrecognized",G534="Invalid - Ship Before Order",X534="Negative - Invalid",X534="Above Allowed Range - Invalid",AG534="Mismatch",AH534="Mismatch",AK534="Conflicting Duplicate - Flagged for Review"),"Invalid",IF(OR(L534="Filled - Unknown",S534="Filled - Unknown",X534="Missing - Defaulted to 0",AL534="Yes",AC534="Cancelled",AC534="Returned"),"Warning","Clean"))</f>
        <v>Warning</v>
      </c>
    </row>
    <row r="535" customFormat="false" ht="15" hidden="false" customHeight="false" outlineLevel="0" collapsed="false">
      <c r="A535" s="3" t="str">
        <f aca="false">raw_data!A535</f>
        <v>ORD-2024-10534</v>
      </c>
      <c r="B535" s="4" t="n">
        <f aca="false">IFERROR(IF(MID(raw_data!B535,3,1)="/",DATE(VALUE(RIGHT(raw_data!B535,4)),VALUE(LEFT(raw_data!B535,2)),VALUE(MID(raw_data!B535,4,2))),IF(MID(raw_data!B535,3,1)="-",DATE(VALUE(RIGHT(raw_data!B535,4)),VALUE(MID(raw_data!B535,4,2)),VALUE(LEFT(raw_data!B535,2))),IF(MID(raw_data!B535,5,1)="-",DATE(VALUE(LEFT(raw_data!B535,4)),VALUE(MID(raw_data!B535,6,2)),VALUE(RIGHT(raw_data!B535,2))),DATE(VALUE(RIGHT(raw_data!B535,4)),MATCH(MID(raw_data!B535,4,3),{"Jan","Feb","Mar","Apr","May","Jun","Jul","Aug","Sep","Oct","Nov","Dec"},0),VALUE(LEFT(raw_data!B535,2)))))),"")</f>
        <v>45529</v>
      </c>
      <c r="C535" s="4" t="n">
        <f aca="false">IFERROR(IF(MID(raw_data!C535,3,1)="/",DATE(VALUE(RIGHT(raw_data!C535,4)),VALUE(LEFT(raw_data!C535,2)),VALUE(MID(raw_data!C535,4,2))),IF(MID(raw_data!C535,3,1)="-",DATE(VALUE(RIGHT(raw_data!C535,4)),VALUE(MID(raw_data!C535,4,2)),VALUE(LEFT(raw_data!C535,2))),IF(MID(raw_data!C535,5,1)="-",DATE(VALUE(LEFT(raw_data!C535,4)),VALUE(MID(raw_data!C535,6,2)),VALUE(RIGHT(raw_data!C535,2))),DATE(VALUE(RIGHT(raw_data!C535,4)),MATCH(MID(raw_data!C535,4,3),{"Jan","Feb","Mar","Apr","May","Jun","Jul","Aug","Sep","Oct","Nov","Dec"},0),VALUE(LEFT(raw_data!C535,2)))))),"")</f>
        <v>45536</v>
      </c>
      <c r="D535" s="3" t="str">
        <f aca="false">IF(TRIM(raw_data!B535)="","Missing",IF(B535="","Invalid/Unrecognized","Valid"))</f>
        <v>Valid</v>
      </c>
      <c r="E535" s="3" t="str">
        <f aca="false">IF(TRIM(raw_data!C535)="","Missing",IF(C535="","Invalid/Unrecognized","Valid"))</f>
        <v>Valid</v>
      </c>
      <c r="F535" s="5" t="n">
        <f aca="false">IF(OR(B535="",C535=""),"",C535-B535)</f>
        <v>7</v>
      </c>
      <c r="G535" s="3" t="str">
        <f aca="false">IF(F535="","N/A",IF(F535&lt;0,"Invalid - Ship Before Order","OK"))</f>
        <v>OK</v>
      </c>
      <c r="H535" s="3" t="str">
        <f aca="false">raw_data!D535</f>
        <v>CUST-4487</v>
      </c>
      <c r="I535" s="3" t="str">
        <f aca="false">PROPER(TRIM(raw_data!E535))</f>
        <v>Isha Nair</v>
      </c>
      <c r="J535" s="3" t="str">
        <f aca="false">PROPER(TRIM(raw_data!F535))</f>
        <v>Home Office</v>
      </c>
      <c r="K535" s="3" t="str">
        <f aca="false">IF(TRIM(raw_data!G535)="","Unknown",PROPER(TRIM(raw_data!G535)))</f>
        <v>North</v>
      </c>
      <c r="L535" s="3" t="str">
        <f aca="false">IF(TRIM(raw_data!G535)="","Filled - Unknown","OK")</f>
        <v>OK</v>
      </c>
      <c r="M535" s="3" t="str">
        <f aca="false">PROPER(TRIM(raw_data!H535))</f>
        <v>Rajasthan</v>
      </c>
      <c r="N535" s="3" t="str">
        <f aca="false">PROPER(TRIM(raw_data!I535))</f>
        <v>Jaipur</v>
      </c>
      <c r="O535" s="3" t="str">
        <f aca="false">PROPER(TRIM(raw_data!J535))</f>
        <v>Furniture</v>
      </c>
      <c r="P535" s="3" t="str">
        <f aca="false">PROPER(TRIM(raw_data!K535))</f>
        <v>Tables</v>
      </c>
      <c r="Q535" s="3" t="str">
        <f aca="false">TRIM(raw_data!L535)</f>
        <v>Smart Tables 659</v>
      </c>
      <c r="R535" s="3" t="str">
        <f aca="false">IF(TRIM(raw_data!M535)="","Unknown",PROPER(TRIM(raw_data!M535)))</f>
        <v>Same Day</v>
      </c>
      <c r="S535" s="3" t="str">
        <f aca="false">IF(TRIM(raw_data!M535)="","Filled - Unknown","OK")</f>
        <v>OK</v>
      </c>
      <c r="T535" s="6" t="n">
        <f aca="false">raw_data!N535</f>
        <v>6</v>
      </c>
      <c r="U535" s="7" t="n">
        <f aca="false">raw_data!O535</f>
        <v>481.3</v>
      </c>
      <c r="V535" s="8" t="n">
        <f aca="false">raw_data!P535</f>
        <v>0.25</v>
      </c>
      <c r="W535" s="8" t="n">
        <f aca="false">IF(raw_data!P535="",0,IF(ISTEXT(raw_data!P535),IF(RIGHT(raw_data!P535,1)="%",VALUE(LEFT(raw_data!P535,LEN(raw_data!P535)-1))/100,VALUE(raw_data!P535)),raw_data!P535))</f>
        <v>0.25</v>
      </c>
      <c r="X535" s="3" t="str">
        <f aca="false">IF(raw_data!P535="","Missing - Defaulted to 0",IF(W535&lt;0,"Negative - Invalid",IF(W535&gt;0.3,"Above Allowed Range - Invalid","Valid")))</f>
        <v>Valid</v>
      </c>
      <c r="Y535" s="7" t="n">
        <f aca="false">raw_data!Q535</f>
        <v>2165.85</v>
      </c>
      <c r="Z535" s="7" t="n">
        <f aca="false">raw_data!R535</f>
        <v>2124.48</v>
      </c>
      <c r="AA535" s="7" t="n">
        <f aca="false">raw_data!S535</f>
        <v>430.45</v>
      </c>
      <c r="AB535" s="3" t="str">
        <f aca="false">PROPER(TRIM(raw_data!T535))</f>
        <v>Paid</v>
      </c>
      <c r="AC535" s="3" t="str">
        <f aca="false">PROPER(TRIM(raw_data!U535))</f>
        <v>Completed</v>
      </c>
      <c r="AD535" s="7" t="n">
        <f aca="false">T535*U535*(1-W535)</f>
        <v>2165.85</v>
      </c>
      <c r="AE535" s="7" t="n">
        <f aca="false">AD535-Z535</f>
        <v>41.3700000000003</v>
      </c>
      <c r="AF535" s="8" t="n">
        <f aca="false">IF(AD535=0,0,AE535/AD535)</f>
        <v>0.0191010457787937</v>
      </c>
      <c r="AG535" s="3" t="str">
        <f aca="false">IF(ABS(Y535-AD535)&gt;1,"Mismatch","OK")</f>
        <v>OK</v>
      </c>
      <c r="AH535" s="3" t="str">
        <f aca="false">IF(ABS(AA535-AE535)&gt;1,"Mismatch","OK")</f>
        <v>Mismatch</v>
      </c>
      <c r="AI535" s="6" t="n">
        <f aca="false">IF(B535="","",MONTH(B535))</f>
        <v>8</v>
      </c>
      <c r="AJ535" s="6" t="n">
        <f aca="false">IF(B535="","",YEAR(B535))</f>
        <v>2024</v>
      </c>
      <c r="AK535" s="3" t="str">
        <f aca="false">IF(COUNTIF(raw_data!$A$2:$A$913,A535)&gt;1,"Conflicting Duplicate - Flagged for Review","Unique")</f>
        <v>Unique</v>
      </c>
      <c r="AL535" s="3" t="str">
        <f aca="false">IF(AB535="Refunded","Yes","No")</f>
        <v>No</v>
      </c>
      <c r="AM535" s="3" t="str">
        <f aca="false">IF(OR(AC535&lt;&gt;"Completed",AB535="Failed"),"Excluded","Included")</f>
        <v>Included</v>
      </c>
      <c r="AN535" s="3" t="str">
        <f aca="false">IF(OR(D535="Invalid/Unrecognized",E535="Invalid/Unrecognized",G535="Invalid - Ship Before Order",X535="Negative - Invalid",X535="Above Allowed Range - Invalid",AG535="Mismatch",AH535="Mismatch",AK535="Conflicting Duplicate - Flagged for Review"),"Invalid",IF(OR(L535="Filled - Unknown",S535="Filled - Unknown",X535="Missing - Defaulted to 0",AL535="Yes",AC535="Cancelled",AC535="Returned"),"Warning","Clean"))</f>
        <v>Invalid</v>
      </c>
    </row>
    <row r="536" customFormat="false" ht="15" hidden="false" customHeight="false" outlineLevel="0" collapsed="false">
      <c r="A536" s="3" t="str">
        <f aca="false">raw_data!A536</f>
        <v>ORD-2025-10535</v>
      </c>
      <c r="B536" s="4" t="n">
        <f aca="false">IFERROR(IF(MID(raw_data!B536,3,1)="/",DATE(VALUE(RIGHT(raw_data!B536,4)),VALUE(LEFT(raw_data!B536,2)),VALUE(MID(raw_data!B536,4,2))),IF(MID(raw_data!B536,3,1)="-",DATE(VALUE(RIGHT(raw_data!B536,4)),VALUE(MID(raw_data!B536,4,2)),VALUE(LEFT(raw_data!B536,2))),IF(MID(raw_data!B536,5,1)="-",DATE(VALUE(LEFT(raw_data!B536,4)),VALUE(MID(raw_data!B536,6,2)),VALUE(RIGHT(raw_data!B536,2))),DATE(VALUE(RIGHT(raw_data!B536,4)),MATCH(MID(raw_data!B536,4,3),{"Jan","Feb","Mar","Apr","May","Jun","Jul","Aug","Sep","Oct","Nov","Dec"},0),VALUE(LEFT(raw_data!B536,2)))))),"")</f>
        <v>45774</v>
      </c>
      <c r="C536" s="4" t="n">
        <f aca="false">IFERROR(IF(MID(raw_data!C536,3,1)="/",DATE(VALUE(RIGHT(raw_data!C536,4)),VALUE(LEFT(raw_data!C536,2)),VALUE(MID(raw_data!C536,4,2))),IF(MID(raw_data!C536,3,1)="-",DATE(VALUE(RIGHT(raw_data!C536,4)),VALUE(MID(raw_data!C536,4,2)),VALUE(LEFT(raw_data!C536,2))),IF(MID(raw_data!C536,5,1)="-",DATE(VALUE(LEFT(raw_data!C536,4)),VALUE(MID(raw_data!C536,6,2)),VALUE(RIGHT(raw_data!C536,2))),DATE(VALUE(RIGHT(raw_data!C536,4)),MATCH(MID(raw_data!C536,4,3),{"Jan","Feb","Mar","Apr","May","Jun","Jul","Aug","Sep","Oct","Nov","Dec"},0),VALUE(LEFT(raw_data!C536,2)))))),"")</f>
        <v>45782</v>
      </c>
      <c r="D536" s="3" t="str">
        <f aca="false">IF(TRIM(raw_data!B536)="","Missing",IF(B536="","Invalid/Unrecognized","Valid"))</f>
        <v>Valid</v>
      </c>
      <c r="E536" s="3" t="str">
        <f aca="false">IF(TRIM(raw_data!C536)="","Missing",IF(C536="","Invalid/Unrecognized","Valid"))</f>
        <v>Valid</v>
      </c>
      <c r="F536" s="5" t="n">
        <f aca="false">IF(OR(B536="",C536=""),"",C536-B536)</f>
        <v>8</v>
      </c>
      <c r="G536" s="3" t="str">
        <f aca="false">IF(F536="","N/A",IF(F536&lt;0,"Invalid - Ship Before Order","OK"))</f>
        <v>OK</v>
      </c>
      <c r="H536" s="3" t="str">
        <f aca="false">raw_data!D536</f>
        <v>CUST-8204</v>
      </c>
      <c r="I536" s="3" t="str">
        <f aca="false">PROPER(TRIM(raw_data!E536))</f>
        <v>Rohan Mehta</v>
      </c>
      <c r="J536" s="3" t="str">
        <f aca="false">PROPER(TRIM(raw_data!F536))</f>
        <v>Home Office</v>
      </c>
      <c r="K536" s="3" t="str">
        <f aca="false">IF(TRIM(raw_data!G536)="","Unknown",PROPER(TRIM(raw_data!G536)))</f>
        <v>East</v>
      </c>
      <c r="L536" s="3" t="str">
        <f aca="false">IF(TRIM(raw_data!G536)="","Filled - Unknown","OK")</f>
        <v>OK</v>
      </c>
      <c r="M536" s="3" t="str">
        <f aca="false">PROPER(TRIM(raw_data!H536))</f>
        <v>Bihar</v>
      </c>
      <c r="N536" s="3" t="str">
        <f aca="false">PROPER(TRIM(raw_data!I536))</f>
        <v>Patna</v>
      </c>
      <c r="O536" s="3" t="str">
        <f aca="false">PROPER(TRIM(raw_data!J536))</f>
        <v>Technology</v>
      </c>
      <c r="P536" s="3" t="str">
        <f aca="false">PROPER(TRIM(raw_data!K536))</f>
        <v>Accessories</v>
      </c>
      <c r="Q536" s="3" t="str">
        <f aca="false">TRIM(raw_data!L536)</f>
        <v>Classic Accessories 325</v>
      </c>
      <c r="R536" s="3" t="str">
        <f aca="false">IF(TRIM(raw_data!M536)="","Unknown",PROPER(TRIM(raw_data!M536)))</f>
        <v>Second Class</v>
      </c>
      <c r="S536" s="3" t="str">
        <f aca="false">IF(TRIM(raw_data!M536)="","Filled - Unknown","OK")</f>
        <v>OK</v>
      </c>
      <c r="T536" s="6" t="n">
        <f aca="false">raw_data!N536</f>
        <v>4</v>
      </c>
      <c r="U536" s="7" t="n">
        <f aca="false">raw_data!O536</f>
        <v>3963.39</v>
      </c>
      <c r="V536" s="8" t="n">
        <f aca="false">raw_data!P536</f>
        <v>0.1</v>
      </c>
      <c r="W536" s="8" t="n">
        <f aca="false">IF(raw_data!P536="",0,IF(ISTEXT(raw_data!P536),IF(RIGHT(raw_data!P536,1)="%",VALUE(LEFT(raw_data!P536,LEN(raw_data!P536)-1))/100,VALUE(raw_data!P536)),raw_data!P536))</f>
        <v>0.1</v>
      </c>
      <c r="X536" s="3" t="str">
        <f aca="false">IF(raw_data!P536="","Missing - Defaulted to 0",IF(W536&lt;0,"Negative - Invalid",IF(W536&gt;0.3,"Above Allowed Range - Invalid","Valid")))</f>
        <v>Valid</v>
      </c>
      <c r="Y536" s="7" t="n">
        <f aca="false">raw_data!Q536</f>
        <v>14268.2</v>
      </c>
      <c r="Z536" s="7" t="n">
        <f aca="false">raw_data!R536</f>
        <v>11705.3</v>
      </c>
      <c r="AA536" s="7" t="n">
        <f aca="false">raw_data!S536</f>
        <v>2562.9</v>
      </c>
      <c r="AB536" s="3" t="str">
        <f aca="false">PROPER(TRIM(raw_data!T536))</f>
        <v>Pending</v>
      </c>
      <c r="AC536" s="3" t="str">
        <f aca="false">PROPER(TRIM(raw_data!U536))</f>
        <v>Returned</v>
      </c>
      <c r="AD536" s="7" t="n">
        <f aca="false">T536*U536*(1-W536)</f>
        <v>14268.204</v>
      </c>
      <c r="AE536" s="7" t="n">
        <f aca="false">AD536-Z536</f>
        <v>2562.904</v>
      </c>
      <c r="AF536" s="8" t="n">
        <f aca="false">IF(AD536=0,0,AE536/AD536)</f>
        <v>0.179623448052747</v>
      </c>
      <c r="AG536" s="3" t="str">
        <f aca="false">IF(ABS(Y536-AD536)&gt;1,"Mismatch","OK")</f>
        <v>OK</v>
      </c>
      <c r="AH536" s="3" t="str">
        <f aca="false">IF(ABS(AA536-AE536)&gt;1,"Mismatch","OK")</f>
        <v>OK</v>
      </c>
      <c r="AI536" s="6" t="n">
        <f aca="false">IF(B536="","",MONTH(B536))</f>
        <v>4</v>
      </c>
      <c r="AJ536" s="6" t="n">
        <f aca="false">IF(B536="","",YEAR(B536))</f>
        <v>2025</v>
      </c>
      <c r="AK536" s="3" t="str">
        <f aca="false">IF(COUNTIF(raw_data!$A$2:$A$913,A536)&gt;1,"Conflicting Duplicate - Flagged for Review","Unique")</f>
        <v>Unique</v>
      </c>
      <c r="AL536" s="3" t="str">
        <f aca="false">IF(AB536="Refunded","Yes","No")</f>
        <v>No</v>
      </c>
      <c r="AM536" s="3" t="str">
        <f aca="false">IF(OR(AC536&lt;&gt;"Completed",AB536="Failed"),"Excluded","Included")</f>
        <v>Excluded</v>
      </c>
      <c r="AN536" s="3" t="str">
        <f aca="false">IF(OR(D536="Invalid/Unrecognized",E536="Invalid/Unrecognized",G536="Invalid - Ship Before Order",X536="Negative - Invalid",X536="Above Allowed Range - Invalid",AG536="Mismatch",AH536="Mismatch",AK536="Conflicting Duplicate - Flagged for Review"),"Invalid",IF(OR(L536="Filled - Unknown",S536="Filled - Unknown",X536="Missing - Defaulted to 0",AL536="Yes",AC536="Cancelled",AC536="Returned"),"Warning","Clean"))</f>
        <v>Warning</v>
      </c>
    </row>
    <row r="537" customFormat="false" ht="15" hidden="false" customHeight="false" outlineLevel="0" collapsed="false">
      <c r="A537" s="3" t="str">
        <f aca="false">raw_data!A537</f>
        <v>ORD-2024-10536</v>
      </c>
      <c r="B537" s="4" t="n">
        <f aca="false">IFERROR(IF(MID(raw_data!B537,3,1)="/",DATE(VALUE(RIGHT(raw_data!B537,4)),VALUE(LEFT(raw_data!B537,2)),VALUE(MID(raw_data!B537,4,2))),IF(MID(raw_data!B537,3,1)="-",DATE(VALUE(RIGHT(raw_data!B537,4)),VALUE(MID(raw_data!B537,4,2)),VALUE(LEFT(raw_data!B537,2))),IF(MID(raw_data!B537,5,1)="-",DATE(VALUE(LEFT(raw_data!B537,4)),VALUE(MID(raw_data!B537,6,2)),VALUE(RIGHT(raw_data!B537,2))),DATE(VALUE(RIGHT(raw_data!B537,4)),MATCH(MID(raw_data!B537,4,3),{"Jan","Feb","Mar","Apr","May","Jun","Jul","Aug","Sep","Oct","Nov","Dec"},0),VALUE(LEFT(raw_data!B537,2)))))),"")</f>
        <v>45431</v>
      </c>
      <c r="C537" s="4" t="n">
        <f aca="false">IFERROR(IF(MID(raw_data!C537,3,1)="/",DATE(VALUE(RIGHT(raw_data!C537,4)),VALUE(LEFT(raw_data!C537,2)),VALUE(MID(raw_data!C537,4,2))),IF(MID(raw_data!C537,3,1)="-",DATE(VALUE(RIGHT(raw_data!C537,4)),VALUE(MID(raw_data!C537,4,2)),VALUE(LEFT(raw_data!C537,2))),IF(MID(raw_data!C537,5,1)="-",DATE(VALUE(LEFT(raw_data!C537,4)),VALUE(MID(raw_data!C537,6,2)),VALUE(RIGHT(raw_data!C537,2))),DATE(VALUE(RIGHT(raw_data!C537,4)),MATCH(MID(raw_data!C537,4,3),{"Jan","Feb","Mar","Apr","May","Jun","Jul","Aug","Sep","Oct","Nov","Dec"},0),VALUE(LEFT(raw_data!C537,2)))))),"")</f>
        <v>45433</v>
      </c>
      <c r="D537" s="3" t="str">
        <f aca="false">IF(TRIM(raw_data!B537)="","Missing",IF(B537="","Invalid/Unrecognized","Valid"))</f>
        <v>Valid</v>
      </c>
      <c r="E537" s="3" t="str">
        <f aca="false">IF(TRIM(raw_data!C537)="","Missing",IF(C537="","Invalid/Unrecognized","Valid"))</f>
        <v>Valid</v>
      </c>
      <c r="F537" s="5" t="n">
        <f aca="false">IF(OR(B537="",C537=""),"",C537-B537)</f>
        <v>2</v>
      </c>
      <c r="G537" s="3" t="str">
        <f aca="false">IF(F537="","N/A",IF(F537&lt;0,"Invalid - Ship Before Order","OK"))</f>
        <v>OK</v>
      </c>
      <c r="H537" s="3" t="str">
        <f aca="false">raw_data!D537</f>
        <v>CUST-1729</v>
      </c>
      <c r="I537" s="3" t="str">
        <f aca="false">PROPER(TRIM(raw_data!E537))</f>
        <v>Diya Patel</v>
      </c>
      <c r="J537" s="3" t="str">
        <f aca="false">PROPER(TRIM(raw_data!F537))</f>
        <v>Small Business</v>
      </c>
      <c r="K537" s="3" t="str">
        <f aca="false">IF(TRIM(raw_data!G537)="","Unknown",PROPER(TRIM(raw_data!G537)))</f>
        <v>West</v>
      </c>
      <c r="L537" s="3" t="str">
        <f aca="false">IF(TRIM(raw_data!G537)="","Filled - Unknown","OK")</f>
        <v>OK</v>
      </c>
      <c r="M537" s="3" t="str">
        <f aca="false">PROPER(TRIM(raw_data!H537))</f>
        <v>Maharashtra</v>
      </c>
      <c r="N537" s="3" t="str">
        <f aca="false">PROPER(TRIM(raw_data!I537))</f>
        <v>Mumbai</v>
      </c>
      <c r="O537" s="3" t="str">
        <f aca="false">PROPER(TRIM(raw_data!J537))</f>
        <v>Technology</v>
      </c>
      <c r="P537" s="3" t="str">
        <f aca="false">PROPER(TRIM(raw_data!K537))</f>
        <v>Copiers</v>
      </c>
      <c r="Q537" s="3" t="str">
        <f aca="false">TRIM(raw_data!L537)</f>
        <v>Eco Copiers 243</v>
      </c>
      <c r="R537" s="3" t="str">
        <f aca="false">IF(TRIM(raw_data!M537)="","Unknown",PROPER(TRIM(raw_data!M537)))</f>
        <v>First Class</v>
      </c>
      <c r="S537" s="3" t="str">
        <f aca="false">IF(TRIM(raw_data!M537)="","Filled - Unknown","OK")</f>
        <v>OK</v>
      </c>
      <c r="T537" s="6" t="n">
        <f aca="false">raw_data!N537</f>
        <v>3</v>
      </c>
      <c r="U537" s="7" t="n">
        <f aca="false">raw_data!O537</f>
        <v>4000.98</v>
      </c>
      <c r="V537" s="8" t="n">
        <f aca="false">raw_data!P537</f>
        <v>0.2</v>
      </c>
      <c r="W537" s="8" t="n">
        <f aca="false">IF(raw_data!P537="",0,IF(ISTEXT(raw_data!P537),IF(RIGHT(raw_data!P537,1)="%",VALUE(LEFT(raw_data!P537,LEN(raw_data!P537)-1))/100,VALUE(raw_data!P537)),raw_data!P537))</f>
        <v>0.2</v>
      </c>
      <c r="X537" s="3" t="str">
        <f aca="false">IF(raw_data!P537="","Missing - Defaulted to 0",IF(W537&lt;0,"Negative - Invalid",IF(W537&gt;0.3,"Above Allowed Range - Invalid","Valid")))</f>
        <v>Valid</v>
      </c>
      <c r="Y537" s="7" t="n">
        <f aca="false">raw_data!Q537</f>
        <v>9602.35</v>
      </c>
      <c r="Z537" s="7" t="n">
        <f aca="false">raw_data!R537</f>
        <v>7387.57</v>
      </c>
      <c r="AA537" s="7" t="n">
        <f aca="false">raw_data!S537</f>
        <v>2214.78</v>
      </c>
      <c r="AB537" s="3" t="str">
        <f aca="false">PROPER(TRIM(raw_data!T537))</f>
        <v>Paid</v>
      </c>
      <c r="AC537" s="3" t="str">
        <f aca="false">PROPER(TRIM(raw_data!U537))</f>
        <v>Completed</v>
      </c>
      <c r="AD537" s="7" t="n">
        <f aca="false">T537*U537*(1-W537)</f>
        <v>9602.352</v>
      </c>
      <c r="AE537" s="7" t="n">
        <f aca="false">AD537-Z537</f>
        <v>2214.782</v>
      </c>
      <c r="AF537" s="8" t="n">
        <f aca="false">IF(AD537=0,0,AE537/AD537)</f>
        <v>0.230649949095805</v>
      </c>
      <c r="AG537" s="3" t="str">
        <f aca="false">IF(ABS(Y537-AD537)&gt;1,"Mismatch","OK")</f>
        <v>OK</v>
      </c>
      <c r="AH537" s="3" t="str">
        <f aca="false">IF(ABS(AA537-AE537)&gt;1,"Mismatch","OK")</f>
        <v>OK</v>
      </c>
      <c r="AI537" s="6" t="n">
        <f aca="false">IF(B537="","",MONTH(B537))</f>
        <v>5</v>
      </c>
      <c r="AJ537" s="6" t="n">
        <f aca="false">IF(B537="","",YEAR(B537))</f>
        <v>2024</v>
      </c>
      <c r="AK537" s="3" t="str">
        <f aca="false">IF(COUNTIF(raw_data!$A$2:$A$913,A537)&gt;1,"Conflicting Duplicate - Flagged for Review","Unique")</f>
        <v>Unique</v>
      </c>
      <c r="AL537" s="3" t="str">
        <f aca="false">IF(AB537="Refunded","Yes","No")</f>
        <v>No</v>
      </c>
      <c r="AM537" s="3" t="str">
        <f aca="false">IF(OR(AC537&lt;&gt;"Completed",AB537="Failed"),"Excluded","Included")</f>
        <v>Included</v>
      </c>
      <c r="AN537" s="3" t="str">
        <f aca="false">IF(OR(D537="Invalid/Unrecognized",E537="Invalid/Unrecognized",G537="Invalid - Ship Before Order",X537="Negative - Invalid",X537="Above Allowed Range - Invalid",AG537="Mismatch",AH537="Mismatch",AK537="Conflicting Duplicate - Flagged for Review"),"Invalid",IF(OR(L537="Filled - Unknown",S537="Filled - Unknown",X537="Missing - Defaulted to 0",AL537="Yes",AC537="Cancelled",AC537="Returned"),"Warning","Clean"))</f>
        <v>Clean</v>
      </c>
    </row>
    <row r="538" customFormat="false" ht="15" hidden="false" customHeight="false" outlineLevel="0" collapsed="false">
      <c r="A538" s="3" t="str">
        <f aca="false">raw_data!A538</f>
        <v>ORD-2025-10537</v>
      </c>
      <c r="B538" s="4" t="n">
        <f aca="false">IFERROR(IF(MID(raw_data!B538,3,1)="/",DATE(VALUE(RIGHT(raw_data!B538,4)),VALUE(LEFT(raw_data!B538,2)),VALUE(MID(raw_data!B538,4,2))),IF(MID(raw_data!B538,3,1)="-",DATE(VALUE(RIGHT(raw_data!B538,4)),VALUE(MID(raw_data!B538,4,2)),VALUE(LEFT(raw_data!B538,2))),IF(MID(raw_data!B538,5,1)="-",DATE(VALUE(LEFT(raw_data!B538,4)),VALUE(MID(raw_data!B538,6,2)),VALUE(RIGHT(raw_data!B538,2))),DATE(VALUE(RIGHT(raw_data!B538,4)),MATCH(MID(raw_data!B538,4,3),{"Jan","Feb","Mar","Apr","May","Jun","Jul","Aug","Sep","Oct","Nov","Dec"},0),VALUE(LEFT(raw_data!B538,2)))))),"")</f>
        <v>45757</v>
      </c>
      <c r="C538" s="4" t="n">
        <f aca="false">IFERROR(IF(MID(raw_data!C538,3,1)="/",DATE(VALUE(RIGHT(raw_data!C538,4)),VALUE(LEFT(raw_data!C538,2)),VALUE(MID(raw_data!C538,4,2))),IF(MID(raw_data!C538,3,1)="-",DATE(VALUE(RIGHT(raw_data!C538,4)),VALUE(MID(raw_data!C538,4,2)),VALUE(LEFT(raw_data!C538,2))),IF(MID(raw_data!C538,5,1)="-",DATE(VALUE(LEFT(raw_data!C538,4)),VALUE(MID(raw_data!C538,6,2)),VALUE(RIGHT(raw_data!C538,2))),DATE(VALUE(RIGHT(raw_data!C538,4)),MATCH(MID(raw_data!C538,4,3),{"Jan","Feb","Mar","Apr","May","Jun","Jul","Aug","Sep","Oct","Nov","Dec"},0),VALUE(LEFT(raw_data!C538,2)))))),"")</f>
        <v>45764</v>
      </c>
      <c r="D538" s="3" t="str">
        <f aca="false">IF(TRIM(raw_data!B538)="","Missing",IF(B538="","Invalid/Unrecognized","Valid"))</f>
        <v>Valid</v>
      </c>
      <c r="E538" s="3" t="str">
        <f aca="false">IF(TRIM(raw_data!C538)="","Missing",IF(C538="","Invalid/Unrecognized","Valid"))</f>
        <v>Valid</v>
      </c>
      <c r="F538" s="5" t="n">
        <f aca="false">IF(OR(B538="",C538=""),"",C538-B538)</f>
        <v>7</v>
      </c>
      <c r="G538" s="3" t="str">
        <f aca="false">IF(F538="","N/A",IF(F538&lt;0,"Invalid - Ship Before Order","OK"))</f>
        <v>OK</v>
      </c>
      <c r="H538" s="3" t="str">
        <f aca="false">raw_data!D538</f>
        <v>CUST-4269</v>
      </c>
      <c r="I538" s="3" t="str">
        <f aca="false">PROPER(TRIM(raw_data!E538))</f>
        <v>Ananya Rao</v>
      </c>
      <c r="J538" s="3" t="str">
        <f aca="false">PROPER(TRIM(raw_data!F538))</f>
        <v>Small Business</v>
      </c>
      <c r="K538" s="3" t="str">
        <f aca="false">IF(TRIM(raw_data!G538)="","Unknown",PROPER(TRIM(raw_data!G538)))</f>
        <v>West</v>
      </c>
      <c r="L538" s="3" t="str">
        <f aca="false">IF(TRIM(raw_data!G538)="","Filled - Unknown","OK")</f>
        <v>OK</v>
      </c>
      <c r="M538" s="3" t="str">
        <f aca="false">PROPER(TRIM(raw_data!H538))</f>
        <v>Rajasthan</v>
      </c>
      <c r="N538" s="3" t="str">
        <f aca="false">PROPER(TRIM(raw_data!I538))</f>
        <v>Udaipur</v>
      </c>
      <c r="O538" s="3" t="str">
        <f aca="false">PROPER(TRIM(raw_data!J538))</f>
        <v>Furniture</v>
      </c>
      <c r="P538" s="3" t="str">
        <f aca="false">PROPER(TRIM(raw_data!K538))</f>
        <v>Chairs</v>
      </c>
      <c r="Q538" s="3" t="str">
        <f aca="false">TRIM(raw_data!L538)</f>
        <v>Elite Chairs 777</v>
      </c>
      <c r="R538" s="3" t="str">
        <f aca="false">IF(TRIM(raw_data!M538)="","Unknown",PROPER(TRIM(raw_data!M538)))</f>
        <v>First Class</v>
      </c>
      <c r="S538" s="3" t="str">
        <f aca="false">IF(TRIM(raw_data!M538)="","Filled - Unknown","OK")</f>
        <v>OK</v>
      </c>
      <c r="T538" s="6" t="n">
        <f aca="false">raw_data!N538</f>
        <v>7</v>
      </c>
      <c r="U538" s="7" t="n">
        <f aca="false">raw_data!O538</f>
        <v>3788.9</v>
      </c>
      <c r="V538" s="8" t="n">
        <f aca="false">raw_data!P538</f>
        <v>0.25</v>
      </c>
      <c r="W538" s="8" t="n">
        <f aca="false">IF(raw_data!P538="",0,IF(ISTEXT(raw_data!P538),IF(RIGHT(raw_data!P538,1)="%",VALUE(LEFT(raw_data!P538,LEN(raw_data!P538)-1))/100,VALUE(raw_data!P538)),raw_data!P538))</f>
        <v>0.25</v>
      </c>
      <c r="X538" s="3" t="str">
        <f aca="false">IF(raw_data!P538="","Missing - Defaulted to 0",IF(W538&lt;0,"Negative - Invalid",IF(W538&gt;0.3,"Above Allowed Range - Invalid","Valid")))</f>
        <v>Valid</v>
      </c>
      <c r="Y538" s="7" t="n">
        <f aca="false">raw_data!Q538</f>
        <v>19891.72</v>
      </c>
      <c r="Z538" s="7" t="n">
        <f aca="false">raw_data!R538</f>
        <v>12295.76</v>
      </c>
      <c r="AA538" s="7" t="n">
        <f aca="false">raw_data!S538</f>
        <v>7595.96</v>
      </c>
      <c r="AB538" s="3" t="str">
        <f aca="false">PROPER(TRIM(raw_data!T538))</f>
        <v>Failed</v>
      </c>
      <c r="AC538" s="3" t="str">
        <f aca="false">PROPER(TRIM(raw_data!U538))</f>
        <v>Cancelled</v>
      </c>
      <c r="AD538" s="7" t="n">
        <f aca="false">T538*U538*(1-W538)</f>
        <v>19891.725</v>
      </c>
      <c r="AE538" s="7" t="n">
        <f aca="false">AD538-Z538</f>
        <v>7595.965</v>
      </c>
      <c r="AF538" s="8" t="n">
        <f aca="false">IF(AD538=0,0,AE538/AD538)</f>
        <v>0.381865574755332</v>
      </c>
      <c r="AG538" s="3" t="str">
        <f aca="false">IF(ABS(Y538-AD538)&gt;1,"Mismatch","OK")</f>
        <v>OK</v>
      </c>
      <c r="AH538" s="3" t="str">
        <f aca="false">IF(ABS(AA538-AE538)&gt;1,"Mismatch","OK")</f>
        <v>OK</v>
      </c>
      <c r="AI538" s="6" t="n">
        <f aca="false">IF(B538="","",MONTH(B538))</f>
        <v>4</v>
      </c>
      <c r="AJ538" s="6" t="n">
        <f aca="false">IF(B538="","",YEAR(B538))</f>
        <v>2025</v>
      </c>
      <c r="AK538" s="3" t="str">
        <f aca="false">IF(COUNTIF(raw_data!$A$2:$A$913,A538)&gt;1,"Conflicting Duplicate - Flagged for Review","Unique")</f>
        <v>Unique</v>
      </c>
      <c r="AL538" s="3" t="str">
        <f aca="false">IF(AB538="Refunded","Yes","No")</f>
        <v>No</v>
      </c>
      <c r="AM538" s="3" t="str">
        <f aca="false">IF(OR(AC538&lt;&gt;"Completed",AB538="Failed"),"Excluded","Included")</f>
        <v>Excluded</v>
      </c>
      <c r="AN538" s="3" t="str">
        <f aca="false">IF(OR(D538="Invalid/Unrecognized",E538="Invalid/Unrecognized",G538="Invalid - Ship Before Order",X538="Negative - Invalid",X538="Above Allowed Range - Invalid",AG538="Mismatch",AH538="Mismatch",AK538="Conflicting Duplicate - Flagged for Review"),"Invalid",IF(OR(L538="Filled - Unknown",S538="Filled - Unknown",X538="Missing - Defaulted to 0",AL538="Yes",AC538="Cancelled",AC538="Returned"),"Warning","Clean"))</f>
        <v>Warning</v>
      </c>
    </row>
    <row r="539" customFormat="false" ht="15" hidden="false" customHeight="false" outlineLevel="0" collapsed="false">
      <c r="A539" s="3" t="str">
        <f aca="false">raw_data!A539</f>
        <v>ORD-2024-10538</v>
      </c>
      <c r="B539" s="4" t="n">
        <f aca="false">IFERROR(IF(MID(raw_data!B539,3,1)="/",DATE(VALUE(RIGHT(raw_data!B539,4)),VALUE(LEFT(raw_data!B539,2)),VALUE(MID(raw_data!B539,4,2))),IF(MID(raw_data!B539,3,1)="-",DATE(VALUE(RIGHT(raw_data!B539,4)),VALUE(MID(raw_data!B539,4,2)),VALUE(LEFT(raw_data!B539,2))),IF(MID(raw_data!B539,5,1)="-",DATE(VALUE(LEFT(raw_data!B539,4)),VALUE(MID(raw_data!B539,6,2)),VALUE(RIGHT(raw_data!B539,2))),DATE(VALUE(RIGHT(raw_data!B539,4)),MATCH(MID(raw_data!B539,4,3),{"Jan","Feb","Mar","Apr","May","Jun","Jul","Aug","Sep","Oct","Nov","Dec"},0),VALUE(LEFT(raw_data!B539,2)))))),"")</f>
        <v>45313</v>
      </c>
      <c r="C539" s="4" t="n">
        <f aca="false">IFERROR(IF(MID(raw_data!C539,3,1)="/",DATE(VALUE(RIGHT(raw_data!C539,4)),VALUE(LEFT(raw_data!C539,2)),VALUE(MID(raw_data!C539,4,2))),IF(MID(raw_data!C539,3,1)="-",DATE(VALUE(RIGHT(raw_data!C539,4)),VALUE(MID(raw_data!C539,4,2)),VALUE(LEFT(raw_data!C539,2))),IF(MID(raw_data!C539,5,1)="-",DATE(VALUE(LEFT(raw_data!C539,4)),VALUE(MID(raw_data!C539,6,2)),VALUE(RIGHT(raw_data!C539,2))),DATE(VALUE(RIGHT(raw_data!C539,4)),MATCH(MID(raw_data!C539,4,3),{"Jan","Feb","Mar","Apr","May","Jun","Jul","Aug","Sep","Oct","Nov","Dec"},0),VALUE(LEFT(raw_data!C539,2)))))),"")</f>
        <v>45321</v>
      </c>
      <c r="D539" s="3" t="str">
        <f aca="false">IF(TRIM(raw_data!B539)="","Missing",IF(B539="","Invalid/Unrecognized","Valid"))</f>
        <v>Valid</v>
      </c>
      <c r="E539" s="3" t="str">
        <f aca="false">IF(TRIM(raw_data!C539)="","Missing",IF(C539="","Invalid/Unrecognized","Valid"))</f>
        <v>Valid</v>
      </c>
      <c r="F539" s="5" t="n">
        <f aca="false">IF(OR(B539="",C539=""),"",C539-B539)</f>
        <v>8</v>
      </c>
      <c r="G539" s="3" t="str">
        <f aca="false">IF(F539="","N/A",IF(F539&lt;0,"Invalid - Ship Before Order","OK"))</f>
        <v>OK</v>
      </c>
      <c r="H539" s="3" t="str">
        <f aca="false">raw_data!D539</f>
        <v>CUST-1370</v>
      </c>
      <c r="I539" s="3" t="str">
        <f aca="false">PROPER(TRIM(raw_data!E539))</f>
        <v>Ananya Rao</v>
      </c>
      <c r="J539" s="3" t="str">
        <f aca="false">PROPER(TRIM(raw_data!F539))</f>
        <v>Small Business</v>
      </c>
      <c r="K539" s="3" t="str">
        <f aca="false">IF(TRIM(raw_data!G539)="","Unknown",PROPER(TRIM(raw_data!G539)))</f>
        <v>North</v>
      </c>
      <c r="L539" s="3" t="str">
        <f aca="false">IF(TRIM(raw_data!G539)="","Filled - Unknown","OK")</f>
        <v>OK</v>
      </c>
      <c r="M539" s="3" t="str">
        <f aca="false">PROPER(TRIM(raw_data!H539))</f>
        <v>Haryana</v>
      </c>
      <c r="N539" s="3" t="str">
        <f aca="false">PROPER(TRIM(raw_data!I539))</f>
        <v>Gurugram</v>
      </c>
      <c r="O539" s="3" t="str">
        <f aca="false">PROPER(TRIM(raw_data!J539))</f>
        <v>Office Supplies</v>
      </c>
      <c r="P539" s="3" t="str">
        <f aca="false">PROPER(TRIM(raw_data!K539))</f>
        <v>Art</v>
      </c>
      <c r="Q539" s="3" t="str">
        <f aca="false">TRIM(raw_data!L539)</f>
        <v>Classic Art 772</v>
      </c>
      <c r="R539" s="3" t="str">
        <f aca="false">IF(TRIM(raw_data!M539)="","Unknown",PROPER(TRIM(raw_data!M539)))</f>
        <v>Same Day</v>
      </c>
      <c r="S539" s="3" t="str">
        <f aca="false">IF(TRIM(raw_data!M539)="","Filled - Unknown","OK")</f>
        <v>OK</v>
      </c>
      <c r="T539" s="6" t="n">
        <f aca="false">raw_data!N539</f>
        <v>3</v>
      </c>
      <c r="U539" s="7" t="n">
        <f aca="false">raw_data!O539</f>
        <v>676.37</v>
      </c>
      <c r="V539" s="8" t="n">
        <f aca="false">raw_data!P539</f>
        <v>0.05</v>
      </c>
      <c r="W539" s="8" t="n">
        <f aca="false">IF(raw_data!P539="",0,IF(ISTEXT(raw_data!P539),IF(RIGHT(raw_data!P539,1)="%",VALUE(LEFT(raw_data!P539,LEN(raw_data!P539)-1))/100,VALUE(raw_data!P539)),raw_data!P539))</f>
        <v>0.05</v>
      </c>
      <c r="X539" s="3" t="str">
        <f aca="false">IF(raw_data!P539="","Missing - Defaulted to 0",IF(W539&lt;0,"Negative - Invalid",IF(W539&gt;0.3,"Above Allowed Range - Invalid","Valid")))</f>
        <v>Valid</v>
      </c>
      <c r="Y539" s="7" t="n">
        <f aca="false">raw_data!Q539</f>
        <v>1927.65</v>
      </c>
      <c r="Z539" s="7" t="n">
        <f aca="false">raw_data!R539</f>
        <v>1460.6</v>
      </c>
      <c r="AA539" s="7" t="n">
        <f aca="false">raw_data!S539</f>
        <v>467.05</v>
      </c>
      <c r="AB539" s="3" t="str">
        <f aca="false">PROPER(TRIM(raw_data!T539))</f>
        <v>Failed</v>
      </c>
      <c r="AC539" s="3" t="str">
        <f aca="false">PROPER(TRIM(raw_data!U539))</f>
        <v>Cancelled</v>
      </c>
      <c r="AD539" s="7" t="n">
        <f aca="false">T539*U539*(1-W539)</f>
        <v>1927.6545</v>
      </c>
      <c r="AE539" s="7" t="n">
        <f aca="false">AD539-Z539</f>
        <v>467.0545</v>
      </c>
      <c r="AF539" s="8" t="n">
        <f aca="false">IF(AD539=0,0,AE539/AD539)</f>
        <v>0.242291603604277</v>
      </c>
      <c r="AG539" s="3" t="str">
        <f aca="false">IF(ABS(Y539-AD539)&gt;1,"Mismatch","OK")</f>
        <v>OK</v>
      </c>
      <c r="AH539" s="3" t="str">
        <f aca="false">IF(ABS(AA539-AE539)&gt;1,"Mismatch","OK")</f>
        <v>OK</v>
      </c>
      <c r="AI539" s="6" t="n">
        <f aca="false">IF(B539="","",MONTH(B539))</f>
        <v>1</v>
      </c>
      <c r="AJ539" s="6" t="n">
        <f aca="false">IF(B539="","",YEAR(B539))</f>
        <v>2024</v>
      </c>
      <c r="AK539" s="3" t="str">
        <f aca="false">IF(COUNTIF(raw_data!$A$2:$A$913,A539)&gt;1,"Conflicting Duplicate - Flagged for Review","Unique")</f>
        <v>Unique</v>
      </c>
      <c r="AL539" s="3" t="str">
        <f aca="false">IF(AB539="Refunded","Yes","No")</f>
        <v>No</v>
      </c>
      <c r="AM539" s="3" t="str">
        <f aca="false">IF(OR(AC539&lt;&gt;"Completed",AB539="Failed"),"Excluded","Included")</f>
        <v>Excluded</v>
      </c>
      <c r="AN539" s="3" t="str">
        <f aca="false">IF(OR(D539="Invalid/Unrecognized",E539="Invalid/Unrecognized",G539="Invalid - Ship Before Order",X539="Negative - Invalid",X539="Above Allowed Range - Invalid",AG539="Mismatch",AH539="Mismatch",AK539="Conflicting Duplicate - Flagged for Review"),"Invalid",IF(OR(L539="Filled - Unknown",S539="Filled - Unknown",X539="Missing - Defaulted to 0",AL539="Yes",AC539="Cancelled",AC539="Returned"),"Warning","Clean"))</f>
        <v>Warning</v>
      </c>
    </row>
    <row r="540" customFormat="false" ht="15" hidden="false" customHeight="false" outlineLevel="0" collapsed="false">
      <c r="A540" s="3" t="str">
        <f aca="false">raw_data!A540</f>
        <v>ORD-2024-10539</v>
      </c>
      <c r="B540" s="4" t="n">
        <f aca="false">IFERROR(IF(MID(raw_data!B540,3,1)="/",DATE(VALUE(RIGHT(raw_data!B540,4)),VALUE(LEFT(raw_data!B540,2)),VALUE(MID(raw_data!B540,4,2))),IF(MID(raw_data!B540,3,1)="-",DATE(VALUE(RIGHT(raw_data!B540,4)),VALUE(MID(raw_data!B540,4,2)),VALUE(LEFT(raw_data!B540,2))),IF(MID(raw_data!B540,5,1)="-",DATE(VALUE(LEFT(raw_data!B540,4)),VALUE(MID(raw_data!B540,6,2)),VALUE(RIGHT(raw_data!B540,2))),DATE(VALUE(RIGHT(raw_data!B540,4)),MATCH(MID(raw_data!B540,4,3),{"Jan","Feb","Mar","Apr","May","Jun","Jul","Aug","Sep","Oct","Nov","Dec"},0),VALUE(LEFT(raw_data!B540,2)))))),"")</f>
        <v>45560</v>
      </c>
      <c r="C540" s="4" t="n">
        <f aca="false">IFERROR(IF(MID(raw_data!C540,3,1)="/",DATE(VALUE(RIGHT(raw_data!C540,4)),VALUE(LEFT(raw_data!C540,2)),VALUE(MID(raw_data!C540,4,2))),IF(MID(raw_data!C540,3,1)="-",DATE(VALUE(RIGHT(raw_data!C540,4)),VALUE(MID(raw_data!C540,4,2)),VALUE(LEFT(raw_data!C540,2))),IF(MID(raw_data!C540,5,1)="-",DATE(VALUE(LEFT(raw_data!C540,4)),VALUE(MID(raw_data!C540,6,2)),VALUE(RIGHT(raw_data!C540,2))),DATE(VALUE(RIGHT(raw_data!C540,4)),MATCH(MID(raw_data!C540,4,3),{"Jan","Feb","Mar","Apr","May","Jun","Jul","Aug","Sep","Oct","Nov","Dec"},0),VALUE(LEFT(raw_data!C540,2)))))),"")</f>
        <v>45566</v>
      </c>
      <c r="D540" s="3" t="str">
        <f aca="false">IF(TRIM(raw_data!B540)="","Missing",IF(B540="","Invalid/Unrecognized","Valid"))</f>
        <v>Valid</v>
      </c>
      <c r="E540" s="3" t="str">
        <f aca="false">IF(TRIM(raw_data!C540)="","Missing",IF(C540="","Invalid/Unrecognized","Valid"))</f>
        <v>Valid</v>
      </c>
      <c r="F540" s="5" t="n">
        <f aca="false">IF(OR(B540="",C540=""),"",C540-B540)</f>
        <v>6</v>
      </c>
      <c r="G540" s="3" t="str">
        <f aca="false">IF(F540="","N/A",IF(F540&lt;0,"Invalid - Ship Before Order","OK"))</f>
        <v>OK</v>
      </c>
      <c r="H540" s="3" t="str">
        <f aca="false">raw_data!D540</f>
        <v>CUST-5381</v>
      </c>
      <c r="I540" s="3" t="str">
        <f aca="false">PROPER(TRIM(raw_data!E540))</f>
        <v>Diya Patel</v>
      </c>
      <c r="J540" s="3" t="str">
        <f aca="false">PROPER(TRIM(raw_data!F540))</f>
        <v>Small Business</v>
      </c>
      <c r="K540" s="3" t="str">
        <f aca="false">IF(TRIM(raw_data!G540)="","Unknown",PROPER(TRIM(raw_data!G540)))</f>
        <v>East</v>
      </c>
      <c r="L540" s="3" t="str">
        <f aca="false">IF(TRIM(raw_data!G540)="","Filled - Unknown","OK")</f>
        <v>OK</v>
      </c>
      <c r="M540" s="3" t="str">
        <f aca="false">PROPER(TRIM(raw_data!H540))</f>
        <v>Jharkhand</v>
      </c>
      <c r="N540" s="3" t="str">
        <f aca="false">PROPER(TRIM(raw_data!I540))</f>
        <v>Ranchi</v>
      </c>
      <c r="O540" s="3" t="str">
        <f aca="false">PROPER(TRIM(raw_data!J540))</f>
        <v>Furniture</v>
      </c>
      <c r="P540" s="3" t="str">
        <f aca="false">PROPER(TRIM(raw_data!K540))</f>
        <v>Tables</v>
      </c>
      <c r="Q540" s="3" t="str">
        <f aca="false">TRIM(raw_data!L540)</f>
        <v>Elite Tables 888</v>
      </c>
      <c r="R540" s="3" t="str">
        <f aca="false">IF(TRIM(raw_data!M540)="","Unknown",PROPER(TRIM(raw_data!M540)))</f>
        <v>Second Class</v>
      </c>
      <c r="S540" s="3" t="str">
        <f aca="false">IF(TRIM(raw_data!M540)="","Filled - Unknown","OK")</f>
        <v>OK</v>
      </c>
      <c r="T540" s="6" t="n">
        <f aca="false">raw_data!N540</f>
        <v>9</v>
      </c>
      <c r="U540" s="7" t="n">
        <f aca="false">raw_data!O540</f>
        <v>3908.6</v>
      </c>
      <c r="V540" s="8" t="n">
        <f aca="false">raw_data!P540</f>
        <v>0.15</v>
      </c>
      <c r="W540" s="8" t="n">
        <f aca="false">IF(raw_data!P540="",0,IF(ISTEXT(raw_data!P540),IF(RIGHT(raw_data!P540,1)="%",VALUE(LEFT(raw_data!P540,LEN(raw_data!P540)-1))/100,VALUE(raw_data!P540)),raw_data!P540))</f>
        <v>0.15</v>
      </c>
      <c r="X540" s="3" t="str">
        <f aca="false">IF(raw_data!P540="","Missing - Defaulted to 0",IF(W540&lt;0,"Negative - Invalid",IF(W540&gt;0.3,"Above Allowed Range - Invalid","Valid")))</f>
        <v>Valid</v>
      </c>
      <c r="Y540" s="7" t="n">
        <f aca="false">raw_data!Q540</f>
        <v>29900.79</v>
      </c>
      <c r="Z540" s="7" t="n">
        <f aca="false">raw_data!R540</f>
        <v>24650.67</v>
      </c>
      <c r="AA540" s="7" t="n">
        <f aca="false">raw_data!S540</f>
        <v>5250.12</v>
      </c>
      <c r="AB540" s="3" t="str">
        <f aca="false">PROPER(TRIM(raw_data!T540))</f>
        <v>Paid</v>
      </c>
      <c r="AC540" s="3" t="str">
        <f aca="false">PROPER(TRIM(raw_data!U540))</f>
        <v>Completed</v>
      </c>
      <c r="AD540" s="7" t="n">
        <f aca="false">T540*U540*(1-W540)</f>
        <v>29900.79</v>
      </c>
      <c r="AE540" s="7" t="n">
        <f aca="false">AD540-Z540</f>
        <v>5250.12</v>
      </c>
      <c r="AF540" s="8" t="n">
        <f aca="false">IF(AD540=0,0,AE540/AD540)</f>
        <v>0.175584658465546</v>
      </c>
      <c r="AG540" s="3" t="str">
        <f aca="false">IF(ABS(Y540-AD540)&gt;1,"Mismatch","OK")</f>
        <v>OK</v>
      </c>
      <c r="AH540" s="3" t="str">
        <f aca="false">IF(ABS(AA540-AE540)&gt;1,"Mismatch","OK")</f>
        <v>OK</v>
      </c>
      <c r="AI540" s="6" t="n">
        <f aca="false">IF(B540="","",MONTH(B540))</f>
        <v>9</v>
      </c>
      <c r="AJ540" s="6" t="n">
        <f aca="false">IF(B540="","",YEAR(B540))</f>
        <v>2024</v>
      </c>
      <c r="AK540" s="3" t="str">
        <f aca="false">IF(COUNTIF(raw_data!$A$2:$A$913,A540)&gt;1,"Conflicting Duplicate - Flagged for Review","Unique")</f>
        <v>Unique</v>
      </c>
      <c r="AL540" s="3" t="str">
        <f aca="false">IF(AB540="Refunded","Yes","No")</f>
        <v>No</v>
      </c>
      <c r="AM540" s="3" t="str">
        <f aca="false">IF(OR(AC540&lt;&gt;"Completed",AB540="Failed"),"Excluded","Included")</f>
        <v>Included</v>
      </c>
      <c r="AN540" s="3" t="str">
        <f aca="false">IF(OR(D540="Invalid/Unrecognized",E540="Invalid/Unrecognized",G540="Invalid - Ship Before Order",X540="Negative - Invalid",X540="Above Allowed Range - Invalid",AG540="Mismatch",AH540="Mismatch",AK540="Conflicting Duplicate - Flagged for Review"),"Invalid",IF(OR(L540="Filled - Unknown",S540="Filled - Unknown",X540="Missing - Defaulted to 0",AL540="Yes",AC540="Cancelled",AC540="Returned"),"Warning","Clean"))</f>
        <v>Clean</v>
      </c>
    </row>
    <row r="541" customFormat="false" ht="15" hidden="false" customHeight="false" outlineLevel="0" collapsed="false">
      <c r="A541" s="3" t="str">
        <f aca="false">raw_data!A541</f>
        <v>ORD-2025-10540</v>
      </c>
      <c r="B541" s="4" t="n">
        <f aca="false">IFERROR(IF(MID(raw_data!B541,3,1)="/",DATE(VALUE(RIGHT(raw_data!B541,4)),VALUE(LEFT(raw_data!B541,2)),VALUE(MID(raw_data!B541,4,2))),IF(MID(raw_data!B541,3,1)="-",DATE(VALUE(RIGHT(raw_data!B541,4)),VALUE(MID(raw_data!B541,4,2)),VALUE(LEFT(raw_data!B541,2))),IF(MID(raw_data!B541,5,1)="-",DATE(VALUE(LEFT(raw_data!B541,4)),VALUE(MID(raw_data!B541,6,2)),VALUE(RIGHT(raw_data!B541,2))),DATE(VALUE(RIGHT(raw_data!B541,4)),MATCH(MID(raw_data!B541,4,3),{"Jan","Feb","Mar","Apr","May","Jun","Jul","Aug","Sep","Oct","Nov","Dec"},0),VALUE(LEFT(raw_data!B541,2)))))),"")</f>
        <v>45842</v>
      </c>
      <c r="C541" s="4" t="n">
        <f aca="false">IFERROR(IF(MID(raw_data!C541,3,1)="/",DATE(VALUE(RIGHT(raw_data!C541,4)),VALUE(LEFT(raw_data!C541,2)),VALUE(MID(raw_data!C541,4,2))),IF(MID(raw_data!C541,3,1)="-",DATE(VALUE(RIGHT(raw_data!C541,4)),VALUE(MID(raw_data!C541,4,2)),VALUE(LEFT(raw_data!C541,2))),IF(MID(raw_data!C541,5,1)="-",DATE(VALUE(LEFT(raw_data!C541,4)),VALUE(MID(raw_data!C541,6,2)),VALUE(RIGHT(raw_data!C541,2))),DATE(VALUE(RIGHT(raw_data!C541,4)),MATCH(MID(raw_data!C541,4,3),{"Jan","Feb","Mar","Apr","May","Jun","Jul","Aug","Sep","Oct","Nov","Dec"},0),VALUE(LEFT(raw_data!C541,2)))))),"")</f>
        <v>45842</v>
      </c>
      <c r="D541" s="3" t="str">
        <f aca="false">IF(TRIM(raw_data!B541)="","Missing",IF(B541="","Invalid/Unrecognized","Valid"))</f>
        <v>Valid</v>
      </c>
      <c r="E541" s="3" t="str">
        <f aca="false">IF(TRIM(raw_data!C541)="","Missing",IF(C541="","Invalid/Unrecognized","Valid"))</f>
        <v>Valid</v>
      </c>
      <c r="F541" s="5" t="n">
        <f aca="false">IF(OR(B541="",C541=""),"",C541-B541)</f>
        <v>0</v>
      </c>
      <c r="G541" s="3" t="str">
        <f aca="false">IF(F541="","N/A",IF(F541&lt;0,"Invalid - Ship Before Order","OK"))</f>
        <v>OK</v>
      </c>
      <c r="H541" s="3" t="str">
        <f aca="false">raw_data!D541</f>
        <v>CUST-3694</v>
      </c>
      <c r="I541" s="3" t="str">
        <f aca="false">PROPER(TRIM(raw_data!E541))</f>
        <v>Mira Das</v>
      </c>
      <c r="J541" s="3" t="str">
        <f aca="false">PROPER(TRIM(raw_data!F541))</f>
        <v>Small Business</v>
      </c>
      <c r="K541" s="3" t="str">
        <f aca="false">IF(TRIM(raw_data!G541)="","Unknown",PROPER(TRIM(raw_data!G541)))</f>
        <v>South</v>
      </c>
      <c r="L541" s="3" t="str">
        <f aca="false">IF(TRIM(raw_data!G541)="","Filled - Unknown","OK")</f>
        <v>OK</v>
      </c>
      <c r="M541" s="3" t="str">
        <f aca="false">PROPER(TRIM(raw_data!H541))</f>
        <v>Tamil Nadu</v>
      </c>
      <c r="N541" s="3" t="str">
        <f aca="false">PROPER(TRIM(raw_data!I541))</f>
        <v>Chennai</v>
      </c>
      <c r="O541" s="3" t="str">
        <f aca="false">PROPER(TRIM(raw_data!J541))</f>
        <v>Furniture</v>
      </c>
      <c r="P541" s="3" t="str">
        <f aca="false">PROPER(TRIM(raw_data!K541))</f>
        <v>Chairs</v>
      </c>
      <c r="Q541" s="3" t="str">
        <f aca="false">TRIM(raw_data!L541)</f>
        <v>Classic Chairs 666</v>
      </c>
      <c r="R541" s="3" t="str">
        <f aca="false">IF(TRIM(raw_data!M541)="","Unknown",PROPER(TRIM(raw_data!M541)))</f>
        <v>Standard Class</v>
      </c>
      <c r="S541" s="3" t="str">
        <f aca="false">IF(TRIM(raw_data!M541)="","Filled - Unknown","OK")</f>
        <v>OK</v>
      </c>
      <c r="T541" s="6" t="n">
        <f aca="false">raw_data!N541</f>
        <v>3</v>
      </c>
      <c r="U541" s="7" t="n">
        <f aca="false">raw_data!O541</f>
        <v>705.35</v>
      </c>
      <c r="V541" s="8" t="n">
        <f aca="false">raw_data!P541</f>
        <v>0.1</v>
      </c>
      <c r="W541" s="8" t="n">
        <f aca="false">IF(raw_data!P541="",0,IF(ISTEXT(raw_data!P541),IF(RIGHT(raw_data!P541,1)="%",VALUE(LEFT(raw_data!P541,LEN(raw_data!P541)-1))/100,VALUE(raw_data!P541)),raw_data!P541))</f>
        <v>0.1</v>
      </c>
      <c r="X541" s="3" t="str">
        <f aca="false">IF(raw_data!P541="","Missing - Defaulted to 0",IF(W541&lt;0,"Negative - Invalid",IF(W541&gt;0.3,"Above Allowed Range - Invalid","Valid")))</f>
        <v>Valid</v>
      </c>
      <c r="Y541" s="7" t="n">
        <f aca="false">raw_data!Q541</f>
        <v>1904.45</v>
      </c>
      <c r="Z541" s="7" t="n">
        <f aca="false">raw_data!R541</f>
        <v>1316.54</v>
      </c>
      <c r="AA541" s="7" t="n">
        <f aca="false">raw_data!S541</f>
        <v>587.91</v>
      </c>
      <c r="AB541" s="3" t="str">
        <f aca="false">PROPER(TRIM(raw_data!T541))</f>
        <v>Paid</v>
      </c>
      <c r="AC541" s="3" t="str">
        <f aca="false">PROPER(TRIM(raw_data!U541))</f>
        <v>Cancelled</v>
      </c>
      <c r="AD541" s="7" t="n">
        <f aca="false">T541*U541*(1-W541)</f>
        <v>1904.445</v>
      </c>
      <c r="AE541" s="7" t="n">
        <f aca="false">AD541-Z541</f>
        <v>587.905</v>
      </c>
      <c r="AF541" s="8" t="n">
        <f aca="false">IF(AD541=0,0,AE541/AD541)</f>
        <v>0.308701485209602</v>
      </c>
      <c r="AG541" s="3" t="str">
        <f aca="false">IF(ABS(Y541-AD541)&gt;1,"Mismatch","OK")</f>
        <v>OK</v>
      </c>
      <c r="AH541" s="3" t="str">
        <f aca="false">IF(ABS(AA541-AE541)&gt;1,"Mismatch","OK")</f>
        <v>OK</v>
      </c>
      <c r="AI541" s="6" t="n">
        <f aca="false">IF(B541="","",MONTH(B541))</f>
        <v>7</v>
      </c>
      <c r="AJ541" s="6" t="n">
        <f aca="false">IF(B541="","",YEAR(B541))</f>
        <v>2025</v>
      </c>
      <c r="AK541" s="3" t="str">
        <f aca="false">IF(COUNTIF(raw_data!$A$2:$A$913,A541)&gt;1,"Conflicting Duplicate - Flagged for Review","Unique")</f>
        <v>Unique</v>
      </c>
      <c r="AL541" s="3" t="str">
        <f aca="false">IF(AB541="Refunded","Yes","No")</f>
        <v>No</v>
      </c>
      <c r="AM541" s="3" t="str">
        <f aca="false">IF(OR(AC541&lt;&gt;"Completed",AB541="Failed"),"Excluded","Included")</f>
        <v>Excluded</v>
      </c>
      <c r="AN541" s="3" t="str">
        <f aca="false">IF(OR(D541="Invalid/Unrecognized",E541="Invalid/Unrecognized",G541="Invalid - Ship Before Order",X541="Negative - Invalid",X541="Above Allowed Range - Invalid",AG541="Mismatch",AH541="Mismatch",AK541="Conflicting Duplicate - Flagged for Review"),"Invalid",IF(OR(L541="Filled - Unknown",S541="Filled - Unknown",X541="Missing - Defaulted to 0",AL541="Yes",AC541="Cancelled",AC541="Returned"),"Warning","Clean"))</f>
        <v>Warning</v>
      </c>
    </row>
    <row r="542" customFormat="false" ht="15" hidden="false" customHeight="false" outlineLevel="0" collapsed="false">
      <c r="A542" s="3" t="str">
        <f aca="false">raw_data!A542</f>
        <v>ORD-2024-10541</v>
      </c>
      <c r="B542" s="4" t="n">
        <f aca="false">IFERROR(IF(MID(raw_data!B542,3,1)="/",DATE(VALUE(RIGHT(raw_data!B542,4)),VALUE(LEFT(raw_data!B542,2)),VALUE(MID(raw_data!B542,4,2))),IF(MID(raw_data!B542,3,1)="-",DATE(VALUE(RIGHT(raw_data!B542,4)),VALUE(MID(raw_data!B542,4,2)),VALUE(LEFT(raw_data!B542,2))),IF(MID(raw_data!B542,5,1)="-",DATE(VALUE(LEFT(raw_data!B542,4)),VALUE(MID(raw_data!B542,6,2)),VALUE(RIGHT(raw_data!B542,2))),DATE(VALUE(RIGHT(raw_data!B542,4)),MATCH(MID(raw_data!B542,4,3),{"Jan","Feb","Mar","Apr","May","Jun","Jul","Aug","Sep","Oct","Nov","Dec"},0),VALUE(LEFT(raw_data!B542,2)))))),"")</f>
        <v>45348</v>
      </c>
      <c r="C542" s="4" t="n">
        <f aca="false">IFERROR(IF(MID(raw_data!C542,3,1)="/",DATE(VALUE(RIGHT(raw_data!C542,4)),VALUE(LEFT(raw_data!C542,2)),VALUE(MID(raw_data!C542,4,2))),IF(MID(raw_data!C542,3,1)="-",DATE(VALUE(RIGHT(raw_data!C542,4)),VALUE(MID(raw_data!C542,4,2)),VALUE(LEFT(raw_data!C542,2))),IF(MID(raw_data!C542,5,1)="-",DATE(VALUE(LEFT(raw_data!C542,4)),VALUE(MID(raw_data!C542,6,2)),VALUE(RIGHT(raw_data!C542,2))),DATE(VALUE(RIGHT(raw_data!C542,4)),MATCH(MID(raw_data!C542,4,3),{"Jan","Feb","Mar","Apr","May","Jun","Jul","Aug","Sep","Oct","Nov","Dec"},0),VALUE(LEFT(raw_data!C542,2)))))),"")</f>
        <v>45345</v>
      </c>
      <c r="D542" s="3" t="str">
        <f aca="false">IF(TRIM(raw_data!B542)="","Missing",IF(B542="","Invalid/Unrecognized","Valid"))</f>
        <v>Valid</v>
      </c>
      <c r="E542" s="3" t="str">
        <f aca="false">IF(TRIM(raw_data!C542)="","Missing",IF(C542="","Invalid/Unrecognized","Valid"))</f>
        <v>Valid</v>
      </c>
      <c r="F542" s="5" t="n">
        <f aca="false">IF(OR(B542="",C542=""),"",C542-B542)</f>
        <v>-3</v>
      </c>
      <c r="G542" s="3" t="str">
        <f aca="false">IF(F542="","N/A",IF(F542&lt;0,"Invalid - Ship Before Order","OK"))</f>
        <v>Invalid - Ship Before Order</v>
      </c>
      <c r="H542" s="3" t="str">
        <f aca="false">raw_data!D542</f>
        <v>CUST-7563</v>
      </c>
      <c r="I542" s="3" t="str">
        <f aca="false">PROPER(TRIM(raw_data!E542))</f>
        <v>Kabir Singh</v>
      </c>
      <c r="J542" s="3" t="str">
        <f aca="false">PROPER(TRIM(raw_data!F542))</f>
        <v>Consumer</v>
      </c>
      <c r="K542" s="3" t="str">
        <f aca="false">IF(TRIM(raw_data!G542)="","Unknown",PROPER(TRIM(raw_data!G542)))</f>
        <v>West</v>
      </c>
      <c r="L542" s="3" t="str">
        <f aca="false">IF(TRIM(raw_data!G542)="","Filled - Unknown","OK")</f>
        <v>OK</v>
      </c>
      <c r="M542" s="3" t="str">
        <f aca="false">PROPER(TRIM(raw_data!H542))</f>
        <v>Gujarat</v>
      </c>
      <c r="N542" s="3" t="str">
        <f aca="false">PROPER(TRIM(raw_data!I542))</f>
        <v>Ahmedabad</v>
      </c>
      <c r="O542" s="3" t="str">
        <f aca="false">PROPER(TRIM(raw_data!J542))</f>
        <v>Furniture</v>
      </c>
      <c r="P542" s="3" t="str">
        <f aca="false">PROPER(TRIM(raw_data!K542))</f>
        <v>Furnishings</v>
      </c>
      <c r="Q542" s="3" t="str">
        <f aca="false">TRIM(raw_data!L542)</f>
        <v>Basic Furnishings 350</v>
      </c>
      <c r="R542" s="3" t="str">
        <f aca="false">IF(TRIM(raw_data!M542)="","Unknown",PROPER(TRIM(raw_data!M542)))</f>
        <v>Standard Class</v>
      </c>
      <c r="S542" s="3" t="str">
        <f aca="false">IF(TRIM(raw_data!M542)="","Filled - Unknown","OK")</f>
        <v>OK</v>
      </c>
      <c r="T542" s="6" t="n">
        <f aca="false">raw_data!N542</f>
        <v>7</v>
      </c>
      <c r="U542" s="7" t="n">
        <f aca="false">raw_data!O542</f>
        <v>3852.07</v>
      </c>
      <c r="V542" s="8" t="n">
        <f aca="false">raw_data!P542</f>
        <v>0.2</v>
      </c>
      <c r="W542" s="8" t="n">
        <f aca="false">IF(raw_data!P542="",0,IF(ISTEXT(raw_data!P542),IF(RIGHT(raw_data!P542,1)="%",VALUE(LEFT(raw_data!P542,LEN(raw_data!P542)-1))/100,VALUE(raw_data!P542)),raw_data!P542))</f>
        <v>0.2</v>
      </c>
      <c r="X542" s="3" t="str">
        <f aca="false">IF(raw_data!P542="","Missing - Defaulted to 0",IF(W542&lt;0,"Negative - Invalid",IF(W542&gt;0.3,"Above Allowed Range - Invalid","Valid")))</f>
        <v>Valid</v>
      </c>
      <c r="Y542" s="7" t="n">
        <f aca="false">raw_data!Q542</f>
        <v>21571.59</v>
      </c>
      <c r="Z542" s="7" t="n">
        <f aca="false">raw_data!R542</f>
        <v>17118.07</v>
      </c>
      <c r="AA542" s="7" t="n">
        <f aca="false">raw_data!S542</f>
        <v>4453.52</v>
      </c>
      <c r="AB542" s="3" t="str">
        <f aca="false">PROPER(TRIM(raw_data!T542))</f>
        <v>Paid</v>
      </c>
      <c r="AC542" s="3" t="str">
        <f aca="false">PROPER(TRIM(raw_data!U542))</f>
        <v>Completed</v>
      </c>
      <c r="AD542" s="7" t="n">
        <f aca="false">T542*U542*(1-W542)</f>
        <v>21571.592</v>
      </c>
      <c r="AE542" s="7" t="n">
        <f aca="false">AD542-Z542</f>
        <v>4453.522</v>
      </c>
      <c r="AF542" s="8" t="n">
        <f aca="false">IF(AD542=0,0,AE542/AD542)</f>
        <v>0.206453098130171</v>
      </c>
      <c r="AG542" s="3" t="str">
        <f aca="false">IF(ABS(Y542-AD542)&gt;1,"Mismatch","OK")</f>
        <v>OK</v>
      </c>
      <c r="AH542" s="3" t="str">
        <f aca="false">IF(ABS(AA542-AE542)&gt;1,"Mismatch","OK")</f>
        <v>OK</v>
      </c>
      <c r="AI542" s="6" t="n">
        <f aca="false">IF(B542="","",MONTH(B542))</f>
        <v>2</v>
      </c>
      <c r="AJ542" s="6" t="n">
        <f aca="false">IF(B542="","",YEAR(B542))</f>
        <v>2024</v>
      </c>
      <c r="AK542" s="3" t="str">
        <f aca="false">IF(COUNTIF(raw_data!$A$2:$A$913,A542)&gt;1,"Conflicting Duplicate - Flagged for Review","Unique")</f>
        <v>Unique</v>
      </c>
      <c r="AL542" s="3" t="str">
        <f aca="false">IF(AB542="Refunded","Yes","No")</f>
        <v>No</v>
      </c>
      <c r="AM542" s="3" t="str">
        <f aca="false">IF(OR(AC542&lt;&gt;"Completed",AB542="Failed"),"Excluded","Included")</f>
        <v>Included</v>
      </c>
      <c r="AN542" s="3" t="str">
        <f aca="false">IF(OR(D542="Invalid/Unrecognized",E542="Invalid/Unrecognized",G542="Invalid - Ship Before Order",X542="Negative - Invalid",X542="Above Allowed Range - Invalid",AG542="Mismatch",AH542="Mismatch",AK542="Conflicting Duplicate - Flagged for Review"),"Invalid",IF(OR(L542="Filled - Unknown",S542="Filled - Unknown",X542="Missing - Defaulted to 0",AL542="Yes",AC542="Cancelled",AC542="Returned"),"Warning","Clean"))</f>
        <v>Invalid</v>
      </c>
    </row>
    <row r="543" customFormat="false" ht="15" hidden="false" customHeight="false" outlineLevel="0" collapsed="false">
      <c r="A543" s="3" t="str">
        <f aca="false">raw_data!A543</f>
        <v>ORD-2025-10542</v>
      </c>
      <c r="B543" s="4" t="n">
        <f aca="false">IFERROR(IF(MID(raw_data!B543,3,1)="/",DATE(VALUE(RIGHT(raw_data!B543,4)),VALUE(LEFT(raw_data!B543,2)),VALUE(MID(raw_data!B543,4,2))),IF(MID(raw_data!B543,3,1)="-",DATE(VALUE(RIGHT(raw_data!B543,4)),VALUE(MID(raw_data!B543,4,2)),VALUE(LEFT(raw_data!B543,2))),IF(MID(raw_data!B543,5,1)="-",DATE(VALUE(LEFT(raw_data!B543,4)),VALUE(MID(raw_data!B543,6,2)),VALUE(RIGHT(raw_data!B543,2))),DATE(VALUE(RIGHT(raw_data!B543,4)),MATCH(MID(raw_data!B543,4,3),{"Jan","Feb","Mar","Apr","May","Jun","Jul","Aug","Sep","Oct","Nov","Dec"},0),VALUE(LEFT(raw_data!B543,2)))))),"")</f>
        <v>45846</v>
      </c>
      <c r="C543" s="4" t="n">
        <f aca="false">IFERROR(IF(MID(raw_data!C543,3,1)="/",DATE(VALUE(RIGHT(raw_data!C543,4)),VALUE(LEFT(raw_data!C543,2)),VALUE(MID(raw_data!C543,4,2))),IF(MID(raw_data!C543,3,1)="-",DATE(VALUE(RIGHT(raw_data!C543,4)),VALUE(MID(raw_data!C543,4,2)),VALUE(LEFT(raw_data!C543,2))),IF(MID(raw_data!C543,5,1)="-",DATE(VALUE(LEFT(raw_data!C543,4)),VALUE(MID(raw_data!C543,6,2)),VALUE(RIGHT(raw_data!C543,2))),DATE(VALUE(RIGHT(raw_data!C543,4)),MATCH(MID(raw_data!C543,4,3),{"Jan","Feb","Mar","Apr","May","Jun","Jul","Aug","Sep","Oct","Nov","Dec"},0),VALUE(LEFT(raw_data!C543,2)))))),"")</f>
        <v>45847</v>
      </c>
      <c r="D543" s="3" t="str">
        <f aca="false">IF(TRIM(raw_data!B543)="","Missing",IF(B543="","Invalid/Unrecognized","Valid"))</f>
        <v>Valid</v>
      </c>
      <c r="E543" s="3" t="str">
        <f aca="false">IF(TRIM(raw_data!C543)="","Missing",IF(C543="","Invalid/Unrecognized","Valid"))</f>
        <v>Valid</v>
      </c>
      <c r="F543" s="5" t="n">
        <f aca="false">IF(OR(B543="",C543=""),"",C543-B543)</f>
        <v>1</v>
      </c>
      <c r="G543" s="3" t="str">
        <f aca="false">IF(F543="","N/A",IF(F543&lt;0,"Invalid - Ship Before Order","OK"))</f>
        <v>OK</v>
      </c>
      <c r="H543" s="3" t="str">
        <f aca="false">raw_data!D543</f>
        <v>CUST-4188</v>
      </c>
      <c r="I543" s="3" t="str">
        <f aca="false">PROPER(TRIM(raw_data!E543))</f>
        <v>Sneha Kapoor</v>
      </c>
      <c r="J543" s="3" t="str">
        <f aca="false">PROPER(TRIM(raw_data!F543))</f>
        <v>Consumer</v>
      </c>
      <c r="K543" s="3" t="str">
        <f aca="false">IF(TRIM(raw_data!G543)="","Unknown",PROPER(TRIM(raw_data!G543)))</f>
        <v>West</v>
      </c>
      <c r="L543" s="3" t="str">
        <f aca="false">IF(TRIM(raw_data!G543)="","Filled - Unknown","OK")</f>
        <v>OK</v>
      </c>
      <c r="M543" s="3" t="str">
        <f aca="false">PROPER(TRIM(raw_data!H543))</f>
        <v>Maharashtra</v>
      </c>
      <c r="N543" s="3" t="str">
        <f aca="false">PROPER(TRIM(raw_data!I543))</f>
        <v>Mumbai</v>
      </c>
      <c r="O543" s="3" t="str">
        <f aca="false">PROPER(TRIM(raw_data!J543))</f>
        <v>Technology</v>
      </c>
      <c r="P543" s="3" t="str">
        <f aca="false">PROPER(TRIM(raw_data!K543))</f>
        <v>Copiers</v>
      </c>
      <c r="Q543" s="3" t="str">
        <f aca="false">TRIM(raw_data!L543)</f>
        <v>Elite Copiers 831</v>
      </c>
      <c r="R543" s="3" t="str">
        <f aca="false">IF(TRIM(raw_data!M543)="","Unknown",PROPER(TRIM(raw_data!M543)))</f>
        <v>Same Day</v>
      </c>
      <c r="S543" s="3" t="str">
        <f aca="false">IF(TRIM(raw_data!M543)="","Filled - Unknown","OK")</f>
        <v>OK</v>
      </c>
      <c r="T543" s="6" t="n">
        <f aca="false">raw_data!N543</f>
        <v>3</v>
      </c>
      <c r="U543" s="7" t="n">
        <f aca="false">raw_data!O543</f>
        <v>2880.56</v>
      </c>
      <c r="V543" s="8" t="n">
        <f aca="false">raw_data!P543</f>
        <v>0</v>
      </c>
      <c r="W543" s="8" t="n">
        <f aca="false">IF(raw_data!P543="",0,IF(ISTEXT(raw_data!P543),IF(RIGHT(raw_data!P543,1)="%",VALUE(LEFT(raw_data!P543,LEN(raw_data!P543)-1))/100,VALUE(raw_data!P543)),raw_data!P543))</f>
        <v>0</v>
      </c>
      <c r="X543" s="3" t="str">
        <f aca="false">IF(raw_data!P543="","Missing - Defaulted to 0",IF(W543&lt;0,"Negative - Invalid",IF(W543&gt;0.3,"Above Allowed Range - Invalid","Valid")))</f>
        <v>Valid</v>
      </c>
      <c r="Y543" s="7" t="n">
        <f aca="false">raw_data!Q543</f>
        <v>8641.68</v>
      </c>
      <c r="Z543" s="7" t="n">
        <f aca="false">raw_data!R543</f>
        <v>5747.09</v>
      </c>
      <c r="AA543" s="7" t="n">
        <f aca="false">raw_data!S543</f>
        <v>2894.59</v>
      </c>
      <c r="AB543" s="3" t="str">
        <f aca="false">PROPER(TRIM(raw_data!T543))</f>
        <v>Paid</v>
      </c>
      <c r="AC543" s="3" t="str">
        <f aca="false">PROPER(TRIM(raw_data!U543))</f>
        <v>Returned</v>
      </c>
      <c r="AD543" s="7" t="n">
        <f aca="false">T543*U543*(1-W543)</f>
        <v>8641.68</v>
      </c>
      <c r="AE543" s="7" t="n">
        <f aca="false">AD543-Z543</f>
        <v>2894.59</v>
      </c>
      <c r="AF543" s="8" t="n">
        <f aca="false">IF(AD543=0,0,AE543/AD543)</f>
        <v>0.334956860240139</v>
      </c>
      <c r="AG543" s="3" t="str">
        <f aca="false">IF(ABS(Y543-AD543)&gt;1,"Mismatch","OK")</f>
        <v>OK</v>
      </c>
      <c r="AH543" s="3" t="str">
        <f aca="false">IF(ABS(AA543-AE543)&gt;1,"Mismatch","OK")</f>
        <v>OK</v>
      </c>
      <c r="AI543" s="6" t="n">
        <f aca="false">IF(B543="","",MONTH(B543))</f>
        <v>7</v>
      </c>
      <c r="AJ543" s="6" t="n">
        <f aca="false">IF(B543="","",YEAR(B543))</f>
        <v>2025</v>
      </c>
      <c r="AK543" s="3" t="str">
        <f aca="false">IF(COUNTIF(raw_data!$A$2:$A$913,A543)&gt;1,"Conflicting Duplicate - Flagged for Review","Unique")</f>
        <v>Unique</v>
      </c>
      <c r="AL543" s="3" t="str">
        <f aca="false">IF(AB543="Refunded","Yes","No")</f>
        <v>No</v>
      </c>
      <c r="AM543" s="3" t="str">
        <f aca="false">IF(OR(AC543&lt;&gt;"Completed",AB543="Failed"),"Excluded","Included")</f>
        <v>Excluded</v>
      </c>
      <c r="AN543" s="3" t="str">
        <f aca="false">IF(OR(D543="Invalid/Unrecognized",E543="Invalid/Unrecognized",G543="Invalid - Ship Before Order",X543="Negative - Invalid",X543="Above Allowed Range - Invalid",AG543="Mismatch",AH543="Mismatch",AK543="Conflicting Duplicate - Flagged for Review"),"Invalid",IF(OR(L543="Filled - Unknown",S543="Filled - Unknown",X543="Missing - Defaulted to 0",AL543="Yes",AC543="Cancelled",AC543="Returned"),"Warning","Clean"))</f>
        <v>Warning</v>
      </c>
    </row>
    <row r="544" customFormat="false" ht="15" hidden="false" customHeight="false" outlineLevel="0" collapsed="false">
      <c r="A544" s="3" t="str">
        <f aca="false">raw_data!A544</f>
        <v>ORD-2024-10543</v>
      </c>
      <c r="B544" s="4" t="n">
        <f aca="false">IFERROR(IF(MID(raw_data!B544,3,1)="/",DATE(VALUE(RIGHT(raw_data!B544,4)),VALUE(LEFT(raw_data!B544,2)),VALUE(MID(raw_data!B544,4,2))),IF(MID(raw_data!B544,3,1)="-",DATE(VALUE(RIGHT(raw_data!B544,4)),VALUE(MID(raw_data!B544,4,2)),VALUE(LEFT(raw_data!B544,2))),IF(MID(raw_data!B544,5,1)="-",DATE(VALUE(LEFT(raw_data!B544,4)),VALUE(MID(raw_data!B544,6,2)),VALUE(RIGHT(raw_data!B544,2))),DATE(VALUE(RIGHT(raw_data!B544,4)),MATCH(MID(raw_data!B544,4,3),{"Jan","Feb","Mar","Apr","May","Jun","Jul","Aug","Sep","Oct","Nov","Dec"},0),VALUE(LEFT(raw_data!B544,2)))))),"")</f>
        <v>45552</v>
      </c>
      <c r="C544" s="4" t="n">
        <f aca="false">IFERROR(IF(MID(raw_data!C544,3,1)="/",DATE(VALUE(RIGHT(raw_data!C544,4)),VALUE(LEFT(raw_data!C544,2)),VALUE(MID(raw_data!C544,4,2))),IF(MID(raw_data!C544,3,1)="-",DATE(VALUE(RIGHT(raw_data!C544,4)),VALUE(MID(raw_data!C544,4,2)),VALUE(LEFT(raw_data!C544,2))),IF(MID(raw_data!C544,5,1)="-",DATE(VALUE(LEFT(raw_data!C544,4)),VALUE(MID(raw_data!C544,6,2)),VALUE(RIGHT(raw_data!C544,2))),DATE(VALUE(RIGHT(raw_data!C544,4)),MATCH(MID(raw_data!C544,4,3),{"Jan","Feb","Mar","Apr","May","Jun","Jul","Aug","Sep","Oct","Nov","Dec"},0),VALUE(LEFT(raw_data!C544,2)))))),"")</f>
        <v>45558</v>
      </c>
      <c r="D544" s="3" t="str">
        <f aca="false">IF(TRIM(raw_data!B544)="","Missing",IF(B544="","Invalid/Unrecognized","Valid"))</f>
        <v>Valid</v>
      </c>
      <c r="E544" s="3" t="str">
        <f aca="false">IF(TRIM(raw_data!C544)="","Missing",IF(C544="","Invalid/Unrecognized","Valid"))</f>
        <v>Valid</v>
      </c>
      <c r="F544" s="5" t="n">
        <f aca="false">IF(OR(B544="",C544=""),"",C544-B544)</f>
        <v>6</v>
      </c>
      <c r="G544" s="3" t="str">
        <f aca="false">IF(F544="","N/A",IF(F544&lt;0,"Invalid - Ship Before Order","OK"))</f>
        <v>OK</v>
      </c>
      <c r="H544" s="3" t="str">
        <f aca="false">raw_data!D544</f>
        <v>CUST-9376</v>
      </c>
      <c r="I544" s="3" t="str">
        <f aca="false">PROPER(TRIM(raw_data!E544))</f>
        <v>Rahul Verma</v>
      </c>
      <c r="J544" s="3" t="str">
        <f aca="false">PROPER(TRIM(raw_data!F544))</f>
        <v>Home Office</v>
      </c>
      <c r="K544" s="3" t="str">
        <f aca="false">IF(TRIM(raw_data!G544)="","Unknown",PROPER(TRIM(raw_data!G544)))</f>
        <v>South</v>
      </c>
      <c r="L544" s="3" t="str">
        <f aca="false">IF(TRIM(raw_data!G544)="","Filled - Unknown","OK")</f>
        <v>OK</v>
      </c>
      <c r="M544" s="3" t="str">
        <f aca="false">PROPER(TRIM(raw_data!H544))</f>
        <v>Kerala</v>
      </c>
      <c r="N544" s="3" t="str">
        <f aca="false">PROPER(TRIM(raw_data!I544))</f>
        <v>Kochi</v>
      </c>
      <c r="O544" s="3" t="str">
        <f aca="false">PROPER(TRIM(raw_data!J544))</f>
        <v>Furniture</v>
      </c>
      <c r="P544" s="3" t="str">
        <f aca="false">PROPER(TRIM(raw_data!K544))</f>
        <v>Bookcases</v>
      </c>
      <c r="Q544" s="3" t="str">
        <f aca="false">TRIM(raw_data!L544)</f>
        <v>Eco Bookcases 759</v>
      </c>
      <c r="R544" s="3" t="str">
        <f aca="false">IF(TRIM(raw_data!M544)="","Unknown",PROPER(TRIM(raw_data!M544)))</f>
        <v>Second Class</v>
      </c>
      <c r="S544" s="3" t="str">
        <f aca="false">IF(TRIM(raw_data!M544)="","Filled - Unknown","OK")</f>
        <v>OK</v>
      </c>
      <c r="T544" s="6" t="n">
        <f aca="false">raw_data!N544</f>
        <v>3</v>
      </c>
      <c r="U544" s="7" t="n">
        <f aca="false">raw_data!O544</f>
        <v>4067.62</v>
      </c>
      <c r="V544" s="8" t="n">
        <f aca="false">raw_data!P544</f>
        <v>0.2</v>
      </c>
      <c r="W544" s="8" t="n">
        <f aca="false">IF(raw_data!P544="",0,IF(ISTEXT(raw_data!P544),IF(RIGHT(raw_data!P544,1)="%",VALUE(LEFT(raw_data!P544,LEN(raw_data!P544)-1))/100,VALUE(raw_data!P544)),raw_data!P544))</f>
        <v>0.2</v>
      </c>
      <c r="X544" s="3" t="str">
        <f aca="false">IF(raw_data!P544="","Missing - Defaulted to 0",IF(W544&lt;0,"Negative - Invalid",IF(W544&gt;0.3,"Above Allowed Range - Invalid","Valid")))</f>
        <v>Valid</v>
      </c>
      <c r="Y544" s="7" t="n">
        <f aca="false">raw_data!Q544</f>
        <v>9988.53</v>
      </c>
      <c r="Z544" s="7" t="n">
        <f aca="false">raw_data!R544</f>
        <v>8368.24</v>
      </c>
      <c r="AA544" s="7" t="n">
        <f aca="false">raw_data!S544</f>
        <v>1394.05</v>
      </c>
      <c r="AB544" s="3" t="str">
        <f aca="false">PROPER(TRIM(raw_data!T544))</f>
        <v>Paid</v>
      </c>
      <c r="AC544" s="3" t="str">
        <f aca="false">PROPER(TRIM(raw_data!U544))</f>
        <v>Cancelled</v>
      </c>
      <c r="AD544" s="7" t="n">
        <f aca="false">T544*U544*(1-W544)</f>
        <v>9762.288</v>
      </c>
      <c r="AE544" s="7" t="n">
        <f aca="false">AD544-Z544</f>
        <v>1394.048</v>
      </c>
      <c r="AF544" s="8" t="n">
        <f aca="false">IF(AD544=0,0,AE544/AD544)</f>
        <v>0.142799310981196</v>
      </c>
      <c r="AG544" s="3" t="str">
        <f aca="false">IF(ABS(Y544-AD544)&gt;1,"Mismatch","OK")</f>
        <v>Mismatch</v>
      </c>
      <c r="AH544" s="3" t="str">
        <f aca="false">IF(ABS(AA544-AE544)&gt;1,"Mismatch","OK")</f>
        <v>OK</v>
      </c>
      <c r="AI544" s="6" t="n">
        <f aca="false">IF(B544="","",MONTH(B544))</f>
        <v>9</v>
      </c>
      <c r="AJ544" s="6" t="n">
        <f aca="false">IF(B544="","",YEAR(B544))</f>
        <v>2024</v>
      </c>
      <c r="AK544" s="3" t="str">
        <f aca="false">IF(COUNTIF(raw_data!$A$2:$A$913,A544)&gt;1,"Conflicting Duplicate - Flagged for Review","Unique")</f>
        <v>Unique</v>
      </c>
      <c r="AL544" s="3" t="str">
        <f aca="false">IF(AB544="Refunded","Yes","No")</f>
        <v>No</v>
      </c>
      <c r="AM544" s="3" t="str">
        <f aca="false">IF(OR(AC544&lt;&gt;"Completed",AB544="Failed"),"Excluded","Included")</f>
        <v>Excluded</v>
      </c>
      <c r="AN544" s="3" t="str">
        <f aca="false">IF(OR(D544="Invalid/Unrecognized",E544="Invalid/Unrecognized",G544="Invalid - Ship Before Order",X544="Negative - Invalid",X544="Above Allowed Range - Invalid",AG544="Mismatch",AH544="Mismatch",AK544="Conflicting Duplicate - Flagged for Review"),"Invalid",IF(OR(L544="Filled - Unknown",S544="Filled - Unknown",X544="Missing - Defaulted to 0",AL544="Yes",AC544="Cancelled",AC544="Returned"),"Warning","Clean"))</f>
        <v>Invalid</v>
      </c>
    </row>
    <row r="545" customFormat="false" ht="15" hidden="false" customHeight="false" outlineLevel="0" collapsed="false">
      <c r="A545" s="3" t="str">
        <f aca="false">raw_data!A545</f>
        <v>ORD-2024-10544</v>
      </c>
      <c r="B545" s="4" t="n">
        <f aca="false">IFERROR(IF(MID(raw_data!B545,3,1)="/",DATE(VALUE(RIGHT(raw_data!B545,4)),VALUE(LEFT(raw_data!B545,2)),VALUE(MID(raw_data!B545,4,2))),IF(MID(raw_data!B545,3,1)="-",DATE(VALUE(RIGHT(raw_data!B545,4)),VALUE(MID(raw_data!B545,4,2)),VALUE(LEFT(raw_data!B545,2))),IF(MID(raw_data!B545,5,1)="-",DATE(VALUE(LEFT(raw_data!B545,4)),VALUE(MID(raw_data!B545,6,2)),VALUE(RIGHT(raw_data!B545,2))),DATE(VALUE(RIGHT(raw_data!B545,4)),MATCH(MID(raw_data!B545,4,3),{"Jan","Feb","Mar","Apr","May","Jun","Jul","Aug","Sep","Oct","Nov","Dec"},0),VALUE(LEFT(raw_data!B545,2)))))),"")</f>
        <v>45487</v>
      </c>
      <c r="C545" s="4" t="n">
        <f aca="false">IFERROR(IF(MID(raw_data!C545,3,1)="/",DATE(VALUE(RIGHT(raw_data!C545,4)),VALUE(LEFT(raw_data!C545,2)),VALUE(MID(raw_data!C545,4,2))),IF(MID(raw_data!C545,3,1)="-",DATE(VALUE(RIGHT(raw_data!C545,4)),VALUE(MID(raw_data!C545,4,2)),VALUE(LEFT(raw_data!C545,2))),IF(MID(raw_data!C545,5,1)="-",DATE(VALUE(LEFT(raw_data!C545,4)),VALUE(MID(raw_data!C545,6,2)),VALUE(RIGHT(raw_data!C545,2))),DATE(VALUE(RIGHT(raw_data!C545,4)),MATCH(MID(raw_data!C545,4,3),{"Jan","Feb","Mar","Apr","May","Jun","Jul","Aug","Sep","Oct","Nov","Dec"},0),VALUE(LEFT(raw_data!C545,2)))))),"")</f>
        <v>45493</v>
      </c>
      <c r="D545" s="3" t="str">
        <f aca="false">IF(TRIM(raw_data!B545)="","Missing",IF(B545="","Invalid/Unrecognized","Valid"))</f>
        <v>Valid</v>
      </c>
      <c r="E545" s="3" t="str">
        <f aca="false">IF(TRIM(raw_data!C545)="","Missing",IF(C545="","Invalid/Unrecognized","Valid"))</f>
        <v>Valid</v>
      </c>
      <c r="F545" s="5" t="n">
        <f aca="false">IF(OR(B545="",C545=""),"",C545-B545)</f>
        <v>6</v>
      </c>
      <c r="G545" s="3" t="str">
        <f aca="false">IF(F545="","N/A",IF(F545&lt;0,"Invalid - Ship Before Order","OK"))</f>
        <v>OK</v>
      </c>
      <c r="H545" s="3" t="str">
        <f aca="false">raw_data!D545</f>
        <v>CUST-9094</v>
      </c>
      <c r="I545" s="3" t="str">
        <f aca="false">PROPER(TRIM(raw_data!E545))</f>
        <v>Mira Das</v>
      </c>
      <c r="J545" s="3" t="str">
        <f aca="false">PROPER(TRIM(raw_data!F545))</f>
        <v>Consumer</v>
      </c>
      <c r="K545" s="3" t="str">
        <f aca="false">IF(TRIM(raw_data!G545)="","Unknown",PROPER(TRIM(raw_data!G545)))</f>
        <v>East</v>
      </c>
      <c r="L545" s="3" t="str">
        <f aca="false">IF(TRIM(raw_data!G545)="","Filled - Unknown","OK")</f>
        <v>OK</v>
      </c>
      <c r="M545" s="3" t="str">
        <f aca="false">PROPER(TRIM(raw_data!H545))</f>
        <v>Bihar</v>
      </c>
      <c r="N545" s="3" t="str">
        <f aca="false">PROPER(TRIM(raw_data!I545))</f>
        <v>Patna</v>
      </c>
      <c r="O545" s="3" t="str">
        <f aca="false">PROPER(TRIM(raw_data!J545))</f>
        <v>Technology</v>
      </c>
      <c r="P545" s="3" t="str">
        <f aca="false">PROPER(TRIM(raw_data!K545))</f>
        <v>Copiers</v>
      </c>
      <c r="Q545" s="3" t="str">
        <f aca="false">TRIM(raw_data!L545)</f>
        <v>Max Copiers 440</v>
      </c>
      <c r="R545" s="3" t="str">
        <f aca="false">IF(TRIM(raw_data!M545)="","Unknown",PROPER(TRIM(raw_data!M545)))</f>
        <v>Same Day</v>
      </c>
      <c r="S545" s="3" t="str">
        <f aca="false">IF(TRIM(raw_data!M545)="","Filled - Unknown","OK")</f>
        <v>OK</v>
      </c>
      <c r="T545" s="6" t="n">
        <f aca="false">raw_data!N545</f>
        <v>1</v>
      </c>
      <c r="U545" s="7" t="n">
        <f aca="false">raw_data!O545</f>
        <v>492.67</v>
      </c>
      <c r="V545" s="8" t="n">
        <f aca="false">raw_data!P545</f>
        <v>0.15</v>
      </c>
      <c r="W545" s="8" t="n">
        <f aca="false">IF(raw_data!P545="",0,IF(ISTEXT(raw_data!P545),IF(RIGHT(raw_data!P545,1)="%",VALUE(LEFT(raw_data!P545,LEN(raw_data!P545)-1))/100,VALUE(raw_data!P545)),raw_data!P545))</f>
        <v>0.15</v>
      </c>
      <c r="X545" s="3" t="str">
        <f aca="false">IF(raw_data!P545="","Missing - Defaulted to 0",IF(W545&lt;0,"Negative - Invalid",IF(W545&gt;0.3,"Above Allowed Range - Invalid","Valid")))</f>
        <v>Valid</v>
      </c>
      <c r="Y545" s="7" t="n">
        <f aca="false">raw_data!Q545</f>
        <v>418.77</v>
      </c>
      <c r="Z545" s="7" t="n">
        <f aca="false">raw_data!R545</f>
        <v>313.72</v>
      </c>
      <c r="AA545" s="7" t="n">
        <f aca="false">raw_data!S545</f>
        <v>105.05</v>
      </c>
      <c r="AB545" s="3" t="str">
        <f aca="false">PROPER(TRIM(raw_data!T545))</f>
        <v>Paid</v>
      </c>
      <c r="AC545" s="3" t="str">
        <f aca="false">PROPER(TRIM(raw_data!U545))</f>
        <v>Completed</v>
      </c>
      <c r="AD545" s="7" t="n">
        <f aca="false">T545*U545*(1-W545)</f>
        <v>418.7695</v>
      </c>
      <c r="AE545" s="7" t="n">
        <f aca="false">AD545-Z545</f>
        <v>105.0495</v>
      </c>
      <c r="AF545" s="8" t="n">
        <f aca="false">IF(AD545=0,0,AE545/AD545)</f>
        <v>0.250852796108599</v>
      </c>
      <c r="AG545" s="3" t="str">
        <f aca="false">IF(ABS(Y545-AD545)&gt;1,"Mismatch","OK")</f>
        <v>OK</v>
      </c>
      <c r="AH545" s="3" t="str">
        <f aca="false">IF(ABS(AA545-AE545)&gt;1,"Mismatch","OK")</f>
        <v>OK</v>
      </c>
      <c r="AI545" s="6" t="n">
        <f aca="false">IF(B545="","",MONTH(B545))</f>
        <v>7</v>
      </c>
      <c r="AJ545" s="6" t="n">
        <f aca="false">IF(B545="","",YEAR(B545))</f>
        <v>2024</v>
      </c>
      <c r="AK545" s="3" t="str">
        <f aca="false">IF(COUNTIF(raw_data!$A$2:$A$913,A545)&gt;1,"Conflicting Duplicate - Flagged for Review","Unique")</f>
        <v>Unique</v>
      </c>
      <c r="AL545" s="3" t="str">
        <f aca="false">IF(AB545="Refunded","Yes","No")</f>
        <v>No</v>
      </c>
      <c r="AM545" s="3" t="str">
        <f aca="false">IF(OR(AC545&lt;&gt;"Completed",AB545="Failed"),"Excluded","Included")</f>
        <v>Included</v>
      </c>
      <c r="AN545" s="3" t="str">
        <f aca="false">IF(OR(D545="Invalid/Unrecognized",E545="Invalid/Unrecognized",G545="Invalid - Ship Before Order",X545="Negative - Invalid",X545="Above Allowed Range - Invalid",AG545="Mismatch",AH545="Mismatch",AK545="Conflicting Duplicate - Flagged for Review"),"Invalid",IF(OR(L545="Filled - Unknown",S545="Filled - Unknown",X545="Missing - Defaulted to 0",AL545="Yes",AC545="Cancelled",AC545="Returned"),"Warning","Clean"))</f>
        <v>Clean</v>
      </c>
    </row>
    <row r="546" customFormat="false" ht="15" hidden="false" customHeight="false" outlineLevel="0" collapsed="false">
      <c r="A546" s="3" t="str">
        <f aca="false">raw_data!A546</f>
        <v>ORD-2025-10545</v>
      </c>
      <c r="B546" s="4" t="n">
        <f aca="false">IFERROR(IF(MID(raw_data!B546,3,1)="/",DATE(VALUE(RIGHT(raw_data!B546,4)),VALUE(LEFT(raw_data!B546,2)),VALUE(MID(raw_data!B546,4,2))),IF(MID(raw_data!B546,3,1)="-",DATE(VALUE(RIGHT(raw_data!B546,4)),VALUE(MID(raw_data!B546,4,2)),VALUE(LEFT(raw_data!B546,2))),IF(MID(raw_data!B546,5,1)="-",DATE(VALUE(LEFT(raw_data!B546,4)),VALUE(MID(raw_data!B546,6,2)),VALUE(RIGHT(raw_data!B546,2))),DATE(VALUE(RIGHT(raw_data!B546,4)),MATCH(MID(raw_data!B546,4,3),{"Jan","Feb","Mar","Apr","May","Jun","Jul","Aug","Sep","Oct","Nov","Dec"},0),VALUE(LEFT(raw_data!B546,2)))))),"")</f>
        <v>45686</v>
      </c>
      <c r="C546" s="4" t="n">
        <f aca="false">IFERROR(IF(MID(raw_data!C546,3,1)="/",DATE(VALUE(RIGHT(raw_data!C546,4)),VALUE(LEFT(raw_data!C546,2)),VALUE(MID(raw_data!C546,4,2))),IF(MID(raw_data!C546,3,1)="-",DATE(VALUE(RIGHT(raw_data!C546,4)),VALUE(MID(raw_data!C546,4,2)),VALUE(LEFT(raw_data!C546,2))),IF(MID(raw_data!C546,5,1)="-",DATE(VALUE(LEFT(raw_data!C546,4)),VALUE(MID(raw_data!C546,6,2)),VALUE(RIGHT(raw_data!C546,2))),DATE(VALUE(RIGHT(raw_data!C546,4)),MATCH(MID(raw_data!C546,4,3),{"Jan","Feb","Mar","Apr","May","Jun","Jul","Aug","Sep","Oct","Nov","Dec"},0),VALUE(LEFT(raw_data!C546,2)))))),"")</f>
        <v>45693</v>
      </c>
      <c r="D546" s="3" t="str">
        <f aca="false">IF(TRIM(raw_data!B546)="","Missing",IF(B546="","Invalid/Unrecognized","Valid"))</f>
        <v>Valid</v>
      </c>
      <c r="E546" s="3" t="str">
        <f aca="false">IF(TRIM(raw_data!C546)="","Missing",IF(C546="","Invalid/Unrecognized","Valid"))</f>
        <v>Valid</v>
      </c>
      <c r="F546" s="5" t="n">
        <f aca="false">IF(OR(B546="",C546=""),"",C546-B546)</f>
        <v>7</v>
      </c>
      <c r="G546" s="3" t="str">
        <f aca="false">IF(F546="","N/A",IF(F546&lt;0,"Invalid - Ship Before Order","OK"))</f>
        <v>OK</v>
      </c>
      <c r="H546" s="3" t="str">
        <f aca="false">raw_data!D546</f>
        <v>CUST-2366</v>
      </c>
      <c r="I546" s="3" t="str">
        <f aca="false">PROPER(TRIM(raw_data!E546))</f>
        <v>Ananya Rao</v>
      </c>
      <c r="J546" s="3" t="str">
        <f aca="false">PROPER(TRIM(raw_data!F546))</f>
        <v>Consumer</v>
      </c>
      <c r="K546" s="3" t="str">
        <f aca="false">IF(TRIM(raw_data!G546)="","Unknown",PROPER(TRIM(raw_data!G546)))</f>
        <v>South</v>
      </c>
      <c r="L546" s="3" t="str">
        <f aca="false">IF(TRIM(raw_data!G546)="","Filled - Unknown","OK")</f>
        <v>OK</v>
      </c>
      <c r="M546" s="3" t="str">
        <f aca="false">PROPER(TRIM(raw_data!H546))</f>
        <v>Kerala</v>
      </c>
      <c r="N546" s="3" t="str">
        <f aca="false">PROPER(TRIM(raw_data!I546))</f>
        <v>Kochi</v>
      </c>
      <c r="O546" s="3" t="str">
        <f aca="false">PROPER(TRIM(raw_data!J546))</f>
        <v>Office Supplies</v>
      </c>
      <c r="P546" s="3" t="str">
        <f aca="false">PROPER(TRIM(raw_data!K546))</f>
        <v>Art</v>
      </c>
      <c r="Q546" s="3" t="str">
        <f aca="false">TRIM(raw_data!L546)</f>
        <v>Smart Art 201</v>
      </c>
      <c r="R546" s="3" t="str">
        <f aca="false">IF(TRIM(raw_data!M546)="","Unknown",PROPER(TRIM(raw_data!M546)))</f>
        <v>Same Day</v>
      </c>
      <c r="S546" s="3" t="str">
        <f aca="false">IF(TRIM(raw_data!M546)="","Filled - Unknown","OK")</f>
        <v>OK</v>
      </c>
      <c r="T546" s="6" t="n">
        <f aca="false">raw_data!N546</f>
        <v>8</v>
      </c>
      <c r="U546" s="7" t="n">
        <f aca="false">raw_data!O546</f>
        <v>3643.62</v>
      </c>
      <c r="V546" s="8" t="n">
        <f aca="false">raw_data!P546</f>
        <v>0.25</v>
      </c>
      <c r="W546" s="8" t="n">
        <f aca="false">IF(raw_data!P546="",0,IF(ISTEXT(raw_data!P546),IF(RIGHT(raw_data!P546,1)="%",VALUE(LEFT(raw_data!P546,LEN(raw_data!P546)-1))/100,VALUE(raw_data!P546)),raw_data!P546))</f>
        <v>0.25</v>
      </c>
      <c r="X546" s="3" t="str">
        <f aca="false">IF(raw_data!P546="","Missing - Defaulted to 0",IF(W546&lt;0,"Negative - Invalid",IF(W546&gt;0.3,"Above Allowed Range - Invalid","Valid")))</f>
        <v>Valid</v>
      </c>
      <c r="Y546" s="7" t="n">
        <f aca="false">raw_data!Q546</f>
        <v>21861.72</v>
      </c>
      <c r="Z546" s="7" t="n">
        <f aca="false">raw_data!R546</f>
        <v>18464.34</v>
      </c>
      <c r="AA546" s="7" t="n">
        <f aca="false">raw_data!S546</f>
        <v>3397.38</v>
      </c>
      <c r="AB546" s="3" t="str">
        <f aca="false">PROPER(TRIM(raw_data!T546))</f>
        <v>Paid</v>
      </c>
      <c r="AC546" s="3" t="str">
        <f aca="false">PROPER(TRIM(raw_data!U546))</f>
        <v>Cancelled</v>
      </c>
      <c r="AD546" s="7" t="n">
        <f aca="false">T546*U546*(1-W546)</f>
        <v>21861.72</v>
      </c>
      <c r="AE546" s="7" t="n">
        <f aca="false">AD546-Z546</f>
        <v>3397.38</v>
      </c>
      <c r="AF546" s="8" t="n">
        <f aca="false">IF(AD546=0,0,AE546/AD546)</f>
        <v>0.155403143028088</v>
      </c>
      <c r="AG546" s="3" t="str">
        <f aca="false">IF(ABS(Y546-AD546)&gt;1,"Mismatch","OK")</f>
        <v>OK</v>
      </c>
      <c r="AH546" s="3" t="str">
        <f aca="false">IF(ABS(AA546-AE546)&gt;1,"Mismatch","OK")</f>
        <v>OK</v>
      </c>
      <c r="AI546" s="6" t="n">
        <f aca="false">IF(B546="","",MONTH(B546))</f>
        <v>1</v>
      </c>
      <c r="AJ546" s="6" t="n">
        <f aca="false">IF(B546="","",YEAR(B546))</f>
        <v>2025</v>
      </c>
      <c r="AK546" s="3" t="str">
        <f aca="false">IF(COUNTIF(raw_data!$A$2:$A$913,A546)&gt;1,"Conflicting Duplicate - Flagged for Review","Unique")</f>
        <v>Unique</v>
      </c>
      <c r="AL546" s="3" t="str">
        <f aca="false">IF(AB546="Refunded","Yes","No")</f>
        <v>No</v>
      </c>
      <c r="AM546" s="3" t="str">
        <f aca="false">IF(OR(AC546&lt;&gt;"Completed",AB546="Failed"),"Excluded","Included")</f>
        <v>Excluded</v>
      </c>
      <c r="AN546" s="3" t="str">
        <f aca="false">IF(OR(D546="Invalid/Unrecognized",E546="Invalid/Unrecognized",G546="Invalid - Ship Before Order",X546="Negative - Invalid",X546="Above Allowed Range - Invalid",AG546="Mismatch",AH546="Mismatch",AK546="Conflicting Duplicate - Flagged for Review"),"Invalid",IF(OR(L546="Filled - Unknown",S546="Filled - Unknown",X546="Missing - Defaulted to 0",AL546="Yes",AC546="Cancelled",AC546="Returned"),"Warning","Clean"))</f>
        <v>Warning</v>
      </c>
    </row>
    <row r="547" customFormat="false" ht="15" hidden="false" customHeight="false" outlineLevel="0" collapsed="false">
      <c r="A547" s="3" t="str">
        <f aca="false">raw_data!A547</f>
        <v>ORD-2024-10546</v>
      </c>
      <c r="B547" s="4" t="n">
        <f aca="false">IFERROR(IF(MID(raw_data!B547,3,1)="/",DATE(VALUE(RIGHT(raw_data!B547,4)),VALUE(LEFT(raw_data!B547,2)),VALUE(MID(raw_data!B547,4,2))),IF(MID(raw_data!B547,3,1)="-",DATE(VALUE(RIGHT(raw_data!B547,4)),VALUE(MID(raw_data!B547,4,2)),VALUE(LEFT(raw_data!B547,2))),IF(MID(raw_data!B547,5,1)="-",DATE(VALUE(LEFT(raw_data!B547,4)),VALUE(MID(raw_data!B547,6,2)),VALUE(RIGHT(raw_data!B547,2))),DATE(VALUE(RIGHT(raw_data!B547,4)),MATCH(MID(raw_data!B547,4,3),{"Jan","Feb","Mar","Apr","May","Jun","Jul","Aug","Sep","Oct","Nov","Dec"},0),VALUE(LEFT(raw_data!B547,2)))))),"")</f>
        <v>45439</v>
      </c>
      <c r="C547" s="4" t="n">
        <f aca="false">IFERROR(IF(MID(raw_data!C547,3,1)="/",DATE(VALUE(RIGHT(raw_data!C547,4)),VALUE(LEFT(raw_data!C547,2)),VALUE(MID(raw_data!C547,4,2))),IF(MID(raw_data!C547,3,1)="-",DATE(VALUE(RIGHT(raw_data!C547,4)),VALUE(MID(raw_data!C547,4,2)),VALUE(LEFT(raw_data!C547,2))),IF(MID(raw_data!C547,5,1)="-",DATE(VALUE(LEFT(raw_data!C547,4)),VALUE(MID(raw_data!C547,6,2)),VALUE(RIGHT(raw_data!C547,2))),DATE(VALUE(RIGHT(raw_data!C547,4)),MATCH(MID(raw_data!C547,4,3),{"Jan","Feb","Mar","Apr","May","Jun","Jul","Aug","Sep","Oct","Nov","Dec"},0),VALUE(LEFT(raw_data!C547,2)))))),"")</f>
        <v>45442</v>
      </c>
      <c r="D547" s="3" t="str">
        <f aca="false">IF(TRIM(raw_data!B547)="","Missing",IF(B547="","Invalid/Unrecognized","Valid"))</f>
        <v>Valid</v>
      </c>
      <c r="E547" s="3" t="str">
        <f aca="false">IF(TRIM(raw_data!C547)="","Missing",IF(C547="","Invalid/Unrecognized","Valid"))</f>
        <v>Valid</v>
      </c>
      <c r="F547" s="5" t="n">
        <f aca="false">IF(OR(B547="",C547=""),"",C547-B547)</f>
        <v>3</v>
      </c>
      <c r="G547" s="3" t="str">
        <f aca="false">IF(F547="","N/A",IF(F547&lt;0,"Invalid - Ship Before Order","OK"))</f>
        <v>OK</v>
      </c>
      <c r="H547" s="3" t="str">
        <f aca="false">raw_data!D547</f>
        <v>CUST-7168</v>
      </c>
      <c r="I547" s="3" t="str">
        <f aca="false">PROPER(TRIM(raw_data!E547))</f>
        <v>Kabir Singh</v>
      </c>
      <c r="J547" s="3" t="str">
        <f aca="false">PROPER(TRIM(raw_data!F547))</f>
        <v>Small Business</v>
      </c>
      <c r="K547" s="3" t="str">
        <f aca="false">IF(TRIM(raw_data!G547)="","Unknown",PROPER(TRIM(raw_data!G547)))</f>
        <v>East</v>
      </c>
      <c r="L547" s="3" t="str">
        <f aca="false">IF(TRIM(raw_data!G547)="","Filled - Unknown","OK")</f>
        <v>OK</v>
      </c>
      <c r="M547" s="3" t="str">
        <f aca="false">PROPER(TRIM(raw_data!H547))</f>
        <v>Jharkhand</v>
      </c>
      <c r="N547" s="3" t="str">
        <f aca="false">PROPER(TRIM(raw_data!I547))</f>
        <v>Ranchi</v>
      </c>
      <c r="O547" s="3" t="str">
        <f aca="false">PROPER(TRIM(raw_data!J547))</f>
        <v>Office Supplies</v>
      </c>
      <c r="P547" s="3" t="str">
        <f aca="false">PROPER(TRIM(raw_data!K547))</f>
        <v>Storage</v>
      </c>
      <c r="Q547" s="3" t="str">
        <f aca="false">TRIM(raw_data!L547)</f>
        <v>Classic Storage 755</v>
      </c>
      <c r="R547" s="3" t="str">
        <f aca="false">IF(TRIM(raw_data!M547)="","Unknown",PROPER(TRIM(raw_data!M547)))</f>
        <v>Same Day</v>
      </c>
      <c r="S547" s="3" t="str">
        <f aca="false">IF(TRIM(raw_data!M547)="","Filled - Unknown","OK")</f>
        <v>OK</v>
      </c>
      <c r="T547" s="6" t="n">
        <f aca="false">raw_data!N547</f>
        <v>7</v>
      </c>
      <c r="U547" s="7" t="n">
        <f aca="false">raw_data!O547</f>
        <v>2900.86</v>
      </c>
      <c r="V547" s="8" t="n">
        <f aca="false">raw_data!P547</f>
        <v>0.15</v>
      </c>
      <c r="W547" s="8" t="n">
        <f aca="false">IF(raw_data!P547="",0,IF(ISTEXT(raw_data!P547),IF(RIGHT(raw_data!P547,1)="%",VALUE(LEFT(raw_data!P547,LEN(raw_data!P547)-1))/100,VALUE(raw_data!P547)),raw_data!P547))</f>
        <v>0.15</v>
      </c>
      <c r="X547" s="3" t="str">
        <f aca="false">IF(raw_data!P547="","Missing - Defaulted to 0",IF(W547&lt;0,"Negative - Invalid",IF(W547&gt;0.3,"Above Allowed Range - Invalid","Valid")))</f>
        <v>Valid</v>
      </c>
      <c r="Y547" s="7" t="n">
        <f aca="false">raw_data!Q547</f>
        <v>17260.12</v>
      </c>
      <c r="Z547" s="7" t="n">
        <f aca="false">raw_data!R547</f>
        <v>13513.51</v>
      </c>
      <c r="AA547" s="7" t="n">
        <f aca="false">raw_data!S547</f>
        <v>3746.61</v>
      </c>
      <c r="AB547" s="3" t="str">
        <f aca="false">PROPER(TRIM(raw_data!T547))</f>
        <v>Paid</v>
      </c>
      <c r="AC547" s="3" t="str">
        <f aca="false">PROPER(TRIM(raw_data!U547))</f>
        <v>Completed</v>
      </c>
      <c r="AD547" s="7" t="n">
        <f aca="false">T547*U547*(1-W547)</f>
        <v>17260.117</v>
      </c>
      <c r="AE547" s="7" t="n">
        <f aca="false">AD547-Z547</f>
        <v>3746.607</v>
      </c>
      <c r="AF547" s="8" t="n">
        <f aca="false">IF(AD547=0,0,AE547/AD547)</f>
        <v>0.217067300296979</v>
      </c>
      <c r="AG547" s="3" t="str">
        <f aca="false">IF(ABS(Y547-AD547)&gt;1,"Mismatch","OK")</f>
        <v>OK</v>
      </c>
      <c r="AH547" s="3" t="str">
        <f aca="false">IF(ABS(AA547-AE547)&gt;1,"Mismatch","OK")</f>
        <v>OK</v>
      </c>
      <c r="AI547" s="6" t="n">
        <f aca="false">IF(B547="","",MONTH(B547))</f>
        <v>5</v>
      </c>
      <c r="AJ547" s="6" t="n">
        <f aca="false">IF(B547="","",YEAR(B547))</f>
        <v>2024</v>
      </c>
      <c r="AK547" s="3" t="str">
        <f aca="false">IF(COUNTIF(raw_data!$A$2:$A$913,A547)&gt;1,"Conflicting Duplicate - Flagged for Review","Unique")</f>
        <v>Unique</v>
      </c>
      <c r="AL547" s="3" t="str">
        <f aca="false">IF(AB547="Refunded","Yes","No")</f>
        <v>No</v>
      </c>
      <c r="AM547" s="3" t="str">
        <f aca="false">IF(OR(AC547&lt;&gt;"Completed",AB547="Failed"),"Excluded","Included")</f>
        <v>Included</v>
      </c>
      <c r="AN547" s="3" t="str">
        <f aca="false">IF(OR(D547="Invalid/Unrecognized",E547="Invalid/Unrecognized",G547="Invalid - Ship Before Order",X547="Negative - Invalid",X547="Above Allowed Range - Invalid",AG547="Mismatch",AH547="Mismatch",AK547="Conflicting Duplicate - Flagged for Review"),"Invalid",IF(OR(L547="Filled - Unknown",S547="Filled - Unknown",X547="Missing - Defaulted to 0",AL547="Yes",AC547="Cancelled",AC547="Returned"),"Warning","Clean"))</f>
        <v>Clean</v>
      </c>
    </row>
    <row r="548" customFormat="false" ht="15" hidden="false" customHeight="false" outlineLevel="0" collapsed="false">
      <c r="A548" s="3" t="str">
        <f aca="false">raw_data!A548</f>
        <v>ORD-2025-10547</v>
      </c>
      <c r="B548" s="4" t="n">
        <f aca="false">IFERROR(IF(MID(raw_data!B548,3,1)="/",DATE(VALUE(RIGHT(raw_data!B548,4)),VALUE(LEFT(raw_data!B548,2)),VALUE(MID(raw_data!B548,4,2))),IF(MID(raw_data!B548,3,1)="-",DATE(VALUE(RIGHT(raw_data!B548,4)),VALUE(MID(raw_data!B548,4,2)),VALUE(LEFT(raw_data!B548,2))),IF(MID(raw_data!B548,5,1)="-",DATE(VALUE(LEFT(raw_data!B548,4)),VALUE(MID(raw_data!B548,6,2)),VALUE(RIGHT(raw_data!B548,2))),DATE(VALUE(RIGHT(raw_data!B548,4)),MATCH(MID(raw_data!B548,4,3),{"Jan","Feb","Mar","Apr","May","Jun","Jul","Aug","Sep","Oct","Nov","Dec"},0),VALUE(LEFT(raw_data!B548,2)))))),"")</f>
        <v>45883</v>
      </c>
      <c r="C548" s="4" t="n">
        <f aca="false">IFERROR(IF(MID(raw_data!C548,3,1)="/",DATE(VALUE(RIGHT(raw_data!C548,4)),VALUE(LEFT(raw_data!C548,2)),VALUE(MID(raw_data!C548,4,2))),IF(MID(raw_data!C548,3,1)="-",DATE(VALUE(RIGHT(raw_data!C548,4)),VALUE(MID(raw_data!C548,4,2)),VALUE(LEFT(raw_data!C548,2))),IF(MID(raw_data!C548,5,1)="-",DATE(VALUE(LEFT(raw_data!C548,4)),VALUE(MID(raw_data!C548,6,2)),VALUE(RIGHT(raw_data!C548,2))),DATE(VALUE(RIGHT(raw_data!C548,4)),MATCH(MID(raw_data!C548,4,3),{"Jan","Feb","Mar","Apr","May","Jun","Jul","Aug","Sep","Oct","Nov","Dec"},0),VALUE(LEFT(raw_data!C548,2)))))),"")</f>
        <v>45891</v>
      </c>
      <c r="D548" s="3" t="str">
        <f aca="false">IF(TRIM(raw_data!B548)="","Missing",IF(B548="","Invalid/Unrecognized","Valid"))</f>
        <v>Valid</v>
      </c>
      <c r="E548" s="3" t="str">
        <f aca="false">IF(TRIM(raw_data!C548)="","Missing",IF(C548="","Invalid/Unrecognized","Valid"))</f>
        <v>Valid</v>
      </c>
      <c r="F548" s="5" t="n">
        <f aca="false">IF(OR(B548="",C548=""),"",C548-B548)</f>
        <v>8</v>
      </c>
      <c r="G548" s="3" t="str">
        <f aca="false">IF(F548="","N/A",IF(F548&lt;0,"Invalid - Ship Before Order","OK"))</f>
        <v>OK</v>
      </c>
      <c r="H548" s="3" t="str">
        <f aca="false">raw_data!D548</f>
        <v>CUST-8157</v>
      </c>
      <c r="I548" s="3" t="str">
        <f aca="false">PROPER(TRIM(raw_data!E548))</f>
        <v>Arjun Bose</v>
      </c>
      <c r="J548" s="3" t="str">
        <f aca="false">PROPER(TRIM(raw_data!F548))</f>
        <v>Corporate</v>
      </c>
      <c r="K548" s="3" t="str">
        <f aca="false">IF(TRIM(raw_data!G548)="","Unknown",PROPER(TRIM(raw_data!G548)))</f>
        <v>West</v>
      </c>
      <c r="L548" s="3" t="str">
        <f aca="false">IF(TRIM(raw_data!G548)="","Filled - Unknown","OK")</f>
        <v>OK</v>
      </c>
      <c r="M548" s="3" t="str">
        <f aca="false">PROPER(TRIM(raw_data!H548))</f>
        <v>Gujarat</v>
      </c>
      <c r="N548" s="3" t="str">
        <f aca="false">PROPER(TRIM(raw_data!I548))</f>
        <v>Ahmedabad</v>
      </c>
      <c r="O548" s="3" t="str">
        <f aca="false">PROPER(TRIM(raw_data!J548))</f>
        <v>Office Supplies</v>
      </c>
      <c r="P548" s="3" t="str">
        <f aca="false">PROPER(TRIM(raw_data!K548))</f>
        <v>Paper</v>
      </c>
      <c r="Q548" s="3" t="str">
        <f aca="false">TRIM(raw_data!L548)</f>
        <v>Prime Paper 143</v>
      </c>
      <c r="R548" s="3" t="str">
        <f aca="false">IF(TRIM(raw_data!M548)="","Unknown",PROPER(TRIM(raw_data!M548)))</f>
        <v>First Class</v>
      </c>
      <c r="S548" s="3" t="str">
        <f aca="false">IF(TRIM(raw_data!M548)="","Filled - Unknown","OK")</f>
        <v>OK</v>
      </c>
      <c r="T548" s="6" t="n">
        <f aca="false">raw_data!N548</f>
        <v>5</v>
      </c>
      <c r="U548" s="7" t="n">
        <f aca="false">raw_data!O548</f>
        <v>2567.37</v>
      </c>
      <c r="V548" s="8" t="n">
        <f aca="false">raw_data!P548</f>
        <v>0.15</v>
      </c>
      <c r="W548" s="8" t="n">
        <f aca="false">IF(raw_data!P548="",0,IF(ISTEXT(raw_data!P548),IF(RIGHT(raw_data!P548,1)="%",VALUE(LEFT(raw_data!P548,LEN(raw_data!P548)-1))/100,VALUE(raw_data!P548)),raw_data!P548))</f>
        <v>0.15</v>
      </c>
      <c r="X548" s="3" t="str">
        <f aca="false">IF(raw_data!P548="","Missing - Defaulted to 0",IF(W548&lt;0,"Negative - Invalid",IF(W548&gt;0.3,"Above Allowed Range - Invalid","Valid")))</f>
        <v>Valid</v>
      </c>
      <c r="Y548" s="7" t="n">
        <f aca="false">raw_data!Q548</f>
        <v>10911.32</v>
      </c>
      <c r="Z548" s="7" t="n">
        <f aca="false">raw_data!R548</f>
        <v>6966.44</v>
      </c>
      <c r="AA548" s="7" t="n">
        <f aca="false">raw_data!S548</f>
        <v>4395.17</v>
      </c>
      <c r="AB548" s="3" t="str">
        <f aca="false">PROPER(TRIM(raw_data!T548))</f>
        <v>Paid</v>
      </c>
      <c r="AC548" s="3" t="str">
        <f aca="false">PROPER(TRIM(raw_data!U548))</f>
        <v>Completed</v>
      </c>
      <c r="AD548" s="7" t="n">
        <f aca="false">T548*U548*(1-W548)</f>
        <v>10911.3225</v>
      </c>
      <c r="AE548" s="7" t="n">
        <f aca="false">AD548-Z548</f>
        <v>3944.8825</v>
      </c>
      <c r="AF548" s="8" t="n">
        <f aca="false">IF(AD548=0,0,AE548/AD548)</f>
        <v>0.361540271584861</v>
      </c>
      <c r="AG548" s="3" t="str">
        <f aca="false">IF(ABS(Y548-AD548)&gt;1,"Mismatch","OK")</f>
        <v>OK</v>
      </c>
      <c r="AH548" s="3" t="str">
        <f aca="false">IF(ABS(AA548-AE548)&gt;1,"Mismatch","OK")</f>
        <v>Mismatch</v>
      </c>
      <c r="AI548" s="6" t="n">
        <f aca="false">IF(B548="","",MONTH(B548))</f>
        <v>8</v>
      </c>
      <c r="AJ548" s="6" t="n">
        <f aca="false">IF(B548="","",YEAR(B548))</f>
        <v>2025</v>
      </c>
      <c r="AK548" s="3" t="str">
        <f aca="false">IF(COUNTIF(raw_data!$A$2:$A$913,A548)&gt;1,"Conflicting Duplicate - Flagged for Review","Unique")</f>
        <v>Unique</v>
      </c>
      <c r="AL548" s="3" t="str">
        <f aca="false">IF(AB548="Refunded","Yes","No")</f>
        <v>No</v>
      </c>
      <c r="AM548" s="3" t="str">
        <f aca="false">IF(OR(AC548&lt;&gt;"Completed",AB548="Failed"),"Excluded","Included")</f>
        <v>Included</v>
      </c>
      <c r="AN548" s="3" t="str">
        <f aca="false">IF(OR(D548="Invalid/Unrecognized",E548="Invalid/Unrecognized",G548="Invalid - Ship Before Order",X548="Negative - Invalid",X548="Above Allowed Range - Invalid",AG548="Mismatch",AH548="Mismatch",AK548="Conflicting Duplicate - Flagged for Review"),"Invalid",IF(OR(L548="Filled - Unknown",S548="Filled - Unknown",X548="Missing - Defaulted to 0",AL548="Yes",AC548="Cancelled",AC548="Returned"),"Warning","Clean"))</f>
        <v>Invalid</v>
      </c>
    </row>
    <row r="549" customFormat="false" ht="15" hidden="false" customHeight="false" outlineLevel="0" collapsed="false">
      <c r="A549" s="3" t="str">
        <f aca="false">raw_data!A549</f>
        <v>ORD-2024-10548</v>
      </c>
      <c r="B549" s="4" t="n">
        <f aca="false">IFERROR(IF(MID(raw_data!B549,3,1)="/",DATE(VALUE(RIGHT(raw_data!B549,4)),VALUE(LEFT(raw_data!B549,2)),VALUE(MID(raw_data!B549,4,2))),IF(MID(raw_data!B549,3,1)="-",DATE(VALUE(RIGHT(raw_data!B549,4)),VALUE(MID(raw_data!B549,4,2)),VALUE(LEFT(raw_data!B549,2))),IF(MID(raw_data!B549,5,1)="-",DATE(VALUE(LEFT(raw_data!B549,4)),VALUE(MID(raw_data!B549,6,2)),VALUE(RIGHT(raw_data!B549,2))),DATE(VALUE(RIGHT(raw_data!B549,4)),MATCH(MID(raw_data!B549,4,3),{"Jan","Feb","Mar","Apr","May","Jun","Jul","Aug","Sep","Oct","Nov","Dec"},0),VALUE(LEFT(raw_data!B549,2)))))),"")</f>
        <v>45428</v>
      </c>
      <c r="C549" s="4" t="n">
        <f aca="false">IFERROR(IF(MID(raw_data!C549,3,1)="/",DATE(VALUE(RIGHT(raw_data!C549,4)),VALUE(LEFT(raw_data!C549,2)),VALUE(MID(raw_data!C549,4,2))),IF(MID(raw_data!C549,3,1)="-",DATE(VALUE(RIGHT(raw_data!C549,4)),VALUE(MID(raw_data!C549,4,2)),VALUE(LEFT(raw_data!C549,2))),IF(MID(raw_data!C549,5,1)="-",DATE(VALUE(LEFT(raw_data!C549,4)),VALUE(MID(raw_data!C549,6,2)),VALUE(RIGHT(raw_data!C549,2))),DATE(VALUE(RIGHT(raw_data!C549,4)),MATCH(MID(raw_data!C549,4,3),{"Jan","Feb","Mar","Apr","May","Jun","Jul","Aug","Sep","Oct","Nov","Dec"},0),VALUE(LEFT(raw_data!C549,2)))))),"")</f>
        <v>45435</v>
      </c>
      <c r="D549" s="3" t="str">
        <f aca="false">IF(TRIM(raw_data!B549)="","Missing",IF(B549="","Invalid/Unrecognized","Valid"))</f>
        <v>Valid</v>
      </c>
      <c r="E549" s="3" t="str">
        <f aca="false">IF(TRIM(raw_data!C549)="","Missing",IF(C549="","Invalid/Unrecognized","Valid"))</f>
        <v>Valid</v>
      </c>
      <c r="F549" s="5" t="n">
        <f aca="false">IF(OR(B549="",C549=""),"",C549-B549)</f>
        <v>7</v>
      </c>
      <c r="G549" s="3" t="str">
        <f aca="false">IF(F549="","N/A",IF(F549&lt;0,"Invalid - Ship Before Order","OK"))</f>
        <v>OK</v>
      </c>
      <c r="H549" s="3" t="str">
        <f aca="false">raw_data!D549</f>
        <v>CUST-9146</v>
      </c>
      <c r="I549" s="3" t="str">
        <f aca="false">PROPER(TRIM(raw_data!E549))</f>
        <v>Neha Gupta</v>
      </c>
      <c r="J549" s="3" t="str">
        <f aca="false">PROPER(TRIM(raw_data!F549))</f>
        <v>Small Business</v>
      </c>
      <c r="K549" s="3" t="str">
        <f aca="false">IF(TRIM(raw_data!G549)="","Unknown",PROPER(TRIM(raw_data!G549)))</f>
        <v>North</v>
      </c>
      <c r="L549" s="3" t="str">
        <f aca="false">IF(TRIM(raw_data!G549)="","Filled - Unknown","OK")</f>
        <v>OK</v>
      </c>
      <c r="M549" s="3" t="str">
        <f aca="false">PROPER(TRIM(raw_data!H549))</f>
        <v>Uttar Pradesh</v>
      </c>
      <c r="N549" s="3" t="str">
        <f aca="false">PROPER(TRIM(raw_data!I549))</f>
        <v>Noida</v>
      </c>
      <c r="O549" s="3" t="str">
        <f aca="false">PROPER(TRIM(raw_data!J549))</f>
        <v>Technology</v>
      </c>
      <c r="P549" s="3" t="str">
        <f aca="false">PROPER(TRIM(raw_data!K549))</f>
        <v>Copiers</v>
      </c>
      <c r="Q549" s="3" t="str">
        <f aca="false">TRIM(raw_data!L549)</f>
        <v>Max Copiers 607</v>
      </c>
      <c r="R549" s="3" t="str">
        <f aca="false">IF(TRIM(raw_data!M549)="","Unknown",PROPER(TRIM(raw_data!M549)))</f>
        <v>Standard Class</v>
      </c>
      <c r="S549" s="3" t="str">
        <f aca="false">IF(TRIM(raw_data!M549)="","Filled - Unknown","OK")</f>
        <v>OK</v>
      </c>
      <c r="T549" s="6" t="n">
        <f aca="false">raw_data!N549</f>
        <v>9</v>
      </c>
      <c r="U549" s="7" t="n">
        <f aca="false">raw_data!O549</f>
        <v>3722.09</v>
      </c>
      <c r="V549" s="8" t="n">
        <f aca="false">raw_data!P549</f>
        <v>0.1</v>
      </c>
      <c r="W549" s="8" t="n">
        <f aca="false">IF(raw_data!P549="",0,IF(ISTEXT(raw_data!P549),IF(RIGHT(raw_data!P549,1)="%",VALUE(LEFT(raw_data!P549,LEN(raw_data!P549)-1))/100,VALUE(raw_data!P549)),raw_data!P549))</f>
        <v>0.1</v>
      </c>
      <c r="X549" s="3" t="str">
        <f aca="false">IF(raw_data!P549="","Missing - Defaulted to 0",IF(W549&lt;0,"Negative - Invalid",IF(W549&gt;0.3,"Above Allowed Range - Invalid","Valid")))</f>
        <v>Valid</v>
      </c>
      <c r="Y549" s="7" t="n">
        <f aca="false">raw_data!Q549</f>
        <v>30148.93</v>
      </c>
      <c r="Z549" s="7" t="n">
        <f aca="false">raw_data!R549</f>
        <v>25155.07</v>
      </c>
      <c r="AA549" s="7" t="n">
        <f aca="false">raw_data!S549</f>
        <v>4993.86</v>
      </c>
      <c r="AB549" s="3" t="str">
        <f aca="false">PROPER(TRIM(raw_data!T549))</f>
        <v>Paid</v>
      </c>
      <c r="AC549" s="3" t="str">
        <f aca="false">PROPER(TRIM(raw_data!U549))</f>
        <v>Completed</v>
      </c>
      <c r="AD549" s="7" t="n">
        <f aca="false">T549*U549*(1-W549)</f>
        <v>30148.929</v>
      </c>
      <c r="AE549" s="7" t="n">
        <f aca="false">AD549-Z549</f>
        <v>4993.859</v>
      </c>
      <c r="AF549" s="8" t="n">
        <f aca="false">IF(AD549=0,0,AE549/AD549)</f>
        <v>0.165639681595323</v>
      </c>
      <c r="AG549" s="3" t="str">
        <f aca="false">IF(ABS(Y549-AD549)&gt;1,"Mismatch","OK")</f>
        <v>OK</v>
      </c>
      <c r="AH549" s="3" t="str">
        <f aca="false">IF(ABS(AA549-AE549)&gt;1,"Mismatch","OK")</f>
        <v>OK</v>
      </c>
      <c r="AI549" s="6" t="n">
        <f aca="false">IF(B549="","",MONTH(B549))</f>
        <v>5</v>
      </c>
      <c r="AJ549" s="6" t="n">
        <f aca="false">IF(B549="","",YEAR(B549))</f>
        <v>2024</v>
      </c>
      <c r="AK549" s="3" t="str">
        <f aca="false">IF(COUNTIF(raw_data!$A$2:$A$913,A549)&gt;1,"Conflicting Duplicate - Flagged for Review","Unique")</f>
        <v>Unique</v>
      </c>
      <c r="AL549" s="3" t="str">
        <f aca="false">IF(AB549="Refunded","Yes","No")</f>
        <v>No</v>
      </c>
      <c r="AM549" s="3" t="str">
        <f aca="false">IF(OR(AC549&lt;&gt;"Completed",AB549="Failed"),"Excluded","Included")</f>
        <v>Included</v>
      </c>
      <c r="AN549" s="3" t="str">
        <f aca="false">IF(OR(D549="Invalid/Unrecognized",E549="Invalid/Unrecognized",G549="Invalid - Ship Before Order",X549="Negative - Invalid",X549="Above Allowed Range - Invalid",AG549="Mismatch",AH549="Mismatch",AK549="Conflicting Duplicate - Flagged for Review"),"Invalid",IF(OR(L549="Filled - Unknown",S549="Filled - Unknown",X549="Missing - Defaulted to 0",AL549="Yes",AC549="Cancelled",AC549="Returned"),"Warning","Clean"))</f>
        <v>Clean</v>
      </c>
    </row>
    <row r="550" customFormat="false" ht="15" hidden="false" customHeight="false" outlineLevel="0" collapsed="false">
      <c r="A550" s="3" t="str">
        <f aca="false">raw_data!A550</f>
        <v>ORD-2024-10549</v>
      </c>
      <c r="B550" s="4" t="n">
        <f aca="false">IFERROR(IF(MID(raw_data!B550,3,1)="/",DATE(VALUE(RIGHT(raw_data!B550,4)),VALUE(LEFT(raw_data!B550,2)),VALUE(MID(raw_data!B550,4,2))),IF(MID(raw_data!B550,3,1)="-",DATE(VALUE(RIGHT(raw_data!B550,4)),VALUE(MID(raw_data!B550,4,2)),VALUE(LEFT(raw_data!B550,2))),IF(MID(raw_data!B550,5,1)="-",DATE(VALUE(LEFT(raw_data!B550,4)),VALUE(MID(raw_data!B550,6,2)),VALUE(RIGHT(raw_data!B550,2))),DATE(VALUE(RIGHT(raw_data!B550,4)),MATCH(MID(raw_data!B550,4,3),{"Jan","Feb","Mar","Apr","May","Jun","Jul","Aug","Sep","Oct","Nov","Dec"},0),VALUE(LEFT(raw_data!B550,2)))))),"")</f>
        <v>45441</v>
      </c>
      <c r="C550" s="4" t="n">
        <f aca="false">IFERROR(IF(MID(raw_data!C550,3,1)="/",DATE(VALUE(RIGHT(raw_data!C550,4)),VALUE(LEFT(raw_data!C550,2)),VALUE(MID(raw_data!C550,4,2))),IF(MID(raw_data!C550,3,1)="-",DATE(VALUE(RIGHT(raw_data!C550,4)),VALUE(MID(raw_data!C550,4,2)),VALUE(LEFT(raw_data!C550,2))),IF(MID(raw_data!C550,5,1)="-",DATE(VALUE(LEFT(raw_data!C550,4)),VALUE(MID(raw_data!C550,6,2)),VALUE(RIGHT(raw_data!C550,2))),DATE(VALUE(RIGHT(raw_data!C550,4)),MATCH(MID(raw_data!C550,4,3),{"Jan","Feb","Mar","Apr","May","Jun","Jul","Aug","Sep","Oct","Nov","Dec"},0),VALUE(LEFT(raw_data!C550,2)))))),"")</f>
        <v>45441</v>
      </c>
      <c r="D550" s="3" t="str">
        <f aca="false">IF(TRIM(raw_data!B550)="","Missing",IF(B550="","Invalid/Unrecognized","Valid"))</f>
        <v>Valid</v>
      </c>
      <c r="E550" s="3" t="str">
        <f aca="false">IF(TRIM(raw_data!C550)="","Missing",IF(C550="","Invalid/Unrecognized","Valid"))</f>
        <v>Valid</v>
      </c>
      <c r="F550" s="5" t="n">
        <f aca="false">IF(OR(B550="",C550=""),"",C550-B550)</f>
        <v>0</v>
      </c>
      <c r="G550" s="3" t="str">
        <f aca="false">IF(F550="","N/A",IF(F550&lt;0,"Invalid - Ship Before Order","OK"))</f>
        <v>OK</v>
      </c>
      <c r="H550" s="3" t="str">
        <f aca="false">raw_data!D550</f>
        <v>CUST-5129</v>
      </c>
      <c r="I550" s="3" t="str">
        <f aca="false">PROPER(TRIM(raw_data!E550))</f>
        <v>Rohan Mehta</v>
      </c>
      <c r="J550" s="3" t="str">
        <f aca="false">PROPER(TRIM(raw_data!F550))</f>
        <v>Corporate</v>
      </c>
      <c r="K550" s="3" t="str">
        <f aca="false">IF(TRIM(raw_data!G550)="","Unknown",PROPER(TRIM(raw_data!G550)))</f>
        <v>East</v>
      </c>
      <c r="L550" s="3" t="str">
        <f aca="false">IF(TRIM(raw_data!G550)="","Filled - Unknown","OK")</f>
        <v>OK</v>
      </c>
      <c r="M550" s="3" t="str">
        <f aca="false">PROPER(TRIM(raw_data!H550))</f>
        <v>Bihar</v>
      </c>
      <c r="N550" s="3" t="str">
        <f aca="false">PROPER(TRIM(raw_data!I550))</f>
        <v>Patna</v>
      </c>
      <c r="O550" s="3" t="str">
        <f aca="false">PROPER(TRIM(raw_data!J550))</f>
        <v>Furniture</v>
      </c>
      <c r="P550" s="3" t="str">
        <f aca="false">PROPER(TRIM(raw_data!K550))</f>
        <v>Bookcases</v>
      </c>
      <c r="Q550" s="3" t="str">
        <f aca="false">TRIM(raw_data!L550)</f>
        <v>Prime Bookcases 402</v>
      </c>
      <c r="R550" s="3" t="str">
        <f aca="false">IF(TRIM(raw_data!M550)="","Unknown",PROPER(TRIM(raw_data!M550)))</f>
        <v>Same Day</v>
      </c>
      <c r="S550" s="3" t="str">
        <f aca="false">IF(TRIM(raw_data!M550)="","Filled - Unknown","OK")</f>
        <v>OK</v>
      </c>
      <c r="T550" s="6" t="n">
        <f aca="false">raw_data!N550</f>
        <v>1</v>
      </c>
      <c r="U550" s="7" t="n">
        <f aca="false">raw_data!O550</f>
        <v>1072.01</v>
      </c>
      <c r="V550" s="8" t="n">
        <f aca="false">raw_data!P550</f>
        <v>0</v>
      </c>
      <c r="W550" s="8" t="n">
        <f aca="false">IF(raw_data!P550="",0,IF(ISTEXT(raw_data!P550),IF(RIGHT(raw_data!P550,1)="%",VALUE(LEFT(raw_data!P550,LEN(raw_data!P550)-1))/100,VALUE(raw_data!P550)),raw_data!P550))</f>
        <v>0</v>
      </c>
      <c r="X550" s="3" t="str">
        <f aca="false">IF(raw_data!P550="","Missing - Defaulted to 0",IF(W550&lt;0,"Negative - Invalid",IF(W550&gt;0.3,"Above Allowed Range - Invalid","Valid")))</f>
        <v>Valid</v>
      </c>
      <c r="Y550" s="7" t="n">
        <f aca="false">raw_data!Q550</f>
        <v>1072.01</v>
      </c>
      <c r="Z550" s="7" t="n">
        <f aca="false">raw_data!R550</f>
        <v>852.62</v>
      </c>
      <c r="AA550" s="7" t="n">
        <f aca="false">raw_data!S550</f>
        <v>219.39</v>
      </c>
      <c r="AB550" s="3" t="str">
        <f aca="false">PROPER(TRIM(raw_data!T550))</f>
        <v>Pending</v>
      </c>
      <c r="AC550" s="3" t="str">
        <f aca="false">PROPER(TRIM(raw_data!U550))</f>
        <v>Cancelled</v>
      </c>
      <c r="AD550" s="7" t="n">
        <f aca="false">T550*U550*(1-W550)</f>
        <v>1072.01</v>
      </c>
      <c r="AE550" s="7" t="n">
        <f aca="false">AD550-Z550</f>
        <v>219.39</v>
      </c>
      <c r="AF550" s="8" t="n">
        <f aca="false">IF(AD550=0,0,AE550/AD550)</f>
        <v>0.20465294167032</v>
      </c>
      <c r="AG550" s="3" t="str">
        <f aca="false">IF(ABS(Y550-AD550)&gt;1,"Mismatch","OK")</f>
        <v>OK</v>
      </c>
      <c r="AH550" s="3" t="str">
        <f aca="false">IF(ABS(AA550-AE550)&gt;1,"Mismatch","OK")</f>
        <v>OK</v>
      </c>
      <c r="AI550" s="6" t="n">
        <f aca="false">IF(B550="","",MONTH(B550))</f>
        <v>5</v>
      </c>
      <c r="AJ550" s="6" t="n">
        <f aca="false">IF(B550="","",YEAR(B550))</f>
        <v>2024</v>
      </c>
      <c r="AK550" s="3" t="str">
        <f aca="false">IF(COUNTIF(raw_data!$A$2:$A$913,A550)&gt;1,"Conflicting Duplicate - Flagged for Review","Unique")</f>
        <v>Unique</v>
      </c>
      <c r="AL550" s="3" t="str">
        <f aca="false">IF(AB550="Refunded","Yes","No")</f>
        <v>No</v>
      </c>
      <c r="AM550" s="3" t="str">
        <f aca="false">IF(OR(AC550&lt;&gt;"Completed",AB550="Failed"),"Excluded","Included")</f>
        <v>Excluded</v>
      </c>
      <c r="AN550" s="3" t="str">
        <f aca="false">IF(OR(D550="Invalid/Unrecognized",E550="Invalid/Unrecognized",G550="Invalid - Ship Before Order",X550="Negative - Invalid",X550="Above Allowed Range - Invalid",AG550="Mismatch",AH550="Mismatch",AK550="Conflicting Duplicate - Flagged for Review"),"Invalid",IF(OR(L550="Filled - Unknown",S550="Filled - Unknown",X550="Missing - Defaulted to 0",AL550="Yes",AC550="Cancelled",AC550="Returned"),"Warning","Clean"))</f>
        <v>Warning</v>
      </c>
    </row>
    <row r="551" customFormat="false" ht="15" hidden="false" customHeight="false" outlineLevel="0" collapsed="false">
      <c r="A551" s="3" t="str">
        <f aca="false">raw_data!A551</f>
        <v>ORD-2025-10550</v>
      </c>
      <c r="B551" s="4" t="n">
        <f aca="false">IFERROR(IF(MID(raw_data!B551,3,1)="/",DATE(VALUE(RIGHT(raw_data!B551,4)),VALUE(LEFT(raw_data!B551,2)),VALUE(MID(raw_data!B551,4,2))),IF(MID(raw_data!B551,3,1)="-",DATE(VALUE(RIGHT(raw_data!B551,4)),VALUE(MID(raw_data!B551,4,2)),VALUE(LEFT(raw_data!B551,2))),IF(MID(raw_data!B551,5,1)="-",DATE(VALUE(LEFT(raw_data!B551,4)),VALUE(MID(raw_data!B551,6,2)),VALUE(RIGHT(raw_data!B551,2))),DATE(VALUE(RIGHT(raw_data!B551,4)),MATCH(MID(raw_data!B551,4,3),{"Jan","Feb","Mar","Apr","May","Jun","Jul","Aug","Sep","Oct","Nov","Dec"},0),VALUE(LEFT(raw_data!B551,2)))))),"")</f>
        <v>45941</v>
      </c>
      <c r="C551" s="4" t="n">
        <f aca="false">IFERROR(IF(MID(raw_data!C551,3,1)="/",DATE(VALUE(RIGHT(raw_data!C551,4)),VALUE(LEFT(raw_data!C551,2)),VALUE(MID(raw_data!C551,4,2))),IF(MID(raw_data!C551,3,1)="-",DATE(VALUE(RIGHT(raw_data!C551,4)),VALUE(MID(raw_data!C551,4,2)),VALUE(LEFT(raw_data!C551,2))),IF(MID(raw_data!C551,5,1)="-",DATE(VALUE(LEFT(raw_data!C551,4)),VALUE(MID(raw_data!C551,6,2)),VALUE(RIGHT(raw_data!C551,2))),DATE(VALUE(RIGHT(raw_data!C551,4)),MATCH(MID(raw_data!C551,4,3),{"Jan","Feb","Mar","Apr","May","Jun","Jul","Aug","Sep","Oct","Nov","Dec"},0),VALUE(LEFT(raw_data!C551,2)))))),"")</f>
        <v>45943</v>
      </c>
      <c r="D551" s="3" t="str">
        <f aca="false">IF(TRIM(raw_data!B551)="","Missing",IF(B551="","Invalid/Unrecognized","Valid"))</f>
        <v>Valid</v>
      </c>
      <c r="E551" s="3" t="str">
        <f aca="false">IF(TRIM(raw_data!C551)="","Missing",IF(C551="","Invalid/Unrecognized","Valid"))</f>
        <v>Valid</v>
      </c>
      <c r="F551" s="5" t="n">
        <f aca="false">IF(OR(B551="",C551=""),"",C551-B551)</f>
        <v>2</v>
      </c>
      <c r="G551" s="3" t="str">
        <f aca="false">IF(F551="","N/A",IF(F551&lt;0,"Invalid - Ship Before Order","OK"))</f>
        <v>OK</v>
      </c>
      <c r="H551" s="3" t="str">
        <f aca="false">raw_data!D551</f>
        <v>CUST-6028</v>
      </c>
      <c r="I551" s="3" t="str">
        <f aca="false">PROPER(TRIM(raw_data!E551))</f>
        <v>Mira Das</v>
      </c>
      <c r="J551" s="3" t="str">
        <f aca="false">PROPER(TRIM(raw_data!F551))</f>
        <v>Corporate</v>
      </c>
      <c r="K551" s="3" t="str">
        <f aca="false">IF(TRIM(raw_data!G551)="","Unknown",PROPER(TRIM(raw_data!G551)))</f>
        <v>South</v>
      </c>
      <c r="L551" s="3" t="str">
        <f aca="false">IF(TRIM(raw_data!G551)="","Filled - Unknown","OK")</f>
        <v>OK</v>
      </c>
      <c r="M551" s="3" t="str">
        <f aca="false">PROPER(TRIM(raw_data!H551))</f>
        <v>Telangana</v>
      </c>
      <c r="N551" s="3" t="str">
        <f aca="false">PROPER(TRIM(raw_data!I551))</f>
        <v>Hyderabad</v>
      </c>
      <c r="O551" s="3" t="str">
        <f aca="false">PROPER(TRIM(raw_data!J551))</f>
        <v>Office Supplies</v>
      </c>
      <c r="P551" s="3" t="str">
        <f aca="false">PROPER(TRIM(raw_data!K551))</f>
        <v>Art</v>
      </c>
      <c r="Q551" s="3" t="str">
        <f aca="false">TRIM(raw_data!L551)</f>
        <v>Pro Art 287</v>
      </c>
      <c r="R551" s="3" t="str">
        <f aca="false">IF(TRIM(raw_data!M551)="","Unknown",PROPER(TRIM(raw_data!M551)))</f>
        <v>Second Class</v>
      </c>
      <c r="S551" s="3" t="str">
        <f aca="false">IF(TRIM(raw_data!M551)="","Filled - Unknown","OK")</f>
        <v>OK</v>
      </c>
      <c r="T551" s="6" t="n">
        <f aca="false">raw_data!N551</f>
        <v>3</v>
      </c>
      <c r="U551" s="7" t="n">
        <f aca="false">raw_data!O551</f>
        <v>3804.27</v>
      </c>
      <c r="V551" s="8" t="n">
        <f aca="false">raw_data!P551</f>
        <v>0.1</v>
      </c>
      <c r="W551" s="8" t="n">
        <f aca="false">IF(raw_data!P551="",0,IF(ISTEXT(raw_data!P551),IF(RIGHT(raw_data!P551,1)="%",VALUE(LEFT(raw_data!P551,LEN(raw_data!P551)-1))/100,VALUE(raw_data!P551)),raw_data!P551))</f>
        <v>0.1</v>
      </c>
      <c r="X551" s="3" t="str">
        <f aca="false">IF(raw_data!P551="","Missing - Defaulted to 0",IF(W551&lt;0,"Negative - Invalid",IF(W551&gt;0.3,"Above Allowed Range - Invalid","Valid")))</f>
        <v>Valid</v>
      </c>
      <c r="Y551" s="7" t="n">
        <f aca="false">raw_data!Q551</f>
        <v>10271.53</v>
      </c>
      <c r="Z551" s="7" t="n">
        <f aca="false">raw_data!R551</f>
        <v>8272.24</v>
      </c>
      <c r="AA551" s="7" t="n">
        <f aca="false">raw_data!S551</f>
        <v>1999.29</v>
      </c>
      <c r="AB551" s="3" t="str">
        <f aca="false">PROPER(TRIM(raw_data!T551))</f>
        <v>Paid</v>
      </c>
      <c r="AC551" s="3" t="str">
        <f aca="false">PROPER(TRIM(raw_data!U551))</f>
        <v>Completed</v>
      </c>
      <c r="AD551" s="7" t="n">
        <f aca="false">T551*U551*(1-W551)</f>
        <v>10271.529</v>
      </c>
      <c r="AE551" s="7" t="n">
        <f aca="false">AD551-Z551</f>
        <v>1999.289</v>
      </c>
      <c r="AF551" s="8" t="n">
        <f aca="false">IF(AD551=0,0,AE551/AD551)</f>
        <v>0.19464375751653</v>
      </c>
      <c r="AG551" s="3" t="str">
        <f aca="false">IF(ABS(Y551-AD551)&gt;1,"Mismatch","OK")</f>
        <v>OK</v>
      </c>
      <c r="AH551" s="3" t="str">
        <f aca="false">IF(ABS(AA551-AE551)&gt;1,"Mismatch","OK")</f>
        <v>OK</v>
      </c>
      <c r="AI551" s="6" t="n">
        <f aca="false">IF(B551="","",MONTH(B551))</f>
        <v>10</v>
      </c>
      <c r="AJ551" s="6" t="n">
        <f aca="false">IF(B551="","",YEAR(B551))</f>
        <v>2025</v>
      </c>
      <c r="AK551" s="3" t="str">
        <f aca="false">IF(COUNTIF(raw_data!$A$2:$A$913,A551)&gt;1,"Conflicting Duplicate - Flagged for Review","Unique")</f>
        <v>Unique</v>
      </c>
      <c r="AL551" s="3" t="str">
        <f aca="false">IF(AB551="Refunded","Yes","No")</f>
        <v>No</v>
      </c>
      <c r="AM551" s="3" t="str">
        <f aca="false">IF(OR(AC551&lt;&gt;"Completed",AB551="Failed"),"Excluded","Included")</f>
        <v>Included</v>
      </c>
      <c r="AN551" s="3" t="str">
        <f aca="false">IF(OR(D551="Invalid/Unrecognized",E551="Invalid/Unrecognized",G551="Invalid - Ship Before Order",X551="Negative - Invalid",X551="Above Allowed Range - Invalid",AG551="Mismatch",AH551="Mismatch",AK551="Conflicting Duplicate - Flagged for Review"),"Invalid",IF(OR(L551="Filled - Unknown",S551="Filled - Unknown",X551="Missing - Defaulted to 0",AL551="Yes",AC551="Cancelled",AC551="Returned"),"Warning","Clean"))</f>
        <v>Clean</v>
      </c>
    </row>
    <row r="552" customFormat="false" ht="15" hidden="false" customHeight="false" outlineLevel="0" collapsed="false">
      <c r="A552" s="3" t="str">
        <f aca="false">raw_data!A552</f>
        <v>ORD-2024-10551</v>
      </c>
      <c r="B552" s="4" t="n">
        <f aca="false">IFERROR(IF(MID(raw_data!B552,3,1)="/",DATE(VALUE(RIGHT(raw_data!B552,4)),VALUE(LEFT(raw_data!B552,2)),VALUE(MID(raw_data!B552,4,2))),IF(MID(raw_data!B552,3,1)="-",DATE(VALUE(RIGHT(raw_data!B552,4)),VALUE(MID(raw_data!B552,4,2)),VALUE(LEFT(raw_data!B552,2))),IF(MID(raw_data!B552,5,1)="-",DATE(VALUE(LEFT(raw_data!B552,4)),VALUE(MID(raw_data!B552,6,2)),VALUE(RIGHT(raw_data!B552,2))),DATE(VALUE(RIGHT(raw_data!B552,4)),MATCH(MID(raw_data!B552,4,3),{"Jan","Feb","Mar","Apr","May","Jun","Jul","Aug","Sep","Oct","Nov","Dec"},0),VALUE(LEFT(raw_data!B552,2)))))),"")</f>
        <v>45506</v>
      </c>
      <c r="C552" s="4" t="n">
        <f aca="false">IFERROR(IF(MID(raw_data!C552,3,1)="/",DATE(VALUE(RIGHT(raw_data!C552,4)),VALUE(LEFT(raw_data!C552,2)),VALUE(MID(raw_data!C552,4,2))),IF(MID(raw_data!C552,3,1)="-",DATE(VALUE(RIGHT(raw_data!C552,4)),VALUE(MID(raw_data!C552,4,2)),VALUE(LEFT(raw_data!C552,2))),IF(MID(raw_data!C552,5,1)="-",DATE(VALUE(LEFT(raw_data!C552,4)),VALUE(MID(raw_data!C552,6,2)),VALUE(RIGHT(raw_data!C552,2))),DATE(VALUE(RIGHT(raw_data!C552,4)),MATCH(MID(raw_data!C552,4,3),{"Jan","Feb","Mar","Apr","May","Jun","Jul","Aug","Sep","Oct","Nov","Dec"},0),VALUE(LEFT(raw_data!C552,2)))))),"")</f>
        <v>45514</v>
      </c>
      <c r="D552" s="3" t="str">
        <f aca="false">IF(TRIM(raw_data!B552)="","Missing",IF(B552="","Invalid/Unrecognized","Valid"))</f>
        <v>Valid</v>
      </c>
      <c r="E552" s="3" t="str">
        <f aca="false">IF(TRIM(raw_data!C552)="","Missing",IF(C552="","Invalid/Unrecognized","Valid"))</f>
        <v>Valid</v>
      </c>
      <c r="F552" s="5" t="n">
        <f aca="false">IF(OR(B552="",C552=""),"",C552-B552)</f>
        <v>8</v>
      </c>
      <c r="G552" s="3" t="str">
        <f aca="false">IF(F552="","N/A",IF(F552&lt;0,"Invalid - Ship Before Order","OK"))</f>
        <v>OK</v>
      </c>
      <c r="H552" s="3" t="str">
        <f aca="false">raw_data!D552</f>
        <v>CUST-8687</v>
      </c>
      <c r="I552" s="3" t="str">
        <f aca="false">PROPER(TRIM(raw_data!E552))</f>
        <v>Mira Das</v>
      </c>
      <c r="J552" s="3" t="str">
        <f aca="false">PROPER(TRIM(raw_data!F552))</f>
        <v>Home Office</v>
      </c>
      <c r="K552" s="3" t="str">
        <f aca="false">IF(TRIM(raw_data!G552)="","Unknown",PROPER(TRIM(raw_data!G552)))</f>
        <v>East</v>
      </c>
      <c r="L552" s="3" t="str">
        <f aca="false">IF(TRIM(raw_data!G552)="","Filled - Unknown","OK")</f>
        <v>OK</v>
      </c>
      <c r="M552" s="3" t="str">
        <f aca="false">PROPER(TRIM(raw_data!H552))</f>
        <v>Odisha</v>
      </c>
      <c r="N552" s="3" t="str">
        <f aca="false">PROPER(TRIM(raw_data!I552))</f>
        <v>Bhubaneswar</v>
      </c>
      <c r="O552" s="3" t="str">
        <f aca="false">PROPER(TRIM(raw_data!J552))</f>
        <v>Technology</v>
      </c>
      <c r="P552" s="3" t="str">
        <f aca="false">PROPER(TRIM(raw_data!K552))</f>
        <v>Accessories</v>
      </c>
      <c r="Q552" s="3" t="str">
        <f aca="false">TRIM(raw_data!L552)</f>
        <v>Max Accessories 591</v>
      </c>
      <c r="R552" s="3" t="str">
        <f aca="false">IF(TRIM(raw_data!M552)="","Unknown",PROPER(TRIM(raw_data!M552)))</f>
        <v>Standard Class</v>
      </c>
      <c r="S552" s="3" t="str">
        <f aca="false">IF(TRIM(raw_data!M552)="","Filled - Unknown","OK")</f>
        <v>OK</v>
      </c>
      <c r="T552" s="6" t="n">
        <f aca="false">raw_data!N552</f>
        <v>6</v>
      </c>
      <c r="U552" s="7" t="n">
        <f aca="false">raw_data!O552</f>
        <v>2126.44</v>
      </c>
      <c r="V552" s="8" t="n">
        <f aca="false">raw_data!P552</f>
        <v>0.2</v>
      </c>
      <c r="W552" s="8" t="n">
        <f aca="false">IF(raw_data!P552="",0,IF(ISTEXT(raw_data!P552),IF(RIGHT(raw_data!P552,1)="%",VALUE(LEFT(raw_data!P552,LEN(raw_data!P552)-1))/100,VALUE(raw_data!P552)),raw_data!P552))</f>
        <v>0.2</v>
      </c>
      <c r="X552" s="3" t="str">
        <f aca="false">IF(raw_data!P552="","Missing - Defaulted to 0",IF(W552&lt;0,"Negative - Invalid",IF(W552&gt;0.3,"Above Allowed Range - Invalid","Valid")))</f>
        <v>Valid</v>
      </c>
      <c r="Y552" s="7" t="n">
        <f aca="false">raw_data!Q552</f>
        <v>10206.91</v>
      </c>
      <c r="Z552" s="7" t="n">
        <f aca="false">raw_data!R552</f>
        <v>6764.53</v>
      </c>
      <c r="AA552" s="7" t="n">
        <f aca="false">raw_data!S552</f>
        <v>3442.38</v>
      </c>
      <c r="AB552" s="3" t="str">
        <f aca="false">PROPER(TRIM(raw_data!T552))</f>
        <v>Paid</v>
      </c>
      <c r="AC552" s="3" t="str">
        <f aca="false">PROPER(TRIM(raw_data!U552))</f>
        <v>Completed</v>
      </c>
      <c r="AD552" s="7" t="n">
        <f aca="false">T552*U552*(1-W552)</f>
        <v>10206.912</v>
      </c>
      <c r="AE552" s="7" t="n">
        <f aca="false">AD552-Z552</f>
        <v>3442.382</v>
      </c>
      <c r="AF552" s="8" t="n">
        <f aca="false">IF(AD552=0,0,AE552/AD552)</f>
        <v>0.33725988820125</v>
      </c>
      <c r="AG552" s="3" t="str">
        <f aca="false">IF(ABS(Y552-AD552)&gt;1,"Mismatch","OK")</f>
        <v>OK</v>
      </c>
      <c r="AH552" s="3" t="str">
        <f aca="false">IF(ABS(AA552-AE552)&gt;1,"Mismatch","OK")</f>
        <v>OK</v>
      </c>
      <c r="AI552" s="6" t="n">
        <f aca="false">IF(B552="","",MONTH(B552))</f>
        <v>8</v>
      </c>
      <c r="AJ552" s="6" t="n">
        <f aca="false">IF(B552="","",YEAR(B552))</f>
        <v>2024</v>
      </c>
      <c r="AK552" s="3" t="str">
        <f aca="false">IF(COUNTIF(raw_data!$A$2:$A$913,A552)&gt;1,"Conflicting Duplicate - Flagged for Review","Unique")</f>
        <v>Unique</v>
      </c>
      <c r="AL552" s="3" t="str">
        <f aca="false">IF(AB552="Refunded","Yes","No")</f>
        <v>No</v>
      </c>
      <c r="AM552" s="3" t="str">
        <f aca="false">IF(OR(AC552&lt;&gt;"Completed",AB552="Failed"),"Excluded","Included")</f>
        <v>Included</v>
      </c>
      <c r="AN552" s="3" t="str">
        <f aca="false">IF(OR(D552="Invalid/Unrecognized",E552="Invalid/Unrecognized",G552="Invalid - Ship Before Order",X552="Negative - Invalid",X552="Above Allowed Range - Invalid",AG552="Mismatch",AH552="Mismatch",AK552="Conflicting Duplicate - Flagged for Review"),"Invalid",IF(OR(L552="Filled - Unknown",S552="Filled - Unknown",X552="Missing - Defaulted to 0",AL552="Yes",AC552="Cancelled",AC552="Returned"),"Warning","Clean"))</f>
        <v>Clean</v>
      </c>
    </row>
    <row r="553" customFormat="false" ht="15" hidden="false" customHeight="false" outlineLevel="0" collapsed="false">
      <c r="A553" s="3" t="str">
        <f aca="false">raw_data!A553</f>
        <v>ORD-2024-10552</v>
      </c>
      <c r="B553" s="4" t="n">
        <f aca="false">IFERROR(IF(MID(raw_data!B553,3,1)="/",DATE(VALUE(RIGHT(raw_data!B553,4)),VALUE(LEFT(raw_data!B553,2)),VALUE(MID(raw_data!B553,4,2))),IF(MID(raw_data!B553,3,1)="-",DATE(VALUE(RIGHT(raw_data!B553,4)),VALUE(MID(raw_data!B553,4,2)),VALUE(LEFT(raw_data!B553,2))),IF(MID(raw_data!B553,5,1)="-",DATE(VALUE(LEFT(raw_data!B553,4)),VALUE(MID(raw_data!B553,6,2)),VALUE(RIGHT(raw_data!B553,2))),DATE(VALUE(RIGHT(raw_data!B553,4)),MATCH(MID(raw_data!B553,4,3),{"Jan","Feb","Mar","Apr","May","Jun","Jul","Aug","Sep","Oct","Nov","Dec"},0),VALUE(LEFT(raw_data!B553,2)))))),"")</f>
        <v>45349</v>
      </c>
      <c r="C553" s="4" t="n">
        <f aca="false">IFERROR(IF(MID(raw_data!C553,3,1)="/",DATE(VALUE(RIGHT(raw_data!C553,4)),VALUE(LEFT(raw_data!C553,2)),VALUE(MID(raw_data!C553,4,2))),IF(MID(raw_data!C553,3,1)="-",DATE(VALUE(RIGHT(raw_data!C553,4)),VALUE(MID(raw_data!C553,4,2)),VALUE(LEFT(raw_data!C553,2))),IF(MID(raw_data!C553,5,1)="-",DATE(VALUE(LEFT(raw_data!C553,4)),VALUE(MID(raw_data!C553,6,2)),VALUE(RIGHT(raw_data!C553,2))),DATE(VALUE(RIGHT(raw_data!C553,4)),MATCH(MID(raw_data!C553,4,3),{"Jan","Feb","Mar","Apr","May","Jun","Jul","Aug","Sep","Oct","Nov","Dec"},0),VALUE(LEFT(raw_data!C553,2)))))),"")</f>
        <v>45349</v>
      </c>
      <c r="D553" s="3" t="str">
        <f aca="false">IF(TRIM(raw_data!B553)="","Missing",IF(B553="","Invalid/Unrecognized","Valid"))</f>
        <v>Valid</v>
      </c>
      <c r="E553" s="3" t="str">
        <f aca="false">IF(TRIM(raw_data!C553)="","Missing",IF(C553="","Invalid/Unrecognized","Valid"))</f>
        <v>Valid</v>
      </c>
      <c r="F553" s="5" t="n">
        <f aca="false">IF(OR(B553="",C553=""),"",C553-B553)</f>
        <v>0</v>
      </c>
      <c r="G553" s="3" t="str">
        <f aca="false">IF(F553="","N/A",IF(F553&lt;0,"Invalid - Ship Before Order","OK"))</f>
        <v>OK</v>
      </c>
      <c r="H553" s="3" t="str">
        <f aca="false">raw_data!D553</f>
        <v>CUST-8172</v>
      </c>
      <c r="I553" s="3" t="str">
        <f aca="false">PROPER(TRIM(raw_data!E553))</f>
        <v>Sneha Kapoor</v>
      </c>
      <c r="J553" s="3" t="str">
        <f aca="false">PROPER(TRIM(raw_data!F553))</f>
        <v>Consumer</v>
      </c>
      <c r="K553" s="3" t="str">
        <f aca="false">IF(TRIM(raw_data!G553)="","Unknown",PROPER(TRIM(raw_data!G553)))</f>
        <v>East</v>
      </c>
      <c r="L553" s="3" t="str">
        <f aca="false">IF(TRIM(raw_data!G553)="","Filled - Unknown","OK")</f>
        <v>OK</v>
      </c>
      <c r="M553" s="3" t="str">
        <f aca="false">PROPER(TRIM(raw_data!H553))</f>
        <v>Jharkhand</v>
      </c>
      <c r="N553" s="3" t="str">
        <f aca="false">PROPER(TRIM(raw_data!I553))</f>
        <v>Ranchi</v>
      </c>
      <c r="O553" s="3" t="str">
        <f aca="false">PROPER(TRIM(raw_data!J553))</f>
        <v>Furniture</v>
      </c>
      <c r="P553" s="3" t="str">
        <f aca="false">PROPER(TRIM(raw_data!K553))</f>
        <v>Chairs</v>
      </c>
      <c r="Q553" s="3" t="str">
        <f aca="false">TRIM(raw_data!L553)</f>
        <v>Elite Chairs 314</v>
      </c>
      <c r="R553" s="3" t="str">
        <f aca="false">IF(TRIM(raw_data!M553)="","Unknown",PROPER(TRIM(raw_data!M553)))</f>
        <v>Second Class</v>
      </c>
      <c r="S553" s="3" t="str">
        <f aca="false">IF(TRIM(raw_data!M553)="","Filled - Unknown","OK")</f>
        <v>OK</v>
      </c>
      <c r="T553" s="6" t="n">
        <f aca="false">raw_data!N553</f>
        <v>3</v>
      </c>
      <c r="U553" s="7" t="n">
        <f aca="false">raw_data!O553</f>
        <v>3148.09</v>
      </c>
      <c r="V553" s="8" t="n">
        <f aca="false">raw_data!P553</f>
        <v>0.15</v>
      </c>
      <c r="W553" s="8" t="n">
        <f aca="false">IF(raw_data!P553="",0,IF(ISTEXT(raw_data!P553),IF(RIGHT(raw_data!P553,1)="%",VALUE(LEFT(raw_data!P553,LEN(raw_data!P553)-1))/100,VALUE(raw_data!P553)),raw_data!P553))</f>
        <v>0.15</v>
      </c>
      <c r="X553" s="3" t="str">
        <f aca="false">IF(raw_data!P553="","Missing - Defaulted to 0",IF(W553&lt;0,"Negative - Invalid",IF(W553&gt;0.3,"Above Allowed Range - Invalid","Valid")))</f>
        <v>Valid</v>
      </c>
      <c r="Y553" s="7" t="n">
        <f aca="false">raw_data!Q553</f>
        <v>8027.63</v>
      </c>
      <c r="Z553" s="7" t="n">
        <f aca="false">raw_data!R553</f>
        <v>5496.09</v>
      </c>
      <c r="AA553" s="7" t="n">
        <f aca="false">raw_data!S553</f>
        <v>2531.54</v>
      </c>
      <c r="AB553" s="3" t="str">
        <f aca="false">PROPER(TRIM(raw_data!T553))</f>
        <v>Paid</v>
      </c>
      <c r="AC553" s="3" t="str">
        <f aca="false">PROPER(TRIM(raw_data!U553))</f>
        <v>Completed</v>
      </c>
      <c r="AD553" s="7" t="n">
        <f aca="false">T553*U553*(1-W553)</f>
        <v>8027.6295</v>
      </c>
      <c r="AE553" s="7" t="n">
        <f aca="false">AD553-Z553</f>
        <v>2531.5395</v>
      </c>
      <c r="AF553" s="8" t="n">
        <f aca="false">IF(AD553=0,0,AE553/AD553)</f>
        <v>0.315353305729917</v>
      </c>
      <c r="AG553" s="3" t="str">
        <f aca="false">IF(ABS(Y553-AD553)&gt;1,"Mismatch","OK")</f>
        <v>OK</v>
      </c>
      <c r="AH553" s="3" t="str">
        <f aca="false">IF(ABS(AA553-AE553)&gt;1,"Mismatch","OK")</f>
        <v>OK</v>
      </c>
      <c r="AI553" s="6" t="n">
        <f aca="false">IF(B553="","",MONTH(B553))</f>
        <v>2</v>
      </c>
      <c r="AJ553" s="6" t="n">
        <f aca="false">IF(B553="","",YEAR(B553))</f>
        <v>2024</v>
      </c>
      <c r="AK553" s="3" t="str">
        <f aca="false">IF(COUNTIF(raw_data!$A$2:$A$913,A553)&gt;1,"Conflicting Duplicate - Flagged for Review","Unique")</f>
        <v>Unique</v>
      </c>
      <c r="AL553" s="3" t="str">
        <f aca="false">IF(AB553="Refunded","Yes","No")</f>
        <v>No</v>
      </c>
      <c r="AM553" s="3" t="str">
        <f aca="false">IF(OR(AC553&lt;&gt;"Completed",AB553="Failed"),"Excluded","Included")</f>
        <v>Included</v>
      </c>
      <c r="AN553" s="3" t="str">
        <f aca="false">IF(OR(D553="Invalid/Unrecognized",E553="Invalid/Unrecognized",G553="Invalid - Ship Before Order",X553="Negative - Invalid",X553="Above Allowed Range - Invalid",AG553="Mismatch",AH553="Mismatch",AK553="Conflicting Duplicate - Flagged for Review"),"Invalid",IF(OR(L553="Filled - Unknown",S553="Filled - Unknown",X553="Missing - Defaulted to 0",AL553="Yes",AC553="Cancelled",AC553="Returned"),"Warning","Clean"))</f>
        <v>Clean</v>
      </c>
    </row>
    <row r="554" customFormat="false" ht="15" hidden="false" customHeight="false" outlineLevel="0" collapsed="false">
      <c r="A554" s="3" t="str">
        <f aca="false">raw_data!A554</f>
        <v>ORD-2025-10553</v>
      </c>
      <c r="B554" s="4" t="n">
        <f aca="false">IFERROR(IF(MID(raw_data!B554,3,1)="/",DATE(VALUE(RIGHT(raw_data!B554,4)),VALUE(LEFT(raw_data!B554,2)),VALUE(MID(raw_data!B554,4,2))),IF(MID(raw_data!B554,3,1)="-",DATE(VALUE(RIGHT(raw_data!B554,4)),VALUE(MID(raw_data!B554,4,2)),VALUE(LEFT(raw_data!B554,2))),IF(MID(raw_data!B554,5,1)="-",DATE(VALUE(LEFT(raw_data!B554,4)),VALUE(MID(raw_data!B554,6,2)),VALUE(RIGHT(raw_data!B554,2))),DATE(VALUE(RIGHT(raw_data!B554,4)),MATCH(MID(raw_data!B554,4,3),{"Jan","Feb","Mar","Apr","May","Jun","Jul","Aug","Sep","Oct","Nov","Dec"},0),VALUE(LEFT(raw_data!B554,2)))))),"")</f>
        <v>45681</v>
      </c>
      <c r="C554" s="4" t="n">
        <f aca="false">IFERROR(IF(MID(raw_data!C554,3,1)="/",DATE(VALUE(RIGHT(raw_data!C554,4)),VALUE(LEFT(raw_data!C554,2)),VALUE(MID(raw_data!C554,4,2))),IF(MID(raw_data!C554,3,1)="-",DATE(VALUE(RIGHT(raw_data!C554,4)),VALUE(MID(raw_data!C554,4,2)),VALUE(LEFT(raw_data!C554,2))),IF(MID(raw_data!C554,5,1)="-",DATE(VALUE(LEFT(raw_data!C554,4)),VALUE(MID(raw_data!C554,6,2)),VALUE(RIGHT(raw_data!C554,2))),DATE(VALUE(RIGHT(raw_data!C554,4)),MATCH(MID(raw_data!C554,4,3),{"Jan","Feb","Mar","Apr","May","Jun","Jul","Aug","Sep","Oct","Nov","Dec"},0),VALUE(LEFT(raw_data!C554,2)))))),"")</f>
        <v>45687</v>
      </c>
      <c r="D554" s="3" t="str">
        <f aca="false">IF(TRIM(raw_data!B554)="","Missing",IF(B554="","Invalid/Unrecognized","Valid"))</f>
        <v>Valid</v>
      </c>
      <c r="E554" s="3" t="str">
        <f aca="false">IF(TRIM(raw_data!C554)="","Missing",IF(C554="","Invalid/Unrecognized","Valid"))</f>
        <v>Valid</v>
      </c>
      <c r="F554" s="5" t="n">
        <f aca="false">IF(OR(B554="",C554=""),"",C554-B554)</f>
        <v>6</v>
      </c>
      <c r="G554" s="3" t="str">
        <f aca="false">IF(F554="","N/A",IF(F554&lt;0,"Invalid - Ship Before Order","OK"))</f>
        <v>OK</v>
      </c>
      <c r="H554" s="3" t="str">
        <f aca="false">raw_data!D554</f>
        <v>CUST-8861</v>
      </c>
      <c r="I554" s="3" t="str">
        <f aca="false">PROPER(TRIM(raw_data!E554))</f>
        <v>Ananya Rao</v>
      </c>
      <c r="J554" s="3" t="str">
        <f aca="false">PROPER(TRIM(raw_data!F554))</f>
        <v>Corporate</v>
      </c>
      <c r="K554" s="3" t="str">
        <f aca="false">IF(TRIM(raw_data!G554)="","Unknown",PROPER(TRIM(raw_data!G554)))</f>
        <v>East</v>
      </c>
      <c r="L554" s="3" t="str">
        <f aca="false">IF(TRIM(raw_data!G554)="","Filled - Unknown","OK")</f>
        <v>OK</v>
      </c>
      <c r="M554" s="3" t="str">
        <f aca="false">PROPER(TRIM(raw_data!H554))</f>
        <v>West Bengal</v>
      </c>
      <c r="N554" s="3" t="str">
        <f aca="false">PROPER(TRIM(raw_data!I554))</f>
        <v>Kolkata</v>
      </c>
      <c r="O554" s="3" t="str">
        <f aca="false">PROPER(TRIM(raw_data!J554))</f>
        <v>Technology</v>
      </c>
      <c r="P554" s="3" t="str">
        <f aca="false">PROPER(TRIM(raw_data!K554))</f>
        <v>Copiers</v>
      </c>
      <c r="Q554" s="3" t="str">
        <f aca="false">TRIM(raw_data!L554)</f>
        <v>Pro Copiers 246</v>
      </c>
      <c r="R554" s="3" t="str">
        <f aca="false">IF(TRIM(raw_data!M554)="","Unknown",PROPER(TRIM(raw_data!M554)))</f>
        <v>Standard Class</v>
      </c>
      <c r="S554" s="3" t="str">
        <f aca="false">IF(TRIM(raw_data!M554)="","Filled - Unknown","OK")</f>
        <v>OK</v>
      </c>
      <c r="T554" s="6" t="n">
        <f aca="false">raw_data!N554</f>
        <v>8</v>
      </c>
      <c r="U554" s="7" t="n">
        <f aca="false">raw_data!O554</f>
        <v>312.53</v>
      </c>
      <c r="V554" s="8" t="str">
        <f aca="false">raw_data!P554</f>
        <v>70%</v>
      </c>
      <c r="W554" s="8" t="n">
        <f aca="false">IF(raw_data!P554="",0,IF(ISTEXT(raw_data!P554),IF(RIGHT(raw_data!P554,1)="%",VALUE(LEFT(raw_data!P554,LEN(raw_data!P554)-1))/100,VALUE(raw_data!P554)),raw_data!P554))</f>
        <v>0.7</v>
      </c>
      <c r="X554" s="3" t="str">
        <f aca="false">IF(raw_data!P554="","Missing - Defaulted to 0",IF(W554&lt;0,"Negative - Invalid",IF(W554&gt;0.3,"Above Allowed Range - Invalid","Valid")))</f>
        <v>Above Allowed Range - Invalid</v>
      </c>
      <c r="Y554" s="7" t="n">
        <f aca="false">raw_data!Q554</f>
        <v>1875.18</v>
      </c>
      <c r="Z554" s="7" t="n">
        <f aca="false">raw_data!R554</f>
        <v>1579.17</v>
      </c>
      <c r="AA554" s="7" t="n">
        <f aca="false">raw_data!S554</f>
        <v>296.01</v>
      </c>
      <c r="AB554" s="3" t="str">
        <f aca="false">PROPER(TRIM(raw_data!T554))</f>
        <v>Paid</v>
      </c>
      <c r="AC554" s="3" t="str">
        <f aca="false">PROPER(TRIM(raw_data!U554))</f>
        <v>Completed</v>
      </c>
      <c r="AD554" s="7" t="n">
        <f aca="false">T554*U554*(1-W554)</f>
        <v>750.072</v>
      </c>
      <c r="AE554" s="7" t="n">
        <f aca="false">AD554-Z554</f>
        <v>-829.098</v>
      </c>
      <c r="AF554" s="8" t="n">
        <f aca="false">IF(AD554=0,0,AE554/AD554)</f>
        <v>-1.10535788564298</v>
      </c>
      <c r="AG554" s="3" t="str">
        <f aca="false">IF(ABS(Y554-AD554)&gt;1,"Mismatch","OK")</f>
        <v>Mismatch</v>
      </c>
      <c r="AH554" s="3" t="str">
        <f aca="false">IF(ABS(AA554-AE554)&gt;1,"Mismatch","OK")</f>
        <v>Mismatch</v>
      </c>
      <c r="AI554" s="6" t="n">
        <f aca="false">IF(B554="","",MONTH(B554))</f>
        <v>1</v>
      </c>
      <c r="AJ554" s="6" t="n">
        <f aca="false">IF(B554="","",YEAR(B554))</f>
        <v>2025</v>
      </c>
      <c r="AK554" s="3" t="str">
        <f aca="false">IF(COUNTIF(raw_data!$A$2:$A$913,A554)&gt;1,"Conflicting Duplicate - Flagged for Review","Unique")</f>
        <v>Unique</v>
      </c>
      <c r="AL554" s="3" t="str">
        <f aca="false">IF(AB554="Refunded","Yes","No")</f>
        <v>No</v>
      </c>
      <c r="AM554" s="3" t="str">
        <f aca="false">IF(OR(AC554&lt;&gt;"Completed",AB554="Failed"),"Excluded","Included")</f>
        <v>Included</v>
      </c>
      <c r="AN554" s="3" t="str">
        <f aca="false">IF(OR(D554="Invalid/Unrecognized",E554="Invalid/Unrecognized",G554="Invalid - Ship Before Order",X554="Negative - Invalid",X554="Above Allowed Range - Invalid",AG554="Mismatch",AH554="Mismatch",AK554="Conflicting Duplicate - Flagged for Review"),"Invalid",IF(OR(L554="Filled - Unknown",S554="Filled - Unknown",X554="Missing - Defaulted to 0",AL554="Yes",AC554="Cancelled",AC554="Returned"),"Warning","Clean"))</f>
        <v>Invalid</v>
      </c>
    </row>
    <row r="555" customFormat="false" ht="15" hidden="false" customHeight="false" outlineLevel="0" collapsed="false">
      <c r="A555" s="3" t="str">
        <f aca="false">raw_data!A555</f>
        <v>ORD-2025-10554</v>
      </c>
      <c r="B555" s="4" t="n">
        <f aca="false">IFERROR(IF(MID(raw_data!B555,3,1)="/",DATE(VALUE(RIGHT(raw_data!B555,4)),VALUE(LEFT(raw_data!B555,2)),VALUE(MID(raw_data!B555,4,2))),IF(MID(raw_data!B555,3,1)="-",DATE(VALUE(RIGHT(raw_data!B555,4)),VALUE(MID(raw_data!B555,4,2)),VALUE(LEFT(raw_data!B555,2))),IF(MID(raw_data!B555,5,1)="-",DATE(VALUE(LEFT(raw_data!B555,4)),VALUE(MID(raw_data!B555,6,2)),VALUE(RIGHT(raw_data!B555,2))),DATE(VALUE(RIGHT(raw_data!B555,4)),MATCH(MID(raw_data!B555,4,3),{"Jan","Feb","Mar","Apr","May","Jun","Jul","Aug","Sep","Oct","Nov","Dec"},0),VALUE(LEFT(raw_data!B555,2)))))),"")</f>
        <v>45772</v>
      </c>
      <c r="C555" s="4" t="n">
        <f aca="false">IFERROR(IF(MID(raw_data!C555,3,1)="/",DATE(VALUE(RIGHT(raw_data!C555,4)),VALUE(LEFT(raw_data!C555,2)),VALUE(MID(raw_data!C555,4,2))),IF(MID(raw_data!C555,3,1)="-",DATE(VALUE(RIGHT(raw_data!C555,4)),VALUE(MID(raw_data!C555,4,2)),VALUE(LEFT(raw_data!C555,2))),IF(MID(raw_data!C555,5,1)="-",DATE(VALUE(LEFT(raw_data!C555,4)),VALUE(MID(raw_data!C555,6,2)),VALUE(RIGHT(raw_data!C555,2))),DATE(VALUE(RIGHT(raw_data!C555,4)),MATCH(MID(raw_data!C555,4,3),{"Jan","Feb","Mar","Apr","May","Jun","Jul","Aug","Sep","Oct","Nov","Dec"},0),VALUE(LEFT(raw_data!C555,2)))))),"")</f>
        <v>45775</v>
      </c>
      <c r="D555" s="3" t="str">
        <f aca="false">IF(TRIM(raw_data!B555)="","Missing",IF(B555="","Invalid/Unrecognized","Valid"))</f>
        <v>Valid</v>
      </c>
      <c r="E555" s="3" t="str">
        <f aca="false">IF(TRIM(raw_data!C555)="","Missing",IF(C555="","Invalid/Unrecognized","Valid"))</f>
        <v>Valid</v>
      </c>
      <c r="F555" s="5" t="n">
        <f aca="false">IF(OR(B555="",C555=""),"",C555-B555)</f>
        <v>3</v>
      </c>
      <c r="G555" s="3" t="str">
        <f aca="false">IF(F555="","N/A",IF(F555&lt;0,"Invalid - Ship Before Order","OK"))</f>
        <v>OK</v>
      </c>
      <c r="H555" s="3" t="str">
        <f aca="false">raw_data!D555</f>
        <v>CUST-9241</v>
      </c>
      <c r="I555" s="3" t="str">
        <f aca="false">PROPER(TRIM(raw_data!E555))</f>
        <v>Aarav Sharma</v>
      </c>
      <c r="J555" s="3" t="str">
        <f aca="false">PROPER(TRIM(raw_data!F555))</f>
        <v>Small Business</v>
      </c>
      <c r="K555" s="3" t="str">
        <f aca="false">IF(TRIM(raw_data!G555)="","Unknown",PROPER(TRIM(raw_data!G555)))</f>
        <v>West</v>
      </c>
      <c r="L555" s="3" t="str">
        <f aca="false">IF(TRIM(raw_data!G555)="","Filled - Unknown","OK")</f>
        <v>OK</v>
      </c>
      <c r="M555" s="3" t="str">
        <f aca="false">PROPER(TRIM(raw_data!H555))</f>
        <v>Gujarat</v>
      </c>
      <c r="N555" s="3" t="str">
        <f aca="false">PROPER(TRIM(raw_data!I555))</f>
        <v>Ahmedabad</v>
      </c>
      <c r="O555" s="3" t="str">
        <f aca="false">PROPER(TRIM(raw_data!J555))</f>
        <v>Office Supplies</v>
      </c>
      <c r="P555" s="3" t="str">
        <f aca="false">PROPER(TRIM(raw_data!K555))</f>
        <v>Storage</v>
      </c>
      <c r="Q555" s="3" t="str">
        <f aca="false">TRIM(raw_data!L555)</f>
        <v>Pro Storage 128</v>
      </c>
      <c r="R555" s="3" t="str">
        <f aca="false">IF(TRIM(raw_data!M555)="","Unknown",PROPER(TRIM(raw_data!M555)))</f>
        <v>First Class</v>
      </c>
      <c r="S555" s="3" t="str">
        <f aca="false">IF(TRIM(raw_data!M555)="","Filled - Unknown","OK")</f>
        <v>OK</v>
      </c>
      <c r="T555" s="6" t="n">
        <f aca="false">raw_data!N555</f>
        <v>9</v>
      </c>
      <c r="U555" s="7" t="n">
        <f aca="false">raw_data!O555</f>
        <v>1294.11</v>
      </c>
      <c r="V555" s="8" t="n">
        <f aca="false">raw_data!P555</f>
        <v>0.25</v>
      </c>
      <c r="W555" s="8" t="n">
        <f aca="false">IF(raw_data!P555="",0,IF(ISTEXT(raw_data!P555),IF(RIGHT(raw_data!P555,1)="%",VALUE(LEFT(raw_data!P555,LEN(raw_data!P555)-1))/100,VALUE(raw_data!P555)),raw_data!P555))</f>
        <v>0.25</v>
      </c>
      <c r="X555" s="3" t="str">
        <f aca="false">IF(raw_data!P555="","Missing - Defaulted to 0",IF(W555&lt;0,"Negative - Invalid",IF(W555&gt;0.3,"Above Allowed Range - Invalid","Valid")))</f>
        <v>Valid</v>
      </c>
      <c r="Y555" s="7" t="n">
        <f aca="false">raw_data!Q555</f>
        <v>8735.24</v>
      </c>
      <c r="Z555" s="7" t="n">
        <f aca="false">raw_data!R555</f>
        <v>6620.07</v>
      </c>
      <c r="AA555" s="7" t="n">
        <f aca="false">raw_data!S555</f>
        <v>2115.17</v>
      </c>
      <c r="AB555" s="3" t="str">
        <f aca="false">PROPER(TRIM(raw_data!T555))</f>
        <v>Paid</v>
      </c>
      <c r="AC555" s="3" t="str">
        <f aca="false">PROPER(TRIM(raw_data!U555))</f>
        <v>Completed</v>
      </c>
      <c r="AD555" s="7" t="n">
        <f aca="false">T555*U555*(1-W555)</f>
        <v>8735.2425</v>
      </c>
      <c r="AE555" s="7" t="n">
        <f aca="false">AD555-Z555</f>
        <v>2115.1725</v>
      </c>
      <c r="AF555" s="8" t="n">
        <f aca="false">IF(AD555=0,0,AE555/AD555)</f>
        <v>0.242142390437358</v>
      </c>
      <c r="AG555" s="3" t="str">
        <f aca="false">IF(ABS(Y555-AD555)&gt;1,"Mismatch","OK")</f>
        <v>OK</v>
      </c>
      <c r="AH555" s="3" t="str">
        <f aca="false">IF(ABS(AA555-AE555)&gt;1,"Mismatch","OK")</f>
        <v>OK</v>
      </c>
      <c r="AI555" s="6" t="n">
        <f aca="false">IF(B555="","",MONTH(B555))</f>
        <v>4</v>
      </c>
      <c r="AJ555" s="6" t="n">
        <f aca="false">IF(B555="","",YEAR(B555))</f>
        <v>2025</v>
      </c>
      <c r="AK555" s="3" t="str">
        <f aca="false">IF(COUNTIF(raw_data!$A$2:$A$913,A555)&gt;1,"Conflicting Duplicate - Flagged for Review","Unique")</f>
        <v>Unique</v>
      </c>
      <c r="AL555" s="3" t="str">
        <f aca="false">IF(AB555="Refunded","Yes","No")</f>
        <v>No</v>
      </c>
      <c r="AM555" s="3" t="str">
        <f aca="false">IF(OR(AC555&lt;&gt;"Completed",AB555="Failed"),"Excluded","Included")</f>
        <v>Included</v>
      </c>
      <c r="AN555" s="3" t="str">
        <f aca="false">IF(OR(D555="Invalid/Unrecognized",E555="Invalid/Unrecognized",G555="Invalid - Ship Before Order",X555="Negative - Invalid",X555="Above Allowed Range - Invalid",AG555="Mismatch",AH555="Mismatch",AK555="Conflicting Duplicate - Flagged for Review"),"Invalid",IF(OR(L555="Filled - Unknown",S555="Filled - Unknown",X555="Missing - Defaulted to 0",AL555="Yes",AC555="Cancelled",AC555="Returned"),"Warning","Clean"))</f>
        <v>Clean</v>
      </c>
    </row>
    <row r="556" customFormat="false" ht="15" hidden="false" customHeight="false" outlineLevel="0" collapsed="false">
      <c r="A556" s="3" t="str">
        <f aca="false">raw_data!A556</f>
        <v>ORD-2024-10555</v>
      </c>
      <c r="B556" s="4" t="n">
        <f aca="false">IFERROR(IF(MID(raw_data!B556,3,1)="/",DATE(VALUE(RIGHT(raw_data!B556,4)),VALUE(LEFT(raw_data!B556,2)),VALUE(MID(raw_data!B556,4,2))),IF(MID(raw_data!B556,3,1)="-",DATE(VALUE(RIGHT(raw_data!B556,4)),VALUE(MID(raw_data!B556,4,2)),VALUE(LEFT(raw_data!B556,2))),IF(MID(raw_data!B556,5,1)="-",DATE(VALUE(LEFT(raw_data!B556,4)),VALUE(MID(raw_data!B556,6,2)),VALUE(RIGHT(raw_data!B556,2))),DATE(VALUE(RIGHT(raw_data!B556,4)),MATCH(MID(raw_data!B556,4,3),{"Jan","Feb","Mar","Apr","May","Jun","Jul","Aug","Sep","Oct","Nov","Dec"},0),VALUE(LEFT(raw_data!B556,2)))))),"")</f>
        <v>45577</v>
      </c>
      <c r="C556" s="4" t="n">
        <f aca="false">IFERROR(IF(MID(raw_data!C556,3,1)="/",DATE(VALUE(RIGHT(raw_data!C556,4)),VALUE(LEFT(raw_data!C556,2)),VALUE(MID(raw_data!C556,4,2))),IF(MID(raw_data!C556,3,1)="-",DATE(VALUE(RIGHT(raw_data!C556,4)),VALUE(MID(raw_data!C556,4,2)),VALUE(LEFT(raw_data!C556,2))),IF(MID(raw_data!C556,5,1)="-",DATE(VALUE(LEFT(raw_data!C556,4)),VALUE(MID(raw_data!C556,6,2)),VALUE(RIGHT(raw_data!C556,2))),DATE(VALUE(RIGHT(raw_data!C556,4)),MATCH(MID(raw_data!C556,4,3),{"Jan","Feb","Mar","Apr","May","Jun","Jul","Aug","Sep","Oct","Nov","Dec"},0),VALUE(LEFT(raw_data!C556,2)))))),"")</f>
        <v>45582</v>
      </c>
      <c r="D556" s="3" t="str">
        <f aca="false">IF(TRIM(raw_data!B556)="","Missing",IF(B556="","Invalid/Unrecognized","Valid"))</f>
        <v>Valid</v>
      </c>
      <c r="E556" s="3" t="str">
        <f aca="false">IF(TRIM(raw_data!C556)="","Missing",IF(C556="","Invalid/Unrecognized","Valid"))</f>
        <v>Valid</v>
      </c>
      <c r="F556" s="5" t="n">
        <f aca="false">IF(OR(B556="",C556=""),"",C556-B556)</f>
        <v>5</v>
      </c>
      <c r="G556" s="3" t="str">
        <f aca="false">IF(F556="","N/A",IF(F556&lt;0,"Invalid - Ship Before Order","OK"))</f>
        <v>OK</v>
      </c>
      <c r="H556" s="3" t="str">
        <f aca="false">raw_data!D556</f>
        <v>CUST-2126</v>
      </c>
      <c r="I556" s="3" t="str">
        <f aca="false">PROPER(TRIM(raw_data!E556))</f>
        <v>Arjun Bose</v>
      </c>
      <c r="J556" s="3" t="str">
        <f aca="false">PROPER(TRIM(raw_data!F556))</f>
        <v>Consumer</v>
      </c>
      <c r="K556" s="3" t="str">
        <f aca="false">IF(TRIM(raw_data!G556)="","Unknown",PROPER(TRIM(raw_data!G556)))</f>
        <v>Unknown</v>
      </c>
      <c r="L556" s="3" t="str">
        <f aca="false">IF(TRIM(raw_data!G556)="","Filled - Unknown","OK")</f>
        <v>Filled - Unknown</v>
      </c>
      <c r="M556" s="3" t="str">
        <f aca="false">PROPER(TRIM(raw_data!H556))</f>
        <v>Jharkhand</v>
      </c>
      <c r="N556" s="3" t="str">
        <f aca="false">PROPER(TRIM(raw_data!I556))</f>
        <v>Ranchi</v>
      </c>
      <c r="O556" s="3" t="str">
        <f aca="false">PROPER(TRIM(raw_data!J556))</f>
        <v>Furniture</v>
      </c>
      <c r="P556" s="3" t="str">
        <f aca="false">PROPER(TRIM(raw_data!K556))</f>
        <v>Furnishings</v>
      </c>
      <c r="Q556" s="3" t="str">
        <f aca="false">TRIM(raw_data!L556)</f>
        <v>Prime Furnishings 892</v>
      </c>
      <c r="R556" s="3" t="str">
        <f aca="false">IF(TRIM(raw_data!M556)="","Unknown",PROPER(TRIM(raw_data!M556)))</f>
        <v>Standard Class</v>
      </c>
      <c r="S556" s="3" t="str">
        <f aca="false">IF(TRIM(raw_data!M556)="","Filled - Unknown","OK")</f>
        <v>OK</v>
      </c>
      <c r="T556" s="6" t="n">
        <f aca="false">raw_data!N556</f>
        <v>4</v>
      </c>
      <c r="U556" s="7" t="n">
        <f aca="false">raw_data!O556</f>
        <v>1071.22</v>
      </c>
      <c r="V556" s="8" t="n">
        <f aca="false">raw_data!P556</f>
        <v>0.05</v>
      </c>
      <c r="W556" s="8" t="n">
        <f aca="false">IF(raw_data!P556="",0,IF(ISTEXT(raw_data!P556),IF(RIGHT(raw_data!P556,1)="%",VALUE(LEFT(raw_data!P556,LEN(raw_data!P556)-1))/100,VALUE(raw_data!P556)),raw_data!P556))</f>
        <v>0.05</v>
      </c>
      <c r="X556" s="3" t="str">
        <f aca="false">IF(raw_data!P556="","Missing - Defaulted to 0",IF(W556&lt;0,"Negative - Invalid",IF(W556&gt;0.3,"Above Allowed Range - Invalid","Valid")))</f>
        <v>Valid</v>
      </c>
      <c r="Y556" s="7" t="n">
        <f aca="false">raw_data!Q556</f>
        <v>4070.64</v>
      </c>
      <c r="Z556" s="7" t="n">
        <f aca="false">raw_data!R556</f>
        <v>2831.62</v>
      </c>
      <c r="AA556" s="7" t="n">
        <f aca="false">raw_data!S556</f>
        <v>1239.02</v>
      </c>
      <c r="AB556" s="3" t="str">
        <f aca="false">PROPER(TRIM(raw_data!T556))</f>
        <v>Paid</v>
      </c>
      <c r="AC556" s="3" t="str">
        <f aca="false">PROPER(TRIM(raw_data!U556))</f>
        <v>Completed</v>
      </c>
      <c r="AD556" s="7" t="n">
        <f aca="false">T556*U556*(1-W556)</f>
        <v>4070.636</v>
      </c>
      <c r="AE556" s="7" t="n">
        <f aca="false">AD556-Z556</f>
        <v>1239.016</v>
      </c>
      <c r="AF556" s="8" t="n">
        <f aca="false">IF(AD556=0,0,AE556/AD556)</f>
        <v>0.304378971738077</v>
      </c>
      <c r="AG556" s="3" t="str">
        <f aca="false">IF(ABS(Y556-AD556)&gt;1,"Mismatch","OK")</f>
        <v>OK</v>
      </c>
      <c r="AH556" s="3" t="str">
        <f aca="false">IF(ABS(AA556-AE556)&gt;1,"Mismatch","OK")</f>
        <v>OK</v>
      </c>
      <c r="AI556" s="6" t="n">
        <f aca="false">IF(B556="","",MONTH(B556))</f>
        <v>10</v>
      </c>
      <c r="AJ556" s="6" t="n">
        <f aca="false">IF(B556="","",YEAR(B556))</f>
        <v>2024</v>
      </c>
      <c r="AK556" s="3" t="str">
        <f aca="false">IF(COUNTIF(raw_data!$A$2:$A$913,A556)&gt;1,"Conflicting Duplicate - Flagged for Review","Unique")</f>
        <v>Unique</v>
      </c>
      <c r="AL556" s="3" t="str">
        <f aca="false">IF(AB556="Refunded","Yes","No")</f>
        <v>No</v>
      </c>
      <c r="AM556" s="3" t="str">
        <f aca="false">IF(OR(AC556&lt;&gt;"Completed",AB556="Failed"),"Excluded","Included")</f>
        <v>Included</v>
      </c>
      <c r="AN556" s="3" t="str">
        <f aca="false">IF(OR(D556="Invalid/Unrecognized",E556="Invalid/Unrecognized",G556="Invalid - Ship Before Order",X556="Negative - Invalid",X556="Above Allowed Range - Invalid",AG556="Mismatch",AH556="Mismatch",AK556="Conflicting Duplicate - Flagged for Review"),"Invalid",IF(OR(L556="Filled - Unknown",S556="Filled - Unknown",X556="Missing - Defaulted to 0",AL556="Yes",AC556="Cancelled",AC556="Returned"),"Warning","Clean"))</f>
        <v>Warning</v>
      </c>
    </row>
    <row r="557" customFormat="false" ht="15" hidden="false" customHeight="false" outlineLevel="0" collapsed="false">
      <c r="A557" s="3" t="str">
        <f aca="false">raw_data!A557</f>
        <v>ORD-2025-10556</v>
      </c>
      <c r="B557" s="4" t="n">
        <f aca="false">IFERROR(IF(MID(raw_data!B557,3,1)="/",DATE(VALUE(RIGHT(raw_data!B557,4)),VALUE(LEFT(raw_data!B557,2)),VALUE(MID(raw_data!B557,4,2))),IF(MID(raw_data!B557,3,1)="-",DATE(VALUE(RIGHT(raw_data!B557,4)),VALUE(MID(raw_data!B557,4,2)),VALUE(LEFT(raw_data!B557,2))),IF(MID(raw_data!B557,5,1)="-",DATE(VALUE(LEFT(raw_data!B557,4)),VALUE(MID(raw_data!B557,6,2)),VALUE(RIGHT(raw_data!B557,2))),DATE(VALUE(RIGHT(raw_data!B557,4)),MATCH(MID(raw_data!B557,4,3),{"Jan","Feb","Mar","Apr","May","Jun","Jul","Aug","Sep","Oct","Nov","Dec"},0),VALUE(LEFT(raw_data!B557,2)))))),"")</f>
        <v>45692</v>
      </c>
      <c r="C557" s="4" t="n">
        <f aca="false">IFERROR(IF(MID(raw_data!C557,3,1)="/",DATE(VALUE(RIGHT(raw_data!C557,4)),VALUE(LEFT(raw_data!C557,2)),VALUE(MID(raw_data!C557,4,2))),IF(MID(raw_data!C557,3,1)="-",DATE(VALUE(RIGHT(raw_data!C557,4)),VALUE(MID(raw_data!C557,4,2)),VALUE(LEFT(raw_data!C557,2))),IF(MID(raw_data!C557,5,1)="-",DATE(VALUE(LEFT(raw_data!C557,4)),VALUE(MID(raw_data!C557,6,2)),VALUE(RIGHT(raw_data!C557,2))),DATE(VALUE(RIGHT(raw_data!C557,4)),MATCH(MID(raw_data!C557,4,3),{"Jan","Feb","Mar","Apr","May","Jun","Jul","Aug","Sep","Oct","Nov","Dec"},0),VALUE(LEFT(raw_data!C557,2)))))),"")</f>
        <v>45698</v>
      </c>
      <c r="D557" s="3" t="str">
        <f aca="false">IF(TRIM(raw_data!B557)="","Missing",IF(B557="","Invalid/Unrecognized","Valid"))</f>
        <v>Valid</v>
      </c>
      <c r="E557" s="3" t="str">
        <f aca="false">IF(TRIM(raw_data!C557)="","Missing",IF(C557="","Invalid/Unrecognized","Valid"))</f>
        <v>Valid</v>
      </c>
      <c r="F557" s="5" t="n">
        <f aca="false">IF(OR(B557="",C557=""),"",C557-B557)</f>
        <v>6</v>
      </c>
      <c r="G557" s="3" t="str">
        <f aca="false">IF(F557="","N/A",IF(F557&lt;0,"Invalid - Ship Before Order","OK"))</f>
        <v>OK</v>
      </c>
      <c r="H557" s="3" t="str">
        <f aca="false">raw_data!D557</f>
        <v>CUST-7513</v>
      </c>
      <c r="I557" s="3" t="str">
        <f aca="false">PROPER(TRIM(raw_data!E557))</f>
        <v>Ananya Rao</v>
      </c>
      <c r="J557" s="3" t="str">
        <f aca="false">PROPER(TRIM(raw_data!F557))</f>
        <v>Small Business</v>
      </c>
      <c r="K557" s="3" t="str">
        <f aca="false">IF(TRIM(raw_data!G557)="","Unknown",PROPER(TRIM(raw_data!G557)))</f>
        <v>South</v>
      </c>
      <c r="L557" s="3" t="str">
        <f aca="false">IF(TRIM(raw_data!G557)="","Filled - Unknown","OK")</f>
        <v>OK</v>
      </c>
      <c r="M557" s="3" t="str">
        <f aca="false">PROPER(TRIM(raw_data!H557))</f>
        <v>Telangana</v>
      </c>
      <c r="N557" s="3" t="str">
        <f aca="false">PROPER(TRIM(raw_data!I557))</f>
        <v>Hyderabad</v>
      </c>
      <c r="O557" s="3" t="str">
        <f aca="false">PROPER(TRIM(raw_data!J557))</f>
        <v>Office Supplies</v>
      </c>
      <c r="P557" s="3" t="str">
        <f aca="false">PROPER(TRIM(raw_data!K557))</f>
        <v>Storage</v>
      </c>
      <c r="Q557" s="3" t="str">
        <f aca="false">TRIM(raw_data!L557)</f>
        <v>Prime Storage 689</v>
      </c>
      <c r="R557" s="3" t="str">
        <f aca="false">IF(TRIM(raw_data!M557)="","Unknown",PROPER(TRIM(raw_data!M557)))</f>
        <v>Standard Class</v>
      </c>
      <c r="S557" s="3" t="str">
        <f aca="false">IF(TRIM(raw_data!M557)="","Filled - Unknown","OK")</f>
        <v>OK</v>
      </c>
      <c r="T557" s="6" t="n">
        <f aca="false">raw_data!N557</f>
        <v>6</v>
      </c>
      <c r="U557" s="7" t="n">
        <f aca="false">raw_data!O557</f>
        <v>1042.8</v>
      </c>
      <c r="V557" s="8" t="n">
        <f aca="false">raw_data!P557</f>
        <v>0.05</v>
      </c>
      <c r="W557" s="8" t="n">
        <f aca="false">IF(raw_data!P557="",0,IF(ISTEXT(raw_data!P557),IF(RIGHT(raw_data!P557,1)="%",VALUE(LEFT(raw_data!P557,LEN(raw_data!P557)-1))/100,VALUE(raw_data!P557)),raw_data!P557))</f>
        <v>0.05</v>
      </c>
      <c r="X557" s="3" t="str">
        <f aca="false">IF(raw_data!P557="","Missing - Defaulted to 0",IF(W557&lt;0,"Negative - Invalid",IF(W557&gt;0.3,"Above Allowed Range - Invalid","Valid")))</f>
        <v>Valid</v>
      </c>
      <c r="Y557" s="7" t="n">
        <f aca="false">raw_data!Q557</f>
        <v>5943.96</v>
      </c>
      <c r="Z557" s="7" t="n">
        <f aca="false">raw_data!R557</f>
        <v>3604.14</v>
      </c>
      <c r="AA557" s="7" t="n">
        <f aca="false">raw_data!S557</f>
        <v>2339.82</v>
      </c>
      <c r="AB557" s="3" t="str">
        <f aca="false">PROPER(TRIM(raw_data!T557))</f>
        <v>Paid</v>
      </c>
      <c r="AC557" s="3" t="str">
        <f aca="false">PROPER(TRIM(raw_data!U557))</f>
        <v>Completed</v>
      </c>
      <c r="AD557" s="7" t="n">
        <f aca="false">T557*U557*(1-W557)</f>
        <v>5943.96</v>
      </c>
      <c r="AE557" s="7" t="n">
        <f aca="false">AD557-Z557</f>
        <v>2339.82</v>
      </c>
      <c r="AF557" s="8" t="n">
        <f aca="false">IF(AD557=0,0,AE557/AD557)</f>
        <v>0.393646659802556</v>
      </c>
      <c r="AG557" s="3" t="str">
        <f aca="false">IF(ABS(Y557-AD557)&gt;1,"Mismatch","OK")</f>
        <v>OK</v>
      </c>
      <c r="AH557" s="3" t="str">
        <f aca="false">IF(ABS(AA557-AE557)&gt;1,"Mismatch","OK")</f>
        <v>OK</v>
      </c>
      <c r="AI557" s="6" t="n">
        <f aca="false">IF(B557="","",MONTH(B557))</f>
        <v>2</v>
      </c>
      <c r="AJ557" s="6" t="n">
        <f aca="false">IF(B557="","",YEAR(B557))</f>
        <v>2025</v>
      </c>
      <c r="AK557" s="3" t="str">
        <f aca="false">IF(COUNTIF(raw_data!$A$2:$A$913,A557)&gt;1,"Conflicting Duplicate - Flagged for Review","Unique")</f>
        <v>Unique</v>
      </c>
      <c r="AL557" s="3" t="str">
        <f aca="false">IF(AB557="Refunded","Yes","No")</f>
        <v>No</v>
      </c>
      <c r="AM557" s="3" t="str">
        <f aca="false">IF(OR(AC557&lt;&gt;"Completed",AB557="Failed"),"Excluded","Included")</f>
        <v>Included</v>
      </c>
      <c r="AN557" s="3" t="str">
        <f aca="false">IF(OR(D557="Invalid/Unrecognized",E557="Invalid/Unrecognized",G557="Invalid - Ship Before Order",X557="Negative - Invalid",X557="Above Allowed Range - Invalid",AG557="Mismatch",AH557="Mismatch",AK557="Conflicting Duplicate - Flagged for Review"),"Invalid",IF(OR(L557="Filled - Unknown",S557="Filled - Unknown",X557="Missing - Defaulted to 0",AL557="Yes",AC557="Cancelled",AC557="Returned"),"Warning","Clean"))</f>
        <v>Clean</v>
      </c>
    </row>
    <row r="558" customFormat="false" ht="15" hidden="false" customHeight="false" outlineLevel="0" collapsed="false">
      <c r="A558" s="3" t="str">
        <f aca="false">raw_data!A558</f>
        <v>ORD-2024-10557</v>
      </c>
      <c r="B558" s="4" t="n">
        <f aca="false">IFERROR(IF(MID(raw_data!B558,3,1)="/",DATE(VALUE(RIGHT(raw_data!B558,4)),VALUE(LEFT(raw_data!B558,2)),VALUE(MID(raw_data!B558,4,2))),IF(MID(raw_data!B558,3,1)="-",DATE(VALUE(RIGHT(raw_data!B558,4)),VALUE(MID(raw_data!B558,4,2)),VALUE(LEFT(raw_data!B558,2))),IF(MID(raw_data!B558,5,1)="-",DATE(VALUE(LEFT(raw_data!B558,4)),VALUE(MID(raw_data!B558,6,2)),VALUE(RIGHT(raw_data!B558,2))),DATE(VALUE(RIGHT(raw_data!B558,4)),MATCH(MID(raw_data!B558,4,3),{"Jan","Feb","Mar","Apr","May","Jun","Jul","Aug","Sep","Oct","Nov","Dec"},0),VALUE(LEFT(raw_data!B558,2)))))),"")</f>
        <v>45466</v>
      </c>
      <c r="C558" s="4" t="n">
        <f aca="false">IFERROR(IF(MID(raw_data!C558,3,1)="/",DATE(VALUE(RIGHT(raw_data!C558,4)),VALUE(LEFT(raw_data!C558,2)),VALUE(MID(raw_data!C558,4,2))),IF(MID(raw_data!C558,3,1)="-",DATE(VALUE(RIGHT(raw_data!C558,4)),VALUE(MID(raw_data!C558,4,2)),VALUE(LEFT(raw_data!C558,2))),IF(MID(raw_data!C558,5,1)="-",DATE(VALUE(LEFT(raw_data!C558,4)),VALUE(MID(raw_data!C558,6,2)),VALUE(RIGHT(raw_data!C558,2))),DATE(VALUE(RIGHT(raw_data!C558,4)),MATCH(MID(raw_data!C558,4,3),{"Jan","Feb","Mar","Apr","May","Jun","Jul","Aug","Sep","Oct","Nov","Dec"},0),VALUE(LEFT(raw_data!C558,2)))))),"")</f>
        <v>45472</v>
      </c>
      <c r="D558" s="3" t="str">
        <f aca="false">IF(TRIM(raw_data!B558)="","Missing",IF(B558="","Invalid/Unrecognized","Valid"))</f>
        <v>Valid</v>
      </c>
      <c r="E558" s="3" t="str">
        <f aca="false">IF(TRIM(raw_data!C558)="","Missing",IF(C558="","Invalid/Unrecognized","Valid"))</f>
        <v>Valid</v>
      </c>
      <c r="F558" s="5" t="n">
        <f aca="false">IF(OR(B558="",C558=""),"",C558-B558)</f>
        <v>6</v>
      </c>
      <c r="G558" s="3" t="str">
        <f aca="false">IF(F558="","N/A",IF(F558&lt;0,"Invalid - Ship Before Order","OK"))</f>
        <v>OK</v>
      </c>
      <c r="H558" s="3" t="str">
        <f aca="false">raw_data!D558</f>
        <v>CUST-1992</v>
      </c>
      <c r="I558" s="3" t="str">
        <f aca="false">PROPER(TRIM(raw_data!E558))</f>
        <v>Neha Gupta</v>
      </c>
      <c r="J558" s="3" t="str">
        <f aca="false">PROPER(TRIM(raw_data!F558))</f>
        <v>Consumer</v>
      </c>
      <c r="K558" s="3" t="str">
        <f aca="false">IF(TRIM(raw_data!G558)="","Unknown",PROPER(TRIM(raw_data!G558)))</f>
        <v>North</v>
      </c>
      <c r="L558" s="3" t="str">
        <f aca="false">IF(TRIM(raw_data!G558)="","Filled - Unknown","OK")</f>
        <v>OK</v>
      </c>
      <c r="M558" s="3" t="str">
        <f aca="false">PROPER(TRIM(raw_data!H558))</f>
        <v>Haryana</v>
      </c>
      <c r="N558" s="3" t="str">
        <f aca="false">PROPER(TRIM(raw_data!I558))</f>
        <v>Gurugram</v>
      </c>
      <c r="O558" s="3" t="str">
        <f aca="false">PROPER(TRIM(raw_data!J558))</f>
        <v>Furniture</v>
      </c>
      <c r="P558" s="3" t="str">
        <f aca="false">PROPER(TRIM(raw_data!K558))</f>
        <v>Tables</v>
      </c>
      <c r="Q558" s="3" t="str">
        <f aca="false">TRIM(raw_data!L558)</f>
        <v>Classic Tables 769</v>
      </c>
      <c r="R558" s="3" t="str">
        <f aca="false">IF(TRIM(raw_data!M558)="","Unknown",PROPER(TRIM(raw_data!M558)))</f>
        <v>First Class</v>
      </c>
      <c r="S558" s="3" t="str">
        <f aca="false">IF(TRIM(raw_data!M558)="","Filled - Unknown","OK")</f>
        <v>OK</v>
      </c>
      <c r="T558" s="6" t="n">
        <f aca="false">raw_data!N558</f>
        <v>1</v>
      </c>
      <c r="U558" s="7" t="n">
        <f aca="false">raw_data!O558</f>
        <v>4426.66</v>
      </c>
      <c r="V558" s="8" t="n">
        <f aca="false">raw_data!P558</f>
        <v>0</v>
      </c>
      <c r="W558" s="8" t="n">
        <f aca="false">IF(raw_data!P558="",0,IF(ISTEXT(raw_data!P558),IF(RIGHT(raw_data!P558,1)="%",VALUE(LEFT(raw_data!P558,LEN(raw_data!P558)-1))/100,VALUE(raw_data!P558)),raw_data!P558))</f>
        <v>0</v>
      </c>
      <c r="X558" s="3" t="str">
        <f aca="false">IF(raw_data!P558="","Missing - Defaulted to 0",IF(W558&lt;0,"Negative - Invalid",IF(W558&gt;0.3,"Above Allowed Range - Invalid","Valid")))</f>
        <v>Valid</v>
      </c>
      <c r="Y558" s="7" t="n">
        <f aca="false">raw_data!Q558</f>
        <v>4426.66</v>
      </c>
      <c r="Z558" s="7" t="n">
        <f aca="false">raw_data!R558</f>
        <v>3035.2</v>
      </c>
      <c r="AA558" s="7" t="n">
        <f aca="false">raw_data!S558</f>
        <v>1816.23</v>
      </c>
      <c r="AB558" s="3" t="str">
        <f aca="false">PROPER(TRIM(raw_data!T558))</f>
        <v>Paid</v>
      </c>
      <c r="AC558" s="3" t="str">
        <f aca="false">PROPER(TRIM(raw_data!U558))</f>
        <v>Returned</v>
      </c>
      <c r="AD558" s="7" t="n">
        <f aca="false">T558*U558*(1-W558)</f>
        <v>4426.66</v>
      </c>
      <c r="AE558" s="7" t="n">
        <f aca="false">AD558-Z558</f>
        <v>1391.46</v>
      </c>
      <c r="AF558" s="8" t="n">
        <f aca="false">IF(AD558=0,0,AE558/AD558)</f>
        <v>0.314336316771561</v>
      </c>
      <c r="AG558" s="3" t="str">
        <f aca="false">IF(ABS(Y558-AD558)&gt;1,"Mismatch","OK")</f>
        <v>OK</v>
      </c>
      <c r="AH558" s="3" t="str">
        <f aca="false">IF(ABS(AA558-AE558)&gt;1,"Mismatch","OK")</f>
        <v>Mismatch</v>
      </c>
      <c r="AI558" s="6" t="n">
        <f aca="false">IF(B558="","",MONTH(B558))</f>
        <v>6</v>
      </c>
      <c r="AJ558" s="6" t="n">
        <f aca="false">IF(B558="","",YEAR(B558))</f>
        <v>2024</v>
      </c>
      <c r="AK558" s="3" t="str">
        <f aca="false">IF(COUNTIF(raw_data!$A$2:$A$913,A558)&gt;1,"Conflicting Duplicate - Flagged for Review","Unique")</f>
        <v>Unique</v>
      </c>
      <c r="AL558" s="3" t="str">
        <f aca="false">IF(AB558="Refunded","Yes","No")</f>
        <v>No</v>
      </c>
      <c r="AM558" s="3" t="str">
        <f aca="false">IF(OR(AC558&lt;&gt;"Completed",AB558="Failed"),"Excluded","Included")</f>
        <v>Excluded</v>
      </c>
      <c r="AN558" s="3" t="str">
        <f aca="false">IF(OR(D558="Invalid/Unrecognized",E558="Invalid/Unrecognized",G558="Invalid - Ship Before Order",X558="Negative - Invalid",X558="Above Allowed Range - Invalid",AG558="Mismatch",AH558="Mismatch",AK558="Conflicting Duplicate - Flagged for Review"),"Invalid",IF(OR(L558="Filled - Unknown",S558="Filled - Unknown",X558="Missing - Defaulted to 0",AL558="Yes",AC558="Cancelled",AC558="Returned"),"Warning","Clean"))</f>
        <v>Invalid</v>
      </c>
    </row>
    <row r="559" customFormat="false" ht="15" hidden="false" customHeight="false" outlineLevel="0" collapsed="false">
      <c r="A559" s="3" t="str">
        <f aca="false">raw_data!A559</f>
        <v>ORD-2024-10558</v>
      </c>
      <c r="B559" s="4" t="n">
        <f aca="false">IFERROR(IF(MID(raw_data!B559,3,1)="/",DATE(VALUE(RIGHT(raw_data!B559,4)),VALUE(LEFT(raw_data!B559,2)),VALUE(MID(raw_data!B559,4,2))),IF(MID(raw_data!B559,3,1)="-",DATE(VALUE(RIGHT(raw_data!B559,4)),VALUE(MID(raw_data!B559,4,2)),VALUE(LEFT(raw_data!B559,2))),IF(MID(raw_data!B559,5,1)="-",DATE(VALUE(LEFT(raw_data!B559,4)),VALUE(MID(raw_data!B559,6,2)),VALUE(RIGHT(raw_data!B559,2))),DATE(VALUE(RIGHT(raw_data!B559,4)),MATCH(MID(raw_data!B559,4,3),{"Jan","Feb","Mar","Apr","May","Jun","Jul","Aug","Sep","Oct","Nov","Dec"},0),VALUE(LEFT(raw_data!B559,2)))))),"")</f>
        <v>45420</v>
      </c>
      <c r="C559" s="4" t="n">
        <f aca="false">IFERROR(IF(MID(raw_data!C559,3,1)="/",DATE(VALUE(RIGHT(raw_data!C559,4)),VALUE(LEFT(raw_data!C559,2)),VALUE(MID(raw_data!C559,4,2))),IF(MID(raw_data!C559,3,1)="-",DATE(VALUE(RIGHT(raw_data!C559,4)),VALUE(MID(raw_data!C559,4,2)),VALUE(LEFT(raw_data!C559,2))),IF(MID(raw_data!C559,5,1)="-",DATE(VALUE(LEFT(raw_data!C559,4)),VALUE(MID(raw_data!C559,6,2)),VALUE(RIGHT(raw_data!C559,2))),DATE(VALUE(RIGHT(raw_data!C559,4)),MATCH(MID(raw_data!C559,4,3),{"Jan","Feb","Mar","Apr","May","Jun","Jul","Aug","Sep","Oct","Nov","Dec"},0),VALUE(LEFT(raw_data!C559,2)))))),"")</f>
        <v>45426</v>
      </c>
      <c r="D559" s="3" t="str">
        <f aca="false">IF(TRIM(raw_data!B559)="","Missing",IF(B559="","Invalid/Unrecognized","Valid"))</f>
        <v>Valid</v>
      </c>
      <c r="E559" s="3" t="str">
        <f aca="false">IF(TRIM(raw_data!C559)="","Missing",IF(C559="","Invalid/Unrecognized","Valid"))</f>
        <v>Valid</v>
      </c>
      <c r="F559" s="5" t="n">
        <f aca="false">IF(OR(B559="",C559=""),"",C559-B559)</f>
        <v>6</v>
      </c>
      <c r="G559" s="3" t="str">
        <f aca="false">IF(F559="","N/A",IF(F559&lt;0,"Invalid - Ship Before Order","OK"))</f>
        <v>OK</v>
      </c>
      <c r="H559" s="3" t="str">
        <f aca="false">raw_data!D559</f>
        <v>CUST-8848</v>
      </c>
      <c r="I559" s="3" t="str">
        <f aca="false">PROPER(TRIM(raw_data!E559))</f>
        <v>Vikram Iyer</v>
      </c>
      <c r="J559" s="3" t="str">
        <f aca="false">PROPER(TRIM(raw_data!F559))</f>
        <v>Home Office</v>
      </c>
      <c r="K559" s="3" t="str">
        <f aca="false">IF(TRIM(raw_data!G559)="","Unknown",PROPER(TRIM(raw_data!G559)))</f>
        <v>North</v>
      </c>
      <c r="L559" s="3" t="str">
        <f aca="false">IF(TRIM(raw_data!G559)="","Filled - Unknown","OK")</f>
        <v>OK</v>
      </c>
      <c r="M559" s="3" t="str">
        <f aca="false">PROPER(TRIM(raw_data!H559))</f>
        <v>Haryana</v>
      </c>
      <c r="N559" s="3" t="str">
        <f aca="false">PROPER(TRIM(raw_data!I559))</f>
        <v>Gurugram</v>
      </c>
      <c r="O559" s="3" t="str">
        <f aca="false">PROPER(TRIM(raw_data!J559))</f>
        <v>Technology</v>
      </c>
      <c r="P559" s="3" t="str">
        <f aca="false">PROPER(TRIM(raw_data!K559))</f>
        <v>Phones</v>
      </c>
      <c r="Q559" s="3" t="str">
        <f aca="false">TRIM(raw_data!L559)</f>
        <v>Prime Phones 503</v>
      </c>
      <c r="R559" s="3" t="str">
        <f aca="false">IF(TRIM(raw_data!M559)="","Unknown",PROPER(TRIM(raw_data!M559)))</f>
        <v>First Class</v>
      </c>
      <c r="S559" s="3" t="str">
        <f aca="false">IF(TRIM(raw_data!M559)="","Filled - Unknown","OK")</f>
        <v>OK</v>
      </c>
      <c r="T559" s="6" t="n">
        <f aca="false">raw_data!N559</f>
        <v>9</v>
      </c>
      <c r="U559" s="7" t="n">
        <f aca="false">raw_data!O559</f>
        <v>3769.46</v>
      </c>
      <c r="V559" s="8" t="n">
        <f aca="false">raw_data!P559</f>
        <v>0.05</v>
      </c>
      <c r="W559" s="8" t="n">
        <f aca="false">IF(raw_data!P559="",0,IF(ISTEXT(raw_data!P559),IF(RIGHT(raw_data!P559,1)="%",VALUE(LEFT(raw_data!P559,LEN(raw_data!P559)-1))/100,VALUE(raw_data!P559)),raw_data!P559))</f>
        <v>0.05</v>
      </c>
      <c r="X559" s="3" t="str">
        <f aca="false">IF(raw_data!P559="","Missing - Defaulted to 0",IF(W559&lt;0,"Negative - Invalid",IF(W559&gt;0.3,"Above Allowed Range - Invalid","Valid")))</f>
        <v>Valid</v>
      </c>
      <c r="Y559" s="7" t="n">
        <f aca="false">raw_data!Q559</f>
        <v>32228.88</v>
      </c>
      <c r="Z559" s="7" t="n">
        <f aca="false">raw_data!R559</f>
        <v>24971.36</v>
      </c>
      <c r="AA559" s="7" t="n">
        <f aca="false">raw_data!S559</f>
        <v>7257.52</v>
      </c>
      <c r="AB559" s="3" t="str">
        <f aca="false">PROPER(TRIM(raw_data!T559))</f>
        <v>Paid</v>
      </c>
      <c r="AC559" s="3" t="str">
        <f aca="false">PROPER(TRIM(raw_data!U559))</f>
        <v>Cancelled</v>
      </c>
      <c r="AD559" s="7" t="n">
        <f aca="false">T559*U559*(1-W559)</f>
        <v>32228.883</v>
      </c>
      <c r="AE559" s="7" t="n">
        <f aca="false">AD559-Z559</f>
        <v>7257.523</v>
      </c>
      <c r="AF559" s="8" t="n">
        <f aca="false">IF(AD559=0,0,AE559/AD559)</f>
        <v>0.225186923170747</v>
      </c>
      <c r="AG559" s="3" t="str">
        <f aca="false">IF(ABS(Y559-AD559)&gt;1,"Mismatch","OK")</f>
        <v>OK</v>
      </c>
      <c r="AH559" s="3" t="str">
        <f aca="false">IF(ABS(AA559-AE559)&gt;1,"Mismatch","OK")</f>
        <v>OK</v>
      </c>
      <c r="AI559" s="6" t="n">
        <f aca="false">IF(B559="","",MONTH(B559))</f>
        <v>5</v>
      </c>
      <c r="AJ559" s="6" t="n">
        <f aca="false">IF(B559="","",YEAR(B559))</f>
        <v>2024</v>
      </c>
      <c r="AK559" s="3" t="str">
        <f aca="false">IF(COUNTIF(raw_data!$A$2:$A$913,A559)&gt;1,"Conflicting Duplicate - Flagged for Review","Unique")</f>
        <v>Unique</v>
      </c>
      <c r="AL559" s="3" t="str">
        <f aca="false">IF(AB559="Refunded","Yes","No")</f>
        <v>No</v>
      </c>
      <c r="AM559" s="3" t="str">
        <f aca="false">IF(OR(AC559&lt;&gt;"Completed",AB559="Failed"),"Excluded","Included")</f>
        <v>Excluded</v>
      </c>
      <c r="AN559" s="3" t="str">
        <f aca="false">IF(OR(D559="Invalid/Unrecognized",E559="Invalid/Unrecognized",G559="Invalid - Ship Before Order",X559="Negative - Invalid",X559="Above Allowed Range - Invalid",AG559="Mismatch",AH559="Mismatch",AK559="Conflicting Duplicate - Flagged for Review"),"Invalid",IF(OR(L559="Filled - Unknown",S559="Filled - Unknown",X559="Missing - Defaulted to 0",AL559="Yes",AC559="Cancelled",AC559="Returned"),"Warning","Clean"))</f>
        <v>Warning</v>
      </c>
    </row>
    <row r="560" customFormat="false" ht="15" hidden="false" customHeight="false" outlineLevel="0" collapsed="false">
      <c r="A560" s="3" t="str">
        <f aca="false">raw_data!A560</f>
        <v>ORD-2025-10559</v>
      </c>
      <c r="B560" s="4" t="n">
        <f aca="false">IFERROR(IF(MID(raw_data!B560,3,1)="/",DATE(VALUE(RIGHT(raw_data!B560,4)),VALUE(LEFT(raw_data!B560,2)),VALUE(MID(raw_data!B560,4,2))),IF(MID(raw_data!B560,3,1)="-",DATE(VALUE(RIGHT(raw_data!B560,4)),VALUE(MID(raw_data!B560,4,2)),VALUE(LEFT(raw_data!B560,2))),IF(MID(raw_data!B560,5,1)="-",DATE(VALUE(LEFT(raw_data!B560,4)),VALUE(MID(raw_data!B560,6,2)),VALUE(RIGHT(raw_data!B560,2))),DATE(VALUE(RIGHT(raw_data!B560,4)),MATCH(MID(raw_data!B560,4,3),{"Jan","Feb","Mar","Apr","May","Jun","Jul","Aug","Sep","Oct","Nov","Dec"},0),VALUE(LEFT(raw_data!B560,2)))))),"")</f>
        <v>45904</v>
      </c>
      <c r="C560" s="4" t="n">
        <f aca="false">IFERROR(IF(MID(raw_data!C560,3,1)="/",DATE(VALUE(RIGHT(raw_data!C560,4)),VALUE(LEFT(raw_data!C560,2)),VALUE(MID(raw_data!C560,4,2))),IF(MID(raw_data!C560,3,1)="-",DATE(VALUE(RIGHT(raw_data!C560,4)),VALUE(MID(raw_data!C560,4,2)),VALUE(LEFT(raw_data!C560,2))),IF(MID(raw_data!C560,5,1)="-",DATE(VALUE(LEFT(raw_data!C560,4)),VALUE(MID(raw_data!C560,6,2)),VALUE(RIGHT(raw_data!C560,2))),DATE(VALUE(RIGHT(raw_data!C560,4)),MATCH(MID(raw_data!C560,4,3),{"Jan","Feb","Mar","Apr","May","Jun","Jul","Aug","Sep","Oct","Nov","Dec"},0),VALUE(LEFT(raw_data!C560,2)))))),"")</f>
        <v>45904</v>
      </c>
      <c r="D560" s="3" t="str">
        <f aca="false">IF(TRIM(raw_data!B560)="","Missing",IF(B560="","Invalid/Unrecognized","Valid"))</f>
        <v>Valid</v>
      </c>
      <c r="E560" s="3" t="str">
        <f aca="false">IF(TRIM(raw_data!C560)="","Missing",IF(C560="","Invalid/Unrecognized","Valid"))</f>
        <v>Valid</v>
      </c>
      <c r="F560" s="5" t="n">
        <f aca="false">IF(OR(B560="",C560=""),"",C560-B560)</f>
        <v>0</v>
      </c>
      <c r="G560" s="3" t="str">
        <f aca="false">IF(F560="","N/A",IF(F560&lt;0,"Invalid - Ship Before Order","OK"))</f>
        <v>OK</v>
      </c>
      <c r="H560" s="3" t="str">
        <f aca="false">raw_data!D560</f>
        <v>CUST-9368</v>
      </c>
      <c r="I560" s="3" t="str">
        <f aca="false">PROPER(TRIM(raw_data!E560))</f>
        <v>Aditi Sen</v>
      </c>
      <c r="J560" s="3" t="str">
        <f aca="false">PROPER(TRIM(raw_data!F560))</f>
        <v>Corporate</v>
      </c>
      <c r="K560" s="3" t="str">
        <f aca="false">IF(TRIM(raw_data!G560)="","Unknown",PROPER(TRIM(raw_data!G560)))</f>
        <v>North</v>
      </c>
      <c r="L560" s="3" t="str">
        <f aca="false">IF(TRIM(raw_data!G560)="","Filled - Unknown","OK")</f>
        <v>OK</v>
      </c>
      <c r="M560" s="3" t="str">
        <f aca="false">PROPER(TRIM(raw_data!H560))</f>
        <v>Punjab</v>
      </c>
      <c r="N560" s="3" t="str">
        <f aca="false">PROPER(TRIM(raw_data!I560))</f>
        <v>Ludhiana</v>
      </c>
      <c r="O560" s="3" t="str">
        <f aca="false">PROPER(TRIM(raw_data!J560))</f>
        <v>Technology</v>
      </c>
      <c r="P560" s="3" t="str">
        <f aca="false">PROPER(TRIM(raw_data!K560))</f>
        <v>Machines</v>
      </c>
      <c r="Q560" s="3" t="str">
        <f aca="false">TRIM(raw_data!L560)</f>
        <v>Basic Machines 136</v>
      </c>
      <c r="R560" s="3" t="str">
        <f aca="false">IF(TRIM(raw_data!M560)="","Unknown",PROPER(TRIM(raw_data!M560)))</f>
        <v>First Class</v>
      </c>
      <c r="S560" s="3" t="str">
        <f aca="false">IF(TRIM(raw_data!M560)="","Filled - Unknown","OK")</f>
        <v>OK</v>
      </c>
      <c r="T560" s="6" t="n">
        <f aca="false">raw_data!N560</f>
        <v>8</v>
      </c>
      <c r="U560" s="7" t="n">
        <f aca="false">raw_data!O560</f>
        <v>3079.95</v>
      </c>
      <c r="V560" s="8" t="n">
        <f aca="false">raw_data!P560</f>
        <v>0.2</v>
      </c>
      <c r="W560" s="8" t="n">
        <f aca="false">IF(raw_data!P560="",0,IF(ISTEXT(raw_data!P560),IF(RIGHT(raw_data!P560,1)="%",VALUE(LEFT(raw_data!P560,LEN(raw_data!P560)-1))/100,VALUE(raw_data!P560)),raw_data!P560))</f>
        <v>0.2</v>
      </c>
      <c r="X560" s="3" t="str">
        <f aca="false">IF(raw_data!P560="","Missing - Defaulted to 0",IF(W560&lt;0,"Negative - Invalid",IF(W560&gt;0.3,"Above Allowed Range - Invalid","Valid")))</f>
        <v>Valid</v>
      </c>
      <c r="Y560" s="7" t="n">
        <f aca="false">raw_data!Q560</f>
        <v>19711.68</v>
      </c>
      <c r="Z560" s="7" t="n">
        <f aca="false">raw_data!R560</f>
        <v>14461.8</v>
      </c>
      <c r="AA560" s="7" t="n">
        <f aca="false">raw_data!S560</f>
        <v>5249.88</v>
      </c>
      <c r="AB560" s="3" t="str">
        <f aca="false">PROPER(TRIM(raw_data!T560))</f>
        <v>Paid</v>
      </c>
      <c r="AC560" s="3" t="str">
        <f aca="false">PROPER(TRIM(raw_data!U560))</f>
        <v>Completed</v>
      </c>
      <c r="AD560" s="7" t="n">
        <f aca="false">T560*U560*(1-W560)</f>
        <v>19711.68</v>
      </c>
      <c r="AE560" s="7" t="n">
        <f aca="false">AD560-Z560</f>
        <v>5249.88</v>
      </c>
      <c r="AF560" s="8" t="n">
        <f aca="false">IF(AD560=0,0,AE560/AD560)</f>
        <v>0.266333463205572</v>
      </c>
      <c r="AG560" s="3" t="str">
        <f aca="false">IF(ABS(Y560-AD560)&gt;1,"Mismatch","OK")</f>
        <v>OK</v>
      </c>
      <c r="AH560" s="3" t="str">
        <f aca="false">IF(ABS(AA560-AE560)&gt;1,"Mismatch","OK")</f>
        <v>OK</v>
      </c>
      <c r="AI560" s="6" t="n">
        <f aca="false">IF(B560="","",MONTH(B560))</f>
        <v>9</v>
      </c>
      <c r="AJ560" s="6" t="n">
        <f aca="false">IF(B560="","",YEAR(B560))</f>
        <v>2025</v>
      </c>
      <c r="AK560" s="3" t="str">
        <f aca="false">IF(COUNTIF(raw_data!$A$2:$A$913,A560)&gt;1,"Conflicting Duplicate - Flagged for Review","Unique")</f>
        <v>Unique</v>
      </c>
      <c r="AL560" s="3" t="str">
        <f aca="false">IF(AB560="Refunded","Yes","No")</f>
        <v>No</v>
      </c>
      <c r="AM560" s="3" t="str">
        <f aca="false">IF(OR(AC560&lt;&gt;"Completed",AB560="Failed"),"Excluded","Included")</f>
        <v>Included</v>
      </c>
      <c r="AN560" s="3" t="str">
        <f aca="false">IF(OR(D560="Invalid/Unrecognized",E560="Invalid/Unrecognized",G560="Invalid - Ship Before Order",X560="Negative - Invalid",X560="Above Allowed Range - Invalid",AG560="Mismatch",AH560="Mismatch",AK560="Conflicting Duplicate - Flagged for Review"),"Invalid",IF(OR(L560="Filled - Unknown",S560="Filled - Unknown",X560="Missing - Defaulted to 0",AL560="Yes",AC560="Cancelled",AC560="Returned"),"Warning","Clean"))</f>
        <v>Clean</v>
      </c>
    </row>
    <row r="561" customFormat="false" ht="15" hidden="false" customHeight="false" outlineLevel="0" collapsed="false">
      <c r="A561" s="3" t="str">
        <f aca="false">raw_data!A561</f>
        <v>ORD-2025-10560</v>
      </c>
      <c r="B561" s="4" t="n">
        <f aca="false">IFERROR(IF(MID(raw_data!B561,3,1)="/",DATE(VALUE(RIGHT(raw_data!B561,4)),VALUE(LEFT(raw_data!B561,2)),VALUE(MID(raw_data!B561,4,2))),IF(MID(raw_data!B561,3,1)="-",DATE(VALUE(RIGHT(raw_data!B561,4)),VALUE(MID(raw_data!B561,4,2)),VALUE(LEFT(raw_data!B561,2))),IF(MID(raw_data!B561,5,1)="-",DATE(VALUE(LEFT(raw_data!B561,4)),VALUE(MID(raw_data!B561,6,2)),VALUE(RIGHT(raw_data!B561,2))),DATE(VALUE(RIGHT(raw_data!B561,4)),MATCH(MID(raw_data!B561,4,3),{"Jan","Feb","Mar","Apr","May","Jun","Jul","Aug","Sep","Oct","Nov","Dec"},0),VALUE(LEFT(raw_data!B561,2)))))),"")</f>
        <v>45930</v>
      </c>
      <c r="C561" s="4" t="n">
        <f aca="false">IFERROR(IF(MID(raw_data!C561,3,1)="/",DATE(VALUE(RIGHT(raw_data!C561,4)),VALUE(LEFT(raw_data!C561,2)),VALUE(MID(raw_data!C561,4,2))),IF(MID(raw_data!C561,3,1)="-",DATE(VALUE(RIGHT(raw_data!C561,4)),VALUE(MID(raw_data!C561,4,2)),VALUE(LEFT(raw_data!C561,2))),IF(MID(raw_data!C561,5,1)="-",DATE(VALUE(LEFT(raw_data!C561,4)),VALUE(MID(raw_data!C561,6,2)),VALUE(RIGHT(raw_data!C561,2))),DATE(VALUE(RIGHT(raw_data!C561,4)),MATCH(MID(raw_data!C561,4,3),{"Jan","Feb","Mar","Apr","May","Jun","Jul","Aug","Sep","Oct","Nov","Dec"},0),VALUE(LEFT(raw_data!C561,2)))))),"")</f>
        <v>45937</v>
      </c>
      <c r="D561" s="3" t="str">
        <f aca="false">IF(TRIM(raw_data!B561)="","Missing",IF(B561="","Invalid/Unrecognized","Valid"))</f>
        <v>Valid</v>
      </c>
      <c r="E561" s="3" t="str">
        <f aca="false">IF(TRIM(raw_data!C561)="","Missing",IF(C561="","Invalid/Unrecognized","Valid"))</f>
        <v>Valid</v>
      </c>
      <c r="F561" s="5" t="n">
        <f aca="false">IF(OR(B561="",C561=""),"",C561-B561)</f>
        <v>7</v>
      </c>
      <c r="G561" s="3" t="str">
        <f aca="false">IF(F561="","N/A",IF(F561&lt;0,"Invalid - Ship Before Order","OK"))</f>
        <v>OK</v>
      </c>
      <c r="H561" s="3" t="str">
        <f aca="false">raw_data!D561</f>
        <v>CUST-6797</v>
      </c>
      <c r="I561" s="3" t="str">
        <f aca="false">PROPER(TRIM(raw_data!E561))</f>
        <v>Diya Patel</v>
      </c>
      <c r="J561" s="3" t="str">
        <f aca="false">PROPER(TRIM(raw_data!F561))</f>
        <v>Corporate</v>
      </c>
      <c r="K561" s="3" t="str">
        <f aca="false">IF(TRIM(raw_data!G561)="","Unknown",PROPER(TRIM(raw_data!G561)))</f>
        <v>East</v>
      </c>
      <c r="L561" s="3" t="str">
        <f aca="false">IF(TRIM(raw_data!G561)="","Filled - Unknown","OK")</f>
        <v>OK</v>
      </c>
      <c r="M561" s="3" t="str">
        <f aca="false">PROPER(TRIM(raw_data!H561))</f>
        <v>Bihar</v>
      </c>
      <c r="N561" s="3" t="str">
        <f aca="false">PROPER(TRIM(raw_data!I561))</f>
        <v>Patna</v>
      </c>
      <c r="O561" s="3" t="str">
        <f aca="false">PROPER(TRIM(raw_data!J561))</f>
        <v>Technology</v>
      </c>
      <c r="P561" s="3" t="str">
        <f aca="false">PROPER(TRIM(raw_data!K561))</f>
        <v>Copiers</v>
      </c>
      <c r="Q561" s="3" t="str">
        <f aca="false">TRIM(raw_data!L561)</f>
        <v>Basic Copiers 512</v>
      </c>
      <c r="R561" s="3" t="str">
        <f aca="false">IF(TRIM(raw_data!M561)="","Unknown",PROPER(TRIM(raw_data!M561)))</f>
        <v>Second Class</v>
      </c>
      <c r="S561" s="3" t="str">
        <f aca="false">IF(TRIM(raw_data!M561)="","Filled - Unknown","OK")</f>
        <v>OK</v>
      </c>
      <c r="T561" s="6" t="n">
        <f aca="false">raw_data!N561</f>
        <v>5</v>
      </c>
      <c r="U561" s="7" t="n">
        <f aca="false">raw_data!O561</f>
        <v>3277.82</v>
      </c>
      <c r="V561" s="8" t="n">
        <f aca="false">raw_data!P561</f>
        <v>0.1</v>
      </c>
      <c r="W561" s="8" t="n">
        <f aca="false">IF(raw_data!P561="",0,IF(ISTEXT(raw_data!P561),IF(RIGHT(raw_data!P561,1)="%",VALUE(LEFT(raw_data!P561,LEN(raw_data!P561)-1))/100,VALUE(raw_data!P561)),raw_data!P561))</f>
        <v>0.1</v>
      </c>
      <c r="X561" s="3" t="str">
        <f aca="false">IF(raw_data!P561="","Missing - Defaulted to 0",IF(W561&lt;0,"Negative - Invalid",IF(W561&gt;0.3,"Above Allowed Range - Invalid","Valid")))</f>
        <v>Valid</v>
      </c>
      <c r="Y561" s="7" t="n">
        <f aca="false">raw_data!Q561</f>
        <v>14750.19</v>
      </c>
      <c r="Z561" s="7" t="n">
        <f aca="false">raw_data!R561</f>
        <v>9482.58</v>
      </c>
      <c r="AA561" s="7" t="n">
        <f aca="false">raw_data!S561</f>
        <v>5267.61</v>
      </c>
      <c r="AB561" s="3" t="str">
        <f aca="false">PROPER(TRIM(raw_data!T561))</f>
        <v>Paid</v>
      </c>
      <c r="AC561" s="3" t="str">
        <f aca="false">PROPER(TRIM(raw_data!U561))</f>
        <v>Returned</v>
      </c>
      <c r="AD561" s="7" t="n">
        <f aca="false">T561*U561*(1-W561)</f>
        <v>14750.19</v>
      </c>
      <c r="AE561" s="7" t="n">
        <f aca="false">AD561-Z561</f>
        <v>5267.61</v>
      </c>
      <c r="AF561" s="8" t="n">
        <f aca="false">IF(AD561=0,0,AE561/AD561)</f>
        <v>0.357121501485744</v>
      </c>
      <c r="AG561" s="3" t="str">
        <f aca="false">IF(ABS(Y561-AD561)&gt;1,"Mismatch","OK")</f>
        <v>OK</v>
      </c>
      <c r="AH561" s="3" t="str">
        <f aca="false">IF(ABS(AA561-AE561)&gt;1,"Mismatch","OK")</f>
        <v>OK</v>
      </c>
      <c r="AI561" s="6" t="n">
        <f aca="false">IF(B561="","",MONTH(B561))</f>
        <v>9</v>
      </c>
      <c r="AJ561" s="6" t="n">
        <f aca="false">IF(B561="","",YEAR(B561))</f>
        <v>2025</v>
      </c>
      <c r="AK561" s="3" t="str">
        <f aca="false">IF(COUNTIF(raw_data!$A$2:$A$913,A561)&gt;1,"Conflicting Duplicate - Flagged for Review","Unique")</f>
        <v>Unique</v>
      </c>
      <c r="AL561" s="3" t="str">
        <f aca="false">IF(AB561="Refunded","Yes","No")</f>
        <v>No</v>
      </c>
      <c r="AM561" s="3" t="str">
        <f aca="false">IF(OR(AC561&lt;&gt;"Completed",AB561="Failed"),"Excluded","Included")</f>
        <v>Excluded</v>
      </c>
      <c r="AN561" s="3" t="str">
        <f aca="false">IF(OR(D561="Invalid/Unrecognized",E561="Invalid/Unrecognized",G561="Invalid - Ship Before Order",X561="Negative - Invalid",X561="Above Allowed Range - Invalid",AG561="Mismatch",AH561="Mismatch",AK561="Conflicting Duplicate - Flagged for Review"),"Invalid",IF(OR(L561="Filled - Unknown",S561="Filled - Unknown",X561="Missing - Defaulted to 0",AL561="Yes",AC561="Cancelled",AC561="Returned"),"Warning","Clean"))</f>
        <v>Warning</v>
      </c>
    </row>
    <row r="562" customFormat="false" ht="15" hidden="false" customHeight="false" outlineLevel="0" collapsed="false">
      <c r="A562" s="3" t="str">
        <f aca="false">raw_data!A562</f>
        <v>ORD-2024-10561</v>
      </c>
      <c r="B562" s="4" t="n">
        <f aca="false">IFERROR(IF(MID(raw_data!B562,3,1)="/",DATE(VALUE(RIGHT(raw_data!B562,4)),VALUE(LEFT(raw_data!B562,2)),VALUE(MID(raw_data!B562,4,2))),IF(MID(raw_data!B562,3,1)="-",DATE(VALUE(RIGHT(raw_data!B562,4)),VALUE(MID(raw_data!B562,4,2)),VALUE(LEFT(raw_data!B562,2))),IF(MID(raw_data!B562,5,1)="-",DATE(VALUE(LEFT(raw_data!B562,4)),VALUE(MID(raw_data!B562,6,2)),VALUE(RIGHT(raw_data!B562,2))),DATE(VALUE(RIGHT(raw_data!B562,4)),MATCH(MID(raw_data!B562,4,3),{"Jan","Feb","Mar","Apr","May","Jun","Jul","Aug","Sep","Oct","Nov","Dec"},0),VALUE(LEFT(raw_data!B562,2)))))),"")</f>
        <v>45307</v>
      </c>
      <c r="C562" s="4" t="n">
        <f aca="false">IFERROR(IF(MID(raw_data!C562,3,1)="/",DATE(VALUE(RIGHT(raw_data!C562,4)),VALUE(LEFT(raw_data!C562,2)),VALUE(MID(raw_data!C562,4,2))),IF(MID(raw_data!C562,3,1)="-",DATE(VALUE(RIGHT(raw_data!C562,4)),VALUE(MID(raw_data!C562,4,2)),VALUE(LEFT(raw_data!C562,2))),IF(MID(raw_data!C562,5,1)="-",DATE(VALUE(LEFT(raw_data!C562,4)),VALUE(MID(raw_data!C562,6,2)),VALUE(RIGHT(raw_data!C562,2))),DATE(VALUE(RIGHT(raw_data!C562,4)),MATCH(MID(raw_data!C562,4,3),{"Jan","Feb","Mar","Apr","May","Jun","Jul","Aug","Sep","Oct","Nov","Dec"},0),VALUE(LEFT(raw_data!C562,2)))))),"")</f>
        <v>45313</v>
      </c>
      <c r="D562" s="3" t="str">
        <f aca="false">IF(TRIM(raw_data!B562)="","Missing",IF(B562="","Invalid/Unrecognized","Valid"))</f>
        <v>Valid</v>
      </c>
      <c r="E562" s="3" t="str">
        <f aca="false">IF(TRIM(raw_data!C562)="","Missing",IF(C562="","Invalid/Unrecognized","Valid"))</f>
        <v>Valid</v>
      </c>
      <c r="F562" s="5" t="n">
        <f aca="false">IF(OR(B562="",C562=""),"",C562-B562)</f>
        <v>6</v>
      </c>
      <c r="G562" s="3" t="str">
        <f aca="false">IF(F562="","N/A",IF(F562&lt;0,"Invalid - Ship Before Order","OK"))</f>
        <v>OK</v>
      </c>
      <c r="H562" s="3" t="str">
        <f aca="false">raw_data!D562</f>
        <v>CUST-9333</v>
      </c>
      <c r="I562" s="3" t="str">
        <f aca="false">PROPER(TRIM(raw_data!E562))</f>
        <v>Arjun Bose</v>
      </c>
      <c r="J562" s="3" t="str">
        <f aca="false">PROPER(TRIM(raw_data!F562))</f>
        <v>Consumer</v>
      </c>
      <c r="K562" s="3" t="str">
        <f aca="false">IF(TRIM(raw_data!G562)="","Unknown",PROPER(TRIM(raw_data!G562)))</f>
        <v>West</v>
      </c>
      <c r="L562" s="3" t="str">
        <f aca="false">IF(TRIM(raw_data!G562)="","Filled - Unknown","OK")</f>
        <v>OK</v>
      </c>
      <c r="M562" s="3" t="str">
        <f aca="false">PROPER(TRIM(raw_data!H562))</f>
        <v>Goa</v>
      </c>
      <c r="N562" s="3" t="str">
        <f aca="false">PROPER(TRIM(raw_data!I562))</f>
        <v>Panaji</v>
      </c>
      <c r="O562" s="3" t="str">
        <f aca="false">PROPER(TRIM(raw_data!J562))</f>
        <v>Office Supplies</v>
      </c>
      <c r="P562" s="3" t="str">
        <f aca="false">PROPER(TRIM(raw_data!K562))</f>
        <v>Storage</v>
      </c>
      <c r="Q562" s="3" t="str">
        <f aca="false">TRIM(raw_data!L562)</f>
        <v>Smart Storage 767</v>
      </c>
      <c r="R562" s="3" t="str">
        <f aca="false">IF(TRIM(raw_data!M562)="","Unknown",PROPER(TRIM(raw_data!M562)))</f>
        <v>Standard Class</v>
      </c>
      <c r="S562" s="3" t="str">
        <f aca="false">IF(TRIM(raw_data!M562)="","Filled - Unknown","OK")</f>
        <v>OK</v>
      </c>
      <c r="T562" s="6" t="n">
        <f aca="false">raw_data!N562</f>
        <v>4</v>
      </c>
      <c r="U562" s="7" t="n">
        <f aca="false">raw_data!O562</f>
        <v>282.53</v>
      </c>
      <c r="V562" s="8" t="n">
        <f aca="false">raw_data!P562</f>
        <v>0</v>
      </c>
      <c r="W562" s="8" t="n">
        <f aca="false">IF(raw_data!P562="",0,IF(ISTEXT(raw_data!P562),IF(RIGHT(raw_data!P562,1)="%",VALUE(LEFT(raw_data!P562,LEN(raw_data!P562)-1))/100,VALUE(raw_data!P562)),raw_data!P562))</f>
        <v>0</v>
      </c>
      <c r="X562" s="3" t="str">
        <f aca="false">IF(raw_data!P562="","Missing - Defaulted to 0",IF(W562&lt;0,"Negative - Invalid",IF(W562&gt;0.3,"Above Allowed Range - Invalid","Valid")))</f>
        <v>Valid</v>
      </c>
      <c r="Y562" s="7" t="n">
        <f aca="false">raw_data!Q562</f>
        <v>1130.12</v>
      </c>
      <c r="Z562" s="7" t="n">
        <f aca="false">raw_data!R562</f>
        <v>848.62</v>
      </c>
      <c r="AA562" s="7" t="n">
        <f aca="false">raw_data!S562</f>
        <v>281.5</v>
      </c>
      <c r="AB562" s="3" t="str">
        <f aca="false">PROPER(TRIM(raw_data!T562))</f>
        <v>Paid</v>
      </c>
      <c r="AC562" s="3" t="str">
        <f aca="false">PROPER(TRIM(raw_data!U562))</f>
        <v>Cancelled</v>
      </c>
      <c r="AD562" s="7" t="n">
        <f aca="false">T562*U562*(1-W562)</f>
        <v>1130.12</v>
      </c>
      <c r="AE562" s="7" t="n">
        <f aca="false">AD562-Z562</f>
        <v>281.5</v>
      </c>
      <c r="AF562" s="8" t="n">
        <f aca="false">IF(AD562=0,0,AE562/AD562)</f>
        <v>0.249088592361873</v>
      </c>
      <c r="AG562" s="3" t="str">
        <f aca="false">IF(ABS(Y562-AD562)&gt;1,"Mismatch","OK")</f>
        <v>OK</v>
      </c>
      <c r="AH562" s="3" t="str">
        <f aca="false">IF(ABS(AA562-AE562)&gt;1,"Mismatch","OK")</f>
        <v>OK</v>
      </c>
      <c r="AI562" s="6" t="n">
        <f aca="false">IF(B562="","",MONTH(B562))</f>
        <v>1</v>
      </c>
      <c r="AJ562" s="6" t="n">
        <f aca="false">IF(B562="","",YEAR(B562))</f>
        <v>2024</v>
      </c>
      <c r="AK562" s="3" t="str">
        <f aca="false">IF(COUNTIF(raw_data!$A$2:$A$913,A562)&gt;1,"Conflicting Duplicate - Flagged for Review","Unique")</f>
        <v>Unique</v>
      </c>
      <c r="AL562" s="3" t="str">
        <f aca="false">IF(AB562="Refunded","Yes","No")</f>
        <v>No</v>
      </c>
      <c r="AM562" s="3" t="str">
        <f aca="false">IF(OR(AC562&lt;&gt;"Completed",AB562="Failed"),"Excluded","Included")</f>
        <v>Excluded</v>
      </c>
      <c r="AN562" s="3" t="str">
        <f aca="false">IF(OR(D562="Invalid/Unrecognized",E562="Invalid/Unrecognized",G562="Invalid - Ship Before Order",X562="Negative - Invalid",X562="Above Allowed Range - Invalid",AG562="Mismatch",AH562="Mismatch",AK562="Conflicting Duplicate - Flagged for Review"),"Invalid",IF(OR(L562="Filled - Unknown",S562="Filled - Unknown",X562="Missing - Defaulted to 0",AL562="Yes",AC562="Cancelled",AC562="Returned"),"Warning","Clean"))</f>
        <v>Warning</v>
      </c>
    </row>
    <row r="563" customFormat="false" ht="15" hidden="false" customHeight="false" outlineLevel="0" collapsed="false">
      <c r="A563" s="3" t="str">
        <f aca="false">raw_data!A563</f>
        <v>ORD-2025-10562</v>
      </c>
      <c r="B563" s="4" t="n">
        <f aca="false">IFERROR(IF(MID(raw_data!B563,3,1)="/",DATE(VALUE(RIGHT(raw_data!B563,4)),VALUE(LEFT(raw_data!B563,2)),VALUE(MID(raw_data!B563,4,2))),IF(MID(raw_data!B563,3,1)="-",DATE(VALUE(RIGHT(raw_data!B563,4)),VALUE(MID(raw_data!B563,4,2)),VALUE(LEFT(raw_data!B563,2))),IF(MID(raw_data!B563,5,1)="-",DATE(VALUE(LEFT(raw_data!B563,4)),VALUE(MID(raw_data!B563,6,2)),VALUE(RIGHT(raw_data!B563,2))),DATE(VALUE(RIGHT(raw_data!B563,4)),MATCH(MID(raw_data!B563,4,3),{"Jan","Feb","Mar","Apr","May","Jun","Jul","Aug","Sep","Oct","Nov","Dec"},0),VALUE(LEFT(raw_data!B563,2)))))),"")</f>
        <v>45852</v>
      </c>
      <c r="C563" s="4" t="n">
        <f aca="false">IFERROR(IF(MID(raw_data!C563,3,1)="/",DATE(VALUE(RIGHT(raw_data!C563,4)),VALUE(LEFT(raw_data!C563,2)),VALUE(MID(raw_data!C563,4,2))),IF(MID(raw_data!C563,3,1)="-",DATE(VALUE(RIGHT(raw_data!C563,4)),VALUE(MID(raw_data!C563,4,2)),VALUE(LEFT(raw_data!C563,2))),IF(MID(raw_data!C563,5,1)="-",DATE(VALUE(LEFT(raw_data!C563,4)),VALUE(MID(raw_data!C563,6,2)),VALUE(RIGHT(raw_data!C563,2))),DATE(VALUE(RIGHT(raw_data!C563,4)),MATCH(MID(raw_data!C563,4,3),{"Jan","Feb","Mar","Apr","May","Jun","Jul","Aug","Sep","Oct","Nov","Dec"},0),VALUE(LEFT(raw_data!C563,2)))))),"")</f>
        <v>45856</v>
      </c>
      <c r="D563" s="3" t="str">
        <f aca="false">IF(TRIM(raw_data!B563)="","Missing",IF(B563="","Invalid/Unrecognized","Valid"))</f>
        <v>Valid</v>
      </c>
      <c r="E563" s="3" t="str">
        <f aca="false">IF(TRIM(raw_data!C563)="","Missing",IF(C563="","Invalid/Unrecognized","Valid"))</f>
        <v>Valid</v>
      </c>
      <c r="F563" s="5" t="n">
        <f aca="false">IF(OR(B563="",C563=""),"",C563-B563)</f>
        <v>4</v>
      </c>
      <c r="G563" s="3" t="str">
        <f aca="false">IF(F563="","N/A",IF(F563&lt;0,"Invalid - Ship Before Order","OK"))</f>
        <v>OK</v>
      </c>
      <c r="H563" s="3" t="str">
        <f aca="false">raw_data!D563</f>
        <v>CUST-6654</v>
      </c>
      <c r="I563" s="3" t="str">
        <f aca="false">PROPER(TRIM(raw_data!E563))</f>
        <v>Aditi Sen</v>
      </c>
      <c r="J563" s="3" t="str">
        <f aca="false">PROPER(TRIM(raw_data!F563))</f>
        <v>Consumer</v>
      </c>
      <c r="K563" s="3" t="str">
        <f aca="false">IF(TRIM(raw_data!G563)="","Unknown",PROPER(TRIM(raw_data!G563)))</f>
        <v>North</v>
      </c>
      <c r="L563" s="3" t="str">
        <f aca="false">IF(TRIM(raw_data!G563)="","Filled - Unknown","OK")</f>
        <v>OK</v>
      </c>
      <c r="M563" s="3" t="str">
        <f aca="false">PROPER(TRIM(raw_data!H563))</f>
        <v>Punjab</v>
      </c>
      <c r="N563" s="3" t="str">
        <f aca="false">PROPER(TRIM(raw_data!I563))</f>
        <v>Ludhiana</v>
      </c>
      <c r="O563" s="3" t="str">
        <f aca="false">PROPER(TRIM(raw_data!J563))</f>
        <v>Technology</v>
      </c>
      <c r="P563" s="3" t="str">
        <f aca="false">PROPER(TRIM(raw_data!K563))</f>
        <v>Copiers</v>
      </c>
      <c r="Q563" s="3" t="str">
        <f aca="false">TRIM(raw_data!L563)</f>
        <v>Eco Copiers 954</v>
      </c>
      <c r="R563" s="3" t="str">
        <f aca="false">IF(TRIM(raw_data!M563)="","Unknown",PROPER(TRIM(raw_data!M563)))</f>
        <v>First Class</v>
      </c>
      <c r="S563" s="3" t="str">
        <f aca="false">IF(TRIM(raw_data!M563)="","Filled - Unknown","OK")</f>
        <v>OK</v>
      </c>
      <c r="T563" s="6" t="n">
        <f aca="false">raw_data!N563</f>
        <v>4</v>
      </c>
      <c r="U563" s="7" t="n">
        <f aca="false">raw_data!O563</f>
        <v>725.22</v>
      </c>
      <c r="V563" s="8" t="n">
        <f aca="false">raw_data!P563</f>
        <v>0</v>
      </c>
      <c r="W563" s="8" t="n">
        <f aca="false">IF(raw_data!P563="",0,IF(ISTEXT(raw_data!P563),IF(RIGHT(raw_data!P563,1)="%",VALUE(LEFT(raw_data!P563,LEN(raw_data!P563)-1))/100,VALUE(raw_data!P563)),raw_data!P563))</f>
        <v>0</v>
      </c>
      <c r="X563" s="3" t="str">
        <f aca="false">IF(raw_data!P563="","Missing - Defaulted to 0",IF(W563&lt;0,"Negative - Invalid",IF(W563&gt;0.3,"Above Allowed Range - Invalid","Valid")))</f>
        <v>Valid</v>
      </c>
      <c r="Y563" s="7" t="n">
        <f aca="false">raw_data!Q563</f>
        <v>2900.88</v>
      </c>
      <c r="Z563" s="7" t="n">
        <f aca="false">raw_data!R563</f>
        <v>2391.85</v>
      </c>
      <c r="AA563" s="7" t="n">
        <f aca="false">raw_data!S563</f>
        <v>509.03</v>
      </c>
      <c r="AB563" s="3" t="str">
        <f aca="false">PROPER(TRIM(raw_data!T563))</f>
        <v>Pending</v>
      </c>
      <c r="AC563" s="3" t="str">
        <f aca="false">PROPER(TRIM(raw_data!U563))</f>
        <v>Returned</v>
      </c>
      <c r="AD563" s="7" t="n">
        <f aca="false">T563*U563*(1-W563)</f>
        <v>2900.88</v>
      </c>
      <c r="AE563" s="7" t="n">
        <f aca="false">AD563-Z563</f>
        <v>509.03</v>
      </c>
      <c r="AF563" s="8" t="n">
        <f aca="false">IF(AD563=0,0,AE563/AD563)</f>
        <v>0.175474338821323</v>
      </c>
      <c r="AG563" s="3" t="str">
        <f aca="false">IF(ABS(Y563-AD563)&gt;1,"Mismatch","OK")</f>
        <v>OK</v>
      </c>
      <c r="AH563" s="3" t="str">
        <f aca="false">IF(ABS(AA563-AE563)&gt;1,"Mismatch","OK")</f>
        <v>OK</v>
      </c>
      <c r="AI563" s="6" t="n">
        <f aca="false">IF(B563="","",MONTH(B563))</f>
        <v>7</v>
      </c>
      <c r="AJ563" s="6" t="n">
        <f aca="false">IF(B563="","",YEAR(B563))</f>
        <v>2025</v>
      </c>
      <c r="AK563" s="3" t="str">
        <f aca="false">IF(COUNTIF(raw_data!$A$2:$A$913,A563)&gt;1,"Conflicting Duplicate - Flagged for Review","Unique")</f>
        <v>Unique</v>
      </c>
      <c r="AL563" s="3" t="str">
        <f aca="false">IF(AB563="Refunded","Yes","No")</f>
        <v>No</v>
      </c>
      <c r="AM563" s="3" t="str">
        <f aca="false">IF(OR(AC563&lt;&gt;"Completed",AB563="Failed"),"Excluded","Included")</f>
        <v>Excluded</v>
      </c>
      <c r="AN563" s="3" t="str">
        <f aca="false">IF(OR(D563="Invalid/Unrecognized",E563="Invalid/Unrecognized",G563="Invalid - Ship Before Order",X563="Negative - Invalid",X563="Above Allowed Range - Invalid",AG563="Mismatch",AH563="Mismatch",AK563="Conflicting Duplicate - Flagged for Review"),"Invalid",IF(OR(L563="Filled - Unknown",S563="Filled - Unknown",X563="Missing - Defaulted to 0",AL563="Yes",AC563="Cancelled",AC563="Returned"),"Warning","Clean"))</f>
        <v>Warning</v>
      </c>
    </row>
    <row r="564" customFormat="false" ht="15" hidden="false" customHeight="false" outlineLevel="0" collapsed="false">
      <c r="A564" s="3" t="str">
        <f aca="false">raw_data!A564</f>
        <v>ORD-2024-10563</v>
      </c>
      <c r="B564" s="4" t="n">
        <f aca="false">IFERROR(IF(MID(raw_data!B564,3,1)="/",DATE(VALUE(RIGHT(raw_data!B564,4)),VALUE(LEFT(raw_data!B564,2)),VALUE(MID(raw_data!B564,4,2))),IF(MID(raw_data!B564,3,1)="-",DATE(VALUE(RIGHT(raw_data!B564,4)),VALUE(MID(raw_data!B564,4,2)),VALUE(LEFT(raw_data!B564,2))),IF(MID(raw_data!B564,5,1)="-",DATE(VALUE(LEFT(raw_data!B564,4)),VALUE(MID(raw_data!B564,6,2)),VALUE(RIGHT(raw_data!B564,2))),DATE(VALUE(RIGHT(raw_data!B564,4)),MATCH(MID(raw_data!B564,4,3),{"Jan","Feb","Mar","Apr","May","Jun","Jul","Aug","Sep","Oct","Nov","Dec"},0),VALUE(LEFT(raw_data!B564,2)))))),"")</f>
        <v>45422</v>
      </c>
      <c r="C564" s="4" t="n">
        <f aca="false">IFERROR(IF(MID(raw_data!C564,3,1)="/",DATE(VALUE(RIGHT(raw_data!C564,4)),VALUE(LEFT(raw_data!C564,2)),VALUE(MID(raw_data!C564,4,2))),IF(MID(raw_data!C564,3,1)="-",DATE(VALUE(RIGHT(raw_data!C564,4)),VALUE(MID(raw_data!C564,4,2)),VALUE(LEFT(raw_data!C564,2))),IF(MID(raw_data!C564,5,1)="-",DATE(VALUE(LEFT(raw_data!C564,4)),VALUE(MID(raw_data!C564,6,2)),VALUE(RIGHT(raw_data!C564,2))),DATE(VALUE(RIGHT(raw_data!C564,4)),MATCH(MID(raw_data!C564,4,3),{"Jan","Feb","Mar","Apr","May","Jun","Jul","Aug","Sep","Oct","Nov","Dec"},0),VALUE(LEFT(raw_data!C564,2)))))),"")</f>
        <v>45428</v>
      </c>
      <c r="D564" s="3" t="str">
        <f aca="false">IF(TRIM(raw_data!B564)="","Missing",IF(B564="","Invalid/Unrecognized","Valid"))</f>
        <v>Valid</v>
      </c>
      <c r="E564" s="3" t="str">
        <f aca="false">IF(TRIM(raw_data!C564)="","Missing",IF(C564="","Invalid/Unrecognized","Valid"))</f>
        <v>Valid</v>
      </c>
      <c r="F564" s="5" t="n">
        <f aca="false">IF(OR(B564="",C564=""),"",C564-B564)</f>
        <v>6</v>
      </c>
      <c r="G564" s="3" t="str">
        <f aca="false">IF(F564="","N/A",IF(F564&lt;0,"Invalid - Ship Before Order","OK"))</f>
        <v>OK</v>
      </c>
      <c r="H564" s="3" t="str">
        <f aca="false">raw_data!D564</f>
        <v>CUST-8622</v>
      </c>
      <c r="I564" s="3" t="str">
        <f aca="false">PROPER(TRIM(raw_data!E564))</f>
        <v>Karan Malhotra</v>
      </c>
      <c r="J564" s="3" t="str">
        <f aca="false">PROPER(TRIM(raw_data!F564))</f>
        <v>Consumer</v>
      </c>
      <c r="K564" s="3" t="str">
        <f aca="false">IF(TRIM(raw_data!G564)="","Unknown",PROPER(TRIM(raw_data!G564)))</f>
        <v>North</v>
      </c>
      <c r="L564" s="3" t="str">
        <f aca="false">IF(TRIM(raw_data!G564)="","Filled - Unknown","OK")</f>
        <v>OK</v>
      </c>
      <c r="M564" s="3" t="str">
        <f aca="false">PROPER(TRIM(raw_data!H564))</f>
        <v>Punjab</v>
      </c>
      <c r="N564" s="3" t="str">
        <f aca="false">PROPER(TRIM(raw_data!I564))</f>
        <v>Ludhiana</v>
      </c>
      <c r="O564" s="3" t="str">
        <f aca="false">PROPER(TRIM(raw_data!J564))</f>
        <v>Office Supplies</v>
      </c>
      <c r="P564" s="3" t="str">
        <f aca="false">PROPER(TRIM(raw_data!K564))</f>
        <v>Binders</v>
      </c>
      <c r="Q564" s="3" t="str">
        <f aca="false">TRIM(raw_data!L564)</f>
        <v>Elite Binders 143</v>
      </c>
      <c r="R564" s="3" t="str">
        <f aca="false">IF(TRIM(raw_data!M564)="","Unknown",PROPER(TRIM(raw_data!M564)))</f>
        <v>Same Day</v>
      </c>
      <c r="S564" s="3" t="str">
        <f aca="false">IF(TRIM(raw_data!M564)="","Filled - Unknown","OK")</f>
        <v>OK</v>
      </c>
      <c r="T564" s="6" t="n">
        <f aca="false">raw_data!N564</f>
        <v>7</v>
      </c>
      <c r="U564" s="7" t="n">
        <f aca="false">raw_data!O564</f>
        <v>121.54</v>
      </c>
      <c r="V564" s="8" t="n">
        <f aca="false">raw_data!P564</f>
        <v>0.2</v>
      </c>
      <c r="W564" s="8" t="n">
        <f aca="false">IF(raw_data!P564="",0,IF(ISTEXT(raw_data!P564),IF(RIGHT(raw_data!P564,1)="%",VALUE(LEFT(raw_data!P564,LEN(raw_data!P564)-1))/100,VALUE(raw_data!P564)),raw_data!P564))</f>
        <v>0.2</v>
      </c>
      <c r="X564" s="3" t="str">
        <f aca="false">IF(raw_data!P564="","Missing - Defaulted to 0",IF(W564&lt;0,"Negative - Invalid",IF(W564&gt;0.3,"Above Allowed Range - Invalid","Valid")))</f>
        <v>Valid</v>
      </c>
      <c r="Y564" s="7" t="n">
        <f aca="false">raw_data!Q564</f>
        <v>680.62</v>
      </c>
      <c r="Z564" s="7" t="n">
        <f aca="false">raw_data!R564</f>
        <v>463.49</v>
      </c>
      <c r="AA564" s="7" t="n">
        <f aca="false">raw_data!S564</f>
        <v>217.13</v>
      </c>
      <c r="AB564" s="3" t="str">
        <f aca="false">PROPER(TRIM(raw_data!T564))</f>
        <v>Failed</v>
      </c>
      <c r="AC564" s="3" t="str">
        <f aca="false">PROPER(TRIM(raw_data!U564))</f>
        <v>Returned</v>
      </c>
      <c r="AD564" s="7" t="n">
        <f aca="false">T564*U564*(1-W564)</f>
        <v>680.624</v>
      </c>
      <c r="AE564" s="7" t="n">
        <f aca="false">AD564-Z564</f>
        <v>217.134</v>
      </c>
      <c r="AF564" s="8" t="n">
        <f aca="false">IF(AD564=0,0,AE564/AD564)</f>
        <v>0.319021956322434</v>
      </c>
      <c r="AG564" s="3" t="str">
        <f aca="false">IF(ABS(Y564-AD564)&gt;1,"Mismatch","OK")</f>
        <v>OK</v>
      </c>
      <c r="AH564" s="3" t="str">
        <f aca="false">IF(ABS(AA564-AE564)&gt;1,"Mismatch","OK")</f>
        <v>OK</v>
      </c>
      <c r="AI564" s="6" t="n">
        <f aca="false">IF(B564="","",MONTH(B564))</f>
        <v>5</v>
      </c>
      <c r="AJ564" s="6" t="n">
        <f aca="false">IF(B564="","",YEAR(B564))</f>
        <v>2024</v>
      </c>
      <c r="AK564" s="3" t="str">
        <f aca="false">IF(COUNTIF(raw_data!$A$2:$A$913,A564)&gt;1,"Conflicting Duplicate - Flagged for Review","Unique")</f>
        <v>Unique</v>
      </c>
      <c r="AL564" s="3" t="str">
        <f aca="false">IF(AB564="Refunded","Yes","No")</f>
        <v>No</v>
      </c>
      <c r="AM564" s="3" t="str">
        <f aca="false">IF(OR(AC564&lt;&gt;"Completed",AB564="Failed"),"Excluded","Included")</f>
        <v>Excluded</v>
      </c>
      <c r="AN564" s="3" t="str">
        <f aca="false">IF(OR(D564="Invalid/Unrecognized",E564="Invalid/Unrecognized",G564="Invalid - Ship Before Order",X564="Negative - Invalid",X564="Above Allowed Range - Invalid",AG564="Mismatch",AH564="Mismatch",AK564="Conflicting Duplicate - Flagged for Review"),"Invalid",IF(OR(L564="Filled - Unknown",S564="Filled - Unknown",X564="Missing - Defaulted to 0",AL564="Yes",AC564="Cancelled",AC564="Returned"),"Warning","Clean"))</f>
        <v>Warning</v>
      </c>
    </row>
    <row r="565" customFormat="false" ht="15" hidden="false" customHeight="false" outlineLevel="0" collapsed="false">
      <c r="A565" s="3" t="str">
        <f aca="false">raw_data!A565</f>
        <v>ORD-2024-10564</v>
      </c>
      <c r="B565" s="4" t="n">
        <f aca="false">IFERROR(IF(MID(raw_data!B565,3,1)="/",DATE(VALUE(RIGHT(raw_data!B565,4)),VALUE(LEFT(raw_data!B565,2)),VALUE(MID(raw_data!B565,4,2))),IF(MID(raw_data!B565,3,1)="-",DATE(VALUE(RIGHT(raw_data!B565,4)),VALUE(MID(raw_data!B565,4,2)),VALUE(LEFT(raw_data!B565,2))),IF(MID(raw_data!B565,5,1)="-",DATE(VALUE(LEFT(raw_data!B565,4)),VALUE(MID(raw_data!B565,6,2)),VALUE(RIGHT(raw_data!B565,2))),DATE(VALUE(RIGHT(raw_data!B565,4)),MATCH(MID(raw_data!B565,4,3),{"Jan","Feb","Mar","Apr","May","Jun","Jul","Aug","Sep","Oct","Nov","Dec"},0),VALUE(LEFT(raw_data!B565,2)))))),"")</f>
        <v>45418</v>
      </c>
      <c r="C565" s="4" t="n">
        <f aca="false">IFERROR(IF(MID(raw_data!C565,3,1)="/",DATE(VALUE(RIGHT(raw_data!C565,4)),VALUE(LEFT(raw_data!C565,2)),VALUE(MID(raw_data!C565,4,2))),IF(MID(raw_data!C565,3,1)="-",DATE(VALUE(RIGHT(raw_data!C565,4)),VALUE(MID(raw_data!C565,4,2)),VALUE(LEFT(raw_data!C565,2))),IF(MID(raw_data!C565,5,1)="-",DATE(VALUE(LEFT(raw_data!C565,4)),VALUE(MID(raw_data!C565,6,2)),VALUE(RIGHT(raw_data!C565,2))),DATE(VALUE(RIGHT(raw_data!C565,4)),MATCH(MID(raw_data!C565,4,3),{"Jan","Feb","Mar","Apr","May","Jun","Jul","Aug","Sep","Oct","Nov","Dec"},0),VALUE(LEFT(raw_data!C565,2)))))),"")</f>
        <v>45424</v>
      </c>
      <c r="D565" s="3" t="str">
        <f aca="false">IF(TRIM(raw_data!B565)="","Missing",IF(B565="","Invalid/Unrecognized","Valid"))</f>
        <v>Valid</v>
      </c>
      <c r="E565" s="3" t="str">
        <f aca="false">IF(TRIM(raw_data!C565)="","Missing",IF(C565="","Invalid/Unrecognized","Valid"))</f>
        <v>Valid</v>
      </c>
      <c r="F565" s="5" t="n">
        <f aca="false">IF(OR(B565="",C565=""),"",C565-B565)</f>
        <v>6</v>
      </c>
      <c r="G565" s="3" t="str">
        <f aca="false">IF(F565="","N/A",IF(F565&lt;0,"Invalid - Ship Before Order","OK"))</f>
        <v>OK</v>
      </c>
      <c r="H565" s="3" t="str">
        <f aca="false">raw_data!D565</f>
        <v>CUST-8776</v>
      </c>
      <c r="I565" s="3" t="str">
        <f aca="false">PROPER(TRIM(raw_data!E565))</f>
        <v>Arjun Bose</v>
      </c>
      <c r="J565" s="3" t="str">
        <f aca="false">PROPER(TRIM(raw_data!F565))</f>
        <v>Corporate</v>
      </c>
      <c r="K565" s="3" t="str">
        <f aca="false">IF(TRIM(raw_data!G565)="","Unknown",PROPER(TRIM(raw_data!G565)))</f>
        <v>West</v>
      </c>
      <c r="L565" s="3" t="str">
        <f aca="false">IF(TRIM(raw_data!G565)="","Filled - Unknown","OK")</f>
        <v>OK</v>
      </c>
      <c r="M565" s="3" t="str">
        <f aca="false">PROPER(TRIM(raw_data!H565))</f>
        <v>Goa</v>
      </c>
      <c r="N565" s="3" t="str">
        <f aca="false">PROPER(TRIM(raw_data!I565))</f>
        <v>Panaji</v>
      </c>
      <c r="O565" s="3" t="str">
        <f aca="false">PROPER(TRIM(raw_data!J565))</f>
        <v>Furniture</v>
      </c>
      <c r="P565" s="3" t="str">
        <f aca="false">PROPER(TRIM(raw_data!K565))</f>
        <v>Tables</v>
      </c>
      <c r="Q565" s="3" t="str">
        <f aca="false">TRIM(raw_data!L565)</f>
        <v>Classic Tables 560</v>
      </c>
      <c r="R565" s="3" t="str">
        <f aca="false">IF(TRIM(raw_data!M565)="","Unknown",PROPER(TRIM(raw_data!M565)))</f>
        <v>Standard Class</v>
      </c>
      <c r="S565" s="3" t="str">
        <f aca="false">IF(TRIM(raw_data!M565)="","Filled - Unknown","OK")</f>
        <v>OK</v>
      </c>
      <c r="T565" s="6" t="n">
        <f aca="false">raw_data!N565</f>
        <v>9</v>
      </c>
      <c r="U565" s="7" t="n">
        <f aca="false">raw_data!O565</f>
        <v>790.97</v>
      </c>
      <c r="V565" s="8" t="n">
        <f aca="false">raw_data!P565</f>
        <v>0.2</v>
      </c>
      <c r="W565" s="8" t="n">
        <f aca="false">IF(raw_data!P565="",0,IF(ISTEXT(raw_data!P565),IF(RIGHT(raw_data!P565,1)="%",VALUE(LEFT(raw_data!P565,LEN(raw_data!P565)-1))/100,VALUE(raw_data!P565)),raw_data!P565))</f>
        <v>0.2</v>
      </c>
      <c r="X565" s="3" t="str">
        <f aca="false">IF(raw_data!P565="","Missing - Defaulted to 0",IF(W565&lt;0,"Negative - Invalid",IF(W565&gt;0.3,"Above Allowed Range - Invalid","Valid")))</f>
        <v>Valid</v>
      </c>
      <c r="Y565" s="7" t="n">
        <f aca="false">raw_data!Q565</f>
        <v>5694.98</v>
      </c>
      <c r="Z565" s="7" t="n">
        <f aca="false">raw_data!R565</f>
        <v>4618.33</v>
      </c>
      <c r="AA565" s="7" t="n">
        <f aca="false">raw_data!S565</f>
        <v>1076.65</v>
      </c>
      <c r="AB565" s="3" t="str">
        <f aca="false">PROPER(TRIM(raw_data!T565))</f>
        <v>Pending</v>
      </c>
      <c r="AC565" s="3" t="str">
        <f aca="false">PROPER(TRIM(raw_data!U565))</f>
        <v>Cancelled</v>
      </c>
      <c r="AD565" s="7" t="n">
        <f aca="false">T565*U565*(1-W565)</f>
        <v>5694.984</v>
      </c>
      <c r="AE565" s="7" t="n">
        <f aca="false">AD565-Z565</f>
        <v>1076.654</v>
      </c>
      <c r="AF565" s="8" t="n">
        <f aca="false">IF(AD565=0,0,AE565/AD565)</f>
        <v>0.189053033336002</v>
      </c>
      <c r="AG565" s="3" t="str">
        <f aca="false">IF(ABS(Y565-AD565)&gt;1,"Mismatch","OK")</f>
        <v>OK</v>
      </c>
      <c r="AH565" s="3" t="str">
        <f aca="false">IF(ABS(AA565-AE565)&gt;1,"Mismatch","OK")</f>
        <v>OK</v>
      </c>
      <c r="AI565" s="6" t="n">
        <f aca="false">IF(B565="","",MONTH(B565))</f>
        <v>5</v>
      </c>
      <c r="AJ565" s="6" t="n">
        <f aca="false">IF(B565="","",YEAR(B565))</f>
        <v>2024</v>
      </c>
      <c r="AK565" s="3" t="str">
        <f aca="false">IF(COUNTIF(raw_data!$A$2:$A$913,A565)&gt;1,"Conflicting Duplicate - Flagged for Review","Unique")</f>
        <v>Unique</v>
      </c>
      <c r="AL565" s="3" t="str">
        <f aca="false">IF(AB565="Refunded","Yes","No")</f>
        <v>No</v>
      </c>
      <c r="AM565" s="3" t="str">
        <f aca="false">IF(OR(AC565&lt;&gt;"Completed",AB565="Failed"),"Excluded","Included")</f>
        <v>Excluded</v>
      </c>
      <c r="AN565" s="3" t="str">
        <f aca="false">IF(OR(D565="Invalid/Unrecognized",E565="Invalid/Unrecognized",G565="Invalid - Ship Before Order",X565="Negative - Invalid",X565="Above Allowed Range - Invalid",AG565="Mismatch",AH565="Mismatch",AK565="Conflicting Duplicate - Flagged for Review"),"Invalid",IF(OR(L565="Filled - Unknown",S565="Filled - Unknown",X565="Missing - Defaulted to 0",AL565="Yes",AC565="Cancelled",AC565="Returned"),"Warning","Clean"))</f>
        <v>Warning</v>
      </c>
    </row>
    <row r="566" customFormat="false" ht="15" hidden="false" customHeight="false" outlineLevel="0" collapsed="false">
      <c r="A566" s="3" t="str">
        <f aca="false">raw_data!A566</f>
        <v>ORD-2024-10565</v>
      </c>
      <c r="B566" s="4" t="n">
        <f aca="false">IFERROR(IF(MID(raw_data!B566,3,1)="/",DATE(VALUE(RIGHT(raw_data!B566,4)),VALUE(LEFT(raw_data!B566,2)),VALUE(MID(raw_data!B566,4,2))),IF(MID(raw_data!B566,3,1)="-",DATE(VALUE(RIGHT(raw_data!B566,4)),VALUE(MID(raw_data!B566,4,2)),VALUE(LEFT(raw_data!B566,2))),IF(MID(raw_data!B566,5,1)="-",DATE(VALUE(LEFT(raw_data!B566,4)),VALUE(MID(raw_data!B566,6,2)),VALUE(RIGHT(raw_data!B566,2))),DATE(VALUE(RIGHT(raw_data!B566,4)),MATCH(MID(raw_data!B566,4,3),{"Jan","Feb","Mar","Apr","May","Jun","Jul","Aug","Sep","Oct","Nov","Dec"},0),VALUE(LEFT(raw_data!B566,2)))))),"")</f>
        <v>45606</v>
      </c>
      <c r="C566" s="4" t="n">
        <f aca="false">IFERROR(IF(MID(raw_data!C566,3,1)="/",DATE(VALUE(RIGHT(raw_data!C566,4)),VALUE(LEFT(raw_data!C566,2)),VALUE(MID(raw_data!C566,4,2))),IF(MID(raw_data!C566,3,1)="-",DATE(VALUE(RIGHT(raw_data!C566,4)),VALUE(MID(raw_data!C566,4,2)),VALUE(LEFT(raw_data!C566,2))),IF(MID(raw_data!C566,5,1)="-",DATE(VALUE(LEFT(raw_data!C566,4)),VALUE(MID(raw_data!C566,6,2)),VALUE(RIGHT(raw_data!C566,2))),DATE(VALUE(RIGHT(raw_data!C566,4)),MATCH(MID(raw_data!C566,4,3),{"Jan","Feb","Mar","Apr","May","Jun","Jul","Aug","Sep","Oct","Nov","Dec"},0),VALUE(LEFT(raw_data!C566,2)))))),"")</f>
        <v>45610</v>
      </c>
      <c r="D566" s="3" t="str">
        <f aca="false">IF(TRIM(raw_data!B566)="","Missing",IF(B566="","Invalid/Unrecognized","Valid"))</f>
        <v>Valid</v>
      </c>
      <c r="E566" s="3" t="str">
        <f aca="false">IF(TRIM(raw_data!C566)="","Missing",IF(C566="","Invalid/Unrecognized","Valid"))</f>
        <v>Valid</v>
      </c>
      <c r="F566" s="5" t="n">
        <f aca="false">IF(OR(B566="",C566=""),"",C566-B566)</f>
        <v>4</v>
      </c>
      <c r="G566" s="3" t="str">
        <f aca="false">IF(F566="","N/A",IF(F566&lt;0,"Invalid - Ship Before Order","OK"))</f>
        <v>OK</v>
      </c>
      <c r="H566" s="3" t="str">
        <f aca="false">raw_data!D566</f>
        <v>CUST-9100</v>
      </c>
      <c r="I566" s="3" t="str">
        <f aca="false">PROPER(TRIM(raw_data!E566))</f>
        <v>Sneha Kapoor</v>
      </c>
      <c r="J566" s="3" t="str">
        <f aca="false">PROPER(TRIM(raw_data!F566))</f>
        <v>Corporate</v>
      </c>
      <c r="K566" s="3" t="str">
        <f aca="false">IF(TRIM(raw_data!G566)="","Unknown",PROPER(TRIM(raw_data!G566)))</f>
        <v>South</v>
      </c>
      <c r="L566" s="3" t="str">
        <f aca="false">IF(TRIM(raw_data!G566)="","Filled - Unknown","OK")</f>
        <v>OK</v>
      </c>
      <c r="M566" s="3" t="str">
        <f aca="false">PROPER(TRIM(raw_data!H566))</f>
        <v>Andhra Pradesh</v>
      </c>
      <c r="N566" s="3" t="str">
        <f aca="false">PROPER(TRIM(raw_data!I566))</f>
        <v>Vijayawada</v>
      </c>
      <c r="O566" s="3" t="str">
        <f aca="false">PROPER(TRIM(raw_data!J566))</f>
        <v>Furniture</v>
      </c>
      <c r="P566" s="3" t="str">
        <f aca="false">PROPER(TRIM(raw_data!K566))</f>
        <v>Tables</v>
      </c>
      <c r="Q566" s="3" t="str">
        <f aca="false">TRIM(raw_data!L566)</f>
        <v>Basic Tables 759</v>
      </c>
      <c r="R566" s="3" t="str">
        <f aca="false">IF(TRIM(raw_data!M566)="","Unknown",PROPER(TRIM(raw_data!M566)))</f>
        <v>First Class</v>
      </c>
      <c r="S566" s="3" t="str">
        <f aca="false">IF(TRIM(raw_data!M566)="","Filled - Unknown","OK")</f>
        <v>OK</v>
      </c>
      <c r="T566" s="6" t="n">
        <f aca="false">raw_data!N566</f>
        <v>2</v>
      </c>
      <c r="U566" s="7" t="n">
        <f aca="false">raw_data!O566</f>
        <v>921.34</v>
      </c>
      <c r="V566" s="8" t="n">
        <f aca="false">raw_data!P566</f>
        <v>0.2</v>
      </c>
      <c r="W566" s="8" t="n">
        <f aca="false">IF(raw_data!P566="",0,IF(ISTEXT(raw_data!P566),IF(RIGHT(raw_data!P566,1)="%",VALUE(LEFT(raw_data!P566,LEN(raw_data!P566)-1))/100,VALUE(raw_data!P566)),raw_data!P566))</f>
        <v>0.2</v>
      </c>
      <c r="X566" s="3" t="str">
        <f aca="false">IF(raw_data!P566="","Missing - Defaulted to 0",IF(W566&lt;0,"Negative - Invalid",IF(W566&gt;0.3,"Above Allowed Range - Invalid","Valid")))</f>
        <v>Valid</v>
      </c>
      <c r="Y566" s="7" t="n">
        <f aca="false">raw_data!Q566</f>
        <v>1474.14</v>
      </c>
      <c r="Z566" s="7" t="n">
        <f aca="false">raw_data!R566</f>
        <v>968.46</v>
      </c>
      <c r="AA566" s="7" t="n">
        <f aca="false">raw_data!S566</f>
        <v>505.68</v>
      </c>
      <c r="AB566" s="3" t="str">
        <f aca="false">PROPER(TRIM(raw_data!T566))</f>
        <v>Paid</v>
      </c>
      <c r="AC566" s="3" t="str">
        <f aca="false">PROPER(TRIM(raw_data!U566))</f>
        <v>Completed</v>
      </c>
      <c r="AD566" s="7" t="n">
        <f aca="false">T566*U566*(1-W566)</f>
        <v>1474.144</v>
      </c>
      <c r="AE566" s="7" t="n">
        <f aca="false">AD566-Z566</f>
        <v>505.684</v>
      </c>
      <c r="AF566" s="8" t="n">
        <f aca="false">IF(AD566=0,0,AE566/AD566)</f>
        <v>0.343035687151323</v>
      </c>
      <c r="AG566" s="3" t="str">
        <f aca="false">IF(ABS(Y566-AD566)&gt;1,"Mismatch","OK")</f>
        <v>OK</v>
      </c>
      <c r="AH566" s="3" t="str">
        <f aca="false">IF(ABS(AA566-AE566)&gt;1,"Mismatch","OK")</f>
        <v>OK</v>
      </c>
      <c r="AI566" s="6" t="n">
        <f aca="false">IF(B566="","",MONTH(B566))</f>
        <v>11</v>
      </c>
      <c r="AJ566" s="6" t="n">
        <f aca="false">IF(B566="","",YEAR(B566))</f>
        <v>2024</v>
      </c>
      <c r="AK566" s="3" t="str">
        <f aca="false">IF(COUNTIF(raw_data!$A$2:$A$913,A566)&gt;1,"Conflicting Duplicate - Flagged for Review","Unique")</f>
        <v>Unique</v>
      </c>
      <c r="AL566" s="3" t="str">
        <f aca="false">IF(AB566="Refunded","Yes","No")</f>
        <v>No</v>
      </c>
      <c r="AM566" s="3" t="str">
        <f aca="false">IF(OR(AC566&lt;&gt;"Completed",AB566="Failed"),"Excluded","Included")</f>
        <v>Included</v>
      </c>
      <c r="AN566" s="3" t="str">
        <f aca="false">IF(OR(D566="Invalid/Unrecognized",E566="Invalid/Unrecognized",G566="Invalid - Ship Before Order",X566="Negative - Invalid",X566="Above Allowed Range - Invalid",AG566="Mismatch",AH566="Mismatch",AK566="Conflicting Duplicate - Flagged for Review"),"Invalid",IF(OR(L566="Filled - Unknown",S566="Filled - Unknown",X566="Missing - Defaulted to 0",AL566="Yes",AC566="Cancelled",AC566="Returned"),"Warning","Clean"))</f>
        <v>Clean</v>
      </c>
    </row>
    <row r="567" customFormat="false" ht="15" hidden="false" customHeight="false" outlineLevel="0" collapsed="false">
      <c r="A567" s="3" t="str">
        <f aca="false">raw_data!A567</f>
        <v>ORD-2025-10566</v>
      </c>
      <c r="B567" s="4" t="n">
        <f aca="false">IFERROR(IF(MID(raw_data!B567,3,1)="/",DATE(VALUE(RIGHT(raw_data!B567,4)),VALUE(LEFT(raw_data!B567,2)),VALUE(MID(raw_data!B567,4,2))),IF(MID(raw_data!B567,3,1)="-",DATE(VALUE(RIGHT(raw_data!B567,4)),VALUE(MID(raw_data!B567,4,2)),VALUE(LEFT(raw_data!B567,2))),IF(MID(raw_data!B567,5,1)="-",DATE(VALUE(LEFT(raw_data!B567,4)),VALUE(MID(raw_data!B567,6,2)),VALUE(RIGHT(raw_data!B567,2))),DATE(VALUE(RIGHT(raw_data!B567,4)),MATCH(MID(raw_data!B567,4,3),{"Jan","Feb","Mar","Apr","May","Jun","Jul","Aug","Sep","Oct","Nov","Dec"},0),VALUE(LEFT(raw_data!B567,2)))))),"")</f>
        <v>45876</v>
      </c>
      <c r="C567" s="4" t="n">
        <f aca="false">IFERROR(IF(MID(raw_data!C567,3,1)="/",DATE(VALUE(RIGHT(raw_data!C567,4)),VALUE(LEFT(raw_data!C567,2)),VALUE(MID(raw_data!C567,4,2))),IF(MID(raw_data!C567,3,1)="-",DATE(VALUE(RIGHT(raw_data!C567,4)),VALUE(MID(raw_data!C567,4,2)),VALUE(LEFT(raw_data!C567,2))),IF(MID(raw_data!C567,5,1)="-",DATE(VALUE(LEFT(raw_data!C567,4)),VALUE(MID(raw_data!C567,6,2)),VALUE(RIGHT(raw_data!C567,2))),DATE(VALUE(RIGHT(raw_data!C567,4)),MATCH(MID(raw_data!C567,4,3),{"Jan","Feb","Mar","Apr","May","Jun","Jul","Aug","Sep","Oct","Nov","Dec"},0),VALUE(LEFT(raw_data!C567,2)))))),"")</f>
        <v>45882</v>
      </c>
      <c r="D567" s="3" t="str">
        <f aca="false">IF(TRIM(raw_data!B567)="","Missing",IF(B567="","Invalid/Unrecognized","Valid"))</f>
        <v>Valid</v>
      </c>
      <c r="E567" s="3" t="str">
        <f aca="false">IF(TRIM(raw_data!C567)="","Missing",IF(C567="","Invalid/Unrecognized","Valid"))</f>
        <v>Valid</v>
      </c>
      <c r="F567" s="5" t="n">
        <f aca="false">IF(OR(B567="",C567=""),"",C567-B567)</f>
        <v>6</v>
      </c>
      <c r="G567" s="3" t="str">
        <f aca="false">IF(F567="","N/A",IF(F567&lt;0,"Invalid - Ship Before Order","OK"))</f>
        <v>OK</v>
      </c>
      <c r="H567" s="3" t="str">
        <f aca="false">raw_data!D567</f>
        <v>CUST-5601</v>
      </c>
      <c r="I567" s="3" t="str">
        <f aca="false">PROPER(TRIM(raw_data!E567))</f>
        <v>Mira Das</v>
      </c>
      <c r="J567" s="3" t="str">
        <f aca="false">PROPER(TRIM(raw_data!F567))</f>
        <v>Corporate</v>
      </c>
      <c r="K567" s="3" t="str">
        <f aca="false">IF(TRIM(raw_data!G567)="","Unknown",PROPER(TRIM(raw_data!G567)))</f>
        <v>North</v>
      </c>
      <c r="L567" s="3" t="str">
        <f aca="false">IF(TRIM(raw_data!G567)="","Filled - Unknown","OK")</f>
        <v>OK</v>
      </c>
      <c r="M567" s="3" t="str">
        <f aca="false">PROPER(TRIM(raw_data!H567))</f>
        <v>Delhi</v>
      </c>
      <c r="N567" s="3" t="str">
        <f aca="false">PROPER(TRIM(raw_data!I567))</f>
        <v>New Delhi</v>
      </c>
      <c r="O567" s="3" t="str">
        <f aca="false">PROPER(TRIM(raw_data!J567))</f>
        <v>Technology</v>
      </c>
      <c r="P567" s="3" t="str">
        <f aca="false">PROPER(TRIM(raw_data!K567))</f>
        <v>Phones</v>
      </c>
      <c r="Q567" s="3" t="str">
        <f aca="false">TRIM(raw_data!L567)</f>
        <v>Prime Phones 564</v>
      </c>
      <c r="R567" s="3" t="str">
        <f aca="false">IF(TRIM(raw_data!M567)="","Unknown",PROPER(TRIM(raw_data!M567)))</f>
        <v>Standard Class</v>
      </c>
      <c r="S567" s="3" t="str">
        <f aca="false">IF(TRIM(raw_data!M567)="","Filled - Unknown","OK")</f>
        <v>OK</v>
      </c>
      <c r="T567" s="6" t="n">
        <f aca="false">raw_data!N567</f>
        <v>6</v>
      </c>
      <c r="U567" s="7" t="n">
        <f aca="false">raw_data!O567</f>
        <v>1921.86</v>
      </c>
      <c r="V567" s="8" t="n">
        <f aca="false">raw_data!P567</f>
        <v>0.2</v>
      </c>
      <c r="W567" s="8" t="n">
        <f aca="false">IF(raw_data!P567="",0,IF(ISTEXT(raw_data!P567),IF(RIGHT(raw_data!P567,1)="%",VALUE(LEFT(raw_data!P567,LEN(raw_data!P567)-1))/100,VALUE(raw_data!P567)),raw_data!P567))</f>
        <v>0.2</v>
      </c>
      <c r="X567" s="3" t="str">
        <f aca="false">IF(raw_data!P567="","Missing - Defaulted to 0",IF(W567&lt;0,"Negative - Invalid",IF(W567&gt;0.3,"Above Allowed Range - Invalid","Valid")))</f>
        <v>Valid</v>
      </c>
      <c r="Y567" s="7" t="n">
        <f aca="false">raw_data!Q567</f>
        <v>9224.93</v>
      </c>
      <c r="Z567" s="7" t="n">
        <f aca="false">raw_data!R567</f>
        <v>7005.2</v>
      </c>
      <c r="AA567" s="7" t="n">
        <f aca="false">raw_data!S567</f>
        <v>2219.73</v>
      </c>
      <c r="AB567" s="3" t="str">
        <f aca="false">PROPER(TRIM(raw_data!T567))</f>
        <v>Refunded</v>
      </c>
      <c r="AC567" s="3" t="str">
        <f aca="false">PROPER(TRIM(raw_data!U567))</f>
        <v>Cancelled</v>
      </c>
      <c r="AD567" s="7" t="n">
        <f aca="false">T567*U567*(1-W567)</f>
        <v>9224.928</v>
      </c>
      <c r="AE567" s="7" t="n">
        <f aca="false">AD567-Z567</f>
        <v>2219.728</v>
      </c>
      <c r="AF567" s="8" t="n">
        <f aca="false">IF(AD567=0,0,AE567/AD567)</f>
        <v>0.24062279944082</v>
      </c>
      <c r="AG567" s="3" t="str">
        <f aca="false">IF(ABS(Y567-AD567)&gt;1,"Mismatch","OK")</f>
        <v>OK</v>
      </c>
      <c r="AH567" s="3" t="str">
        <f aca="false">IF(ABS(AA567-AE567)&gt;1,"Mismatch","OK")</f>
        <v>OK</v>
      </c>
      <c r="AI567" s="6" t="n">
        <f aca="false">IF(B567="","",MONTH(B567))</f>
        <v>8</v>
      </c>
      <c r="AJ567" s="6" t="n">
        <f aca="false">IF(B567="","",YEAR(B567))</f>
        <v>2025</v>
      </c>
      <c r="AK567" s="3" t="str">
        <f aca="false">IF(COUNTIF(raw_data!$A$2:$A$913,A567)&gt;1,"Conflicting Duplicate - Flagged for Review","Unique")</f>
        <v>Unique</v>
      </c>
      <c r="AL567" s="3" t="str">
        <f aca="false">IF(AB567="Refunded","Yes","No")</f>
        <v>Yes</v>
      </c>
      <c r="AM567" s="3" t="str">
        <f aca="false">IF(OR(AC567&lt;&gt;"Completed",AB567="Failed"),"Excluded","Included")</f>
        <v>Excluded</v>
      </c>
      <c r="AN567" s="3" t="str">
        <f aca="false">IF(OR(D567="Invalid/Unrecognized",E567="Invalid/Unrecognized",G567="Invalid - Ship Before Order",X567="Negative - Invalid",X567="Above Allowed Range - Invalid",AG567="Mismatch",AH567="Mismatch",AK567="Conflicting Duplicate - Flagged for Review"),"Invalid",IF(OR(L567="Filled - Unknown",S567="Filled - Unknown",X567="Missing - Defaulted to 0",AL567="Yes",AC567="Cancelled",AC567="Returned"),"Warning","Clean"))</f>
        <v>Warning</v>
      </c>
    </row>
    <row r="568" customFormat="false" ht="15" hidden="false" customHeight="false" outlineLevel="0" collapsed="false">
      <c r="A568" s="3" t="str">
        <f aca="false">raw_data!A568</f>
        <v>ORD-2024-10567</v>
      </c>
      <c r="B568" s="4" t="n">
        <f aca="false">IFERROR(IF(MID(raw_data!B568,3,1)="/",DATE(VALUE(RIGHT(raw_data!B568,4)),VALUE(LEFT(raw_data!B568,2)),VALUE(MID(raw_data!B568,4,2))),IF(MID(raw_data!B568,3,1)="-",DATE(VALUE(RIGHT(raw_data!B568,4)),VALUE(MID(raw_data!B568,4,2)),VALUE(LEFT(raw_data!B568,2))),IF(MID(raw_data!B568,5,1)="-",DATE(VALUE(LEFT(raw_data!B568,4)),VALUE(MID(raw_data!B568,6,2)),VALUE(RIGHT(raw_data!B568,2))),DATE(VALUE(RIGHT(raw_data!B568,4)),MATCH(MID(raw_data!B568,4,3),{"Jan","Feb","Mar","Apr","May","Jun","Jul","Aug","Sep","Oct","Nov","Dec"},0),VALUE(LEFT(raw_data!B568,2)))))),"")</f>
        <v>45515</v>
      </c>
      <c r="C568" s="4" t="n">
        <f aca="false">IFERROR(IF(MID(raw_data!C568,3,1)="/",DATE(VALUE(RIGHT(raw_data!C568,4)),VALUE(LEFT(raw_data!C568,2)),VALUE(MID(raw_data!C568,4,2))),IF(MID(raw_data!C568,3,1)="-",DATE(VALUE(RIGHT(raw_data!C568,4)),VALUE(MID(raw_data!C568,4,2)),VALUE(LEFT(raw_data!C568,2))),IF(MID(raw_data!C568,5,1)="-",DATE(VALUE(LEFT(raw_data!C568,4)),VALUE(MID(raw_data!C568,6,2)),VALUE(RIGHT(raw_data!C568,2))),DATE(VALUE(RIGHT(raw_data!C568,4)),MATCH(MID(raw_data!C568,4,3),{"Jan","Feb","Mar","Apr","May","Jun","Jul","Aug","Sep","Oct","Nov","Dec"},0),VALUE(LEFT(raw_data!C568,2)))))),"")</f>
        <v>45523</v>
      </c>
      <c r="D568" s="3" t="str">
        <f aca="false">IF(TRIM(raw_data!B568)="","Missing",IF(B568="","Invalid/Unrecognized","Valid"))</f>
        <v>Valid</v>
      </c>
      <c r="E568" s="3" t="str">
        <f aca="false">IF(TRIM(raw_data!C568)="","Missing",IF(C568="","Invalid/Unrecognized","Valid"))</f>
        <v>Valid</v>
      </c>
      <c r="F568" s="5" t="n">
        <f aca="false">IF(OR(B568="",C568=""),"",C568-B568)</f>
        <v>8</v>
      </c>
      <c r="G568" s="3" t="str">
        <f aca="false">IF(F568="","N/A",IF(F568&lt;0,"Invalid - Ship Before Order","OK"))</f>
        <v>OK</v>
      </c>
      <c r="H568" s="3" t="str">
        <f aca="false">raw_data!D568</f>
        <v>CUST-5246</v>
      </c>
      <c r="I568" s="3" t="str">
        <f aca="false">PROPER(TRIM(raw_data!E568))</f>
        <v>Sneha Kapoor</v>
      </c>
      <c r="J568" s="3" t="str">
        <f aca="false">PROPER(TRIM(raw_data!F568))</f>
        <v>Small Business</v>
      </c>
      <c r="K568" s="3" t="str">
        <f aca="false">IF(TRIM(raw_data!G568)="","Unknown",PROPER(TRIM(raw_data!G568)))</f>
        <v>West</v>
      </c>
      <c r="L568" s="3" t="str">
        <f aca="false">IF(TRIM(raw_data!G568)="","Filled - Unknown","OK")</f>
        <v>OK</v>
      </c>
      <c r="M568" s="3" t="str">
        <f aca="false">PROPER(TRIM(raw_data!H568))</f>
        <v>Maharashtra</v>
      </c>
      <c r="N568" s="3" t="str">
        <f aca="false">PROPER(TRIM(raw_data!I568))</f>
        <v>Mumbai</v>
      </c>
      <c r="O568" s="3" t="str">
        <f aca="false">PROPER(TRIM(raw_data!J568))</f>
        <v>Office Supplies</v>
      </c>
      <c r="P568" s="3" t="str">
        <f aca="false">PROPER(TRIM(raw_data!K568))</f>
        <v>Paper</v>
      </c>
      <c r="Q568" s="3" t="str">
        <f aca="false">TRIM(raw_data!L568)</f>
        <v>Smart Paper 807</v>
      </c>
      <c r="R568" s="3" t="str">
        <f aca="false">IF(TRIM(raw_data!M568)="","Unknown",PROPER(TRIM(raw_data!M568)))</f>
        <v>Same Day</v>
      </c>
      <c r="S568" s="3" t="str">
        <f aca="false">IF(TRIM(raw_data!M568)="","Filled - Unknown","OK")</f>
        <v>OK</v>
      </c>
      <c r="T568" s="6" t="n">
        <f aca="false">raw_data!N568</f>
        <v>2</v>
      </c>
      <c r="U568" s="7" t="n">
        <f aca="false">raw_data!O568</f>
        <v>2617.89</v>
      </c>
      <c r="V568" s="8" t="n">
        <f aca="false">raw_data!P568</f>
        <v>0.1</v>
      </c>
      <c r="W568" s="8" t="n">
        <f aca="false">IF(raw_data!P568="",0,IF(ISTEXT(raw_data!P568),IF(RIGHT(raw_data!P568,1)="%",VALUE(LEFT(raw_data!P568,LEN(raw_data!P568)-1))/100,VALUE(raw_data!P568)),raw_data!P568))</f>
        <v>0.1</v>
      </c>
      <c r="X568" s="3" t="str">
        <f aca="false">IF(raw_data!P568="","Missing - Defaulted to 0",IF(W568&lt;0,"Negative - Invalid",IF(W568&gt;0.3,"Above Allowed Range - Invalid","Valid")))</f>
        <v>Valid</v>
      </c>
      <c r="Y568" s="7" t="n">
        <f aca="false">raw_data!Q568</f>
        <v>4712.2</v>
      </c>
      <c r="Z568" s="7" t="n">
        <f aca="false">raw_data!R568</f>
        <v>3851.91</v>
      </c>
      <c r="AA568" s="7" t="n">
        <f aca="false">raw_data!S568</f>
        <v>860.29</v>
      </c>
      <c r="AB568" s="3" t="str">
        <f aca="false">PROPER(TRIM(raw_data!T568))</f>
        <v>Failed</v>
      </c>
      <c r="AC568" s="3" t="str">
        <f aca="false">PROPER(TRIM(raw_data!U568))</f>
        <v>Returned</v>
      </c>
      <c r="AD568" s="7" t="n">
        <f aca="false">T568*U568*(1-W568)</f>
        <v>4712.202</v>
      </c>
      <c r="AE568" s="7" t="n">
        <f aca="false">AD568-Z568</f>
        <v>860.292</v>
      </c>
      <c r="AF568" s="8" t="n">
        <f aca="false">IF(AD568=0,0,AE568/AD568)</f>
        <v>0.182566876377541</v>
      </c>
      <c r="AG568" s="3" t="str">
        <f aca="false">IF(ABS(Y568-AD568)&gt;1,"Mismatch","OK")</f>
        <v>OK</v>
      </c>
      <c r="AH568" s="3" t="str">
        <f aca="false">IF(ABS(AA568-AE568)&gt;1,"Mismatch","OK")</f>
        <v>OK</v>
      </c>
      <c r="AI568" s="6" t="n">
        <f aca="false">IF(B568="","",MONTH(B568))</f>
        <v>8</v>
      </c>
      <c r="AJ568" s="6" t="n">
        <f aca="false">IF(B568="","",YEAR(B568))</f>
        <v>2024</v>
      </c>
      <c r="AK568" s="3" t="str">
        <f aca="false">IF(COUNTIF(raw_data!$A$2:$A$913,A568)&gt;1,"Conflicting Duplicate - Flagged for Review","Unique")</f>
        <v>Unique</v>
      </c>
      <c r="AL568" s="3" t="str">
        <f aca="false">IF(AB568="Refunded","Yes","No")</f>
        <v>No</v>
      </c>
      <c r="AM568" s="3" t="str">
        <f aca="false">IF(OR(AC568&lt;&gt;"Completed",AB568="Failed"),"Excluded","Included")</f>
        <v>Excluded</v>
      </c>
      <c r="AN568" s="3" t="str">
        <f aca="false">IF(OR(D568="Invalid/Unrecognized",E568="Invalid/Unrecognized",G568="Invalid - Ship Before Order",X568="Negative - Invalid",X568="Above Allowed Range - Invalid",AG568="Mismatch",AH568="Mismatch",AK568="Conflicting Duplicate - Flagged for Review"),"Invalid",IF(OR(L568="Filled - Unknown",S568="Filled - Unknown",X568="Missing - Defaulted to 0",AL568="Yes",AC568="Cancelled",AC568="Returned"),"Warning","Clean"))</f>
        <v>Warning</v>
      </c>
    </row>
    <row r="569" customFormat="false" ht="15" hidden="false" customHeight="false" outlineLevel="0" collapsed="false">
      <c r="A569" s="3" t="str">
        <f aca="false">raw_data!A569</f>
        <v>ORD-2024-10568</v>
      </c>
      <c r="B569" s="4" t="n">
        <f aca="false">IFERROR(IF(MID(raw_data!B569,3,1)="/",DATE(VALUE(RIGHT(raw_data!B569,4)),VALUE(LEFT(raw_data!B569,2)),VALUE(MID(raw_data!B569,4,2))),IF(MID(raw_data!B569,3,1)="-",DATE(VALUE(RIGHT(raw_data!B569,4)),VALUE(MID(raw_data!B569,4,2)),VALUE(LEFT(raw_data!B569,2))),IF(MID(raw_data!B569,5,1)="-",DATE(VALUE(LEFT(raw_data!B569,4)),VALUE(MID(raw_data!B569,6,2)),VALUE(RIGHT(raw_data!B569,2))),DATE(VALUE(RIGHT(raw_data!B569,4)),MATCH(MID(raw_data!B569,4,3),{"Jan","Feb","Mar","Apr","May","Jun","Jul","Aug","Sep","Oct","Nov","Dec"},0),VALUE(LEFT(raw_data!B569,2)))))),"")</f>
        <v>45328</v>
      </c>
      <c r="C569" s="4" t="n">
        <f aca="false">IFERROR(IF(MID(raw_data!C569,3,1)="/",DATE(VALUE(RIGHT(raw_data!C569,4)),VALUE(LEFT(raw_data!C569,2)),VALUE(MID(raw_data!C569,4,2))),IF(MID(raw_data!C569,3,1)="-",DATE(VALUE(RIGHT(raw_data!C569,4)),VALUE(MID(raw_data!C569,4,2)),VALUE(LEFT(raw_data!C569,2))),IF(MID(raw_data!C569,5,1)="-",DATE(VALUE(LEFT(raw_data!C569,4)),VALUE(MID(raw_data!C569,6,2)),VALUE(RIGHT(raw_data!C569,2))),DATE(VALUE(RIGHT(raw_data!C569,4)),MATCH(MID(raw_data!C569,4,3),{"Jan","Feb","Mar","Apr","May","Jun","Jul","Aug","Sep","Oct","Nov","Dec"},0),VALUE(LEFT(raw_data!C569,2)))))),"")</f>
        <v>45332</v>
      </c>
      <c r="D569" s="3" t="str">
        <f aca="false">IF(TRIM(raw_data!B569)="","Missing",IF(B569="","Invalid/Unrecognized","Valid"))</f>
        <v>Valid</v>
      </c>
      <c r="E569" s="3" t="str">
        <f aca="false">IF(TRIM(raw_data!C569)="","Missing",IF(C569="","Invalid/Unrecognized","Valid"))</f>
        <v>Valid</v>
      </c>
      <c r="F569" s="5" t="n">
        <f aca="false">IF(OR(B569="",C569=""),"",C569-B569)</f>
        <v>4</v>
      </c>
      <c r="G569" s="3" t="str">
        <f aca="false">IF(F569="","N/A",IF(F569&lt;0,"Invalid - Ship Before Order","OK"))</f>
        <v>OK</v>
      </c>
      <c r="H569" s="3" t="str">
        <f aca="false">raw_data!D569</f>
        <v>CUST-3128</v>
      </c>
      <c r="I569" s="3" t="str">
        <f aca="false">PROPER(TRIM(raw_data!E569))</f>
        <v>Arjun Bose</v>
      </c>
      <c r="J569" s="3" t="str">
        <f aca="false">PROPER(TRIM(raw_data!F569))</f>
        <v>Home Office</v>
      </c>
      <c r="K569" s="3" t="str">
        <f aca="false">IF(TRIM(raw_data!G569)="","Unknown",PROPER(TRIM(raw_data!G569)))</f>
        <v>North</v>
      </c>
      <c r="L569" s="3" t="str">
        <f aca="false">IF(TRIM(raw_data!G569)="","Filled - Unknown","OK")</f>
        <v>OK</v>
      </c>
      <c r="M569" s="3" t="str">
        <f aca="false">PROPER(TRIM(raw_data!H569))</f>
        <v>Uttar Pradesh</v>
      </c>
      <c r="N569" s="3" t="str">
        <f aca="false">PROPER(TRIM(raw_data!I569))</f>
        <v>Noida</v>
      </c>
      <c r="O569" s="3" t="str">
        <f aca="false">PROPER(TRIM(raw_data!J569))</f>
        <v>Furniture</v>
      </c>
      <c r="P569" s="3" t="str">
        <f aca="false">PROPER(TRIM(raw_data!K569))</f>
        <v>Furnishings</v>
      </c>
      <c r="Q569" s="3" t="str">
        <f aca="false">TRIM(raw_data!L569)</f>
        <v>Pro Furnishings 108</v>
      </c>
      <c r="R569" s="3" t="str">
        <f aca="false">IF(TRIM(raw_data!M569)="","Unknown",PROPER(TRIM(raw_data!M569)))</f>
        <v>Same Day</v>
      </c>
      <c r="S569" s="3" t="str">
        <f aca="false">IF(TRIM(raw_data!M569)="","Filled - Unknown","OK")</f>
        <v>OK</v>
      </c>
      <c r="T569" s="6" t="n">
        <f aca="false">raw_data!N569</f>
        <v>1</v>
      </c>
      <c r="U569" s="7" t="n">
        <f aca="false">raw_data!O569</f>
        <v>1374.06</v>
      </c>
      <c r="V569" s="8" t="n">
        <f aca="false">raw_data!P569</f>
        <v>0.05</v>
      </c>
      <c r="W569" s="8" t="n">
        <f aca="false">IF(raw_data!P569="",0,IF(ISTEXT(raw_data!P569),IF(RIGHT(raw_data!P569,1)="%",VALUE(LEFT(raw_data!P569,LEN(raw_data!P569)-1))/100,VALUE(raw_data!P569)),raw_data!P569))</f>
        <v>0.05</v>
      </c>
      <c r="X569" s="3" t="str">
        <f aca="false">IF(raw_data!P569="","Missing - Defaulted to 0",IF(W569&lt;0,"Negative - Invalid",IF(W569&gt;0.3,"Above Allowed Range - Invalid","Valid")))</f>
        <v>Valid</v>
      </c>
      <c r="Y569" s="7" t="n">
        <f aca="false">raw_data!Q569</f>
        <v>1305.36</v>
      </c>
      <c r="Z569" s="7" t="n">
        <f aca="false">raw_data!R569</f>
        <v>731.89</v>
      </c>
      <c r="AA569" s="7" t="n">
        <f aca="false">raw_data!S569</f>
        <v>573.47</v>
      </c>
      <c r="AB569" s="3" t="str">
        <f aca="false">PROPER(TRIM(raw_data!T569))</f>
        <v>Paid</v>
      </c>
      <c r="AC569" s="3" t="str">
        <f aca="false">PROPER(TRIM(raw_data!U569))</f>
        <v>Completed</v>
      </c>
      <c r="AD569" s="7" t="n">
        <f aca="false">T569*U569*(1-W569)</f>
        <v>1305.357</v>
      </c>
      <c r="AE569" s="7" t="n">
        <f aca="false">AD569-Z569</f>
        <v>573.467</v>
      </c>
      <c r="AF569" s="8" t="n">
        <f aca="false">IF(AD569=0,0,AE569/AD569)</f>
        <v>0.439318132893913</v>
      </c>
      <c r="AG569" s="3" t="str">
        <f aca="false">IF(ABS(Y569-AD569)&gt;1,"Mismatch","OK")</f>
        <v>OK</v>
      </c>
      <c r="AH569" s="3" t="str">
        <f aca="false">IF(ABS(AA569-AE569)&gt;1,"Mismatch","OK")</f>
        <v>OK</v>
      </c>
      <c r="AI569" s="6" t="n">
        <f aca="false">IF(B569="","",MONTH(B569))</f>
        <v>2</v>
      </c>
      <c r="AJ569" s="6" t="n">
        <f aca="false">IF(B569="","",YEAR(B569))</f>
        <v>2024</v>
      </c>
      <c r="AK569" s="3" t="str">
        <f aca="false">IF(COUNTIF(raw_data!$A$2:$A$913,A569)&gt;1,"Conflicting Duplicate - Flagged for Review","Unique")</f>
        <v>Unique</v>
      </c>
      <c r="AL569" s="3" t="str">
        <f aca="false">IF(AB569="Refunded","Yes","No")</f>
        <v>No</v>
      </c>
      <c r="AM569" s="3" t="str">
        <f aca="false">IF(OR(AC569&lt;&gt;"Completed",AB569="Failed"),"Excluded","Included")</f>
        <v>Included</v>
      </c>
      <c r="AN569" s="3" t="str">
        <f aca="false">IF(OR(D569="Invalid/Unrecognized",E569="Invalid/Unrecognized",G569="Invalid - Ship Before Order",X569="Negative - Invalid",X569="Above Allowed Range - Invalid",AG569="Mismatch",AH569="Mismatch",AK569="Conflicting Duplicate - Flagged for Review"),"Invalid",IF(OR(L569="Filled - Unknown",S569="Filled - Unknown",X569="Missing - Defaulted to 0",AL569="Yes",AC569="Cancelled",AC569="Returned"),"Warning","Clean"))</f>
        <v>Clean</v>
      </c>
    </row>
    <row r="570" customFormat="false" ht="15" hidden="false" customHeight="false" outlineLevel="0" collapsed="false">
      <c r="A570" s="3" t="str">
        <f aca="false">raw_data!A570</f>
        <v>ORD-2024-10569</v>
      </c>
      <c r="B570" s="4" t="n">
        <f aca="false">IFERROR(IF(MID(raw_data!B570,3,1)="/",DATE(VALUE(RIGHT(raw_data!B570,4)),VALUE(LEFT(raw_data!B570,2)),VALUE(MID(raw_data!B570,4,2))),IF(MID(raw_data!B570,3,1)="-",DATE(VALUE(RIGHT(raw_data!B570,4)),VALUE(MID(raw_data!B570,4,2)),VALUE(LEFT(raw_data!B570,2))),IF(MID(raw_data!B570,5,1)="-",DATE(VALUE(LEFT(raw_data!B570,4)),VALUE(MID(raw_data!B570,6,2)),VALUE(RIGHT(raw_data!B570,2))),DATE(VALUE(RIGHT(raw_data!B570,4)),MATCH(MID(raw_data!B570,4,3),{"Jan","Feb","Mar","Apr","May","Jun","Jul","Aug","Sep","Oct","Nov","Dec"},0),VALUE(LEFT(raw_data!B570,2)))))),"")</f>
        <v>45312</v>
      </c>
      <c r="C570" s="4" t="n">
        <f aca="false">IFERROR(IF(MID(raw_data!C570,3,1)="/",DATE(VALUE(RIGHT(raw_data!C570,4)),VALUE(LEFT(raw_data!C570,2)),VALUE(MID(raw_data!C570,4,2))),IF(MID(raw_data!C570,3,1)="-",DATE(VALUE(RIGHT(raw_data!C570,4)),VALUE(MID(raw_data!C570,4,2)),VALUE(LEFT(raw_data!C570,2))),IF(MID(raw_data!C570,5,1)="-",DATE(VALUE(LEFT(raw_data!C570,4)),VALUE(MID(raw_data!C570,6,2)),VALUE(RIGHT(raw_data!C570,2))),DATE(VALUE(RIGHT(raw_data!C570,4)),MATCH(MID(raw_data!C570,4,3),{"Jan","Feb","Mar","Apr","May","Jun","Jul","Aug","Sep","Oct","Nov","Dec"},0),VALUE(LEFT(raw_data!C570,2)))))),"")</f>
        <v>45315</v>
      </c>
      <c r="D570" s="3" t="str">
        <f aca="false">IF(TRIM(raw_data!B570)="","Missing",IF(B570="","Invalid/Unrecognized","Valid"))</f>
        <v>Valid</v>
      </c>
      <c r="E570" s="3" t="str">
        <f aca="false">IF(TRIM(raw_data!C570)="","Missing",IF(C570="","Invalid/Unrecognized","Valid"))</f>
        <v>Valid</v>
      </c>
      <c r="F570" s="5" t="n">
        <f aca="false">IF(OR(B570="",C570=""),"",C570-B570)</f>
        <v>3</v>
      </c>
      <c r="G570" s="3" t="str">
        <f aca="false">IF(F570="","N/A",IF(F570&lt;0,"Invalid - Ship Before Order","OK"))</f>
        <v>OK</v>
      </c>
      <c r="H570" s="3" t="str">
        <f aca="false">raw_data!D570</f>
        <v>CUST-4604</v>
      </c>
      <c r="I570" s="3" t="str">
        <f aca="false">PROPER(TRIM(raw_data!E570))</f>
        <v>Kabir Singh</v>
      </c>
      <c r="J570" s="3" t="str">
        <f aca="false">PROPER(TRIM(raw_data!F570))</f>
        <v>Corporate</v>
      </c>
      <c r="K570" s="3" t="str">
        <f aca="false">IF(TRIM(raw_data!G570)="","Unknown",PROPER(TRIM(raw_data!G570)))</f>
        <v>North</v>
      </c>
      <c r="L570" s="3" t="str">
        <f aca="false">IF(TRIM(raw_data!G570)="","Filled - Unknown","OK")</f>
        <v>OK</v>
      </c>
      <c r="M570" s="3" t="str">
        <f aca="false">PROPER(TRIM(raw_data!H570))</f>
        <v>Punjab</v>
      </c>
      <c r="N570" s="3" t="str">
        <f aca="false">PROPER(TRIM(raw_data!I570))</f>
        <v>Ludhiana</v>
      </c>
      <c r="O570" s="3" t="str">
        <f aca="false">PROPER(TRIM(raw_data!J570))</f>
        <v>Technology</v>
      </c>
      <c r="P570" s="3" t="str">
        <f aca="false">PROPER(TRIM(raw_data!K570))</f>
        <v>Machines</v>
      </c>
      <c r="Q570" s="3" t="str">
        <f aca="false">TRIM(raw_data!L570)</f>
        <v>Classic Machines 522</v>
      </c>
      <c r="R570" s="3" t="str">
        <f aca="false">IF(TRIM(raw_data!M570)="","Unknown",PROPER(TRIM(raw_data!M570)))</f>
        <v>Same Day</v>
      </c>
      <c r="S570" s="3" t="str">
        <f aca="false">IF(TRIM(raw_data!M570)="","Filled - Unknown","OK")</f>
        <v>OK</v>
      </c>
      <c r="T570" s="6" t="n">
        <f aca="false">raw_data!N570</f>
        <v>1</v>
      </c>
      <c r="U570" s="7" t="n">
        <f aca="false">raw_data!O570</f>
        <v>3806.3</v>
      </c>
      <c r="V570" s="8" t="n">
        <f aca="false">raw_data!P570</f>
        <v>0.25</v>
      </c>
      <c r="W570" s="8" t="n">
        <f aca="false">IF(raw_data!P570="",0,IF(ISTEXT(raw_data!P570),IF(RIGHT(raw_data!P570,1)="%",VALUE(LEFT(raw_data!P570,LEN(raw_data!P570)-1))/100,VALUE(raw_data!P570)),raw_data!P570))</f>
        <v>0.25</v>
      </c>
      <c r="X570" s="3" t="str">
        <f aca="false">IF(raw_data!P570="","Missing - Defaulted to 0",IF(W570&lt;0,"Negative - Invalid",IF(W570&gt;0.3,"Above Allowed Range - Invalid","Valid")))</f>
        <v>Valid</v>
      </c>
      <c r="Y570" s="7" t="n">
        <f aca="false">raw_data!Q570</f>
        <v>2854.73</v>
      </c>
      <c r="Z570" s="7" t="n">
        <f aca="false">raw_data!R570</f>
        <v>1968.12</v>
      </c>
      <c r="AA570" s="7" t="n">
        <f aca="false">raw_data!S570</f>
        <v>886.61</v>
      </c>
      <c r="AB570" s="3" t="str">
        <f aca="false">PROPER(TRIM(raw_data!T570))</f>
        <v>Paid</v>
      </c>
      <c r="AC570" s="3" t="str">
        <f aca="false">PROPER(TRIM(raw_data!U570))</f>
        <v>Completed</v>
      </c>
      <c r="AD570" s="7" t="n">
        <f aca="false">T570*U570*(1-W570)</f>
        <v>2854.725</v>
      </c>
      <c r="AE570" s="7" t="n">
        <f aca="false">AD570-Z570</f>
        <v>886.605000000001</v>
      </c>
      <c r="AF570" s="8" t="n">
        <f aca="false">IF(AD570=0,0,AE570/AD570)</f>
        <v>0.310574573733022</v>
      </c>
      <c r="AG570" s="3" t="str">
        <f aca="false">IF(ABS(Y570-AD570)&gt;1,"Mismatch","OK")</f>
        <v>OK</v>
      </c>
      <c r="AH570" s="3" t="str">
        <f aca="false">IF(ABS(AA570-AE570)&gt;1,"Mismatch","OK")</f>
        <v>OK</v>
      </c>
      <c r="AI570" s="6" t="n">
        <f aca="false">IF(B570="","",MONTH(B570))</f>
        <v>1</v>
      </c>
      <c r="AJ570" s="6" t="n">
        <f aca="false">IF(B570="","",YEAR(B570))</f>
        <v>2024</v>
      </c>
      <c r="AK570" s="3" t="str">
        <f aca="false">IF(COUNTIF(raw_data!$A$2:$A$913,A570)&gt;1,"Conflicting Duplicate - Flagged for Review","Unique")</f>
        <v>Unique</v>
      </c>
      <c r="AL570" s="3" t="str">
        <f aca="false">IF(AB570="Refunded","Yes","No")</f>
        <v>No</v>
      </c>
      <c r="AM570" s="3" t="str">
        <f aca="false">IF(OR(AC570&lt;&gt;"Completed",AB570="Failed"),"Excluded","Included")</f>
        <v>Included</v>
      </c>
      <c r="AN570" s="3" t="str">
        <f aca="false">IF(OR(D570="Invalid/Unrecognized",E570="Invalid/Unrecognized",G570="Invalid - Ship Before Order",X570="Negative - Invalid",X570="Above Allowed Range - Invalid",AG570="Mismatch",AH570="Mismatch",AK570="Conflicting Duplicate - Flagged for Review"),"Invalid",IF(OR(L570="Filled - Unknown",S570="Filled - Unknown",X570="Missing - Defaulted to 0",AL570="Yes",AC570="Cancelled",AC570="Returned"),"Warning","Clean"))</f>
        <v>Clean</v>
      </c>
    </row>
    <row r="571" customFormat="false" ht="15" hidden="false" customHeight="false" outlineLevel="0" collapsed="false">
      <c r="A571" s="3" t="str">
        <f aca="false">raw_data!A571</f>
        <v>ORD-2025-10570</v>
      </c>
      <c r="B571" s="4" t="n">
        <f aca="false">IFERROR(IF(MID(raw_data!B571,3,1)="/",DATE(VALUE(RIGHT(raw_data!B571,4)),VALUE(LEFT(raw_data!B571,2)),VALUE(MID(raw_data!B571,4,2))),IF(MID(raw_data!B571,3,1)="-",DATE(VALUE(RIGHT(raw_data!B571,4)),VALUE(MID(raw_data!B571,4,2)),VALUE(LEFT(raw_data!B571,2))),IF(MID(raw_data!B571,5,1)="-",DATE(VALUE(LEFT(raw_data!B571,4)),VALUE(MID(raw_data!B571,6,2)),VALUE(RIGHT(raw_data!B571,2))),DATE(VALUE(RIGHT(raw_data!B571,4)),MATCH(MID(raw_data!B571,4,3),{"Jan","Feb","Mar","Apr","May","Jun","Jul","Aug","Sep","Oct","Nov","Dec"},0),VALUE(LEFT(raw_data!B571,2)))))),"")</f>
        <v>45908</v>
      </c>
      <c r="C571" s="4" t="n">
        <f aca="false">IFERROR(IF(MID(raw_data!C571,3,1)="/",DATE(VALUE(RIGHT(raw_data!C571,4)),VALUE(LEFT(raw_data!C571,2)),VALUE(MID(raw_data!C571,4,2))),IF(MID(raw_data!C571,3,1)="-",DATE(VALUE(RIGHT(raw_data!C571,4)),VALUE(MID(raw_data!C571,4,2)),VALUE(LEFT(raw_data!C571,2))),IF(MID(raw_data!C571,5,1)="-",DATE(VALUE(LEFT(raw_data!C571,4)),VALUE(MID(raw_data!C571,6,2)),VALUE(RIGHT(raw_data!C571,2))),DATE(VALUE(RIGHT(raw_data!C571,4)),MATCH(MID(raw_data!C571,4,3),{"Jan","Feb","Mar","Apr","May","Jun","Jul","Aug","Sep","Oct","Nov","Dec"},0),VALUE(LEFT(raw_data!C571,2)))))),"")</f>
        <v>45910</v>
      </c>
      <c r="D571" s="3" t="str">
        <f aca="false">IF(TRIM(raw_data!B571)="","Missing",IF(B571="","Invalid/Unrecognized","Valid"))</f>
        <v>Valid</v>
      </c>
      <c r="E571" s="3" t="str">
        <f aca="false">IF(TRIM(raw_data!C571)="","Missing",IF(C571="","Invalid/Unrecognized","Valid"))</f>
        <v>Valid</v>
      </c>
      <c r="F571" s="5" t="n">
        <f aca="false">IF(OR(B571="",C571=""),"",C571-B571)</f>
        <v>2</v>
      </c>
      <c r="G571" s="3" t="str">
        <f aca="false">IF(F571="","N/A",IF(F571&lt;0,"Invalid - Ship Before Order","OK"))</f>
        <v>OK</v>
      </c>
      <c r="H571" s="3" t="str">
        <f aca="false">raw_data!D571</f>
        <v>CUST-2586</v>
      </c>
      <c r="I571" s="3" t="str">
        <f aca="false">PROPER(TRIM(raw_data!E571))</f>
        <v>Rahul Verma</v>
      </c>
      <c r="J571" s="3" t="str">
        <f aca="false">PROPER(TRIM(raw_data!F571))</f>
        <v>Home Office</v>
      </c>
      <c r="K571" s="3" t="str">
        <f aca="false">IF(TRIM(raw_data!G571)="","Unknown",PROPER(TRIM(raw_data!G571)))</f>
        <v>West</v>
      </c>
      <c r="L571" s="3" t="str">
        <f aca="false">IF(TRIM(raw_data!G571)="","Filled - Unknown","OK")</f>
        <v>OK</v>
      </c>
      <c r="M571" s="3" t="str">
        <f aca="false">PROPER(TRIM(raw_data!H571))</f>
        <v>Maharashtra</v>
      </c>
      <c r="N571" s="3" t="str">
        <f aca="false">PROPER(TRIM(raw_data!I571))</f>
        <v>Mumbai</v>
      </c>
      <c r="O571" s="3" t="str">
        <f aca="false">PROPER(TRIM(raw_data!J571))</f>
        <v>Furniture</v>
      </c>
      <c r="P571" s="3" t="str">
        <f aca="false">PROPER(TRIM(raw_data!K571))</f>
        <v>Furnishings</v>
      </c>
      <c r="Q571" s="3" t="str">
        <f aca="false">TRIM(raw_data!L571)</f>
        <v>Elite Furnishings 822</v>
      </c>
      <c r="R571" s="3" t="str">
        <f aca="false">IF(TRIM(raw_data!M571)="","Unknown",PROPER(TRIM(raw_data!M571)))</f>
        <v>Standard Class</v>
      </c>
      <c r="S571" s="3" t="str">
        <f aca="false">IF(TRIM(raw_data!M571)="","Filled - Unknown","OK")</f>
        <v>OK</v>
      </c>
      <c r="T571" s="6" t="n">
        <f aca="false">raw_data!N571</f>
        <v>6</v>
      </c>
      <c r="U571" s="7" t="n">
        <f aca="false">raw_data!O571</f>
        <v>3251.17</v>
      </c>
      <c r="V571" s="8" t="n">
        <f aca="false">raw_data!P571</f>
        <v>0.25</v>
      </c>
      <c r="W571" s="8" t="n">
        <f aca="false">IF(raw_data!P571="",0,IF(ISTEXT(raw_data!P571),IF(RIGHT(raw_data!P571,1)="%",VALUE(LEFT(raw_data!P571,LEN(raw_data!P571)-1))/100,VALUE(raw_data!P571)),raw_data!P571))</f>
        <v>0.25</v>
      </c>
      <c r="X571" s="3" t="str">
        <f aca="false">IF(raw_data!P571="","Missing - Defaulted to 0",IF(W571&lt;0,"Negative - Invalid",IF(W571&gt;0.3,"Above Allowed Range - Invalid","Valid")))</f>
        <v>Valid</v>
      </c>
      <c r="Y571" s="7" t="n">
        <f aca="false">raw_data!Q571</f>
        <v>14630.26</v>
      </c>
      <c r="Z571" s="7" t="n">
        <f aca="false">raw_data!R571</f>
        <v>11906.36</v>
      </c>
      <c r="AA571" s="7" t="n">
        <f aca="false">raw_data!S571</f>
        <v>2723.9</v>
      </c>
      <c r="AB571" s="3" t="str">
        <f aca="false">PROPER(TRIM(raw_data!T571))</f>
        <v>Refunded</v>
      </c>
      <c r="AC571" s="3" t="str">
        <f aca="false">PROPER(TRIM(raw_data!U571))</f>
        <v>Returned</v>
      </c>
      <c r="AD571" s="7" t="n">
        <f aca="false">T571*U571*(1-W571)</f>
        <v>14630.265</v>
      </c>
      <c r="AE571" s="7" t="n">
        <f aca="false">AD571-Z571</f>
        <v>2723.905</v>
      </c>
      <c r="AF571" s="8" t="n">
        <f aca="false">IF(AD571=0,0,AE571/AD571)</f>
        <v>0.186182888689986</v>
      </c>
      <c r="AG571" s="3" t="str">
        <f aca="false">IF(ABS(Y571-AD571)&gt;1,"Mismatch","OK")</f>
        <v>OK</v>
      </c>
      <c r="AH571" s="3" t="str">
        <f aca="false">IF(ABS(AA571-AE571)&gt;1,"Mismatch","OK")</f>
        <v>OK</v>
      </c>
      <c r="AI571" s="6" t="n">
        <f aca="false">IF(B571="","",MONTH(B571))</f>
        <v>9</v>
      </c>
      <c r="AJ571" s="6" t="n">
        <f aca="false">IF(B571="","",YEAR(B571))</f>
        <v>2025</v>
      </c>
      <c r="AK571" s="3" t="str">
        <f aca="false">IF(COUNTIF(raw_data!$A$2:$A$913,A571)&gt;1,"Conflicting Duplicate - Flagged for Review","Unique")</f>
        <v>Unique</v>
      </c>
      <c r="AL571" s="3" t="str">
        <f aca="false">IF(AB571="Refunded","Yes","No")</f>
        <v>Yes</v>
      </c>
      <c r="AM571" s="3" t="str">
        <f aca="false">IF(OR(AC571&lt;&gt;"Completed",AB571="Failed"),"Excluded","Included")</f>
        <v>Excluded</v>
      </c>
      <c r="AN571" s="3" t="str">
        <f aca="false">IF(OR(D571="Invalid/Unrecognized",E571="Invalid/Unrecognized",G571="Invalid - Ship Before Order",X571="Negative - Invalid",X571="Above Allowed Range - Invalid",AG571="Mismatch",AH571="Mismatch",AK571="Conflicting Duplicate - Flagged for Review"),"Invalid",IF(OR(L571="Filled - Unknown",S571="Filled - Unknown",X571="Missing - Defaulted to 0",AL571="Yes",AC571="Cancelled",AC571="Returned"),"Warning","Clean"))</f>
        <v>Warning</v>
      </c>
    </row>
    <row r="572" customFormat="false" ht="15" hidden="false" customHeight="false" outlineLevel="0" collapsed="false">
      <c r="A572" s="3" t="str">
        <f aca="false">raw_data!A572</f>
        <v>ORD-2025-10571</v>
      </c>
      <c r="B572" s="4" t="n">
        <f aca="false">IFERROR(IF(MID(raw_data!B572,3,1)="/",DATE(VALUE(RIGHT(raw_data!B572,4)),VALUE(LEFT(raw_data!B572,2)),VALUE(MID(raw_data!B572,4,2))),IF(MID(raw_data!B572,3,1)="-",DATE(VALUE(RIGHT(raw_data!B572,4)),VALUE(MID(raw_data!B572,4,2)),VALUE(LEFT(raw_data!B572,2))),IF(MID(raw_data!B572,5,1)="-",DATE(VALUE(LEFT(raw_data!B572,4)),VALUE(MID(raw_data!B572,6,2)),VALUE(RIGHT(raw_data!B572,2))),DATE(VALUE(RIGHT(raw_data!B572,4)),MATCH(MID(raw_data!B572,4,3),{"Jan","Feb","Mar","Apr","May","Jun","Jul","Aug","Sep","Oct","Nov","Dec"},0),VALUE(LEFT(raw_data!B572,2)))))),"")</f>
        <v>45887</v>
      </c>
      <c r="C572" s="4" t="n">
        <f aca="false">IFERROR(IF(MID(raw_data!C572,3,1)="/",DATE(VALUE(RIGHT(raw_data!C572,4)),VALUE(LEFT(raw_data!C572,2)),VALUE(MID(raw_data!C572,4,2))),IF(MID(raw_data!C572,3,1)="-",DATE(VALUE(RIGHT(raw_data!C572,4)),VALUE(MID(raw_data!C572,4,2)),VALUE(LEFT(raw_data!C572,2))),IF(MID(raw_data!C572,5,1)="-",DATE(VALUE(LEFT(raw_data!C572,4)),VALUE(MID(raw_data!C572,6,2)),VALUE(RIGHT(raw_data!C572,2))),DATE(VALUE(RIGHT(raw_data!C572,4)),MATCH(MID(raw_data!C572,4,3),{"Jan","Feb","Mar","Apr","May","Jun","Jul","Aug","Sep","Oct","Nov","Dec"},0),VALUE(LEFT(raw_data!C572,2)))))),"")</f>
        <v>45891</v>
      </c>
      <c r="D572" s="3" t="str">
        <f aca="false">IF(TRIM(raw_data!B572)="","Missing",IF(B572="","Invalid/Unrecognized","Valid"))</f>
        <v>Valid</v>
      </c>
      <c r="E572" s="3" t="str">
        <f aca="false">IF(TRIM(raw_data!C572)="","Missing",IF(C572="","Invalid/Unrecognized","Valid"))</f>
        <v>Valid</v>
      </c>
      <c r="F572" s="5" t="n">
        <f aca="false">IF(OR(B572="",C572=""),"",C572-B572)</f>
        <v>4</v>
      </c>
      <c r="G572" s="3" t="str">
        <f aca="false">IF(F572="","N/A",IF(F572&lt;0,"Invalid - Ship Before Order","OK"))</f>
        <v>OK</v>
      </c>
      <c r="H572" s="3" t="str">
        <f aca="false">raw_data!D572</f>
        <v>CUST-6585</v>
      </c>
      <c r="I572" s="3" t="str">
        <f aca="false">PROPER(TRIM(raw_data!E572))</f>
        <v>Arjun Bose</v>
      </c>
      <c r="J572" s="3" t="str">
        <f aca="false">PROPER(TRIM(raw_data!F572))</f>
        <v>Consumer</v>
      </c>
      <c r="K572" s="3" t="str">
        <f aca="false">IF(TRIM(raw_data!G572)="","Unknown",PROPER(TRIM(raw_data!G572)))</f>
        <v>East</v>
      </c>
      <c r="L572" s="3" t="str">
        <f aca="false">IF(TRIM(raw_data!G572)="","Filled - Unknown","OK")</f>
        <v>OK</v>
      </c>
      <c r="M572" s="3" t="str">
        <f aca="false">PROPER(TRIM(raw_data!H572))</f>
        <v>Jharkhand</v>
      </c>
      <c r="N572" s="3" t="str">
        <f aca="false">PROPER(TRIM(raw_data!I572))</f>
        <v>Ranchi</v>
      </c>
      <c r="O572" s="3" t="str">
        <f aca="false">PROPER(TRIM(raw_data!J572))</f>
        <v>Furniture</v>
      </c>
      <c r="P572" s="3" t="str">
        <f aca="false">PROPER(TRIM(raw_data!K572))</f>
        <v>Furnishings</v>
      </c>
      <c r="Q572" s="3" t="str">
        <f aca="false">TRIM(raw_data!L572)</f>
        <v>Max Furnishings 647</v>
      </c>
      <c r="R572" s="3" t="str">
        <f aca="false">IF(TRIM(raw_data!M572)="","Unknown",PROPER(TRIM(raw_data!M572)))</f>
        <v>Second Class</v>
      </c>
      <c r="S572" s="3" t="str">
        <f aca="false">IF(TRIM(raw_data!M572)="","Filled - Unknown","OK")</f>
        <v>OK</v>
      </c>
      <c r="T572" s="6" t="n">
        <f aca="false">raw_data!N572</f>
        <v>3</v>
      </c>
      <c r="U572" s="7" t="n">
        <f aca="false">raw_data!O572</f>
        <v>3946.44</v>
      </c>
      <c r="V572" s="8" t="n">
        <f aca="false">raw_data!P572</f>
        <v>0.25</v>
      </c>
      <c r="W572" s="8" t="n">
        <f aca="false">IF(raw_data!P572="",0,IF(ISTEXT(raw_data!P572),IF(RIGHT(raw_data!P572,1)="%",VALUE(LEFT(raw_data!P572,LEN(raw_data!P572)-1))/100,VALUE(raw_data!P572)),raw_data!P572))</f>
        <v>0.25</v>
      </c>
      <c r="X572" s="3" t="str">
        <f aca="false">IF(raw_data!P572="","Missing - Defaulted to 0",IF(W572&lt;0,"Negative - Invalid",IF(W572&gt;0.3,"Above Allowed Range - Invalid","Valid")))</f>
        <v>Valid</v>
      </c>
      <c r="Y572" s="7" t="n">
        <f aca="false">raw_data!Q572</f>
        <v>8879.49</v>
      </c>
      <c r="Z572" s="7" t="n">
        <f aca="false">raw_data!R572</f>
        <v>6344.57</v>
      </c>
      <c r="AA572" s="7" t="n">
        <f aca="false">raw_data!S572</f>
        <v>2534.92</v>
      </c>
      <c r="AB572" s="3" t="str">
        <f aca="false">PROPER(TRIM(raw_data!T572))</f>
        <v>Failed</v>
      </c>
      <c r="AC572" s="3" t="str">
        <f aca="false">PROPER(TRIM(raw_data!U572))</f>
        <v>Returned</v>
      </c>
      <c r="AD572" s="7" t="n">
        <f aca="false">T572*U572*(1-W572)</f>
        <v>8879.49</v>
      </c>
      <c r="AE572" s="7" t="n">
        <f aca="false">AD572-Z572</f>
        <v>2534.92</v>
      </c>
      <c r="AF572" s="8" t="n">
        <f aca="false">IF(AD572=0,0,AE572/AD572)</f>
        <v>0.285480359795439</v>
      </c>
      <c r="AG572" s="3" t="str">
        <f aca="false">IF(ABS(Y572-AD572)&gt;1,"Mismatch","OK")</f>
        <v>OK</v>
      </c>
      <c r="AH572" s="3" t="str">
        <f aca="false">IF(ABS(AA572-AE572)&gt;1,"Mismatch","OK")</f>
        <v>OK</v>
      </c>
      <c r="AI572" s="6" t="n">
        <f aca="false">IF(B572="","",MONTH(B572))</f>
        <v>8</v>
      </c>
      <c r="AJ572" s="6" t="n">
        <f aca="false">IF(B572="","",YEAR(B572))</f>
        <v>2025</v>
      </c>
      <c r="AK572" s="3" t="str">
        <f aca="false">IF(COUNTIF(raw_data!$A$2:$A$913,A572)&gt;1,"Conflicting Duplicate - Flagged for Review","Unique")</f>
        <v>Unique</v>
      </c>
      <c r="AL572" s="3" t="str">
        <f aca="false">IF(AB572="Refunded","Yes","No")</f>
        <v>No</v>
      </c>
      <c r="AM572" s="3" t="str">
        <f aca="false">IF(OR(AC572&lt;&gt;"Completed",AB572="Failed"),"Excluded","Included")</f>
        <v>Excluded</v>
      </c>
      <c r="AN572" s="3" t="str">
        <f aca="false">IF(OR(D572="Invalid/Unrecognized",E572="Invalid/Unrecognized",G572="Invalid - Ship Before Order",X572="Negative - Invalid",X572="Above Allowed Range - Invalid",AG572="Mismatch",AH572="Mismatch",AK572="Conflicting Duplicate - Flagged for Review"),"Invalid",IF(OR(L572="Filled - Unknown",S572="Filled - Unknown",X572="Missing - Defaulted to 0",AL572="Yes",AC572="Cancelled",AC572="Returned"),"Warning","Clean"))</f>
        <v>Warning</v>
      </c>
    </row>
    <row r="573" customFormat="false" ht="15" hidden="false" customHeight="false" outlineLevel="0" collapsed="false">
      <c r="A573" s="3" t="str">
        <f aca="false">raw_data!A573</f>
        <v>ORD-2025-10572</v>
      </c>
      <c r="B573" s="4" t="n">
        <f aca="false">IFERROR(IF(MID(raw_data!B573,3,1)="/",DATE(VALUE(RIGHT(raw_data!B573,4)),VALUE(LEFT(raw_data!B573,2)),VALUE(MID(raw_data!B573,4,2))),IF(MID(raw_data!B573,3,1)="-",DATE(VALUE(RIGHT(raw_data!B573,4)),VALUE(MID(raw_data!B573,4,2)),VALUE(LEFT(raw_data!B573,2))),IF(MID(raw_data!B573,5,1)="-",DATE(VALUE(LEFT(raw_data!B573,4)),VALUE(MID(raw_data!B573,6,2)),VALUE(RIGHT(raw_data!B573,2))),DATE(VALUE(RIGHT(raw_data!B573,4)),MATCH(MID(raw_data!B573,4,3),{"Jan","Feb","Mar","Apr","May","Jun","Jul","Aug","Sep","Oct","Nov","Dec"},0),VALUE(LEFT(raw_data!B573,2)))))),"")</f>
        <v>45698</v>
      </c>
      <c r="C573" s="4" t="n">
        <f aca="false">IFERROR(IF(MID(raw_data!C573,3,1)="/",DATE(VALUE(RIGHT(raw_data!C573,4)),VALUE(LEFT(raw_data!C573,2)),VALUE(MID(raw_data!C573,4,2))),IF(MID(raw_data!C573,3,1)="-",DATE(VALUE(RIGHT(raw_data!C573,4)),VALUE(MID(raw_data!C573,4,2)),VALUE(LEFT(raw_data!C573,2))),IF(MID(raw_data!C573,5,1)="-",DATE(VALUE(LEFT(raw_data!C573,4)),VALUE(MID(raw_data!C573,6,2)),VALUE(RIGHT(raw_data!C573,2))),DATE(VALUE(RIGHT(raw_data!C573,4)),MATCH(MID(raw_data!C573,4,3),{"Jan","Feb","Mar","Apr","May","Jun","Jul","Aug","Sep","Oct","Nov","Dec"},0),VALUE(LEFT(raw_data!C573,2)))))),"")</f>
        <v>45702</v>
      </c>
      <c r="D573" s="3" t="str">
        <f aca="false">IF(TRIM(raw_data!B573)="","Missing",IF(B573="","Invalid/Unrecognized","Valid"))</f>
        <v>Valid</v>
      </c>
      <c r="E573" s="3" t="str">
        <f aca="false">IF(TRIM(raw_data!C573)="","Missing",IF(C573="","Invalid/Unrecognized","Valid"))</f>
        <v>Valid</v>
      </c>
      <c r="F573" s="5" t="n">
        <f aca="false">IF(OR(B573="",C573=""),"",C573-B573)</f>
        <v>4</v>
      </c>
      <c r="G573" s="3" t="str">
        <f aca="false">IF(F573="","N/A",IF(F573&lt;0,"Invalid - Ship Before Order","OK"))</f>
        <v>OK</v>
      </c>
      <c r="H573" s="3" t="str">
        <f aca="false">raw_data!D573</f>
        <v>CUST-3425</v>
      </c>
      <c r="I573" s="3" t="str">
        <f aca="false">PROPER(TRIM(raw_data!E573))</f>
        <v>Priya Menon</v>
      </c>
      <c r="J573" s="3" t="str">
        <f aca="false">PROPER(TRIM(raw_data!F573))</f>
        <v>Small Business</v>
      </c>
      <c r="K573" s="3" t="str">
        <f aca="false">IF(TRIM(raw_data!G573)="","Unknown",PROPER(TRIM(raw_data!G573)))</f>
        <v>North</v>
      </c>
      <c r="L573" s="3" t="str">
        <f aca="false">IF(TRIM(raw_data!G573)="","Filled - Unknown","OK")</f>
        <v>OK</v>
      </c>
      <c r="M573" s="3" t="str">
        <f aca="false">PROPER(TRIM(raw_data!H573))</f>
        <v>Uttar Pradesh</v>
      </c>
      <c r="N573" s="3" t="str">
        <f aca="false">PROPER(TRIM(raw_data!I573))</f>
        <v>Noida</v>
      </c>
      <c r="O573" s="3" t="str">
        <f aca="false">PROPER(TRIM(raw_data!J573))</f>
        <v>Technology</v>
      </c>
      <c r="P573" s="3" t="str">
        <f aca="false">PROPER(TRIM(raw_data!K573))</f>
        <v>Phones</v>
      </c>
      <c r="Q573" s="3" t="str">
        <f aca="false">TRIM(raw_data!L573)</f>
        <v>Prime Phones 895</v>
      </c>
      <c r="R573" s="3" t="str">
        <f aca="false">IF(TRIM(raw_data!M573)="","Unknown",PROPER(TRIM(raw_data!M573)))</f>
        <v>Unknown</v>
      </c>
      <c r="S573" s="3" t="str">
        <f aca="false">IF(TRIM(raw_data!M573)="","Filled - Unknown","OK")</f>
        <v>Filled - Unknown</v>
      </c>
      <c r="T573" s="6" t="n">
        <f aca="false">raw_data!N573</f>
        <v>5</v>
      </c>
      <c r="U573" s="7" t="n">
        <f aca="false">raw_data!O573</f>
        <v>4276.29</v>
      </c>
      <c r="V573" s="8" t="n">
        <f aca="false">raw_data!P573</f>
        <v>0</v>
      </c>
      <c r="W573" s="8" t="n">
        <f aca="false">IF(raw_data!P573="",0,IF(ISTEXT(raw_data!P573),IF(RIGHT(raw_data!P573,1)="%",VALUE(LEFT(raw_data!P573,LEN(raw_data!P573)-1))/100,VALUE(raw_data!P573)),raw_data!P573))</f>
        <v>0</v>
      </c>
      <c r="X573" s="3" t="str">
        <f aca="false">IF(raw_data!P573="","Missing - Defaulted to 0",IF(W573&lt;0,"Negative - Invalid",IF(W573&gt;0.3,"Above Allowed Range - Invalid","Valid")))</f>
        <v>Valid</v>
      </c>
      <c r="Y573" s="7" t="n">
        <f aca="false">raw_data!Q573</f>
        <v>21381.45</v>
      </c>
      <c r="Z573" s="7" t="n">
        <f aca="false">raw_data!R573</f>
        <v>13240.21</v>
      </c>
      <c r="AA573" s="7" t="n">
        <f aca="false">raw_data!S573</f>
        <v>8141.24</v>
      </c>
      <c r="AB573" s="3" t="str">
        <f aca="false">PROPER(TRIM(raw_data!T573))</f>
        <v>Failed</v>
      </c>
      <c r="AC573" s="3" t="str">
        <f aca="false">PROPER(TRIM(raw_data!U573))</f>
        <v>Returned</v>
      </c>
      <c r="AD573" s="7" t="n">
        <f aca="false">T573*U573*(1-W573)</f>
        <v>21381.45</v>
      </c>
      <c r="AE573" s="7" t="n">
        <f aca="false">AD573-Z573</f>
        <v>8141.24</v>
      </c>
      <c r="AF573" s="8" t="n">
        <f aca="false">IF(AD573=0,0,AE573/AD573)</f>
        <v>0.380761828594413</v>
      </c>
      <c r="AG573" s="3" t="str">
        <f aca="false">IF(ABS(Y573-AD573)&gt;1,"Mismatch","OK")</f>
        <v>OK</v>
      </c>
      <c r="AH573" s="3" t="str">
        <f aca="false">IF(ABS(AA573-AE573)&gt;1,"Mismatch","OK")</f>
        <v>OK</v>
      </c>
      <c r="AI573" s="6" t="n">
        <f aca="false">IF(B573="","",MONTH(B573))</f>
        <v>2</v>
      </c>
      <c r="AJ573" s="6" t="n">
        <f aca="false">IF(B573="","",YEAR(B573))</f>
        <v>2025</v>
      </c>
      <c r="AK573" s="3" t="str">
        <f aca="false">IF(COUNTIF(raw_data!$A$2:$A$913,A573)&gt;1,"Conflicting Duplicate - Flagged for Review","Unique")</f>
        <v>Conflicting Duplicate - Flagged for Review</v>
      </c>
      <c r="AL573" s="3" t="str">
        <f aca="false">IF(AB573="Refunded","Yes","No")</f>
        <v>No</v>
      </c>
      <c r="AM573" s="3" t="str">
        <f aca="false">IF(OR(AC573&lt;&gt;"Completed",AB573="Failed"),"Excluded","Included")</f>
        <v>Excluded</v>
      </c>
      <c r="AN573" s="3" t="str">
        <f aca="false">IF(OR(D573="Invalid/Unrecognized",E573="Invalid/Unrecognized",G573="Invalid - Ship Before Order",X573="Negative - Invalid",X573="Above Allowed Range - Invalid",AG573="Mismatch",AH573="Mismatch",AK573="Conflicting Duplicate - Flagged for Review"),"Invalid",IF(OR(L573="Filled - Unknown",S573="Filled - Unknown",X573="Missing - Defaulted to 0",AL573="Yes",AC573="Cancelled",AC573="Returned"),"Warning","Clean"))</f>
        <v>Invalid</v>
      </c>
    </row>
    <row r="574" customFormat="false" ht="15" hidden="false" customHeight="false" outlineLevel="0" collapsed="false">
      <c r="A574" s="3" t="str">
        <f aca="false">raw_data!A574</f>
        <v>ORD-2024-10573</v>
      </c>
      <c r="B574" s="4" t="n">
        <f aca="false">IFERROR(IF(MID(raw_data!B574,3,1)="/",DATE(VALUE(RIGHT(raw_data!B574,4)),VALUE(LEFT(raw_data!B574,2)),VALUE(MID(raw_data!B574,4,2))),IF(MID(raw_data!B574,3,1)="-",DATE(VALUE(RIGHT(raw_data!B574,4)),VALUE(MID(raw_data!B574,4,2)),VALUE(LEFT(raw_data!B574,2))),IF(MID(raw_data!B574,5,1)="-",DATE(VALUE(LEFT(raw_data!B574,4)),VALUE(MID(raw_data!B574,6,2)),VALUE(RIGHT(raw_data!B574,2))),DATE(VALUE(RIGHT(raw_data!B574,4)),MATCH(MID(raw_data!B574,4,3),{"Jan","Feb","Mar","Apr","May","Jun","Jul","Aug","Sep","Oct","Nov","Dec"},0),VALUE(LEFT(raw_data!B574,2)))))),"")</f>
        <v>45293</v>
      </c>
      <c r="C574" s="4" t="n">
        <f aca="false">IFERROR(IF(MID(raw_data!C574,3,1)="/",DATE(VALUE(RIGHT(raw_data!C574,4)),VALUE(LEFT(raw_data!C574,2)),VALUE(MID(raw_data!C574,4,2))),IF(MID(raw_data!C574,3,1)="-",DATE(VALUE(RIGHT(raw_data!C574,4)),VALUE(MID(raw_data!C574,4,2)),VALUE(LEFT(raw_data!C574,2))),IF(MID(raw_data!C574,5,1)="-",DATE(VALUE(LEFT(raw_data!C574,4)),VALUE(MID(raw_data!C574,6,2)),VALUE(RIGHT(raw_data!C574,2))),DATE(VALUE(RIGHT(raw_data!C574,4)),MATCH(MID(raw_data!C574,4,3),{"Jan","Feb","Mar","Apr","May","Jun","Jul","Aug","Sep","Oct","Nov","Dec"},0),VALUE(LEFT(raw_data!C574,2)))))),"")</f>
        <v>45300</v>
      </c>
      <c r="D574" s="3" t="str">
        <f aca="false">IF(TRIM(raw_data!B574)="","Missing",IF(B574="","Invalid/Unrecognized","Valid"))</f>
        <v>Valid</v>
      </c>
      <c r="E574" s="3" t="str">
        <f aca="false">IF(TRIM(raw_data!C574)="","Missing",IF(C574="","Invalid/Unrecognized","Valid"))</f>
        <v>Valid</v>
      </c>
      <c r="F574" s="5" t="n">
        <f aca="false">IF(OR(B574="",C574=""),"",C574-B574)</f>
        <v>7</v>
      </c>
      <c r="G574" s="3" t="str">
        <f aca="false">IF(F574="","N/A",IF(F574&lt;0,"Invalid - Ship Before Order","OK"))</f>
        <v>OK</v>
      </c>
      <c r="H574" s="3" t="str">
        <f aca="false">raw_data!D574</f>
        <v>CUST-8633</v>
      </c>
      <c r="I574" s="3" t="str">
        <f aca="false">PROPER(TRIM(raw_data!E574))</f>
        <v>Diya Patel</v>
      </c>
      <c r="J574" s="3" t="str">
        <f aca="false">PROPER(TRIM(raw_data!F574))</f>
        <v>Corporate</v>
      </c>
      <c r="K574" s="3" t="str">
        <f aca="false">IF(TRIM(raw_data!G574)="","Unknown",PROPER(TRIM(raw_data!G574)))</f>
        <v>North</v>
      </c>
      <c r="L574" s="3" t="str">
        <f aca="false">IF(TRIM(raw_data!G574)="","Filled - Unknown","OK")</f>
        <v>OK</v>
      </c>
      <c r="M574" s="3" t="str">
        <f aca="false">PROPER(TRIM(raw_data!H574))</f>
        <v>Delhi</v>
      </c>
      <c r="N574" s="3" t="str">
        <f aca="false">PROPER(TRIM(raw_data!I574))</f>
        <v>New Delhi</v>
      </c>
      <c r="O574" s="3" t="str">
        <f aca="false">PROPER(TRIM(raw_data!J574))</f>
        <v>Technology</v>
      </c>
      <c r="P574" s="3" t="str">
        <f aca="false">PROPER(TRIM(raw_data!K574))</f>
        <v>Phones</v>
      </c>
      <c r="Q574" s="3" t="str">
        <f aca="false">TRIM(raw_data!L574)</f>
        <v>Eco Phones 368</v>
      </c>
      <c r="R574" s="3" t="str">
        <f aca="false">IF(TRIM(raw_data!M574)="","Unknown",PROPER(TRIM(raw_data!M574)))</f>
        <v>Standard Class</v>
      </c>
      <c r="S574" s="3" t="str">
        <f aca="false">IF(TRIM(raw_data!M574)="","Filled - Unknown","OK")</f>
        <v>OK</v>
      </c>
      <c r="T574" s="6" t="n">
        <f aca="false">raw_data!N574</f>
        <v>3</v>
      </c>
      <c r="U574" s="7" t="n">
        <f aca="false">raw_data!O574</f>
        <v>739.56</v>
      </c>
      <c r="V574" s="8" t="n">
        <f aca="false">raw_data!P574</f>
        <v>0.2</v>
      </c>
      <c r="W574" s="8" t="n">
        <f aca="false">IF(raw_data!P574="",0,IF(ISTEXT(raw_data!P574),IF(RIGHT(raw_data!P574,1)="%",VALUE(LEFT(raw_data!P574,LEN(raw_data!P574)-1))/100,VALUE(raw_data!P574)),raw_data!P574))</f>
        <v>0.2</v>
      </c>
      <c r="X574" s="3" t="str">
        <f aca="false">IF(raw_data!P574="","Missing - Defaulted to 0",IF(W574&lt;0,"Negative - Invalid",IF(W574&gt;0.3,"Above Allowed Range - Invalid","Valid")))</f>
        <v>Valid</v>
      </c>
      <c r="Y574" s="7" t="n">
        <f aca="false">raw_data!Q574</f>
        <v>1774.94</v>
      </c>
      <c r="Z574" s="7" t="n">
        <f aca="false">raw_data!R574</f>
        <v>1007.4</v>
      </c>
      <c r="AA574" s="7" t="n">
        <f aca="false">raw_data!S574</f>
        <v>767.54</v>
      </c>
      <c r="AB574" s="3" t="str">
        <f aca="false">PROPER(TRIM(raw_data!T574))</f>
        <v>Paid</v>
      </c>
      <c r="AC574" s="3" t="str">
        <f aca="false">PROPER(TRIM(raw_data!U574))</f>
        <v>Completed</v>
      </c>
      <c r="AD574" s="7" t="n">
        <f aca="false">T574*U574*(1-W574)</f>
        <v>1774.944</v>
      </c>
      <c r="AE574" s="7" t="n">
        <f aca="false">AD574-Z574</f>
        <v>767.544</v>
      </c>
      <c r="AF574" s="8" t="n">
        <f aca="false">IF(AD574=0,0,AE574/AD574)</f>
        <v>0.43243279787982</v>
      </c>
      <c r="AG574" s="3" t="str">
        <f aca="false">IF(ABS(Y574-AD574)&gt;1,"Mismatch","OK")</f>
        <v>OK</v>
      </c>
      <c r="AH574" s="3" t="str">
        <f aca="false">IF(ABS(AA574-AE574)&gt;1,"Mismatch","OK")</f>
        <v>OK</v>
      </c>
      <c r="AI574" s="6" t="n">
        <f aca="false">IF(B574="","",MONTH(B574))</f>
        <v>1</v>
      </c>
      <c r="AJ574" s="6" t="n">
        <f aca="false">IF(B574="","",YEAR(B574))</f>
        <v>2024</v>
      </c>
      <c r="AK574" s="3" t="str">
        <f aca="false">IF(COUNTIF(raw_data!$A$2:$A$913,A574)&gt;1,"Conflicting Duplicate - Flagged for Review","Unique")</f>
        <v>Unique</v>
      </c>
      <c r="AL574" s="3" t="str">
        <f aca="false">IF(AB574="Refunded","Yes","No")</f>
        <v>No</v>
      </c>
      <c r="AM574" s="3" t="str">
        <f aca="false">IF(OR(AC574&lt;&gt;"Completed",AB574="Failed"),"Excluded","Included")</f>
        <v>Included</v>
      </c>
      <c r="AN574" s="3" t="str">
        <f aca="false">IF(OR(D574="Invalid/Unrecognized",E574="Invalid/Unrecognized",G574="Invalid - Ship Before Order",X574="Negative - Invalid",X574="Above Allowed Range - Invalid",AG574="Mismatch",AH574="Mismatch",AK574="Conflicting Duplicate - Flagged for Review"),"Invalid",IF(OR(L574="Filled - Unknown",S574="Filled - Unknown",X574="Missing - Defaulted to 0",AL574="Yes",AC574="Cancelled",AC574="Returned"),"Warning","Clean"))</f>
        <v>Clean</v>
      </c>
    </row>
    <row r="575" customFormat="false" ht="15" hidden="false" customHeight="false" outlineLevel="0" collapsed="false">
      <c r="A575" s="3" t="str">
        <f aca="false">raw_data!A575</f>
        <v>ORD-2025-10574</v>
      </c>
      <c r="B575" s="4" t="n">
        <f aca="false">IFERROR(IF(MID(raw_data!B575,3,1)="/",DATE(VALUE(RIGHT(raw_data!B575,4)),VALUE(LEFT(raw_data!B575,2)),VALUE(MID(raw_data!B575,4,2))),IF(MID(raw_data!B575,3,1)="-",DATE(VALUE(RIGHT(raw_data!B575,4)),VALUE(MID(raw_data!B575,4,2)),VALUE(LEFT(raw_data!B575,2))),IF(MID(raw_data!B575,5,1)="-",DATE(VALUE(LEFT(raw_data!B575,4)),VALUE(MID(raw_data!B575,6,2)),VALUE(RIGHT(raw_data!B575,2))),DATE(VALUE(RIGHT(raw_data!B575,4)),MATCH(MID(raw_data!B575,4,3),{"Jan","Feb","Mar","Apr","May","Jun","Jul","Aug","Sep","Oct","Nov","Dec"},0),VALUE(LEFT(raw_data!B575,2)))))),"")</f>
        <v>45922</v>
      </c>
      <c r="C575" s="4" t="n">
        <f aca="false">IFERROR(IF(MID(raw_data!C575,3,1)="/",DATE(VALUE(RIGHT(raw_data!C575,4)),VALUE(LEFT(raw_data!C575,2)),VALUE(MID(raw_data!C575,4,2))),IF(MID(raw_data!C575,3,1)="-",DATE(VALUE(RIGHT(raw_data!C575,4)),VALUE(MID(raw_data!C575,4,2)),VALUE(LEFT(raw_data!C575,2))),IF(MID(raw_data!C575,5,1)="-",DATE(VALUE(LEFT(raw_data!C575,4)),VALUE(MID(raw_data!C575,6,2)),VALUE(RIGHT(raw_data!C575,2))),DATE(VALUE(RIGHT(raw_data!C575,4)),MATCH(MID(raw_data!C575,4,3),{"Jan","Feb","Mar","Apr","May","Jun","Jul","Aug","Sep","Oct","Nov","Dec"},0),VALUE(LEFT(raw_data!C575,2)))))),"")</f>
        <v>45926</v>
      </c>
      <c r="D575" s="3" t="str">
        <f aca="false">IF(TRIM(raw_data!B575)="","Missing",IF(B575="","Invalid/Unrecognized","Valid"))</f>
        <v>Valid</v>
      </c>
      <c r="E575" s="3" t="str">
        <f aca="false">IF(TRIM(raw_data!C575)="","Missing",IF(C575="","Invalid/Unrecognized","Valid"))</f>
        <v>Valid</v>
      </c>
      <c r="F575" s="5" t="n">
        <f aca="false">IF(OR(B575="",C575=""),"",C575-B575)</f>
        <v>4</v>
      </c>
      <c r="G575" s="3" t="str">
        <f aca="false">IF(F575="","N/A",IF(F575&lt;0,"Invalid - Ship Before Order","OK"))</f>
        <v>OK</v>
      </c>
      <c r="H575" s="3" t="str">
        <f aca="false">raw_data!D575</f>
        <v>CUST-8243</v>
      </c>
      <c r="I575" s="3" t="str">
        <f aca="false">PROPER(TRIM(raw_data!E575))</f>
        <v>Isha Nair</v>
      </c>
      <c r="J575" s="3" t="str">
        <f aca="false">PROPER(TRIM(raw_data!F575))</f>
        <v>Consumer</v>
      </c>
      <c r="K575" s="3" t="str">
        <f aca="false">IF(TRIM(raw_data!G575)="","Unknown",PROPER(TRIM(raw_data!G575)))</f>
        <v>South</v>
      </c>
      <c r="L575" s="3" t="str">
        <f aca="false">IF(TRIM(raw_data!G575)="","Filled - Unknown","OK")</f>
        <v>OK</v>
      </c>
      <c r="M575" s="3" t="str">
        <f aca="false">PROPER(TRIM(raw_data!H575))</f>
        <v>Andhra Pradesh</v>
      </c>
      <c r="N575" s="3" t="str">
        <f aca="false">PROPER(TRIM(raw_data!I575))</f>
        <v>Vijayawada</v>
      </c>
      <c r="O575" s="3" t="str">
        <f aca="false">PROPER(TRIM(raw_data!J575))</f>
        <v>Technology</v>
      </c>
      <c r="P575" s="3" t="str">
        <f aca="false">PROPER(TRIM(raw_data!K575))</f>
        <v>Phones</v>
      </c>
      <c r="Q575" s="3" t="str">
        <f aca="false">TRIM(raw_data!L575)</f>
        <v>Pro Phones 644</v>
      </c>
      <c r="R575" s="3" t="str">
        <f aca="false">IF(TRIM(raw_data!M575)="","Unknown",PROPER(TRIM(raw_data!M575)))</f>
        <v>Standard Class</v>
      </c>
      <c r="S575" s="3" t="str">
        <f aca="false">IF(TRIM(raw_data!M575)="","Filled - Unknown","OK")</f>
        <v>OK</v>
      </c>
      <c r="T575" s="6" t="n">
        <f aca="false">raw_data!N575</f>
        <v>1</v>
      </c>
      <c r="U575" s="7" t="n">
        <f aca="false">raw_data!O575</f>
        <v>573.65</v>
      </c>
      <c r="V575" s="8" t="n">
        <f aca="false">raw_data!P575</f>
        <v>0</v>
      </c>
      <c r="W575" s="8" t="n">
        <f aca="false">IF(raw_data!P575="",0,IF(ISTEXT(raw_data!P575),IF(RIGHT(raw_data!P575,1)="%",VALUE(LEFT(raw_data!P575,LEN(raw_data!P575)-1))/100,VALUE(raw_data!P575)),raw_data!P575))</f>
        <v>0</v>
      </c>
      <c r="X575" s="3" t="str">
        <f aca="false">IF(raw_data!P575="","Missing - Defaulted to 0",IF(W575&lt;0,"Negative - Invalid",IF(W575&gt;0.3,"Above Allowed Range - Invalid","Valid")))</f>
        <v>Valid</v>
      </c>
      <c r="Y575" s="7" t="n">
        <f aca="false">raw_data!Q575</f>
        <v>573.65</v>
      </c>
      <c r="Z575" s="7" t="n">
        <f aca="false">raw_data!R575</f>
        <v>322.67</v>
      </c>
      <c r="AA575" s="7" t="n">
        <f aca="false">raw_data!S575</f>
        <v>250.98</v>
      </c>
      <c r="AB575" s="3" t="str">
        <f aca="false">PROPER(TRIM(raw_data!T575))</f>
        <v>Paid</v>
      </c>
      <c r="AC575" s="3" t="str">
        <f aca="false">PROPER(TRIM(raw_data!U575))</f>
        <v>Completed</v>
      </c>
      <c r="AD575" s="7" t="n">
        <f aca="false">T575*U575*(1-W575)</f>
        <v>573.65</v>
      </c>
      <c r="AE575" s="7" t="n">
        <f aca="false">AD575-Z575</f>
        <v>250.98</v>
      </c>
      <c r="AF575" s="8" t="n">
        <f aca="false">IF(AD575=0,0,AE575/AD575)</f>
        <v>0.43751416368866</v>
      </c>
      <c r="AG575" s="3" t="str">
        <f aca="false">IF(ABS(Y575-AD575)&gt;1,"Mismatch","OK")</f>
        <v>OK</v>
      </c>
      <c r="AH575" s="3" t="str">
        <f aca="false">IF(ABS(AA575-AE575)&gt;1,"Mismatch","OK")</f>
        <v>OK</v>
      </c>
      <c r="AI575" s="6" t="n">
        <f aca="false">IF(B575="","",MONTH(B575))</f>
        <v>9</v>
      </c>
      <c r="AJ575" s="6" t="n">
        <f aca="false">IF(B575="","",YEAR(B575))</f>
        <v>2025</v>
      </c>
      <c r="AK575" s="3" t="str">
        <f aca="false">IF(COUNTIF(raw_data!$A$2:$A$913,A575)&gt;1,"Conflicting Duplicate - Flagged for Review","Unique")</f>
        <v>Unique</v>
      </c>
      <c r="AL575" s="3" t="str">
        <f aca="false">IF(AB575="Refunded","Yes","No")</f>
        <v>No</v>
      </c>
      <c r="AM575" s="3" t="str">
        <f aca="false">IF(OR(AC575&lt;&gt;"Completed",AB575="Failed"),"Excluded","Included")</f>
        <v>Included</v>
      </c>
      <c r="AN575" s="3" t="str">
        <f aca="false">IF(OR(D575="Invalid/Unrecognized",E575="Invalid/Unrecognized",G575="Invalid - Ship Before Order",X575="Negative - Invalid",X575="Above Allowed Range - Invalid",AG575="Mismatch",AH575="Mismatch",AK575="Conflicting Duplicate - Flagged for Review"),"Invalid",IF(OR(L575="Filled - Unknown",S575="Filled - Unknown",X575="Missing - Defaulted to 0",AL575="Yes",AC575="Cancelled",AC575="Returned"),"Warning","Clean"))</f>
        <v>Clean</v>
      </c>
    </row>
    <row r="576" customFormat="false" ht="15" hidden="false" customHeight="false" outlineLevel="0" collapsed="false">
      <c r="A576" s="3" t="str">
        <f aca="false">raw_data!A576</f>
        <v>ORD-2024-10575</v>
      </c>
      <c r="B576" s="4" t="n">
        <f aca="false">IFERROR(IF(MID(raw_data!B576,3,1)="/",DATE(VALUE(RIGHT(raw_data!B576,4)),VALUE(LEFT(raw_data!B576,2)),VALUE(MID(raw_data!B576,4,2))),IF(MID(raw_data!B576,3,1)="-",DATE(VALUE(RIGHT(raw_data!B576,4)),VALUE(MID(raw_data!B576,4,2)),VALUE(LEFT(raw_data!B576,2))),IF(MID(raw_data!B576,5,1)="-",DATE(VALUE(LEFT(raw_data!B576,4)),VALUE(MID(raw_data!B576,6,2)),VALUE(RIGHT(raw_data!B576,2))),DATE(VALUE(RIGHT(raw_data!B576,4)),MATCH(MID(raw_data!B576,4,3),{"Jan","Feb","Mar","Apr","May","Jun","Jul","Aug","Sep","Oct","Nov","Dec"},0),VALUE(LEFT(raw_data!B576,2)))))),"")</f>
        <v>45342</v>
      </c>
      <c r="C576" s="4" t="n">
        <f aca="false">IFERROR(IF(MID(raw_data!C576,3,1)="/",DATE(VALUE(RIGHT(raw_data!C576,4)),VALUE(LEFT(raw_data!C576,2)),VALUE(MID(raw_data!C576,4,2))),IF(MID(raw_data!C576,3,1)="-",DATE(VALUE(RIGHT(raw_data!C576,4)),VALUE(MID(raw_data!C576,4,2)),VALUE(LEFT(raw_data!C576,2))),IF(MID(raw_data!C576,5,1)="-",DATE(VALUE(LEFT(raw_data!C576,4)),VALUE(MID(raw_data!C576,6,2)),VALUE(RIGHT(raw_data!C576,2))),DATE(VALUE(RIGHT(raw_data!C576,4)),MATCH(MID(raw_data!C576,4,3),{"Jan","Feb","Mar","Apr","May","Jun","Jul","Aug","Sep","Oct","Nov","Dec"},0),VALUE(LEFT(raw_data!C576,2)))))),"")</f>
        <v>45347</v>
      </c>
      <c r="D576" s="3" t="str">
        <f aca="false">IF(TRIM(raw_data!B576)="","Missing",IF(B576="","Invalid/Unrecognized","Valid"))</f>
        <v>Valid</v>
      </c>
      <c r="E576" s="3" t="str">
        <f aca="false">IF(TRIM(raw_data!C576)="","Missing",IF(C576="","Invalid/Unrecognized","Valid"))</f>
        <v>Valid</v>
      </c>
      <c r="F576" s="5" t="n">
        <f aca="false">IF(OR(B576="",C576=""),"",C576-B576)</f>
        <v>5</v>
      </c>
      <c r="G576" s="3" t="str">
        <f aca="false">IF(F576="","N/A",IF(F576&lt;0,"Invalid - Ship Before Order","OK"))</f>
        <v>OK</v>
      </c>
      <c r="H576" s="3" t="str">
        <f aca="false">raw_data!D576</f>
        <v>CUST-9139</v>
      </c>
      <c r="I576" s="3" t="str">
        <f aca="false">PROPER(TRIM(raw_data!E576))</f>
        <v>Diya Patel</v>
      </c>
      <c r="J576" s="3" t="str">
        <f aca="false">PROPER(TRIM(raw_data!F576))</f>
        <v>Home Office</v>
      </c>
      <c r="K576" s="3" t="str">
        <f aca="false">IF(TRIM(raw_data!G576)="","Unknown",PROPER(TRIM(raw_data!G576)))</f>
        <v>North</v>
      </c>
      <c r="L576" s="3" t="str">
        <f aca="false">IF(TRIM(raw_data!G576)="","Filled - Unknown","OK")</f>
        <v>OK</v>
      </c>
      <c r="M576" s="3" t="str">
        <f aca="false">PROPER(TRIM(raw_data!H576))</f>
        <v>Punjab</v>
      </c>
      <c r="N576" s="3" t="str">
        <f aca="false">PROPER(TRIM(raw_data!I576))</f>
        <v>Ludhiana</v>
      </c>
      <c r="O576" s="3" t="str">
        <f aca="false">PROPER(TRIM(raw_data!J576))</f>
        <v>Technology</v>
      </c>
      <c r="P576" s="3" t="str">
        <f aca="false">PROPER(TRIM(raw_data!K576))</f>
        <v>Machines</v>
      </c>
      <c r="Q576" s="3" t="str">
        <f aca="false">TRIM(raw_data!L576)</f>
        <v>Smart Machines 566</v>
      </c>
      <c r="R576" s="3" t="str">
        <f aca="false">IF(TRIM(raw_data!M576)="","Unknown",PROPER(TRIM(raw_data!M576)))</f>
        <v>Standard Class</v>
      </c>
      <c r="S576" s="3" t="str">
        <f aca="false">IF(TRIM(raw_data!M576)="","Filled - Unknown","OK")</f>
        <v>OK</v>
      </c>
      <c r="T576" s="6" t="n">
        <f aca="false">raw_data!N576</f>
        <v>4</v>
      </c>
      <c r="U576" s="7" t="n">
        <f aca="false">raw_data!O576</f>
        <v>1355.8</v>
      </c>
      <c r="V576" s="8" t="n">
        <f aca="false">raw_data!P576</f>
        <v>0</v>
      </c>
      <c r="W576" s="8" t="n">
        <f aca="false">IF(raw_data!P576="",0,IF(ISTEXT(raw_data!P576),IF(RIGHT(raw_data!P576,1)="%",VALUE(LEFT(raw_data!P576,LEN(raw_data!P576)-1))/100,VALUE(raw_data!P576)),raw_data!P576))</f>
        <v>0</v>
      </c>
      <c r="X576" s="3" t="str">
        <f aca="false">IF(raw_data!P576="","Missing - Defaulted to 0",IF(W576&lt;0,"Negative - Invalid",IF(W576&gt;0.3,"Above Allowed Range - Invalid","Valid")))</f>
        <v>Valid</v>
      </c>
      <c r="Y576" s="7" t="n">
        <f aca="false">raw_data!Q576</f>
        <v>5423.2</v>
      </c>
      <c r="Z576" s="7" t="n">
        <f aca="false">raw_data!R576</f>
        <v>4072.44</v>
      </c>
      <c r="AA576" s="7" t="n">
        <f aca="false">raw_data!S576</f>
        <v>1350.76</v>
      </c>
      <c r="AB576" s="3" t="str">
        <f aca="false">PROPER(TRIM(raw_data!T576))</f>
        <v>Paid</v>
      </c>
      <c r="AC576" s="3" t="str">
        <f aca="false">PROPER(TRIM(raw_data!U576))</f>
        <v>Completed</v>
      </c>
      <c r="AD576" s="7" t="n">
        <f aca="false">T576*U576*(1-W576)</f>
        <v>5423.2</v>
      </c>
      <c r="AE576" s="7" t="n">
        <f aca="false">AD576-Z576</f>
        <v>1350.76</v>
      </c>
      <c r="AF576" s="8" t="n">
        <f aca="false">IF(AD576=0,0,AE576/AD576)</f>
        <v>0.24907065938929</v>
      </c>
      <c r="AG576" s="3" t="str">
        <f aca="false">IF(ABS(Y576-AD576)&gt;1,"Mismatch","OK")</f>
        <v>OK</v>
      </c>
      <c r="AH576" s="3" t="str">
        <f aca="false">IF(ABS(AA576-AE576)&gt;1,"Mismatch","OK")</f>
        <v>OK</v>
      </c>
      <c r="AI576" s="6" t="n">
        <f aca="false">IF(B576="","",MONTH(B576))</f>
        <v>2</v>
      </c>
      <c r="AJ576" s="6" t="n">
        <f aca="false">IF(B576="","",YEAR(B576))</f>
        <v>2024</v>
      </c>
      <c r="AK576" s="3" t="str">
        <f aca="false">IF(COUNTIF(raw_data!$A$2:$A$913,A576)&gt;1,"Conflicting Duplicate - Flagged for Review","Unique")</f>
        <v>Unique</v>
      </c>
      <c r="AL576" s="3" t="str">
        <f aca="false">IF(AB576="Refunded","Yes","No")</f>
        <v>No</v>
      </c>
      <c r="AM576" s="3" t="str">
        <f aca="false">IF(OR(AC576&lt;&gt;"Completed",AB576="Failed"),"Excluded","Included")</f>
        <v>Included</v>
      </c>
      <c r="AN576" s="3" t="str">
        <f aca="false">IF(OR(D576="Invalid/Unrecognized",E576="Invalid/Unrecognized",G576="Invalid - Ship Before Order",X576="Negative - Invalid",X576="Above Allowed Range - Invalid",AG576="Mismatch",AH576="Mismatch",AK576="Conflicting Duplicate - Flagged for Review"),"Invalid",IF(OR(L576="Filled - Unknown",S576="Filled - Unknown",X576="Missing - Defaulted to 0",AL576="Yes",AC576="Cancelled",AC576="Returned"),"Warning","Clean"))</f>
        <v>Clean</v>
      </c>
    </row>
    <row r="577" customFormat="false" ht="15" hidden="false" customHeight="false" outlineLevel="0" collapsed="false">
      <c r="A577" s="3" t="str">
        <f aca="false">raw_data!A577</f>
        <v>ORD-2025-10576</v>
      </c>
      <c r="B577" s="4" t="n">
        <f aca="false">IFERROR(IF(MID(raw_data!B577,3,1)="/",DATE(VALUE(RIGHT(raw_data!B577,4)),VALUE(LEFT(raw_data!B577,2)),VALUE(MID(raw_data!B577,4,2))),IF(MID(raw_data!B577,3,1)="-",DATE(VALUE(RIGHT(raw_data!B577,4)),VALUE(MID(raw_data!B577,4,2)),VALUE(LEFT(raw_data!B577,2))),IF(MID(raw_data!B577,5,1)="-",DATE(VALUE(LEFT(raw_data!B577,4)),VALUE(MID(raw_data!B577,6,2)),VALUE(RIGHT(raw_data!B577,2))),DATE(VALUE(RIGHT(raw_data!B577,4)),MATCH(MID(raw_data!B577,4,3),{"Jan","Feb","Mar","Apr","May","Jun","Jul","Aug","Sep","Oct","Nov","Dec"},0),VALUE(LEFT(raw_data!B577,2)))))),"")</f>
        <v>45727</v>
      </c>
      <c r="C577" s="4" t="n">
        <f aca="false">IFERROR(IF(MID(raw_data!C577,3,1)="/",DATE(VALUE(RIGHT(raw_data!C577,4)),VALUE(LEFT(raw_data!C577,2)),VALUE(MID(raw_data!C577,4,2))),IF(MID(raw_data!C577,3,1)="-",DATE(VALUE(RIGHT(raw_data!C577,4)),VALUE(MID(raw_data!C577,4,2)),VALUE(LEFT(raw_data!C577,2))),IF(MID(raw_data!C577,5,1)="-",DATE(VALUE(LEFT(raw_data!C577,4)),VALUE(MID(raw_data!C577,6,2)),VALUE(RIGHT(raw_data!C577,2))),DATE(VALUE(RIGHT(raw_data!C577,4)),MATCH(MID(raw_data!C577,4,3),{"Jan","Feb","Mar","Apr","May","Jun","Jul","Aug","Sep","Oct","Nov","Dec"},0),VALUE(LEFT(raw_data!C577,2)))))),"")</f>
        <v>45730</v>
      </c>
      <c r="D577" s="3" t="str">
        <f aca="false">IF(TRIM(raw_data!B577)="","Missing",IF(B577="","Invalid/Unrecognized","Valid"))</f>
        <v>Valid</v>
      </c>
      <c r="E577" s="3" t="str">
        <f aca="false">IF(TRIM(raw_data!C577)="","Missing",IF(C577="","Invalid/Unrecognized","Valid"))</f>
        <v>Valid</v>
      </c>
      <c r="F577" s="5" t="n">
        <f aca="false">IF(OR(B577="",C577=""),"",C577-B577)</f>
        <v>3</v>
      </c>
      <c r="G577" s="3" t="str">
        <f aca="false">IF(F577="","N/A",IF(F577&lt;0,"Invalid - Ship Before Order","OK"))</f>
        <v>OK</v>
      </c>
      <c r="H577" s="3" t="str">
        <f aca="false">raw_data!D577</f>
        <v>CUST-5496</v>
      </c>
      <c r="I577" s="3" t="str">
        <f aca="false">PROPER(TRIM(raw_data!E577))</f>
        <v>Sneha Kapoor</v>
      </c>
      <c r="J577" s="3" t="str">
        <f aca="false">PROPER(TRIM(raw_data!F577))</f>
        <v>Home Office</v>
      </c>
      <c r="K577" s="3" t="str">
        <f aca="false">IF(TRIM(raw_data!G577)="","Unknown",PROPER(TRIM(raw_data!G577)))</f>
        <v>South</v>
      </c>
      <c r="L577" s="3" t="str">
        <f aca="false">IF(TRIM(raw_data!G577)="","Filled - Unknown","OK")</f>
        <v>OK</v>
      </c>
      <c r="M577" s="3" t="str">
        <f aca="false">PROPER(TRIM(raw_data!H577))</f>
        <v>Kerala</v>
      </c>
      <c r="N577" s="3" t="str">
        <f aca="false">PROPER(TRIM(raw_data!I577))</f>
        <v>Kochi</v>
      </c>
      <c r="O577" s="3" t="str">
        <f aca="false">PROPER(TRIM(raw_data!J577))</f>
        <v>Furniture</v>
      </c>
      <c r="P577" s="3" t="str">
        <f aca="false">PROPER(TRIM(raw_data!K577))</f>
        <v>Furnishings</v>
      </c>
      <c r="Q577" s="3" t="str">
        <f aca="false">TRIM(raw_data!L577)</f>
        <v>Elite Furnishings 173</v>
      </c>
      <c r="R577" s="3" t="str">
        <f aca="false">IF(TRIM(raw_data!M577)="","Unknown",PROPER(TRIM(raw_data!M577)))</f>
        <v>Same Day</v>
      </c>
      <c r="S577" s="3" t="str">
        <f aca="false">IF(TRIM(raw_data!M577)="","Filled - Unknown","OK")</f>
        <v>OK</v>
      </c>
      <c r="T577" s="6" t="n">
        <f aca="false">raw_data!N577</f>
        <v>4</v>
      </c>
      <c r="U577" s="7" t="n">
        <f aca="false">raw_data!O577</f>
        <v>1244.82</v>
      </c>
      <c r="V577" s="8" t="n">
        <f aca="false">raw_data!P577</f>
        <v>0.2</v>
      </c>
      <c r="W577" s="8" t="n">
        <f aca="false">IF(raw_data!P577="",0,IF(ISTEXT(raw_data!P577),IF(RIGHT(raw_data!P577,1)="%",VALUE(LEFT(raw_data!P577,LEN(raw_data!P577)-1))/100,VALUE(raw_data!P577)),raw_data!P577))</f>
        <v>0.2</v>
      </c>
      <c r="X577" s="3" t="str">
        <f aca="false">IF(raw_data!P577="","Missing - Defaulted to 0",IF(W577&lt;0,"Negative - Invalid",IF(W577&gt;0.3,"Above Allowed Range - Invalid","Valid")))</f>
        <v>Valid</v>
      </c>
      <c r="Y577" s="7" t="n">
        <f aca="false">raw_data!Q577</f>
        <v>3983.42</v>
      </c>
      <c r="Z577" s="7" t="n">
        <f aca="false">raw_data!R577</f>
        <v>3174.91</v>
      </c>
      <c r="AA577" s="7" t="n">
        <f aca="false">raw_data!S577</f>
        <v>808.51</v>
      </c>
      <c r="AB577" s="3" t="str">
        <f aca="false">PROPER(TRIM(raw_data!T577))</f>
        <v>Failed</v>
      </c>
      <c r="AC577" s="3" t="str">
        <f aca="false">PROPER(TRIM(raw_data!U577))</f>
        <v>Returned</v>
      </c>
      <c r="AD577" s="7" t="n">
        <f aca="false">T577*U577*(1-W577)</f>
        <v>3983.424</v>
      </c>
      <c r="AE577" s="7" t="n">
        <f aca="false">AD577-Z577</f>
        <v>808.514</v>
      </c>
      <c r="AF577" s="8" t="n">
        <f aca="false">IF(AD577=0,0,AE577/AD577)</f>
        <v>0.202969606047461</v>
      </c>
      <c r="AG577" s="3" t="str">
        <f aca="false">IF(ABS(Y577-AD577)&gt;1,"Mismatch","OK")</f>
        <v>OK</v>
      </c>
      <c r="AH577" s="3" t="str">
        <f aca="false">IF(ABS(AA577-AE577)&gt;1,"Mismatch","OK")</f>
        <v>OK</v>
      </c>
      <c r="AI577" s="6" t="n">
        <f aca="false">IF(B577="","",MONTH(B577))</f>
        <v>3</v>
      </c>
      <c r="AJ577" s="6" t="n">
        <f aca="false">IF(B577="","",YEAR(B577))</f>
        <v>2025</v>
      </c>
      <c r="AK577" s="3" t="str">
        <f aca="false">IF(COUNTIF(raw_data!$A$2:$A$913,A577)&gt;1,"Conflicting Duplicate - Flagged for Review","Unique")</f>
        <v>Unique</v>
      </c>
      <c r="AL577" s="3" t="str">
        <f aca="false">IF(AB577="Refunded","Yes","No")</f>
        <v>No</v>
      </c>
      <c r="AM577" s="3" t="str">
        <f aca="false">IF(OR(AC577&lt;&gt;"Completed",AB577="Failed"),"Excluded","Included")</f>
        <v>Excluded</v>
      </c>
      <c r="AN577" s="3" t="str">
        <f aca="false">IF(OR(D577="Invalid/Unrecognized",E577="Invalid/Unrecognized",G577="Invalid - Ship Before Order",X577="Negative - Invalid",X577="Above Allowed Range - Invalid",AG577="Mismatch",AH577="Mismatch",AK577="Conflicting Duplicate - Flagged for Review"),"Invalid",IF(OR(L577="Filled - Unknown",S577="Filled - Unknown",X577="Missing - Defaulted to 0",AL577="Yes",AC577="Cancelled",AC577="Returned"),"Warning","Clean"))</f>
        <v>Warning</v>
      </c>
    </row>
    <row r="578" customFormat="false" ht="15" hidden="false" customHeight="false" outlineLevel="0" collapsed="false">
      <c r="A578" s="3" t="str">
        <f aca="false">raw_data!A578</f>
        <v>ORD-2024-10577</v>
      </c>
      <c r="B578" s="4" t="n">
        <f aca="false">IFERROR(IF(MID(raw_data!B578,3,1)="/",DATE(VALUE(RIGHT(raw_data!B578,4)),VALUE(LEFT(raw_data!B578,2)),VALUE(MID(raw_data!B578,4,2))),IF(MID(raw_data!B578,3,1)="-",DATE(VALUE(RIGHT(raw_data!B578,4)),VALUE(MID(raw_data!B578,4,2)),VALUE(LEFT(raw_data!B578,2))),IF(MID(raw_data!B578,5,1)="-",DATE(VALUE(LEFT(raw_data!B578,4)),VALUE(MID(raw_data!B578,6,2)),VALUE(RIGHT(raw_data!B578,2))),DATE(VALUE(RIGHT(raw_data!B578,4)),MATCH(MID(raw_data!B578,4,3),{"Jan","Feb","Mar","Apr","May","Jun","Jul","Aug","Sep","Oct","Nov","Dec"},0),VALUE(LEFT(raw_data!B578,2)))))),"")</f>
        <v>45339</v>
      </c>
      <c r="C578" s="4" t="n">
        <f aca="false">IFERROR(IF(MID(raw_data!C578,3,1)="/",DATE(VALUE(RIGHT(raw_data!C578,4)),VALUE(LEFT(raw_data!C578,2)),VALUE(MID(raw_data!C578,4,2))),IF(MID(raw_data!C578,3,1)="-",DATE(VALUE(RIGHT(raw_data!C578,4)),VALUE(MID(raw_data!C578,4,2)),VALUE(LEFT(raw_data!C578,2))),IF(MID(raw_data!C578,5,1)="-",DATE(VALUE(LEFT(raw_data!C578,4)),VALUE(MID(raw_data!C578,6,2)),VALUE(RIGHT(raw_data!C578,2))),DATE(VALUE(RIGHT(raw_data!C578,4)),MATCH(MID(raw_data!C578,4,3),{"Jan","Feb","Mar","Apr","May","Jun","Jul","Aug","Sep","Oct","Nov","Dec"},0),VALUE(LEFT(raw_data!C578,2)))))),"")</f>
        <v>45345</v>
      </c>
      <c r="D578" s="3" t="str">
        <f aca="false">IF(TRIM(raw_data!B578)="","Missing",IF(B578="","Invalid/Unrecognized","Valid"))</f>
        <v>Valid</v>
      </c>
      <c r="E578" s="3" t="str">
        <f aca="false">IF(TRIM(raw_data!C578)="","Missing",IF(C578="","Invalid/Unrecognized","Valid"))</f>
        <v>Valid</v>
      </c>
      <c r="F578" s="5" t="n">
        <f aca="false">IF(OR(B578="",C578=""),"",C578-B578)</f>
        <v>6</v>
      </c>
      <c r="G578" s="3" t="str">
        <f aca="false">IF(F578="","N/A",IF(F578&lt;0,"Invalid - Ship Before Order","OK"))</f>
        <v>OK</v>
      </c>
      <c r="H578" s="3" t="str">
        <f aca="false">raw_data!D578</f>
        <v>CUST-2228</v>
      </c>
      <c r="I578" s="3" t="str">
        <f aca="false">PROPER(TRIM(raw_data!E578))</f>
        <v>Rohan Mehta</v>
      </c>
      <c r="J578" s="3" t="str">
        <f aca="false">PROPER(TRIM(raw_data!F578))</f>
        <v>Home Office</v>
      </c>
      <c r="K578" s="3" t="str">
        <f aca="false">IF(TRIM(raw_data!G578)="","Unknown",PROPER(TRIM(raw_data!G578)))</f>
        <v>Unknown</v>
      </c>
      <c r="L578" s="3" t="str">
        <f aca="false">IF(TRIM(raw_data!G578)="","Filled - Unknown","OK")</f>
        <v>Filled - Unknown</v>
      </c>
      <c r="M578" s="3" t="str">
        <f aca="false">PROPER(TRIM(raw_data!H578))</f>
        <v>Bihar</v>
      </c>
      <c r="N578" s="3" t="str">
        <f aca="false">PROPER(TRIM(raw_data!I578))</f>
        <v>Patna</v>
      </c>
      <c r="O578" s="3" t="str">
        <f aca="false">PROPER(TRIM(raw_data!J578))</f>
        <v>Office Supplies</v>
      </c>
      <c r="P578" s="3" t="str">
        <f aca="false">PROPER(TRIM(raw_data!K578))</f>
        <v>Binders</v>
      </c>
      <c r="Q578" s="3" t="str">
        <f aca="false">TRIM(raw_data!L578)</f>
        <v>Smart Binders 417</v>
      </c>
      <c r="R578" s="3" t="str">
        <f aca="false">IF(TRIM(raw_data!M578)="","Unknown",PROPER(TRIM(raw_data!M578)))</f>
        <v>Standard Class</v>
      </c>
      <c r="S578" s="3" t="str">
        <f aca="false">IF(TRIM(raw_data!M578)="","Filled - Unknown","OK")</f>
        <v>OK</v>
      </c>
      <c r="T578" s="6" t="n">
        <f aca="false">raw_data!N578</f>
        <v>9</v>
      </c>
      <c r="U578" s="7" t="n">
        <f aca="false">raw_data!O578</f>
        <v>2614.46</v>
      </c>
      <c r="V578" s="8" t="n">
        <f aca="false">raw_data!P578</f>
        <v>0</v>
      </c>
      <c r="W578" s="8" t="n">
        <f aca="false">IF(raw_data!P578="",0,IF(ISTEXT(raw_data!P578),IF(RIGHT(raw_data!P578,1)="%",VALUE(LEFT(raw_data!P578,LEN(raw_data!P578)-1))/100,VALUE(raw_data!P578)),raw_data!P578))</f>
        <v>0</v>
      </c>
      <c r="X578" s="3" t="str">
        <f aca="false">IF(raw_data!P578="","Missing - Defaulted to 0",IF(W578&lt;0,"Negative - Invalid",IF(W578&gt;0.3,"Above Allowed Range - Invalid","Valid")))</f>
        <v>Valid</v>
      </c>
      <c r="Y578" s="7" t="n">
        <f aca="false">raw_data!Q578</f>
        <v>23530.14</v>
      </c>
      <c r="Z578" s="7" t="n">
        <f aca="false">raw_data!R578</f>
        <v>19537.79</v>
      </c>
      <c r="AA578" s="7" t="n">
        <f aca="false">raw_data!S578</f>
        <v>3992.35</v>
      </c>
      <c r="AB578" s="3" t="str">
        <f aca="false">PROPER(TRIM(raw_data!T578))</f>
        <v>Refunded</v>
      </c>
      <c r="AC578" s="3" t="str">
        <f aca="false">PROPER(TRIM(raw_data!U578))</f>
        <v>Returned</v>
      </c>
      <c r="AD578" s="7" t="n">
        <f aca="false">T578*U578*(1-W578)</f>
        <v>23530.14</v>
      </c>
      <c r="AE578" s="7" t="n">
        <f aca="false">AD578-Z578</f>
        <v>3992.35</v>
      </c>
      <c r="AF578" s="8" t="n">
        <f aca="false">IF(AD578=0,0,AE578/AD578)</f>
        <v>0.169669623725146</v>
      </c>
      <c r="AG578" s="3" t="str">
        <f aca="false">IF(ABS(Y578-AD578)&gt;1,"Mismatch","OK")</f>
        <v>OK</v>
      </c>
      <c r="AH578" s="3" t="str">
        <f aca="false">IF(ABS(AA578-AE578)&gt;1,"Mismatch","OK")</f>
        <v>OK</v>
      </c>
      <c r="AI578" s="6" t="n">
        <f aca="false">IF(B578="","",MONTH(B578))</f>
        <v>2</v>
      </c>
      <c r="AJ578" s="6" t="n">
        <f aca="false">IF(B578="","",YEAR(B578))</f>
        <v>2024</v>
      </c>
      <c r="AK578" s="3" t="str">
        <f aca="false">IF(COUNTIF(raw_data!$A$2:$A$913,A578)&gt;1,"Conflicting Duplicate - Flagged for Review","Unique")</f>
        <v>Unique</v>
      </c>
      <c r="AL578" s="3" t="str">
        <f aca="false">IF(AB578="Refunded","Yes","No")</f>
        <v>Yes</v>
      </c>
      <c r="AM578" s="3" t="str">
        <f aca="false">IF(OR(AC578&lt;&gt;"Completed",AB578="Failed"),"Excluded","Included")</f>
        <v>Excluded</v>
      </c>
      <c r="AN578" s="3" t="str">
        <f aca="false">IF(OR(D578="Invalid/Unrecognized",E578="Invalid/Unrecognized",G578="Invalid - Ship Before Order",X578="Negative - Invalid",X578="Above Allowed Range - Invalid",AG578="Mismatch",AH578="Mismatch",AK578="Conflicting Duplicate - Flagged for Review"),"Invalid",IF(OR(L578="Filled - Unknown",S578="Filled - Unknown",X578="Missing - Defaulted to 0",AL578="Yes",AC578="Cancelled",AC578="Returned"),"Warning","Clean"))</f>
        <v>Warning</v>
      </c>
    </row>
    <row r="579" customFormat="false" ht="15" hidden="false" customHeight="false" outlineLevel="0" collapsed="false">
      <c r="A579" s="3" t="str">
        <f aca="false">raw_data!A579</f>
        <v>ORD-2025-10578</v>
      </c>
      <c r="B579" s="4" t="n">
        <f aca="false">IFERROR(IF(MID(raw_data!B579,3,1)="/",DATE(VALUE(RIGHT(raw_data!B579,4)),VALUE(LEFT(raw_data!B579,2)),VALUE(MID(raw_data!B579,4,2))),IF(MID(raw_data!B579,3,1)="-",DATE(VALUE(RIGHT(raw_data!B579,4)),VALUE(MID(raw_data!B579,4,2)),VALUE(LEFT(raw_data!B579,2))),IF(MID(raw_data!B579,5,1)="-",DATE(VALUE(LEFT(raw_data!B579,4)),VALUE(MID(raw_data!B579,6,2)),VALUE(RIGHT(raw_data!B579,2))),DATE(VALUE(RIGHT(raw_data!B579,4)),MATCH(MID(raw_data!B579,4,3),{"Jan","Feb","Mar","Apr","May","Jun","Jul","Aug","Sep","Oct","Nov","Dec"},0),VALUE(LEFT(raw_data!B579,2)))))),"")</f>
        <v>45897</v>
      </c>
      <c r="C579" s="4" t="n">
        <f aca="false">IFERROR(IF(MID(raw_data!C579,3,1)="/",DATE(VALUE(RIGHT(raw_data!C579,4)),VALUE(LEFT(raw_data!C579,2)),VALUE(MID(raw_data!C579,4,2))),IF(MID(raw_data!C579,3,1)="-",DATE(VALUE(RIGHT(raw_data!C579,4)),VALUE(MID(raw_data!C579,4,2)),VALUE(LEFT(raw_data!C579,2))),IF(MID(raw_data!C579,5,1)="-",DATE(VALUE(LEFT(raw_data!C579,4)),VALUE(MID(raw_data!C579,6,2)),VALUE(RIGHT(raw_data!C579,2))),DATE(VALUE(RIGHT(raw_data!C579,4)),MATCH(MID(raw_data!C579,4,3),{"Jan","Feb","Mar","Apr","May","Jun","Jul","Aug","Sep","Oct","Nov","Dec"},0),VALUE(LEFT(raw_data!C579,2)))))),"")</f>
        <v>45903</v>
      </c>
      <c r="D579" s="3" t="str">
        <f aca="false">IF(TRIM(raw_data!B579)="","Missing",IF(B579="","Invalid/Unrecognized","Valid"))</f>
        <v>Valid</v>
      </c>
      <c r="E579" s="3" t="str">
        <f aca="false">IF(TRIM(raw_data!C579)="","Missing",IF(C579="","Invalid/Unrecognized","Valid"))</f>
        <v>Valid</v>
      </c>
      <c r="F579" s="5" t="n">
        <f aca="false">IF(OR(B579="",C579=""),"",C579-B579)</f>
        <v>6</v>
      </c>
      <c r="G579" s="3" t="str">
        <f aca="false">IF(F579="","N/A",IF(F579&lt;0,"Invalid - Ship Before Order","OK"))</f>
        <v>OK</v>
      </c>
      <c r="H579" s="3" t="str">
        <f aca="false">raw_data!D579</f>
        <v>CUST-4151</v>
      </c>
      <c r="I579" s="3" t="str">
        <f aca="false">PROPER(TRIM(raw_data!E579))</f>
        <v>Priya Menon</v>
      </c>
      <c r="J579" s="3" t="str">
        <f aca="false">PROPER(TRIM(raw_data!F579))</f>
        <v>Corporate</v>
      </c>
      <c r="K579" s="3" t="str">
        <f aca="false">IF(TRIM(raw_data!G579)="","Unknown",PROPER(TRIM(raw_data!G579)))</f>
        <v>West</v>
      </c>
      <c r="L579" s="3" t="str">
        <f aca="false">IF(TRIM(raw_data!G579)="","Filled - Unknown","OK")</f>
        <v>OK</v>
      </c>
      <c r="M579" s="3" t="str">
        <f aca="false">PROPER(TRIM(raw_data!H579))</f>
        <v>Madhya Pradesh</v>
      </c>
      <c r="N579" s="3" t="str">
        <f aca="false">PROPER(TRIM(raw_data!I579))</f>
        <v>Indore</v>
      </c>
      <c r="O579" s="3" t="str">
        <f aca="false">PROPER(TRIM(raw_data!J579))</f>
        <v>Furniture</v>
      </c>
      <c r="P579" s="3" t="str">
        <f aca="false">PROPER(TRIM(raw_data!K579))</f>
        <v>Furnishings</v>
      </c>
      <c r="Q579" s="3" t="str">
        <f aca="false">TRIM(raw_data!L579)</f>
        <v>Smart Furnishings 714</v>
      </c>
      <c r="R579" s="3" t="str">
        <f aca="false">IF(TRIM(raw_data!M579)="","Unknown",PROPER(TRIM(raw_data!M579)))</f>
        <v>Standard Class</v>
      </c>
      <c r="S579" s="3" t="str">
        <f aca="false">IF(TRIM(raw_data!M579)="","Filled - Unknown","OK")</f>
        <v>OK</v>
      </c>
      <c r="T579" s="6" t="n">
        <f aca="false">raw_data!N579</f>
        <v>7</v>
      </c>
      <c r="U579" s="7" t="n">
        <f aca="false">raw_data!O579</f>
        <v>268.45</v>
      </c>
      <c r="V579" s="8" t="n">
        <f aca="false">raw_data!P579</f>
        <v>0</v>
      </c>
      <c r="W579" s="8" t="n">
        <f aca="false">IF(raw_data!P579="",0,IF(ISTEXT(raw_data!P579),IF(RIGHT(raw_data!P579,1)="%",VALUE(LEFT(raw_data!P579,LEN(raw_data!P579)-1))/100,VALUE(raw_data!P579)),raw_data!P579))</f>
        <v>0</v>
      </c>
      <c r="X579" s="3" t="str">
        <f aca="false">IF(raw_data!P579="","Missing - Defaulted to 0",IF(W579&lt;0,"Negative - Invalid",IF(W579&gt;0.3,"Above Allowed Range - Invalid","Valid")))</f>
        <v>Valid</v>
      </c>
      <c r="Y579" s="7" t="n">
        <f aca="false">raw_data!Q579</f>
        <v>1879.15</v>
      </c>
      <c r="Z579" s="7" t="n">
        <f aca="false">raw_data!R579</f>
        <v>1134.9</v>
      </c>
      <c r="AA579" s="7" t="n">
        <f aca="false">raw_data!S579</f>
        <v>744.25</v>
      </c>
      <c r="AB579" s="3" t="str">
        <f aca="false">PROPER(TRIM(raw_data!T579))</f>
        <v>Paid</v>
      </c>
      <c r="AC579" s="3" t="str">
        <f aca="false">PROPER(TRIM(raw_data!U579))</f>
        <v>Completed</v>
      </c>
      <c r="AD579" s="7" t="n">
        <f aca="false">T579*U579*(1-W579)</f>
        <v>1879.15</v>
      </c>
      <c r="AE579" s="7" t="n">
        <f aca="false">AD579-Z579</f>
        <v>744.25</v>
      </c>
      <c r="AF579" s="8" t="n">
        <f aca="false">IF(AD579=0,0,AE579/AD579)</f>
        <v>0.396056727775856</v>
      </c>
      <c r="AG579" s="3" t="str">
        <f aca="false">IF(ABS(Y579-AD579)&gt;1,"Mismatch","OK")</f>
        <v>OK</v>
      </c>
      <c r="AH579" s="3" t="str">
        <f aca="false">IF(ABS(AA579-AE579)&gt;1,"Mismatch","OK")</f>
        <v>OK</v>
      </c>
      <c r="AI579" s="6" t="n">
        <f aca="false">IF(B579="","",MONTH(B579))</f>
        <v>8</v>
      </c>
      <c r="AJ579" s="6" t="n">
        <f aca="false">IF(B579="","",YEAR(B579))</f>
        <v>2025</v>
      </c>
      <c r="AK579" s="3" t="str">
        <f aca="false">IF(COUNTIF(raw_data!$A$2:$A$913,A579)&gt;1,"Conflicting Duplicate - Flagged for Review","Unique")</f>
        <v>Unique</v>
      </c>
      <c r="AL579" s="3" t="str">
        <f aca="false">IF(AB579="Refunded","Yes","No")</f>
        <v>No</v>
      </c>
      <c r="AM579" s="3" t="str">
        <f aca="false">IF(OR(AC579&lt;&gt;"Completed",AB579="Failed"),"Excluded","Included")</f>
        <v>Included</v>
      </c>
      <c r="AN579" s="3" t="str">
        <f aca="false">IF(OR(D579="Invalid/Unrecognized",E579="Invalid/Unrecognized",G579="Invalid - Ship Before Order",X579="Negative - Invalid",X579="Above Allowed Range - Invalid",AG579="Mismatch",AH579="Mismatch",AK579="Conflicting Duplicate - Flagged for Review"),"Invalid",IF(OR(L579="Filled - Unknown",S579="Filled - Unknown",X579="Missing - Defaulted to 0",AL579="Yes",AC579="Cancelled",AC579="Returned"),"Warning","Clean"))</f>
        <v>Clean</v>
      </c>
    </row>
    <row r="580" customFormat="false" ht="15" hidden="false" customHeight="false" outlineLevel="0" collapsed="false">
      <c r="A580" s="3" t="str">
        <f aca="false">raw_data!A580</f>
        <v>ORD-2024-10579</v>
      </c>
      <c r="B580" s="4" t="n">
        <f aca="false">IFERROR(IF(MID(raw_data!B580,3,1)="/",DATE(VALUE(RIGHT(raw_data!B580,4)),VALUE(LEFT(raw_data!B580,2)),VALUE(MID(raw_data!B580,4,2))),IF(MID(raw_data!B580,3,1)="-",DATE(VALUE(RIGHT(raw_data!B580,4)),VALUE(MID(raw_data!B580,4,2)),VALUE(LEFT(raw_data!B580,2))),IF(MID(raw_data!B580,5,1)="-",DATE(VALUE(LEFT(raw_data!B580,4)),VALUE(MID(raw_data!B580,6,2)),VALUE(RIGHT(raw_data!B580,2))),DATE(VALUE(RIGHT(raw_data!B580,4)),MATCH(MID(raw_data!B580,4,3),{"Jan","Feb","Mar","Apr","May","Jun","Jul","Aug","Sep","Oct","Nov","Dec"},0),VALUE(LEFT(raw_data!B580,2)))))),"")</f>
        <v>45343</v>
      </c>
      <c r="C580" s="4" t="n">
        <f aca="false">IFERROR(IF(MID(raw_data!C580,3,1)="/",DATE(VALUE(RIGHT(raw_data!C580,4)),VALUE(LEFT(raw_data!C580,2)),VALUE(MID(raw_data!C580,4,2))),IF(MID(raw_data!C580,3,1)="-",DATE(VALUE(RIGHT(raw_data!C580,4)),VALUE(MID(raw_data!C580,4,2)),VALUE(LEFT(raw_data!C580,2))),IF(MID(raw_data!C580,5,1)="-",DATE(VALUE(LEFT(raw_data!C580,4)),VALUE(MID(raw_data!C580,6,2)),VALUE(RIGHT(raw_data!C580,2))),DATE(VALUE(RIGHT(raw_data!C580,4)),MATCH(MID(raw_data!C580,4,3),{"Jan","Feb","Mar","Apr","May","Jun","Jul","Aug","Sep","Oct","Nov","Dec"},0),VALUE(LEFT(raw_data!C580,2)))))),"")</f>
        <v>45345</v>
      </c>
      <c r="D580" s="3" t="str">
        <f aca="false">IF(TRIM(raw_data!B580)="","Missing",IF(B580="","Invalid/Unrecognized","Valid"))</f>
        <v>Valid</v>
      </c>
      <c r="E580" s="3" t="str">
        <f aca="false">IF(TRIM(raw_data!C580)="","Missing",IF(C580="","Invalid/Unrecognized","Valid"))</f>
        <v>Valid</v>
      </c>
      <c r="F580" s="5" t="n">
        <f aca="false">IF(OR(B580="",C580=""),"",C580-B580)</f>
        <v>2</v>
      </c>
      <c r="G580" s="3" t="str">
        <f aca="false">IF(F580="","N/A",IF(F580&lt;0,"Invalid - Ship Before Order","OK"))</f>
        <v>OK</v>
      </c>
      <c r="H580" s="3" t="str">
        <f aca="false">raw_data!D580</f>
        <v>CUST-4900</v>
      </c>
      <c r="I580" s="3" t="str">
        <f aca="false">PROPER(TRIM(raw_data!E580))</f>
        <v>Neha Gupta</v>
      </c>
      <c r="J580" s="3" t="str">
        <f aca="false">PROPER(TRIM(raw_data!F580))</f>
        <v>Small Business</v>
      </c>
      <c r="K580" s="3" t="str">
        <f aca="false">IF(TRIM(raw_data!G580)="","Unknown",PROPER(TRIM(raw_data!G580)))</f>
        <v>West</v>
      </c>
      <c r="L580" s="3" t="str">
        <f aca="false">IF(TRIM(raw_data!G580)="","Filled - Unknown","OK")</f>
        <v>OK</v>
      </c>
      <c r="M580" s="3" t="str">
        <f aca="false">PROPER(TRIM(raw_data!H580))</f>
        <v>Gujarat</v>
      </c>
      <c r="N580" s="3" t="str">
        <f aca="false">PROPER(TRIM(raw_data!I580))</f>
        <v>Ahmedabad</v>
      </c>
      <c r="O580" s="3" t="str">
        <f aca="false">PROPER(TRIM(raw_data!J580))</f>
        <v>Technology</v>
      </c>
      <c r="P580" s="3" t="str">
        <f aca="false">PROPER(TRIM(raw_data!K580))</f>
        <v>Copiers</v>
      </c>
      <c r="Q580" s="3" t="str">
        <f aca="false">TRIM(raw_data!L580)</f>
        <v>Elite Copiers 682</v>
      </c>
      <c r="R580" s="3" t="str">
        <f aca="false">IF(TRIM(raw_data!M580)="","Unknown",PROPER(TRIM(raw_data!M580)))</f>
        <v>First Class</v>
      </c>
      <c r="S580" s="3" t="str">
        <f aca="false">IF(TRIM(raw_data!M580)="","Filled - Unknown","OK")</f>
        <v>OK</v>
      </c>
      <c r="T580" s="6" t="n">
        <f aca="false">raw_data!N580</f>
        <v>6</v>
      </c>
      <c r="U580" s="7" t="n">
        <f aca="false">raw_data!O580</f>
        <v>2633.65</v>
      </c>
      <c r="V580" s="8" t="n">
        <f aca="false">raw_data!P580</f>
        <v>0.05</v>
      </c>
      <c r="W580" s="8" t="n">
        <f aca="false">IF(raw_data!P580="",0,IF(ISTEXT(raw_data!P580),IF(RIGHT(raw_data!P580,1)="%",VALUE(LEFT(raw_data!P580,LEN(raw_data!P580)-1))/100,VALUE(raw_data!P580)),raw_data!P580))</f>
        <v>0.05</v>
      </c>
      <c r="X580" s="3" t="str">
        <f aca="false">IF(raw_data!P580="","Missing - Defaulted to 0",IF(W580&lt;0,"Negative - Invalid",IF(W580&gt;0.3,"Above Allowed Range - Invalid","Valid")))</f>
        <v>Valid</v>
      </c>
      <c r="Y580" s="7" t="n">
        <f aca="false">raw_data!Q580</f>
        <v>15011.81</v>
      </c>
      <c r="Z580" s="7" t="n">
        <f aca="false">raw_data!R580</f>
        <v>9660.36</v>
      </c>
      <c r="AA580" s="7" t="n">
        <f aca="false">raw_data!S580</f>
        <v>5351.45</v>
      </c>
      <c r="AB580" s="3" t="str">
        <f aca="false">PROPER(TRIM(raw_data!T580))</f>
        <v>Paid</v>
      </c>
      <c r="AC580" s="3" t="str">
        <f aca="false">PROPER(TRIM(raw_data!U580))</f>
        <v>Completed</v>
      </c>
      <c r="AD580" s="7" t="n">
        <f aca="false">T580*U580*(1-W580)</f>
        <v>15011.805</v>
      </c>
      <c r="AE580" s="7" t="n">
        <f aca="false">AD580-Z580</f>
        <v>5351.445</v>
      </c>
      <c r="AF580" s="8" t="n">
        <f aca="false">IF(AD580=0,0,AE580/AD580)</f>
        <v>0.356482448313178</v>
      </c>
      <c r="AG580" s="3" t="str">
        <f aca="false">IF(ABS(Y580-AD580)&gt;1,"Mismatch","OK")</f>
        <v>OK</v>
      </c>
      <c r="AH580" s="3" t="str">
        <f aca="false">IF(ABS(AA580-AE580)&gt;1,"Mismatch","OK")</f>
        <v>OK</v>
      </c>
      <c r="AI580" s="6" t="n">
        <f aca="false">IF(B580="","",MONTH(B580))</f>
        <v>2</v>
      </c>
      <c r="AJ580" s="6" t="n">
        <f aca="false">IF(B580="","",YEAR(B580))</f>
        <v>2024</v>
      </c>
      <c r="AK580" s="3" t="str">
        <f aca="false">IF(COUNTIF(raw_data!$A$2:$A$913,A580)&gt;1,"Conflicting Duplicate - Flagged for Review","Unique")</f>
        <v>Unique</v>
      </c>
      <c r="AL580" s="3" t="str">
        <f aca="false">IF(AB580="Refunded","Yes","No")</f>
        <v>No</v>
      </c>
      <c r="AM580" s="3" t="str">
        <f aca="false">IF(OR(AC580&lt;&gt;"Completed",AB580="Failed"),"Excluded","Included")</f>
        <v>Included</v>
      </c>
      <c r="AN580" s="3" t="str">
        <f aca="false">IF(OR(D580="Invalid/Unrecognized",E580="Invalid/Unrecognized",G580="Invalid - Ship Before Order",X580="Negative - Invalid",X580="Above Allowed Range - Invalid",AG580="Mismatch",AH580="Mismatch",AK580="Conflicting Duplicate - Flagged for Review"),"Invalid",IF(OR(L580="Filled - Unknown",S580="Filled - Unknown",X580="Missing - Defaulted to 0",AL580="Yes",AC580="Cancelled",AC580="Returned"),"Warning","Clean"))</f>
        <v>Clean</v>
      </c>
    </row>
    <row r="581" customFormat="false" ht="15" hidden="false" customHeight="false" outlineLevel="0" collapsed="false">
      <c r="A581" s="3" t="str">
        <f aca="false">raw_data!A581</f>
        <v>ORD-2024-10580</v>
      </c>
      <c r="B581" s="4" t="n">
        <f aca="false">IFERROR(IF(MID(raw_data!B581,3,1)="/",DATE(VALUE(RIGHT(raw_data!B581,4)),VALUE(LEFT(raw_data!B581,2)),VALUE(MID(raw_data!B581,4,2))),IF(MID(raw_data!B581,3,1)="-",DATE(VALUE(RIGHT(raw_data!B581,4)),VALUE(MID(raw_data!B581,4,2)),VALUE(LEFT(raw_data!B581,2))),IF(MID(raw_data!B581,5,1)="-",DATE(VALUE(LEFT(raw_data!B581,4)),VALUE(MID(raw_data!B581,6,2)),VALUE(RIGHT(raw_data!B581,2))),DATE(VALUE(RIGHT(raw_data!B581,4)),MATCH(MID(raw_data!B581,4,3),{"Jan","Feb","Mar","Apr","May","Jun","Jul","Aug","Sep","Oct","Nov","Dec"},0),VALUE(LEFT(raw_data!B581,2)))))),"")</f>
        <v>45462</v>
      </c>
      <c r="C581" s="4" t="n">
        <f aca="false">IFERROR(IF(MID(raw_data!C581,3,1)="/",DATE(VALUE(RIGHT(raw_data!C581,4)),VALUE(LEFT(raw_data!C581,2)),VALUE(MID(raw_data!C581,4,2))),IF(MID(raw_data!C581,3,1)="-",DATE(VALUE(RIGHT(raw_data!C581,4)),VALUE(MID(raw_data!C581,4,2)),VALUE(LEFT(raw_data!C581,2))),IF(MID(raw_data!C581,5,1)="-",DATE(VALUE(LEFT(raw_data!C581,4)),VALUE(MID(raw_data!C581,6,2)),VALUE(RIGHT(raw_data!C581,2))),DATE(VALUE(RIGHT(raw_data!C581,4)),MATCH(MID(raw_data!C581,4,3),{"Jan","Feb","Mar","Apr","May","Jun","Jul","Aug","Sep","Oct","Nov","Dec"},0),VALUE(LEFT(raw_data!C581,2)))))),"")</f>
        <v>45467</v>
      </c>
      <c r="D581" s="3" t="str">
        <f aca="false">IF(TRIM(raw_data!B581)="","Missing",IF(B581="","Invalid/Unrecognized","Valid"))</f>
        <v>Valid</v>
      </c>
      <c r="E581" s="3" t="str">
        <f aca="false">IF(TRIM(raw_data!C581)="","Missing",IF(C581="","Invalid/Unrecognized","Valid"))</f>
        <v>Valid</v>
      </c>
      <c r="F581" s="5" t="n">
        <f aca="false">IF(OR(B581="",C581=""),"",C581-B581)</f>
        <v>5</v>
      </c>
      <c r="G581" s="3" t="str">
        <f aca="false">IF(F581="","N/A",IF(F581&lt;0,"Invalid - Ship Before Order","OK"))</f>
        <v>OK</v>
      </c>
      <c r="H581" s="3" t="str">
        <f aca="false">raw_data!D581</f>
        <v>CUST-9617</v>
      </c>
      <c r="I581" s="3" t="str">
        <f aca="false">PROPER(TRIM(raw_data!E581))</f>
        <v>Aarav Sharma</v>
      </c>
      <c r="J581" s="3" t="str">
        <f aca="false">PROPER(TRIM(raw_data!F581))</f>
        <v>Small Business</v>
      </c>
      <c r="K581" s="3" t="str">
        <f aca="false">IF(TRIM(raw_data!G581)="","Unknown",PROPER(TRIM(raw_data!G581)))</f>
        <v>South</v>
      </c>
      <c r="L581" s="3" t="str">
        <f aca="false">IF(TRIM(raw_data!G581)="","Filled - Unknown","OK")</f>
        <v>OK</v>
      </c>
      <c r="M581" s="3" t="str">
        <f aca="false">PROPER(TRIM(raw_data!H581))</f>
        <v>Tamil Nadu</v>
      </c>
      <c r="N581" s="3" t="str">
        <f aca="false">PROPER(TRIM(raw_data!I581))</f>
        <v>Chennai</v>
      </c>
      <c r="O581" s="3" t="str">
        <f aca="false">PROPER(TRIM(raw_data!J581))</f>
        <v>Office Supplies</v>
      </c>
      <c r="P581" s="3" t="str">
        <f aca="false">PROPER(TRIM(raw_data!K581))</f>
        <v>Storage</v>
      </c>
      <c r="Q581" s="3" t="str">
        <f aca="false">TRIM(raw_data!L581)</f>
        <v>Pro Storage 482</v>
      </c>
      <c r="R581" s="3" t="str">
        <f aca="false">IF(TRIM(raw_data!M581)="","Unknown",PROPER(TRIM(raw_data!M581)))</f>
        <v>Same Day</v>
      </c>
      <c r="S581" s="3" t="str">
        <f aca="false">IF(TRIM(raw_data!M581)="","Filled - Unknown","OK")</f>
        <v>OK</v>
      </c>
      <c r="T581" s="6" t="n">
        <f aca="false">raw_data!N581</f>
        <v>1</v>
      </c>
      <c r="U581" s="7" t="n">
        <f aca="false">raw_data!O581</f>
        <v>3202.41</v>
      </c>
      <c r="V581" s="8" t="n">
        <f aca="false">raw_data!P581</f>
        <v>0</v>
      </c>
      <c r="W581" s="8" t="n">
        <f aca="false">IF(raw_data!P581="",0,IF(ISTEXT(raw_data!P581),IF(RIGHT(raw_data!P581,1)="%",VALUE(LEFT(raw_data!P581,LEN(raw_data!P581)-1))/100,VALUE(raw_data!P581)),raw_data!P581))</f>
        <v>0</v>
      </c>
      <c r="X581" s="3" t="str">
        <f aca="false">IF(raw_data!P581="","Missing - Defaulted to 0",IF(W581&lt;0,"Negative - Invalid",IF(W581&gt;0.3,"Above Allowed Range - Invalid","Valid")))</f>
        <v>Valid</v>
      </c>
      <c r="Y581" s="7" t="n">
        <f aca="false">raw_data!Q581</f>
        <v>3202.41</v>
      </c>
      <c r="Z581" s="7" t="n">
        <f aca="false">raw_data!R581</f>
        <v>2608.44</v>
      </c>
      <c r="AA581" s="7" t="n">
        <f aca="false">raw_data!S581</f>
        <v>593.97</v>
      </c>
      <c r="AB581" s="3" t="str">
        <f aca="false">PROPER(TRIM(raw_data!T581))</f>
        <v>Paid</v>
      </c>
      <c r="AC581" s="3" t="str">
        <f aca="false">PROPER(TRIM(raw_data!U581))</f>
        <v>Completed</v>
      </c>
      <c r="AD581" s="7" t="n">
        <f aca="false">T581*U581*(1-W581)</f>
        <v>3202.41</v>
      </c>
      <c r="AE581" s="7" t="n">
        <f aca="false">AD581-Z581</f>
        <v>593.97</v>
      </c>
      <c r="AF581" s="8" t="n">
        <f aca="false">IF(AD581=0,0,AE581/AD581)</f>
        <v>0.185475938433867</v>
      </c>
      <c r="AG581" s="3" t="str">
        <f aca="false">IF(ABS(Y581-AD581)&gt;1,"Mismatch","OK")</f>
        <v>OK</v>
      </c>
      <c r="AH581" s="3" t="str">
        <f aca="false">IF(ABS(AA581-AE581)&gt;1,"Mismatch","OK")</f>
        <v>OK</v>
      </c>
      <c r="AI581" s="6" t="n">
        <f aca="false">IF(B581="","",MONTH(B581))</f>
        <v>6</v>
      </c>
      <c r="AJ581" s="6" t="n">
        <f aca="false">IF(B581="","",YEAR(B581))</f>
        <v>2024</v>
      </c>
      <c r="AK581" s="3" t="str">
        <f aca="false">IF(COUNTIF(raw_data!$A$2:$A$913,A581)&gt;1,"Conflicting Duplicate - Flagged for Review","Unique")</f>
        <v>Unique</v>
      </c>
      <c r="AL581" s="3" t="str">
        <f aca="false">IF(AB581="Refunded","Yes","No")</f>
        <v>No</v>
      </c>
      <c r="AM581" s="3" t="str">
        <f aca="false">IF(OR(AC581&lt;&gt;"Completed",AB581="Failed"),"Excluded","Included")</f>
        <v>Included</v>
      </c>
      <c r="AN581" s="3" t="str">
        <f aca="false">IF(OR(D581="Invalid/Unrecognized",E581="Invalid/Unrecognized",G581="Invalid - Ship Before Order",X581="Negative - Invalid",X581="Above Allowed Range - Invalid",AG581="Mismatch",AH581="Mismatch",AK581="Conflicting Duplicate - Flagged for Review"),"Invalid",IF(OR(L581="Filled - Unknown",S581="Filled - Unknown",X581="Missing - Defaulted to 0",AL581="Yes",AC581="Cancelled",AC581="Returned"),"Warning","Clean"))</f>
        <v>Clean</v>
      </c>
    </row>
    <row r="582" customFormat="false" ht="15" hidden="false" customHeight="false" outlineLevel="0" collapsed="false">
      <c r="A582" s="3" t="str">
        <f aca="false">raw_data!A582</f>
        <v>ORD-2025-10581</v>
      </c>
      <c r="B582" s="4" t="n">
        <f aca="false">IFERROR(IF(MID(raw_data!B582,3,1)="/",DATE(VALUE(RIGHT(raw_data!B582,4)),VALUE(LEFT(raw_data!B582,2)),VALUE(MID(raw_data!B582,4,2))),IF(MID(raw_data!B582,3,1)="-",DATE(VALUE(RIGHT(raw_data!B582,4)),VALUE(MID(raw_data!B582,4,2)),VALUE(LEFT(raw_data!B582,2))),IF(MID(raw_data!B582,5,1)="-",DATE(VALUE(LEFT(raw_data!B582,4)),VALUE(MID(raw_data!B582,6,2)),VALUE(RIGHT(raw_data!B582,2))),DATE(VALUE(RIGHT(raw_data!B582,4)),MATCH(MID(raw_data!B582,4,3),{"Jan","Feb","Mar","Apr","May","Jun","Jul","Aug","Sep","Oct","Nov","Dec"},0),VALUE(LEFT(raw_data!B582,2)))))),"")</f>
        <v>45722</v>
      </c>
      <c r="C582" s="4" t="n">
        <f aca="false">IFERROR(IF(MID(raw_data!C582,3,1)="/",DATE(VALUE(RIGHT(raw_data!C582,4)),VALUE(LEFT(raw_data!C582,2)),VALUE(MID(raw_data!C582,4,2))),IF(MID(raw_data!C582,3,1)="-",DATE(VALUE(RIGHT(raw_data!C582,4)),VALUE(MID(raw_data!C582,4,2)),VALUE(LEFT(raw_data!C582,2))),IF(MID(raw_data!C582,5,1)="-",DATE(VALUE(LEFT(raw_data!C582,4)),VALUE(MID(raw_data!C582,6,2)),VALUE(RIGHT(raw_data!C582,2))),DATE(VALUE(RIGHT(raw_data!C582,4)),MATCH(MID(raw_data!C582,4,3),{"Jan","Feb","Mar","Apr","May","Jun","Jul","Aug","Sep","Oct","Nov","Dec"},0),VALUE(LEFT(raw_data!C582,2)))))),"")</f>
        <v>45729</v>
      </c>
      <c r="D582" s="3" t="str">
        <f aca="false">IF(TRIM(raw_data!B582)="","Missing",IF(B582="","Invalid/Unrecognized","Valid"))</f>
        <v>Valid</v>
      </c>
      <c r="E582" s="3" t="str">
        <f aca="false">IF(TRIM(raw_data!C582)="","Missing",IF(C582="","Invalid/Unrecognized","Valid"))</f>
        <v>Valid</v>
      </c>
      <c r="F582" s="5" t="n">
        <f aca="false">IF(OR(B582="",C582=""),"",C582-B582)</f>
        <v>7</v>
      </c>
      <c r="G582" s="3" t="str">
        <f aca="false">IF(F582="","N/A",IF(F582&lt;0,"Invalid - Ship Before Order","OK"))</f>
        <v>OK</v>
      </c>
      <c r="H582" s="3" t="str">
        <f aca="false">raw_data!D582</f>
        <v>CUST-7958</v>
      </c>
      <c r="I582" s="3" t="str">
        <f aca="false">PROPER(TRIM(raw_data!E582))</f>
        <v>Kabir Singh</v>
      </c>
      <c r="J582" s="3" t="str">
        <f aca="false">PROPER(TRIM(raw_data!F582))</f>
        <v>Consumer</v>
      </c>
      <c r="K582" s="3" t="str">
        <f aca="false">IF(TRIM(raw_data!G582)="","Unknown",PROPER(TRIM(raw_data!G582)))</f>
        <v>South</v>
      </c>
      <c r="L582" s="3" t="str">
        <f aca="false">IF(TRIM(raw_data!G582)="","Filled - Unknown","OK")</f>
        <v>OK</v>
      </c>
      <c r="M582" s="3" t="str">
        <f aca="false">PROPER(TRIM(raw_data!H582))</f>
        <v>Kerala</v>
      </c>
      <c r="N582" s="3" t="str">
        <f aca="false">PROPER(TRIM(raw_data!I582))</f>
        <v>Kochi</v>
      </c>
      <c r="O582" s="3" t="str">
        <f aca="false">PROPER(TRIM(raw_data!J582))</f>
        <v>Furniture</v>
      </c>
      <c r="P582" s="3" t="str">
        <f aca="false">PROPER(TRIM(raw_data!K582))</f>
        <v>Chairs</v>
      </c>
      <c r="Q582" s="3" t="str">
        <f aca="false">TRIM(raw_data!L582)</f>
        <v>Pro Chairs 888</v>
      </c>
      <c r="R582" s="3" t="str">
        <f aca="false">IF(TRIM(raw_data!M582)="","Unknown",PROPER(TRIM(raw_data!M582)))</f>
        <v>Standard Class</v>
      </c>
      <c r="S582" s="3" t="str">
        <f aca="false">IF(TRIM(raw_data!M582)="","Filled - Unknown","OK")</f>
        <v>OK</v>
      </c>
      <c r="T582" s="6" t="n">
        <f aca="false">raw_data!N582</f>
        <v>3</v>
      </c>
      <c r="U582" s="7" t="n">
        <f aca="false">raw_data!O582</f>
        <v>163.72</v>
      </c>
      <c r="V582" s="8" t="n">
        <f aca="false">raw_data!P582</f>
        <v>0.15</v>
      </c>
      <c r="W582" s="8" t="n">
        <f aca="false">IF(raw_data!P582="",0,IF(ISTEXT(raw_data!P582),IF(RIGHT(raw_data!P582,1)="%",VALUE(LEFT(raw_data!P582,LEN(raw_data!P582)-1))/100,VALUE(raw_data!P582)),raw_data!P582))</f>
        <v>0.15</v>
      </c>
      <c r="X582" s="3" t="str">
        <f aca="false">IF(raw_data!P582="","Missing - Defaulted to 0",IF(W582&lt;0,"Negative - Invalid",IF(W582&gt;0.3,"Above Allowed Range - Invalid","Valid")))</f>
        <v>Valid</v>
      </c>
      <c r="Y582" s="7" t="n">
        <f aca="false">raw_data!Q582</f>
        <v>417.49</v>
      </c>
      <c r="Z582" s="7" t="n">
        <f aca="false">raw_data!R582</f>
        <v>261.67</v>
      </c>
      <c r="AA582" s="7" t="n">
        <f aca="false">raw_data!S582</f>
        <v>155.82</v>
      </c>
      <c r="AB582" s="3" t="str">
        <f aca="false">PROPER(TRIM(raw_data!T582))</f>
        <v>Failed</v>
      </c>
      <c r="AC582" s="3" t="str">
        <f aca="false">PROPER(TRIM(raw_data!U582))</f>
        <v>Returned</v>
      </c>
      <c r="AD582" s="7" t="n">
        <f aca="false">T582*U582*(1-W582)</f>
        <v>417.486</v>
      </c>
      <c r="AE582" s="7" t="n">
        <f aca="false">AD582-Z582</f>
        <v>155.816</v>
      </c>
      <c r="AF582" s="8" t="n">
        <f aca="false">IF(AD582=0,0,AE582/AD582)</f>
        <v>0.373224491360189</v>
      </c>
      <c r="AG582" s="3" t="str">
        <f aca="false">IF(ABS(Y582-AD582)&gt;1,"Mismatch","OK")</f>
        <v>OK</v>
      </c>
      <c r="AH582" s="3" t="str">
        <f aca="false">IF(ABS(AA582-AE582)&gt;1,"Mismatch","OK")</f>
        <v>OK</v>
      </c>
      <c r="AI582" s="6" t="n">
        <f aca="false">IF(B582="","",MONTH(B582))</f>
        <v>3</v>
      </c>
      <c r="AJ582" s="6" t="n">
        <f aca="false">IF(B582="","",YEAR(B582))</f>
        <v>2025</v>
      </c>
      <c r="AK582" s="3" t="str">
        <f aca="false">IF(COUNTIF(raw_data!$A$2:$A$913,A582)&gt;1,"Conflicting Duplicate - Flagged for Review","Unique")</f>
        <v>Unique</v>
      </c>
      <c r="AL582" s="3" t="str">
        <f aca="false">IF(AB582="Refunded","Yes","No")</f>
        <v>No</v>
      </c>
      <c r="AM582" s="3" t="str">
        <f aca="false">IF(OR(AC582&lt;&gt;"Completed",AB582="Failed"),"Excluded","Included")</f>
        <v>Excluded</v>
      </c>
      <c r="AN582" s="3" t="str">
        <f aca="false">IF(OR(D582="Invalid/Unrecognized",E582="Invalid/Unrecognized",G582="Invalid - Ship Before Order",X582="Negative - Invalid",X582="Above Allowed Range - Invalid",AG582="Mismatch",AH582="Mismatch",AK582="Conflicting Duplicate - Flagged for Review"),"Invalid",IF(OR(L582="Filled - Unknown",S582="Filled - Unknown",X582="Missing - Defaulted to 0",AL582="Yes",AC582="Cancelled",AC582="Returned"),"Warning","Clean"))</f>
        <v>Warning</v>
      </c>
    </row>
    <row r="583" customFormat="false" ht="15" hidden="false" customHeight="false" outlineLevel="0" collapsed="false">
      <c r="A583" s="3" t="str">
        <f aca="false">raw_data!A583</f>
        <v>ORD-2025-10582</v>
      </c>
      <c r="B583" s="4" t="n">
        <f aca="false">IFERROR(IF(MID(raw_data!B583,3,1)="/",DATE(VALUE(RIGHT(raw_data!B583,4)),VALUE(LEFT(raw_data!B583,2)),VALUE(MID(raw_data!B583,4,2))),IF(MID(raw_data!B583,3,1)="-",DATE(VALUE(RIGHT(raw_data!B583,4)),VALUE(MID(raw_data!B583,4,2)),VALUE(LEFT(raw_data!B583,2))),IF(MID(raw_data!B583,5,1)="-",DATE(VALUE(LEFT(raw_data!B583,4)),VALUE(MID(raw_data!B583,6,2)),VALUE(RIGHT(raw_data!B583,2))),DATE(VALUE(RIGHT(raw_data!B583,4)),MATCH(MID(raw_data!B583,4,3),{"Jan","Feb","Mar","Apr","May","Jun","Jul","Aug","Sep","Oct","Nov","Dec"},0),VALUE(LEFT(raw_data!B583,2)))))),"")</f>
        <v>45878</v>
      </c>
      <c r="C583" s="4" t="n">
        <f aca="false">IFERROR(IF(MID(raw_data!C583,3,1)="/",DATE(VALUE(RIGHT(raw_data!C583,4)),VALUE(LEFT(raw_data!C583,2)),VALUE(MID(raw_data!C583,4,2))),IF(MID(raw_data!C583,3,1)="-",DATE(VALUE(RIGHT(raw_data!C583,4)),VALUE(MID(raw_data!C583,4,2)),VALUE(LEFT(raw_data!C583,2))),IF(MID(raw_data!C583,5,1)="-",DATE(VALUE(LEFT(raw_data!C583,4)),VALUE(MID(raw_data!C583,6,2)),VALUE(RIGHT(raw_data!C583,2))),DATE(VALUE(RIGHT(raw_data!C583,4)),MATCH(MID(raw_data!C583,4,3),{"Jan","Feb","Mar","Apr","May","Jun","Jul","Aug","Sep","Oct","Nov","Dec"},0),VALUE(LEFT(raw_data!C583,2)))))),"")</f>
        <v>45879</v>
      </c>
      <c r="D583" s="3" t="str">
        <f aca="false">IF(TRIM(raw_data!B583)="","Missing",IF(B583="","Invalid/Unrecognized","Valid"))</f>
        <v>Valid</v>
      </c>
      <c r="E583" s="3" t="str">
        <f aca="false">IF(TRIM(raw_data!C583)="","Missing",IF(C583="","Invalid/Unrecognized","Valid"))</f>
        <v>Valid</v>
      </c>
      <c r="F583" s="5" t="n">
        <f aca="false">IF(OR(B583="",C583=""),"",C583-B583)</f>
        <v>1</v>
      </c>
      <c r="G583" s="3" t="str">
        <f aca="false">IF(F583="","N/A",IF(F583&lt;0,"Invalid - Ship Before Order","OK"))</f>
        <v>OK</v>
      </c>
      <c r="H583" s="3" t="str">
        <f aca="false">raw_data!D583</f>
        <v>CUST-9931</v>
      </c>
      <c r="I583" s="3" t="str">
        <f aca="false">PROPER(TRIM(raw_data!E583))</f>
        <v>Neha Gupta</v>
      </c>
      <c r="J583" s="3" t="str">
        <f aca="false">PROPER(TRIM(raw_data!F583))</f>
        <v>Consumer</v>
      </c>
      <c r="K583" s="3" t="str">
        <f aca="false">IF(TRIM(raw_data!G583)="","Unknown",PROPER(TRIM(raw_data!G583)))</f>
        <v>North</v>
      </c>
      <c r="L583" s="3" t="str">
        <f aca="false">IF(TRIM(raw_data!G583)="","Filled - Unknown","OK")</f>
        <v>OK</v>
      </c>
      <c r="M583" s="3" t="str">
        <f aca="false">PROPER(TRIM(raw_data!H583))</f>
        <v>Delhi</v>
      </c>
      <c r="N583" s="3" t="str">
        <f aca="false">PROPER(TRIM(raw_data!I583))</f>
        <v>New Delhi</v>
      </c>
      <c r="O583" s="3" t="str">
        <f aca="false">PROPER(TRIM(raw_data!J583))</f>
        <v>Office Supplies</v>
      </c>
      <c r="P583" s="3" t="str">
        <f aca="false">PROPER(TRIM(raw_data!K583))</f>
        <v>Art</v>
      </c>
      <c r="Q583" s="3" t="str">
        <f aca="false">TRIM(raw_data!L583)</f>
        <v>Classic Art 611</v>
      </c>
      <c r="R583" s="3" t="str">
        <f aca="false">IF(TRIM(raw_data!M583)="","Unknown",PROPER(TRIM(raw_data!M583)))</f>
        <v>Second Class</v>
      </c>
      <c r="S583" s="3" t="str">
        <f aca="false">IF(TRIM(raw_data!M583)="","Filled - Unknown","OK")</f>
        <v>OK</v>
      </c>
      <c r="T583" s="6" t="n">
        <f aca="false">raw_data!N583</f>
        <v>4</v>
      </c>
      <c r="U583" s="7" t="n">
        <f aca="false">raw_data!O583</f>
        <v>4080.95</v>
      </c>
      <c r="V583" s="8" t="n">
        <f aca="false">raw_data!P583</f>
        <v>0</v>
      </c>
      <c r="W583" s="8" t="n">
        <f aca="false">IF(raw_data!P583="",0,IF(ISTEXT(raw_data!P583),IF(RIGHT(raw_data!P583,1)="%",VALUE(LEFT(raw_data!P583,LEN(raw_data!P583)-1))/100,VALUE(raw_data!P583)),raw_data!P583))</f>
        <v>0</v>
      </c>
      <c r="X583" s="3" t="str">
        <f aca="false">IF(raw_data!P583="","Missing - Defaulted to 0",IF(W583&lt;0,"Negative - Invalid",IF(W583&gt;0.3,"Above Allowed Range - Invalid","Valid")))</f>
        <v>Valid</v>
      </c>
      <c r="Y583" s="7" t="n">
        <f aca="false">raw_data!Q583</f>
        <v>16323.8</v>
      </c>
      <c r="Z583" s="7" t="n">
        <f aca="false">raw_data!R583</f>
        <v>9965.79</v>
      </c>
      <c r="AA583" s="7" t="n">
        <f aca="false">raw_data!S583</f>
        <v>6358.01</v>
      </c>
      <c r="AB583" s="3" t="str">
        <f aca="false">PROPER(TRIM(raw_data!T583))</f>
        <v>Refunded</v>
      </c>
      <c r="AC583" s="3" t="str">
        <f aca="false">PROPER(TRIM(raw_data!U583))</f>
        <v>Returned</v>
      </c>
      <c r="AD583" s="7" t="n">
        <f aca="false">T583*U583*(1-W583)</f>
        <v>16323.8</v>
      </c>
      <c r="AE583" s="7" t="n">
        <f aca="false">AD583-Z583</f>
        <v>6358.01</v>
      </c>
      <c r="AF583" s="8" t="n">
        <f aca="false">IF(AD583=0,0,AE583/AD583)</f>
        <v>0.38949325524694</v>
      </c>
      <c r="AG583" s="3" t="str">
        <f aca="false">IF(ABS(Y583-AD583)&gt;1,"Mismatch","OK")</f>
        <v>OK</v>
      </c>
      <c r="AH583" s="3" t="str">
        <f aca="false">IF(ABS(AA583-AE583)&gt;1,"Mismatch","OK")</f>
        <v>OK</v>
      </c>
      <c r="AI583" s="6" t="n">
        <f aca="false">IF(B583="","",MONTH(B583))</f>
        <v>8</v>
      </c>
      <c r="AJ583" s="6" t="n">
        <f aca="false">IF(B583="","",YEAR(B583))</f>
        <v>2025</v>
      </c>
      <c r="AK583" s="3" t="str">
        <f aca="false">IF(COUNTIF(raw_data!$A$2:$A$913,A583)&gt;1,"Conflicting Duplicate - Flagged for Review","Unique")</f>
        <v>Unique</v>
      </c>
      <c r="AL583" s="3" t="str">
        <f aca="false">IF(AB583="Refunded","Yes","No")</f>
        <v>Yes</v>
      </c>
      <c r="AM583" s="3" t="str">
        <f aca="false">IF(OR(AC583&lt;&gt;"Completed",AB583="Failed"),"Excluded","Included")</f>
        <v>Excluded</v>
      </c>
      <c r="AN583" s="3" t="str">
        <f aca="false">IF(OR(D583="Invalid/Unrecognized",E583="Invalid/Unrecognized",G583="Invalid - Ship Before Order",X583="Negative - Invalid",X583="Above Allowed Range - Invalid",AG583="Mismatch",AH583="Mismatch",AK583="Conflicting Duplicate - Flagged for Review"),"Invalid",IF(OR(L583="Filled - Unknown",S583="Filled - Unknown",X583="Missing - Defaulted to 0",AL583="Yes",AC583="Cancelled",AC583="Returned"),"Warning","Clean"))</f>
        <v>Warning</v>
      </c>
    </row>
    <row r="584" customFormat="false" ht="15" hidden="false" customHeight="false" outlineLevel="0" collapsed="false">
      <c r="A584" s="3" t="str">
        <f aca="false">raw_data!A584</f>
        <v>ORD-2024-10583</v>
      </c>
      <c r="B584" s="4" t="n">
        <f aca="false">IFERROR(IF(MID(raw_data!B584,3,1)="/",DATE(VALUE(RIGHT(raw_data!B584,4)),VALUE(LEFT(raw_data!B584,2)),VALUE(MID(raw_data!B584,4,2))),IF(MID(raw_data!B584,3,1)="-",DATE(VALUE(RIGHT(raw_data!B584,4)),VALUE(MID(raw_data!B584,4,2)),VALUE(LEFT(raw_data!B584,2))),IF(MID(raw_data!B584,5,1)="-",DATE(VALUE(LEFT(raw_data!B584,4)),VALUE(MID(raw_data!B584,6,2)),VALUE(RIGHT(raw_data!B584,2))),DATE(VALUE(RIGHT(raw_data!B584,4)),MATCH(MID(raw_data!B584,4,3),{"Jan","Feb","Mar","Apr","May","Jun","Jul","Aug","Sep","Oct","Nov","Dec"},0),VALUE(LEFT(raw_data!B584,2)))))),"")</f>
        <v>45580</v>
      </c>
      <c r="C584" s="4" t="n">
        <f aca="false">IFERROR(IF(MID(raw_data!C584,3,1)="/",DATE(VALUE(RIGHT(raw_data!C584,4)),VALUE(LEFT(raw_data!C584,2)),VALUE(MID(raw_data!C584,4,2))),IF(MID(raw_data!C584,3,1)="-",DATE(VALUE(RIGHT(raw_data!C584,4)),VALUE(MID(raw_data!C584,4,2)),VALUE(LEFT(raw_data!C584,2))),IF(MID(raw_data!C584,5,1)="-",DATE(VALUE(LEFT(raw_data!C584,4)),VALUE(MID(raw_data!C584,6,2)),VALUE(RIGHT(raw_data!C584,2))),DATE(VALUE(RIGHT(raw_data!C584,4)),MATCH(MID(raw_data!C584,4,3),{"Jan","Feb","Mar","Apr","May","Jun","Jul","Aug","Sep","Oct","Nov","Dec"},0),VALUE(LEFT(raw_data!C584,2)))))),"")</f>
        <v>45585</v>
      </c>
      <c r="D584" s="3" t="str">
        <f aca="false">IF(TRIM(raw_data!B584)="","Missing",IF(B584="","Invalid/Unrecognized","Valid"))</f>
        <v>Valid</v>
      </c>
      <c r="E584" s="3" t="str">
        <f aca="false">IF(TRIM(raw_data!C584)="","Missing",IF(C584="","Invalid/Unrecognized","Valid"))</f>
        <v>Valid</v>
      </c>
      <c r="F584" s="5" t="n">
        <f aca="false">IF(OR(B584="",C584=""),"",C584-B584)</f>
        <v>5</v>
      </c>
      <c r="G584" s="3" t="str">
        <f aca="false">IF(F584="","N/A",IF(F584&lt;0,"Invalid - Ship Before Order","OK"))</f>
        <v>OK</v>
      </c>
      <c r="H584" s="3" t="str">
        <f aca="false">raw_data!D584</f>
        <v>CUST-2088</v>
      </c>
      <c r="I584" s="3" t="str">
        <f aca="false">PROPER(TRIM(raw_data!E584))</f>
        <v>Ananya Rao</v>
      </c>
      <c r="J584" s="3" t="str">
        <f aca="false">PROPER(TRIM(raw_data!F584))</f>
        <v>Consumer</v>
      </c>
      <c r="K584" s="3" t="str">
        <f aca="false">IF(TRIM(raw_data!G584)="","Unknown",PROPER(TRIM(raw_data!G584)))</f>
        <v>East</v>
      </c>
      <c r="L584" s="3" t="str">
        <f aca="false">IF(TRIM(raw_data!G584)="","Filled - Unknown","OK")</f>
        <v>OK</v>
      </c>
      <c r="M584" s="3" t="str">
        <f aca="false">PROPER(TRIM(raw_data!H584))</f>
        <v>Odisha</v>
      </c>
      <c r="N584" s="3" t="str">
        <f aca="false">PROPER(TRIM(raw_data!I584))</f>
        <v>Bhubaneswar</v>
      </c>
      <c r="O584" s="3" t="str">
        <f aca="false">PROPER(TRIM(raw_data!J584))</f>
        <v>Office Supplies</v>
      </c>
      <c r="P584" s="3" t="str">
        <f aca="false">PROPER(TRIM(raw_data!K584))</f>
        <v>Art</v>
      </c>
      <c r="Q584" s="3" t="str">
        <f aca="false">TRIM(raw_data!L584)</f>
        <v>Basic Art 174</v>
      </c>
      <c r="R584" s="3" t="str">
        <f aca="false">IF(TRIM(raw_data!M584)="","Unknown",PROPER(TRIM(raw_data!M584)))</f>
        <v>First Class</v>
      </c>
      <c r="S584" s="3" t="str">
        <f aca="false">IF(TRIM(raw_data!M584)="","Filled - Unknown","OK")</f>
        <v>OK</v>
      </c>
      <c r="T584" s="6" t="n">
        <f aca="false">raw_data!N584</f>
        <v>5</v>
      </c>
      <c r="U584" s="7" t="n">
        <f aca="false">raw_data!O584</f>
        <v>671.24</v>
      </c>
      <c r="V584" s="8" t="n">
        <f aca="false">raw_data!P584</f>
        <v>0</v>
      </c>
      <c r="W584" s="8" t="n">
        <f aca="false">IF(raw_data!P584="",0,IF(ISTEXT(raw_data!P584),IF(RIGHT(raw_data!P584,1)="%",VALUE(LEFT(raw_data!P584,LEN(raw_data!P584)-1))/100,VALUE(raw_data!P584)),raw_data!P584))</f>
        <v>0</v>
      </c>
      <c r="X584" s="3" t="str">
        <f aca="false">IF(raw_data!P584="","Missing - Defaulted to 0",IF(W584&lt;0,"Negative - Invalid",IF(W584&gt;0.3,"Above Allowed Range - Invalid","Valid")))</f>
        <v>Valid</v>
      </c>
      <c r="Y584" s="7" t="n">
        <f aca="false">raw_data!Q584</f>
        <v>3356.2</v>
      </c>
      <c r="Z584" s="7" t="n">
        <f aca="false">raw_data!R584</f>
        <v>2205.72</v>
      </c>
      <c r="AA584" s="7" t="n">
        <f aca="false">raw_data!S584</f>
        <v>1150.48</v>
      </c>
      <c r="AB584" s="3" t="str">
        <f aca="false">PROPER(TRIM(raw_data!T584))</f>
        <v>Pending</v>
      </c>
      <c r="AC584" s="3" t="str">
        <f aca="false">PROPER(TRIM(raw_data!U584))</f>
        <v>Returned</v>
      </c>
      <c r="AD584" s="7" t="n">
        <f aca="false">T584*U584*(1-W584)</f>
        <v>3356.2</v>
      </c>
      <c r="AE584" s="7" t="n">
        <f aca="false">AD584-Z584</f>
        <v>1150.48</v>
      </c>
      <c r="AF584" s="8" t="n">
        <f aca="false">IF(AD584=0,0,AE584/AD584)</f>
        <v>0.34279244383529</v>
      </c>
      <c r="AG584" s="3" t="str">
        <f aca="false">IF(ABS(Y584-AD584)&gt;1,"Mismatch","OK")</f>
        <v>OK</v>
      </c>
      <c r="AH584" s="3" t="str">
        <f aca="false">IF(ABS(AA584-AE584)&gt;1,"Mismatch","OK")</f>
        <v>OK</v>
      </c>
      <c r="AI584" s="6" t="n">
        <f aca="false">IF(B584="","",MONTH(B584))</f>
        <v>10</v>
      </c>
      <c r="AJ584" s="6" t="n">
        <f aca="false">IF(B584="","",YEAR(B584))</f>
        <v>2024</v>
      </c>
      <c r="AK584" s="3" t="str">
        <f aca="false">IF(COUNTIF(raw_data!$A$2:$A$913,A584)&gt;1,"Conflicting Duplicate - Flagged for Review","Unique")</f>
        <v>Unique</v>
      </c>
      <c r="AL584" s="3" t="str">
        <f aca="false">IF(AB584="Refunded","Yes","No")</f>
        <v>No</v>
      </c>
      <c r="AM584" s="3" t="str">
        <f aca="false">IF(OR(AC584&lt;&gt;"Completed",AB584="Failed"),"Excluded","Included")</f>
        <v>Excluded</v>
      </c>
      <c r="AN584" s="3" t="str">
        <f aca="false">IF(OR(D584="Invalid/Unrecognized",E584="Invalid/Unrecognized",G584="Invalid - Ship Before Order",X584="Negative - Invalid",X584="Above Allowed Range - Invalid",AG584="Mismatch",AH584="Mismatch",AK584="Conflicting Duplicate - Flagged for Review"),"Invalid",IF(OR(L584="Filled - Unknown",S584="Filled - Unknown",X584="Missing - Defaulted to 0",AL584="Yes",AC584="Cancelled",AC584="Returned"),"Warning","Clean"))</f>
        <v>Warning</v>
      </c>
    </row>
    <row r="585" customFormat="false" ht="15" hidden="false" customHeight="false" outlineLevel="0" collapsed="false">
      <c r="A585" s="3" t="str">
        <f aca="false">raw_data!A585</f>
        <v>ORD-2024-10584</v>
      </c>
      <c r="B585" s="4" t="n">
        <f aca="false">IFERROR(IF(MID(raw_data!B585,3,1)="/",DATE(VALUE(RIGHT(raw_data!B585,4)),VALUE(LEFT(raw_data!B585,2)),VALUE(MID(raw_data!B585,4,2))),IF(MID(raw_data!B585,3,1)="-",DATE(VALUE(RIGHT(raw_data!B585,4)),VALUE(MID(raw_data!B585,4,2)),VALUE(LEFT(raw_data!B585,2))),IF(MID(raw_data!B585,5,1)="-",DATE(VALUE(LEFT(raw_data!B585,4)),VALUE(MID(raw_data!B585,6,2)),VALUE(RIGHT(raw_data!B585,2))),DATE(VALUE(RIGHT(raw_data!B585,4)),MATCH(MID(raw_data!B585,4,3),{"Jan","Feb","Mar","Apr","May","Jun","Jul","Aug","Sep","Oct","Nov","Dec"},0),VALUE(LEFT(raw_data!B585,2)))))),"")</f>
        <v>45350</v>
      </c>
      <c r="C585" s="4" t="n">
        <f aca="false">IFERROR(IF(MID(raw_data!C585,3,1)="/",DATE(VALUE(RIGHT(raw_data!C585,4)),VALUE(LEFT(raw_data!C585,2)),VALUE(MID(raw_data!C585,4,2))),IF(MID(raw_data!C585,3,1)="-",DATE(VALUE(RIGHT(raw_data!C585,4)),VALUE(MID(raw_data!C585,4,2)),VALUE(LEFT(raw_data!C585,2))),IF(MID(raw_data!C585,5,1)="-",DATE(VALUE(LEFT(raw_data!C585,4)),VALUE(MID(raw_data!C585,6,2)),VALUE(RIGHT(raw_data!C585,2))),DATE(VALUE(RIGHT(raw_data!C585,4)),MATCH(MID(raw_data!C585,4,3),{"Jan","Feb","Mar","Apr","May","Jun","Jul","Aug","Sep","Oct","Nov","Dec"},0),VALUE(LEFT(raw_data!C585,2)))))),"")</f>
        <v>45350</v>
      </c>
      <c r="D585" s="3" t="str">
        <f aca="false">IF(TRIM(raw_data!B585)="","Missing",IF(B585="","Invalid/Unrecognized","Valid"))</f>
        <v>Valid</v>
      </c>
      <c r="E585" s="3" t="str">
        <f aca="false">IF(TRIM(raw_data!C585)="","Missing",IF(C585="","Invalid/Unrecognized","Valid"))</f>
        <v>Valid</v>
      </c>
      <c r="F585" s="5" t="n">
        <f aca="false">IF(OR(B585="",C585=""),"",C585-B585)</f>
        <v>0</v>
      </c>
      <c r="G585" s="3" t="str">
        <f aca="false">IF(F585="","N/A",IF(F585&lt;0,"Invalid - Ship Before Order","OK"))</f>
        <v>OK</v>
      </c>
      <c r="H585" s="3" t="str">
        <f aca="false">raw_data!D585</f>
        <v>CUST-1686</v>
      </c>
      <c r="I585" s="3" t="str">
        <f aca="false">PROPER(TRIM(raw_data!E585))</f>
        <v>Rohan Mehta</v>
      </c>
      <c r="J585" s="3" t="str">
        <f aca="false">PROPER(TRIM(raw_data!F585))</f>
        <v>Small Business</v>
      </c>
      <c r="K585" s="3" t="str">
        <f aca="false">IF(TRIM(raw_data!G585)="","Unknown",PROPER(TRIM(raw_data!G585)))</f>
        <v>East</v>
      </c>
      <c r="L585" s="3" t="str">
        <f aca="false">IF(TRIM(raw_data!G585)="","Filled - Unknown","OK")</f>
        <v>OK</v>
      </c>
      <c r="M585" s="3" t="str">
        <f aca="false">PROPER(TRIM(raw_data!H585))</f>
        <v>West Bengal</v>
      </c>
      <c r="N585" s="3" t="str">
        <f aca="false">PROPER(TRIM(raw_data!I585))</f>
        <v>Kolkata</v>
      </c>
      <c r="O585" s="3" t="str">
        <f aca="false">PROPER(TRIM(raw_data!J585))</f>
        <v>Office Supplies</v>
      </c>
      <c r="P585" s="3" t="str">
        <f aca="false">PROPER(TRIM(raw_data!K585))</f>
        <v>Storage</v>
      </c>
      <c r="Q585" s="3" t="str">
        <f aca="false">TRIM(raw_data!L585)</f>
        <v>Classic Storage 451</v>
      </c>
      <c r="R585" s="3" t="str">
        <f aca="false">IF(TRIM(raw_data!M585)="","Unknown",PROPER(TRIM(raw_data!M585)))</f>
        <v>First Class</v>
      </c>
      <c r="S585" s="3" t="str">
        <f aca="false">IF(TRIM(raw_data!M585)="","Filled - Unknown","OK")</f>
        <v>OK</v>
      </c>
      <c r="T585" s="6" t="n">
        <f aca="false">raw_data!N585</f>
        <v>1</v>
      </c>
      <c r="U585" s="7" t="n">
        <f aca="false">raw_data!O585</f>
        <v>2626.84</v>
      </c>
      <c r="V585" s="8" t="n">
        <f aca="false">raw_data!P585</f>
        <v>0.2</v>
      </c>
      <c r="W585" s="8" t="n">
        <f aca="false">IF(raw_data!P585="",0,IF(ISTEXT(raw_data!P585),IF(RIGHT(raw_data!P585,1)="%",VALUE(LEFT(raw_data!P585,LEN(raw_data!P585)-1))/100,VALUE(raw_data!P585)),raw_data!P585))</f>
        <v>0.2</v>
      </c>
      <c r="X585" s="3" t="str">
        <f aca="false">IF(raw_data!P585="","Missing - Defaulted to 0",IF(W585&lt;0,"Negative - Invalid",IF(W585&gt;0.3,"Above Allowed Range - Invalid","Valid")))</f>
        <v>Valid</v>
      </c>
      <c r="Y585" s="7" t="n">
        <f aca="false">raw_data!Q585</f>
        <v>2101.47</v>
      </c>
      <c r="Z585" s="7" t="n">
        <f aca="false">raw_data!R585</f>
        <v>1217.83</v>
      </c>
      <c r="AA585" s="7" t="n">
        <f aca="false">raw_data!S585</f>
        <v>883.64</v>
      </c>
      <c r="AB585" s="3" t="str">
        <f aca="false">PROPER(TRIM(raw_data!T585))</f>
        <v>Failed</v>
      </c>
      <c r="AC585" s="3" t="str">
        <f aca="false">PROPER(TRIM(raw_data!U585))</f>
        <v>Returned</v>
      </c>
      <c r="AD585" s="7" t="n">
        <f aca="false">T585*U585*(1-W585)</f>
        <v>2101.472</v>
      </c>
      <c r="AE585" s="7" t="n">
        <f aca="false">AD585-Z585</f>
        <v>883.642</v>
      </c>
      <c r="AF585" s="8" t="n">
        <f aca="false">IF(AD585=0,0,AE585/AD585)</f>
        <v>0.420487163283641</v>
      </c>
      <c r="AG585" s="3" t="str">
        <f aca="false">IF(ABS(Y585-AD585)&gt;1,"Mismatch","OK")</f>
        <v>OK</v>
      </c>
      <c r="AH585" s="3" t="str">
        <f aca="false">IF(ABS(AA585-AE585)&gt;1,"Mismatch","OK")</f>
        <v>OK</v>
      </c>
      <c r="AI585" s="6" t="n">
        <f aca="false">IF(B585="","",MONTH(B585))</f>
        <v>2</v>
      </c>
      <c r="AJ585" s="6" t="n">
        <f aca="false">IF(B585="","",YEAR(B585))</f>
        <v>2024</v>
      </c>
      <c r="AK585" s="3" t="str">
        <f aca="false">IF(COUNTIF(raw_data!$A$2:$A$913,A585)&gt;1,"Conflicting Duplicate - Flagged for Review","Unique")</f>
        <v>Unique</v>
      </c>
      <c r="AL585" s="3" t="str">
        <f aca="false">IF(AB585="Refunded","Yes","No")</f>
        <v>No</v>
      </c>
      <c r="AM585" s="3" t="str">
        <f aca="false">IF(OR(AC585&lt;&gt;"Completed",AB585="Failed"),"Excluded","Included")</f>
        <v>Excluded</v>
      </c>
      <c r="AN585" s="3" t="str">
        <f aca="false">IF(OR(D585="Invalid/Unrecognized",E585="Invalid/Unrecognized",G585="Invalid - Ship Before Order",X585="Negative - Invalid",X585="Above Allowed Range - Invalid",AG585="Mismatch",AH585="Mismatch",AK585="Conflicting Duplicate - Flagged for Review"),"Invalid",IF(OR(L585="Filled - Unknown",S585="Filled - Unknown",X585="Missing - Defaulted to 0",AL585="Yes",AC585="Cancelled",AC585="Returned"),"Warning","Clean"))</f>
        <v>Warning</v>
      </c>
    </row>
    <row r="586" customFormat="false" ht="15" hidden="false" customHeight="false" outlineLevel="0" collapsed="false">
      <c r="A586" s="3" t="str">
        <f aca="false">raw_data!A586</f>
        <v>ORD-2024-10585</v>
      </c>
      <c r="B586" s="4" t="n">
        <f aca="false">IFERROR(IF(MID(raw_data!B586,3,1)="/",DATE(VALUE(RIGHT(raw_data!B586,4)),VALUE(LEFT(raw_data!B586,2)),VALUE(MID(raw_data!B586,4,2))),IF(MID(raw_data!B586,3,1)="-",DATE(VALUE(RIGHT(raw_data!B586,4)),VALUE(MID(raw_data!B586,4,2)),VALUE(LEFT(raw_data!B586,2))),IF(MID(raw_data!B586,5,1)="-",DATE(VALUE(LEFT(raw_data!B586,4)),VALUE(MID(raw_data!B586,6,2)),VALUE(RIGHT(raw_data!B586,2))),DATE(VALUE(RIGHT(raw_data!B586,4)),MATCH(MID(raw_data!B586,4,3),{"Jan","Feb","Mar","Apr","May","Jun","Jul","Aug","Sep","Oct","Nov","Dec"},0),VALUE(LEFT(raw_data!B586,2)))))),"")</f>
        <v>45508</v>
      </c>
      <c r="C586" s="4" t="n">
        <f aca="false">IFERROR(IF(MID(raw_data!C586,3,1)="/",DATE(VALUE(RIGHT(raw_data!C586,4)),VALUE(LEFT(raw_data!C586,2)),VALUE(MID(raw_data!C586,4,2))),IF(MID(raw_data!C586,3,1)="-",DATE(VALUE(RIGHT(raw_data!C586,4)),VALUE(MID(raw_data!C586,4,2)),VALUE(LEFT(raw_data!C586,2))),IF(MID(raw_data!C586,5,1)="-",DATE(VALUE(LEFT(raw_data!C586,4)),VALUE(MID(raw_data!C586,6,2)),VALUE(RIGHT(raw_data!C586,2))),DATE(VALUE(RIGHT(raw_data!C586,4)),MATCH(MID(raw_data!C586,4,3),{"Jan","Feb","Mar","Apr","May","Jun","Jul","Aug","Sep","Oct","Nov","Dec"},0),VALUE(LEFT(raw_data!C586,2)))))),"")</f>
        <v>45514</v>
      </c>
      <c r="D586" s="3" t="str">
        <f aca="false">IF(TRIM(raw_data!B586)="","Missing",IF(B586="","Invalid/Unrecognized","Valid"))</f>
        <v>Valid</v>
      </c>
      <c r="E586" s="3" t="str">
        <f aca="false">IF(TRIM(raw_data!C586)="","Missing",IF(C586="","Invalid/Unrecognized","Valid"))</f>
        <v>Valid</v>
      </c>
      <c r="F586" s="5" t="n">
        <f aca="false">IF(OR(B586="",C586=""),"",C586-B586)</f>
        <v>6</v>
      </c>
      <c r="G586" s="3" t="str">
        <f aca="false">IF(F586="","N/A",IF(F586&lt;0,"Invalid - Ship Before Order","OK"))</f>
        <v>OK</v>
      </c>
      <c r="H586" s="3" t="str">
        <f aca="false">raw_data!D586</f>
        <v>CUST-4894</v>
      </c>
      <c r="I586" s="3" t="str">
        <f aca="false">PROPER(TRIM(raw_data!E586))</f>
        <v>Vikram Iyer</v>
      </c>
      <c r="J586" s="3" t="str">
        <f aca="false">PROPER(TRIM(raw_data!F586))</f>
        <v>Consumer</v>
      </c>
      <c r="K586" s="3" t="str">
        <f aca="false">IF(TRIM(raw_data!G586)="","Unknown",PROPER(TRIM(raw_data!G586)))</f>
        <v>East</v>
      </c>
      <c r="L586" s="3" t="str">
        <f aca="false">IF(TRIM(raw_data!G586)="","Filled - Unknown","OK")</f>
        <v>OK</v>
      </c>
      <c r="M586" s="3" t="str">
        <f aca="false">PROPER(TRIM(raw_data!H586))</f>
        <v>Bihar</v>
      </c>
      <c r="N586" s="3" t="str">
        <f aca="false">PROPER(TRIM(raw_data!I586))</f>
        <v>Patna</v>
      </c>
      <c r="O586" s="3" t="str">
        <f aca="false">PROPER(TRIM(raw_data!J586))</f>
        <v>Office Supplies</v>
      </c>
      <c r="P586" s="3" t="str">
        <f aca="false">PROPER(TRIM(raw_data!K586))</f>
        <v>Art</v>
      </c>
      <c r="Q586" s="3" t="str">
        <f aca="false">TRIM(raw_data!L586)</f>
        <v>Pro Art 172</v>
      </c>
      <c r="R586" s="3" t="str">
        <f aca="false">IF(TRIM(raw_data!M586)="","Unknown",PROPER(TRIM(raw_data!M586)))</f>
        <v>Same Day</v>
      </c>
      <c r="S586" s="3" t="str">
        <f aca="false">IF(TRIM(raw_data!M586)="","Filled - Unknown","OK")</f>
        <v>OK</v>
      </c>
      <c r="T586" s="6" t="n">
        <f aca="false">raw_data!N586</f>
        <v>1</v>
      </c>
      <c r="U586" s="7" t="n">
        <f aca="false">raw_data!O586</f>
        <v>984.93</v>
      </c>
      <c r="V586" s="8" t="n">
        <f aca="false">raw_data!P586</f>
        <v>0.15</v>
      </c>
      <c r="W586" s="8" t="n">
        <f aca="false">IF(raw_data!P586="",0,IF(ISTEXT(raw_data!P586),IF(RIGHT(raw_data!P586,1)="%",VALUE(LEFT(raw_data!P586,LEN(raw_data!P586)-1))/100,VALUE(raw_data!P586)),raw_data!P586))</f>
        <v>0.15</v>
      </c>
      <c r="X586" s="3" t="str">
        <f aca="false">IF(raw_data!P586="","Missing - Defaulted to 0",IF(W586&lt;0,"Negative - Invalid",IF(W586&gt;0.3,"Above Allowed Range - Invalid","Valid")))</f>
        <v>Valid</v>
      </c>
      <c r="Y586" s="7" t="n">
        <f aca="false">raw_data!Q586</f>
        <v>837.19</v>
      </c>
      <c r="Z586" s="7" t="n">
        <f aca="false">raw_data!R586</f>
        <v>583.79</v>
      </c>
      <c r="AA586" s="7" t="n">
        <f aca="false">raw_data!S586</f>
        <v>253.4</v>
      </c>
      <c r="AB586" s="3" t="str">
        <f aca="false">PROPER(TRIM(raw_data!T586))</f>
        <v>Pending</v>
      </c>
      <c r="AC586" s="3" t="str">
        <f aca="false">PROPER(TRIM(raw_data!U586))</f>
        <v>Returned</v>
      </c>
      <c r="AD586" s="7" t="n">
        <f aca="false">T586*U586*(1-W586)</f>
        <v>837.1905</v>
      </c>
      <c r="AE586" s="7" t="n">
        <f aca="false">AD586-Z586</f>
        <v>253.4005</v>
      </c>
      <c r="AF586" s="8" t="n">
        <f aca="false">IF(AD586=0,0,AE586/AD586)</f>
        <v>0.302679617124179</v>
      </c>
      <c r="AG586" s="3" t="str">
        <f aca="false">IF(ABS(Y586-AD586)&gt;1,"Mismatch","OK")</f>
        <v>OK</v>
      </c>
      <c r="AH586" s="3" t="str">
        <f aca="false">IF(ABS(AA586-AE586)&gt;1,"Mismatch","OK")</f>
        <v>OK</v>
      </c>
      <c r="AI586" s="6" t="n">
        <f aca="false">IF(B586="","",MONTH(B586))</f>
        <v>8</v>
      </c>
      <c r="AJ586" s="6" t="n">
        <f aca="false">IF(B586="","",YEAR(B586))</f>
        <v>2024</v>
      </c>
      <c r="AK586" s="3" t="str">
        <f aca="false">IF(COUNTIF(raw_data!$A$2:$A$913,A586)&gt;1,"Conflicting Duplicate - Flagged for Review","Unique")</f>
        <v>Unique</v>
      </c>
      <c r="AL586" s="3" t="str">
        <f aca="false">IF(AB586="Refunded","Yes","No")</f>
        <v>No</v>
      </c>
      <c r="AM586" s="3" t="str">
        <f aca="false">IF(OR(AC586&lt;&gt;"Completed",AB586="Failed"),"Excluded","Included")</f>
        <v>Excluded</v>
      </c>
      <c r="AN586" s="3" t="str">
        <f aca="false">IF(OR(D586="Invalid/Unrecognized",E586="Invalid/Unrecognized",G586="Invalid - Ship Before Order",X586="Negative - Invalid",X586="Above Allowed Range - Invalid",AG586="Mismatch",AH586="Mismatch",AK586="Conflicting Duplicate - Flagged for Review"),"Invalid",IF(OR(L586="Filled - Unknown",S586="Filled - Unknown",X586="Missing - Defaulted to 0",AL586="Yes",AC586="Cancelled",AC586="Returned"),"Warning","Clean"))</f>
        <v>Warning</v>
      </c>
    </row>
    <row r="587" customFormat="false" ht="15" hidden="false" customHeight="false" outlineLevel="0" collapsed="false">
      <c r="A587" s="3" t="str">
        <f aca="false">raw_data!A587</f>
        <v>ORD-2025-10586</v>
      </c>
      <c r="B587" s="4" t="n">
        <f aca="false">IFERROR(IF(MID(raw_data!B587,3,1)="/",DATE(VALUE(RIGHT(raw_data!B587,4)),VALUE(LEFT(raw_data!B587,2)),VALUE(MID(raw_data!B587,4,2))),IF(MID(raw_data!B587,3,1)="-",DATE(VALUE(RIGHT(raw_data!B587,4)),VALUE(MID(raw_data!B587,4,2)),VALUE(LEFT(raw_data!B587,2))),IF(MID(raw_data!B587,5,1)="-",DATE(VALUE(LEFT(raw_data!B587,4)),VALUE(MID(raw_data!B587,6,2)),VALUE(RIGHT(raw_data!B587,2))),DATE(VALUE(RIGHT(raw_data!B587,4)),MATCH(MID(raw_data!B587,4,3),{"Jan","Feb","Mar","Apr","May","Jun","Jul","Aug","Sep","Oct","Nov","Dec"},0),VALUE(LEFT(raw_data!B587,2)))))),"")</f>
        <v>45830</v>
      </c>
      <c r="C587" s="4" t="n">
        <f aca="false">IFERROR(IF(MID(raw_data!C587,3,1)="/",DATE(VALUE(RIGHT(raw_data!C587,4)),VALUE(LEFT(raw_data!C587,2)),VALUE(MID(raw_data!C587,4,2))),IF(MID(raw_data!C587,3,1)="-",DATE(VALUE(RIGHT(raw_data!C587,4)),VALUE(MID(raw_data!C587,4,2)),VALUE(LEFT(raw_data!C587,2))),IF(MID(raw_data!C587,5,1)="-",DATE(VALUE(LEFT(raw_data!C587,4)),VALUE(MID(raw_data!C587,6,2)),VALUE(RIGHT(raw_data!C587,2))),DATE(VALUE(RIGHT(raw_data!C587,4)),MATCH(MID(raw_data!C587,4,3),{"Jan","Feb","Mar","Apr","May","Jun","Jul","Aug","Sep","Oct","Nov","Dec"},0),VALUE(LEFT(raw_data!C587,2)))))),"")</f>
        <v>45833</v>
      </c>
      <c r="D587" s="3" t="str">
        <f aca="false">IF(TRIM(raw_data!B587)="","Missing",IF(B587="","Invalid/Unrecognized","Valid"))</f>
        <v>Valid</v>
      </c>
      <c r="E587" s="3" t="str">
        <f aca="false">IF(TRIM(raw_data!C587)="","Missing",IF(C587="","Invalid/Unrecognized","Valid"))</f>
        <v>Valid</v>
      </c>
      <c r="F587" s="5" t="n">
        <f aca="false">IF(OR(B587="",C587=""),"",C587-B587)</f>
        <v>3</v>
      </c>
      <c r="G587" s="3" t="str">
        <f aca="false">IF(F587="","N/A",IF(F587&lt;0,"Invalid - Ship Before Order","OK"))</f>
        <v>OK</v>
      </c>
      <c r="H587" s="3" t="str">
        <f aca="false">raw_data!D587</f>
        <v>CUST-5201</v>
      </c>
      <c r="I587" s="3" t="str">
        <f aca="false">PROPER(TRIM(raw_data!E587))</f>
        <v>Diya Patel</v>
      </c>
      <c r="J587" s="3" t="str">
        <f aca="false">PROPER(TRIM(raw_data!F587))</f>
        <v>Small Business</v>
      </c>
      <c r="K587" s="3" t="str">
        <f aca="false">IF(TRIM(raw_data!G587)="","Unknown",PROPER(TRIM(raw_data!G587)))</f>
        <v>West</v>
      </c>
      <c r="L587" s="3" t="str">
        <f aca="false">IF(TRIM(raw_data!G587)="","Filled - Unknown","OK")</f>
        <v>OK</v>
      </c>
      <c r="M587" s="3" t="str">
        <f aca="false">PROPER(TRIM(raw_data!H587))</f>
        <v>Maharashtra</v>
      </c>
      <c r="N587" s="3" t="str">
        <f aca="false">PROPER(TRIM(raw_data!I587))</f>
        <v>Mumbai</v>
      </c>
      <c r="O587" s="3" t="str">
        <f aca="false">PROPER(TRIM(raw_data!J587))</f>
        <v>Technology</v>
      </c>
      <c r="P587" s="3" t="str">
        <f aca="false">PROPER(TRIM(raw_data!K587))</f>
        <v>Phones</v>
      </c>
      <c r="Q587" s="3" t="str">
        <f aca="false">TRIM(raw_data!L587)</f>
        <v>Prime Phones 744</v>
      </c>
      <c r="R587" s="3" t="str">
        <f aca="false">IF(TRIM(raw_data!M587)="","Unknown",PROPER(TRIM(raw_data!M587)))</f>
        <v>First Class</v>
      </c>
      <c r="S587" s="3" t="str">
        <f aca="false">IF(TRIM(raw_data!M587)="","Filled - Unknown","OK")</f>
        <v>OK</v>
      </c>
      <c r="T587" s="6" t="n">
        <f aca="false">raw_data!N587</f>
        <v>8</v>
      </c>
      <c r="U587" s="7" t="n">
        <f aca="false">raw_data!O587</f>
        <v>3453.66</v>
      </c>
      <c r="V587" s="8" t="n">
        <f aca="false">raw_data!P587</f>
        <v>0</v>
      </c>
      <c r="W587" s="8" t="n">
        <f aca="false">IF(raw_data!P587="",0,IF(ISTEXT(raw_data!P587),IF(RIGHT(raw_data!P587,1)="%",VALUE(LEFT(raw_data!P587,LEN(raw_data!P587)-1))/100,VALUE(raw_data!P587)),raw_data!P587))</f>
        <v>0</v>
      </c>
      <c r="X587" s="3" t="str">
        <f aca="false">IF(raw_data!P587="","Missing - Defaulted to 0",IF(W587&lt;0,"Negative - Invalid",IF(W587&gt;0.3,"Above Allowed Range - Invalid","Valid")))</f>
        <v>Valid</v>
      </c>
      <c r="Y587" s="7" t="n">
        <f aca="false">raw_data!Q587</f>
        <v>27629.28</v>
      </c>
      <c r="Z587" s="7" t="n">
        <f aca="false">raw_data!R587</f>
        <v>22026.48</v>
      </c>
      <c r="AA587" s="7" t="n">
        <f aca="false">raw_data!S587</f>
        <v>5602.8</v>
      </c>
      <c r="AB587" s="3" t="str">
        <f aca="false">PROPER(TRIM(raw_data!T587))</f>
        <v>Paid</v>
      </c>
      <c r="AC587" s="3" t="str">
        <f aca="false">PROPER(TRIM(raw_data!U587))</f>
        <v>Completed</v>
      </c>
      <c r="AD587" s="7" t="n">
        <f aca="false">T587*U587*(1-W587)</f>
        <v>27629.28</v>
      </c>
      <c r="AE587" s="7" t="n">
        <f aca="false">AD587-Z587</f>
        <v>5602.8</v>
      </c>
      <c r="AF587" s="8" t="n">
        <f aca="false">IF(AD587=0,0,AE587/AD587)</f>
        <v>0.202784871701326</v>
      </c>
      <c r="AG587" s="3" t="str">
        <f aca="false">IF(ABS(Y587-AD587)&gt;1,"Mismatch","OK")</f>
        <v>OK</v>
      </c>
      <c r="AH587" s="3" t="str">
        <f aca="false">IF(ABS(AA587-AE587)&gt;1,"Mismatch","OK")</f>
        <v>OK</v>
      </c>
      <c r="AI587" s="6" t="n">
        <f aca="false">IF(B587="","",MONTH(B587))</f>
        <v>6</v>
      </c>
      <c r="AJ587" s="6" t="n">
        <f aca="false">IF(B587="","",YEAR(B587))</f>
        <v>2025</v>
      </c>
      <c r="AK587" s="3" t="str">
        <f aca="false">IF(COUNTIF(raw_data!$A$2:$A$913,A587)&gt;1,"Conflicting Duplicate - Flagged for Review","Unique")</f>
        <v>Unique</v>
      </c>
      <c r="AL587" s="3" t="str">
        <f aca="false">IF(AB587="Refunded","Yes","No")</f>
        <v>No</v>
      </c>
      <c r="AM587" s="3" t="str">
        <f aca="false">IF(OR(AC587&lt;&gt;"Completed",AB587="Failed"),"Excluded","Included")</f>
        <v>Included</v>
      </c>
      <c r="AN587" s="3" t="str">
        <f aca="false">IF(OR(D587="Invalid/Unrecognized",E587="Invalid/Unrecognized",G587="Invalid - Ship Before Order",X587="Negative - Invalid",X587="Above Allowed Range - Invalid",AG587="Mismatch",AH587="Mismatch",AK587="Conflicting Duplicate - Flagged for Review"),"Invalid",IF(OR(L587="Filled - Unknown",S587="Filled - Unknown",X587="Missing - Defaulted to 0",AL587="Yes",AC587="Cancelled",AC587="Returned"),"Warning","Clean"))</f>
        <v>Clean</v>
      </c>
    </row>
    <row r="588" customFormat="false" ht="15" hidden="false" customHeight="false" outlineLevel="0" collapsed="false">
      <c r="A588" s="3" t="str">
        <f aca="false">raw_data!A588</f>
        <v>ORD-2025-10587</v>
      </c>
      <c r="B588" s="4" t="n">
        <f aca="false">IFERROR(IF(MID(raw_data!B588,3,1)="/",DATE(VALUE(RIGHT(raw_data!B588,4)),VALUE(LEFT(raw_data!B588,2)),VALUE(MID(raw_data!B588,4,2))),IF(MID(raw_data!B588,3,1)="-",DATE(VALUE(RIGHT(raw_data!B588,4)),VALUE(MID(raw_data!B588,4,2)),VALUE(LEFT(raw_data!B588,2))),IF(MID(raw_data!B588,5,1)="-",DATE(VALUE(LEFT(raw_data!B588,4)),VALUE(MID(raw_data!B588,6,2)),VALUE(RIGHT(raw_data!B588,2))),DATE(VALUE(RIGHT(raw_data!B588,4)),MATCH(MID(raw_data!B588,4,3),{"Jan","Feb","Mar","Apr","May","Jun","Jul","Aug","Sep","Oct","Nov","Dec"},0),VALUE(LEFT(raw_data!B588,2)))))),"")</f>
        <v>45759</v>
      </c>
      <c r="C588" s="4" t="n">
        <f aca="false">IFERROR(IF(MID(raw_data!C588,3,1)="/",DATE(VALUE(RIGHT(raw_data!C588,4)),VALUE(LEFT(raw_data!C588,2)),VALUE(MID(raw_data!C588,4,2))),IF(MID(raw_data!C588,3,1)="-",DATE(VALUE(RIGHT(raw_data!C588,4)),VALUE(MID(raw_data!C588,4,2)),VALUE(LEFT(raw_data!C588,2))),IF(MID(raw_data!C588,5,1)="-",DATE(VALUE(LEFT(raw_data!C588,4)),VALUE(MID(raw_data!C588,6,2)),VALUE(RIGHT(raw_data!C588,2))),DATE(VALUE(RIGHT(raw_data!C588,4)),MATCH(MID(raw_data!C588,4,3),{"Jan","Feb","Mar","Apr","May","Jun","Jul","Aug","Sep","Oct","Nov","Dec"},0),VALUE(LEFT(raw_data!C588,2)))))),"")</f>
        <v>45759</v>
      </c>
      <c r="D588" s="3" t="str">
        <f aca="false">IF(TRIM(raw_data!B588)="","Missing",IF(B588="","Invalid/Unrecognized","Valid"))</f>
        <v>Valid</v>
      </c>
      <c r="E588" s="3" t="str">
        <f aca="false">IF(TRIM(raw_data!C588)="","Missing",IF(C588="","Invalid/Unrecognized","Valid"))</f>
        <v>Valid</v>
      </c>
      <c r="F588" s="5" t="n">
        <f aca="false">IF(OR(B588="",C588=""),"",C588-B588)</f>
        <v>0</v>
      </c>
      <c r="G588" s="3" t="str">
        <f aca="false">IF(F588="","N/A",IF(F588&lt;0,"Invalid - Ship Before Order","OK"))</f>
        <v>OK</v>
      </c>
      <c r="H588" s="3" t="str">
        <f aca="false">raw_data!D588</f>
        <v>CUST-8626</v>
      </c>
      <c r="I588" s="3" t="str">
        <f aca="false">PROPER(TRIM(raw_data!E588))</f>
        <v>Mira Das</v>
      </c>
      <c r="J588" s="3" t="str">
        <f aca="false">PROPER(TRIM(raw_data!F588))</f>
        <v>Home Office</v>
      </c>
      <c r="K588" s="3" t="str">
        <f aca="false">IF(TRIM(raw_data!G588)="","Unknown",PROPER(TRIM(raw_data!G588)))</f>
        <v>North</v>
      </c>
      <c r="L588" s="3" t="str">
        <f aca="false">IF(TRIM(raw_data!G588)="","Filled - Unknown","OK")</f>
        <v>OK</v>
      </c>
      <c r="M588" s="3" t="str">
        <f aca="false">PROPER(TRIM(raw_data!H588))</f>
        <v>Punjab</v>
      </c>
      <c r="N588" s="3" t="str">
        <f aca="false">PROPER(TRIM(raw_data!I588))</f>
        <v>Ludhiana</v>
      </c>
      <c r="O588" s="3" t="str">
        <f aca="false">PROPER(TRIM(raw_data!J588))</f>
        <v>Office Supplies</v>
      </c>
      <c r="P588" s="3" t="str">
        <f aca="false">PROPER(TRIM(raw_data!K588))</f>
        <v>Binders</v>
      </c>
      <c r="Q588" s="3" t="str">
        <f aca="false">TRIM(raw_data!L588)</f>
        <v>Prime Binders 249</v>
      </c>
      <c r="R588" s="3" t="str">
        <f aca="false">IF(TRIM(raw_data!M588)="","Unknown",PROPER(TRIM(raw_data!M588)))</f>
        <v>Second Class</v>
      </c>
      <c r="S588" s="3" t="str">
        <f aca="false">IF(TRIM(raw_data!M588)="","Filled - Unknown","OK")</f>
        <v>OK</v>
      </c>
      <c r="T588" s="6" t="n">
        <f aca="false">raw_data!N588</f>
        <v>7</v>
      </c>
      <c r="U588" s="7" t="n">
        <f aca="false">raw_data!O588</f>
        <v>1334.2</v>
      </c>
      <c r="V588" s="8" t="n">
        <f aca="false">raw_data!P588</f>
        <v>0.2</v>
      </c>
      <c r="W588" s="8" t="n">
        <f aca="false">IF(raw_data!P588="",0,IF(ISTEXT(raw_data!P588),IF(RIGHT(raw_data!P588,1)="%",VALUE(LEFT(raw_data!P588,LEN(raw_data!P588)-1))/100,VALUE(raw_data!P588)),raw_data!P588))</f>
        <v>0.2</v>
      </c>
      <c r="X588" s="3" t="str">
        <f aca="false">IF(raw_data!P588="","Missing - Defaulted to 0",IF(W588&lt;0,"Negative - Invalid",IF(W588&gt;0.3,"Above Allowed Range - Invalid","Valid")))</f>
        <v>Valid</v>
      </c>
      <c r="Y588" s="7" t="n">
        <f aca="false">raw_data!Q588</f>
        <v>7471.52</v>
      </c>
      <c r="Z588" s="7" t="n">
        <f aca="false">raw_data!R588</f>
        <v>6184.32</v>
      </c>
      <c r="AA588" s="7" t="n">
        <f aca="false">raw_data!S588</f>
        <v>1287.2</v>
      </c>
      <c r="AB588" s="3" t="str">
        <f aca="false">PROPER(TRIM(raw_data!T588))</f>
        <v>Paid</v>
      </c>
      <c r="AC588" s="3" t="str">
        <f aca="false">PROPER(TRIM(raw_data!U588))</f>
        <v>Completed</v>
      </c>
      <c r="AD588" s="7" t="n">
        <f aca="false">T588*U588*(1-W588)</f>
        <v>7471.52</v>
      </c>
      <c r="AE588" s="7" t="n">
        <f aca="false">AD588-Z588</f>
        <v>1287.2</v>
      </c>
      <c r="AF588" s="8" t="n">
        <f aca="false">IF(AD588=0,0,AE588/AD588)</f>
        <v>0.172280874574384</v>
      </c>
      <c r="AG588" s="3" t="str">
        <f aca="false">IF(ABS(Y588-AD588)&gt;1,"Mismatch","OK")</f>
        <v>OK</v>
      </c>
      <c r="AH588" s="3" t="str">
        <f aca="false">IF(ABS(AA588-AE588)&gt;1,"Mismatch","OK")</f>
        <v>OK</v>
      </c>
      <c r="AI588" s="6" t="n">
        <f aca="false">IF(B588="","",MONTH(B588))</f>
        <v>4</v>
      </c>
      <c r="AJ588" s="6" t="n">
        <f aca="false">IF(B588="","",YEAR(B588))</f>
        <v>2025</v>
      </c>
      <c r="AK588" s="3" t="str">
        <f aca="false">IF(COUNTIF(raw_data!$A$2:$A$913,A588)&gt;1,"Conflicting Duplicate - Flagged for Review","Unique")</f>
        <v>Unique</v>
      </c>
      <c r="AL588" s="3" t="str">
        <f aca="false">IF(AB588="Refunded","Yes","No")</f>
        <v>No</v>
      </c>
      <c r="AM588" s="3" t="str">
        <f aca="false">IF(OR(AC588&lt;&gt;"Completed",AB588="Failed"),"Excluded","Included")</f>
        <v>Included</v>
      </c>
      <c r="AN588" s="3" t="str">
        <f aca="false">IF(OR(D588="Invalid/Unrecognized",E588="Invalid/Unrecognized",G588="Invalid - Ship Before Order",X588="Negative - Invalid",X588="Above Allowed Range - Invalid",AG588="Mismatch",AH588="Mismatch",AK588="Conflicting Duplicate - Flagged for Review"),"Invalid",IF(OR(L588="Filled - Unknown",S588="Filled - Unknown",X588="Missing - Defaulted to 0",AL588="Yes",AC588="Cancelled",AC588="Returned"),"Warning","Clean"))</f>
        <v>Clean</v>
      </c>
    </row>
    <row r="589" customFormat="false" ht="15" hidden="false" customHeight="false" outlineLevel="0" collapsed="false">
      <c r="A589" s="3" t="str">
        <f aca="false">raw_data!A589</f>
        <v>ORD-2025-10588</v>
      </c>
      <c r="B589" s="4" t="n">
        <f aca="false">IFERROR(IF(MID(raw_data!B589,3,1)="/",DATE(VALUE(RIGHT(raw_data!B589,4)),VALUE(LEFT(raw_data!B589,2)),VALUE(MID(raw_data!B589,4,2))),IF(MID(raw_data!B589,3,1)="-",DATE(VALUE(RIGHT(raw_data!B589,4)),VALUE(MID(raw_data!B589,4,2)),VALUE(LEFT(raw_data!B589,2))),IF(MID(raw_data!B589,5,1)="-",DATE(VALUE(LEFT(raw_data!B589,4)),VALUE(MID(raw_data!B589,6,2)),VALUE(RIGHT(raw_data!B589,2))),DATE(VALUE(RIGHT(raw_data!B589,4)),MATCH(MID(raw_data!B589,4,3),{"Jan","Feb","Mar","Apr","May","Jun","Jul","Aug","Sep","Oct","Nov","Dec"},0),VALUE(LEFT(raw_data!B589,2)))))),"")</f>
        <v>45861</v>
      </c>
      <c r="C589" s="4" t="n">
        <f aca="false">IFERROR(IF(MID(raw_data!C589,3,1)="/",DATE(VALUE(RIGHT(raw_data!C589,4)),VALUE(LEFT(raw_data!C589,2)),VALUE(MID(raw_data!C589,4,2))),IF(MID(raw_data!C589,3,1)="-",DATE(VALUE(RIGHT(raw_data!C589,4)),VALUE(MID(raw_data!C589,4,2)),VALUE(LEFT(raw_data!C589,2))),IF(MID(raw_data!C589,5,1)="-",DATE(VALUE(LEFT(raw_data!C589,4)),VALUE(MID(raw_data!C589,6,2)),VALUE(RIGHT(raw_data!C589,2))),DATE(VALUE(RIGHT(raw_data!C589,4)),MATCH(MID(raw_data!C589,4,3),{"Jan","Feb","Mar","Apr","May","Jun","Jul","Aug","Sep","Oct","Nov","Dec"},0),VALUE(LEFT(raw_data!C589,2)))))),"")</f>
        <v>45869</v>
      </c>
      <c r="D589" s="3" t="str">
        <f aca="false">IF(TRIM(raw_data!B589)="","Missing",IF(B589="","Invalid/Unrecognized","Valid"))</f>
        <v>Valid</v>
      </c>
      <c r="E589" s="3" t="str">
        <f aca="false">IF(TRIM(raw_data!C589)="","Missing",IF(C589="","Invalid/Unrecognized","Valid"))</f>
        <v>Valid</v>
      </c>
      <c r="F589" s="5" t="n">
        <f aca="false">IF(OR(B589="",C589=""),"",C589-B589)</f>
        <v>8</v>
      </c>
      <c r="G589" s="3" t="str">
        <f aca="false">IF(F589="","N/A",IF(F589&lt;0,"Invalid - Ship Before Order","OK"))</f>
        <v>OK</v>
      </c>
      <c r="H589" s="3" t="str">
        <f aca="false">raw_data!D589</f>
        <v>CUST-1013</v>
      </c>
      <c r="I589" s="3" t="str">
        <f aca="false">PROPER(TRIM(raw_data!E589))</f>
        <v>Kabir Singh</v>
      </c>
      <c r="J589" s="3" t="str">
        <f aca="false">PROPER(TRIM(raw_data!F589))</f>
        <v>Home Office</v>
      </c>
      <c r="K589" s="3" t="str">
        <f aca="false">IF(TRIM(raw_data!G589)="","Unknown",PROPER(TRIM(raw_data!G589)))</f>
        <v>West</v>
      </c>
      <c r="L589" s="3" t="str">
        <f aca="false">IF(TRIM(raw_data!G589)="","Filled - Unknown","OK")</f>
        <v>OK</v>
      </c>
      <c r="M589" s="3" t="str">
        <f aca="false">PROPER(TRIM(raw_data!H589))</f>
        <v>Madhya Pradesh</v>
      </c>
      <c r="N589" s="3" t="str">
        <f aca="false">PROPER(TRIM(raw_data!I589))</f>
        <v>Indore</v>
      </c>
      <c r="O589" s="3" t="str">
        <f aca="false">PROPER(TRIM(raw_data!J589))</f>
        <v>Technology</v>
      </c>
      <c r="P589" s="3" t="str">
        <f aca="false">PROPER(TRIM(raw_data!K589))</f>
        <v>Accessories</v>
      </c>
      <c r="Q589" s="3" t="str">
        <f aca="false">TRIM(raw_data!L589)</f>
        <v>Eco Accessories 948</v>
      </c>
      <c r="R589" s="3" t="str">
        <f aca="false">IF(TRIM(raw_data!M589)="","Unknown",PROPER(TRIM(raw_data!M589)))</f>
        <v>First Class</v>
      </c>
      <c r="S589" s="3" t="str">
        <f aca="false">IF(TRIM(raw_data!M589)="","Filled - Unknown","OK")</f>
        <v>OK</v>
      </c>
      <c r="T589" s="6" t="n">
        <f aca="false">raw_data!N589</f>
        <v>1</v>
      </c>
      <c r="U589" s="7" t="n">
        <f aca="false">raw_data!O589</f>
        <v>4253.84</v>
      </c>
      <c r="V589" s="8" t="n">
        <f aca="false">raw_data!P589</f>
        <v>0.15</v>
      </c>
      <c r="W589" s="8" t="n">
        <f aca="false">IF(raw_data!P589="",0,IF(ISTEXT(raw_data!P589),IF(RIGHT(raw_data!P589,1)="%",VALUE(LEFT(raw_data!P589,LEN(raw_data!P589)-1))/100,VALUE(raw_data!P589)),raw_data!P589))</f>
        <v>0.15</v>
      </c>
      <c r="X589" s="3" t="str">
        <f aca="false">IF(raw_data!P589="","Missing - Defaulted to 0",IF(W589&lt;0,"Negative - Invalid",IF(W589&gt;0.3,"Above Allowed Range - Invalid","Valid")))</f>
        <v>Valid</v>
      </c>
      <c r="Y589" s="7" t="n">
        <f aca="false">raw_data!Q589</f>
        <v>3615.76</v>
      </c>
      <c r="Z589" s="7" t="n">
        <f aca="false">raw_data!R589</f>
        <v>2951.52</v>
      </c>
      <c r="AA589" s="7" t="n">
        <f aca="false">raw_data!S589</f>
        <v>664.24</v>
      </c>
      <c r="AB589" s="3" t="str">
        <f aca="false">PROPER(TRIM(raw_data!T589))</f>
        <v>Refunded</v>
      </c>
      <c r="AC589" s="3" t="str">
        <f aca="false">PROPER(TRIM(raw_data!U589))</f>
        <v>Cancelled</v>
      </c>
      <c r="AD589" s="7" t="n">
        <f aca="false">T589*U589*(1-W589)</f>
        <v>3615.764</v>
      </c>
      <c r="AE589" s="7" t="n">
        <f aca="false">AD589-Z589</f>
        <v>664.244</v>
      </c>
      <c r="AF589" s="8" t="n">
        <f aca="false">IF(AD589=0,0,AE589/AD589)</f>
        <v>0.183707786238261</v>
      </c>
      <c r="AG589" s="3" t="str">
        <f aca="false">IF(ABS(Y589-AD589)&gt;1,"Mismatch","OK")</f>
        <v>OK</v>
      </c>
      <c r="AH589" s="3" t="str">
        <f aca="false">IF(ABS(AA589-AE589)&gt;1,"Mismatch","OK")</f>
        <v>OK</v>
      </c>
      <c r="AI589" s="6" t="n">
        <f aca="false">IF(B589="","",MONTH(B589))</f>
        <v>7</v>
      </c>
      <c r="AJ589" s="6" t="n">
        <f aca="false">IF(B589="","",YEAR(B589))</f>
        <v>2025</v>
      </c>
      <c r="AK589" s="3" t="str">
        <f aca="false">IF(COUNTIF(raw_data!$A$2:$A$913,A589)&gt;1,"Conflicting Duplicate - Flagged for Review","Unique")</f>
        <v>Unique</v>
      </c>
      <c r="AL589" s="3" t="str">
        <f aca="false">IF(AB589="Refunded","Yes","No")</f>
        <v>Yes</v>
      </c>
      <c r="AM589" s="3" t="str">
        <f aca="false">IF(OR(AC589&lt;&gt;"Completed",AB589="Failed"),"Excluded","Included")</f>
        <v>Excluded</v>
      </c>
      <c r="AN589" s="3" t="str">
        <f aca="false">IF(OR(D589="Invalid/Unrecognized",E589="Invalid/Unrecognized",G589="Invalid - Ship Before Order",X589="Negative - Invalid",X589="Above Allowed Range - Invalid",AG589="Mismatch",AH589="Mismatch",AK589="Conflicting Duplicate - Flagged for Review"),"Invalid",IF(OR(L589="Filled - Unknown",S589="Filled - Unknown",X589="Missing - Defaulted to 0",AL589="Yes",AC589="Cancelled",AC589="Returned"),"Warning","Clean"))</f>
        <v>Warning</v>
      </c>
    </row>
    <row r="590" customFormat="false" ht="15" hidden="false" customHeight="false" outlineLevel="0" collapsed="false">
      <c r="A590" s="3" t="str">
        <f aca="false">raw_data!A590</f>
        <v>ORD-2025-10589</v>
      </c>
      <c r="B590" s="4" t="n">
        <f aca="false">IFERROR(IF(MID(raw_data!B590,3,1)="/",DATE(VALUE(RIGHT(raw_data!B590,4)),VALUE(LEFT(raw_data!B590,2)),VALUE(MID(raw_data!B590,4,2))),IF(MID(raw_data!B590,3,1)="-",DATE(VALUE(RIGHT(raw_data!B590,4)),VALUE(MID(raw_data!B590,4,2)),VALUE(LEFT(raw_data!B590,2))),IF(MID(raw_data!B590,5,1)="-",DATE(VALUE(LEFT(raw_data!B590,4)),VALUE(MID(raw_data!B590,6,2)),VALUE(RIGHT(raw_data!B590,2))),DATE(VALUE(RIGHT(raw_data!B590,4)),MATCH(MID(raw_data!B590,4,3),{"Jan","Feb","Mar","Apr","May","Jun","Jul","Aug","Sep","Oct","Nov","Dec"},0),VALUE(LEFT(raw_data!B590,2)))))),"")</f>
        <v>45727</v>
      </c>
      <c r="C590" s="4" t="n">
        <f aca="false">IFERROR(IF(MID(raw_data!C590,3,1)="/",DATE(VALUE(RIGHT(raw_data!C590,4)),VALUE(LEFT(raw_data!C590,2)),VALUE(MID(raw_data!C590,4,2))),IF(MID(raw_data!C590,3,1)="-",DATE(VALUE(RIGHT(raw_data!C590,4)),VALUE(MID(raw_data!C590,4,2)),VALUE(LEFT(raw_data!C590,2))),IF(MID(raw_data!C590,5,1)="-",DATE(VALUE(LEFT(raw_data!C590,4)),VALUE(MID(raw_data!C590,6,2)),VALUE(RIGHT(raw_data!C590,2))),DATE(VALUE(RIGHT(raw_data!C590,4)),MATCH(MID(raw_data!C590,4,3),{"Jan","Feb","Mar","Apr","May","Jun","Jul","Aug","Sep","Oct","Nov","Dec"},0),VALUE(LEFT(raw_data!C590,2)))))),"")</f>
        <v>45731</v>
      </c>
      <c r="D590" s="3" t="str">
        <f aca="false">IF(TRIM(raw_data!B590)="","Missing",IF(B590="","Invalid/Unrecognized","Valid"))</f>
        <v>Valid</v>
      </c>
      <c r="E590" s="3" t="str">
        <f aca="false">IF(TRIM(raw_data!C590)="","Missing",IF(C590="","Invalid/Unrecognized","Valid"))</f>
        <v>Valid</v>
      </c>
      <c r="F590" s="5" t="n">
        <f aca="false">IF(OR(B590="",C590=""),"",C590-B590)</f>
        <v>4</v>
      </c>
      <c r="G590" s="3" t="str">
        <f aca="false">IF(F590="","N/A",IF(F590&lt;0,"Invalid - Ship Before Order","OK"))</f>
        <v>OK</v>
      </c>
      <c r="H590" s="3" t="str">
        <f aca="false">raw_data!D590</f>
        <v>CUST-3601</v>
      </c>
      <c r="I590" s="3" t="str">
        <f aca="false">PROPER(TRIM(raw_data!E590))</f>
        <v>Aarav Sharma</v>
      </c>
      <c r="J590" s="3" t="str">
        <f aca="false">PROPER(TRIM(raw_data!F590))</f>
        <v>Home Office</v>
      </c>
      <c r="K590" s="3" t="str">
        <f aca="false">IF(TRIM(raw_data!G590)="","Unknown",PROPER(TRIM(raw_data!G590)))</f>
        <v>South</v>
      </c>
      <c r="L590" s="3" t="str">
        <f aca="false">IF(TRIM(raw_data!G590)="","Filled - Unknown","OK")</f>
        <v>OK</v>
      </c>
      <c r="M590" s="3" t="str">
        <f aca="false">PROPER(TRIM(raw_data!H590))</f>
        <v>Karnataka</v>
      </c>
      <c r="N590" s="3" t="str">
        <f aca="false">PROPER(TRIM(raw_data!I590))</f>
        <v>Bengaluru</v>
      </c>
      <c r="O590" s="3" t="str">
        <f aca="false">PROPER(TRIM(raw_data!J590))</f>
        <v>Technology</v>
      </c>
      <c r="P590" s="3" t="str">
        <f aca="false">PROPER(TRIM(raw_data!K590))</f>
        <v>Accessories</v>
      </c>
      <c r="Q590" s="3" t="str">
        <f aca="false">TRIM(raw_data!L590)</f>
        <v>Classic Accessories 458</v>
      </c>
      <c r="R590" s="3" t="str">
        <f aca="false">IF(TRIM(raw_data!M590)="","Unknown",PROPER(TRIM(raw_data!M590)))</f>
        <v>Second Class</v>
      </c>
      <c r="S590" s="3" t="str">
        <f aca="false">IF(TRIM(raw_data!M590)="","Filled - Unknown","OK")</f>
        <v>OK</v>
      </c>
      <c r="T590" s="6" t="n">
        <f aca="false">raw_data!N590</f>
        <v>8</v>
      </c>
      <c r="U590" s="7" t="n">
        <f aca="false">raw_data!O590</f>
        <v>4446.36</v>
      </c>
      <c r="V590" s="8" t="n">
        <f aca="false">raw_data!P590</f>
        <v>0.1</v>
      </c>
      <c r="W590" s="8" t="n">
        <f aca="false">IF(raw_data!P590="",0,IF(ISTEXT(raw_data!P590),IF(RIGHT(raw_data!P590,1)="%",VALUE(LEFT(raw_data!P590,LEN(raw_data!P590)-1))/100,VALUE(raw_data!P590)),raw_data!P590))</f>
        <v>0.1</v>
      </c>
      <c r="X590" s="3" t="str">
        <f aca="false">IF(raw_data!P590="","Missing - Defaulted to 0",IF(W590&lt;0,"Negative - Invalid",IF(W590&gt;0.3,"Above Allowed Range - Invalid","Valid")))</f>
        <v>Valid</v>
      </c>
      <c r="Y590" s="7" t="n">
        <f aca="false">raw_data!Q590</f>
        <v>32013.79</v>
      </c>
      <c r="Z590" s="7" t="n">
        <f aca="false">raw_data!R590</f>
        <v>20896.88</v>
      </c>
      <c r="AA590" s="7" t="n">
        <f aca="false">raw_data!S590</f>
        <v>11116.91</v>
      </c>
      <c r="AB590" s="3" t="str">
        <f aca="false">PROPER(TRIM(raw_data!T590))</f>
        <v>Refunded</v>
      </c>
      <c r="AC590" s="3" t="str">
        <f aca="false">PROPER(TRIM(raw_data!U590))</f>
        <v>Cancelled</v>
      </c>
      <c r="AD590" s="7" t="n">
        <f aca="false">T590*U590*(1-W590)</f>
        <v>32013.792</v>
      </c>
      <c r="AE590" s="7" t="n">
        <f aca="false">AD590-Z590</f>
        <v>11116.912</v>
      </c>
      <c r="AF590" s="8" t="n">
        <f aca="false">IF(AD590=0,0,AE590/AD590)</f>
        <v>0.347253833597719</v>
      </c>
      <c r="AG590" s="3" t="str">
        <f aca="false">IF(ABS(Y590-AD590)&gt;1,"Mismatch","OK")</f>
        <v>OK</v>
      </c>
      <c r="AH590" s="3" t="str">
        <f aca="false">IF(ABS(AA590-AE590)&gt;1,"Mismatch","OK")</f>
        <v>OK</v>
      </c>
      <c r="AI590" s="6" t="n">
        <f aca="false">IF(B590="","",MONTH(B590))</f>
        <v>3</v>
      </c>
      <c r="AJ590" s="6" t="n">
        <f aca="false">IF(B590="","",YEAR(B590))</f>
        <v>2025</v>
      </c>
      <c r="AK590" s="3" t="str">
        <f aca="false">IF(COUNTIF(raw_data!$A$2:$A$913,A590)&gt;1,"Conflicting Duplicate - Flagged for Review","Unique")</f>
        <v>Unique</v>
      </c>
      <c r="AL590" s="3" t="str">
        <f aca="false">IF(AB590="Refunded","Yes","No")</f>
        <v>Yes</v>
      </c>
      <c r="AM590" s="3" t="str">
        <f aca="false">IF(OR(AC590&lt;&gt;"Completed",AB590="Failed"),"Excluded","Included")</f>
        <v>Excluded</v>
      </c>
      <c r="AN590" s="3" t="str">
        <f aca="false">IF(OR(D590="Invalid/Unrecognized",E590="Invalid/Unrecognized",G590="Invalid - Ship Before Order",X590="Negative - Invalid",X590="Above Allowed Range - Invalid",AG590="Mismatch",AH590="Mismatch",AK590="Conflicting Duplicate - Flagged for Review"),"Invalid",IF(OR(L590="Filled - Unknown",S590="Filled - Unknown",X590="Missing - Defaulted to 0",AL590="Yes",AC590="Cancelled",AC590="Returned"),"Warning","Clean"))</f>
        <v>Warning</v>
      </c>
    </row>
    <row r="591" customFormat="false" ht="15" hidden="false" customHeight="false" outlineLevel="0" collapsed="false">
      <c r="A591" s="3" t="str">
        <f aca="false">raw_data!A591</f>
        <v>ORD-2024-10590</v>
      </c>
      <c r="B591" s="4" t="n">
        <f aca="false">IFERROR(IF(MID(raw_data!B591,3,1)="/",DATE(VALUE(RIGHT(raw_data!B591,4)),VALUE(LEFT(raw_data!B591,2)),VALUE(MID(raw_data!B591,4,2))),IF(MID(raw_data!B591,3,1)="-",DATE(VALUE(RIGHT(raw_data!B591,4)),VALUE(MID(raw_data!B591,4,2)),VALUE(LEFT(raw_data!B591,2))),IF(MID(raw_data!B591,5,1)="-",DATE(VALUE(LEFT(raw_data!B591,4)),VALUE(MID(raw_data!B591,6,2)),VALUE(RIGHT(raw_data!B591,2))),DATE(VALUE(RIGHT(raw_data!B591,4)),MATCH(MID(raw_data!B591,4,3),{"Jan","Feb","Mar","Apr","May","Jun","Jul","Aug","Sep","Oct","Nov","Dec"},0),VALUE(LEFT(raw_data!B591,2)))))),"")</f>
        <v>45632</v>
      </c>
      <c r="C591" s="4" t="n">
        <f aca="false">IFERROR(IF(MID(raw_data!C591,3,1)="/",DATE(VALUE(RIGHT(raw_data!C591,4)),VALUE(LEFT(raw_data!C591,2)),VALUE(MID(raw_data!C591,4,2))),IF(MID(raw_data!C591,3,1)="-",DATE(VALUE(RIGHT(raw_data!C591,4)),VALUE(MID(raw_data!C591,4,2)),VALUE(LEFT(raw_data!C591,2))),IF(MID(raw_data!C591,5,1)="-",DATE(VALUE(LEFT(raw_data!C591,4)),VALUE(MID(raw_data!C591,6,2)),VALUE(RIGHT(raw_data!C591,2))),DATE(VALUE(RIGHT(raw_data!C591,4)),MATCH(MID(raw_data!C591,4,3),{"Jan","Feb","Mar","Apr","May","Jun","Jul","Aug","Sep","Oct","Nov","Dec"},0),VALUE(LEFT(raw_data!C591,2)))))),"")</f>
        <v>45638</v>
      </c>
      <c r="D591" s="3" t="str">
        <f aca="false">IF(TRIM(raw_data!B591)="","Missing",IF(B591="","Invalid/Unrecognized","Valid"))</f>
        <v>Valid</v>
      </c>
      <c r="E591" s="3" t="str">
        <f aca="false">IF(TRIM(raw_data!C591)="","Missing",IF(C591="","Invalid/Unrecognized","Valid"))</f>
        <v>Valid</v>
      </c>
      <c r="F591" s="5" t="n">
        <f aca="false">IF(OR(B591="",C591=""),"",C591-B591)</f>
        <v>6</v>
      </c>
      <c r="G591" s="3" t="str">
        <f aca="false">IF(F591="","N/A",IF(F591&lt;0,"Invalid - Ship Before Order","OK"))</f>
        <v>OK</v>
      </c>
      <c r="H591" s="3" t="str">
        <f aca="false">raw_data!D591</f>
        <v>CUST-7846</v>
      </c>
      <c r="I591" s="3" t="str">
        <f aca="false">PROPER(TRIM(raw_data!E591))</f>
        <v>Rohan Mehta</v>
      </c>
      <c r="J591" s="3" t="str">
        <f aca="false">PROPER(TRIM(raw_data!F591))</f>
        <v>Corporate</v>
      </c>
      <c r="K591" s="3" t="str">
        <f aca="false">IF(TRIM(raw_data!G591)="","Unknown",PROPER(TRIM(raw_data!G591)))</f>
        <v>North</v>
      </c>
      <c r="L591" s="3" t="str">
        <f aca="false">IF(TRIM(raw_data!G591)="","Filled - Unknown","OK")</f>
        <v>OK</v>
      </c>
      <c r="M591" s="3" t="str">
        <f aca="false">PROPER(TRIM(raw_data!H591))</f>
        <v>Uttar Pradesh</v>
      </c>
      <c r="N591" s="3" t="str">
        <f aca="false">PROPER(TRIM(raw_data!I591))</f>
        <v>Noida</v>
      </c>
      <c r="O591" s="3" t="str">
        <f aca="false">PROPER(TRIM(raw_data!J591))</f>
        <v>Technology</v>
      </c>
      <c r="P591" s="3" t="str">
        <f aca="false">PROPER(TRIM(raw_data!K591))</f>
        <v>Phones</v>
      </c>
      <c r="Q591" s="3" t="str">
        <f aca="false">TRIM(raw_data!L591)</f>
        <v>Max Phones 318</v>
      </c>
      <c r="R591" s="3" t="str">
        <f aca="false">IF(TRIM(raw_data!M591)="","Unknown",PROPER(TRIM(raw_data!M591)))</f>
        <v>First Class</v>
      </c>
      <c r="S591" s="3" t="str">
        <f aca="false">IF(TRIM(raw_data!M591)="","Filled - Unknown","OK")</f>
        <v>OK</v>
      </c>
      <c r="T591" s="6" t="n">
        <f aca="false">raw_data!N591</f>
        <v>3</v>
      </c>
      <c r="U591" s="7" t="n">
        <f aca="false">raw_data!O591</f>
        <v>524.75</v>
      </c>
      <c r="V591" s="8" t="n">
        <f aca="false">raw_data!P591</f>
        <v>0</v>
      </c>
      <c r="W591" s="8" t="n">
        <f aca="false">IF(raw_data!P591="",0,IF(ISTEXT(raw_data!P591),IF(RIGHT(raw_data!P591,1)="%",VALUE(LEFT(raw_data!P591,LEN(raw_data!P591)-1))/100,VALUE(raw_data!P591)),raw_data!P591))</f>
        <v>0</v>
      </c>
      <c r="X591" s="3" t="str">
        <f aca="false">IF(raw_data!P591="","Missing - Defaulted to 0",IF(W591&lt;0,"Negative - Invalid",IF(W591&gt;0.3,"Above Allowed Range - Invalid","Valid")))</f>
        <v>Valid</v>
      </c>
      <c r="Y591" s="7" t="n">
        <f aca="false">raw_data!Q591</f>
        <v>1574.25</v>
      </c>
      <c r="Z591" s="7" t="n">
        <f aca="false">raw_data!R591</f>
        <v>1326.12</v>
      </c>
      <c r="AA591" s="7" t="n">
        <f aca="false">raw_data!S591</f>
        <v>248.13</v>
      </c>
      <c r="AB591" s="3" t="str">
        <f aca="false">PROPER(TRIM(raw_data!T591))</f>
        <v>Paid</v>
      </c>
      <c r="AC591" s="3" t="str">
        <f aca="false">PROPER(TRIM(raw_data!U591))</f>
        <v>Completed</v>
      </c>
      <c r="AD591" s="7" t="n">
        <f aca="false">T591*U591*(1-W591)</f>
        <v>1574.25</v>
      </c>
      <c r="AE591" s="7" t="n">
        <f aca="false">AD591-Z591</f>
        <v>248.13</v>
      </c>
      <c r="AF591" s="8" t="n">
        <f aca="false">IF(AD591=0,0,AE591/AD591)</f>
        <v>0.157617913292044</v>
      </c>
      <c r="AG591" s="3" t="str">
        <f aca="false">IF(ABS(Y591-AD591)&gt;1,"Mismatch","OK")</f>
        <v>OK</v>
      </c>
      <c r="AH591" s="3" t="str">
        <f aca="false">IF(ABS(AA591-AE591)&gt;1,"Mismatch","OK")</f>
        <v>OK</v>
      </c>
      <c r="AI591" s="6" t="n">
        <f aca="false">IF(B591="","",MONTH(B591))</f>
        <v>12</v>
      </c>
      <c r="AJ591" s="6" t="n">
        <f aca="false">IF(B591="","",YEAR(B591))</f>
        <v>2024</v>
      </c>
      <c r="AK591" s="3" t="str">
        <f aca="false">IF(COUNTIF(raw_data!$A$2:$A$913,A591)&gt;1,"Conflicting Duplicate - Flagged for Review","Unique")</f>
        <v>Unique</v>
      </c>
      <c r="AL591" s="3" t="str">
        <f aca="false">IF(AB591="Refunded","Yes","No")</f>
        <v>No</v>
      </c>
      <c r="AM591" s="3" t="str">
        <f aca="false">IF(OR(AC591&lt;&gt;"Completed",AB591="Failed"),"Excluded","Included")</f>
        <v>Included</v>
      </c>
      <c r="AN591" s="3" t="str">
        <f aca="false">IF(OR(D591="Invalid/Unrecognized",E591="Invalid/Unrecognized",G591="Invalid - Ship Before Order",X591="Negative - Invalid",X591="Above Allowed Range - Invalid",AG591="Mismatch",AH591="Mismatch",AK591="Conflicting Duplicate - Flagged for Review"),"Invalid",IF(OR(L591="Filled - Unknown",S591="Filled - Unknown",X591="Missing - Defaulted to 0",AL591="Yes",AC591="Cancelled",AC591="Returned"),"Warning","Clean"))</f>
        <v>Clean</v>
      </c>
    </row>
    <row r="592" customFormat="false" ht="15" hidden="false" customHeight="false" outlineLevel="0" collapsed="false">
      <c r="A592" s="3" t="str">
        <f aca="false">raw_data!A592</f>
        <v>ORD-2024-10591</v>
      </c>
      <c r="B592" s="4" t="n">
        <f aca="false">IFERROR(IF(MID(raw_data!B592,3,1)="/",DATE(VALUE(RIGHT(raw_data!B592,4)),VALUE(LEFT(raw_data!B592,2)),VALUE(MID(raw_data!B592,4,2))),IF(MID(raw_data!B592,3,1)="-",DATE(VALUE(RIGHT(raw_data!B592,4)),VALUE(MID(raw_data!B592,4,2)),VALUE(LEFT(raw_data!B592,2))),IF(MID(raw_data!B592,5,1)="-",DATE(VALUE(LEFT(raw_data!B592,4)),VALUE(MID(raw_data!B592,6,2)),VALUE(RIGHT(raw_data!B592,2))),DATE(VALUE(RIGHT(raw_data!B592,4)),MATCH(MID(raw_data!B592,4,3),{"Jan","Feb","Mar","Apr","May","Jun","Jul","Aug","Sep","Oct","Nov","Dec"},0),VALUE(LEFT(raw_data!B592,2)))))),"")</f>
        <v>45441</v>
      </c>
      <c r="C592" s="4" t="n">
        <f aca="false">IFERROR(IF(MID(raw_data!C592,3,1)="/",DATE(VALUE(RIGHT(raw_data!C592,4)),VALUE(LEFT(raw_data!C592,2)),VALUE(MID(raw_data!C592,4,2))),IF(MID(raw_data!C592,3,1)="-",DATE(VALUE(RIGHT(raw_data!C592,4)),VALUE(MID(raw_data!C592,4,2)),VALUE(LEFT(raw_data!C592,2))),IF(MID(raw_data!C592,5,1)="-",DATE(VALUE(LEFT(raw_data!C592,4)),VALUE(MID(raw_data!C592,6,2)),VALUE(RIGHT(raw_data!C592,2))),DATE(VALUE(RIGHT(raw_data!C592,4)),MATCH(MID(raw_data!C592,4,3),{"Jan","Feb","Mar","Apr","May","Jun","Jul","Aug","Sep","Oct","Nov","Dec"},0),VALUE(LEFT(raw_data!C592,2)))))),"")</f>
        <v>45441</v>
      </c>
      <c r="D592" s="3" t="str">
        <f aca="false">IF(TRIM(raw_data!B592)="","Missing",IF(B592="","Invalid/Unrecognized","Valid"))</f>
        <v>Valid</v>
      </c>
      <c r="E592" s="3" t="str">
        <f aca="false">IF(TRIM(raw_data!C592)="","Missing",IF(C592="","Invalid/Unrecognized","Valid"))</f>
        <v>Valid</v>
      </c>
      <c r="F592" s="5" t="n">
        <f aca="false">IF(OR(B592="",C592=""),"",C592-B592)</f>
        <v>0</v>
      </c>
      <c r="G592" s="3" t="str">
        <f aca="false">IF(F592="","N/A",IF(F592&lt;0,"Invalid - Ship Before Order","OK"))</f>
        <v>OK</v>
      </c>
      <c r="H592" s="3" t="str">
        <f aca="false">raw_data!D592</f>
        <v>CUST-3433</v>
      </c>
      <c r="I592" s="3" t="str">
        <f aca="false">PROPER(TRIM(raw_data!E592))</f>
        <v>Aarav Sharma</v>
      </c>
      <c r="J592" s="3" t="str">
        <f aca="false">PROPER(TRIM(raw_data!F592))</f>
        <v>Home Office</v>
      </c>
      <c r="K592" s="3" t="str">
        <f aca="false">IF(TRIM(raw_data!G592)="","Unknown",PROPER(TRIM(raw_data!G592)))</f>
        <v>North</v>
      </c>
      <c r="L592" s="3" t="str">
        <f aca="false">IF(TRIM(raw_data!G592)="","Filled - Unknown","OK")</f>
        <v>OK</v>
      </c>
      <c r="M592" s="3" t="str">
        <f aca="false">PROPER(TRIM(raw_data!H592))</f>
        <v>Delhi</v>
      </c>
      <c r="N592" s="3" t="str">
        <f aca="false">PROPER(TRIM(raw_data!I592))</f>
        <v>New Delhi</v>
      </c>
      <c r="O592" s="3" t="str">
        <f aca="false">PROPER(TRIM(raw_data!J592))</f>
        <v>Furniture</v>
      </c>
      <c r="P592" s="3" t="str">
        <f aca="false">PROPER(TRIM(raw_data!K592))</f>
        <v>Chairs</v>
      </c>
      <c r="Q592" s="3" t="str">
        <f aca="false">TRIM(raw_data!L592)</f>
        <v>Elite Chairs 372</v>
      </c>
      <c r="R592" s="3" t="str">
        <f aca="false">IF(TRIM(raw_data!M592)="","Unknown",PROPER(TRIM(raw_data!M592)))</f>
        <v>Same Day</v>
      </c>
      <c r="S592" s="3" t="str">
        <f aca="false">IF(TRIM(raw_data!M592)="","Filled - Unknown","OK")</f>
        <v>OK</v>
      </c>
      <c r="T592" s="6" t="n">
        <f aca="false">raw_data!N592</f>
        <v>6</v>
      </c>
      <c r="U592" s="7" t="n">
        <f aca="false">raw_data!O592</f>
        <v>3430.35</v>
      </c>
      <c r="V592" s="8" t="n">
        <f aca="false">raw_data!P592</f>
        <v>0</v>
      </c>
      <c r="W592" s="8" t="n">
        <f aca="false">IF(raw_data!P592="",0,IF(ISTEXT(raw_data!P592),IF(RIGHT(raw_data!P592,1)="%",VALUE(LEFT(raw_data!P592,LEN(raw_data!P592)-1))/100,VALUE(raw_data!P592)),raw_data!P592))</f>
        <v>0</v>
      </c>
      <c r="X592" s="3" t="str">
        <f aca="false">IF(raw_data!P592="","Missing - Defaulted to 0",IF(W592&lt;0,"Negative - Invalid",IF(W592&gt;0.3,"Above Allowed Range - Invalid","Valid")))</f>
        <v>Valid</v>
      </c>
      <c r="Y592" s="7" t="n">
        <f aca="false">raw_data!Q592</f>
        <v>20582.1</v>
      </c>
      <c r="Z592" s="7" t="n">
        <f aca="false">raw_data!R592</f>
        <v>15897.65</v>
      </c>
      <c r="AA592" s="7" t="n">
        <f aca="false">raw_data!S592</f>
        <v>4684.45</v>
      </c>
      <c r="AB592" s="3" t="str">
        <f aca="false">PROPER(TRIM(raw_data!T592))</f>
        <v>Pending</v>
      </c>
      <c r="AC592" s="3" t="str">
        <f aca="false">PROPER(TRIM(raw_data!U592))</f>
        <v>Cancelled</v>
      </c>
      <c r="AD592" s="7" t="n">
        <f aca="false">T592*U592*(1-W592)</f>
        <v>20582.1</v>
      </c>
      <c r="AE592" s="7" t="n">
        <f aca="false">AD592-Z592</f>
        <v>4684.45</v>
      </c>
      <c r="AF592" s="8" t="n">
        <f aca="false">IF(AD592=0,0,AE592/AD592)</f>
        <v>0.227598252850778</v>
      </c>
      <c r="AG592" s="3" t="str">
        <f aca="false">IF(ABS(Y592-AD592)&gt;1,"Mismatch","OK")</f>
        <v>OK</v>
      </c>
      <c r="AH592" s="3" t="str">
        <f aca="false">IF(ABS(AA592-AE592)&gt;1,"Mismatch","OK")</f>
        <v>OK</v>
      </c>
      <c r="AI592" s="6" t="n">
        <f aca="false">IF(B592="","",MONTH(B592))</f>
        <v>5</v>
      </c>
      <c r="AJ592" s="6" t="n">
        <f aca="false">IF(B592="","",YEAR(B592))</f>
        <v>2024</v>
      </c>
      <c r="AK592" s="3" t="str">
        <f aca="false">IF(COUNTIF(raw_data!$A$2:$A$913,A592)&gt;1,"Conflicting Duplicate - Flagged for Review","Unique")</f>
        <v>Unique</v>
      </c>
      <c r="AL592" s="3" t="str">
        <f aca="false">IF(AB592="Refunded","Yes","No")</f>
        <v>No</v>
      </c>
      <c r="AM592" s="3" t="str">
        <f aca="false">IF(OR(AC592&lt;&gt;"Completed",AB592="Failed"),"Excluded","Included")</f>
        <v>Excluded</v>
      </c>
      <c r="AN592" s="3" t="str">
        <f aca="false">IF(OR(D592="Invalid/Unrecognized",E592="Invalid/Unrecognized",G592="Invalid - Ship Before Order",X592="Negative - Invalid",X592="Above Allowed Range - Invalid",AG592="Mismatch",AH592="Mismatch",AK592="Conflicting Duplicate - Flagged for Review"),"Invalid",IF(OR(L592="Filled - Unknown",S592="Filled - Unknown",X592="Missing - Defaulted to 0",AL592="Yes",AC592="Cancelled",AC592="Returned"),"Warning","Clean"))</f>
        <v>Warning</v>
      </c>
    </row>
    <row r="593" customFormat="false" ht="15" hidden="false" customHeight="false" outlineLevel="0" collapsed="false">
      <c r="A593" s="3" t="str">
        <f aca="false">raw_data!A593</f>
        <v>ORD-2024-10592</v>
      </c>
      <c r="B593" s="4" t="n">
        <f aca="false">IFERROR(IF(MID(raw_data!B593,3,1)="/",DATE(VALUE(RIGHT(raw_data!B593,4)),VALUE(LEFT(raw_data!B593,2)),VALUE(MID(raw_data!B593,4,2))),IF(MID(raw_data!B593,3,1)="-",DATE(VALUE(RIGHT(raw_data!B593,4)),VALUE(MID(raw_data!B593,4,2)),VALUE(LEFT(raw_data!B593,2))),IF(MID(raw_data!B593,5,1)="-",DATE(VALUE(LEFT(raw_data!B593,4)),VALUE(MID(raw_data!B593,6,2)),VALUE(RIGHT(raw_data!B593,2))),DATE(VALUE(RIGHT(raw_data!B593,4)),MATCH(MID(raw_data!B593,4,3),{"Jan","Feb","Mar","Apr","May","Jun","Jul","Aug","Sep","Oct","Nov","Dec"},0),VALUE(LEFT(raw_data!B593,2)))))),"")</f>
        <v>45344</v>
      </c>
      <c r="C593" s="4" t="n">
        <f aca="false">IFERROR(IF(MID(raw_data!C593,3,1)="/",DATE(VALUE(RIGHT(raw_data!C593,4)),VALUE(LEFT(raw_data!C593,2)),VALUE(MID(raw_data!C593,4,2))),IF(MID(raw_data!C593,3,1)="-",DATE(VALUE(RIGHT(raw_data!C593,4)),VALUE(MID(raw_data!C593,4,2)),VALUE(LEFT(raw_data!C593,2))),IF(MID(raw_data!C593,5,1)="-",DATE(VALUE(LEFT(raw_data!C593,4)),VALUE(MID(raw_data!C593,6,2)),VALUE(RIGHT(raw_data!C593,2))),DATE(VALUE(RIGHT(raw_data!C593,4)),MATCH(MID(raw_data!C593,4,3),{"Jan","Feb","Mar","Apr","May","Jun","Jul","Aug","Sep","Oct","Nov","Dec"},0),VALUE(LEFT(raw_data!C593,2)))))),"")</f>
        <v>45346</v>
      </c>
      <c r="D593" s="3" t="str">
        <f aca="false">IF(TRIM(raw_data!B593)="","Missing",IF(B593="","Invalid/Unrecognized","Valid"))</f>
        <v>Valid</v>
      </c>
      <c r="E593" s="3" t="str">
        <f aca="false">IF(TRIM(raw_data!C593)="","Missing",IF(C593="","Invalid/Unrecognized","Valid"))</f>
        <v>Valid</v>
      </c>
      <c r="F593" s="5" t="n">
        <f aca="false">IF(OR(B593="",C593=""),"",C593-B593)</f>
        <v>2</v>
      </c>
      <c r="G593" s="3" t="str">
        <f aca="false">IF(F593="","N/A",IF(F593&lt;0,"Invalid - Ship Before Order","OK"))</f>
        <v>OK</v>
      </c>
      <c r="H593" s="3" t="str">
        <f aca="false">raw_data!D593</f>
        <v>CUST-2423</v>
      </c>
      <c r="I593" s="3" t="str">
        <f aca="false">PROPER(TRIM(raw_data!E593))</f>
        <v>Sneha Kapoor</v>
      </c>
      <c r="J593" s="3" t="str">
        <f aca="false">PROPER(TRIM(raw_data!F593))</f>
        <v>Consumer</v>
      </c>
      <c r="K593" s="3" t="str">
        <f aca="false">IF(TRIM(raw_data!G593)="","Unknown",PROPER(TRIM(raw_data!G593)))</f>
        <v>South</v>
      </c>
      <c r="L593" s="3" t="str">
        <f aca="false">IF(TRIM(raw_data!G593)="","Filled - Unknown","OK")</f>
        <v>OK</v>
      </c>
      <c r="M593" s="3" t="str">
        <f aca="false">PROPER(TRIM(raw_data!H593))</f>
        <v>Karnataka</v>
      </c>
      <c r="N593" s="3" t="str">
        <f aca="false">PROPER(TRIM(raw_data!I593))</f>
        <v>Bengaluru</v>
      </c>
      <c r="O593" s="3" t="str">
        <f aca="false">PROPER(TRIM(raw_data!J593))</f>
        <v>Technology</v>
      </c>
      <c r="P593" s="3" t="str">
        <f aca="false">PROPER(TRIM(raw_data!K593))</f>
        <v>Copiers</v>
      </c>
      <c r="Q593" s="3" t="str">
        <f aca="false">TRIM(raw_data!L593)</f>
        <v>Eco Copiers 324</v>
      </c>
      <c r="R593" s="3" t="str">
        <f aca="false">IF(TRIM(raw_data!M593)="","Unknown",PROPER(TRIM(raw_data!M593)))</f>
        <v>First Class</v>
      </c>
      <c r="S593" s="3" t="str">
        <f aca="false">IF(TRIM(raw_data!M593)="","Filled - Unknown","OK")</f>
        <v>OK</v>
      </c>
      <c r="T593" s="6" t="n">
        <f aca="false">raw_data!N593</f>
        <v>3</v>
      </c>
      <c r="U593" s="7" t="n">
        <f aca="false">raw_data!O593</f>
        <v>3545.08</v>
      </c>
      <c r="V593" s="8" t="n">
        <f aca="false">raw_data!P593</f>
        <v>0</v>
      </c>
      <c r="W593" s="8" t="n">
        <f aca="false">IF(raw_data!P593="",0,IF(ISTEXT(raw_data!P593),IF(RIGHT(raw_data!P593,1)="%",VALUE(LEFT(raw_data!P593,LEN(raw_data!P593)-1))/100,VALUE(raw_data!P593)),raw_data!P593))</f>
        <v>0</v>
      </c>
      <c r="X593" s="3" t="str">
        <f aca="false">IF(raw_data!P593="","Missing - Defaulted to 0",IF(W593&lt;0,"Negative - Invalid",IF(W593&gt;0.3,"Above Allowed Range - Invalid","Valid")))</f>
        <v>Valid</v>
      </c>
      <c r="Y593" s="7" t="n">
        <f aca="false">raw_data!Q593</f>
        <v>10635.24</v>
      </c>
      <c r="Z593" s="7" t="n">
        <f aca="false">raw_data!R593</f>
        <v>6031.88</v>
      </c>
      <c r="AA593" s="7" t="n">
        <f aca="false">raw_data!S593</f>
        <v>4603.36</v>
      </c>
      <c r="AB593" s="3" t="str">
        <f aca="false">PROPER(TRIM(raw_data!T593))</f>
        <v>Failed</v>
      </c>
      <c r="AC593" s="3" t="str">
        <f aca="false">PROPER(TRIM(raw_data!U593))</f>
        <v>Returned</v>
      </c>
      <c r="AD593" s="7" t="n">
        <f aca="false">T593*U593*(1-W593)</f>
        <v>10635.24</v>
      </c>
      <c r="AE593" s="7" t="n">
        <f aca="false">AD593-Z593</f>
        <v>4603.36</v>
      </c>
      <c r="AF593" s="8" t="n">
        <f aca="false">IF(AD593=0,0,AE593/AD593)</f>
        <v>0.432840255603071</v>
      </c>
      <c r="AG593" s="3" t="str">
        <f aca="false">IF(ABS(Y593-AD593)&gt;1,"Mismatch","OK")</f>
        <v>OK</v>
      </c>
      <c r="AH593" s="3" t="str">
        <f aca="false">IF(ABS(AA593-AE593)&gt;1,"Mismatch","OK")</f>
        <v>OK</v>
      </c>
      <c r="AI593" s="6" t="n">
        <f aca="false">IF(B593="","",MONTH(B593))</f>
        <v>2</v>
      </c>
      <c r="AJ593" s="6" t="n">
        <f aca="false">IF(B593="","",YEAR(B593))</f>
        <v>2024</v>
      </c>
      <c r="AK593" s="3" t="str">
        <f aca="false">IF(COUNTIF(raw_data!$A$2:$A$913,A593)&gt;1,"Conflicting Duplicate - Flagged for Review","Unique")</f>
        <v>Unique</v>
      </c>
      <c r="AL593" s="3" t="str">
        <f aca="false">IF(AB593="Refunded","Yes","No")</f>
        <v>No</v>
      </c>
      <c r="AM593" s="3" t="str">
        <f aca="false">IF(OR(AC593&lt;&gt;"Completed",AB593="Failed"),"Excluded","Included")</f>
        <v>Excluded</v>
      </c>
      <c r="AN593" s="3" t="str">
        <f aca="false">IF(OR(D593="Invalid/Unrecognized",E593="Invalid/Unrecognized",G593="Invalid - Ship Before Order",X593="Negative - Invalid",X593="Above Allowed Range - Invalid",AG593="Mismatch",AH593="Mismatch",AK593="Conflicting Duplicate - Flagged for Review"),"Invalid",IF(OR(L593="Filled - Unknown",S593="Filled - Unknown",X593="Missing - Defaulted to 0",AL593="Yes",AC593="Cancelled",AC593="Returned"),"Warning","Clean"))</f>
        <v>Warning</v>
      </c>
    </row>
    <row r="594" customFormat="false" ht="15" hidden="false" customHeight="false" outlineLevel="0" collapsed="false">
      <c r="A594" s="3" t="str">
        <f aca="false">raw_data!A594</f>
        <v>ORD-2024-10593</v>
      </c>
      <c r="B594" s="4" t="n">
        <f aca="false">IFERROR(IF(MID(raw_data!B594,3,1)="/",DATE(VALUE(RIGHT(raw_data!B594,4)),VALUE(LEFT(raw_data!B594,2)),VALUE(MID(raw_data!B594,4,2))),IF(MID(raw_data!B594,3,1)="-",DATE(VALUE(RIGHT(raw_data!B594,4)),VALUE(MID(raw_data!B594,4,2)),VALUE(LEFT(raw_data!B594,2))),IF(MID(raw_data!B594,5,1)="-",DATE(VALUE(LEFT(raw_data!B594,4)),VALUE(MID(raw_data!B594,6,2)),VALUE(RIGHT(raw_data!B594,2))),DATE(VALUE(RIGHT(raw_data!B594,4)),MATCH(MID(raw_data!B594,4,3),{"Jan","Feb","Mar","Apr","May","Jun","Jul","Aug","Sep","Oct","Nov","Dec"},0),VALUE(LEFT(raw_data!B594,2)))))),"")</f>
        <v>45355</v>
      </c>
      <c r="C594" s="4" t="n">
        <f aca="false">IFERROR(IF(MID(raw_data!C594,3,1)="/",DATE(VALUE(RIGHT(raw_data!C594,4)),VALUE(LEFT(raw_data!C594,2)),VALUE(MID(raw_data!C594,4,2))),IF(MID(raw_data!C594,3,1)="-",DATE(VALUE(RIGHT(raw_data!C594,4)),VALUE(MID(raw_data!C594,4,2)),VALUE(LEFT(raw_data!C594,2))),IF(MID(raw_data!C594,5,1)="-",DATE(VALUE(LEFT(raw_data!C594,4)),VALUE(MID(raw_data!C594,6,2)),VALUE(RIGHT(raw_data!C594,2))),DATE(VALUE(RIGHT(raw_data!C594,4)),MATCH(MID(raw_data!C594,4,3),{"Jan","Feb","Mar","Apr","May","Jun","Jul","Aug","Sep","Oct","Nov","Dec"},0),VALUE(LEFT(raw_data!C594,2)))))),"")</f>
        <v>45360</v>
      </c>
      <c r="D594" s="3" t="str">
        <f aca="false">IF(TRIM(raw_data!B594)="","Missing",IF(B594="","Invalid/Unrecognized","Valid"))</f>
        <v>Valid</v>
      </c>
      <c r="E594" s="3" t="str">
        <f aca="false">IF(TRIM(raw_data!C594)="","Missing",IF(C594="","Invalid/Unrecognized","Valid"))</f>
        <v>Valid</v>
      </c>
      <c r="F594" s="5" t="n">
        <f aca="false">IF(OR(B594="",C594=""),"",C594-B594)</f>
        <v>5</v>
      </c>
      <c r="G594" s="3" t="str">
        <f aca="false">IF(F594="","N/A",IF(F594&lt;0,"Invalid - Ship Before Order","OK"))</f>
        <v>OK</v>
      </c>
      <c r="H594" s="3" t="str">
        <f aca="false">raw_data!D594</f>
        <v>CUST-3559</v>
      </c>
      <c r="I594" s="3" t="str">
        <f aca="false">PROPER(TRIM(raw_data!E594))</f>
        <v>Mira Das</v>
      </c>
      <c r="J594" s="3" t="str">
        <f aca="false">PROPER(TRIM(raw_data!F594))</f>
        <v>Consumer</v>
      </c>
      <c r="K594" s="3" t="str">
        <f aca="false">IF(TRIM(raw_data!G594)="","Unknown",PROPER(TRIM(raw_data!G594)))</f>
        <v>East</v>
      </c>
      <c r="L594" s="3" t="str">
        <f aca="false">IF(TRIM(raw_data!G594)="","Filled - Unknown","OK")</f>
        <v>OK</v>
      </c>
      <c r="M594" s="3" t="str">
        <f aca="false">PROPER(TRIM(raw_data!H594))</f>
        <v>West Bengal</v>
      </c>
      <c r="N594" s="3" t="str">
        <f aca="false">PROPER(TRIM(raw_data!I594))</f>
        <v>Kolkata</v>
      </c>
      <c r="O594" s="3" t="str">
        <f aca="false">PROPER(TRIM(raw_data!J594))</f>
        <v>Technology</v>
      </c>
      <c r="P594" s="3" t="str">
        <f aca="false">PROPER(TRIM(raw_data!K594))</f>
        <v>Accessories</v>
      </c>
      <c r="Q594" s="3" t="str">
        <f aca="false">TRIM(raw_data!L594)</f>
        <v>Classic Accessories 131</v>
      </c>
      <c r="R594" s="3" t="str">
        <f aca="false">IF(TRIM(raw_data!M594)="","Unknown",PROPER(TRIM(raw_data!M594)))</f>
        <v>Same Day</v>
      </c>
      <c r="S594" s="3" t="str">
        <f aca="false">IF(TRIM(raw_data!M594)="","Filled - Unknown","OK")</f>
        <v>OK</v>
      </c>
      <c r="T594" s="6" t="n">
        <f aca="false">raw_data!N594</f>
        <v>8</v>
      </c>
      <c r="U594" s="7" t="n">
        <f aca="false">raw_data!O594</f>
        <v>4401.41</v>
      </c>
      <c r="V594" s="8" t="n">
        <f aca="false">raw_data!P594</f>
        <v>0.15</v>
      </c>
      <c r="W594" s="8" t="n">
        <f aca="false">IF(raw_data!P594="",0,IF(ISTEXT(raw_data!P594),IF(RIGHT(raw_data!P594,1)="%",VALUE(LEFT(raw_data!P594,LEN(raw_data!P594)-1))/100,VALUE(raw_data!P594)),raw_data!P594))</f>
        <v>0.15</v>
      </c>
      <c r="X594" s="3" t="str">
        <f aca="false">IF(raw_data!P594="","Missing - Defaulted to 0",IF(W594&lt;0,"Negative - Invalid",IF(W594&gt;0.3,"Above Allowed Range - Invalid","Valid")))</f>
        <v>Valid</v>
      </c>
      <c r="Y594" s="7" t="n">
        <f aca="false">raw_data!Q594</f>
        <v>29929.59</v>
      </c>
      <c r="Z594" s="7" t="n">
        <f aca="false">raw_data!R594</f>
        <v>22436.03</v>
      </c>
      <c r="AA594" s="7" t="n">
        <f aca="false">raw_data!S594</f>
        <v>7493.56</v>
      </c>
      <c r="AB594" s="3" t="str">
        <f aca="false">PROPER(TRIM(raw_data!T594))</f>
        <v>Paid</v>
      </c>
      <c r="AC594" s="3" t="str">
        <f aca="false">PROPER(TRIM(raw_data!U594))</f>
        <v>Completed</v>
      </c>
      <c r="AD594" s="7" t="n">
        <f aca="false">T594*U594*(1-W594)</f>
        <v>29929.588</v>
      </c>
      <c r="AE594" s="7" t="n">
        <f aca="false">AD594-Z594</f>
        <v>7493.558</v>
      </c>
      <c r="AF594" s="8" t="n">
        <f aca="false">IF(AD594=0,0,AE594/AD594)</f>
        <v>0.250372908574619</v>
      </c>
      <c r="AG594" s="3" t="str">
        <f aca="false">IF(ABS(Y594-AD594)&gt;1,"Mismatch","OK")</f>
        <v>OK</v>
      </c>
      <c r="AH594" s="3" t="str">
        <f aca="false">IF(ABS(AA594-AE594)&gt;1,"Mismatch","OK")</f>
        <v>OK</v>
      </c>
      <c r="AI594" s="6" t="n">
        <f aca="false">IF(B594="","",MONTH(B594))</f>
        <v>3</v>
      </c>
      <c r="AJ594" s="6" t="n">
        <f aca="false">IF(B594="","",YEAR(B594))</f>
        <v>2024</v>
      </c>
      <c r="AK594" s="3" t="str">
        <f aca="false">IF(COUNTIF(raw_data!$A$2:$A$913,A594)&gt;1,"Conflicting Duplicate - Flagged for Review","Unique")</f>
        <v>Unique</v>
      </c>
      <c r="AL594" s="3" t="str">
        <f aca="false">IF(AB594="Refunded","Yes","No")</f>
        <v>No</v>
      </c>
      <c r="AM594" s="3" t="str">
        <f aca="false">IF(OR(AC594&lt;&gt;"Completed",AB594="Failed"),"Excluded","Included")</f>
        <v>Included</v>
      </c>
      <c r="AN594" s="3" t="str">
        <f aca="false">IF(OR(D594="Invalid/Unrecognized",E594="Invalid/Unrecognized",G594="Invalid - Ship Before Order",X594="Negative - Invalid",X594="Above Allowed Range - Invalid",AG594="Mismatch",AH594="Mismatch",AK594="Conflicting Duplicate - Flagged for Review"),"Invalid",IF(OR(L594="Filled - Unknown",S594="Filled - Unknown",X594="Missing - Defaulted to 0",AL594="Yes",AC594="Cancelled",AC594="Returned"),"Warning","Clean"))</f>
        <v>Clean</v>
      </c>
    </row>
    <row r="595" customFormat="false" ht="15" hidden="false" customHeight="false" outlineLevel="0" collapsed="false">
      <c r="A595" s="3" t="str">
        <f aca="false">raw_data!A595</f>
        <v>ORD-2025-10594</v>
      </c>
      <c r="B595" s="4" t="n">
        <f aca="false">IFERROR(IF(MID(raw_data!B595,3,1)="/",DATE(VALUE(RIGHT(raw_data!B595,4)),VALUE(LEFT(raw_data!B595,2)),VALUE(MID(raw_data!B595,4,2))),IF(MID(raw_data!B595,3,1)="-",DATE(VALUE(RIGHT(raw_data!B595,4)),VALUE(MID(raw_data!B595,4,2)),VALUE(LEFT(raw_data!B595,2))),IF(MID(raw_data!B595,5,1)="-",DATE(VALUE(LEFT(raw_data!B595,4)),VALUE(MID(raw_data!B595,6,2)),VALUE(RIGHT(raw_data!B595,2))),DATE(VALUE(RIGHT(raw_data!B595,4)),MATCH(MID(raw_data!B595,4,3),{"Jan","Feb","Mar","Apr","May","Jun","Jul","Aug","Sep","Oct","Nov","Dec"},0),VALUE(LEFT(raw_data!B595,2)))))),"")</f>
        <v>45927</v>
      </c>
      <c r="C595" s="4" t="n">
        <f aca="false">IFERROR(IF(MID(raw_data!C595,3,1)="/",DATE(VALUE(RIGHT(raw_data!C595,4)),VALUE(LEFT(raw_data!C595,2)),VALUE(MID(raw_data!C595,4,2))),IF(MID(raw_data!C595,3,1)="-",DATE(VALUE(RIGHT(raw_data!C595,4)),VALUE(MID(raw_data!C595,4,2)),VALUE(LEFT(raw_data!C595,2))),IF(MID(raw_data!C595,5,1)="-",DATE(VALUE(LEFT(raw_data!C595,4)),VALUE(MID(raw_data!C595,6,2)),VALUE(RIGHT(raw_data!C595,2))),DATE(VALUE(RIGHT(raw_data!C595,4)),MATCH(MID(raw_data!C595,4,3),{"Jan","Feb","Mar","Apr","May","Jun","Jul","Aug","Sep","Oct","Nov","Dec"},0),VALUE(LEFT(raw_data!C595,2)))))),"")</f>
        <v>45929</v>
      </c>
      <c r="D595" s="3" t="str">
        <f aca="false">IF(TRIM(raw_data!B595)="","Missing",IF(B595="","Invalid/Unrecognized","Valid"))</f>
        <v>Valid</v>
      </c>
      <c r="E595" s="3" t="str">
        <f aca="false">IF(TRIM(raw_data!C595)="","Missing",IF(C595="","Invalid/Unrecognized","Valid"))</f>
        <v>Valid</v>
      </c>
      <c r="F595" s="5" t="n">
        <f aca="false">IF(OR(B595="",C595=""),"",C595-B595)</f>
        <v>2</v>
      </c>
      <c r="G595" s="3" t="str">
        <f aca="false">IF(F595="","N/A",IF(F595&lt;0,"Invalid - Ship Before Order","OK"))</f>
        <v>OK</v>
      </c>
      <c r="H595" s="3" t="str">
        <f aca="false">raw_data!D595</f>
        <v>CUST-2917</v>
      </c>
      <c r="I595" s="3" t="str">
        <f aca="false">PROPER(TRIM(raw_data!E595))</f>
        <v>Arjun Bose</v>
      </c>
      <c r="J595" s="3" t="str">
        <f aca="false">PROPER(TRIM(raw_data!F595))</f>
        <v>Home Office</v>
      </c>
      <c r="K595" s="3" t="str">
        <f aca="false">IF(TRIM(raw_data!G595)="","Unknown",PROPER(TRIM(raw_data!G595)))</f>
        <v>North</v>
      </c>
      <c r="L595" s="3" t="str">
        <f aca="false">IF(TRIM(raw_data!G595)="","Filled - Unknown","OK")</f>
        <v>OK</v>
      </c>
      <c r="M595" s="3" t="str">
        <f aca="false">PROPER(TRIM(raw_data!H595))</f>
        <v>Uttar Pradesh</v>
      </c>
      <c r="N595" s="3" t="str">
        <f aca="false">PROPER(TRIM(raw_data!I595))</f>
        <v>Noida</v>
      </c>
      <c r="O595" s="3" t="str">
        <f aca="false">PROPER(TRIM(raw_data!J595))</f>
        <v>Furniture</v>
      </c>
      <c r="P595" s="3" t="str">
        <f aca="false">PROPER(TRIM(raw_data!K595))</f>
        <v>Tables</v>
      </c>
      <c r="Q595" s="3" t="str">
        <f aca="false">TRIM(raw_data!L595)</f>
        <v>Eco Tables 550</v>
      </c>
      <c r="R595" s="3" t="str">
        <f aca="false">IF(TRIM(raw_data!M595)="","Unknown",PROPER(TRIM(raw_data!M595)))</f>
        <v>Second Class</v>
      </c>
      <c r="S595" s="3" t="str">
        <f aca="false">IF(TRIM(raw_data!M595)="","Filled - Unknown","OK")</f>
        <v>OK</v>
      </c>
      <c r="T595" s="6" t="n">
        <f aca="false">raw_data!N595</f>
        <v>9</v>
      </c>
      <c r="U595" s="7" t="n">
        <f aca="false">raw_data!O595</f>
        <v>4100.11</v>
      </c>
      <c r="V595" s="8" t="n">
        <f aca="false">raw_data!P595</f>
        <v>0.25</v>
      </c>
      <c r="W595" s="8" t="n">
        <f aca="false">IF(raw_data!P595="",0,IF(ISTEXT(raw_data!P595),IF(RIGHT(raw_data!P595,1)="%",VALUE(LEFT(raw_data!P595,LEN(raw_data!P595)-1))/100,VALUE(raw_data!P595)),raw_data!P595))</f>
        <v>0.25</v>
      </c>
      <c r="X595" s="3" t="str">
        <f aca="false">IF(raw_data!P595="","Missing - Defaulted to 0",IF(W595&lt;0,"Negative - Invalid",IF(W595&gt;0.3,"Above Allowed Range - Invalid","Valid")))</f>
        <v>Valid</v>
      </c>
      <c r="Y595" s="7" t="n">
        <f aca="false">raw_data!Q595</f>
        <v>27675.74</v>
      </c>
      <c r="Z595" s="7" t="n">
        <f aca="false">raw_data!R595</f>
        <v>15571.08</v>
      </c>
      <c r="AA595" s="7" t="n">
        <f aca="false">raw_data!S595</f>
        <v>12104.66</v>
      </c>
      <c r="AB595" s="3" t="str">
        <f aca="false">PROPER(TRIM(raw_data!T595))</f>
        <v>Paid</v>
      </c>
      <c r="AC595" s="3" t="str">
        <f aca="false">PROPER(TRIM(raw_data!U595))</f>
        <v>Completed</v>
      </c>
      <c r="AD595" s="7" t="n">
        <f aca="false">T595*U595*(1-W595)</f>
        <v>27675.7425</v>
      </c>
      <c r="AE595" s="7" t="n">
        <f aca="false">AD595-Z595</f>
        <v>12104.6625</v>
      </c>
      <c r="AF595" s="8" t="n">
        <f aca="false">IF(AD595=0,0,AE595/AD595)</f>
        <v>0.437374444425475</v>
      </c>
      <c r="AG595" s="3" t="str">
        <f aca="false">IF(ABS(Y595-AD595)&gt;1,"Mismatch","OK")</f>
        <v>OK</v>
      </c>
      <c r="AH595" s="3" t="str">
        <f aca="false">IF(ABS(AA595-AE595)&gt;1,"Mismatch","OK")</f>
        <v>OK</v>
      </c>
      <c r="AI595" s="6" t="n">
        <f aca="false">IF(B595="","",MONTH(B595))</f>
        <v>9</v>
      </c>
      <c r="AJ595" s="6" t="n">
        <f aca="false">IF(B595="","",YEAR(B595))</f>
        <v>2025</v>
      </c>
      <c r="AK595" s="3" t="str">
        <f aca="false">IF(COUNTIF(raw_data!$A$2:$A$913,A595)&gt;1,"Conflicting Duplicate - Flagged for Review","Unique")</f>
        <v>Unique</v>
      </c>
      <c r="AL595" s="3" t="str">
        <f aca="false">IF(AB595="Refunded","Yes","No")</f>
        <v>No</v>
      </c>
      <c r="AM595" s="3" t="str">
        <f aca="false">IF(OR(AC595&lt;&gt;"Completed",AB595="Failed"),"Excluded","Included")</f>
        <v>Included</v>
      </c>
      <c r="AN595" s="3" t="str">
        <f aca="false">IF(OR(D595="Invalid/Unrecognized",E595="Invalid/Unrecognized",G595="Invalid - Ship Before Order",X595="Negative - Invalid",X595="Above Allowed Range - Invalid",AG595="Mismatch",AH595="Mismatch",AK595="Conflicting Duplicate - Flagged for Review"),"Invalid",IF(OR(L595="Filled - Unknown",S595="Filled - Unknown",X595="Missing - Defaulted to 0",AL595="Yes",AC595="Cancelled",AC595="Returned"),"Warning","Clean"))</f>
        <v>Clean</v>
      </c>
    </row>
    <row r="596" customFormat="false" ht="15" hidden="false" customHeight="false" outlineLevel="0" collapsed="false">
      <c r="A596" s="3" t="str">
        <f aca="false">raw_data!A596</f>
        <v>ORD-2024-10595</v>
      </c>
      <c r="B596" s="4" t="n">
        <f aca="false">IFERROR(IF(MID(raw_data!B596,3,1)="/",DATE(VALUE(RIGHT(raw_data!B596,4)),VALUE(LEFT(raw_data!B596,2)),VALUE(MID(raw_data!B596,4,2))),IF(MID(raw_data!B596,3,1)="-",DATE(VALUE(RIGHT(raw_data!B596,4)),VALUE(MID(raw_data!B596,4,2)),VALUE(LEFT(raw_data!B596,2))),IF(MID(raw_data!B596,5,1)="-",DATE(VALUE(LEFT(raw_data!B596,4)),VALUE(MID(raw_data!B596,6,2)),VALUE(RIGHT(raw_data!B596,2))),DATE(VALUE(RIGHT(raw_data!B596,4)),MATCH(MID(raw_data!B596,4,3),{"Jan","Feb","Mar","Apr","May","Jun","Jul","Aug","Sep","Oct","Nov","Dec"},0),VALUE(LEFT(raw_data!B596,2)))))),"")</f>
        <v>45554</v>
      </c>
      <c r="C596" s="4" t="n">
        <f aca="false">IFERROR(IF(MID(raw_data!C596,3,1)="/",DATE(VALUE(RIGHT(raw_data!C596,4)),VALUE(LEFT(raw_data!C596,2)),VALUE(MID(raw_data!C596,4,2))),IF(MID(raw_data!C596,3,1)="-",DATE(VALUE(RIGHT(raw_data!C596,4)),VALUE(MID(raw_data!C596,4,2)),VALUE(LEFT(raw_data!C596,2))),IF(MID(raw_data!C596,5,1)="-",DATE(VALUE(LEFT(raw_data!C596,4)),VALUE(MID(raw_data!C596,6,2)),VALUE(RIGHT(raw_data!C596,2))),DATE(VALUE(RIGHT(raw_data!C596,4)),MATCH(MID(raw_data!C596,4,3),{"Jan","Feb","Mar","Apr","May","Jun","Jul","Aug","Sep","Oct","Nov","Dec"},0),VALUE(LEFT(raw_data!C596,2)))))),"")</f>
        <v>45556</v>
      </c>
      <c r="D596" s="3" t="str">
        <f aca="false">IF(TRIM(raw_data!B596)="","Missing",IF(B596="","Invalid/Unrecognized","Valid"))</f>
        <v>Valid</v>
      </c>
      <c r="E596" s="3" t="str">
        <f aca="false">IF(TRIM(raw_data!C596)="","Missing",IF(C596="","Invalid/Unrecognized","Valid"))</f>
        <v>Valid</v>
      </c>
      <c r="F596" s="5" t="n">
        <f aca="false">IF(OR(B596="",C596=""),"",C596-B596)</f>
        <v>2</v>
      </c>
      <c r="G596" s="3" t="str">
        <f aca="false">IF(F596="","N/A",IF(F596&lt;0,"Invalid - Ship Before Order","OK"))</f>
        <v>OK</v>
      </c>
      <c r="H596" s="3" t="str">
        <f aca="false">raw_data!D596</f>
        <v>CUST-6850</v>
      </c>
      <c r="I596" s="3" t="str">
        <f aca="false">PROPER(TRIM(raw_data!E596))</f>
        <v>Karan Malhotra</v>
      </c>
      <c r="J596" s="3" t="str">
        <f aca="false">PROPER(TRIM(raw_data!F596))</f>
        <v>Small Business</v>
      </c>
      <c r="K596" s="3" t="str">
        <f aca="false">IF(TRIM(raw_data!G596)="","Unknown",PROPER(TRIM(raw_data!G596)))</f>
        <v>East</v>
      </c>
      <c r="L596" s="3" t="str">
        <f aca="false">IF(TRIM(raw_data!G596)="","Filled - Unknown","OK")</f>
        <v>OK</v>
      </c>
      <c r="M596" s="3" t="str">
        <f aca="false">PROPER(TRIM(raw_data!H596))</f>
        <v>West Bengal</v>
      </c>
      <c r="N596" s="3" t="str">
        <f aca="false">PROPER(TRIM(raw_data!I596))</f>
        <v>Kolkata</v>
      </c>
      <c r="O596" s="3" t="str">
        <f aca="false">PROPER(TRIM(raw_data!J596))</f>
        <v>Furniture</v>
      </c>
      <c r="P596" s="3" t="str">
        <f aca="false">PROPER(TRIM(raw_data!K596))</f>
        <v>Chairs</v>
      </c>
      <c r="Q596" s="3" t="str">
        <f aca="false">TRIM(raw_data!L596)</f>
        <v>Basic Chairs 932</v>
      </c>
      <c r="R596" s="3" t="str">
        <f aca="false">IF(TRIM(raw_data!M596)="","Unknown",PROPER(TRIM(raw_data!M596)))</f>
        <v>First Class</v>
      </c>
      <c r="S596" s="3" t="str">
        <f aca="false">IF(TRIM(raw_data!M596)="","Filled - Unknown","OK")</f>
        <v>OK</v>
      </c>
      <c r="T596" s="6" t="n">
        <f aca="false">raw_data!N596</f>
        <v>3</v>
      </c>
      <c r="U596" s="7" t="n">
        <f aca="false">raw_data!O596</f>
        <v>3981.76</v>
      </c>
      <c r="V596" s="8" t="n">
        <f aca="false">raw_data!P596</f>
        <v>0</v>
      </c>
      <c r="W596" s="8" t="n">
        <f aca="false">IF(raw_data!P596="",0,IF(ISTEXT(raw_data!P596),IF(RIGHT(raw_data!P596,1)="%",VALUE(LEFT(raw_data!P596,LEN(raw_data!P596)-1))/100,VALUE(raw_data!P596)),raw_data!P596))</f>
        <v>0</v>
      </c>
      <c r="X596" s="3" t="str">
        <f aca="false">IF(raw_data!P596="","Missing - Defaulted to 0",IF(W596&lt;0,"Negative - Invalid",IF(W596&gt;0.3,"Above Allowed Range - Invalid","Valid")))</f>
        <v>Valid</v>
      </c>
      <c r="Y596" s="7" t="n">
        <f aca="false">raw_data!Q596</f>
        <v>11945.28</v>
      </c>
      <c r="Z596" s="7" t="n">
        <f aca="false">raw_data!R596</f>
        <v>9700.31</v>
      </c>
      <c r="AA596" s="7" t="n">
        <f aca="false">raw_data!S596</f>
        <v>2244.97</v>
      </c>
      <c r="AB596" s="3" t="str">
        <f aca="false">PROPER(TRIM(raw_data!T596))</f>
        <v>Paid</v>
      </c>
      <c r="AC596" s="3" t="str">
        <f aca="false">PROPER(TRIM(raw_data!U596))</f>
        <v>Completed</v>
      </c>
      <c r="AD596" s="7" t="n">
        <f aca="false">T596*U596*(1-W596)</f>
        <v>11945.28</v>
      </c>
      <c r="AE596" s="7" t="n">
        <f aca="false">AD596-Z596</f>
        <v>2244.97</v>
      </c>
      <c r="AF596" s="8" t="n">
        <f aca="false">IF(AD596=0,0,AE596/AD596)</f>
        <v>0.187937829837392</v>
      </c>
      <c r="AG596" s="3" t="str">
        <f aca="false">IF(ABS(Y596-AD596)&gt;1,"Mismatch","OK")</f>
        <v>OK</v>
      </c>
      <c r="AH596" s="3" t="str">
        <f aca="false">IF(ABS(AA596-AE596)&gt;1,"Mismatch","OK")</f>
        <v>OK</v>
      </c>
      <c r="AI596" s="6" t="n">
        <f aca="false">IF(B596="","",MONTH(B596))</f>
        <v>9</v>
      </c>
      <c r="AJ596" s="6" t="n">
        <f aca="false">IF(B596="","",YEAR(B596))</f>
        <v>2024</v>
      </c>
      <c r="AK596" s="3" t="str">
        <f aca="false">IF(COUNTIF(raw_data!$A$2:$A$913,A596)&gt;1,"Conflicting Duplicate - Flagged for Review","Unique")</f>
        <v>Unique</v>
      </c>
      <c r="AL596" s="3" t="str">
        <f aca="false">IF(AB596="Refunded","Yes","No")</f>
        <v>No</v>
      </c>
      <c r="AM596" s="3" t="str">
        <f aca="false">IF(OR(AC596&lt;&gt;"Completed",AB596="Failed"),"Excluded","Included")</f>
        <v>Included</v>
      </c>
      <c r="AN596" s="3" t="str">
        <f aca="false">IF(OR(D596="Invalid/Unrecognized",E596="Invalid/Unrecognized",G596="Invalid - Ship Before Order",X596="Negative - Invalid",X596="Above Allowed Range - Invalid",AG596="Mismatch",AH596="Mismatch",AK596="Conflicting Duplicate - Flagged for Review"),"Invalid",IF(OR(L596="Filled - Unknown",S596="Filled - Unknown",X596="Missing - Defaulted to 0",AL596="Yes",AC596="Cancelled",AC596="Returned"),"Warning","Clean"))</f>
        <v>Clean</v>
      </c>
    </row>
    <row r="597" customFormat="false" ht="15" hidden="false" customHeight="false" outlineLevel="0" collapsed="false">
      <c r="A597" s="3" t="str">
        <f aca="false">raw_data!A597</f>
        <v>ORD-2025-10596</v>
      </c>
      <c r="B597" s="4" t="n">
        <f aca="false">IFERROR(IF(MID(raw_data!B597,3,1)="/",DATE(VALUE(RIGHT(raw_data!B597,4)),VALUE(LEFT(raw_data!B597,2)),VALUE(MID(raw_data!B597,4,2))),IF(MID(raw_data!B597,3,1)="-",DATE(VALUE(RIGHT(raw_data!B597,4)),VALUE(MID(raw_data!B597,4,2)),VALUE(LEFT(raw_data!B597,2))),IF(MID(raw_data!B597,5,1)="-",DATE(VALUE(LEFT(raw_data!B597,4)),VALUE(MID(raw_data!B597,6,2)),VALUE(RIGHT(raw_data!B597,2))),DATE(VALUE(RIGHT(raw_data!B597,4)),MATCH(MID(raw_data!B597,4,3),{"Jan","Feb","Mar","Apr","May","Jun","Jul","Aug","Sep","Oct","Nov","Dec"},0),VALUE(LEFT(raw_data!B597,2)))))),"")</f>
        <v>45699</v>
      </c>
      <c r="C597" s="4" t="n">
        <f aca="false">IFERROR(IF(MID(raw_data!C597,3,1)="/",DATE(VALUE(RIGHT(raw_data!C597,4)),VALUE(LEFT(raw_data!C597,2)),VALUE(MID(raw_data!C597,4,2))),IF(MID(raw_data!C597,3,1)="-",DATE(VALUE(RIGHT(raw_data!C597,4)),VALUE(MID(raw_data!C597,4,2)),VALUE(LEFT(raw_data!C597,2))),IF(MID(raw_data!C597,5,1)="-",DATE(VALUE(LEFT(raw_data!C597,4)),VALUE(MID(raw_data!C597,6,2)),VALUE(RIGHT(raw_data!C597,2))),DATE(VALUE(RIGHT(raw_data!C597,4)),MATCH(MID(raw_data!C597,4,3),{"Jan","Feb","Mar","Apr","May","Jun","Jul","Aug","Sep","Oct","Nov","Dec"},0),VALUE(LEFT(raw_data!C597,2)))))),"")</f>
        <v>45704</v>
      </c>
      <c r="D597" s="3" t="str">
        <f aca="false">IF(TRIM(raw_data!B597)="","Missing",IF(B597="","Invalid/Unrecognized","Valid"))</f>
        <v>Valid</v>
      </c>
      <c r="E597" s="3" t="str">
        <f aca="false">IF(TRIM(raw_data!C597)="","Missing",IF(C597="","Invalid/Unrecognized","Valid"))</f>
        <v>Valid</v>
      </c>
      <c r="F597" s="5" t="n">
        <f aca="false">IF(OR(B597="",C597=""),"",C597-B597)</f>
        <v>5</v>
      </c>
      <c r="G597" s="3" t="str">
        <f aca="false">IF(F597="","N/A",IF(F597&lt;0,"Invalid - Ship Before Order","OK"))</f>
        <v>OK</v>
      </c>
      <c r="H597" s="3" t="str">
        <f aca="false">raw_data!D597</f>
        <v>CUST-5566</v>
      </c>
      <c r="I597" s="3" t="str">
        <f aca="false">PROPER(TRIM(raw_data!E597))</f>
        <v>Mira Das</v>
      </c>
      <c r="J597" s="3" t="str">
        <f aca="false">PROPER(TRIM(raw_data!F597))</f>
        <v>Corporate</v>
      </c>
      <c r="K597" s="3" t="str">
        <f aca="false">IF(TRIM(raw_data!G597)="","Unknown",PROPER(TRIM(raw_data!G597)))</f>
        <v>North</v>
      </c>
      <c r="L597" s="3" t="str">
        <f aca="false">IF(TRIM(raw_data!G597)="","Filled - Unknown","OK")</f>
        <v>OK</v>
      </c>
      <c r="M597" s="3" t="str">
        <f aca="false">PROPER(TRIM(raw_data!H597))</f>
        <v>Uttar Pradesh</v>
      </c>
      <c r="N597" s="3" t="str">
        <f aca="false">PROPER(TRIM(raw_data!I597))</f>
        <v>Noida</v>
      </c>
      <c r="O597" s="3" t="str">
        <f aca="false">PROPER(TRIM(raw_data!J597))</f>
        <v>Technology</v>
      </c>
      <c r="P597" s="3" t="str">
        <f aca="false">PROPER(TRIM(raw_data!K597))</f>
        <v>Phones</v>
      </c>
      <c r="Q597" s="3" t="str">
        <f aca="false">TRIM(raw_data!L597)</f>
        <v>Classic Phones 294</v>
      </c>
      <c r="R597" s="3" t="str">
        <f aca="false">IF(TRIM(raw_data!M597)="","Unknown",PROPER(TRIM(raw_data!M597)))</f>
        <v>First Class</v>
      </c>
      <c r="S597" s="3" t="str">
        <f aca="false">IF(TRIM(raw_data!M597)="","Filled - Unknown","OK")</f>
        <v>OK</v>
      </c>
      <c r="T597" s="6" t="n">
        <f aca="false">raw_data!N597</f>
        <v>8</v>
      </c>
      <c r="U597" s="7" t="n">
        <f aca="false">raw_data!O597</f>
        <v>1825.56</v>
      </c>
      <c r="V597" s="8" t="n">
        <f aca="false">raw_data!P597</f>
        <v>0.1</v>
      </c>
      <c r="W597" s="8" t="n">
        <f aca="false">IF(raw_data!P597="",0,IF(ISTEXT(raw_data!P597),IF(RIGHT(raw_data!P597,1)="%",VALUE(LEFT(raw_data!P597,LEN(raw_data!P597)-1))/100,VALUE(raw_data!P597)),raw_data!P597))</f>
        <v>0.1</v>
      </c>
      <c r="X597" s="3" t="str">
        <f aca="false">IF(raw_data!P597="","Missing - Defaulted to 0",IF(W597&lt;0,"Negative - Invalid",IF(W597&gt;0.3,"Above Allowed Range - Invalid","Valid")))</f>
        <v>Valid</v>
      </c>
      <c r="Y597" s="7" t="n">
        <f aca="false">raw_data!Q597</f>
        <v>13144.03</v>
      </c>
      <c r="Z597" s="7" t="n">
        <f aca="false">raw_data!R597</f>
        <v>9764</v>
      </c>
      <c r="AA597" s="7" t="n">
        <f aca="false">raw_data!S597</f>
        <v>3380.03</v>
      </c>
      <c r="AB597" s="3" t="str">
        <f aca="false">PROPER(TRIM(raw_data!T597))</f>
        <v>Paid</v>
      </c>
      <c r="AC597" s="3" t="str">
        <f aca="false">PROPER(TRIM(raw_data!U597))</f>
        <v>Completed</v>
      </c>
      <c r="AD597" s="7" t="n">
        <f aca="false">T597*U597*(1-W597)</f>
        <v>13144.032</v>
      </c>
      <c r="AE597" s="7" t="n">
        <f aca="false">AD597-Z597</f>
        <v>3380.032</v>
      </c>
      <c r="AF597" s="8" t="n">
        <f aca="false">IF(AD597=0,0,AE597/AD597)</f>
        <v>0.25715336055177</v>
      </c>
      <c r="AG597" s="3" t="str">
        <f aca="false">IF(ABS(Y597-AD597)&gt;1,"Mismatch","OK")</f>
        <v>OK</v>
      </c>
      <c r="AH597" s="3" t="str">
        <f aca="false">IF(ABS(AA597-AE597)&gt;1,"Mismatch","OK")</f>
        <v>OK</v>
      </c>
      <c r="AI597" s="6" t="n">
        <f aca="false">IF(B597="","",MONTH(B597))</f>
        <v>2</v>
      </c>
      <c r="AJ597" s="6" t="n">
        <f aca="false">IF(B597="","",YEAR(B597))</f>
        <v>2025</v>
      </c>
      <c r="AK597" s="3" t="str">
        <f aca="false">IF(COUNTIF(raw_data!$A$2:$A$913,A597)&gt;1,"Conflicting Duplicate - Flagged for Review","Unique")</f>
        <v>Unique</v>
      </c>
      <c r="AL597" s="3" t="str">
        <f aca="false">IF(AB597="Refunded","Yes","No")</f>
        <v>No</v>
      </c>
      <c r="AM597" s="3" t="str">
        <f aca="false">IF(OR(AC597&lt;&gt;"Completed",AB597="Failed"),"Excluded","Included")</f>
        <v>Included</v>
      </c>
      <c r="AN597" s="3" t="str">
        <f aca="false">IF(OR(D597="Invalid/Unrecognized",E597="Invalid/Unrecognized",G597="Invalid - Ship Before Order",X597="Negative - Invalid",X597="Above Allowed Range - Invalid",AG597="Mismatch",AH597="Mismatch",AK597="Conflicting Duplicate - Flagged for Review"),"Invalid",IF(OR(L597="Filled - Unknown",S597="Filled - Unknown",X597="Missing - Defaulted to 0",AL597="Yes",AC597="Cancelled",AC597="Returned"),"Warning","Clean"))</f>
        <v>Clean</v>
      </c>
    </row>
    <row r="598" customFormat="false" ht="15" hidden="false" customHeight="false" outlineLevel="0" collapsed="false">
      <c r="A598" s="3" t="str">
        <f aca="false">raw_data!A598</f>
        <v>ORD-2024-10597</v>
      </c>
      <c r="B598" s="4" t="n">
        <f aca="false">IFERROR(IF(MID(raw_data!B598,3,1)="/",DATE(VALUE(RIGHT(raw_data!B598,4)),VALUE(LEFT(raw_data!B598,2)),VALUE(MID(raw_data!B598,4,2))),IF(MID(raw_data!B598,3,1)="-",DATE(VALUE(RIGHT(raw_data!B598,4)),VALUE(MID(raw_data!B598,4,2)),VALUE(LEFT(raw_data!B598,2))),IF(MID(raw_data!B598,5,1)="-",DATE(VALUE(LEFT(raw_data!B598,4)),VALUE(MID(raw_data!B598,6,2)),VALUE(RIGHT(raw_data!B598,2))),DATE(VALUE(RIGHT(raw_data!B598,4)),MATCH(MID(raw_data!B598,4,3),{"Jan","Feb","Mar","Apr","May","Jun","Jul","Aug","Sep","Oct","Nov","Dec"},0),VALUE(LEFT(raw_data!B598,2)))))),"")</f>
        <v>45392</v>
      </c>
      <c r="C598" s="4" t="n">
        <f aca="false">IFERROR(IF(MID(raw_data!C598,3,1)="/",DATE(VALUE(RIGHT(raw_data!C598,4)),VALUE(LEFT(raw_data!C598,2)),VALUE(MID(raw_data!C598,4,2))),IF(MID(raw_data!C598,3,1)="-",DATE(VALUE(RIGHT(raw_data!C598,4)),VALUE(MID(raw_data!C598,4,2)),VALUE(LEFT(raw_data!C598,2))),IF(MID(raw_data!C598,5,1)="-",DATE(VALUE(LEFT(raw_data!C598,4)),VALUE(MID(raw_data!C598,6,2)),VALUE(RIGHT(raw_data!C598,2))),DATE(VALUE(RIGHT(raw_data!C598,4)),MATCH(MID(raw_data!C598,4,3),{"Jan","Feb","Mar","Apr","May","Jun","Jul","Aug","Sep","Oct","Nov","Dec"},0),VALUE(LEFT(raw_data!C598,2)))))),"")</f>
        <v>45398</v>
      </c>
      <c r="D598" s="3" t="str">
        <f aca="false">IF(TRIM(raw_data!B598)="","Missing",IF(B598="","Invalid/Unrecognized","Valid"))</f>
        <v>Valid</v>
      </c>
      <c r="E598" s="3" t="str">
        <f aca="false">IF(TRIM(raw_data!C598)="","Missing",IF(C598="","Invalid/Unrecognized","Valid"))</f>
        <v>Valid</v>
      </c>
      <c r="F598" s="5" t="n">
        <f aca="false">IF(OR(B598="",C598=""),"",C598-B598)</f>
        <v>6</v>
      </c>
      <c r="G598" s="3" t="str">
        <f aca="false">IF(F598="","N/A",IF(F598&lt;0,"Invalid - Ship Before Order","OK"))</f>
        <v>OK</v>
      </c>
      <c r="H598" s="3" t="str">
        <f aca="false">raw_data!D598</f>
        <v>CUST-2593</v>
      </c>
      <c r="I598" s="3" t="str">
        <f aca="false">PROPER(TRIM(raw_data!E598))</f>
        <v>Aditi Sen</v>
      </c>
      <c r="J598" s="3" t="str">
        <f aca="false">PROPER(TRIM(raw_data!F598))</f>
        <v>Consumer</v>
      </c>
      <c r="K598" s="3" t="str">
        <f aca="false">IF(TRIM(raw_data!G598)="","Unknown",PROPER(TRIM(raw_data!G598)))</f>
        <v>South</v>
      </c>
      <c r="L598" s="3" t="str">
        <f aca="false">IF(TRIM(raw_data!G598)="","Filled - Unknown","OK")</f>
        <v>OK</v>
      </c>
      <c r="M598" s="3" t="str">
        <f aca="false">PROPER(TRIM(raw_data!H598))</f>
        <v>Kerala</v>
      </c>
      <c r="N598" s="3" t="str">
        <f aca="false">PROPER(TRIM(raw_data!I598))</f>
        <v>Kochi</v>
      </c>
      <c r="O598" s="3" t="str">
        <f aca="false">PROPER(TRIM(raw_data!J598))</f>
        <v>Furniture</v>
      </c>
      <c r="P598" s="3" t="str">
        <f aca="false">PROPER(TRIM(raw_data!K598))</f>
        <v>Chairs</v>
      </c>
      <c r="Q598" s="3" t="str">
        <f aca="false">TRIM(raw_data!L598)</f>
        <v>Elite Chairs 700</v>
      </c>
      <c r="R598" s="3" t="str">
        <f aca="false">IF(TRIM(raw_data!M598)="","Unknown",PROPER(TRIM(raw_data!M598)))</f>
        <v>Second Class</v>
      </c>
      <c r="S598" s="3" t="str">
        <f aca="false">IF(TRIM(raw_data!M598)="","Filled - Unknown","OK")</f>
        <v>OK</v>
      </c>
      <c r="T598" s="6" t="n">
        <f aca="false">raw_data!N598</f>
        <v>9</v>
      </c>
      <c r="U598" s="7" t="n">
        <f aca="false">raw_data!O598</f>
        <v>2723.26</v>
      </c>
      <c r="V598" s="8" t="n">
        <f aca="false">raw_data!P598</f>
        <v>0.25</v>
      </c>
      <c r="W598" s="8" t="n">
        <f aca="false">IF(raw_data!P598="",0,IF(ISTEXT(raw_data!P598),IF(RIGHT(raw_data!P598,1)="%",VALUE(LEFT(raw_data!P598,LEN(raw_data!P598)-1))/100,VALUE(raw_data!P598)),raw_data!P598))</f>
        <v>0.25</v>
      </c>
      <c r="X598" s="3" t="str">
        <f aca="false">IF(raw_data!P598="","Missing - Defaulted to 0",IF(W598&lt;0,"Negative - Invalid",IF(W598&gt;0.3,"Above Allowed Range - Invalid","Valid")))</f>
        <v>Valid</v>
      </c>
      <c r="Y598" s="7" t="n">
        <f aca="false">raw_data!Q598</f>
        <v>18382.01</v>
      </c>
      <c r="Z598" s="7" t="n">
        <f aca="false">raw_data!R598</f>
        <v>13108.2</v>
      </c>
      <c r="AA598" s="7" t="n">
        <f aca="false">raw_data!S598</f>
        <v>5273.81</v>
      </c>
      <c r="AB598" s="3" t="str">
        <f aca="false">PROPER(TRIM(raw_data!T598))</f>
        <v>Paid</v>
      </c>
      <c r="AC598" s="3" t="str">
        <f aca="false">PROPER(TRIM(raw_data!U598))</f>
        <v>Completed</v>
      </c>
      <c r="AD598" s="7" t="n">
        <f aca="false">T598*U598*(1-W598)</f>
        <v>18382.005</v>
      </c>
      <c r="AE598" s="7" t="n">
        <f aca="false">AD598-Z598</f>
        <v>5273.805</v>
      </c>
      <c r="AF598" s="8" t="n">
        <f aca="false">IF(AD598=0,0,AE598/AD598)</f>
        <v>0.286900422451196</v>
      </c>
      <c r="AG598" s="3" t="str">
        <f aca="false">IF(ABS(Y598-AD598)&gt;1,"Mismatch","OK")</f>
        <v>OK</v>
      </c>
      <c r="AH598" s="3" t="str">
        <f aca="false">IF(ABS(AA598-AE598)&gt;1,"Mismatch","OK")</f>
        <v>OK</v>
      </c>
      <c r="AI598" s="6" t="n">
        <f aca="false">IF(B598="","",MONTH(B598))</f>
        <v>4</v>
      </c>
      <c r="AJ598" s="6" t="n">
        <f aca="false">IF(B598="","",YEAR(B598))</f>
        <v>2024</v>
      </c>
      <c r="AK598" s="3" t="str">
        <f aca="false">IF(COUNTIF(raw_data!$A$2:$A$913,A598)&gt;1,"Conflicting Duplicate - Flagged for Review","Unique")</f>
        <v>Unique</v>
      </c>
      <c r="AL598" s="3" t="str">
        <f aca="false">IF(AB598="Refunded","Yes","No")</f>
        <v>No</v>
      </c>
      <c r="AM598" s="3" t="str">
        <f aca="false">IF(OR(AC598&lt;&gt;"Completed",AB598="Failed"),"Excluded","Included")</f>
        <v>Included</v>
      </c>
      <c r="AN598" s="3" t="str">
        <f aca="false">IF(OR(D598="Invalid/Unrecognized",E598="Invalid/Unrecognized",G598="Invalid - Ship Before Order",X598="Negative - Invalid",X598="Above Allowed Range - Invalid",AG598="Mismatch",AH598="Mismatch",AK598="Conflicting Duplicate - Flagged for Review"),"Invalid",IF(OR(L598="Filled - Unknown",S598="Filled - Unknown",X598="Missing - Defaulted to 0",AL598="Yes",AC598="Cancelled",AC598="Returned"),"Warning","Clean"))</f>
        <v>Clean</v>
      </c>
    </row>
    <row r="599" customFormat="false" ht="15" hidden="false" customHeight="false" outlineLevel="0" collapsed="false">
      <c r="A599" s="3" t="str">
        <f aca="false">raw_data!A599</f>
        <v>ORD-2025-10598</v>
      </c>
      <c r="B599" s="4" t="n">
        <f aca="false">IFERROR(IF(MID(raw_data!B599,3,1)="/",DATE(VALUE(RIGHT(raw_data!B599,4)),VALUE(LEFT(raw_data!B599,2)),VALUE(MID(raw_data!B599,4,2))),IF(MID(raw_data!B599,3,1)="-",DATE(VALUE(RIGHT(raw_data!B599,4)),VALUE(MID(raw_data!B599,4,2)),VALUE(LEFT(raw_data!B599,2))),IF(MID(raw_data!B599,5,1)="-",DATE(VALUE(LEFT(raw_data!B599,4)),VALUE(MID(raw_data!B599,6,2)),VALUE(RIGHT(raw_data!B599,2))),DATE(VALUE(RIGHT(raw_data!B599,4)),MATCH(MID(raw_data!B599,4,3),{"Jan","Feb","Mar","Apr","May","Jun","Jul","Aug","Sep","Oct","Nov","Dec"},0),VALUE(LEFT(raw_data!B599,2)))))),"")</f>
        <v>45846</v>
      </c>
      <c r="C599" s="4" t="n">
        <f aca="false">IFERROR(IF(MID(raw_data!C599,3,1)="/",DATE(VALUE(RIGHT(raw_data!C599,4)),VALUE(LEFT(raw_data!C599,2)),VALUE(MID(raw_data!C599,4,2))),IF(MID(raw_data!C599,3,1)="-",DATE(VALUE(RIGHT(raw_data!C599,4)),VALUE(MID(raw_data!C599,4,2)),VALUE(LEFT(raw_data!C599,2))),IF(MID(raw_data!C599,5,1)="-",DATE(VALUE(LEFT(raw_data!C599,4)),VALUE(MID(raw_data!C599,6,2)),VALUE(RIGHT(raw_data!C599,2))),DATE(VALUE(RIGHT(raw_data!C599,4)),MATCH(MID(raw_data!C599,4,3),{"Jan","Feb","Mar","Apr","May","Jun","Jul","Aug","Sep","Oct","Nov","Dec"},0),VALUE(LEFT(raw_data!C599,2)))))),"")</f>
        <v>45846</v>
      </c>
      <c r="D599" s="3" t="str">
        <f aca="false">IF(TRIM(raw_data!B599)="","Missing",IF(B599="","Invalid/Unrecognized","Valid"))</f>
        <v>Valid</v>
      </c>
      <c r="E599" s="3" t="str">
        <f aca="false">IF(TRIM(raw_data!C599)="","Missing",IF(C599="","Invalid/Unrecognized","Valid"))</f>
        <v>Valid</v>
      </c>
      <c r="F599" s="5" t="n">
        <f aca="false">IF(OR(B599="",C599=""),"",C599-B599)</f>
        <v>0</v>
      </c>
      <c r="G599" s="3" t="str">
        <f aca="false">IF(F599="","N/A",IF(F599&lt;0,"Invalid - Ship Before Order","OK"))</f>
        <v>OK</v>
      </c>
      <c r="H599" s="3" t="str">
        <f aca="false">raw_data!D599</f>
        <v>CUST-6957</v>
      </c>
      <c r="I599" s="3" t="str">
        <f aca="false">PROPER(TRIM(raw_data!E599))</f>
        <v>Aditi Sen</v>
      </c>
      <c r="J599" s="3" t="str">
        <f aca="false">PROPER(TRIM(raw_data!F599))</f>
        <v>Consumer</v>
      </c>
      <c r="K599" s="3" t="str">
        <f aca="false">IF(TRIM(raw_data!G599)="","Unknown",PROPER(TRIM(raw_data!G599)))</f>
        <v>South</v>
      </c>
      <c r="L599" s="3" t="str">
        <f aca="false">IF(TRIM(raw_data!G599)="","Filled - Unknown","OK")</f>
        <v>OK</v>
      </c>
      <c r="M599" s="3" t="str">
        <f aca="false">PROPER(TRIM(raw_data!H599))</f>
        <v>Telangana</v>
      </c>
      <c r="N599" s="3" t="str">
        <f aca="false">PROPER(TRIM(raw_data!I599))</f>
        <v>Hyderabad</v>
      </c>
      <c r="O599" s="3" t="str">
        <f aca="false">PROPER(TRIM(raw_data!J599))</f>
        <v>Technology</v>
      </c>
      <c r="P599" s="3" t="str">
        <f aca="false">PROPER(TRIM(raw_data!K599))</f>
        <v>Copiers</v>
      </c>
      <c r="Q599" s="3" t="str">
        <f aca="false">TRIM(raw_data!L599)</f>
        <v>Prime Copiers 969</v>
      </c>
      <c r="R599" s="3" t="str">
        <f aca="false">IF(TRIM(raw_data!M599)="","Unknown",PROPER(TRIM(raw_data!M599)))</f>
        <v>Same Day</v>
      </c>
      <c r="S599" s="3" t="str">
        <f aca="false">IF(TRIM(raw_data!M599)="","Filled - Unknown","OK")</f>
        <v>OK</v>
      </c>
      <c r="T599" s="6" t="n">
        <f aca="false">raw_data!N599</f>
        <v>9</v>
      </c>
      <c r="U599" s="7" t="n">
        <f aca="false">raw_data!O599</f>
        <v>274.88</v>
      </c>
      <c r="V599" s="8" t="n">
        <f aca="false">raw_data!P599</f>
        <v>0.25</v>
      </c>
      <c r="W599" s="8" t="n">
        <f aca="false">IF(raw_data!P599="",0,IF(ISTEXT(raw_data!P599),IF(RIGHT(raw_data!P599,1)="%",VALUE(LEFT(raw_data!P599,LEN(raw_data!P599)-1))/100,VALUE(raw_data!P599)),raw_data!P599))</f>
        <v>0.25</v>
      </c>
      <c r="X599" s="3" t="str">
        <f aca="false">IF(raw_data!P599="","Missing - Defaulted to 0",IF(W599&lt;0,"Negative - Invalid",IF(W599&gt;0.3,"Above Allowed Range - Invalid","Valid")))</f>
        <v>Valid</v>
      </c>
      <c r="Y599" s="7" t="n">
        <f aca="false">raw_data!Q599</f>
        <v>1855.44</v>
      </c>
      <c r="Z599" s="7" t="n">
        <f aca="false">raw_data!R599</f>
        <v>1262.74</v>
      </c>
      <c r="AA599" s="7" t="n">
        <f aca="false">raw_data!S599</f>
        <v>592.7</v>
      </c>
      <c r="AB599" s="3" t="str">
        <f aca="false">PROPER(TRIM(raw_data!T599))</f>
        <v>Paid</v>
      </c>
      <c r="AC599" s="3" t="str">
        <f aca="false">PROPER(TRIM(raw_data!U599))</f>
        <v>Completed</v>
      </c>
      <c r="AD599" s="7" t="n">
        <f aca="false">T599*U599*(1-W599)</f>
        <v>1855.44</v>
      </c>
      <c r="AE599" s="7" t="n">
        <f aca="false">AD599-Z599</f>
        <v>592.7</v>
      </c>
      <c r="AF599" s="8" t="n">
        <f aca="false">IF(AD599=0,0,AE599/AD599)</f>
        <v>0.319439054887251</v>
      </c>
      <c r="AG599" s="3" t="str">
        <f aca="false">IF(ABS(Y599-AD599)&gt;1,"Mismatch","OK")</f>
        <v>OK</v>
      </c>
      <c r="AH599" s="3" t="str">
        <f aca="false">IF(ABS(AA599-AE599)&gt;1,"Mismatch","OK")</f>
        <v>OK</v>
      </c>
      <c r="AI599" s="6" t="n">
        <f aca="false">IF(B599="","",MONTH(B599))</f>
        <v>7</v>
      </c>
      <c r="AJ599" s="6" t="n">
        <f aca="false">IF(B599="","",YEAR(B599))</f>
        <v>2025</v>
      </c>
      <c r="AK599" s="3" t="str">
        <f aca="false">IF(COUNTIF(raw_data!$A$2:$A$913,A599)&gt;1,"Conflicting Duplicate - Flagged for Review","Unique")</f>
        <v>Unique</v>
      </c>
      <c r="AL599" s="3" t="str">
        <f aca="false">IF(AB599="Refunded","Yes","No")</f>
        <v>No</v>
      </c>
      <c r="AM599" s="3" t="str">
        <f aca="false">IF(OR(AC599&lt;&gt;"Completed",AB599="Failed"),"Excluded","Included")</f>
        <v>Included</v>
      </c>
      <c r="AN599" s="3" t="str">
        <f aca="false">IF(OR(D599="Invalid/Unrecognized",E599="Invalid/Unrecognized",G599="Invalid - Ship Before Order",X599="Negative - Invalid",X599="Above Allowed Range - Invalid",AG599="Mismatch",AH599="Mismatch",AK599="Conflicting Duplicate - Flagged for Review"),"Invalid",IF(OR(L599="Filled - Unknown",S599="Filled - Unknown",X599="Missing - Defaulted to 0",AL599="Yes",AC599="Cancelled",AC599="Returned"),"Warning","Clean"))</f>
        <v>Clean</v>
      </c>
    </row>
    <row r="600" customFormat="false" ht="15" hidden="false" customHeight="false" outlineLevel="0" collapsed="false">
      <c r="A600" s="3" t="str">
        <f aca="false">raw_data!A600</f>
        <v>ORD-2024-10599</v>
      </c>
      <c r="B600" s="4" t="n">
        <f aca="false">IFERROR(IF(MID(raw_data!B600,3,1)="/",DATE(VALUE(RIGHT(raw_data!B600,4)),VALUE(LEFT(raw_data!B600,2)),VALUE(MID(raw_data!B600,4,2))),IF(MID(raw_data!B600,3,1)="-",DATE(VALUE(RIGHT(raw_data!B600,4)),VALUE(MID(raw_data!B600,4,2)),VALUE(LEFT(raw_data!B600,2))),IF(MID(raw_data!B600,5,1)="-",DATE(VALUE(LEFT(raw_data!B600,4)),VALUE(MID(raw_data!B600,6,2)),VALUE(RIGHT(raw_data!B600,2))),DATE(VALUE(RIGHT(raw_data!B600,4)),MATCH(MID(raw_data!B600,4,3),{"Jan","Feb","Mar","Apr","May","Jun","Jul","Aug","Sep","Oct","Nov","Dec"},0),VALUE(LEFT(raw_data!B600,2)))))),"")</f>
        <v>45521</v>
      </c>
      <c r="C600" s="4" t="n">
        <f aca="false">IFERROR(IF(MID(raw_data!C600,3,1)="/",DATE(VALUE(RIGHT(raw_data!C600,4)),VALUE(LEFT(raw_data!C600,2)),VALUE(MID(raw_data!C600,4,2))),IF(MID(raw_data!C600,3,1)="-",DATE(VALUE(RIGHT(raw_data!C600,4)),VALUE(MID(raw_data!C600,4,2)),VALUE(LEFT(raw_data!C600,2))),IF(MID(raw_data!C600,5,1)="-",DATE(VALUE(LEFT(raw_data!C600,4)),VALUE(MID(raw_data!C600,6,2)),VALUE(RIGHT(raw_data!C600,2))),DATE(VALUE(RIGHT(raw_data!C600,4)),MATCH(MID(raw_data!C600,4,3),{"Jan","Feb","Mar","Apr","May","Jun","Jul","Aug","Sep","Oct","Nov","Dec"},0),VALUE(LEFT(raw_data!C600,2)))))),"")</f>
        <v>45528</v>
      </c>
      <c r="D600" s="3" t="str">
        <f aca="false">IF(TRIM(raw_data!B600)="","Missing",IF(B600="","Invalid/Unrecognized","Valid"))</f>
        <v>Valid</v>
      </c>
      <c r="E600" s="3" t="str">
        <f aca="false">IF(TRIM(raw_data!C600)="","Missing",IF(C600="","Invalid/Unrecognized","Valid"))</f>
        <v>Valid</v>
      </c>
      <c r="F600" s="5" t="n">
        <f aca="false">IF(OR(B600="",C600=""),"",C600-B600)</f>
        <v>7</v>
      </c>
      <c r="G600" s="3" t="str">
        <f aca="false">IF(F600="","N/A",IF(F600&lt;0,"Invalid - Ship Before Order","OK"))</f>
        <v>OK</v>
      </c>
      <c r="H600" s="3" t="str">
        <f aca="false">raw_data!D600</f>
        <v>CUST-8498</v>
      </c>
      <c r="I600" s="3" t="str">
        <f aca="false">PROPER(TRIM(raw_data!E600))</f>
        <v>Ananya Rao</v>
      </c>
      <c r="J600" s="3" t="str">
        <f aca="false">PROPER(TRIM(raw_data!F600))</f>
        <v>Corporate</v>
      </c>
      <c r="K600" s="3" t="str">
        <f aca="false">IF(TRIM(raw_data!G600)="","Unknown",PROPER(TRIM(raw_data!G600)))</f>
        <v>East</v>
      </c>
      <c r="L600" s="3" t="str">
        <f aca="false">IF(TRIM(raw_data!G600)="","Filled - Unknown","OK")</f>
        <v>OK</v>
      </c>
      <c r="M600" s="3" t="str">
        <f aca="false">PROPER(TRIM(raw_data!H600))</f>
        <v>West Bengal</v>
      </c>
      <c r="N600" s="3" t="str">
        <f aca="false">PROPER(TRIM(raw_data!I600))</f>
        <v>Kolkata</v>
      </c>
      <c r="O600" s="3" t="str">
        <f aca="false">PROPER(TRIM(raw_data!J600))</f>
        <v>Technology</v>
      </c>
      <c r="P600" s="3" t="str">
        <f aca="false">PROPER(TRIM(raw_data!K600))</f>
        <v>Copiers</v>
      </c>
      <c r="Q600" s="3" t="str">
        <f aca="false">TRIM(raw_data!L600)</f>
        <v>Eco Copiers 268</v>
      </c>
      <c r="R600" s="3" t="str">
        <f aca="false">IF(TRIM(raw_data!M600)="","Unknown",PROPER(TRIM(raw_data!M600)))</f>
        <v>Same Day</v>
      </c>
      <c r="S600" s="3" t="str">
        <f aca="false">IF(TRIM(raw_data!M600)="","Filled - Unknown","OK")</f>
        <v>OK</v>
      </c>
      <c r="T600" s="6" t="n">
        <f aca="false">raw_data!N600</f>
        <v>3</v>
      </c>
      <c r="U600" s="7" t="n">
        <f aca="false">raw_data!O600</f>
        <v>1490.69</v>
      </c>
      <c r="V600" s="8" t="n">
        <f aca="false">raw_data!P600</f>
        <v>0.25</v>
      </c>
      <c r="W600" s="8" t="n">
        <f aca="false">IF(raw_data!P600="",0,IF(ISTEXT(raw_data!P600),IF(RIGHT(raw_data!P600,1)="%",VALUE(LEFT(raw_data!P600,LEN(raw_data!P600)-1))/100,VALUE(raw_data!P600)),raw_data!P600))</f>
        <v>0.25</v>
      </c>
      <c r="X600" s="3" t="str">
        <f aca="false">IF(raw_data!P600="","Missing - Defaulted to 0",IF(W600&lt;0,"Negative - Invalid",IF(W600&gt;0.3,"Above Allowed Range - Invalid","Valid")))</f>
        <v>Valid</v>
      </c>
      <c r="Y600" s="7" t="n">
        <f aca="false">raw_data!Q600</f>
        <v>3354.05</v>
      </c>
      <c r="Z600" s="7" t="n">
        <f aca="false">raw_data!R600</f>
        <v>2672.67</v>
      </c>
      <c r="AA600" s="7" t="n">
        <f aca="false">raw_data!S600</f>
        <v>681.38</v>
      </c>
      <c r="AB600" s="3" t="str">
        <f aca="false">PROPER(TRIM(raw_data!T600))</f>
        <v>Paid</v>
      </c>
      <c r="AC600" s="3" t="str">
        <f aca="false">PROPER(TRIM(raw_data!U600))</f>
        <v>Completed</v>
      </c>
      <c r="AD600" s="7" t="n">
        <f aca="false">T600*U600*(1-W600)</f>
        <v>3354.0525</v>
      </c>
      <c r="AE600" s="7" t="n">
        <f aca="false">AD600-Z600</f>
        <v>681.3825</v>
      </c>
      <c r="AF600" s="8" t="n">
        <f aca="false">IF(AD600=0,0,AE600/AD600)</f>
        <v>0.203152007906853</v>
      </c>
      <c r="AG600" s="3" t="str">
        <f aca="false">IF(ABS(Y600-AD600)&gt;1,"Mismatch","OK")</f>
        <v>OK</v>
      </c>
      <c r="AH600" s="3" t="str">
        <f aca="false">IF(ABS(AA600-AE600)&gt;1,"Mismatch","OK")</f>
        <v>OK</v>
      </c>
      <c r="AI600" s="6" t="n">
        <f aca="false">IF(B600="","",MONTH(B600))</f>
        <v>8</v>
      </c>
      <c r="AJ600" s="6" t="n">
        <f aca="false">IF(B600="","",YEAR(B600))</f>
        <v>2024</v>
      </c>
      <c r="AK600" s="3" t="str">
        <f aca="false">IF(COUNTIF(raw_data!$A$2:$A$913,A600)&gt;1,"Conflicting Duplicate - Flagged for Review","Unique")</f>
        <v>Unique</v>
      </c>
      <c r="AL600" s="3" t="str">
        <f aca="false">IF(AB600="Refunded","Yes","No")</f>
        <v>No</v>
      </c>
      <c r="AM600" s="3" t="str">
        <f aca="false">IF(OR(AC600&lt;&gt;"Completed",AB600="Failed"),"Excluded","Included")</f>
        <v>Included</v>
      </c>
      <c r="AN600" s="3" t="str">
        <f aca="false">IF(OR(D600="Invalid/Unrecognized",E600="Invalid/Unrecognized",G600="Invalid - Ship Before Order",X600="Negative - Invalid",X600="Above Allowed Range - Invalid",AG600="Mismatch",AH600="Mismatch",AK600="Conflicting Duplicate - Flagged for Review"),"Invalid",IF(OR(L600="Filled - Unknown",S600="Filled - Unknown",X600="Missing - Defaulted to 0",AL600="Yes",AC600="Cancelled",AC600="Returned"),"Warning","Clean"))</f>
        <v>Clean</v>
      </c>
    </row>
    <row r="601" customFormat="false" ht="15" hidden="false" customHeight="false" outlineLevel="0" collapsed="false">
      <c r="A601" s="3" t="str">
        <f aca="false">raw_data!A601</f>
        <v>ORD-2024-10600</v>
      </c>
      <c r="B601" s="4" t="n">
        <f aca="false">IFERROR(IF(MID(raw_data!B601,3,1)="/",DATE(VALUE(RIGHT(raw_data!B601,4)),VALUE(LEFT(raw_data!B601,2)),VALUE(MID(raw_data!B601,4,2))),IF(MID(raw_data!B601,3,1)="-",DATE(VALUE(RIGHT(raw_data!B601,4)),VALUE(MID(raw_data!B601,4,2)),VALUE(LEFT(raw_data!B601,2))),IF(MID(raw_data!B601,5,1)="-",DATE(VALUE(LEFT(raw_data!B601,4)),VALUE(MID(raw_data!B601,6,2)),VALUE(RIGHT(raw_data!B601,2))),DATE(VALUE(RIGHT(raw_data!B601,4)),MATCH(MID(raw_data!B601,4,3),{"Jan","Feb","Mar","Apr","May","Jun","Jul","Aug","Sep","Oct","Nov","Dec"},0),VALUE(LEFT(raw_data!B601,2)))))),"")</f>
        <v>45523</v>
      </c>
      <c r="C601" s="4" t="n">
        <f aca="false">IFERROR(IF(MID(raw_data!C601,3,1)="/",DATE(VALUE(RIGHT(raw_data!C601,4)),VALUE(LEFT(raw_data!C601,2)),VALUE(MID(raw_data!C601,4,2))),IF(MID(raw_data!C601,3,1)="-",DATE(VALUE(RIGHT(raw_data!C601,4)),VALUE(MID(raw_data!C601,4,2)),VALUE(LEFT(raw_data!C601,2))),IF(MID(raw_data!C601,5,1)="-",DATE(VALUE(LEFT(raw_data!C601,4)),VALUE(MID(raw_data!C601,6,2)),VALUE(RIGHT(raw_data!C601,2))),DATE(VALUE(RIGHT(raw_data!C601,4)),MATCH(MID(raw_data!C601,4,3),{"Jan","Feb","Mar","Apr","May","Jun","Jul","Aug","Sep","Oct","Nov","Dec"},0),VALUE(LEFT(raw_data!C601,2)))))),"")</f>
        <v>45525</v>
      </c>
      <c r="D601" s="3" t="str">
        <f aca="false">IF(TRIM(raw_data!B601)="","Missing",IF(B601="","Invalid/Unrecognized","Valid"))</f>
        <v>Valid</v>
      </c>
      <c r="E601" s="3" t="str">
        <f aca="false">IF(TRIM(raw_data!C601)="","Missing",IF(C601="","Invalid/Unrecognized","Valid"))</f>
        <v>Valid</v>
      </c>
      <c r="F601" s="5" t="n">
        <f aca="false">IF(OR(B601="",C601=""),"",C601-B601)</f>
        <v>2</v>
      </c>
      <c r="G601" s="3" t="str">
        <f aca="false">IF(F601="","N/A",IF(F601&lt;0,"Invalid - Ship Before Order","OK"))</f>
        <v>OK</v>
      </c>
      <c r="H601" s="3" t="str">
        <f aca="false">raw_data!D601</f>
        <v>CUST-2612</v>
      </c>
      <c r="I601" s="3" t="str">
        <f aca="false">PROPER(TRIM(raw_data!E601))</f>
        <v>Arjun Bose</v>
      </c>
      <c r="J601" s="3" t="str">
        <f aca="false">PROPER(TRIM(raw_data!F601))</f>
        <v>Consumer</v>
      </c>
      <c r="K601" s="3" t="str">
        <f aca="false">IF(TRIM(raw_data!G601)="","Unknown",PROPER(TRIM(raw_data!G601)))</f>
        <v>North</v>
      </c>
      <c r="L601" s="3" t="str">
        <f aca="false">IF(TRIM(raw_data!G601)="","Filled - Unknown","OK")</f>
        <v>OK</v>
      </c>
      <c r="M601" s="3" t="str">
        <f aca="false">PROPER(TRIM(raw_data!H601))</f>
        <v>Punjab</v>
      </c>
      <c r="N601" s="3" t="str">
        <f aca="false">PROPER(TRIM(raw_data!I601))</f>
        <v>Ludhiana</v>
      </c>
      <c r="O601" s="3" t="str">
        <f aca="false">PROPER(TRIM(raw_data!J601))</f>
        <v>Technology</v>
      </c>
      <c r="P601" s="3" t="str">
        <f aca="false">PROPER(TRIM(raw_data!K601))</f>
        <v>Phones</v>
      </c>
      <c r="Q601" s="3" t="str">
        <f aca="false">TRIM(raw_data!L601)</f>
        <v>Pro Phones 588</v>
      </c>
      <c r="R601" s="3" t="str">
        <f aca="false">IF(TRIM(raw_data!M601)="","Unknown",PROPER(TRIM(raw_data!M601)))</f>
        <v>First Class</v>
      </c>
      <c r="S601" s="3" t="str">
        <f aca="false">IF(TRIM(raw_data!M601)="","Filled - Unknown","OK")</f>
        <v>OK</v>
      </c>
      <c r="T601" s="6" t="n">
        <f aca="false">raw_data!N601</f>
        <v>3</v>
      </c>
      <c r="U601" s="7" t="n">
        <f aca="false">raw_data!O601</f>
        <v>1103.54</v>
      </c>
      <c r="V601" s="8" t="n">
        <f aca="false">raw_data!P601</f>
        <v>0.25</v>
      </c>
      <c r="W601" s="8" t="n">
        <f aca="false">IF(raw_data!P601="",0,IF(ISTEXT(raw_data!P601),IF(RIGHT(raw_data!P601,1)="%",VALUE(LEFT(raw_data!P601,LEN(raw_data!P601)-1))/100,VALUE(raw_data!P601)),raw_data!P601))</f>
        <v>0.25</v>
      </c>
      <c r="X601" s="3" t="str">
        <f aca="false">IF(raw_data!P601="","Missing - Defaulted to 0",IF(W601&lt;0,"Negative - Invalid",IF(W601&gt;0.3,"Above Allowed Range - Invalid","Valid")))</f>
        <v>Valid</v>
      </c>
      <c r="Y601" s="7" t="n">
        <f aca="false">raw_data!Q601</f>
        <v>2482.97</v>
      </c>
      <c r="Z601" s="7" t="n">
        <f aca="false">raw_data!R601</f>
        <v>1621.72</v>
      </c>
      <c r="AA601" s="7" t="n">
        <f aca="false">raw_data!S601</f>
        <v>861.25</v>
      </c>
      <c r="AB601" s="3" t="str">
        <f aca="false">PROPER(TRIM(raw_data!T601))</f>
        <v>Paid</v>
      </c>
      <c r="AC601" s="3" t="str">
        <f aca="false">PROPER(TRIM(raw_data!U601))</f>
        <v>Completed</v>
      </c>
      <c r="AD601" s="7" t="n">
        <f aca="false">T601*U601*(1-W601)</f>
        <v>2482.965</v>
      </c>
      <c r="AE601" s="7" t="n">
        <f aca="false">AD601-Z601</f>
        <v>861.245</v>
      </c>
      <c r="AF601" s="8" t="n">
        <f aca="false">IF(AD601=0,0,AE601/AD601)</f>
        <v>0.346861514358841</v>
      </c>
      <c r="AG601" s="3" t="str">
        <f aca="false">IF(ABS(Y601-AD601)&gt;1,"Mismatch","OK")</f>
        <v>OK</v>
      </c>
      <c r="AH601" s="3" t="str">
        <f aca="false">IF(ABS(AA601-AE601)&gt;1,"Mismatch","OK")</f>
        <v>OK</v>
      </c>
      <c r="AI601" s="6" t="n">
        <f aca="false">IF(B601="","",MONTH(B601))</f>
        <v>8</v>
      </c>
      <c r="AJ601" s="6" t="n">
        <f aca="false">IF(B601="","",YEAR(B601))</f>
        <v>2024</v>
      </c>
      <c r="AK601" s="3" t="str">
        <f aca="false">IF(COUNTIF(raw_data!$A$2:$A$913,A601)&gt;1,"Conflicting Duplicate - Flagged for Review","Unique")</f>
        <v>Unique</v>
      </c>
      <c r="AL601" s="3" t="str">
        <f aca="false">IF(AB601="Refunded","Yes","No")</f>
        <v>No</v>
      </c>
      <c r="AM601" s="3" t="str">
        <f aca="false">IF(OR(AC601&lt;&gt;"Completed",AB601="Failed"),"Excluded","Included")</f>
        <v>Included</v>
      </c>
      <c r="AN601" s="3" t="str">
        <f aca="false">IF(OR(D601="Invalid/Unrecognized",E601="Invalid/Unrecognized",G601="Invalid - Ship Before Order",X601="Negative - Invalid",X601="Above Allowed Range - Invalid",AG601="Mismatch",AH601="Mismatch",AK601="Conflicting Duplicate - Flagged for Review"),"Invalid",IF(OR(L601="Filled - Unknown",S601="Filled - Unknown",X601="Missing - Defaulted to 0",AL601="Yes",AC601="Cancelled",AC601="Returned"),"Warning","Clean"))</f>
        <v>Clean</v>
      </c>
    </row>
    <row r="602" customFormat="false" ht="15" hidden="false" customHeight="false" outlineLevel="0" collapsed="false">
      <c r="A602" s="3" t="str">
        <f aca="false">raw_data!A602</f>
        <v>ORD-2025-10601</v>
      </c>
      <c r="B602" s="4" t="n">
        <f aca="false">IFERROR(IF(MID(raw_data!B602,3,1)="/",DATE(VALUE(RIGHT(raw_data!B602,4)),VALUE(LEFT(raw_data!B602,2)),VALUE(MID(raw_data!B602,4,2))),IF(MID(raw_data!B602,3,1)="-",DATE(VALUE(RIGHT(raw_data!B602,4)),VALUE(MID(raw_data!B602,4,2)),VALUE(LEFT(raw_data!B602,2))),IF(MID(raw_data!B602,5,1)="-",DATE(VALUE(LEFT(raw_data!B602,4)),VALUE(MID(raw_data!B602,6,2)),VALUE(RIGHT(raw_data!B602,2))),DATE(VALUE(RIGHT(raw_data!B602,4)),MATCH(MID(raw_data!B602,4,3),{"Jan","Feb","Mar","Apr","May","Jun","Jul","Aug","Sep","Oct","Nov","Dec"},0),VALUE(LEFT(raw_data!B602,2)))))),"")</f>
        <v>45721</v>
      </c>
      <c r="C602" s="4" t="n">
        <f aca="false">IFERROR(IF(MID(raw_data!C602,3,1)="/",DATE(VALUE(RIGHT(raw_data!C602,4)),VALUE(LEFT(raw_data!C602,2)),VALUE(MID(raw_data!C602,4,2))),IF(MID(raw_data!C602,3,1)="-",DATE(VALUE(RIGHT(raw_data!C602,4)),VALUE(MID(raw_data!C602,4,2)),VALUE(LEFT(raw_data!C602,2))),IF(MID(raw_data!C602,5,1)="-",DATE(VALUE(LEFT(raw_data!C602,4)),VALUE(MID(raw_data!C602,6,2)),VALUE(RIGHT(raw_data!C602,2))),DATE(VALUE(RIGHT(raw_data!C602,4)),MATCH(MID(raw_data!C602,4,3),{"Jan","Feb","Mar","Apr","May","Jun","Jul","Aug","Sep","Oct","Nov","Dec"},0),VALUE(LEFT(raw_data!C602,2)))))),"")</f>
        <v>45728</v>
      </c>
      <c r="D602" s="3" t="str">
        <f aca="false">IF(TRIM(raw_data!B602)="","Missing",IF(B602="","Invalid/Unrecognized","Valid"))</f>
        <v>Valid</v>
      </c>
      <c r="E602" s="3" t="str">
        <f aca="false">IF(TRIM(raw_data!C602)="","Missing",IF(C602="","Invalid/Unrecognized","Valid"))</f>
        <v>Valid</v>
      </c>
      <c r="F602" s="5" t="n">
        <f aca="false">IF(OR(B602="",C602=""),"",C602-B602)</f>
        <v>7</v>
      </c>
      <c r="G602" s="3" t="str">
        <f aca="false">IF(F602="","N/A",IF(F602&lt;0,"Invalid - Ship Before Order","OK"))</f>
        <v>OK</v>
      </c>
      <c r="H602" s="3" t="str">
        <f aca="false">raw_data!D602</f>
        <v>CUST-6013</v>
      </c>
      <c r="I602" s="3" t="str">
        <f aca="false">PROPER(TRIM(raw_data!E602))</f>
        <v>Ananya Rao</v>
      </c>
      <c r="J602" s="3" t="str">
        <f aca="false">PROPER(TRIM(raw_data!F602))</f>
        <v>Corporate</v>
      </c>
      <c r="K602" s="3" t="str">
        <f aca="false">IF(TRIM(raw_data!G602)="","Unknown",PROPER(TRIM(raw_data!G602)))</f>
        <v>West</v>
      </c>
      <c r="L602" s="3" t="str">
        <f aca="false">IF(TRIM(raw_data!G602)="","Filled - Unknown","OK")</f>
        <v>OK</v>
      </c>
      <c r="M602" s="3" t="str">
        <f aca="false">PROPER(TRIM(raw_data!H602))</f>
        <v>Madhya Pradesh</v>
      </c>
      <c r="N602" s="3" t="str">
        <f aca="false">PROPER(TRIM(raw_data!I602))</f>
        <v>Indore</v>
      </c>
      <c r="O602" s="3" t="str">
        <f aca="false">PROPER(TRIM(raw_data!J602))</f>
        <v>Office Supplies</v>
      </c>
      <c r="P602" s="3" t="str">
        <f aca="false">PROPER(TRIM(raw_data!K602))</f>
        <v>Storage</v>
      </c>
      <c r="Q602" s="3" t="str">
        <f aca="false">TRIM(raw_data!L602)</f>
        <v>Prime Storage 432</v>
      </c>
      <c r="R602" s="3" t="str">
        <f aca="false">IF(TRIM(raw_data!M602)="","Unknown",PROPER(TRIM(raw_data!M602)))</f>
        <v>Same Day</v>
      </c>
      <c r="S602" s="3" t="str">
        <f aca="false">IF(TRIM(raw_data!M602)="","Filled - Unknown","OK")</f>
        <v>OK</v>
      </c>
      <c r="T602" s="6" t="n">
        <f aca="false">raw_data!N602</f>
        <v>3</v>
      </c>
      <c r="U602" s="7" t="n">
        <f aca="false">raw_data!O602</f>
        <v>3682.75</v>
      </c>
      <c r="V602" s="8" t="n">
        <f aca="false">raw_data!P602</f>
        <v>0</v>
      </c>
      <c r="W602" s="8" t="n">
        <f aca="false">IF(raw_data!P602="",0,IF(ISTEXT(raw_data!P602),IF(RIGHT(raw_data!P602,1)="%",VALUE(LEFT(raw_data!P602,LEN(raw_data!P602)-1))/100,VALUE(raw_data!P602)),raw_data!P602))</f>
        <v>0</v>
      </c>
      <c r="X602" s="3" t="str">
        <f aca="false">IF(raw_data!P602="","Missing - Defaulted to 0",IF(W602&lt;0,"Negative - Invalid",IF(W602&gt;0.3,"Above Allowed Range - Invalid","Valid")))</f>
        <v>Missing - Defaulted to 0</v>
      </c>
      <c r="Y602" s="7" t="n">
        <f aca="false">raw_data!Q602</f>
        <v>11048.25</v>
      </c>
      <c r="Z602" s="7" t="n">
        <f aca="false">raw_data!R602</f>
        <v>9062.72</v>
      </c>
      <c r="AA602" s="7" t="n">
        <f aca="false">raw_data!S602</f>
        <v>1985.53</v>
      </c>
      <c r="AB602" s="3" t="str">
        <f aca="false">PROPER(TRIM(raw_data!T602))</f>
        <v>Paid</v>
      </c>
      <c r="AC602" s="3" t="str">
        <f aca="false">PROPER(TRIM(raw_data!U602))</f>
        <v>Completed</v>
      </c>
      <c r="AD602" s="7" t="n">
        <f aca="false">T602*U602*(1-W602)</f>
        <v>11048.25</v>
      </c>
      <c r="AE602" s="7" t="n">
        <f aca="false">AD602-Z602</f>
        <v>1985.53</v>
      </c>
      <c r="AF602" s="8" t="n">
        <f aca="false">IF(AD602=0,0,AE602/AD602)</f>
        <v>0.17971443441269</v>
      </c>
      <c r="AG602" s="3" t="str">
        <f aca="false">IF(ABS(Y602-AD602)&gt;1,"Mismatch","OK")</f>
        <v>OK</v>
      </c>
      <c r="AH602" s="3" t="str">
        <f aca="false">IF(ABS(AA602-AE602)&gt;1,"Mismatch","OK")</f>
        <v>OK</v>
      </c>
      <c r="AI602" s="6" t="n">
        <f aca="false">IF(B602="","",MONTH(B602))</f>
        <v>3</v>
      </c>
      <c r="AJ602" s="6" t="n">
        <f aca="false">IF(B602="","",YEAR(B602))</f>
        <v>2025</v>
      </c>
      <c r="AK602" s="3" t="str">
        <f aca="false">IF(COUNTIF(raw_data!$A$2:$A$913,A602)&gt;1,"Conflicting Duplicate - Flagged for Review","Unique")</f>
        <v>Unique</v>
      </c>
      <c r="AL602" s="3" t="str">
        <f aca="false">IF(AB602="Refunded","Yes","No")</f>
        <v>No</v>
      </c>
      <c r="AM602" s="3" t="str">
        <f aca="false">IF(OR(AC602&lt;&gt;"Completed",AB602="Failed"),"Excluded","Included")</f>
        <v>Included</v>
      </c>
      <c r="AN602" s="3" t="str">
        <f aca="false">IF(OR(D602="Invalid/Unrecognized",E602="Invalid/Unrecognized",G602="Invalid - Ship Before Order",X602="Negative - Invalid",X602="Above Allowed Range - Invalid",AG602="Mismatch",AH602="Mismatch",AK602="Conflicting Duplicate - Flagged for Review"),"Invalid",IF(OR(L602="Filled - Unknown",S602="Filled - Unknown",X602="Missing - Defaulted to 0",AL602="Yes",AC602="Cancelled",AC602="Returned"),"Warning","Clean"))</f>
        <v>Warning</v>
      </c>
    </row>
    <row r="603" customFormat="false" ht="15" hidden="false" customHeight="false" outlineLevel="0" collapsed="false">
      <c r="A603" s="3" t="str">
        <f aca="false">raw_data!A603</f>
        <v>ORD-2024-10602</v>
      </c>
      <c r="B603" s="4" t="n">
        <f aca="false">IFERROR(IF(MID(raw_data!B603,3,1)="/",DATE(VALUE(RIGHT(raw_data!B603,4)),VALUE(LEFT(raw_data!B603,2)),VALUE(MID(raw_data!B603,4,2))),IF(MID(raw_data!B603,3,1)="-",DATE(VALUE(RIGHT(raw_data!B603,4)),VALUE(MID(raw_data!B603,4,2)),VALUE(LEFT(raw_data!B603,2))),IF(MID(raw_data!B603,5,1)="-",DATE(VALUE(LEFT(raw_data!B603,4)),VALUE(MID(raw_data!B603,6,2)),VALUE(RIGHT(raw_data!B603,2))),DATE(VALUE(RIGHT(raw_data!B603,4)),MATCH(MID(raw_data!B603,4,3),{"Jan","Feb","Mar","Apr","May","Jun","Jul","Aug","Sep","Oct","Nov","Dec"},0),VALUE(LEFT(raw_data!B603,2)))))),"")</f>
        <v>45317</v>
      </c>
      <c r="C603" s="4" t="n">
        <f aca="false">IFERROR(IF(MID(raw_data!C603,3,1)="/",DATE(VALUE(RIGHT(raw_data!C603,4)),VALUE(LEFT(raw_data!C603,2)),VALUE(MID(raw_data!C603,4,2))),IF(MID(raw_data!C603,3,1)="-",DATE(VALUE(RIGHT(raw_data!C603,4)),VALUE(MID(raw_data!C603,4,2)),VALUE(LEFT(raw_data!C603,2))),IF(MID(raw_data!C603,5,1)="-",DATE(VALUE(LEFT(raw_data!C603,4)),VALUE(MID(raw_data!C603,6,2)),VALUE(RIGHT(raw_data!C603,2))),DATE(VALUE(RIGHT(raw_data!C603,4)),MATCH(MID(raw_data!C603,4,3),{"Jan","Feb","Mar","Apr","May","Jun","Jul","Aug","Sep","Oct","Nov","Dec"},0),VALUE(LEFT(raw_data!C603,2)))))),"")</f>
        <v>45322</v>
      </c>
      <c r="D603" s="3" t="str">
        <f aca="false">IF(TRIM(raw_data!B603)="","Missing",IF(B603="","Invalid/Unrecognized","Valid"))</f>
        <v>Valid</v>
      </c>
      <c r="E603" s="3" t="str">
        <f aca="false">IF(TRIM(raw_data!C603)="","Missing",IF(C603="","Invalid/Unrecognized","Valid"))</f>
        <v>Valid</v>
      </c>
      <c r="F603" s="5" t="n">
        <f aca="false">IF(OR(B603="",C603=""),"",C603-B603)</f>
        <v>5</v>
      </c>
      <c r="G603" s="3" t="str">
        <f aca="false">IF(F603="","N/A",IF(F603&lt;0,"Invalid - Ship Before Order","OK"))</f>
        <v>OK</v>
      </c>
      <c r="H603" s="3" t="str">
        <f aca="false">raw_data!D603</f>
        <v>CUST-8289</v>
      </c>
      <c r="I603" s="3" t="str">
        <f aca="false">PROPER(TRIM(raw_data!E603))</f>
        <v>Ananya Rao</v>
      </c>
      <c r="J603" s="3" t="str">
        <f aca="false">PROPER(TRIM(raw_data!F603))</f>
        <v>Home Office</v>
      </c>
      <c r="K603" s="3" t="str">
        <f aca="false">IF(TRIM(raw_data!G603)="","Unknown",PROPER(TRIM(raw_data!G603)))</f>
        <v>East</v>
      </c>
      <c r="L603" s="3" t="str">
        <f aca="false">IF(TRIM(raw_data!G603)="","Filled - Unknown","OK")</f>
        <v>OK</v>
      </c>
      <c r="M603" s="3" t="str">
        <f aca="false">PROPER(TRIM(raw_data!H603))</f>
        <v>West Bengal</v>
      </c>
      <c r="N603" s="3" t="str">
        <f aca="false">PROPER(TRIM(raw_data!I603))</f>
        <v>Kolkata</v>
      </c>
      <c r="O603" s="3" t="str">
        <f aca="false">PROPER(TRIM(raw_data!J603))</f>
        <v>Office Supplies</v>
      </c>
      <c r="P603" s="3" t="str">
        <f aca="false">PROPER(TRIM(raw_data!K603))</f>
        <v>Paper</v>
      </c>
      <c r="Q603" s="3" t="str">
        <f aca="false">TRIM(raw_data!L603)</f>
        <v>Basic Paper 452</v>
      </c>
      <c r="R603" s="3" t="str">
        <f aca="false">IF(TRIM(raw_data!M603)="","Unknown",PROPER(TRIM(raw_data!M603)))</f>
        <v>Second Class</v>
      </c>
      <c r="S603" s="3" t="str">
        <f aca="false">IF(TRIM(raw_data!M603)="","Filled - Unknown","OK")</f>
        <v>OK</v>
      </c>
      <c r="T603" s="6" t="n">
        <f aca="false">raw_data!N603</f>
        <v>5</v>
      </c>
      <c r="U603" s="7" t="n">
        <f aca="false">raw_data!O603</f>
        <v>1615.03</v>
      </c>
      <c r="V603" s="8" t="n">
        <f aca="false">raw_data!P603</f>
        <v>0.2</v>
      </c>
      <c r="W603" s="8" t="n">
        <f aca="false">IF(raw_data!P603="",0,IF(ISTEXT(raw_data!P603),IF(RIGHT(raw_data!P603,1)="%",VALUE(LEFT(raw_data!P603,LEN(raw_data!P603)-1))/100,VALUE(raw_data!P603)),raw_data!P603))</f>
        <v>0.2</v>
      </c>
      <c r="X603" s="3" t="str">
        <f aca="false">IF(raw_data!P603="","Missing - Defaulted to 0",IF(W603&lt;0,"Negative - Invalid",IF(W603&gt;0.3,"Above Allowed Range - Invalid","Valid")))</f>
        <v>Valid</v>
      </c>
      <c r="Y603" s="7" t="n">
        <f aca="false">raw_data!Q603</f>
        <v>6460.12</v>
      </c>
      <c r="Z603" s="7" t="n">
        <f aca="false">raw_data!R603</f>
        <v>3604.03</v>
      </c>
      <c r="AA603" s="7" t="n">
        <f aca="false">raw_data!S603</f>
        <v>2856.09</v>
      </c>
      <c r="AB603" s="3" t="str">
        <f aca="false">PROPER(TRIM(raw_data!T603))</f>
        <v>Paid</v>
      </c>
      <c r="AC603" s="3" t="str">
        <f aca="false">PROPER(TRIM(raw_data!U603))</f>
        <v>Completed</v>
      </c>
      <c r="AD603" s="7" t="n">
        <f aca="false">T603*U603*(1-W603)</f>
        <v>6460.12</v>
      </c>
      <c r="AE603" s="7" t="n">
        <f aca="false">AD603-Z603</f>
        <v>2856.09</v>
      </c>
      <c r="AF603" s="8" t="n">
        <f aca="false">IF(AD603=0,0,AE603/AD603)</f>
        <v>0.44211098245853</v>
      </c>
      <c r="AG603" s="3" t="str">
        <f aca="false">IF(ABS(Y603-AD603)&gt;1,"Mismatch","OK")</f>
        <v>OK</v>
      </c>
      <c r="AH603" s="3" t="str">
        <f aca="false">IF(ABS(AA603-AE603)&gt;1,"Mismatch","OK")</f>
        <v>OK</v>
      </c>
      <c r="AI603" s="6" t="n">
        <f aca="false">IF(B603="","",MONTH(B603))</f>
        <v>1</v>
      </c>
      <c r="AJ603" s="6" t="n">
        <f aca="false">IF(B603="","",YEAR(B603))</f>
        <v>2024</v>
      </c>
      <c r="AK603" s="3" t="str">
        <f aca="false">IF(COUNTIF(raw_data!$A$2:$A$913,A603)&gt;1,"Conflicting Duplicate - Flagged for Review","Unique")</f>
        <v>Unique</v>
      </c>
      <c r="AL603" s="3" t="str">
        <f aca="false">IF(AB603="Refunded","Yes","No")</f>
        <v>No</v>
      </c>
      <c r="AM603" s="3" t="str">
        <f aca="false">IF(OR(AC603&lt;&gt;"Completed",AB603="Failed"),"Excluded","Included")</f>
        <v>Included</v>
      </c>
      <c r="AN603" s="3" t="str">
        <f aca="false">IF(OR(D603="Invalid/Unrecognized",E603="Invalid/Unrecognized",G603="Invalid - Ship Before Order",X603="Negative - Invalid",X603="Above Allowed Range - Invalid",AG603="Mismatch",AH603="Mismatch",AK603="Conflicting Duplicate - Flagged for Review"),"Invalid",IF(OR(L603="Filled - Unknown",S603="Filled - Unknown",X603="Missing - Defaulted to 0",AL603="Yes",AC603="Cancelled",AC603="Returned"),"Warning","Clean"))</f>
        <v>Clean</v>
      </c>
    </row>
    <row r="604" customFormat="false" ht="15" hidden="false" customHeight="false" outlineLevel="0" collapsed="false">
      <c r="A604" s="3" t="str">
        <f aca="false">raw_data!A604</f>
        <v>ORD-2024-10603</v>
      </c>
      <c r="B604" s="4" t="n">
        <f aca="false">IFERROR(IF(MID(raw_data!B604,3,1)="/",DATE(VALUE(RIGHT(raw_data!B604,4)),VALUE(LEFT(raw_data!B604,2)),VALUE(MID(raw_data!B604,4,2))),IF(MID(raw_data!B604,3,1)="-",DATE(VALUE(RIGHT(raw_data!B604,4)),VALUE(MID(raw_data!B604,4,2)),VALUE(LEFT(raw_data!B604,2))),IF(MID(raw_data!B604,5,1)="-",DATE(VALUE(LEFT(raw_data!B604,4)),VALUE(MID(raw_data!B604,6,2)),VALUE(RIGHT(raw_data!B604,2))),DATE(VALUE(RIGHT(raw_data!B604,4)),MATCH(MID(raw_data!B604,4,3),{"Jan","Feb","Mar","Apr","May","Jun","Jul","Aug","Sep","Oct","Nov","Dec"},0),VALUE(LEFT(raw_data!B604,2)))))),"")</f>
        <v>45588</v>
      </c>
      <c r="C604" s="4" t="n">
        <f aca="false">IFERROR(IF(MID(raw_data!C604,3,1)="/",DATE(VALUE(RIGHT(raw_data!C604,4)),VALUE(LEFT(raw_data!C604,2)),VALUE(MID(raw_data!C604,4,2))),IF(MID(raw_data!C604,3,1)="-",DATE(VALUE(RIGHT(raw_data!C604,4)),VALUE(MID(raw_data!C604,4,2)),VALUE(LEFT(raw_data!C604,2))),IF(MID(raw_data!C604,5,1)="-",DATE(VALUE(LEFT(raw_data!C604,4)),VALUE(MID(raw_data!C604,6,2)),VALUE(RIGHT(raw_data!C604,2))),DATE(VALUE(RIGHT(raw_data!C604,4)),MATCH(MID(raw_data!C604,4,3),{"Jan","Feb","Mar","Apr","May","Jun","Jul","Aug","Sep","Oct","Nov","Dec"},0),VALUE(LEFT(raw_data!C604,2)))))),"")</f>
        <v>45595</v>
      </c>
      <c r="D604" s="3" t="str">
        <f aca="false">IF(TRIM(raw_data!B604)="","Missing",IF(B604="","Invalid/Unrecognized","Valid"))</f>
        <v>Valid</v>
      </c>
      <c r="E604" s="3" t="str">
        <f aca="false">IF(TRIM(raw_data!C604)="","Missing",IF(C604="","Invalid/Unrecognized","Valid"))</f>
        <v>Valid</v>
      </c>
      <c r="F604" s="5" t="n">
        <f aca="false">IF(OR(B604="",C604=""),"",C604-B604)</f>
        <v>7</v>
      </c>
      <c r="G604" s="3" t="str">
        <f aca="false">IF(F604="","N/A",IF(F604&lt;0,"Invalid - Ship Before Order","OK"))</f>
        <v>OK</v>
      </c>
      <c r="H604" s="3" t="str">
        <f aca="false">raw_data!D604</f>
        <v>CUST-5668</v>
      </c>
      <c r="I604" s="3" t="str">
        <f aca="false">PROPER(TRIM(raw_data!E604))</f>
        <v>Aarav Sharma</v>
      </c>
      <c r="J604" s="3" t="str">
        <f aca="false">PROPER(TRIM(raw_data!F604))</f>
        <v>Consumer</v>
      </c>
      <c r="K604" s="3" t="str">
        <f aca="false">IF(TRIM(raw_data!G604)="","Unknown",PROPER(TRIM(raw_data!G604)))</f>
        <v>East</v>
      </c>
      <c r="L604" s="3" t="str">
        <f aca="false">IF(TRIM(raw_data!G604)="","Filled - Unknown","OK")</f>
        <v>OK</v>
      </c>
      <c r="M604" s="3" t="str">
        <f aca="false">PROPER(TRIM(raw_data!H604))</f>
        <v>Jharkhand</v>
      </c>
      <c r="N604" s="3" t="str">
        <f aca="false">PROPER(TRIM(raw_data!I604))</f>
        <v>Ranchi</v>
      </c>
      <c r="O604" s="3" t="str">
        <f aca="false">PROPER(TRIM(raw_data!J604))</f>
        <v>Technology</v>
      </c>
      <c r="P604" s="3" t="str">
        <f aca="false">PROPER(TRIM(raw_data!K604))</f>
        <v>Copiers</v>
      </c>
      <c r="Q604" s="3" t="str">
        <f aca="false">TRIM(raw_data!L604)</f>
        <v>Max Copiers 477</v>
      </c>
      <c r="R604" s="3" t="str">
        <f aca="false">IF(TRIM(raw_data!M604)="","Unknown",PROPER(TRIM(raw_data!M604)))</f>
        <v>Second Class</v>
      </c>
      <c r="S604" s="3" t="str">
        <f aca="false">IF(TRIM(raw_data!M604)="","Filled - Unknown","OK")</f>
        <v>OK</v>
      </c>
      <c r="T604" s="6" t="n">
        <f aca="false">raw_data!N604</f>
        <v>9</v>
      </c>
      <c r="U604" s="7" t="n">
        <f aca="false">raw_data!O604</f>
        <v>3423.82</v>
      </c>
      <c r="V604" s="8" t="n">
        <f aca="false">raw_data!P604</f>
        <v>0.15</v>
      </c>
      <c r="W604" s="8" t="n">
        <f aca="false">IF(raw_data!P604="",0,IF(ISTEXT(raw_data!P604),IF(RIGHT(raw_data!P604,1)="%",VALUE(LEFT(raw_data!P604,LEN(raw_data!P604)-1))/100,VALUE(raw_data!P604)),raw_data!P604))</f>
        <v>0.15</v>
      </c>
      <c r="X604" s="3" t="str">
        <f aca="false">IF(raw_data!P604="","Missing - Defaulted to 0",IF(W604&lt;0,"Negative - Invalid",IF(W604&gt;0.3,"Above Allowed Range - Invalid","Valid")))</f>
        <v>Valid</v>
      </c>
      <c r="Y604" s="7" t="n">
        <f aca="false">raw_data!Q604</f>
        <v>26192.22</v>
      </c>
      <c r="Z604" s="7" t="n">
        <f aca="false">raw_data!R604</f>
        <v>20795.55</v>
      </c>
      <c r="AA604" s="7" t="n">
        <f aca="false">raw_data!S604</f>
        <v>5396.67</v>
      </c>
      <c r="AB604" s="3" t="str">
        <f aca="false">PROPER(TRIM(raw_data!T604))</f>
        <v>Paid</v>
      </c>
      <c r="AC604" s="3" t="str">
        <f aca="false">PROPER(TRIM(raw_data!U604))</f>
        <v>Completed</v>
      </c>
      <c r="AD604" s="7" t="n">
        <f aca="false">T604*U604*(1-W604)</f>
        <v>26192.223</v>
      </c>
      <c r="AE604" s="7" t="n">
        <f aca="false">AD604-Z604</f>
        <v>5396.673</v>
      </c>
      <c r="AF604" s="8" t="n">
        <f aca="false">IF(AD604=0,0,AE604/AD604)</f>
        <v>0.20604104508426</v>
      </c>
      <c r="AG604" s="3" t="str">
        <f aca="false">IF(ABS(Y604-AD604)&gt;1,"Mismatch","OK")</f>
        <v>OK</v>
      </c>
      <c r="AH604" s="3" t="str">
        <f aca="false">IF(ABS(AA604-AE604)&gt;1,"Mismatch","OK")</f>
        <v>OK</v>
      </c>
      <c r="AI604" s="6" t="n">
        <f aca="false">IF(B604="","",MONTH(B604))</f>
        <v>10</v>
      </c>
      <c r="AJ604" s="6" t="n">
        <f aca="false">IF(B604="","",YEAR(B604))</f>
        <v>2024</v>
      </c>
      <c r="AK604" s="3" t="str">
        <f aca="false">IF(COUNTIF(raw_data!$A$2:$A$913,A604)&gt;1,"Conflicting Duplicate - Flagged for Review","Unique")</f>
        <v>Unique</v>
      </c>
      <c r="AL604" s="3" t="str">
        <f aca="false">IF(AB604="Refunded","Yes","No")</f>
        <v>No</v>
      </c>
      <c r="AM604" s="3" t="str">
        <f aca="false">IF(OR(AC604&lt;&gt;"Completed",AB604="Failed"),"Excluded","Included")</f>
        <v>Included</v>
      </c>
      <c r="AN604" s="3" t="str">
        <f aca="false">IF(OR(D604="Invalid/Unrecognized",E604="Invalid/Unrecognized",G604="Invalid - Ship Before Order",X604="Negative - Invalid",X604="Above Allowed Range - Invalid",AG604="Mismatch",AH604="Mismatch",AK604="Conflicting Duplicate - Flagged for Review"),"Invalid",IF(OR(L604="Filled - Unknown",S604="Filled - Unknown",X604="Missing - Defaulted to 0",AL604="Yes",AC604="Cancelled",AC604="Returned"),"Warning","Clean"))</f>
        <v>Clean</v>
      </c>
    </row>
    <row r="605" customFormat="false" ht="15" hidden="false" customHeight="false" outlineLevel="0" collapsed="false">
      <c r="A605" s="3" t="str">
        <f aca="false">raw_data!A605</f>
        <v>ORD-2025-10604</v>
      </c>
      <c r="B605" s="4" t="n">
        <f aca="false">IFERROR(IF(MID(raw_data!B605,3,1)="/",DATE(VALUE(RIGHT(raw_data!B605,4)),VALUE(LEFT(raw_data!B605,2)),VALUE(MID(raw_data!B605,4,2))),IF(MID(raw_data!B605,3,1)="-",DATE(VALUE(RIGHT(raw_data!B605,4)),VALUE(MID(raw_data!B605,4,2)),VALUE(LEFT(raw_data!B605,2))),IF(MID(raw_data!B605,5,1)="-",DATE(VALUE(LEFT(raw_data!B605,4)),VALUE(MID(raw_data!B605,6,2)),VALUE(RIGHT(raw_data!B605,2))),DATE(VALUE(RIGHT(raw_data!B605,4)),MATCH(MID(raw_data!B605,4,3),{"Jan","Feb","Mar","Apr","May","Jun","Jul","Aug","Sep","Oct","Nov","Dec"},0),VALUE(LEFT(raw_data!B605,2)))))),"")</f>
        <v>45660</v>
      </c>
      <c r="C605" s="4" t="n">
        <f aca="false">IFERROR(IF(MID(raw_data!C605,3,1)="/",DATE(VALUE(RIGHT(raw_data!C605,4)),VALUE(LEFT(raw_data!C605,2)),VALUE(MID(raw_data!C605,4,2))),IF(MID(raw_data!C605,3,1)="-",DATE(VALUE(RIGHT(raw_data!C605,4)),VALUE(MID(raw_data!C605,4,2)),VALUE(LEFT(raw_data!C605,2))),IF(MID(raw_data!C605,5,1)="-",DATE(VALUE(LEFT(raw_data!C605,4)),VALUE(MID(raw_data!C605,6,2)),VALUE(RIGHT(raw_data!C605,2))),DATE(VALUE(RIGHT(raw_data!C605,4)),MATCH(MID(raw_data!C605,4,3),{"Jan","Feb","Mar","Apr","May","Jun","Jul","Aug","Sep","Oct","Nov","Dec"},0),VALUE(LEFT(raw_data!C605,2)))))),"")</f>
        <v>45668</v>
      </c>
      <c r="D605" s="3" t="str">
        <f aca="false">IF(TRIM(raw_data!B605)="","Missing",IF(B605="","Invalid/Unrecognized","Valid"))</f>
        <v>Valid</v>
      </c>
      <c r="E605" s="3" t="str">
        <f aca="false">IF(TRIM(raw_data!C605)="","Missing",IF(C605="","Invalid/Unrecognized","Valid"))</f>
        <v>Valid</v>
      </c>
      <c r="F605" s="5" t="n">
        <f aca="false">IF(OR(B605="",C605=""),"",C605-B605)</f>
        <v>8</v>
      </c>
      <c r="G605" s="3" t="str">
        <f aca="false">IF(F605="","N/A",IF(F605&lt;0,"Invalid - Ship Before Order","OK"))</f>
        <v>OK</v>
      </c>
      <c r="H605" s="3" t="str">
        <f aca="false">raw_data!D605</f>
        <v>CUST-5808</v>
      </c>
      <c r="I605" s="3" t="str">
        <f aca="false">PROPER(TRIM(raw_data!E605))</f>
        <v>Vikram Iyer</v>
      </c>
      <c r="J605" s="3" t="str">
        <f aca="false">PROPER(TRIM(raw_data!F605))</f>
        <v>Corporate</v>
      </c>
      <c r="K605" s="3" t="str">
        <f aca="false">IF(TRIM(raw_data!G605)="","Unknown",PROPER(TRIM(raw_data!G605)))</f>
        <v>East</v>
      </c>
      <c r="L605" s="3" t="str">
        <f aca="false">IF(TRIM(raw_data!G605)="","Filled - Unknown","OK")</f>
        <v>OK</v>
      </c>
      <c r="M605" s="3" t="str">
        <f aca="false">PROPER(TRIM(raw_data!H605))</f>
        <v>Bihar</v>
      </c>
      <c r="N605" s="3" t="str">
        <f aca="false">PROPER(TRIM(raw_data!I605))</f>
        <v>Patna</v>
      </c>
      <c r="O605" s="3" t="str">
        <f aca="false">PROPER(TRIM(raw_data!J605))</f>
        <v>Technology</v>
      </c>
      <c r="P605" s="3" t="str">
        <f aca="false">PROPER(TRIM(raw_data!K605))</f>
        <v>Accessories</v>
      </c>
      <c r="Q605" s="3" t="str">
        <f aca="false">TRIM(raw_data!L605)</f>
        <v>Prime Accessories 300</v>
      </c>
      <c r="R605" s="3" t="str">
        <f aca="false">IF(TRIM(raw_data!M605)="","Unknown",PROPER(TRIM(raw_data!M605)))</f>
        <v>First Class</v>
      </c>
      <c r="S605" s="3" t="str">
        <f aca="false">IF(TRIM(raw_data!M605)="","Filled - Unknown","OK")</f>
        <v>OK</v>
      </c>
      <c r="T605" s="6" t="n">
        <f aca="false">raw_data!N605</f>
        <v>8</v>
      </c>
      <c r="U605" s="7" t="n">
        <f aca="false">raw_data!O605</f>
        <v>2574.29</v>
      </c>
      <c r="V605" s="8" t="n">
        <f aca="false">raw_data!P605</f>
        <v>0.05</v>
      </c>
      <c r="W605" s="8" t="n">
        <f aca="false">IF(raw_data!P605="",0,IF(ISTEXT(raw_data!P605),IF(RIGHT(raw_data!P605,1)="%",VALUE(LEFT(raw_data!P605,LEN(raw_data!P605)-1))/100,VALUE(raw_data!P605)),raw_data!P605))</f>
        <v>0.05</v>
      </c>
      <c r="X605" s="3" t="str">
        <f aca="false">IF(raw_data!P605="","Missing - Defaulted to 0",IF(W605&lt;0,"Negative - Invalid",IF(W605&gt;0.3,"Above Allowed Range - Invalid","Valid")))</f>
        <v>Valid</v>
      </c>
      <c r="Y605" s="7" t="n">
        <f aca="false">raw_data!Q605</f>
        <v>19564.6</v>
      </c>
      <c r="Z605" s="7" t="n">
        <f aca="false">raw_data!R605</f>
        <v>11154.59</v>
      </c>
      <c r="AA605" s="7" t="n">
        <f aca="false">raw_data!S605</f>
        <v>8410.01</v>
      </c>
      <c r="AB605" s="3" t="str">
        <f aca="false">PROPER(TRIM(raw_data!T605))</f>
        <v>Pending</v>
      </c>
      <c r="AC605" s="3" t="str">
        <f aca="false">PROPER(TRIM(raw_data!U605))</f>
        <v>Cancelled</v>
      </c>
      <c r="AD605" s="7" t="n">
        <f aca="false">T605*U605*(1-W605)</f>
        <v>19564.604</v>
      </c>
      <c r="AE605" s="7" t="n">
        <f aca="false">AD605-Z605</f>
        <v>8410.014</v>
      </c>
      <c r="AF605" s="8" t="n">
        <f aca="false">IF(AD605=0,0,AE605/AD605)</f>
        <v>0.429858636545876</v>
      </c>
      <c r="AG605" s="3" t="str">
        <f aca="false">IF(ABS(Y605-AD605)&gt;1,"Mismatch","OK")</f>
        <v>OK</v>
      </c>
      <c r="AH605" s="3" t="str">
        <f aca="false">IF(ABS(AA605-AE605)&gt;1,"Mismatch","OK")</f>
        <v>OK</v>
      </c>
      <c r="AI605" s="6" t="n">
        <f aca="false">IF(B605="","",MONTH(B605))</f>
        <v>1</v>
      </c>
      <c r="AJ605" s="6" t="n">
        <f aca="false">IF(B605="","",YEAR(B605))</f>
        <v>2025</v>
      </c>
      <c r="AK605" s="3" t="str">
        <f aca="false">IF(COUNTIF(raw_data!$A$2:$A$913,A605)&gt;1,"Conflicting Duplicate - Flagged for Review","Unique")</f>
        <v>Unique</v>
      </c>
      <c r="AL605" s="3" t="str">
        <f aca="false">IF(AB605="Refunded","Yes","No")</f>
        <v>No</v>
      </c>
      <c r="AM605" s="3" t="str">
        <f aca="false">IF(OR(AC605&lt;&gt;"Completed",AB605="Failed"),"Excluded","Included")</f>
        <v>Excluded</v>
      </c>
      <c r="AN605" s="3" t="str">
        <f aca="false">IF(OR(D605="Invalid/Unrecognized",E605="Invalid/Unrecognized",G605="Invalid - Ship Before Order",X605="Negative - Invalid",X605="Above Allowed Range - Invalid",AG605="Mismatch",AH605="Mismatch",AK605="Conflicting Duplicate - Flagged for Review"),"Invalid",IF(OR(L605="Filled - Unknown",S605="Filled - Unknown",X605="Missing - Defaulted to 0",AL605="Yes",AC605="Cancelled",AC605="Returned"),"Warning","Clean"))</f>
        <v>Warning</v>
      </c>
    </row>
    <row r="606" customFormat="false" ht="15" hidden="false" customHeight="false" outlineLevel="0" collapsed="false">
      <c r="A606" s="3" t="str">
        <f aca="false">raw_data!A606</f>
        <v>ORD-2025-10605</v>
      </c>
      <c r="B606" s="4" t="n">
        <f aca="false">IFERROR(IF(MID(raw_data!B606,3,1)="/",DATE(VALUE(RIGHT(raw_data!B606,4)),VALUE(LEFT(raw_data!B606,2)),VALUE(MID(raw_data!B606,4,2))),IF(MID(raw_data!B606,3,1)="-",DATE(VALUE(RIGHT(raw_data!B606,4)),VALUE(MID(raw_data!B606,4,2)),VALUE(LEFT(raw_data!B606,2))),IF(MID(raw_data!B606,5,1)="-",DATE(VALUE(LEFT(raw_data!B606,4)),VALUE(MID(raw_data!B606,6,2)),VALUE(RIGHT(raw_data!B606,2))),DATE(VALUE(RIGHT(raw_data!B606,4)),MATCH(MID(raw_data!B606,4,3),{"Jan","Feb","Mar","Apr","May","Jun","Jul","Aug","Sep","Oct","Nov","Dec"},0),VALUE(LEFT(raw_data!B606,2)))))),"")</f>
        <v>45693</v>
      </c>
      <c r="C606" s="4" t="n">
        <f aca="false">IFERROR(IF(MID(raw_data!C606,3,1)="/",DATE(VALUE(RIGHT(raw_data!C606,4)),VALUE(LEFT(raw_data!C606,2)),VALUE(MID(raw_data!C606,4,2))),IF(MID(raw_data!C606,3,1)="-",DATE(VALUE(RIGHT(raw_data!C606,4)),VALUE(MID(raw_data!C606,4,2)),VALUE(LEFT(raw_data!C606,2))),IF(MID(raw_data!C606,5,1)="-",DATE(VALUE(LEFT(raw_data!C606,4)),VALUE(MID(raw_data!C606,6,2)),VALUE(RIGHT(raw_data!C606,2))),DATE(VALUE(RIGHT(raw_data!C606,4)),MATCH(MID(raw_data!C606,4,3),{"Jan","Feb","Mar","Apr","May","Jun","Jul","Aug","Sep","Oct","Nov","Dec"},0),VALUE(LEFT(raw_data!C606,2)))))),"")</f>
        <v>45694</v>
      </c>
      <c r="D606" s="3" t="str">
        <f aca="false">IF(TRIM(raw_data!B606)="","Missing",IF(B606="","Invalid/Unrecognized","Valid"))</f>
        <v>Valid</v>
      </c>
      <c r="E606" s="3" t="str">
        <f aca="false">IF(TRIM(raw_data!C606)="","Missing",IF(C606="","Invalid/Unrecognized","Valid"))</f>
        <v>Valid</v>
      </c>
      <c r="F606" s="5" t="n">
        <f aca="false">IF(OR(B606="",C606=""),"",C606-B606)</f>
        <v>1</v>
      </c>
      <c r="G606" s="3" t="str">
        <f aca="false">IF(F606="","N/A",IF(F606&lt;0,"Invalid - Ship Before Order","OK"))</f>
        <v>OK</v>
      </c>
      <c r="H606" s="3" t="str">
        <f aca="false">raw_data!D606</f>
        <v>CUST-4526</v>
      </c>
      <c r="I606" s="3" t="str">
        <f aca="false">PROPER(TRIM(raw_data!E606))</f>
        <v>Ananya Rao</v>
      </c>
      <c r="J606" s="3" t="str">
        <f aca="false">PROPER(TRIM(raw_data!F606))</f>
        <v>Consumer</v>
      </c>
      <c r="K606" s="3" t="str">
        <f aca="false">IF(TRIM(raw_data!G606)="","Unknown",PROPER(TRIM(raw_data!G606)))</f>
        <v>West</v>
      </c>
      <c r="L606" s="3" t="str">
        <f aca="false">IF(TRIM(raw_data!G606)="","Filled - Unknown","OK")</f>
        <v>OK</v>
      </c>
      <c r="M606" s="3" t="str">
        <f aca="false">PROPER(TRIM(raw_data!H606))</f>
        <v>Madhya Pradesh</v>
      </c>
      <c r="N606" s="3" t="str">
        <f aca="false">PROPER(TRIM(raw_data!I606))</f>
        <v>Indore</v>
      </c>
      <c r="O606" s="3" t="str">
        <f aca="false">PROPER(TRIM(raw_data!J606))</f>
        <v>Office Supplies</v>
      </c>
      <c r="P606" s="3" t="str">
        <f aca="false">PROPER(TRIM(raw_data!K606))</f>
        <v>Binders</v>
      </c>
      <c r="Q606" s="3" t="str">
        <f aca="false">TRIM(raw_data!L606)</f>
        <v>Max Binders 547</v>
      </c>
      <c r="R606" s="3" t="str">
        <f aca="false">IF(TRIM(raw_data!M606)="","Unknown",PROPER(TRIM(raw_data!M606)))</f>
        <v>Same Day</v>
      </c>
      <c r="S606" s="3" t="str">
        <f aca="false">IF(TRIM(raw_data!M606)="","Filled - Unknown","OK")</f>
        <v>OK</v>
      </c>
      <c r="T606" s="6" t="n">
        <f aca="false">raw_data!N606</f>
        <v>3</v>
      </c>
      <c r="U606" s="7" t="n">
        <f aca="false">raw_data!O606</f>
        <v>1076.3</v>
      </c>
      <c r="V606" s="8" t="n">
        <f aca="false">raw_data!P606</f>
        <v>0</v>
      </c>
      <c r="W606" s="8" t="n">
        <f aca="false">IF(raw_data!P606="",0,IF(ISTEXT(raw_data!P606),IF(RIGHT(raw_data!P606,1)="%",VALUE(LEFT(raw_data!P606,LEN(raw_data!P606)-1))/100,VALUE(raw_data!P606)),raw_data!P606))</f>
        <v>0</v>
      </c>
      <c r="X606" s="3" t="str">
        <f aca="false">IF(raw_data!P606="","Missing - Defaulted to 0",IF(W606&lt;0,"Negative - Invalid",IF(W606&gt;0.3,"Above Allowed Range - Invalid","Valid")))</f>
        <v>Valid</v>
      </c>
      <c r="Y606" s="7" t="n">
        <f aca="false">raw_data!Q606</f>
        <v>3228.9</v>
      </c>
      <c r="Z606" s="7" t="n">
        <f aca="false">raw_data!R606</f>
        <v>1853.23</v>
      </c>
      <c r="AA606" s="7" t="n">
        <f aca="false">raw_data!S606</f>
        <v>1375.67</v>
      </c>
      <c r="AB606" s="3" t="str">
        <f aca="false">PROPER(TRIM(raw_data!T606))</f>
        <v>Paid</v>
      </c>
      <c r="AC606" s="3" t="str">
        <f aca="false">PROPER(TRIM(raw_data!U606))</f>
        <v>Completed</v>
      </c>
      <c r="AD606" s="7" t="n">
        <f aca="false">T606*U606*(1-W606)</f>
        <v>3228.9</v>
      </c>
      <c r="AE606" s="7" t="n">
        <f aca="false">AD606-Z606</f>
        <v>1375.67</v>
      </c>
      <c r="AF606" s="8" t="n">
        <f aca="false">IF(AD606=0,0,AE606/AD606)</f>
        <v>0.42604911889498</v>
      </c>
      <c r="AG606" s="3" t="str">
        <f aca="false">IF(ABS(Y606-AD606)&gt;1,"Mismatch","OK")</f>
        <v>OK</v>
      </c>
      <c r="AH606" s="3" t="str">
        <f aca="false">IF(ABS(AA606-AE606)&gt;1,"Mismatch","OK")</f>
        <v>OK</v>
      </c>
      <c r="AI606" s="6" t="n">
        <f aca="false">IF(B606="","",MONTH(B606))</f>
        <v>2</v>
      </c>
      <c r="AJ606" s="6" t="n">
        <f aca="false">IF(B606="","",YEAR(B606))</f>
        <v>2025</v>
      </c>
      <c r="AK606" s="3" t="str">
        <f aca="false">IF(COUNTIF(raw_data!$A$2:$A$913,A606)&gt;1,"Conflicting Duplicate - Flagged for Review","Unique")</f>
        <v>Unique</v>
      </c>
      <c r="AL606" s="3" t="str">
        <f aca="false">IF(AB606="Refunded","Yes","No")</f>
        <v>No</v>
      </c>
      <c r="AM606" s="3" t="str">
        <f aca="false">IF(OR(AC606&lt;&gt;"Completed",AB606="Failed"),"Excluded","Included")</f>
        <v>Included</v>
      </c>
      <c r="AN606" s="3" t="str">
        <f aca="false">IF(OR(D606="Invalid/Unrecognized",E606="Invalid/Unrecognized",G606="Invalid - Ship Before Order",X606="Negative - Invalid",X606="Above Allowed Range - Invalid",AG606="Mismatch",AH606="Mismatch",AK606="Conflicting Duplicate - Flagged for Review"),"Invalid",IF(OR(L606="Filled - Unknown",S606="Filled - Unknown",X606="Missing - Defaulted to 0",AL606="Yes",AC606="Cancelled",AC606="Returned"),"Warning","Clean"))</f>
        <v>Clean</v>
      </c>
    </row>
    <row r="607" customFormat="false" ht="15" hidden="false" customHeight="false" outlineLevel="0" collapsed="false">
      <c r="A607" s="3" t="str">
        <f aca="false">raw_data!A607</f>
        <v>ORD-2025-10606</v>
      </c>
      <c r="B607" s="4" t="n">
        <f aca="false">IFERROR(IF(MID(raw_data!B607,3,1)="/",DATE(VALUE(RIGHT(raw_data!B607,4)),VALUE(LEFT(raw_data!B607,2)),VALUE(MID(raw_data!B607,4,2))),IF(MID(raw_data!B607,3,1)="-",DATE(VALUE(RIGHT(raw_data!B607,4)),VALUE(MID(raw_data!B607,4,2)),VALUE(LEFT(raw_data!B607,2))),IF(MID(raw_data!B607,5,1)="-",DATE(VALUE(LEFT(raw_data!B607,4)),VALUE(MID(raw_data!B607,6,2)),VALUE(RIGHT(raw_data!B607,2))),DATE(VALUE(RIGHT(raw_data!B607,4)),MATCH(MID(raw_data!B607,4,3),{"Jan","Feb","Mar","Apr","May","Jun","Jul","Aug","Sep","Oct","Nov","Dec"},0),VALUE(LEFT(raw_data!B607,2)))))),"")</f>
        <v>45847</v>
      </c>
      <c r="C607" s="4" t="n">
        <f aca="false">IFERROR(IF(MID(raw_data!C607,3,1)="/",DATE(VALUE(RIGHT(raw_data!C607,4)),VALUE(LEFT(raw_data!C607,2)),VALUE(MID(raw_data!C607,4,2))),IF(MID(raw_data!C607,3,1)="-",DATE(VALUE(RIGHT(raw_data!C607,4)),VALUE(MID(raw_data!C607,4,2)),VALUE(LEFT(raw_data!C607,2))),IF(MID(raw_data!C607,5,1)="-",DATE(VALUE(LEFT(raw_data!C607,4)),VALUE(MID(raw_data!C607,6,2)),VALUE(RIGHT(raw_data!C607,2))),DATE(VALUE(RIGHT(raw_data!C607,4)),MATCH(MID(raw_data!C607,4,3),{"Jan","Feb","Mar","Apr","May","Jun","Jul","Aug","Sep","Oct","Nov","Dec"},0),VALUE(LEFT(raw_data!C607,2)))))),"")</f>
        <v>45851</v>
      </c>
      <c r="D607" s="3" t="str">
        <f aca="false">IF(TRIM(raw_data!B607)="","Missing",IF(B607="","Invalid/Unrecognized","Valid"))</f>
        <v>Valid</v>
      </c>
      <c r="E607" s="3" t="str">
        <f aca="false">IF(TRIM(raw_data!C607)="","Missing",IF(C607="","Invalid/Unrecognized","Valid"))</f>
        <v>Valid</v>
      </c>
      <c r="F607" s="5" t="n">
        <f aca="false">IF(OR(B607="",C607=""),"",C607-B607)</f>
        <v>4</v>
      </c>
      <c r="G607" s="3" t="str">
        <f aca="false">IF(F607="","N/A",IF(F607&lt;0,"Invalid - Ship Before Order","OK"))</f>
        <v>OK</v>
      </c>
      <c r="H607" s="3" t="str">
        <f aca="false">raw_data!D607</f>
        <v>CUST-4447</v>
      </c>
      <c r="I607" s="3" t="str">
        <f aca="false">PROPER(TRIM(raw_data!E607))</f>
        <v>Kabir Singh</v>
      </c>
      <c r="J607" s="3" t="str">
        <f aca="false">PROPER(TRIM(raw_data!F607))</f>
        <v>Corporate</v>
      </c>
      <c r="K607" s="3" t="str">
        <f aca="false">IF(TRIM(raw_data!G607)="","Unknown",PROPER(TRIM(raw_data!G607)))</f>
        <v>West</v>
      </c>
      <c r="L607" s="3" t="str">
        <f aca="false">IF(TRIM(raw_data!G607)="","Filled - Unknown","OK")</f>
        <v>OK</v>
      </c>
      <c r="M607" s="3" t="str">
        <f aca="false">PROPER(TRIM(raw_data!H607))</f>
        <v>Goa</v>
      </c>
      <c r="N607" s="3" t="str">
        <f aca="false">PROPER(TRIM(raw_data!I607))</f>
        <v>Panaji</v>
      </c>
      <c r="O607" s="3" t="str">
        <f aca="false">PROPER(TRIM(raw_data!J607))</f>
        <v>Furniture</v>
      </c>
      <c r="P607" s="3" t="str">
        <f aca="false">PROPER(TRIM(raw_data!K607))</f>
        <v>Furnishings</v>
      </c>
      <c r="Q607" s="3" t="str">
        <f aca="false">TRIM(raw_data!L607)</f>
        <v>Pro Furnishings 267</v>
      </c>
      <c r="R607" s="3" t="str">
        <f aca="false">IF(TRIM(raw_data!M607)="","Unknown",PROPER(TRIM(raw_data!M607)))</f>
        <v>Second Class</v>
      </c>
      <c r="S607" s="3" t="str">
        <f aca="false">IF(TRIM(raw_data!M607)="","Filled - Unknown","OK")</f>
        <v>OK</v>
      </c>
      <c r="T607" s="6" t="n">
        <f aca="false">raw_data!N607</f>
        <v>5</v>
      </c>
      <c r="U607" s="7" t="n">
        <f aca="false">raw_data!O607</f>
        <v>1680.01</v>
      </c>
      <c r="V607" s="8" t="str">
        <f aca="false">raw_data!P607</f>
        <v>85%</v>
      </c>
      <c r="W607" s="8" t="n">
        <f aca="false">IF(raw_data!P607="",0,IF(ISTEXT(raw_data!P607),IF(RIGHT(raw_data!P607,1)="%",VALUE(LEFT(raw_data!P607,LEN(raw_data!P607)-1))/100,VALUE(raw_data!P607)),raw_data!P607))</f>
        <v>0.85</v>
      </c>
      <c r="X607" s="3" t="str">
        <f aca="false">IF(raw_data!P607="","Missing - Defaulted to 0",IF(W607&lt;0,"Negative - Invalid",IF(W607&gt;0.3,"Above Allowed Range - Invalid","Valid")))</f>
        <v>Above Allowed Range - Invalid</v>
      </c>
      <c r="Y607" s="7" t="n">
        <f aca="false">raw_data!Q607</f>
        <v>7560.04</v>
      </c>
      <c r="Z607" s="7" t="n">
        <f aca="false">raw_data!R607</f>
        <v>6448.05</v>
      </c>
      <c r="AA607" s="7" t="n">
        <f aca="false">raw_data!S607</f>
        <v>1111.99</v>
      </c>
      <c r="AB607" s="3" t="str">
        <f aca="false">PROPER(TRIM(raw_data!T607))</f>
        <v>Paid</v>
      </c>
      <c r="AC607" s="3" t="str">
        <f aca="false">PROPER(TRIM(raw_data!U607))</f>
        <v>Cancelled</v>
      </c>
      <c r="AD607" s="7" t="n">
        <f aca="false">T607*U607*(1-W607)</f>
        <v>1260.0075</v>
      </c>
      <c r="AE607" s="7" t="n">
        <f aca="false">AD607-Z607</f>
        <v>-5188.0425</v>
      </c>
      <c r="AF607" s="8" t="n">
        <f aca="false">IF(AD607=0,0,AE607/AD607)</f>
        <v>-4.11746953887179</v>
      </c>
      <c r="AG607" s="3" t="str">
        <f aca="false">IF(ABS(Y607-AD607)&gt;1,"Mismatch","OK")</f>
        <v>Mismatch</v>
      </c>
      <c r="AH607" s="3" t="str">
        <f aca="false">IF(ABS(AA607-AE607)&gt;1,"Mismatch","OK")</f>
        <v>Mismatch</v>
      </c>
      <c r="AI607" s="6" t="n">
        <f aca="false">IF(B607="","",MONTH(B607))</f>
        <v>7</v>
      </c>
      <c r="AJ607" s="6" t="n">
        <f aca="false">IF(B607="","",YEAR(B607))</f>
        <v>2025</v>
      </c>
      <c r="AK607" s="3" t="str">
        <f aca="false">IF(COUNTIF(raw_data!$A$2:$A$913,A607)&gt;1,"Conflicting Duplicate - Flagged for Review","Unique")</f>
        <v>Unique</v>
      </c>
      <c r="AL607" s="3" t="str">
        <f aca="false">IF(AB607="Refunded","Yes","No")</f>
        <v>No</v>
      </c>
      <c r="AM607" s="3" t="str">
        <f aca="false">IF(OR(AC607&lt;&gt;"Completed",AB607="Failed"),"Excluded","Included")</f>
        <v>Excluded</v>
      </c>
      <c r="AN607" s="3" t="str">
        <f aca="false">IF(OR(D607="Invalid/Unrecognized",E607="Invalid/Unrecognized",G607="Invalid - Ship Before Order",X607="Negative - Invalid",X607="Above Allowed Range - Invalid",AG607="Mismatch",AH607="Mismatch",AK607="Conflicting Duplicate - Flagged for Review"),"Invalid",IF(OR(L607="Filled - Unknown",S607="Filled - Unknown",X607="Missing - Defaulted to 0",AL607="Yes",AC607="Cancelled",AC607="Returned"),"Warning","Clean"))</f>
        <v>Invalid</v>
      </c>
    </row>
    <row r="608" customFormat="false" ht="15" hidden="false" customHeight="false" outlineLevel="0" collapsed="false">
      <c r="A608" s="3" t="str">
        <f aca="false">raw_data!A608</f>
        <v>ORD-2025-10607</v>
      </c>
      <c r="B608" s="4" t="n">
        <f aca="false">IFERROR(IF(MID(raw_data!B608,3,1)="/",DATE(VALUE(RIGHT(raw_data!B608,4)),VALUE(LEFT(raw_data!B608,2)),VALUE(MID(raw_data!B608,4,2))),IF(MID(raw_data!B608,3,1)="-",DATE(VALUE(RIGHT(raw_data!B608,4)),VALUE(MID(raw_data!B608,4,2)),VALUE(LEFT(raw_data!B608,2))),IF(MID(raw_data!B608,5,1)="-",DATE(VALUE(LEFT(raw_data!B608,4)),VALUE(MID(raw_data!B608,6,2)),VALUE(RIGHT(raw_data!B608,2))),DATE(VALUE(RIGHT(raw_data!B608,4)),MATCH(MID(raw_data!B608,4,3),{"Jan","Feb","Mar","Apr","May","Jun","Jul","Aug","Sep","Oct","Nov","Dec"},0),VALUE(LEFT(raw_data!B608,2)))))),"")</f>
        <v>45710</v>
      </c>
      <c r="C608" s="4" t="n">
        <f aca="false">IFERROR(IF(MID(raw_data!C608,3,1)="/",DATE(VALUE(RIGHT(raw_data!C608,4)),VALUE(LEFT(raw_data!C608,2)),VALUE(MID(raw_data!C608,4,2))),IF(MID(raw_data!C608,3,1)="-",DATE(VALUE(RIGHT(raw_data!C608,4)),VALUE(MID(raw_data!C608,4,2)),VALUE(LEFT(raw_data!C608,2))),IF(MID(raw_data!C608,5,1)="-",DATE(VALUE(LEFT(raw_data!C608,4)),VALUE(MID(raw_data!C608,6,2)),VALUE(RIGHT(raw_data!C608,2))),DATE(VALUE(RIGHT(raw_data!C608,4)),MATCH(MID(raw_data!C608,4,3),{"Jan","Feb","Mar","Apr","May","Jun","Jul","Aug","Sep","Oct","Nov","Dec"},0),VALUE(LEFT(raw_data!C608,2)))))),"")</f>
        <v>45716</v>
      </c>
      <c r="D608" s="3" t="str">
        <f aca="false">IF(TRIM(raw_data!B608)="","Missing",IF(B608="","Invalid/Unrecognized","Valid"))</f>
        <v>Valid</v>
      </c>
      <c r="E608" s="3" t="str">
        <f aca="false">IF(TRIM(raw_data!C608)="","Missing",IF(C608="","Invalid/Unrecognized","Valid"))</f>
        <v>Valid</v>
      </c>
      <c r="F608" s="5" t="n">
        <f aca="false">IF(OR(B608="",C608=""),"",C608-B608)</f>
        <v>6</v>
      </c>
      <c r="G608" s="3" t="str">
        <f aca="false">IF(F608="","N/A",IF(F608&lt;0,"Invalid - Ship Before Order","OK"))</f>
        <v>OK</v>
      </c>
      <c r="H608" s="3" t="str">
        <f aca="false">raw_data!D608</f>
        <v>CUST-2698</v>
      </c>
      <c r="I608" s="3" t="str">
        <f aca="false">PROPER(TRIM(raw_data!E608))</f>
        <v>Rahul Verma</v>
      </c>
      <c r="J608" s="3" t="str">
        <f aca="false">PROPER(TRIM(raw_data!F608))</f>
        <v>Home Office</v>
      </c>
      <c r="K608" s="3" t="str">
        <f aca="false">IF(TRIM(raw_data!G608)="","Unknown",PROPER(TRIM(raw_data!G608)))</f>
        <v>West</v>
      </c>
      <c r="L608" s="3" t="str">
        <f aca="false">IF(TRIM(raw_data!G608)="","Filled - Unknown","OK")</f>
        <v>OK</v>
      </c>
      <c r="M608" s="3" t="str">
        <f aca="false">PROPER(TRIM(raw_data!H608))</f>
        <v>Madhya Pradesh</v>
      </c>
      <c r="N608" s="3" t="str">
        <f aca="false">PROPER(TRIM(raw_data!I608))</f>
        <v>Indore</v>
      </c>
      <c r="O608" s="3" t="str">
        <f aca="false">PROPER(TRIM(raw_data!J608))</f>
        <v>Technology</v>
      </c>
      <c r="P608" s="3" t="str">
        <f aca="false">PROPER(TRIM(raw_data!K608))</f>
        <v>Copiers</v>
      </c>
      <c r="Q608" s="3" t="str">
        <f aca="false">TRIM(raw_data!L608)</f>
        <v>Max Copiers 520</v>
      </c>
      <c r="R608" s="3" t="str">
        <f aca="false">IF(TRIM(raw_data!M608)="","Unknown",PROPER(TRIM(raw_data!M608)))</f>
        <v>Same Day</v>
      </c>
      <c r="S608" s="3" t="str">
        <f aca="false">IF(TRIM(raw_data!M608)="","Filled - Unknown","OK")</f>
        <v>OK</v>
      </c>
      <c r="T608" s="6" t="n">
        <f aca="false">raw_data!N608</f>
        <v>3</v>
      </c>
      <c r="U608" s="7" t="n">
        <f aca="false">raw_data!O608</f>
        <v>3890.81</v>
      </c>
      <c r="V608" s="8" t="n">
        <f aca="false">raw_data!P608</f>
        <v>0.25</v>
      </c>
      <c r="W608" s="8" t="n">
        <f aca="false">IF(raw_data!P608="",0,IF(ISTEXT(raw_data!P608),IF(RIGHT(raw_data!P608,1)="%",VALUE(LEFT(raw_data!P608,LEN(raw_data!P608)-1))/100,VALUE(raw_data!P608)),raw_data!P608))</f>
        <v>0.25</v>
      </c>
      <c r="X608" s="3" t="str">
        <f aca="false">IF(raw_data!P608="","Missing - Defaulted to 0",IF(W608&lt;0,"Negative - Invalid",IF(W608&gt;0.3,"Above Allowed Range - Invalid","Valid")))</f>
        <v>Valid</v>
      </c>
      <c r="Y608" s="7" t="n">
        <f aca="false">raw_data!Q608</f>
        <v>8754.32</v>
      </c>
      <c r="Z608" s="7" t="n">
        <f aca="false">raw_data!R608</f>
        <v>6238.9</v>
      </c>
      <c r="AA608" s="7" t="n">
        <f aca="false">raw_data!S608</f>
        <v>2515.42</v>
      </c>
      <c r="AB608" s="3" t="str">
        <f aca="false">PROPER(TRIM(raw_data!T608))</f>
        <v>Paid</v>
      </c>
      <c r="AC608" s="3" t="str">
        <f aca="false">PROPER(TRIM(raw_data!U608))</f>
        <v>Completed</v>
      </c>
      <c r="AD608" s="7" t="n">
        <f aca="false">T608*U608*(1-W608)</f>
        <v>8754.3225</v>
      </c>
      <c r="AE608" s="7" t="n">
        <f aca="false">AD608-Z608</f>
        <v>2515.4225</v>
      </c>
      <c r="AF608" s="8" t="n">
        <f aca="false">IF(AD608=0,0,AE608/AD608)</f>
        <v>0.287334913695492</v>
      </c>
      <c r="AG608" s="3" t="str">
        <f aca="false">IF(ABS(Y608-AD608)&gt;1,"Mismatch","OK")</f>
        <v>OK</v>
      </c>
      <c r="AH608" s="3" t="str">
        <f aca="false">IF(ABS(AA608-AE608)&gt;1,"Mismatch","OK")</f>
        <v>OK</v>
      </c>
      <c r="AI608" s="6" t="n">
        <f aca="false">IF(B608="","",MONTH(B608))</f>
        <v>2</v>
      </c>
      <c r="AJ608" s="6" t="n">
        <f aca="false">IF(B608="","",YEAR(B608))</f>
        <v>2025</v>
      </c>
      <c r="AK608" s="3" t="str">
        <f aca="false">IF(COUNTIF(raw_data!$A$2:$A$913,A608)&gt;1,"Conflicting Duplicate - Flagged for Review","Unique")</f>
        <v>Unique</v>
      </c>
      <c r="AL608" s="3" t="str">
        <f aca="false">IF(AB608="Refunded","Yes","No")</f>
        <v>No</v>
      </c>
      <c r="AM608" s="3" t="str">
        <f aca="false">IF(OR(AC608&lt;&gt;"Completed",AB608="Failed"),"Excluded","Included")</f>
        <v>Included</v>
      </c>
      <c r="AN608" s="3" t="str">
        <f aca="false">IF(OR(D608="Invalid/Unrecognized",E608="Invalid/Unrecognized",G608="Invalid - Ship Before Order",X608="Negative - Invalid",X608="Above Allowed Range - Invalid",AG608="Mismatch",AH608="Mismatch",AK608="Conflicting Duplicate - Flagged for Review"),"Invalid",IF(OR(L608="Filled - Unknown",S608="Filled - Unknown",X608="Missing - Defaulted to 0",AL608="Yes",AC608="Cancelled",AC608="Returned"),"Warning","Clean"))</f>
        <v>Clean</v>
      </c>
    </row>
    <row r="609" customFormat="false" ht="15" hidden="false" customHeight="false" outlineLevel="0" collapsed="false">
      <c r="A609" s="3" t="str">
        <f aca="false">raw_data!A609</f>
        <v>ORD-2025-10608</v>
      </c>
      <c r="B609" s="4" t="n">
        <f aca="false">IFERROR(IF(MID(raw_data!B609,3,1)="/",DATE(VALUE(RIGHT(raw_data!B609,4)),VALUE(LEFT(raw_data!B609,2)),VALUE(MID(raw_data!B609,4,2))),IF(MID(raw_data!B609,3,1)="-",DATE(VALUE(RIGHT(raw_data!B609,4)),VALUE(MID(raw_data!B609,4,2)),VALUE(LEFT(raw_data!B609,2))),IF(MID(raw_data!B609,5,1)="-",DATE(VALUE(LEFT(raw_data!B609,4)),VALUE(MID(raw_data!B609,6,2)),VALUE(RIGHT(raw_data!B609,2))),DATE(VALUE(RIGHT(raw_data!B609,4)),MATCH(MID(raw_data!B609,4,3),{"Jan","Feb","Mar","Apr","May","Jun","Jul","Aug","Sep","Oct","Nov","Dec"},0),VALUE(LEFT(raw_data!B609,2)))))),"")</f>
        <v>45704</v>
      </c>
      <c r="C609" s="4" t="n">
        <f aca="false">IFERROR(IF(MID(raw_data!C609,3,1)="/",DATE(VALUE(RIGHT(raw_data!C609,4)),VALUE(LEFT(raw_data!C609,2)),VALUE(MID(raw_data!C609,4,2))),IF(MID(raw_data!C609,3,1)="-",DATE(VALUE(RIGHT(raw_data!C609,4)),VALUE(MID(raw_data!C609,4,2)),VALUE(LEFT(raw_data!C609,2))),IF(MID(raw_data!C609,5,1)="-",DATE(VALUE(LEFT(raw_data!C609,4)),VALUE(MID(raw_data!C609,6,2)),VALUE(RIGHT(raw_data!C609,2))),DATE(VALUE(RIGHT(raw_data!C609,4)),MATCH(MID(raw_data!C609,4,3),{"Jan","Feb","Mar","Apr","May","Jun","Jul","Aug","Sep","Oct","Nov","Dec"},0),VALUE(LEFT(raw_data!C609,2)))))),"")</f>
        <v>45710</v>
      </c>
      <c r="D609" s="3" t="str">
        <f aca="false">IF(TRIM(raw_data!B609)="","Missing",IF(B609="","Invalid/Unrecognized","Valid"))</f>
        <v>Valid</v>
      </c>
      <c r="E609" s="3" t="str">
        <f aca="false">IF(TRIM(raw_data!C609)="","Missing",IF(C609="","Invalid/Unrecognized","Valid"))</f>
        <v>Valid</v>
      </c>
      <c r="F609" s="5" t="n">
        <f aca="false">IF(OR(B609="",C609=""),"",C609-B609)</f>
        <v>6</v>
      </c>
      <c r="G609" s="3" t="str">
        <f aca="false">IF(F609="","N/A",IF(F609&lt;0,"Invalid - Ship Before Order","OK"))</f>
        <v>OK</v>
      </c>
      <c r="H609" s="3" t="str">
        <f aca="false">raw_data!D609</f>
        <v>CUST-6297</v>
      </c>
      <c r="I609" s="3" t="str">
        <f aca="false">PROPER(TRIM(raw_data!E609))</f>
        <v>Sneha Kapoor</v>
      </c>
      <c r="J609" s="3" t="str">
        <f aca="false">PROPER(TRIM(raw_data!F609))</f>
        <v>Home Office</v>
      </c>
      <c r="K609" s="3" t="str">
        <f aca="false">IF(TRIM(raw_data!G609)="","Unknown",PROPER(TRIM(raw_data!G609)))</f>
        <v>East</v>
      </c>
      <c r="L609" s="3" t="str">
        <f aca="false">IF(TRIM(raw_data!G609)="","Filled - Unknown","OK")</f>
        <v>OK</v>
      </c>
      <c r="M609" s="3" t="str">
        <f aca="false">PROPER(TRIM(raw_data!H609))</f>
        <v>Bihar</v>
      </c>
      <c r="N609" s="3" t="str">
        <f aca="false">PROPER(TRIM(raw_data!I609))</f>
        <v>Patna</v>
      </c>
      <c r="O609" s="3" t="str">
        <f aca="false">PROPER(TRIM(raw_data!J609))</f>
        <v>Office Supplies</v>
      </c>
      <c r="P609" s="3" t="str">
        <f aca="false">PROPER(TRIM(raw_data!K609))</f>
        <v>Storage</v>
      </c>
      <c r="Q609" s="3" t="str">
        <f aca="false">TRIM(raw_data!L609)</f>
        <v>Max Storage 424</v>
      </c>
      <c r="R609" s="3" t="str">
        <f aca="false">IF(TRIM(raw_data!M609)="","Unknown",PROPER(TRIM(raw_data!M609)))</f>
        <v>Same Day</v>
      </c>
      <c r="S609" s="3" t="str">
        <f aca="false">IF(TRIM(raw_data!M609)="","Filled - Unknown","OK")</f>
        <v>OK</v>
      </c>
      <c r="T609" s="6" t="n">
        <f aca="false">raw_data!N609</f>
        <v>5</v>
      </c>
      <c r="U609" s="7" t="n">
        <f aca="false">raw_data!O609</f>
        <v>954.67</v>
      </c>
      <c r="V609" s="8" t="n">
        <f aca="false">raw_data!P609</f>
        <v>0.15</v>
      </c>
      <c r="W609" s="8" t="n">
        <f aca="false">IF(raw_data!P609="",0,IF(ISTEXT(raw_data!P609),IF(RIGHT(raw_data!P609,1)="%",VALUE(LEFT(raw_data!P609,LEN(raw_data!P609)-1))/100,VALUE(raw_data!P609)),raw_data!P609))</f>
        <v>0.15</v>
      </c>
      <c r="X609" s="3" t="str">
        <f aca="false">IF(raw_data!P609="","Missing - Defaulted to 0",IF(W609&lt;0,"Negative - Invalid",IF(W609&gt;0.3,"Above Allowed Range - Invalid","Valid")))</f>
        <v>Valid</v>
      </c>
      <c r="Y609" s="7" t="n">
        <f aca="false">raw_data!Q609</f>
        <v>4057.35</v>
      </c>
      <c r="Z609" s="7" t="n">
        <f aca="false">raw_data!R609</f>
        <v>2862.03</v>
      </c>
      <c r="AA609" s="7" t="n">
        <f aca="false">raw_data!S609</f>
        <v>1195.32</v>
      </c>
      <c r="AB609" s="3" t="str">
        <f aca="false">PROPER(TRIM(raw_data!T609))</f>
        <v>Paid</v>
      </c>
      <c r="AC609" s="3" t="str">
        <f aca="false">PROPER(TRIM(raw_data!U609))</f>
        <v>Completed</v>
      </c>
      <c r="AD609" s="7" t="n">
        <f aca="false">T609*U609*(1-W609)</f>
        <v>4057.3475</v>
      </c>
      <c r="AE609" s="7" t="n">
        <f aca="false">AD609-Z609</f>
        <v>1195.3175</v>
      </c>
      <c r="AF609" s="8" t="n">
        <f aca="false">IF(AD609=0,0,AE609/AD609)</f>
        <v>0.29460565061287</v>
      </c>
      <c r="AG609" s="3" t="str">
        <f aca="false">IF(ABS(Y609-AD609)&gt;1,"Mismatch","OK")</f>
        <v>OK</v>
      </c>
      <c r="AH609" s="3" t="str">
        <f aca="false">IF(ABS(AA609-AE609)&gt;1,"Mismatch","OK")</f>
        <v>OK</v>
      </c>
      <c r="AI609" s="6" t="n">
        <f aca="false">IF(B609="","",MONTH(B609))</f>
        <v>2</v>
      </c>
      <c r="AJ609" s="6" t="n">
        <f aca="false">IF(B609="","",YEAR(B609))</f>
        <v>2025</v>
      </c>
      <c r="AK609" s="3" t="str">
        <f aca="false">IF(COUNTIF(raw_data!$A$2:$A$913,A609)&gt;1,"Conflicting Duplicate - Flagged for Review","Unique")</f>
        <v>Unique</v>
      </c>
      <c r="AL609" s="3" t="str">
        <f aca="false">IF(AB609="Refunded","Yes","No")</f>
        <v>No</v>
      </c>
      <c r="AM609" s="3" t="str">
        <f aca="false">IF(OR(AC609&lt;&gt;"Completed",AB609="Failed"),"Excluded","Included")</f>
        <v>Included</v>
      </c>
      <c r="AN609" s="3" t="str">
        <f aca="false">IF(OR(D609="Invalid/Unrecognized",E609="Invalid/Unrecognized",G609="Invalid - Ship Before Order",X609="Negative - Invalid",X609="Above Allowed Range - Invalid",AG609="Mismatch",AH609="Mismatch",AK609="Conflicting Duplicate - Flagged for Review"),"Invalid",IF(OR(L609="Filled - Unknown",S609="Filled - Unknown",X609="Missing - Defaulted to 0",AL609="Yes",AC609="Cancelled",AC609="Returned"),"Warning","Clean"))</f>
        <v>Clean</v>
      </c>
    </row>
    <row r="610" customFormat="false" ht="15" hidden="false" customHeight="false" outlineLevel="0" collapsed="false">
      <c r="A610" s="3" t="str">
        <f aca="false">raw_data!A610</f>
        <v>ORD-2024-10609</v>
      </c>
      <c r="B610" s="4" t="n">
        <f aca="false">IFERROR(IF(MID(raw_data!B610,3,1)="/",DATE(VALUE(RIGHT(raw_data!B610,4)),VALUE(LEFT(raw_data!B610,2)),VALUE(MID(raw_data!B610,4,2))),IF(MID(raw_data!B610,3,1)="-",DATE(VALUE(RIGHT(raw_data!B610,4)),VALUE(MID(raw_data!B610,4,2)),VALUE(LEFT(raw_data!B610,2))),IF(MID(raw_data!B610,5,1)="-",DATE(VALUE(LEFT(raw_data!B610,4)),VALUE(MID(raw_data!B610,6,2)),VALUE(RIGHT(raw_data!B610,2))),DATE(VALUE(RIGHT(raw_data!B610,4)),MATCH(MID(raw_data!B610,4,3),{"Jan","Feb","Mar","Apr","May","Jun","Jul","Aug","Sep","Oct","Nov","Dec"},0),VALUE(LEFT(raw_data!B610,2)))))),"")</f>
        <v>45464</v>
      </c>
      <c r="C610" s="4" t="n">
        <f aca="false">IFERROR(IF(MID(raw_data!C610,3,1)="/",DATE(VALUE(RIGHT(raw_data!C610,4)),VALUE(LEFT(raw_data!C610,2)),VALUE(MID(raw_data!C610,4,2))),IF(MID(raw_data!C610,3,1)="-",DATE(VALUE(RIGHT(raw_data!C610,4)),VALUE(MID(raw_data!C610,4,2)),VALUE(LEFT(raw_data!C610,2))),IF(MID(raw_data!C610,5,1)="-",DATE(VALUE(LEFT(raw_data!C610,4)),VALUE(MID(raw_data!C610,6,2)),VALUE(RIGHT(raw_data!C610,2))),DATE(VALUE(RIGHT(raw_data!C610,4)),MATCH(MID(raw_data!C610,4,3),{"Jan","Feb","Mar","Apr","May","Jun","Jul","Aug","Sep","Oct","Nov","Dec"},0),VALUE(LEFT(raw_data!C610,2)))))),"")</f>
        <v>45466</v>
      </c>
      <c r="D610" s="3" t="str">
        <f aca="false">IF(TRIM(raw_data!B610)="","Missing",IF(B610="","Invalid/Unrecognized","Valid"))</f>
        <v>Valid</v>
      </c>
      <c r="E610" s="3" t="str">
        <f aca="false">IF(TRIM(raw_data!C610)="","Missing",IF(C610="","Invalid/Unrecognized","Valid"))</f>
        <v>Valid</v>
      </c>
      <c r="F610" s="5" t="n">
        <f aca="false">IF(OR(B610="",C610=""),"",C610-B610)</f>
        <v>2</v>
      </c>
      <c r="G610" s="3" t="str">
        <f aca="false">IF(F610="","N/A",IF(F610&lt;0,"Invalid - Ship Before Order","OK"))</f>
        <v>OK</v>
      </c>
      <c r="H610" s="3" t="str">
        <f aca="false">raw_data!D610</f>
        <v>CUST-7690</v>
      </c>
      <c r="I610" s="3" t="str">
        <f aca="false">PROPER(TRIM(raw_data!E610))</f>
        <v>Karan Malhotra</v>
      </c>
      <c r="J610" s="3" t="str">
        <f aca="false">PROPER(TRIM(raw_data!F610))</f>
        <v>Home Office</v>
      </c>
      <c r="K610" s="3" t="str">
        <f aca="false">IF(TRIM(raw_data!G610)="","Unknown",PROPER(TRIM(raw_data!G610)))</f>
        <v>West</v>
      </c>
      <c r="L610" s="3" t="str">
        <f aca="false">IF(TRIM(raw_data!G610)="","Filled - Unknown","OK")</f>
        <v>OK</v>
      </c>
      <c r="M610" s="3" t="str">
        <f aca="false">PROPER(TRIM(raw_data!H610))</f>
        <v>Goa</v>
      </c>
      <c r="N610" s="3" t="str">
        <f aca="false">PROPER(TRIM(raw_data!I610))</f>
        <v>Panaji</v>
      </c>
      <c r="O610" s="3" t="str">
        <f aca="false">PROPER(TRIM(raw_data!J610))</f>
        <v>Furniture</v>
      </c>
      <c r="P610" s="3" t="str">
        <f aca="false">PROPER(TRIM(raw_data!K610))</f>
        <v>Furnishings</v>
      </c>
      <c r="Q610" s="3" t="str">
        <f aca="false">TRIM(raw_data!L610)</f>
        <v>Elite Furnishings 706</v>
      </c>
      <c r="R610" s="3" t="str">
        <f aca="false">IF(TRIM(raw_data!M610)="","Unknown",PROPER(TRIM(raw_data!M610)))</f>
        <v>Second Class</v>
      </c>
      <c r="S610" s="3" t="str">
        <f aca="false">IF(TRIM(raw_data!M610)="","Filled - Unknown","OK")</f>
        <v>OK</v>
      </c>
      <c r="T610" s="6" t="n">
        <f aca="false">raw_data!N610</f>
        <v>9</v>
      </c>
      <c r="U610" s="7" t="n">
        <f aca="false">raw_data!O610</f>
        <v>2153.75</v>
      </c>
      <c r="V610" s="8" t="n">
        <f aca="false">raw_data!P610</f>
        <v>0</v>
      </c>
      <c r="W610" s="8" t="n">
        <f aca="false">IF(raw_data!P610="",0,IF(ISTEXT(raw_data!P610),IF(RIGHT(raw_data!P610,1)="%",VALUE(LEFT(raw_data!P610,LEN(raw_data!P610)-1))/100,VALUE(raw_data!P610)),raw_data!P610))</f>
        <v>0</v>
      </c>
      <c r="X610" s="3" t="str">
        <f aca="false">IF(raw_data!P610="","Missing - Defaulted to 0",IF(W610&lt;0,"Negative - Invalid",IF(W610&gt;0.3,"Above Allowed Range - Invalid","Valid")))</f>
        <v>Valid</v>
      </c>
      <c r="Y610" s="7" t="n">
        <f aca="false">raw_data!Q610</f>
        <v>19383.75</v>
      </c>
      <c r="Z610" s="7" t="n">
        <f aca="false">raw_data!R610</f>
        <v>11667.43</v>
      </c>
      <c r="AA610" s="7" t="n">
        <f aca="false">raw_data!S610</f>
        <v>7716.32</v>
      </c>
      <c r="AB610" s="3" t="str">
        <f aca="false">PROPER(TRIM(raw_data!T610))</f>
        <v>Paid</v>
      </c>
      <c r="AC610" s="3" t="str">
        <f aca="false">PROPER(TRIM(raw_data!U610))</f>
        <v>Completed</v>
      </c>
      <c r="AD610" s="7" t="n">
        <f aca="false">T610*U610*(1-W610)</f>
        <v>19383.75</v>
      </c>
      <c r="AE610" s="7" t="n">
        <f aca="false">AD610-Z610</f>
        <v>7716.32</v>
      </c>
      <c r="AF610" s="8" t="n">
        <f aca="false">IF(AD610=0,0,AE610/AD610)</f>
        <v>0.398081898497453</v>
      </c>
      <c r="AG610" s="3" t="str">
        <f aca="false">IF(ABS(Y610-AD610)&gt;1,"Mismatch","OK")</f>
        <v>OK</v>
      </c>
      <c r="AH610" s="3" t="str">
        <f aca="false">IF(ABS(AA610-AE610)&gt;1,"Mismatch","OK")</f>
        <v>OK</v>
      </c>
      <c r="AI610" s="6" t="n">
        <f aca="false">IF(B610="","",MONTH(B610))</f>
        <v>6</v>
      </c>
      <c r="AJ610" s="6" t="n">
        <f aca="false">IF(B610="","",YEAR(B610))</f>
        <v>2024</v>
      </c>
      <c r="AK610" s="3" t="str">
        <f aca="false">IF(COUNTIF(raw_data!$A$2:$A$913,A610)&gt;1,"Conflicting Duplicate - Flagged for Review","Unique")</f>
        <v>Unique</v>
      </c>
      <c r="AL610" s="3" t="str">
        <f aca="false">IF(AB610="Refunded","Yes","No")</f>
        <v>No</v>
      </c>
      <c r="AM610" s="3" t="str">
        <f aca="false">IF(OR(AC610&lt;&gt;"Completed",AB610="Failed"),"Excluded","Included")</f>
        <v>Included</v>
      </c>
      <c r="AN610" s="3" t="str">
        <f aca="false">IF(OR(D610="Invalid/Unrecognized",E610="Invalid/Unrecognized",G610="Invalid - Ship Before Order",X610="Negative - Invalid",X610="Above Allowed Range - Invalid",AG610="Mismatch",AH610="Mismatch",AK610="Conflicting Duplicate - Flagged for Review"),"Invalid",IF(OR(L610="Filled - Unknown",S610="Filled - Unknown",X610="Missing - Defaulted to 0",AL610="Yes",AC610="Cancelled",AC610="Returned"),"Warning","Clean"))</f>
        <v>Clean</v>
      </c>
    </row>
    <row r="611" customFormat="false" ht="15" hidden="false" customHeight="false" outlineLevel="0" collapsed="false">
      <c r="A611" s="3" t="str">
        <f aca="false">raw_data!A611</f>
        <v>ORD-2025-10610</v>
      </c>
      <c r="B611" s="4" t="n">
        <f aca="false">IFERROR(IF(MID(raw_data!B611,3,1)="/",DATE(VALUE(RIGHT(raw_data!B611,4)),VALUE(LEFT(raw_data!B611,2)),VALUE(MID(raw_data!B611,4,2))),IF(MID(raw_data!B611,3,1)="-",DATE(VALUE(RIGHT(raw_data!B611,4)),VALUE(MID(raw_data!B611,4,2)),VALUE(LEFT(raw_data!B611,2))),IF(MID(raw_data!B611,5,1)="-",DATE(VALUE(LEFT(raw_data!B611,4)),VALUE(MID(raw_data!B611,6,2)),VALUE(RIGHT(raw_data!B611,2))),DATE(VALUE(RIGHT(raw_data!B611,4)),MATCH(MID(raw_data!B611,4,3),{"Jan","Feb","Mar","Apr","May","Jun","Jul","Aug","Sep","Oct","Nov","Dec"},0),VALUE(LEFT(raw_data!B611,2)))))),"")</f>
        <v>45665</v>
      </c>
      <c r="C611" s="4" t="n">
        <f aca="false">IFERROR(IF(MID(raw_data!C611,3,1)="/",DATE(VALUE(RIGHT(raw_data!C611,4)),VALUE(LEFT(raw_data!C611,2)),VALUE(MID(raw_data!C611,4,2))),IF(MID(raw_data!C611,3,1)="-",DATE(VALUE(RIGHT(raw_data!C611,4)),VALUE(MID(raw_data!C611,4,2)),VALUE(LEFT(raw_data!C611,2))),IF(MID(raw_data!C611,5,1)="-",DATE(VALUE(LEFT(raw_data!C611,4)),VALUE(MID(raw_data!C611,6,2)),VALUE(RIGHT(raw_data!C611,2))),DATE(VALUE(RIGHT(raw_data!C611,4)),MATCH(MID(raw_data!C611,4,3),{"Jan","Feb","Mar","Apr","May","Jun","Jul","Aug","Sep","Oct","Nov","Dec"},0),VALUE(LEFT(raw_data!C611,2)))))),"")</f>
        <v>45669</v>
      </c>
      <c r="D611" s="3" t="str">
        <f aca="false">IF(TRIM(raw_data!B611)="","Missing",IF(B611="","Invalid/Unrecognized","Valid"))</f>
        <v>Valid</v>
      </c>
      <c r="E611" s="3" t="str">
        <f aca="false">IF(TRIM(raw_data!C611)="","Missing",IF(C611="","Invalid/Unrecognized","Valid"))</f>
        <v>Valid</v>
      </c>
      <c r="F611" s="5" t="n">
        <f aca="false">IF(OR(B611="",C611=""),"",C611-B611)</f>
        <v>4</v>
      </c>
      <c r="G611" s="3" t="str">
        <f aca="false">IF(F611="","N/A",IF(F611&lt;0,"Invalid - Ship Before Order","OK"))</f>
        <v>OK</v>
      </c>
      <c r="H611" s="3" t="str">
        <f aca="false">raw_data!D611</f>
        <v>CUST-4380</v>
      </c>
      <c r="I611" s="3" t="str">
        <f aca="false">PROPER(TRIM(raw_data!E611))</f>
        <v>Sneha Kapoor</v>
      </c>
      <c r="J611" s="3" t="str">
        <f aca="false">PROPER(TRIM(raw_data!F611))</f>
        <v>Home Office</v>
      </c>
      <c r="K611" s="3" t="str">
        <f aca="false">IF(TRIM(raw_data!G611)="","Unknown",PROPER(TRIM(raw_data!G611)))</f>
        <v>South</v>
      </c>
      <c r="L611" s="3" t="str">
        <f aca="false">IF(TRIM(raw_data!G611)="","Filled - Unknown","OK")</f>
        <v>OK</v>
      </c>
      <c r="M611" s="3" t="str">
        <f aca="false">PROPER(TRIM(raw_data!H611))</f>
        <v>Karnataka</v>
      </c>
      <c r="N611" s="3" t="str">
        <f aca="false">PROPER(TRIM(raw_data!I611))</f>
        <v>Bengaluru</v>
      </c>
      <c r="O611" s="3" t="str">
        <f aca="false">PROPER(TRIM(raw_data!J611))</f>
        <v>Furniture</v>
      </c>
      <c r="P611" s="3" t="str">
        <f aca="false">PROPER(TRIM(raw_data!K611))</f>
        <v>Chairs</v>
      </c>
      <c r="Q611" s="3" t="str">
        <f aca="false">TRIM(raw_data!L611)</f>
        <v>Pro Chairs 908</v>
      </c>
      <c r="R611" s="3" t="str">
        <f aca="false">IF(TRIM(raw_data!M611)="","Unknown",PROPER(TRIM(raw_data!M611)))</f>
        <v>Standard Class</v>
      </c>
      <c r="S611" s="3" t="str">
        <f aca="false">IF(TRIM(raw_data!M611)="","Filled - Unknown","OK")</f>
        <v>OK</v>
      </c>
      <c r="T611" s="6" t="n">
        <f aca="false">raw_data!N611</f>
        <v>7</v>
      </c>
      <c r="U611" s="7" t="n">
        <f aca="false">raw_data!O611</f>
        <v>4337.48</v>
      </c>
      <c r="V611" s="8" t="n">
        <f aca="false">raw_data!P611</f>
        <v>0</v>
      </c>
      <c r="W611" s="8" t="n">
        <f aca="false">IF(raw_data!P611="",0,IF(ISTEXT(raw_data!P611),IF(RIGHT(raw_data!P611,1)="%",VALUE(LEFT(raw_data!P611,LEN(raw_data!P611)-1))/100,VALUE(raw_data!P611)),raw_data!P611))</f>
        <v>0</v>
      </c>
      <c r="X611" s="3" t="str">
        <f aca="false">IF(raw_data!P611="","Missing - Defaulted to 0",IF(W611&lt;0,"Negative - Invalid",IF(W611&gt;0.3,"Above Allowed Range - Invalid","Valid")))</f>
        <v>Valid</v>
      </c>
      <c r="Y611" s="7" t="n">
        <f aca="false">raw_data!Q611</f>
        <v>30362.36</v>
      </c>
      <c r="Z611" s="7" t="n">
        <f aca="false">raw_data!R611</f>
        <v>25065.4</v>
      </c>
      <c r="AA611" s="7" t="n">
        <f aca="false">raw_data!S611</f>
        <v>5296.96</v>
      </c>
      <c r="AB611" s="3" t="str">
        <f aca="false">PROPER(TRIM(raw_data!T611))</f>
        <v>Paid</v>
      </c>
      <c r="AC611" s="3" t="str">
        <f aca="false">PROPER(TRIM(raw_data!U611))</f>
        <v>Completed</v>
      </c>
      <c r="AD611" s="7" t="n">
        <f aca="false">T611*U611*(1-W611)</f>
        <v>30362.36</v>
      </c>
      <c r="AE611" s="7" t="n">
        <f aca="false">AD611-Z611</f>
        <v>5296.96</v>
      </c>
      <c r="AF611" s="8" t="n">
        <f aca="false">IF(AD611=0,0,AE611/AD611)</f>
        <v>0.174458111951772</v>
      </c>
      <c r="AG611" s="3" t="str">
        <f aca="false">IF(ABS(Y611-AD611)&gt;1,"Mismatch","OK")</f>
        <v>OK</v>
      </c>
      <c r="AH611" s="3" t="str">
        <f aca="false">IF(ABS(AA611-AE611)&gt;1,"Mismatch","OK")</f>
        <v>OK</v>
      </c>
      <c r="AI611" s="6" t="n">
        <f aca="false">IF(B611="","",MONTH(B611))</f>
        <v>1</v>
      </c>
      <c r="AJ611" s="6" t="n">
        <f aca="false">IF(B611="","",YEAR(B611))</f>
        <v>2025</v>
      </c>
      <c r="AK611" s="3" t="str">
        <f aca="false">IF(COUNTIF(raw_data!$A$2:$A$913,A611)&gt;1,"Conflicting Duplicate - Flagged for Review","Unique")</f>
        <v>Unique</v>
      </c>
      <c r="AL611" s="3" t="str">
        <f aca="false">IF(AB611="Refunded","Yes","No")</f>
        <v>No</v>
      </c>
      <c r="AM611" s="3" t="str">
        <f aca="false">IF(OR(AC611&lt;&gt;"Completed",AB611="Failed"),"Excluded","Included")</f>
        <v>Included</v>
      </c>
      <c r="AN611" s="3" t="str">
        <f aca="false">IF(OR(D611="Invalid/Unrecognized",E611="Invalid/Unrecognized",G611="Invalid - Ship Before Order",X611="Negative - Invalid",X611="Above Allowed Range - Invalid",AG611="Mismatch",AH611="Mismatch",AK611="Conflicting Duplicate - Flagged for Review"),"Invalid",IF(OR(L611="Filled - Unknown",S611="Filled - Unknown",X611="Missing - Defaulted to 0",AL611="Yes",AC611="Cancelled",AC611="Returned"),"Warning","Clean"))</f>
        <v>Clean</v>
      </c>
    </row>
    <row r="612" customFormat="false" ht="15" hidden="false" customHeight="false" outlineLevel="0" collapsed="false">
      <c r="A612" s="3" t="str">
        <f aca="false">raw_data!A612</f>
        <v>ORD-2024-10611</v>
      </c>
      <c r="B612" s="4" t="n">
        <f aca="false">IFERROR(IF(MID(raw_data!B612,3,1)="/",DATE(VALUE(RIGHT(raw_data!B612,4)),VALUE(LEFT(raw_data!B612,2)),VALUE(MID(raw_data!B612,4,2))),IF(MID(raw_data!B612,3,1)="-",DATE(VALUE(RIGHT(raw_data!B612,4)),VALUE(MID(raw_data!B612,4,2)),VALUE(LEFT(raw_data!B612,2))),IF(MID(raw_data!B612,5,1)="-",DATE(VALUE(LEFT(raw_data!B612,4)),VALUE(MID(raw_data!B612,6,2)),VALUE(RIGHT(raw_data!B612,2))),DATE(VALUE(RIGHT(raw_data!B612,4)),MATCH(MID(raw_data!B612,4,3),{"Jan","Feb","Mar","Apr","May","Jun","Jul","Aug","Sep","Oct","Nov","Dec"},0),VALUE(LEFT(raw_data!B612,2)))))),"")</f>
        <v>45432</v>
      </c>
      <c r="C612" s="4" t="n">
        <f aca="false">IFERROR(IF(MID(raw_data!C612,3,1)="/",DATE(VALUE(RIGHT(raw_data!C612,4)),VALUE(LEFT(raw_data!C612,2)),VALUE(MID(raw_data!C612,4,2))),IF(MID(raw_data!C612,3,1)="-",DATE(VALUE(RIGHT(raw_data!C612,4)),VALUE(MID(raw_data!C612,4,2)),VALUE(LEFT(raw_data!C612,2))),IF(MID(raw_data!C612,5,1)="-",DATE(VALUE(LEFT(raw_data!C612,4)),VALUE(MID(raw_data!C612,6,2)),VALUE(RIGHT(raw_data!C612,2))),DATE(VALUE(RIGHT(raw_data!C612,4)),MATCH(MID(raw_data!C612,4,3),{"Jan","Feb","Mar","Apr","May","Jun","Jul","Aug","Sep","Oct","Nov","Dec"},0),VALUE(LEFT(raw_data!C612,2)))))),"")</f>
        <v>45432</v>
      </c>
      <c r="D612" s="3" t="str">
        <f aca="false">IF(TRIM(raw_data!B612)="","Missing",IF(B612="","Invalid/Unrecognized","Valid"))</f>
        <v>Valid</v>
      </c>
      <c r="E612" s="3" t="str">
        <f aca="false">IF(TRIM(raw_data!C612)="","Missing",IF(C612="","Invalid/Unrecognized","Valid"))</f>
        <v>Valid</v>
      </c>
      <c r="F612" s="5" t="n">
        <f aca="false">IF(OR(B612="",C612=""),"",C612-B612)</f>
        <v>0</v>
      </c>
      <c r="G612" s="3" t="str">
        <f aca="false">IF(F612="","N/A",IF(F612&lt;0,"Invalid - Ship Before Order","OK"))</f>
        <v>OK</v>
      </c>
      <c r="H612" s="3" t="str">
        <f aca="false">raw_data!D612</f>
        <v>CUST-2779</v>
      </c>
      <c r="I612" s="3" t="str">
        <f aca="false">PROPER(TRIM(raw_data!E612))</f>
        <v>Karan Malhotra</v>
      </c>
      <c r="J612" s="3" t="str">
        <f aca="false">PROPER(TRIM(raw_data!F612))</f>
        <v>Home Office</v>
      </c>
      <c r="K612" s="3" t="str">
        <f aca="false">IF(TRIM(raw_data!G612)="","Unknown",PROPER(TRIM(raw_data!G612)))</f>
        <v>West</v>
      </c>
      <c r="L612" s="3" t="str">
        <f aca="false">IF(TRIM(raw_data!G612)="","Filled - Unknown","OK")</f>
        <v>OK</v>
      </c>
      <c r="M612" s="3" t="str">
        <f aca="false">PROPER(TRIM(raw_data!H612))</f>
        <v>Madhya Pradesh</v>
      </c>
      <c r="N612" s="3" t="str">
        <f aca="false">PROPER(TRIM(raw_data!I612))</f>
        <v>Indore</v>
      </c>
      <c r="O612" s="3" t="str">
        <f aca="false">PROPER(TRIM(raw_data!J612))</f>
        <v>Furniture</v>
      </c>
      <c r="P612" s="3" t="str">
        <f aca="false">PROPER(TRIM(raw_data!K612))</f>
        <v>Chairs</v>
      </c>
      <c r="Q612" s="3" t="str">
        <f aca="false">TRIM(raw_data!L612)</f>
        <v>Pro Chairs 712</v>
      </c>
      <c r="R612" s="3" t="str">
        <f aca="false">IF(TRIM(raw_data!M612)="","Unknown",PROPER(TRIM(raw_data!M612)))</f>
        <v>Standard Class</v>
      </c>
      <c r="S612" s="3" t="str">
        <f aca="false">IF(TRIM(raw_data!M612)="","Filled - Unknown","OK")</f>
        <v>OK</v>
      </c>
      <c r="T612" s="6" t="n">
        <f aca="false">raw_data!N612</f>
        <v>1</v>
      </c>
      <c r="U612" s="7" t="n">
        <f aca="false">raw_data!O612</f>
        <v>3032.95</v>
      </c>
      <c r="V612" s="8" t="n">
        <f aca="false">raw_data!P612</f>
        <v>0.1</v>
      </c>
      <c r="W612" s="8" t="n">
        <f aca="false">IF(raw_data!P612="",0,IF(ISTEXT(raw_data!P612),IF(RIGHT(raw_data!P612,1)="%",VALUE(LEFT(raw_data!P612,LEN(raw_data!P612)-1))/100,VALUE(raw_data!P612)),raw_data!P612))</f>
        <v>0.1</v>
      </c>
      <c r="X612" s="3" t="str">
        <f aca="false">IF(raw_data!P612="","Missing - Defaulted to 0",IF(W612&lt;0,"Negative - Invalid",IF(W612&gt;0.3,"Above Allowed Range - Invalid","Valid")))</f>
        <v>Valid</v>
      </c>
      <c r="Y612" s="7" t="n">
        <f aca="false">raw_data!Q612</f>
        <v>2729.65</v>
      </c>
      <c r="Z612" s="7" t="n">
        <f aca="false">raw_data!R612</f>
        <v>1715.36</v>
      </c>
      <c r="AA612" s="7" t="n">
        <f aca="false">raw_data!S612</f>
        <v>1014.29</v>
      </c>
      <c r="AB612" s="3" t="str">
        <f aca="false">PROPER(TRIM(raw_data!T612))</f>
        <v>Paid</v>
      </c>
      <c r="AC612" s="3" t="str">
        <f aca="false">PROPER(TRIM(raw_data!U612))</f>
        <v>Completed</v>
      </c>
      <c r="AD612" s="7" t="n">
        <f aca="false">T612*U612*(1-W612)</f>
        <v>2729.655</v>
      </c>
      <c r="AE612" s="7" t="n">
        <f aca="false">AD612-Z612</f>
        <v>1014.295</v>
      </c>
      <c r="AF612" s="8" t="n">
        <f aca="false">IF(AD612=0,0,AE612/AD612)</f>
        <v>0.371583588402197</v>
      </c>
      <c r="AG612" s="3" t="str">
        <f aca="false">IF(ABS(Y612-AD612)&gt;1,"Mismatch","OK")</f>
        <v>OK</v>
      </c>
      <c r="AH612" s="3" t="str">
        <f aca="false">IF(ABS(AA612-AE612)&gt;1,"Mismatch","OK")</f>
        <v>OK</v>
      </c>
      <c r="AI612" s="6" t="n">
        <f aca="false">IF(B612="","",MONTH(B612))</f>
        <v>5</v>
      </c>
      <c r="AJ612" s="6" t="n">
        <f aca="false">IF(B612="","",YEAR(B612))</f>
        <v>2024</v>
      </c>
      <c r="AK612" s="3" t="str">
        <f aca="false">IF(COUNTIF(raw_data!$A$2:$A$913,A612)&gt;1,"Conflicting Duplicate - Flagged for Review","Unique")</f>
        <v>Unique</v>
      </c>
      <c r="AL612" s="3" t="str">
        <f aca="false">IF(AB612="Refunded","Yes","No")</f>
        <v>No</v>
      </c>
      <c r="AM612" s="3" t="str">
        <f aca="false">IF(OR(AC612&lt;&gt;"Completed",AB612="Failed"),"Excluded","Included")</f>
        <v>Included</v>
      </c>
      <c r="AN612" s="3" t="str">
        <f aca="false">IF(OR(D612="Invalid/Unrecognized",E612="Invalid/Unrecognized",G612="Invalid - Ship Before Order",X612="Negative - Invalid",X612="Above Allowed Range - Invalid",AG612="Mismatch",AH612="Mismatch",AK612="Conflicting Duplicate - Flagged for Review"),"Invalid",IF(OR(L612="Filled - Unknown",S612="Filled - Unknown",X612="Missing - Defaulted to 0",AL612="Yes",AC612="Cancelled",AC612="Returned"),"Warning","Clean"))</f>
        <v>Clean</v>
      </c>
    </row>
    <row r="613" customFormat="false" ht="15" hidden="false" customHeight="false" outlineLevel="0" collapsed="false">
      <c r="A613" s="3" t="str">
        <f aca="false">raw_data!A613</f>
        <v>ORD-2025-10612</v>
      </c>
      <c r="B613" s="4" t="n">
        <f aca="false">IFERROR(IF(MID(raw_data!B613,3,1)="/",DATE(VALUE(RIGHT(raw_data!B613,4)),VALUE(LEFT(raw_data!B613,2)),VALUE(MID(raw_data!B613,4,2))),IF(MID(raw_data!B613,3,1)="-",DATE(VALUE(RIGHT(raw_data!B613,4)),VALUE(MID(raw_data!B613,4,2)),VALUE(LEFT(raw_data!B613,2))),IF(MID(raw_data!B613,5,1)="-",DATE(VALUE(LEFT(raw_data!B613,4)),VALUE(MID(raw_data!B613,6,2)),VALUE(RIGHT(raw_data!B613,2))),DATE(VALUE(RIGHT(raw_data!B613,4)),MATCH(MID(raw_data!B613,4,3),{"Jan","Feb","Mar","Apr","May","Jun","Jul","Aug","Sep","Oct","Nov","Dec"},0),VALUE(LEFT(raw_data!B613,2)))))),"")</f>
        <v>45846</v>
      </c>
      <c r="C613" s="4" t="n">
        <f aca="false">IFERROR(IF(MID(raw_data!C613,3,1)="/",DATE(VALUE(RIGHT(raw_data!C613,4)),VALUE(LEFT(raw_data!C613,2)),VALUE(MID(raw_data!C613,4,2))),IF(MID(raw_data!C613,3,1)="-",DATE(VALUE(RIGHT(raw_data!C613,4)),VALUE(MID(raw_data!C613,4,2)),VALUE(LEFT(raw_data!C613,2))),IF(MID(raw_data!C613,5,1)="-",DATE(VALUE(LEFT(raw_data!C613,4)),VALUE(MID(raw_data!C613,6,2)),VALUE(RIGHT(raw_data!C613,2))),DATE(VALUE(RIGHT(raw_data!C613,4)),MATCH(MID(raw_data!C613,4,3),{"Jan","Feb","Mar","Apr","May","Jun","Jul","Aug","Sep","Oct","Nov","Dec"},0),VALUE(LEFT(raw_data!C613,2)))))),"")</f>
        <v>45853</v>
      </c>
      <c r="D613" s="3" t="str">
        <f aca="false">IF(TRIM(raw_data!B613)="","Missing",IF(B613="","Invalid/Unrecognized","Valid"))</f>
        <v>Valid</v>
      </c>
      <c r="E613" s="3" t="str">
        <f aca="false">IF(TRIM(raw_data!C613)="","Missing",IF(C613="","Invalid/Unrecognized","Valid"))</f>
        <v>Valid</v>
      </c>
      <c r="F613" s="5" t="n">
        <f aca="false">IF(OR(B613="",C613=""),"",C613-B613)</f>
        <v>7</v>
      </c>
      <c r="G613" s="3" t="str">
        <f aca="false">IF(F613="","N/A",IF(F613&lt;0,"Invalid - Ship Before Order","OK"))</f>
        <v>OK</v>
      </c>
      <c r="H613" s="3" t="str">
        <f aca="false">raw_data!D613</f>
        <v>CUST-6108</v>
      </c>
      <c r="I613" s="3" t="str">
        <f aca="false">PROPER(TRIM(raw_data!E613))</f>
        <v>Ananya Rao</v>
      </c>
      <c r="J613" s="3" t="str">
        <f aca="false">PROPER(TRIM(raw_data!F613))</f>
        <v>Small Business</v>
      </c>
      <c r="K613" s="3" t="str">
        <f aca="false">IF(TRIM(raw_data!G613)="","Unknown",PROPER(TRIM(raw_data!G613)))</f>
        <v>North</v>
      </c>
      <c r="L613" s="3" t="str">
        <f aca="false">IF(TRIM(raw_data!G613)="","Filled - Unknown","OK")</f>
        <v>OK</v>
      </c>
      <c r="M613" s="3" t="str">
        <f aca="false">PROPER(TRIM(raw_data!H613))</f>
        <v>Rajasthan</v>
      </c>
      <c r="N613" s="3" t="str">
        <f aca="false">PROPER(TRIM(raw_data!I613))</f>
        <v>Jaipur</v>
      </c>
      <c r="O613" s="3" t="str">
        <f aca="false">PROPER(TRIM(raw_data!J613))</f>
        <v>Office Supplies</v>
      </c>
      <c r="P613" s="3" t="str">
        <f aca="false">PROPER(TRIM(raw_data!K613))</f>
        <v>Binders</v>
      </c>
      <c r="Q613" s="3" t="str">
        <f aca="false">TRIM(raw_data!L613)</f>
        <v>Max Binders 785</v>
      </c>
      <c r="R613" s="3" t="str">
        <f aca="false">IF(TRIM(raw_data!M613)="","Unknown",PROPER(TRIM(raw_data!M613)))</f>
        <v>Same Day</v>
      </c>
      <c r="S613" s="3" t="str">
        <f aca="false">IF(TRIM(raw_data!M613)="","Filled - Unknown","OK")</f>
        <v>OK</v>
      </c>
      <c r="T613" s="6" t="n">
        <f aca="false">raw_data!N613</f>
        <v>8</v>
      </c>
      <c r="U613" s="7" t="n">
        <f aca="false">raw_data!O613</f>
        <v>655.28</v>
      </c>
      <c r="V613" s="8" t="n">
        <f aca="false">raw_data!P613</f>
        <v>0.1</v>
      </c>
      <c r="W613" s="8" t="n">
        <f aca="false">IF(raw_data!P613="",0,IF(ISTEXT(raw_data!P613),IF(RIGHT(raw_data!P613,1)="%",VALUE(LEFT(raw_data!P613,LEN(raw_data!P613)-1))/100,VALUE(raw_data!P613)),raw_data!P613))</f>
        <v>0.1</v>
      </c>
      <c r="X613" s="3" t="str">
        <f aca="false">IF(raw_data!P613="","Missing - Defaulted to 0",IF(W613&lt;0,"Negative - Invalid",IF(W613&gt;0.3,"Above Allowed Range - Invalid","Valid")))</f>
        <v>Valid</v>
      </c>
      <c r="Y613" s="7" t="n">
        <f aca="false">raw_data!Q613</f>
        <v>4718.02</v>
      </c>
      <c r="Z613" s="7" t="n">
        <f aca="false">raw_data!R613</f>
        <v>3908.23</v>
      </c>
      <c r="AA613" s="7" t="n">
        <f aca="false">raw_data!S613</f>
        <v>809.79</v>
      </c>
      <c r="AB613" s="3" t="str">
        <f aca="false">PROPER(TRIM(raw_data!T613))</f>
        <v>Paid</v>
      </c>
      <c r="AC613" s="3" t="str">
        <f aca="false">PROPER(TRIM(raw_data!U613))</f>
        <v>Completed</v>
      </c>
      <c r="AD613" s="7" t="n">
        <f aca="false">T613*U613*(1-W613)</f>
        <v>4718.016</v>
      </c>
      <c r="AE613" s="7" t="n">
        <f aca="false">AD613-Z613</f>
        <v>809.786</v>
      </c>
      <c r="AF613" s="8" t="n">
        <f aca="false">IF(AD613=0,0,AE613/AD613)</f>
        <v>0.171636976220513</v>
      </c>
      <c r="AG613" s="3" t="str">
        <f aca="false">IF(ABS(Y613-AD613)&gt;1,"Mismatch","OK")</f>
        <v>OK</v>
      </c>
      <c r="AH613" s="3" t="str">
        <f aca="false">IF(ABS(AA613-AE613)&gt;1,"Mismatch","OK")</f>
        <v>OK</v>
      </c>
      <c r="AI613" s="6" t="n">
        <f aca="false">IF(B613="","",MONTH(B613))</f>
        <v>7</v>
      </c>
      <c r="AJ613" s="6" t="n">
        <f aca="false">IF(B613="","",YEAR(B613))</f>
        <v>2025</v>
      </c>
      <c r="AK613" s="3" t="str">
        <f aca="false">IF(COUNTIF(raw_data!$A$2:$A$913,A613)&gt;1,"Conflicting Duplicate - Flagged for Review","Unique")</f>
        <v>Unique</v>
      </c>
      <c r="AL613" s="3" t="str">
        <f aca="false">IF(AB613="Refunded","Yes","No")</f>
        <v>No</v>
      </c>
      <c r="AM613" s="3" t="str">
        <f aca="false">IF(OR(AC613&lt;&gt;"Completed",AB613="Failed"),"Excluded","Included")</f>
        <v>Included</v>
      </c>
      <c r="AN613" s="3" t="str">
        <f aca="false">IF(OR(D613="Invalid/Unrecognized",E613="Invalid/Unrecognized",G613="Invalid - Ship Before Order",X613="Negative - Invalid",X613="Above Allowed Range - Invalid",AG613="Mismatch",AH613="Mismatch",AK613="Conflicting Duplicate - Flagged for Review"),"Invalid",IF(OR(L613="Filled - Unknown",S613="Filled - Unknown",X613="Missing - Defaulted to 0",AL613="Yes",AC613="Cancelled",AC613="Returned"),"Warning","Clean"))</f>
        <v>Clean</v>
      </c>
    </row>
    <row r="614" customFormat="false" ht="15" hidden="false" customHeight="false" outlineLevel="0" collapsed="false">
      <c r="A614" s="3" t="str">
        <f aca="false">raw_data!A614</f>
        <v>ORD-2025-10613</v>
      </c>
      <c r="B614" s="4" t="n">
        <f aca="false">IFERROR(IF(MID(raw_data!B614,3,1)="/",DATE(VALUE(RIGHT(raw_data!B614,4)),VALUE(LEFT(raw_data!B614,2)),VALUE(MID(raw_data!B614,4,2))),IF(MID(raw_data!B614,3,1)="-",DATE(VALUE(RIGHT(raw_data!B614,4)),VALUE(MID(raw_data!B614,4,2)),VALUE(LEFT(raw_data!B614,2))),IF(MID(raw_data!B614,5,1)="-",DATE(VALUE(LEFT(raw_data!B614,4)),VALUE(MID(raw_data!B614,6,2)),VALUE(RIGHT(raw_data!B614,2))),DATE(VALUE(RIGHT(raw_data!B614,4)),MATCH(MID(raw_data!B614,4,3),{"Jan","Feb","Mar","Apr","May","Jun","Jul","Aug","Sep","Oct","Nov","Dec"},0),VALUE(LEFT(raw_data!B614,2)))))),"")</f>
        <v>45753</v>
      </c>
      <c r="C614" s="4" t="n">
        <f aca="false">IFERROR(IF(MID(raw_data!C614,3,1)="/",DATE(VALUE(RIGHT(raw_data!C614,4)),VALUE(LEFT(raw_data!C614,2)),VALUE(MID(raw_data!C614,4,2))),IF(MID(raw_data!C614,3,1)="-",DATE(VALUE(RIGHT(raw_data!C614,4)),VALUE(MID(raw_data!C614,4,2)),VALUE(LEFT(raw_data!C614,2))),IF(MID(raw_data!C614,5,1)="-",DATE(VALUE(LEFT(raw_data!C614,4)),VALUE(MID(raw_data!C614,6,2)),VALUE(RIGHT(raw_data!C614,2))),DATE(VALUE(RIGHT(raw_data!C614,4)),MATCH(MID(raw_data!C614,4,3),{"Jan","Feb","Mar","Apr","May","Jun","Jul","Aug","Sep","Oct","Nov","Dec"},0),VALUE(LEFT(raw_data!C614,2)))))),"")</f>
        <v>45760</v>
      </c>
      <c r="D614" s="3" t="str">
        <f aca="false">IF(TRIM(raw_data!B614)="","Missing",IF(B614="","Invalid/Unrecognized","Valid"))</f>
        <v>Valid</v>
      </c>
      <c r="E614" s="3" t="str">
        <f aca="false">IF(TRIM(raw_data!C614)="","Missing",IF(C614="","Invalid/Unrecognized","Valid"))</f>
        <v>Valid</v>
      </c>
      <c r="F614" s="5" t="n">
        <f aca="false">IF(OR(B614="",C614=""),"",C614-B614)</f>
        <v>7</v>
      </c>
      <c r="G614" s="3" t="str">
        <f aca="false">IF(F614="","N/A",IF(F614&lt;0,"Invalid - Ship Before Order","OK"))</f>
        <v>OK</v>
      </c>
      <c r="H614" s="3" t="str">
        <f aca="false">raw_data!D614</f>
        <v>CUST-5663</v>
      </c>
      <c r="I614" s="3" t="str">
        <f aca="false">PROPER(TRIM(raw_data!E614))</f>
        <v>Aditi Sen</v>
      </c>
      <c r="J614" s="3" t="str">
        <f aca="false">PROPER(TRIM(raw_data!F614))</f>
        <v>Consumer</v>
      </c>
      <c r="K614" s="3" t="str">
        <f aca="false">IF(TRIM(raw_data!G614)="","Unknown",PROPER(TRIM(raw_data!G614)))</f>
        <v>Unknown</v>
      </c>
      <c r="L614" s="3" t="str">
        <f aca="false">IF(TRIM(raw_data!G614)="","Filled - Unknown","OK")</f>
        <v>Filled - Unknown</v>
      </c>
      <c r="M614" s="3" t="str">
        <f aca="false">PROPER(TRIM(raw_data!H614))</f>
        <v>Odisha</v>
      </c>
      <c r="N614" s="3" t="str">
        <f aca="false">PROPER(TRIM(raw_data!I614))</f>
        <v>Bhubaneswar</v>
      </c>
      <c r="O614" s="3" t="str">
        <f aca="false">PROPER(TRIM(raw_data!J614))</f>
        <v>Technology</v>
      </c>
      <c r="P614" s="3" t="str">
        <f aca="false">PROPER(TRIM(raw_data!K614))</f>
        <v>Phones</v>
      </c>
      <c r="Q614" s="3" t="str">
        <f aca="false">TRIM(raw_data!L614)</f>
        <v>Elite Phones 239</v>
      </c>
      <c r="R614" s="3" t="str">
        <f aca="false">IF(TRIM(raw_data!M614)="","Unknown",PROPER(TRIM(raw_data!M614)))</f>
        <v>Standard Class</v>
      </c>
      <c r="S614" s="3" t="str">
        <f aca="false">IF(TRIM(raw_data!M614)="","Filled - Unknown","OK")</f>
        <v>OK</v>
      </c>
      <c r="T614" s="6" t="n">
        <f aca="false">raw_data!N614</f>
        <v>1</v>
      </c>
      <c r="U614" s="7" t="n">
        <f aca="false">raw_data!O614</f>
        <v>3844.01</v>
      </c>
      <c r="V614" s="8" t="n">
        <f aca="false">raw_data!P614</f>
        <v>0</v>
      </c>
      <c r="W614" s="8" t="n">
        <f aca="false">IF(raw_data!P614="",0,IF(ISTEXT(raw_data!P614),IF(RIGHT(raw_data!P614,1)="%",VALUE(LEFT(raw_data!P614,LEN(raw_data!P614)-1))/100,VALUE(raw_data!P614)),raw_data!P614))</f>
        <v>0</v>
      </c>
      <c r="X614" s="3" t="str">
        <f aca="false">IF(raw_data!P614="","Missing - Defaulted to 0",IF(W614&lt;0,"Negative - Invalid",IF(W614&gt;0.3,"Above Allowed Range - Invalid","Valid")))</f>
        <v>Valid</v>
      </c>
      <c r="Y614" s="7" t="n">
        <f aca="false">raw_data!Q614</f>
        <v>3844.01</v>
      </c>
      <c r="Z614" s="7" t="n">
        <f aca="false">raw_data!R614</f>
        <v>2195.79</v>
      </c>
      <c r="AA614" s="7" t="n">
        <f aca="false">raw_data!S614</f>
        <v>1648.22</v>
      </c>
      <c r="AB614" s="3" t="str">
        <f aca="false">PROPER(TRIM(raw_data!T614))</f>
        <v>Paid</v>
      </c>
      <c r="AC614" s="3" t="str">
        <f aca="false">PROPER(TRIM(raw_data!U614))</f>
        <v>Completed</v>
      </c>
      <c r="AD614" s="7" t="n">
        <f aca="false">T614*U614*(1-W614)</f>
        <v>3844.01</v>
      </c>
      <c r="AE614" s="7" t="n">
        <f aca="false">AD614-Z614</f>
        <v>1648.22</v>
      </c>
      <c r="AF614" s="8" t="n">
        <f aca="false">IF(AD614=0,0,AE614/AD614)</f>
        <v>0.428776199853799</v>
      </c>
      <c r="AG614" s="3" t="str">
        <f aca="false">IF(ABS(Y614-AD614)&gt;1,"Mismatch","OK")</f>
        <v>OK</v>
      </c>
      <c r="AH614" s="3" t="str">
        <f aca="false">IF(ABS(AA614-AE614)&gt;1,"Mismatch","OK")</f>
        <v>OK</v>
      </c>
      <c r="AI614" s="6" t="n">
        <f aca="false">IF(B614="","",MONTH(B614))</f>
        <v>4</v>
      </c>
      <c r="AJ614" s="6" t="n">
        <f aca="false">IF(B614="","",YEAR(B614))</f>
        <v>2025</v>
      </c>
      <c r="AK614" s="3" t="str">
        <f aca="false">IF(COUNTIF(raw_data!$A$2:$A$913,A614)&gt;1,"Conflicting Duplicate - Flagged for Review","Unique")</f>
        <v>Unique</v>
      </c>
      <c r="AL614" s="3" t="str">
        <f aca="false">IF(AB614="Refunded","Yes","No")</f>
        <v>No</v>
      </c>
      <c r="AM614" s="3" t="str">
        <f aca="false">IF(OR(AC614&lt;&gt;"Completed",AB614="Failed"),"Excluded","Included")</f>
        <v>Included</v>
      </c>
      <c r="AN614" s="3" t="str">
        <f aca="false">IF(OR(D614="Invalid/Unrecognized",E614="Invalid/Unrecognized",G614="Invalid - Ship Before Order",X614="Negative - Invalid",X614="Above Allowed Range - Invalid",AG614="Mismatch",AH614="Mismatch",AK614="Conflicting Duplicate - Flagged for Review"),"Invalid",IF(OR(L614="Filled - Unknown",S614="Filled - Unknown",X614="Missing - Defaulted to 0",AL614="Yes",AC614="Cancelled",AC614="Returned"),"Warning","Clean"))</f>
        <v>Warning</v>
      </c>
    </row>
    <row r="615" customFormat="false" ht="15" hidden="false" customHeight="false" outlineLevel="0" collapsed="false">
      <c r="A615" s="3" t="str">
        <f aca="false">raw_data!A615</f>
        <v>ORD-2024-10614</v>
      </c>
      <c r="B615" s="4" t="n">
        <f aca="false">IFERROR(IF(MID(raw_data!B615,3,1)="/",DATE(VALUE(RIGHT(raw_data!B615,4)),VALUE(LEFT(raw_data!B615,2)),VALUE(MID(raw_data!B615,4,2))),IF(MID(raw_data!B615,3,1)="-",DATE(VALUE(RIGHT(raw_data!B615,4)),VALUE(MID(raw_data!B615,4,2)),VALUE(LEFT(raw_data!B615,2))),IF(MID(raw_data!B615,5,1)="-",DATE(VALUE(LEFT(raw_data!B615,4)),VALUE(MID(raw_data!B615,6,2)),VALUE(RIGHT(raw_data!B615,2))),DATE(VALUE(RIGHT(raw_data!B615,4)),MATCH(MID(raw_data!B615,4,3),{"Jan","Feb","Mar","Apr","May","Jun","Jul","Aug","Sep","Oct","Nov","Dec"},0),VALUE(LEFT(raw_data!B615,2)))))),"")</f>
        <v>45570</v>
      </c>
      <c r="C615" s="4" t="n">
        <f aca="false">IFERROR(IF(MID(raw_data!C615,3,1)="/",DATE(VALUE(RIGHT(raw_data!C615,4)),VALUE(LEFT(raw_data!C615,2)),VALUE(MID(raw_data!C615,4,2))),IF(MID(raw_data!C615,3,1)="-",DATE(VALUE(RIGHT(raw_data!C615,4)),VALUE(MID(raw_data!C615,4,2)),VALUE(LEFT(raw_data!C615,2))),IF(MID(raw_data!C615,5,1)="-",DATE(VALUE(LEFT(raw_data!C615,4)),VALUE(MID(raw_data!C615,6,2)),VALUE(RIGHT(raw_data!C615,2))),DATE(VALUE(RIGHT(raw_data!C615,4)),MATCH(MID(raw_data!C615,4,3),{"Jan","Feb","Mar","Apr","May","Jun","Jul","Aug","Sep","Oct","Nov","Dec"},0),VALUE(LEFT(raw_data!C615,2)))))),"")</f>
        <v>45575</v>
      </c>
      <c r="D615" s="3" t="str">
        <f aca="false">IF(TRIM(raw_data!B615)="","Missing",IF(B615="","Invalid/Unrecognized","Valid"))</f>
        <v>Valid</v>
      </c>
      <c r="E615" s="3" t="str">
        <f aca="false">IF(TRIM(raw_data!C615)="","Missing",IF(C615="","Invalid/Unrecognized","Valid"))</f>
        <v>Valid</v>
      </c>
      <c r="F615" s="5" t="n">
        <f aca="false">IF(OR(B615="",C615=""),"",C615-B615)</f>
        <v>5</v>
      </c>
      <c r="G615" s="3" t="str">
        <f aca="false">IF(F615="","N/A",IF(F615&lt;0,"Invalid - Ship Before Order","OK"))</f>
        <v>OK</v>
      </c>
      <c r="H615" s="3" t="str">
        <f aca="false">raw_data!D615</f>
        <v>CUST-9311</v>
      </c>
      <c r="I615" s="3" t="str">
        <f aca="false">PROPER(TRIM(raw_data!E615))</f>
        <v>Diya Patel</v>
      </c>
      <c r="J615" s="3" t="str">
        <f aca="false">PROPER(TRIM(raw_data!F615))</f>
        <v>Home Office</v>
      </c>
      <c r="K615" s="3" t="str">
        <f aca="false">IF(TRIM(raw_data!G615)="","Unknown",PROPER(TRIM(raw_data!G615)))</f>
        <v>West</v>
      </c>
      <c r="L615" s="3" t="str">
        <f aca="false">IF(TRIM(raw_data!G615)="","Filled - Unknown","OK")</f>
        <v>OK</v>
      </c>
      <c r="M615" s="3" t="str">
        <f aca="false">PROPER(TRIM(raw_data!H615))</f>
        <v>Gujarat</v>
      </c>
      <c r="N615" s="3" t="str">
        <f aca="false">PROPER(TRIM(raw_data!I615))</f>
        <v>Ahmedabad</v>
      </c>
      <c r="O615" s="3" t="str">
        <f aca="false">PROPER(TRIM(raw_data!J615))</f>
        <v>Technology</v>
      </c>
      <c r="P615" s="3" t="str">
        <f aca="false">PROPER(TRIM(raw_data!K615))</f>
        <v>Machines</v>
      </c>
      <c r="Q615" s="3" t="str">
        <f aca="false">TRIM(raw_data!L615)</f>
        <v>Basic Machines 413</v>
      </c>
      <c r="R615" s="3" t="str">
        <f aca="false">IF(TRIM(raw_data!M615)="","Unknown",PROPER(TRIM(raw_data!M615)))</f>
        <v>Same Day</v>
      </c>
      <c r="S615" s="3" t="str">
        <f aca="false">IF(TRIM(raw_data!M615)="","Filled - Unknown","OK")</f>
        <v>OK</v>
      </c>
      <c r="T615" s="6" t="n">
        <f aca="false">raw_data!N615</f>
        <v>9</v>
      </c>
      <c r="U615" s="7" t="n">
        <f aca="false">raw_data!O615</f>
        <v>3361.3</v>
      </c>
      <c r="V615" s="8" t="n">
        <f aca="false">raw_data!P615</f>
        <v>0.25</v>
      </c>
      <c r="W615" s="8" t="n">
        <f aca="false">IF(raw_data!P615="",0,IF(ISTEXT(raw_data!P615),IF(RIGHT(raw_data!P615,1)="%",VALUE(LEFT(raw_data!P615,LEN(raw_data!P615)-1))/100,VALUE(raw_data!P615)),raw_data!P615))</f>
        <v>0.25</v>
      </c>
      <c r="X615" s="3" t="str">
        <f aca="false">IF(raw_data!P615="","Missing - Defaulted to 0",IF(W615&lt;0,"Negative - Invalid",IF(W615&gt;0.3,"Above Allowed Range - Invalid","Valid")))</f>
        <v>Valid</v>
      </c>
      <c r="Y615" s="7" t="n">
        <f aca="false">raw_data!Q615</f>
        <v>22688.78</v>
      </c>
      <c r="Z615" s="7" t="n">
        <f aca="false">raw_data!R615</f>
        <v>14672.41</v>
      </c>
      <c r="AA615" s="7" t="n">
        <f aca="false">raw_data!S615</f>
        <v>8016.37</v>
      </c>
      <c r="AB615" s="3" t="str">
        <f aca="false">PROPER(TRIM(raw_data!T615))</f>
        <v>Paid</v>
      </c>
      <c r="AC615" s="3" t="str">
        <f aca="false">PROPER(TRIM(raw_data!U615))</f>
        <v>Completed</v>
      </c>
      <c r="AD615" s="7" t="n">
        <f aca="false">T615*U615*(1-W615)</f>
        <v>22688.775</v>
      </c>
      <c r="AE615" s="7" t="n">
        <f aca="false">AD615-Z615</f>
        <v>8016.365</v>
      </c>
      <c r="AF615" s="8" t="n">
        <f aca="false">IF(AD615=0,0,AE615/AD615)</f>
        <v>0.353318546285553</v>
      </c>
      <c r="AG615" s="3" t="str">
        <f aca="false">IF(ABS(Y615-AD615)&gt;1,"Mismatch","OK")</f>
        <v>OK</v>
      </c>
      <c r="AH615" s="3" t="str">
        <f aca="false">IF(ABS(AA615-AE615)&gt;1,"Mismatch","OK")</f>
        <v>OK</v>
      </c>
      <c r="AI615" s="6" t="n">
        <f aca="false">IF(B615="","",MONTH(B615))</f>
        <v>10</v>
      </c>
      <c r="AJ615" s="6" t="n">
        <f aca="false">IF(B615="","",YEAR(B615))</f>
        <v>2024</v>
      </c>
      <c r="AK615" s="3" t="str">
        <f aca="false">IF(COUNTIF(raw_data!$A$2:$A$913,A615)&gt;1,"Conflicting Duplicate - Flagged for Review","Unique")</f>
        <v>Unique</v>
      </c>
      <c r="AL615" s="3" t="str">
        <f aca="false">IF(AB615="Refunded","Yes","No")</f>
        <v>No</v>
      </c>
      <c r="AM615" s="3" t="str">
        <f aca="false">IF(OR(AC615&lt;&gt;"Completed",AB615="Failed"),"Excluded","Included")</f>
        <v>Included</v>
      </c>
      <c r="AN615" s="3" t="str">
        <f aca="false">IF(OR(D615="Invalid/Unrecognized",E615="Invalid/Unrecognized",G615="Invalid - Ship Before Order",X615="Negative - Invalid",X615="Above Allowed Range - Invalid",AG615="Mismatch",AH615="Mismatch",AK615="Conflicting Duplicate - Flagged for Review"),"Invalid",IF(OR(L615="Filled - Unknown",S615="Filled - Unknown",X615="Missing - Defaulted to 0",AL615="Yes",AC615="Cancelled",AC615="Returned"),"Warning","Clean"))</f>
        <v>Clean</v>
      </c>
    </row>
    <row r="616" customFormat="false" ht="15" hidden="false" customHeight="false" outlineLevel="0" collapsed="false">
      <c r="A616" s="3" t="str">
        <f aca="false">raw_data!A616</f>
        <v>ORD-2024-10615</v>
      </c>
      <c r="B616" s="4" t="n">
        <f aca="false">IFERROR(IF(MID(raw_data!B616,3,1)="/",DATE(VALUE(RIGHT(raw_data!B616,4)),VALUE(LEFT(raw_data!B616,2)),VALUE(MID(raw_data!B616,4,2))),IF(MID(raw_data!B616,3,1)="-",DATE(VALUE(RIGHT(raw_data!B616,4)),VALUE(MID(raw_data!B616,4,2)),VALUE(LEFT(raw_data!B616,2))),IF(MID(raw_data!B616,5,1)="-",DATE(VALUE(LEFT(raw_data!B616,4)),VALUE(MID(raw_data!B616,6,2)),VALUE(RIGHT(raw_data!B616,2))),DATE(VALUE(RIGHT(raw_data!B616,4)),MATCH(MID(raw_data!B616,4,3),{"Jan","Feb","Mar","Apr","May","Jun","Jul","Aug","Sep","Oct","Nov","Dec"},0),VALUE(LEFT(raw_data!B616,2)))))),"")</f>
        <v>45333</v>
      </c>
      <c r="C616" s="4" t="n">
        <f aca="false">IFERROR(IF(MID(raw_data!C616,3,1)="/",DATE(VALUE(RIGHT(raw_data!C616,4)),VALUE(LEFT(raw_data!C616,2)),VALUE(MID(raw_data!C616,4,2))),IF(MID(raw_data!C616,3,1)="-",DATE(VALUE(RIGHT(raw_data!C616,4)),VALUE(MID(raw_data!C616,4,2)),VALUE(LEFT(raw_data!C616,2))),IF(MID(raw_data!C616,5,1)="-",DATE(VALUE(LEFT(raw_data!C616,4)),VALUE(MID(raw_data!C616,6,2)),VALUE(RIGHT(raw_data!C616,2))),DATE(VALUE(RIGHT(raw_data!C616,4)),MATCH(MID(raw_data!C616,4,3),{"Jan","Feb","Mar","Apr","May","Jun","Jul","Aug","Sep","Oct","Nov","Dec"},0),VALUE(LEFT(raw_data!C616,2)))))),"")</f>
        <v>45341</v>
      </c>
      <c r="D616" s="3" t="str">
        <f aca="false">IF(TRIM(raw_data!B616)="","Missing",IF(B616="","Invalid/Unrecognized","Valid"))</f>
        <v>Valid</v>
      </c>
      <c r="E616" s="3" t="str">
        <f aca="false">IF(TRIM(raw_data!C616)="","Missing",IF(C616="","Invalid/Unrecognized","Valid"))</f>
        <v>Valid</v>
      </c>
      <c r="F616" s="5" t="n">
        <f aca="false">IF(OR(B616="",C616=""),"",C616-B616)</f>
        <v>8</v>
      </c>
      <c r="G616" s="3" t="str">
        <f aca="false">IF(F616="","N/A",IF(F616&lt;0,"Invalid - Ship Before Order","OK"))</f>
        <v>OK</v>
      </c>
      <c r="H616" s="3" t="str">
        <f aca="false">raw_data!D616</f>
        <v>CUST-8154</v>
      </c>
      <c r="I616" s="3" t="str">
        <f aca="false">PROPER(TRIM(raw_data!E616))</f>
        <v>Ananya Rao</v>
      </c>
      <c r="J616" s="3" t="str">
        <f aca="false">PROPER(TRIM(raw_data!F616))</f>
        <v>Home Office</v>
      </c>
      <c r="K616" s="3" t="str">
        <f aca="false">IF(TRIM(raw_data!G616)="","Unknown",PROPER(TRIM(raw_data!G616)))</f>
        <v>South</v>
      </c>
      <c r="L616" s="3" t="str">
        <f aca="false">IF(TRIM(raw_data!G616)="","Filled - Unknown","OK")</f>
        <v>OK</v>
      </c>
      <c r="M616" s="3" t="str">
        <f aca="false">PROPER(TRIM(raw_data!H616))</f>
        <v>Telangana</v>
      </c>
      <c r="N616" s="3" t="str">
        <f aca="false">PROPER(TRIM(raw_data!I616))</f>
        <v>Hyderabad</v>
      </c>
      <c r="O616" s="3" t="str">
        <f aca="false">PROPER(TRIM(raw_data!J616))</f>
        <v>Furniture</v>
      </c>
      <c r="P616" s="3" t="str">
        <f aca="false">PROPER(TRIM(raw_data!K616))</f>
        <v>Chairs</v>
      </c>
      <c r="Q616" s="3" t="str">
        <f aca="false">TRIM(raw_data!L616)</f>
        <v>Elite Chairs 140</v>
      </c>
      <c r="R616" s="3" t="str">
        <f aca="false">IF(TRIM(raw_data!M616)="","Unknown",PROPER(TRIM(raw_data!M616)))</f>
        <v>Standard Class</v>
      </c>
      <c r="S616" s="3" t="str">
        <f aca="false">IF(TRIM(raw_data!M616)="","Filled - Unknown","OK")</f>
        <v>OK</v>
      </c>
      <c r="T616" s="6" t="n">
        <f aca="false">raw_data!N616</f>
        <v>8</v>
      </c>
      <c r="U616" s="7" t="n">
        <f aca="false">raw_data!O616</f>
        <v>3398.32</v>
      </c>
      <c r="V616" s="8" t="n">
        <f aca="false">raw_data!P616</f>
        <v>0.25</v>
      </c>
      <c r="W616" s="8" t="n">
        <f aca="false">IF(raw_data!P616="",0,IF(ISTEXT(raw_data!P616),IF(RIGHT(raw_data!P616,1)="%",VALUE(LEFT(raw_data!P616,LEN(raw_data!P616)-1))/100,VALUE(raw_data!P616)),raw_data!P616))</f>
        <v>0.25</v>
      </c>
      <c r="X616" s="3" t="str">
        <f aca="false">IF(raw_data!P616="","Missing - Defaulted to 0",IF(W616&lt;0,"Negative - Invalid",IF(W616&gt;0.3,"Above Allowed Range - Invalid","Valid")))</f>
        <v>Valid</v>
      </c>
      <c r="Y616" s="7" t="n">
        <f aca="false">raw_data!Q616</f>
        <v>20389.92</v>
      </c>
      <c r="Z616" s="7" t="n">
        <f aca="false">raw_data!R616</f>
        <v>16661.08</v>
      </c>
      <c r="AA616" s="7" t="n">
        <f aca="false">raw_data!S616</f>
        <v>3728.84</v>
      </c>
      <c r="AB616" s="3" t="str">
        <f aca="false">PROPER(TRIM(raw_data!T616))</f>
        <v>Refunded</v>
      </c>
      <c r="AC616" s="3" t="str">
        <f aca="false">PROPER(TRIM(raw_data!U616))</f>
        <v>Cancelled</v>
      </c>
      <c r="AD616" s="7" t="n">
        <f aca="false">T616*U616*(1-W616)</f>
        <v>20389.92</v>
      </c>
      <c r="AE616" s="7" t="n">
        <f aca="false">AD616-Z616</f>
        <v>3728.84</v>
      </c>
      <c r="AF616" s="8" t="n">
        <f aca="false">IF(AD616=0,0,AE616/AD616)</f>
        <v>0.182876637083422</v>
      </c>
      <c r="AG616" s="3" t="str">
        <f aca="false">IF(ABS(Y616-AD616)&gt;1,"Mismatch","OK")</f>
        <v>OK</v>
      </c>
      <c r="AH616" s="3" t="str">
        <f aca="false">IF(ABS(AA616-AE616)&gt;1,"Mismatch","OK")</f>
        <v>OK</v>
      </c>
      <c r="AI616" s="6" t="n">
        <f aca="false">IF(B616="","",MONTH(B616))</f>
        <v>2</v>
      </c>
      <c r="AJ616" s="6" t="n">
        <f aca="false">IF(B616="","",YEAR(B616))</f>
        <v>2024</v>
      </c>
      <c r="AK616" s="3" t="str">
        <f aca="false">IF(COUNTIF(raw_data!$A$2:$A$913,A616)&gt;1,"Conflicting Duplicate - Flagged for Review","Unique")</f>
        <v>Unique</v>
      </c>
      <c r="AL616" s="3" t="str">
        <f aca="false">IF(AB616="Refunded","Yes","No")</f>
        <v>Yes</v>
      </c>
      <c r="AM616" s="3" t="str">
        <f aca="false">IF(OR(AC616&lt;&gt;"Completed",AB616="Failed"),"Excluded","Included")</f>
        <v>Excluded</v>
      </c>
      <c r="AN616" s="3" t="str">
        <f aca="false">IF(OR(D616="Invalid/Unrecognized",E616="Invalid/Unrecognized",G616="Invalid - Ship Before Order",X616="Negative - Invalid",X616="Above Allowed Range - Invalid",AG616="Mismatch",AH616="Mismatch",AK616="Conflicting Duplicate - Flagged for Review"),"Invalid",IF(OR(L616="Filled - Unknown",S616="Filled - Unknown",X616="Missing - Defaulted to 0",AL616="Yes",AC616="Cancelled",AC616="Returned"),"Warning","Clean"))</f>
        <v>Warning</v>
      </c>
    </row>
    <row r="617" customFormat="false" ht="15" hidden="false" customHeight="false" outlineLevel="0" collapsed="false">
      <c r="A617" s="3" t="str">
        <f aca="false">raw_data!A617</f>
        <v>ORD-2024-10616</v>
      </c>
      <c r="B617" s="4" t="n">
        <f aca="false">IFERROR(IF(MID(raw_data!B617,3,1)="/",DATE(VALUE(RIGHT(raw_data!B617,4)),VALUE(LEFT(raw_data!B617,2)),VALUE(MID(raw_data!B617,4,2))),IF(MID(raw_data!B617,3,1)="-",DATE(VALUE(RIGHT(raw_data!B617,4)),VALUE(MID(raw_data!B617,4,2)),VALUE(LEFT(raw_data!B617,2))),IF(MID(raw_data!B617,5,1)="-",DATE(VALUE(LEFT(raw_data!B617,4)),VALUE(MID(raw_data!B617,6,2)),VALUE(RIGHT(raw_data!B617,2))),DATE(VALUE(RIGHT(raw_data!B617,4)),MATCH(MID(raw_data!B617,4,3),{"Jan","Feb","Mar","Apr","May","Jun","Jul","Aug","Sep","Oct","Nov","Dec"},0),VALUE(LEFT(raw_data!B617,2)))))),"")</f>
        <v>45569</v>
      </c>
      <c r="C617" s="4" t="n">
        <f aca="false">IFERROR(IF(MID(raw_data!C617,3,1)="/",DATE(VALUE(RIGHT(raw_data!C617,4)),VALUE(LEFT(raw_data!C617,2)),VALUE(MID(raw_data!C617,4,2))),IF(MID(raw_data!C617,3,1)="-",DATE(VALUE(RIGHT(raw_data!C617,4)),VALUE(MID(raw_data!C617,4,2)),VALUE(LEFT(raw_data!C617,2))),IF(MID(raw_data!C617,5,1)="-",DATE(VALUE(LEFT(raw_data!C617,4)),VALUE(MID(raw_data!C617,6,2)),VALUE(RIGHT(raw_data!C617,2))),DATE(VALUE(RIGHT(raw_data!C617,4)),MATCH(MID(raw_data!C617,4,3),{"Jan","Feb","Mar","Apr","May","Jun","Jul","Aug","Sep","Oct","Nov","Dec"},0),VALUE(LEFT(raw_data!C617,2)))))),"")</f>
        <v>45572</v>
      </c>
      <c r="D617" s="3" t="str">
        <f aca="false">IF(TRIM(raw_data!B617)="","Missing",IF(B617="","Invalid/Unrecognized","Valid"))</f>
        <v>Valid</v>
      </c>
      <c r="E617" s="3" t="str">
        <f aca="false">IF(TRIM(raw_data!C617)="","Missing",IF(C617="","Invalid/Unrecognized","Valid"))</f>
        <v>Valid</v>
      </c>
      <c r="F617" s="5" t="n">
        <f aca="false">IF(OR(B617="",C617=""),"",C617-B617)</f>
        <v>3</v>
      </c>
      <c r="G617" s="3" t="str">
        <f aca="false">IF(F617="","N/A",IF(F617&lt;0,"Invalid - Ship Before Order","OK"))</f>
        <v>OK</v>
      </c>
      <c r="H617" s="3" t="str">
        <f aca="false">raw_data!D617</f>
        <v>CUST-4462</v>
      </c>
      <c r="I617" s="3" t="str">
        <f aca="false">PROPER(TRIM(raw_data!E617))</f>
        <v>Rahul Verma</v>
      </c>
      <c r="J617" s="3" t="str">
        <f aca="false">PROPER(TRIM(raw_data!F617))</f>
        <v>Corporate</v>
      </c>
      <c r="K617" s="3" t="str">
        <f aca="false">IF(TRIM(raw_data!G617)="","Unknown",PROPER(TRIM(raw_data!G617)))</f>
        <v>South</v>
      </c>
      <c r="L617" s="3" t="str">
        <f aca="false">IF(TRIM(raw_data!G617)="","Filled - Unknown","OK")</f>
        <v>OK</v>
      </c>
      <c r="M617" s="3" t="str">
        <f aca="false">PROPER(TRIM(raw_data!H617))</f>
        <v>Kerala</v>
      </c>
      <c r="N617" s="3" t="str">
        <f aca="false">PROPER(TRIM(raw_data!I617))</f>
        <v>Kochi</v>
      </c>
      <c r="O617" s="3" t="str">
        <f aca="false">PROPER(TRIM(raw_data!J617))</f>
        <v>Office Supplies</v>
      </c>
      <c r="P617" s="3" t="str">
        <f aca="false">PROPER(TRIM(raw_data!K617))</f>
        <v>Art</v>
      </c>
      <c r="Q617" s="3" t="str">
        <f aca="false">TRIM(raw_data!L617)</f>
        <v>Basic Art 771</v>
      </c>
      <c r="R617" s="3" t="str">
        <f aca="false">IF(TRIM(raw_data!M617)="","Unknown",PROPER(TRIM(raw_data!M617)))</f>
        <v>Second Class</v>
      </c>
      <c r="S617" s="3" t="str">
        <f aca="false">IF(TRIM(raw_data!M617)="","Filled - Unknown","OK")</f>
        <v>OK</v>
      </c>
      <c r="T617" s="6" t="n">
        <f aca="false">raw_data!N617</f>
        <v>2</v>
      </c>
      <c r="U617" s="7" t="n">
        <f aca="false">raw_data!O617</f>
        <v>3144.38</v>
      </c>
      <c r="V617" s="8" t="n">
        <f aca="false">raw_data!P617</f>
        <v>0.1</v>
      </c>
      <c r="W617" s="8" t="n">
        <f aca="false">IF(raw_data!P617="",0,IF(ISTEXT(raw_data!P617),IF(RIGHT(raw_data!P617,1)="%",VALUE(LEFT(raw_data!P617,LEN(raw_data!P617)-1))/100,VALUE(raw_data!P617)),raw_data!P617))</f>
        <v>0.1</v>
      </c>
      <c r="X617" s="3" t="str">
        <f aca="false">IF(raw_data!P617="","Missing - Defaulted to 0",IF(W617&lt;0,"Negative - Invalid",IF(W617&gt;0.3,"Above Allowed Range - Invalid","Valid")))</f>
        <v>Valid</v>
      </c>
      <c r="Y617" s="7" t="n">
        <f aca="false">raw_data!Q617</f>
        <v>5904.57</v>
      </c>
      <c r="Z617" s="7" t="n">
        <f aca="false">raw_data!R617</f>
        <v>4337.79</v>
      </c>
      <c r="AA617" s="7" t="n">
        <f aca="false">raw_data!S617</f>
        <v>1322.09</v>
      </c>
      <c r="AB617" s="3" t="str">
        <f aca="false">PROPER(TRIM(raw_data!T617))</f>
        <v>Paid</v>
      </c>
      <c r="AC617" s="3" t="str">
        <f aca="false">PROPER(TRIM(raw_data!U617))</f>
        <v>Completed</v>
      </c>
      <c r="AD617" s="7" t="n">
        <f aca="false">T617*U617*(1-W617)</f>
        <v>5659.884</v>
      </c>
      <c r="AE617" s="7" t="n">
        <f aca="false">AD617-Z617</f>
        <v>1322.094</v>
      </c>
      <c r="AF617" s="8" t="n">
        <f aca="false">IF(AD617=0,0,AE617/AD617)</f>
        <v>0.233590299730525</v>
      </c>
      <c r="AG617" s="3" t="str">
        <f aca="false">IF(ABS(Y617-AD617)&gt;1,"Mismatch","OK")</f>
        <v>Mismatch</v>
      </c>
      <c r="AH617" s="3" t="str">
        <f aca="false">IF(ABS(AA617-AE617)&gt;1,"Mismatch","OK")</f>
        <v>OK</v>
      </c>
      <c r="AI617" s="6" t="n">
        <f aca="false">IF(B617="","",MONTH(B617))</f>
        <v>10</v>
      </c>
      <c r="AJ617" s="6" t="n">
        <f aca="false">IF(B617="","",YEAR(B617))</f>
        <v>2024</v>
      </c>
      <c r="AK617" s="3" t="str">
        <f aca="false">IF(COUNTIF(raw_data!$A$2:$A$913,A617)&gt;1,"Conflicting Duplicate - Flagged for Review","Unique")</f>
        <v>Unique</v>
      </c>
      <c r="AL617" s="3" t="str">
        <f aca="false">IF(AB617="Refunded","Yes","No")</f>
        <v>No</v>
      </c>
      <c r="AM617" s="3" t="str">
        <f aca="false">IF(OR(AC617&lt;&gt;"Completed",AB617="Failed"),"Excluded","Included")</f>
        <v>Included</v>
      </c>
      <c r="AN617" s="3" t="str">
        <f aca="false">IF(OR(D617="Invalid/Unrecognized",E617="Invalid/Unrecognized",G617="Invalid - Ship Before Order",X617="Negative - Invalid",X617="Above Allowed Range - Invalid",AG617="Mismatch",AH617="Mismatch",AK617="Conflicting Duplicate - Flagged for Review"),"Invalid",IF(OR(L617="Filled - Unknown",S617="Filled - Unknown",X617="Missing - Defaulted to 0",AL617="Yes",AC617="Cancelled",AC617="Returned"),"Warning","Clean"))</f>
        <v>Invalid</v>
      </c>
    </row>
    <row r="618" customFormat="false" ht="15" hidden="false" customHeight="false" outlineLevel="0" collapsed="false">
      <c r="A618" s="3" t="str">
        <f aca="false">raw_data!A618</f>
        <v>ORD-2024-10617</v>
      </c>
      <c r="B618" s="4" t="n">
        <f aca="false">IFERROR(IF(MID(raw_data!B618,3,1)="/",DATE(VALUE(RIGHT(raw_data!B618,4)),VALUE(LEFT(raw_data!B618,2)),VALUE(MID(raw_data!B618,4,2))),IF(MID(raw_data!B618,3,1)="-",DATE(VALUE(RIGHT(raw_data!B618,4)),VALUE(MID(raw_data!B618,4,2)),VALUE(LEFT(raw_data!B618,2))),IF(MID(raw_data!B618,5,1)="-",DATE(VALUE(LEFT(raw_data!B618,4)),VALUE(MID(raw_data!B618,6,2)),VALUE(RIGHT(raw_data!B618,2))),DATE(VALUE(RIGHT(raw_data!B618,4)),MATCH(MID(raw_data!B618,4,3),{"Jan","Feb","Mar","Apr","May","Jun","Jul","Aug","Sep","Oct","Nov","Dec"},0),VALUE(LEFT(raw_data!B618,2)))))),"")</f>
        <v>45520</v>
      </c>
      <c r="C618" s="4" t="n">
        <f aca="false">IFERROR(IF(MID(raw_data!C618,3,1)="/",DATE(VALUE(RIGHT(raw_data!C618,4)),VALUE(LEFT(raw_data!C618,2)),VALUE(MID(raw_data!C618,4,2))),IF(MID(raw_data!C618,3,1)="-",DATE(VALUE(RIGHT(raw_data!C618,4)),VALUE(MID(raw_data!C618,4,2)),VALUE(LEFT(raw_data!C618,2))),IF(MID(raw_data!C618,5,1)="-",DATE(VALUE(LEFT(raw_data!C618,4)),VALUE(MID(raw_data!C618,6,2)),VALUE(RIGHT(raw_data!C618,2))),DATE(VALUE(RIGHT(raw_data!C618,4)),MATCH(MID(raw_data!C618,4,3),{"Jan","Feb","Mar","Apr","May","Jun","Jul","Aug","Sep","Oct","Nov","Dec"},0),VALUE(LEFT(raw_data!C618,2)))))),"")</f>
        <v>45523</v>
      </c>
      <c r="D618" s="3" t="str">
        <f aca="false">IF(TRIM(raw_data!B618)="","Missing",IF(B618="","Invalid/Unrecognized","Valid"))</f>
        <v>Valid</v>
      </c>
      <c r="E618" s="3" t="str">
        <f aca="false">IF(TRIM(raw_data!C618)="","Missing",IF(C618="","Invalid/Unrecognized","Valid"))</f>
        <v>Valid</v>
      </c>
      <c r="F618" s="5" t="n">
        <f aca="false">IF(OR(B618="",C618=""),"",C618-B618)</f>
        <v>3</v>
      </c>
      <c r="G618" s="3" t="str">
        <f aca="false">IF(F618="","N/A",IF(F618&lt;0,"Invalid - Ship Before Order","OK"))</f>
        <v>OK</v>
      </c>
      <c r="H618" s="3" t="str">
        <f aca="false">raw_data!D618</f>
        <v>CUST-4660</v>
      </c>
      <c r="I618" s="3" t="str">
        <f aca="false">PROPER(TRIM(raw_data!E618))</f>
        <v>Kabir Singh</v>
      </c>
      <c r="J618" s="3" t="str">
        <f aca="false">PROPER(TRIM(raw_data!F618))</f>
        <v>Consumer</v>
      </c>
      <c r="K618" s="3" t="str">
        <f aca="false">IF(TRIM(raw_data!G618)="","Unknown",PROPER(TRIM(raw_data!G618)))</f>
        <v>South</v>
      </c>
      <c r="L618" s="3" t="str">
        <f aca="false">IF(TRIM(raw_data!G618)="","Filled - Unknown","OK")</f>
        <v>OK</v>
      </c>
      <c r="M618" s="3" t="str">
        <f aca="false">PROPER(TRIM(raw_data!H618))</f>
        <v>Telangana</v>
      </c>
      <c r="N618" s="3" t="str">
        <f aca="false">PROPER(TRIM(raw_data!I618))</f>
        <v>Hyderabad</v>
      </c>
      <c r="O618" s="3" t="str">
        <f aca="false">PROPER(TRIM(raw_data!J618))</f>
        <v>Office Supplies</v>
      </c>
      <c r="P618" s="3" t="str">
        <f aca="false">PROPER(TRIM(raw_data!K618))</f>
        <v>Paper</v>
      </c>
      <c r="Q618" s="3" t="str">
        <f aca="false">TRIM(raw_data!L618)</f>
        <v>Prime Paper 664</v>
      </c>
      <c r="R618" s="3" t="str">
        <f aca="false">IF(TRIM(raw_data!M618)="","Unknown",PROPER(TRIM(raw_data!M618)))</f>
        <v>Standard Class</v>
      </c>
      <c r="S618" s="3" t="str">
        <f aca="false">IF(TRIM(raw_data!M618)="","Filled - Unknown","OK")</f>
        <v>OK</v>
      </c>
      <c r="T618" s="6" t="n">
        <f aca="false">raw_data!N618</f>
        <v>6</v>
      </c>
      <c r="U618" s="7" t="n">
        <f aca="false">raw_data!O618</f>
        <v>3925.55</v>
      </c>
      <c r="V618" s="8" t="n">
        <f aca="false">raw_data!P618</f>
        <v>0.2</v>
      </c>
      <c r="W618" s="8" t="n">
        <f aca="false">IF(raw_data!P618="",0,IF(ISTEXT(raw_data!P618),IF(RIGHT(raw_data!P618,1)="%",VALUE(LEFT(raw_data!P618,LEN(raw_data!P618)-1))/100,VALUE(raw_data!P618)),raw_data!P618))</f>
        <v>0.2</v>
      </c>
      <c r="X618" s="3" t="str">
        <f aca="false">IF(raw_data!P618="","Missing - Defaulted to 0",IF(W618&lt;0,"Negative - Invalid",IF(W618&gt;0.3,"Above Allowed Range - Invalid","Valid")))</f>
        <v>Valid</v>
      </c>
      <c r="Y618" s="7" t="n">
        <f aca="false">raw_data!Q618</f>
        <v>18842.64</v>
      </c>
      <c r="Z618" s="7" t="n">
        <f aca="false">raw_data!R618</f>
        <v>11840.58</v>
      </c>
      <c r="AA618" s="7" t="n">
        <f aca="false">raw_data!S618</f>
        <v>7002.06</v>
      </c>
      <c r="AB618" s="3" t="str">
        <f aca="false">PROPER(TRIM(raw_data!T618))</f>
        <v>Paid</v>
      </c>
      <c r="AC618" s="3" t="str">
        <f aca="false">PROPER(TRIM(raw_data!U618))</f>
        <v>Completed</v>
      </c>
      <c r="AD618" s="7" t="n">
        <f aca="false">T618*U618*(1-W618)</f>
        <v>18842.64</v>
      </c>
      <c r="AE618" s="7" t="n">
        <f aca="false">AD618-Z618</f>
        <v>7002.06</v>
      </c>
      <c r="AF618" s="8" t="n">
        <f aca="false">IF(AD618=0,0,AE618/AD618)</f>
        <v>0.371607163327432</v>
      </c>
      <c r="AG618" s="3" t="str">
        <f aca="false">IF(ABS(Y618-AD618)&gt;1,"Mismatch","OK")</f>
        <v>OK</v>
      </c>
      <c r="AH618" s="3" t="str">
        <f aca="false">IF(ABS(AA618-AE618)&gt;1,"Mismatch","OK")</f>
        <v>OK</v>
      </c>
      <c r="AI618" s="6" t="n">
        <f aca="false">IF(B618="","",MONTH(B618))</f>
        <v>8</v>
      </c>
      <c r="AJ618" s="6" t="n">
        <f aca="false">IF(B618="","",YEAR(B618))</f>
        <v>2024</v>
      </c>
      <c r="AK618" s="3" t="str">
        <f aca="false">IF(COUNTIF(raw_data!$A$2:$A$913,A618)&gt;1,"Conflicting Duplicate - Flagged for Review","Unique")</f>
        <v>Unique</v>
      </c>
      <c r="AL618" s="3" t="str">
        <f aca="false">IF(AB618="Refunded","Yes","No")</f>
        <v>No</v>
      </c>
      <c r="AM618" s="3" t="str">
        <f aca="false">IF(OR(AC618&lt;&gt;"Completed",AB618="Failed"),"Excluded","Included")</f>
        <v>Included</v>
      </c>
      <c r="AN618" s="3" t="str">
        <f aca="false">IF(OR(D618="Invalid/Unrecognized",E618="Invalid/Unrecognized",G618="Invalid - Ship Before Order",X618="Negative - Invalid",X618="Above Allowed Range - Invalid",AG618="Mismatch",AH618="Mismatch",AK618="Conflicting Duplicate - Flagged for Review"),"Invalid",IF(OR(L618="Filled - Unknown",S618="Filled - Unknown",X618="Missing - Defaulted to 0",AL618="Yes",AC618="Cancelled",AC618="Returned"),"Warning","Clean"))</f>
        <v>Clean</v>
      </c>
    </row>
    <row r="619" customFormat="false" ht="15" hidden="false" customHeight="false" outlineLevel="0" collapsed="false">
      <c r="A619" s="3" t="str">
        <f aca="false">raw_data!A619</f>
        <v>ORD-2024-10618</v>
      </c>
      <c r="B619" s="4" t="n">
        <f aca="false">IFERROR(IF(MID(raw_data!B619,3,1)="/",DATE(VALUE(RIGHT(raw_data!B619,4)),VALUE(LEFT(raw_data!B619,2)),VALUE(MID(raw_data!B619,4,2))),IF(MID(raw_data!B619,3,1)="-",DATE(VALUE(RIGHT(raw_data!B619,4)),VALUE(MID(raw_data!B619,4,2)),VALUE(LEFT(raw_data!B619,2))),IF(MID(raw_data!B619,5,1)="-",DATE(VALUE(LEFT(raw_data!B619,4)),VALUE(MID(raw_data!B619,6,2)),VALUE(RIGHT(raw_data!B619,2))),DATE(VALUE(RIGHT(raw_data!B619,4)),MATCH(MID(raw_data!B619,4,3),{"Jan","Feb","Mar","Apr","May","Jun","Jul","Aug","Sep","Oct","Nov","Dec"},0),VALUE(LEFT(raw_data!B619,2)))))),"")</f>
        <v>45564</v>
      </c>
      <c r="C619" s="4" t="n">
        <f aca="false">IFERROR(IF(MID(raw_data!C619,3,1)="/",DATE(VALUE(RIGHT(raw_data!C619,4)),VALUE(LEFT(raw_data!C619,2)),VALUE(MID(raw_data!C619,4,2))),IF(MID(raw_data!C619,3,1)="-",DATE(VALUE(RIGHT(raw_data!C619,4)),VALUE(MID(raw_data!C619,4,2)),VALUE(LEFT(raw_data!C619,2))),IF(MID(raw_data!C619,5,1)="-",DATE(VALUE(LEFT(raw_data!C619,4)),VALUE(MID(raw_data!C619,6,2)),VALUE(RIGHT(raw_data!C619,2))),DATE(VALUE(RIGHT(raw_data!C619,4)),MATCH(MID(raw_data!C619,4,3),{"Jan","Feb","Mar","Apr","May","Jun","Jul","Aug","Sep","Oct","Nov","Dec"},0),VALUE(LEFT(raw_data!C619,2)))))),"")</f>
        <v>45565</v>
      </c>
      <c r="D619" s="3" t="str">
        <f aca="false">IF(TRIM(raw_data!B619)="","Missing",IF(B619="","Invalid/Unrecognized","Valid"))</f>
        <v>Valid</v>
      </c>
      <c r="E619" s="3" t="str">
        <f aca="false">IF(TRIM(raw_data!C619)="","Missing",IF(C619="","Invalid/Unrecognized","Valid"))</f>
        <v>Valid</v>
      </c>
      <c r="F619" s="5" t="n">
        <f aca="false">IF(OR(B619="",C619=""),"",C619-B619)</f>
        <v>1</v>
      </c>
      <c r="G619" s="3" t="str">
        <f aca="false">IF(F619="","N/A",IF(F619&lt;0,"Invalid - Ship Before Order","OK"))</f>
        <v>OK</v>
      </c>
      <c r="H619" s="3" t="str">
        <f aca="false">raw_data!D619</f>
        <v>CUST-9002</v>
      </c>
      <c r="I619" s="3" t="str">
        <f aca="false">PROPER(TRIM(raw_data!E619))</f>
        <v>Mira Das</v>
      </c>
      <c r="J619" s="3" t="str">
        <f aca="false">PROPER(TRIM(raw_data!F619))</f>
        <v>Home Office</v>
      </c>
      <c r="K619" s="3" t="str">
        <f aca="false">IF(TRIM(raw_data!G619)="","Unknown",PROPER(TRIM(raw_data!G619)))</f>
        <v>South</v>
      </c>
      <c r="L619" s="3" t="str">
        <f aca="false">IF(TRIM(raw_data!G619)="","Filled - Unknown","OK")</f>
        <v>OK</v>
      </c>
      <c r="M619" s="3" t="str">
        <f aca="false">PROPER(TRIM(raw_data!H619))</f>
        <v>Telangana</v>
      </c>
      <c r="N619" s="3" t="str">
        <f aca="false">PROPER(TRIM(raw_data!I619))</f>
        <v>Hyderabad</v>
      </c>
      <c r="O619" s="3" t="str">
        <f aca="false">PROPER(TRIM(raw_data!J619))</f>
        <v>Technology</v>
      </c>
      <c r="P619" s="3" t="str">
        <f aca="false">PROPER(TRIM(raw_data!K619))</f>
        <v>Phones</v>
      </c>
      <c r="Q619" s="3" t="str">
        <f aca="false">TRIM(raw_data!L619)</f>
        <v>Pro Phones 226</v>
      </c>
      <c r="R619" s="3" t="str">
        <f aca="false">IF(TRIM(raw_data!M619)="","Unknown",PROPER(TRIM(raw_data!M619)))</f>
        <v>Standard Class</v>
      </c>
      <c r="S619" s="3" t="str">
        <f aca="false">IF(TRIM(raw_data!M619)="","Filled - Unknown","OK")</f>
        <v>OK</v>
      </c>
      <c r="T619" s="6" t="n">
        <f aca="false">raw_data!N619</f>
        <v>9</v>
      </c>
      <c r="U619" s="7" t="n">
        <f aca="false">raw_data!O619</f>
        <v>2741.91</v>
      </c>
      <c r="V619" s="8" t="n">
        <f aca="false">raw_data!P619</f>
        <v>0</v>
      </c>
      <c r="W619" s="8" t="n">
        <f aca="false">IF(raw_data!P619="",0,IF(ISTEXT(raw_data!P619),IF(RIGHT(raw_data!P619,1)="%",VALUE(LEFT(raw_data!P619,LEN(raw_data!P619)-1))/100,VALUE(raw_data!P619)),raw_data!P619))</f>
        <v>0</v>
      </c>
      <c r="X619" s="3" t="str">
        <f aca="false">IF(raw_data!P619="","Missing - Defaulted to 0",IF(W619&lt;0,"Negative - Invalid",IF(W619&gt;0.3,"Above Allowed Range - Invalid","Valid")))</f>
        <v>Valid</v>
      </c>
      <c r="Y619" s="7" t="n">
        <f aca="false">raw_data!Q619</f>
        <v>24677.19</v>
      </c>
      <c r="Z619" s="7" t="n">
        <f aca="false">raw_data!R619</f>
        <v>20350.85</v>
      </c>
      <c r="AA619" s="7" t="n">
        <f aca="false">raw_data!S619</f>
        <v>4326.34</v>
      </c>
      <c r="AB619" s="3" t="str">
        <f aca="false">PROPER(TRIM(raw_data!T619))</f>
        <v>Paid</v>
      </c>
      <c r="AC619" s="3" t="str">
        <f aca="false">PROPER(TRIM(raw_data!U619))</f>
        <v>Completed</v>
      </c>
      <c r="AD619" s="7" t="n">
        <f aca="false">T619*U619*(1-W619)</f>
        <v>24677.19</v>
      </c>
      <c r="AE619" s="7" t="n">
        <f aca="false">AD619-Z619</f>
        <v>4326.34</v>
      </c>
      <c r="AF619" s="8" t="n">
        <f aca="false">IF(AD619=0,0,AE619/AD619)</f>
        <v>0.175317367982335</v>
      </c>
      <c r="AG619" s="3" t="str">
        <f aca="false">IF(ABS(Y619-AD619)&gt;1,"Mismatch","OK")</f>
        <v>OK</v>
      </c>
      <c r="AH619" s="3" t="str">
        <f aca="false">IF(ABS(AA619-AE619)&gt;1,"Mismatch","OK")</f>
        <v>OK</v>
      </c>
      <c r="AI619" s="6" t="n">
        <f aca="false">IF(B619="","",MONTH(B619))</f>
        <v>9</v>
      </c>
      <c r="AJ619" s="6" t="n">
        <f aca="false">IF(B619="","",YEAR(B619))</f>
        <v>2024</v>
      </c>
      <c r="AK619" s="3" t="str">
        <f aca="false">IF(COUNTIF(raw_data!$A$2:$A$913,A619)&gt;1,"Conflicting Duplicate - Flagged for Review","Unique")</f>
        <v>Unique</v>
      </c>
      <c r="AL619" s="3" t="str">
        <f aca="false">IF(AB619="Refunded","Yes","No")</f>
        <v>No</v>
      </c>
      <c r="AM619" s="3" t="str">
        <f aca="false">IF(OR(AC619&lt;&gt;"Completed",AB619="Failed"),"Excluded","Included")</f>
        <v>Included</v>
      </c>
      <c r="AN619" s="3" t="str">
        <f aca="false">IF(OR(D619="Invalid/Unrecognized",E619="Invalid/Unrecognized",G619="Invalid - Ship Before Order",X619="Negative - Invalid",X619="Above Allowed Range - Invalid",AG619="Mismatch",AH619="Mismatch",AK619="Conflicting Duplicate - Flagged for Review"),"Invalid",IF(OR(L619="Filled - Unknown",S619="Filled - Unknown",X619="Missing - Defaulted to 0",AL619="Yes",AC619="Cancelled",AC619="Returned"),"Warning","Clean"))</f>
        <v>Clean</v>
      </c>
    </row>
    <row r="620" customFormat="false" ht="15" hidden="false" customHeight="false" outlineLevel="0" collapsed="false">
      <c r="A620" s="3" t="str">
        <f aca="false">raw_data!A620</f>
        <v>ORD-2024-10619</v>
      </c>
      <c r="B620" s="4" t="n">
        <f aca="false">IFERROR(IF(MID(raw_data!B620,3,1)="/",DATE(VALUE(RIGHT(raw_data!B620,4)),VALUE(LEFT(raw_data!B620,2)),VALUE(MID(raw_data!B620,4,2))),IF(MID(raw_data!B620,3,1)="-",DATE(VALUE(RIGHT(raw_data!B620,4)),VALUE(MID(raw_data!B620,4,2)),VALUE(LEFT(raw_data!B620,2))),IF(MID(raw_data!B620,5,1)="-",DATE(VALUE(LEFT(raw_data!B620,4)),VALUE(MID(raw_data!B620,6,2)),VALUE(RIGHT(raw_data!B620,2))),DATE(VALUE(RIGHT(raw_data!B620,4)),MATCH(MID(raw_data!B620,4,3),{"Jan","Feb","Mar","Apr","May","Jun","Jul","Aug","Sep","Oct","Nov","Dec"},0),VALUE(LEFT(raw_data!B620,2)))))),"")</f>
        <v>45496</v>
      </c>
      <c r="C620" s="4" t="n">
        <f aca="false">IFERROR(IF(MID(raw_data!C620,3,1)="/",DATE(VALUE(RIGHT(raw_data!C620,4)),VALUE(LEFT(raw_data!C620,2)),VALUE(MID(raw_data!C620,4,2))),IF(MID(raw_data!C620,3,1)="-",DATE(VALUE(RIGHT(raw_data!C620,4)),VALUE(MID(raw_data!C620,4,2)),VALUE(LEFT(raw_data!C620,2))),IF(MID(raw_data!C620,5,1)="-",DATE(VALUE(LEFT(raw_data!C620,4)),VALUE(MID(raw_data!C620,6,2)),VALUE(RIGHT(raw_data!C620,2))),DATE(VALUE(RIGHT(raw_data!C620,4)),MATCH(MID(raw_data!C620,4,3),{"Jan","Feb","Mar","Apr","May","Jun","Jul","Aug","Sep","Oct","Nov","Dec"},0),VALUE(LEFT(raw_data!C620,2)))))),"")</f>
        <v>45503</v>
      </c>
      <c r="D620" s="3" t="str">
        <f aca="false">IF(TRIM(raw_data!B620)="","Missing",IF(B620="","Invalid/Unrecognized","Valid"))</f>
        <v>Valid</v>
      </c>
      <c r="E620" s="3" t="str">
        <f aca="false">IF(TRIM(raw_data!C620)="","Missing",IF(C620="","Invalid/Unrecognized","Valid"))</f>
        <v>Valid</v>
      </c>
      <c r="F620" s="5" t="n">
        <f aca="false">IF(OR(B620="",C620=""),"",C620-B620)</f>
        <v>7</v>
      </c>
      <c r="G620" s="3" t="str">
        <f aca="false">IF(F620="","N/A",IF(F620&lt;0,"Invalid - Ship Before Order","OK"))</f>
        <v>OK</v>
      </c>
      <c r="H620" s="3" t="str">
        <f aca="false">raw_data!D620</f>
        <v>CUST-1057</v>
      </c>
      <c r="I620" s="3" t="str">
        <f aca="false">PROPER(TRIM(raw_data!E620))</f>
        <v>Kabir Singh</v>
      </c>
      <c r="J620" s="3" t="str">
        <f aca="false">PROPER(TRIM(raw_data!F620))</f>
        <v>Corporate</v>
      </c>
      <c r="K620" s="3" t="str">
        <f aca="false">IF(TRIM(raw_data!G620)="","Unknown",PROPER(TRIM(raw_data!G620)))</f>
        <v>North</v>
      </c>
      <c r="L620" s="3" t="str">
        <f aca="false">IF(TRIM(raw_data!G620)="","Filled - Unknown","OK")</f>
        <v>OK</v>
      </c>
      <c r="M620" s="3" t="str">
        <f aca="false">PROPER(TRIM(raw_data!H620))</f>
        <v>Rajasthan</v>
      </c>
      <c r="N620" s="3" t="str">
        <f aca="false">PROPER(TRIM(raw_data!I620))</f>
        <v>Jaipur</v>
      </c>
      <c r="O620" s="3" t="str">
        <f aca="false">PROPER(TRIM(raw_data!J620))</f>
        <v>Furniture</v>
      </c>
      <c r="P620" s="3" t="str">
        <f aca="false">PROPER(TRIM(raw_data!K620))</f>
        <v>Tables</v>
      </c>
      <c r="Q620" s="3" t="str">
        <f aca="false">TRIM(raw_data!L620)</f>
        <v>Basic Tables 684</v>
      </c>
      <c r="R620" s="3" t="str">
        <f aca="false">IF(TRIM(raw_data!M620)="","Unknown",PROPER(TRIM(raw_data!M620)))</f>
        <v>Same Day</v>
      </c>
      <c r="S620" s="3" t="str">
        <f aca="false">IF(TRIM(raw_data!M620)="","Filled - Unknown","OK")</f>
        <v>OK</v>
      </c>
      <c r="T620" s="6" t="n">
        <f aca="false">raw_data!N620</f>
        <v>9</v>
      </c>
      <c r="U620" s="7" t="n">
        <f aca="false">raw_data!O620</f>
        <v>1870.11</v>
      </c>
      <c r="V620" s="8" t="n">
        <f aca="false">raw_data!P620</f>
        <v>0.25</v>
      </c>
      <c r="W620" s="8" t="n">
        <f aca="false">IF(raw_data!P620="",0,IF(ISTEXT(raw_data!P620),IF(RIGHT(raw_data!P620,1)="%",VALUE(LEFT(raw_data!P620,LEN(raw_data!P620)-1))/100,VALUE(raw_data!P620)),raw_data!P620))</f>
        <v>0.25</v>
      </c>
      <c r="X620" s="3" t="str">
        <f aca="false">IF(raw_data!P620="","Missing - Defaulted to 0",IF(W620&lt;0,"Negative - Invalid",IF(W620&gt;0.3,"Above Allowed Range - Invalid","Valid")))</f>
        <v>Valid</v>
      </c>
      <c r="Y620" s="7" t="n">
        <f aca="false">raw_data!Q620</f>
        <v>12623.24</v>
      </c>
      <c r="Z620" s="7" t="n">
        <f aca="false">raw_data!R620</f>
        <v>10540.8</v>
      </c>
      <c r="AA620" s="7" t="n">
        <f aca="false">raw_data!S620</f>
        <v>2082.44</v>
      </c>
      <c r="AB620" s="3" t="str">
        <f aca="false">PROPER(TRIM(raw_data!T620))</f>
        <v>Failed</v>
      </c>
      <c r="AC620" s="3" t="str">
        <f aca="false">PROPER(TRIM(raw_data!U620))</f>
        <v>Cancelled</v>
      </c>
      <c r="AD620" s="7" t="n">
        <f aca="false">T620*U620*(1-W620)</f>
        <v>12623.2425</v>
      </c>
      <c r="AE620" s="7" t="n">
        <f aca="false">AD620-Z620</f>
        <v>2082.4425</v>
      </c>
      <c r="AF620" s="8" t="n">
        <f aca="false">IF(AD620=0,0,AE620/AD620)</f>
        <v>0.164968905572399</v>
      </c>
      <c r="AG620" s="3" t="str">
        <f aca="false">IF(ABS(Y620-AD620)&gt;1,"Mismatch","OK")</f>
        <v>OK</v>
      </c>
      <c r="AH620" s="3" t="str">
        <f aca="false">IF(ABS(AA620-AE620)&gt;1,"Mismatch","OK")</f>
        <v>OK</v>
      </c>
      <c r="AI620" s="6" t="n">
        <f aca="false">IF(B620="","",MONTH(B620))</f>
        <v>7</v>
      </c>
      <c r="AJ620" s="6" t="n">
        <f aca="false">IF(B620="","",YEAR(B620))</f>
        <v>2024</v>
      </c>
      <c r="AK620" s="3" t="str">
        <f aca="false">IF(COUNTIF(raw_data!$A$2:$A$913,A620)&gt;1,"Conflicting Duplicate - Flagged for Review","Unique")</f>
        <v>Unique</v>
      </c>
      <c r="AL620" s="3" t="str">
        <f aca="false">IF(AB620="Refunded","Yes","No")</f>
        <v>No</v>
      </c>
      <c r="AM620" s="3" t="str">
        <f aca="false">IF(OR(AC620&lt;&gt;"Completed",AB620="Failed"),"Excluded","Included")</f>
        <v>Excluded</v>
      </c>
      <c r="AN620" s="3" t="str">
        <f aca="false">IF(OR(D620="Invalid/Unrecognized",E620="Invalid/Unrecognized",G620="Invalid - Ship Before Order",X620="Negative - Invalid",X620="Above Allowed Range - Invalid",AG620="Mismatch",AH620="Mismatch",AK620="Conflicting Duplicate - Flagged for Review"),"Invalid",IF(OR(L620="Filled - Unknown",S620="Filled - Unknown",X620="Missing - Defaulted to 0",AL620="Yes",AC620="Cancelled",AC620="Returned"),"Warning","Clean"))</f>
        <v>Warning</v>
      </c>
    </row>
    <row r="621" customFormat="false" ht="15" hidden="false" customHeight="false" outlineLevel="0" collapsed="false">
      <c r="A621" s="3" t="str">
        <f aca="false">raw_data!A621</f>
        <v>ORD-2024-10620</v>
      </c>
      <c r="B621" s="4" t="n">
        <f aca="false">IFERROR(IF(MID(raw_data!B621,3,1)="/",DATE(VALUE(RIGHT(raw_data!B621,4)),VALUE(LEFT(raw_data!B621,2)),VALUE(MID(raw_data!B621,4,2))),IF(MID(raw_data!B621,3,1)="-",DATE(VALUE(RIGHT(raw_data!B621,4)),VALUE(MID(raw_data!B621,4,2)),VALUE(LEFT(raw_data!B621,2))),IF(MID(raw_data!B621,5,1)="-",DATE(VALUE(LEFT(raw_data!B621,4)),VALUE(MID(raw_data!B621,6,2)),VALUE(RIGHT(raw_data!B621,2))),DATE(VALUE(RIGHT(raw_data!B621,4)),MATCH(MID(raw_data!B621,4,3),{"Jan","Feb","Mar","Apr","May","Jun","Jul","Aug","Sep","Oct","Nov","Dec"},0),VALUE(LEFT(raw_data!B621,2)))))),"")</f>
        <v>45618</v>
      </c>
      <c r="C621" s="4" t="n">
        <f aca="false">IFERROR(IF(MID(raw_data!C621,3,1)="/",DATE(VALUE(RIGHT(raw_data!C621,4)),VALUE(LEFT(raw_data!C621,2)),VALUE(MID(raw_data!C621,4,2))),IF(MID(raw_data!C621,3,1)="-",DATE(VALUE(RIGHT(raw_data!C621,4)),VALUE(MID(raw_data!C621,4,2)),VALUE(LEFT(raw_data!C621,2))),IF(MID(raw_data!C621,5,1)="-",DATE(VALUE(LEFT(raw_data!C621,4)),VALUE(MID(raw_data!C621,6,2)),VALUE(RIGHT(raw_data!C621,2))),DATE(VALUE(RIGHT(raw_data!C621,4)),MATCH(MID(raw_data!C621,4,3),{"Jan","Feb","Mar","Apr","May","Jun","Jul","Aug","Sep","Oct","Nov","Dec"},0),VALUE(LEFT(raw_data!C621,2)))))),"")</f>
        <v>45623</v>
      </c>
      <c r="D621" s="3" t="str">
        <f aca="false">IF(TRIM(raw_data!B621)="","Missing",IF(B621="","Invalid/Unrecognized","Valid"))</f>
        <v>Valid</v>
      </c>
      <c r="E621" s="3" t="str">
        <f aca="false">IF(TRIM(raw_data!C621)="","Missing",IF(C621="","Invalid/Unrecognized","Valid"))</f>
        <v>Valid</v>
      </c>
      <c r="F621" s="5" t="n">
        <f aca="false">IF(OR(B621="",C621=""),"",C621-B621)</f>
        <v>5</v>
      </c>
      <c r="G621" s="3" t="str">
        <f aca="false">IF(F621="","N/A",IF(F621&lt;0,"Invalid - Ship Before Order","OK"))</f>
        <v>OK</v>
      </c>
      <c r="H621" s="3" t="str">
        <f aca="false">raw_data!D621</f>
        <v>CUST-9596</v>
      </c>
      <c r="I621" s="3" t="str">
        <f aca="false">PROPER(TRIM(raw_data!E621))</f>
        <v>Priya Menon</v>
      </c>
      <c r="J621" s="3" t="str">
        <f aca="false">PROPER(TRIM(raw_data!F621))</f>
        <v>Corporate</v>
      </c>
      <c r="K621" s="3" t="str">
        <f aca="false">IF(TRIM(raw_data!G621)="","Unknown",PROPER(TRIM(raw_data!G621)))</f>
        <v>South</v>
      </c>
      <c r="L621" s="3" t="str">
        <f aca="false">IF(TRIM(raw_data!G621)="","Filled - Unknown","OK")</f>
        <v>OK</v>
      </c>
      <c r="M621" s="3" t="str">
        <f aca="false">PROPER(TRIM(raw_data!H621))</f>
        <v>Tamil Nadu</v>
      </c>
      <c r="N621" s="3" t="str">
        <f aca="false">PROPER(TRIM(raw_data!I621))</f>
        <v>Chennai</v>
      </c>
      <c r="O621" s="3" t="str">
        <f aca="false">PROPER(TRIM(raw_data!J621))</f>
        <v>Office Supplies</v>
      </c>
      <c r="P621" s="3" t="str">
        <f aca="false">PROPER(TRIM(raw_data!K621))</f>
        <v>Binders</v>
      </c>
      <c r="Q621" s="3" t="str">
        <f aca="false">TRIM(raw_data!L621)</f>
        <v>Prime Binders 938</v>
      </c>
      <c r="R621" s="3" t="str">
        <f aca="false">IF(TRIM(raw_data!M621)="","Unknown",PROPER(TRIM(raw_data!M621)))</f>
        <v>First Class</v>
      </c>
      <c r="S621" s="3" t="str">
        <f aca="false">IF(TRIM(raw_data!M621)="","Filled - Unknown","OK")</f>
        <v>OK</v>
      </c>
      <c r="T621" s="6" t="n">
        <f aca="false">raw_data!N621</f>
        <v>1</v>
      </c>
      <c r="U621" s="7" t="n">
        <f aca="false">raw_data!O621</f>
        <v>4251.26</v>
      </c>
      <c r="V621" s="8" t="n">
        <f aca="false">raw_data!P621</f>
        <v>0.2</v>
      </c>
      <c r="W621" s="8" t="n">
        <f aca="false">IF(raw_data!P621="",0,IF(ISTEXT(raw_data!P621),IF(RIGHT(raw_data!P621,1)="%",VALUE(LEFT(raw_data!P621,LEN(raw_data!P621)-1))/100,VALUE(raw_data!P621)),raw_data!P621))</f>
        <v>0.2</v>
      </c>
      <c r="X621" s="3" t="str">
        <f aca="false">IF(raw_data!P621="","Missing - Defaulted to 0",IF(W621&lt;0,"Negative - Invalid",IF(W621&gt;0.3,"Above Allowed Range - Invalid","Valid")))</f>
        <v>Valid</v>
      </c>
      <c r="Y621" s="7" t="n">
        <f aca="false">raw_data!Q621</f>
        <v>3401.01</v>
      </c>
      <c r="Z621" s="7" t="n">
        <f aca="false">raw_data!R621</f>
        <v>2917.54</v>
      </c>
      <c r="AA621" s="7" t="n">
        <f aca="false">raw_data!S621</f>
        <v>483.47</v>
      </c>
      <c r="AB621" s="3" t="str">
        <f aca="false">PROPER(TRIM(raw_data!T621))</f>
        <v>Refunded</v>
      </c>
      <c r="AC621" s="3" t="str">
        <f aca="false">PROPER(TRIM(raw_data!U621))</f>
        <v>Returned</v>
      </c>
      <c r="AD621" s="7" t="n">
        <f aca="false">T621*U621*(1-W621)</f>
        <v>3401.008</v>
      </c>
      <c r="AE621" s="7" t="n">
        <f aca="false">AD621-Z621</f>
        <v>483.468</v>
      </c>
      <c r="AF621" s="8" t="n">
        <f aca="false">IF(AD621=0,0,AE621/AD621)</f>
        <v>0.142154326011583</v>
      </c>
      <c r="AG621" s="3" t="str">
        <f aca="false">IF(ABS(Y621-AD621)&gt;1,"Mismatch","OK")</f>
        <v>OK</v>
      </c>
      <c r="AH621" s="3" t="str">
        <f aca="false">IF(ABS(AA621-AE621)&gt;1,"Mismatch","OK")</f>
        <v>OK</v>
      </c>
      <c r="AI621" s="6" t="n">
        <f aca="false">IF(B621="","",MONTH(B621))</f>
        <v>11</v>
      </c>
      <c r="AJ621" s="6" t="n">
        <f aca="false">IF(B621="","",YEAR(B621))</f>
        <v>2024</v>
      </c>
      <c r="AK621" s="3" t="str">
        <f aca="false">IF(COUNTIF(raw_data!$A$2:$A$913,A621)&gt;1,"Conflicting Duplicate - Flagged for Review","Unique")</f>
        <v>Unique</v>
      </c>
      <c r="AL621" s="3" t="str">
        <f aca="false">IF(AB621="Refunded","Yes","No")</f>
        <v>Yes</v>
      </c>
      <c r="AM621" s="3" t="str">
        <f aca="false">IF(OR(AC621&lt;&gt;"Completed",AB621="Failed"),"Excluded","Included")</f>
        <v>Excluded</v>
      </c>
      <c r="AN621" s="3" t="str">
        <f aca="false">IF(OR(D621="Invalid/Unrecognized",E621="Invalid/Unrecognized",G621="Invalid - Ship Before Order",X621="Negative - Invalid",X621="Above Allowed Range - Invalid",AG621="Mismatch",AH621="Mismatch",AK621="Conflicting Duplicate - Flagged for Review"),"Invalid",IF(OR(L621="Filled - Unknown",S621="Filled - Unknown",X621="Missing - Defaulted to 0",AL621="Yes",AC621="Cancelled",AC621="Returned"),"Warning","Clean"))</f>
        <v>Warning</v>
      </c>
    </row>
    <row r="622" customFormat="false" ht="15" hidden="false" customHeight="false" outlineLevel="0" collapsed="false">
      <c r="A622" s="3" t="str">
        <f aca="false">raw_data!A622</f>
        <v>ORD-2024-10621</v>
      </c>
      <c r="B622" s="4" t="n">
        <f aca="false">IFERROR(IF(MID(raw_data!B622,3,1)="/",DATE(VALUE(RIGHT(raw_data!B622,4)),VALUE(LEFT(raw_data!B622,2)),VALUE(MID(raw_data!B622,4,2))),IF(MID(raw_data!B622,3,1)="-",DATE(VALUE(RIGHT(raw_data!B622,4)),VALUE(MID(raw_data!B622,4,2)),VALUE(LEFT(raw_data!B622,2))),IF(MID(raw_data!B622,5,1)="-",DATE(VALUE(LEFT(raw_data!B622,4)),VALUE(MID(raw_data!B622,6,2)),VALUE(RIGHT(raw_data!B622,2))),DATE(VALUE(RIGHT(raw_data!B622,4)),MATCH(MID(raw_data!B622,4,3),{"Jan","Feb","Mar","Apr","May","Jun","Jul","Aug","Sep","Oct","Nov","Dec"},0),VALUE(LEFT(raw_data!B622,2)))))),"")</f>
        <v>45522</v>
      </c>
      <c r="C622" s="4" t="n">
        <f aca="false">IFERROR(IF(MID(raw_data!C622,3,1)="/",DATE(VALUE(RIGHT(raw_data!C622,4)),VALUE(LEFT(raw_data!C622,2)),VALUE(MID(raw_data!C622,4,2))),IF(MID(raw_data!C622,3,1)="-",DATE(VALUE(RIGHT(raw_data!C622,4)),VALUE(MID(raw_data!C622,4,2)),VALUE(LEFT(raw_data!C622,2))),IF(MID(raw_data!C622,5,1)="-",DATE(VALUE(LEFT(raw_data!C622,4)),VALUE(MID(raw_data!C622,6,2)),VALUE(RIGHT(raw_data!C622,2))),DATE(VALUE(RIGHT(raw_data!C622,4)),MATCH(MID(raw_data!C622,4,3),{"Jan","Feb","Mar","Apr","May","Jun","Jul","Aug","Sep","Oct","Nov","Dec"},0),VALUE(LEFT(raw_data!C622,2)))))),"")</f>
        <v>45525</v>
      </c>
      <c r="D622" s="3" t="str">
        <f aca="false">IF(TRIM(raw_data!B622)="","Missing",IF(B622="","Invalid/Unrecognized","Valid"))</f>
        <v>Valid</v>
      </c>
      <c r="E622" s="3" t="str">
        <f aca="false">IF(TRIM(raw_data!C622)="","Missing",IF(C622="","Invalid/Unrecognized","Valid"))</f>
        <v>Valid</v>
      </c>
      <c r="F622" s="5" t="n">
        <f aca="false">IF(OR(B622="",C622=""),"",C622-B622)</f>
        <v>3</v>
      </c>
      <c r="G622" s="3" t="str">
        <f aca="false">IF(F622="","N/A",IF(F622&lt;0,"Invalid - Ship Before Order","OK"))</f>
        <v>OK</v>
      </c>
      <c r="H622" s="3" t="str">
        <f aca="false">raw_data!D622</f>
        <v>CUST-6947</v>
      </c>
      <c r="I622" s="3" t="str">
        <f aca="false">PROPER(TRIM(raw_data!E622))</f>
        <v>Vikram Iyer</v>
      </c>
      <c r="J622" s="3" t="str">
        <f aca="false">PROPER(TRIM(raw_data!F622))</f>
        <v>Consumer</v>
      </c>
      <c r="K622" s="3" t="str">
        <f aca="false">IF(TRIM(raw_data!G622)="","Unknown",PROPER(TRIM(raw_data!G622)))</f>
        <v>North</v>
      </c>
      <c r="L622" s="3" t="str">
        <f aca="false">IF(TRIM(raw_data!G622)="","Filled - Unknown","OK")</f>
        <v>OK</v>
      </c>
      <c r="M622" s="3" t="str">
        <f aca="false">PROPER(TRIM(raw_data!H622))</f>
        <v>Uttar Pradesh</v>
      </c>
      <c r="N622" s="3" t="str">
        <f aca="false">PROPER(TRIM(raw_data!I622))</f>
        <v>Noida</v>
      </c>
      <c r="O622" s="3" t="str">
        <f aca="false">PROPER(TRIM(raw_data!J622))</f>
        <v>Technology</v>
      </c>
      <c r="P622" s="3" t="str">
        <f aca="false">PROPER(TRIM(raw_data!K622))</f>
        <v>Machines</v>
      </c>
      <c r="Q622" s="3" t="str">
        <f aca="false">TRIM(raw_data!L622)</f>
        <v>Classic Machines 337</v>
      </c>
      <c r="R622" s="3" t="str">
        <f aca="false">IF(TRIM(raw_data!M622)="","Unknown",PROPER(TRIM(raw_data!M622)))</f>
        <v>Standard Class</v>
      </c>
      <c r="S622" s="3" t="str">
        <f aca="false">IF(TRIM(raw_data!M622)="","Filled - Unknown","OK")</f>
        <v>OK</v>
      </c>
      <c r="T622" s="6" t="n">
        <f aca="false">raw_data!N622</f>
        <v>9</v>
      </c>
      <c r="U622" s="7" t="n">
        <f aca="false">raw_data!O622</f>
        <v>734.34</v>
      </c>
      <c r="V622" s="8" t="n">
        <f aca="false">raw_data!P622</f>
        <v>0</v>
      </c>
      <c r="W622" s="8" t="n">
        <f aca="false">IF(raw_data!P622="",0,IF(ISTEXT(raw_data!P622),IF(RIGHT(raw_data!P622,1)="%",VALUE(LEFT(raw_data!P622,LEN(raw_data!P622)-1))/100,VALUE(raw_data!P622)),raw_data!P622))</f>
        <v>0</v>
      </c>
      <c r="X622" s="3" t="str">
        <f aca="false">IF(raw_data!P622="","Missing - Defaulted to 0",IF(W622&lt;0,"Negative - Invalid",IF(W622&gt;0.3,"Above Allowed Range - Invalid","Valid")))</f>
        <v>Valid</v>
      </c>
      <c r="Y622" s="7" t="n">
        <f aca="false">raw_data!Q622</f>
        <v>6609.06</v>
      </c>
      <c r="Z622" s="7" t="n">
        <f aca="false">raw_data!R622</f>
        <v>4946.78</v>
      </c>
      <c r="AA622" s="7" t="n">
        <f aca="false">raw_data!S622</f>
        <v>1662.28</v>
      </c>
      <c r="AB622" s="3" t="str">
        <f aca="false">PROPER(TRIM(raw_data!T622))</f>
        <v>Paid</v>
      </c>
      <c r="AC622" s="3" t="str">
        <f aca="false">PROPER(TRIM(raw_data!U622))</f>
        <v>Completed</v>
      </c>
      <c r="AD622" s="7" t="n">
        <f aca="false">T622*U622*(1-W622)</f>
        <v>6609.06</v>
      </c>
      <c r="AE622" s="7" t="n">
        <f aca="false">AD622-Z622</f>
        <v>1662.28</v>
      </c>
      <c r="AF622" s="8" t="n">
        <f aca="false">IF(AD622=0,0,AE622/AD622)</f>
        <v>0.251515344088267</v>
      </c>
      <c r="AG622" s="3" t="str">
        <f aca="false">IF(ABS(Y622-AD622)&gt;1,"Mismatch","OK")</f>
        <v>OK</v>
      </c>
      <c r="AH622" s="3" t="str">
        <f aca="false">IF(ABS(AA622-AE622)&gt;1,"Mismatch","OK")</f>
        <v>OK</v>
      </c>
      <c r="AI622" s="6" t="n">
        <f aca="false">IF(B622="","",MONTH(B622))</f>
        <v>8</v>
      </c>
      <c r="AJ622" s="6" t="n">
        <f aca="false">IF(B622="","",YEAR(B622))</f>
        <v>2024</v>
      </c>
      <c r="AK622" s="3" t="str">
        <f aca="false">IF(COUNTIF(raw_data!$A$2:$A$913,A622)&gt;1,"Conflicting Duplicate - Flagged for Review","Unique")</f>
        <v>Unique</v>
      </c>
      <c r="AL622" s="3" t="str">
        <f aca="false">IF(AB622="Refunded","Yes","No")</f>
        <v>No</v>
      </c>
      <c r="AM622" s="3" t="str">
        <f aca="false">IF(OR(AC622&lt;&gt;"Completed",AB622="Failed"),"Excluded","Included")</f>
        <v>Included</v>
      </c>
      <c r="AN622" s="3" t="str">
        <f aca="false">IF(OR(D622="Invalid/Unrecognized",E622="Invalid/Unrecognized",G622="Invalid - Ship Before Order",X622="Negative - Invalid",X622="Above Allowed Range - Invalid",AG622="Mismatch",AH622="Mismatch",AK622="Conflicting Duplicate - Flagged for Review"),"Invalid",IF(OR(L622="Filled - Unknown",S622="Filled - Unknown",X622="Missing - Defaulted to 0",AL622="Yes",AC622="Cancelled",AC622="Returned"),"Warning","Clean"))</f>
        <v>Clean</v>
      </c>
    </row>
    <row r="623" customFormat="false" ht="15" hidden="false" customHeight="false" outlineLevel="0" collapsed="false">
      <c r="A623" s="3" t="str">
        <f aca="false">raw_data!A623</f>
        <v>ORD-2024-10622</v>
      </c>
      <c r="B623" s="4" t="n">
        <f aca="false">IFERROR(IF(MID(raw_data!B623,3,1)="/",DATE(VALUE(RIGHT(raw_data!B623,4)),VALUE(LEFT(raw_data!B623,2)),VALUE(MID(raw_data!B623,4,2))),IF(MID(raw_data!B623,3,1)="-",DATE(VALUE(RIGHT(raw_data!B623,4)),VALUE(MID(raw_data!B623,4,2)),VALUE(LEFT(raw_data!B623,2))),IF(MID(raw_data!B623,5,1)="-",DATE(VALUE(LEFT(raw_data!B623,4)),VALUE(MID(raw_data!B623,6,2)),VALUE(RIGHT(raw_data!B623,2))),DATE(VALUE(RIGHT(raw_data!B623,4)),MATCH(MID(raw_data!B623,4,3),{"Jan","Feb","Mar","Apr","May","Jun","Jul","Aug","Sep","Oct","Nov","Dec"},0),VALUE(LEFT(raw_data!B623,2)))))),"")</f>
        <v>45624</v>
      </c>
      <c r="C623" s="4" t="n">
        <f aca="false">IFERROR(IF(MID(raw_data!C623,3,1)="/",DATE(VALUE(RIGHT(raw_data!C623,4)),VALUE(LEFT(raw_data!C623,2)),VALUE(MID(raw_data!C623,4,2))),IF(MID(raw_data!C623,3,1)="-",DATE(VALUE(RIGHT(raw_data!C623,4)),VALUE(MID(raw_data!C623,4,2)),VALUE(LEFT(raw_data!C623,2))),IF(MID(raw_data!C623,5,1)="-",DATE(VALUE(LEFT(raw_data!C623,4)),VALUE(MID(raw_data!C623,6,2)),VALUE(RIGHT(raw_data!C623,2))),DATE(VALUE(RIGHT(raw_data!C623,4)),MATCH(MID(raw_data!C623,4,3),{"Jan","Feb","Mar","Apr","May","Jun","Jul","Aug","Sep","Oct","Nov","Dec"},0),VALUE(LEFT(raw_data!C623,2)))))),"")</f>
        <v>45632</v>
      </c>
      <c r="D623" s="3" t="str">
        <f aca="false">IF(TRIM(raw_data!B623)="","Missing",IF(B623="","Invalid/Unrecognized","Valid"))</f>
        <v>Valid</v>
      </c>
      <c r="E623" s="3" t="str">
        <f aca="false">IF(TRIM(raw_data!C623)="","Missing",IF(C623="","Invalid/Unrecognized","Valid"))</f>
        <v>Valid</v>
      </c>
      <c r="F623" s="5" t="n">
        <f aca="false">IF(OR(B623="",C623=""),"",C623-B623)</f>
        <v>8</v>
      </c>
      <c r="G623" s="3" t="str">
        <f aca="false">IF(F623="","N/A",IF(F623&lt;0,"Invalid - Ship Before Order","OK"))</f>
        <v>OK</v>
      </c>
      <c r="H623" s="3" t="str">
        <f aca="false">raw_data!D623</f>
        <v>CUST-7236</v>
      </c>
      <c r="I623" s="3" t="str">
        <f aca="false">PROPER(TRIM(raw_data!E623))</f>
        <v>Aditi Sen</v>
      </c>
      <c r="J623" s="3" t="str">
        <f aca="false">PROPER(TRIM(raw_data!F623))</f>
        <v>Consumer</v>
      </c>
      <c r="K623" s="3" t="str">
        <f aca="false">IF(TRIM(raw_data!G623)="","Unknown",PROPER(TRIM(raw_data!G623)))</f>
        <v>West</v>
      </c>
      <c r="L623" s="3" t="str">
        <f aca="false">IF(TRIM(raw_data!G623)="","Filled - Unknown","OK")</f>
        <v>OK</v>
      </c>
      <c r="M623" s="3" t="str">
        <f aca="false">PROPER(TRIM(raw_data!H623))</f>
        <v>Maharashtra</v>
      </c>
      <c r="N623" s="3" t="str">
        <f aca="false">PROPER(TRIM(raw_data!I623))</f>
        <v>Mumbai</v>
      </c>
      <c r="O623" s="3" t="str">
        <f aca="false">PROPER(TRIM(raw_data!J623))</f>
        <v>Furniture</v>
      </c>
      <c r="P623" s="3" t="str">
        <f aca="false">PROPER(TRIM(raw_data!K623))</f>
        <v>Chairs</v>
      </c>
      <c r="Q623" s="3" t="str">
        <f aca="false">TRIM(raw_data!L623)</f>
        <v>Max Chairs 748</v>
      </c>
      <c r="R623" s="3" t="str">
        <f aca="false">IF(TRIM(raw_data!M623)="","Unknown",PROPER(TRIM(raw_data!M623)))</f>
        <v>Same Day</v>
      </c>
      <c r="S623" s="3" t="str">
        <f aca="false">IF(TRIM(raw_data!M623)="","Filled - Unknown","OK")</f>
        <v>OK</v>
      </c>
      <c r="T623" s="6" t="n">
        <f aca="false">raw_data!N623</f>
        <v>5</v>
      </c>
      <c r="U623" s="7" t="n">
        <f aca="false">raw_data!O623</f>
        <v>1092.84</v>
      </c>
      <c r="V623" s="8" t="n">
        <f aca="false">raw_data!P623</f>
        <v>0</v>
      </c>
      <c r="W623" s="8" t="n">
        <f aca="false">IF(raw_data!P623="",0,IF(ISTEXT(raw_data!P623),IF(RIGHT(raw_data!P623,1)="%",VALUE(LEFT(raw_data!P623,LEN(raw_data!P623)-1))/100,VALUE(raw_data!P623)),raw_data!P623))</f>
        <v>0</v>
      </c>
      <c r="X623" s="3" t="str">
        <f aca="false">IF(raw_data!P623="","Missing - Defaulted to 0",IF(W623&lt;0,"Negative - Invalid",IF(W623&gt;0.3,"Above Allowed Range - Invalid","Valid")))</f>
        <v>Missing - Defaulted to 0</v>
      </c>
      <c r="Y623" s="7" t="n">
        <f aca="false">raw_data!Q623</f>
        <v>5464.2</v>
      </c>
      <c r="Z623" s="7" t="n">
        <f aca="false">raw_data!R623</f>
        <v>3318.09</v>
      </c>
      <c r="AA623" s="7" t="n">
        <f aca="false">raw_data!S623</f>
        <v>2146.11</v>
      </c>
      <c r="AB623" s="3" t="str">
        <f aca="false">PROPER(TRIM(raw_data!T623))</f>
        <v>Paid</v>
      </c>
      <c r="AC623" s="3" t="str">
        <f aca="false">PROPER(TRIM(raw_data!U623))</f>
        <v>Completed</v>
      </c>
      <c r="AD623" s="7" t="n">
        <f aca="false">T623*U623*(1-W623)</f>
        <v>5464.2</v>
      </c>
      <c r="AE623" s="7" t="n">
        <f aca="false">AD623-Z623</f>
        <v>2146.11</v>
      </c>
      <c r="AF623" s="8" t="n">
        <f aca="false">IF(AD623=0,0,AE623/AD623)</f>
        <v>0.392758317777534</v>
      </c>
      <c r="AG623" s="3" t="str">
        <f aca="false">IF(ABS(Y623-AD623)&gt;1,"Mismatch","OK")</f>
        <v>OK</v>
      </c>
      <c r="AH623" s="3" t="str">
        <f aca="false">IF(ABS(AA623-AE623)&gt;1,"Mismatch","OK")</f>
        <v>OK</v>
      </c>
      <c r="AI623" s="6" t="n">
        <f aca="false">IF(B623="","",MONTH(B623))</f>
        <v>11</v>
      </c>
      <c r="AJ623" s="6" t="n">
        <f aca="false">IF(B623="","",YEAR(B623))</f>
        <v>2024</v>
      </c>
      <c r="AK623" s="3" t="str">
        <f aca="false">IF(COUNTIF(raw_data!$A$2:$A$913,A623)&gt;1,"Conflicting Duplicate - Flagged for Review","Unique")</f>
        <v>Unique</v>
      </c>
      <c r="AL623" s="3" t="str">
        <f aca="false">IF(AB623="Refunded","Yes","No")</f>
        <v>No</v>
      </c>
      <c r="AM623" s="3" t="str">
        <f aca="false">IF(OR(AC623&lt;&gt;"Completed",AB623="Failed"),"Excluded","Included")</f>
        <v>Included</v>
      </c>
      <c r="AN623" s="3" t="str">
        <f aca="false">IF(OR(D623="Invalid/Unrecognized",E623="Invalid/Unrecognized",G623="Invalid - Ship Before Order",X623="Negative - Invalid",X623="Above Allowed Range - Invalid",AG623="Mismatch",AH623="Mismatch",AK623="Conflicting Duplicate - Flagged for Review"),"Invalid",IF(OR(L623="Filled - Unknown",S623="Filled - Unknown",X623="Missing - Defaulted to 0",AL623="Yes",AC623="Cancelled",AC623="Returned"),"Warning","Clean"))</f>
        <v>Warning</v>
      </c>
    </row>
    <row r="624" customFormat="false" ht="15" hidden="false" customHeight="false" outlineLevel="0" collapsed="false">
      <c r="A624" s="3" t="str">
        <f aca="false">raw_data!A624</f>
        <v>ORD-2025-10623</v>
      </c>
      <c r="B624" s="4" t="n">
        <f aca="false">IFERROR(IF(MID(raw_data!B624,3,1)="/",DATE(VALUE(RIGHT(raw_data!B624,4)),VALUE(LEFT(raw_data!B624,2)),VALUE(MID(raw_data!B624,4,2))),IF(MID(raw_data!B624,3,1)="-",DATE(VALUE(RIGHT(raw_data!B624,4)),VALUE(MID(raw_data!B624,4,2)),VALUE(LEFT(raw_data!B624,2))),IF(MID(raw_data!B624,5,1)="-",DATE(VALUE(LEFT(raw_data!B624,4)),VALUE(MID(raw_data!B624,6,2)),VALUE(RIGHT(raw_data!B624,2))),DATE(VALUE(RIGHT(raw_data!B624,4)),MATCH(MID(raw_data!B624,4,3),{"Jan","Feb","Mar","Apr","May","Jun","Jul","Aug","Sep","Oct","Nov","Dec"},0),VALUE(LEFT(raw_data!B624,2)))))),"")</f>
        <v>45686</v>
      </c>
      <c r="C624" s="4" t="n">
        <f aca="false">IFERROR(IF(MID(raw_data!C624,3,1)="/",DATE(VALUE(RIGHT(raw_data!C624,4)),VALUE(LEFT(raw_data!C624,2)),VALUE(MID(raw_data!C624,4,2))),IF(MID(raw_data!C624,3,1)="-",DATE(VALUE(RIGHT(raw_data!C624,4)),VALUE(MID(raw_data!C624,4,2)),VALUE(LEFT(raw_data!C624,2))),IF(MID(raw_data!C624,5,1)="-",DATE(VALUE(LEFT(raw_data!C624,4)),VALUE(MID(raw_data!C624,6,2)),VALUE(RIGHT(raw_data!C624,2))),DATE(VALUE(RIGHT(raw_data!C624,4)),MATCH(MID(raw_data!C624,4,3),{"Jan","Feb","Mar","Apr","May","Jun","Jul","Aug","Sep","Oct","Nov","Dec"},0),VALUE(LEFT(raw_data!C624,2)))))),"")</f>
        <v>45694</v>
      </c>
      <c r="D624" s="3" t="str">
        <f aca="false">IF(TRIM(raw_data!B624)="","Missing",IF(B624="","Invalid/Unrecognized","Valid"))</f>
        <v>Valid</v>
      </c>
      <c r="E624" s="3" t="str">
        <f aca="false">IF(TRIM(raw_data!C624)="","Missing",IF(C624="","Invalid/Unrecognized","Valid"))</f>
        <v>Valid</v>
      </c>
      <c r="F624" s="5" t="n">
        <f aca="false">IF(OR(B624="",C624=""),"",C624-B624)</f>
        <v>8</v>
      </c>
      <c r="G624" s="3" t="str">
        <f aca="false">IF(F624="","N/A",IF(F624&lt;0,"Invalid - Ship Before Order","OK"))</f>
        <v>OK</v>
      </c>
      <c r="H624" s="3" t="str">
        <f aca="false">raw_data!D624</f>
        <v>CUST-1127</v>
      </c>
      <c r="I624" s="3" t="str">
        <f aca="false">PROPER(TRIM(raw_data!E624))</f>
        <v>Vikram Iyer</v>
      </c>
      <c r="J624" s="3" t="str">
        <f aca="false">PROPER(TRIM(raw_data!F624))</f>
        <v>Consumer</v>
      </c>
      <c r="K624" s="3" t="str">
        <f aca="false">IF(TRIM(raw_data!G624)="","Unknown",PROPER(TRIM(raw_data!G624)))</f>
        <v>East</v>
      </c>
      <c r="L624" s="3" t="str">
        <f aca="false">IF(TRIM(raw_data!G624)="","Filled - Unknown","OK")</f>
        <v>OK</v>
      </c>
      <c r="M624" s="3" t="str">
        <f aca="false">PROPER(TRIM(raw_data!H624))</f>
        <v>Bihar</v>
      </c>
      <c r="N624" s="3" t="str">
        <f aca="false">PROPER(TRIM(raw_data!I624))</f>
        <v>Patna</v>
      </c>
      <c r="O624" s="3" t="str">
        <f aca="false">PROPER(TRIM(raw_data!J624))</f>
        <v>Office Supplies</v>
      </c>
      <c r="P624" s="3" t="str">
        <f aca="false">PROPER(TRIM(raw_data!K624))</f>
        <v>Storage</v>
      </c>
      <c r="Q624" s="3" t="str">
        <f aca="false">TRIM(raw_data!L624)</f>
        <v>Basic Storage 934</v>
      </c>
      <c r="R624" s="3" t="str">
        <f aca="false">IF(TRIM(raw_data!M624)="","Unknown",PROPER(TRIM(raw_data!M624)))</f>
        <v>Standard Class</v>
      </c>
      <c r="S624" s="3" t="str">
        <f aca="false">IF(TRIM(raw_data!M624)="","Filled - Unknown","OK")</f>
        <v>OK</v>
      </c>
      <c r="T624" s="6" t="n">
        <f aca="false">raw_data!N624</f>
        <v>4</v>
      </c>
      <c r="U624" s="7" t="n">
        <f aca="false">raw_data!O624</f>
        <v>2759.01</v>
      </c>
      <c r="V624" s="8" t="n">
        <f aca="false">raw_data!P624</f>
        <v>0.05</v>
      </c>
      <c r="W624" s="8" t="n">
        <f aca="false">IF(raw_data!P624="",0,IF(ISTEXT(raw_data!P624),IF(RIGHT(raw_data!P624,1)="%",VALUE(LEFT(raw_data!P624,LEN(raw_data!P624)-1))/100,VALUE(raw_data!P624)),raw_data!P624))</f>
        <v>0.05</v>
      </c>
      <c r="X624" s="3" t="str">
        <f aca="false">IF(raw_data!P624="","Missing - Defaulted to 0",IF(W624&lt;0,"Negative - Invalid",IF(W624&gt;0.3,"Above Allowed Range - Invalid","Valid")))</f>
        <v>Valid</v>
      </c>
      <c r="Y624" s="7" t="n">
        <f aca="false">raw_data!Q624</f>
        <v>10484.24</v>
      </c>
      <c r="Z624" s="7" t="n">
        <f aca="false">raw_data!R624</f>
        <v>6680.15</v>
      </c>
      <c r="AA624" s="7" t="n">
        <f aca="false">raw_data!S624</f>
        <v>3804.09</v>
      </c>
      <c r="AB624" s="3" t="str">
        <f aca="false">PROPER(TRIM(raw_data!T624))</f>
        <v>Paid</v>
      </c>
      <c r="AC624" s="3" t="str">
        <f aca="false">PROPER(TRIM(raw_data!U624))</f>
        <v>Completed</v>
      </c>
      <c r="AD624" s="7" t="n">
        <f aca="false">T624*U624*(1-W624)</f>
        <v>10484.238</v>
      </c>
      <c r="AE624" s="7" t="n">
        <f aca="false">AD624-Z624</f>
        <v>3804.088</v>
      </c>
      <c r="AF624" s="8" t="n">
        <f aca="false">IF(AD624=0,0,AE624/AD624)</f>
        <v>0.362838768063068</v>
      </c>
      <c r="AG624" s="3" t="str">
        <f aca="false">IF(ABS(Y624-AD624)&gt;1,"Mismatch","OK")</f>
        <v>OK</v>
      </c>
      <c r="AH624" s="3" t="str">
        <f aca="false">IF(ABS(AA624-AE624)&gt;1,"Mismatch","OK")</f>
        <v>OK</v>
      </c>
      <c r="AI624" s="6" t="n">
        <f aca="false">IF(B624="","",MONTH(B624))</f>
        <v>1</v>
      </c>
      <c r="AJ624" s="6" t="n">
        <f aca="false">IF(B624="","",YEAR(B624))</f>
        <v>2025</v>
      </c>
      <c r="AK624" s="3" t="str">
        <f aca="false">IF(COUNTIF(raw_data!$A$2:$A$913,A624)&gt;1,"Conflicting Duplicate - Flagged for Review","Unique")</f>
        <v>Unique</v>
      </c>
      <c r="AL624" s="3" t="str">
        <f aca="false">IF(AB624="Refunded","Yes","No")</f>
        <v>No</v>
      </c>
      <c r="AM624" s="3" t="str">
        <f aca="false">IF(OR(AC624&lt;&gt;"Completed",AB624="Failed"),"Excluded","Included")</f>
        <v>Included</v>
      </c>
      <c r="AN624" s="3" t="str">
        <f aca="false">IF(OR(D624="Invalid/Unrecognized",E624="Invalid/Unrecognized",G624="Invalid - Ship Before Order",X624="Negative - Invalid",X624="Above Allowed Range - Invalid",AG624="Mismatch",AH624="Mismatch",AK624="Conflicting Duplicate - Flagged for Review"),"Invalid",IF(OR(L624="Filled - Unknown",S624="Filled - Unknown",X624="Missing - Defaulted to 0",AL624="Yes",AC624="Cancelled",AC624="Returned"),"Warning","Clean"))</f>
        <v>Clean</v>
      </c>
    </row>
    <row r="625" customFormat="false" ht="15" hidden="false" customHeight="false" outlineLevel="0" collapsed="false">
      <c r="A625" s="3" t="str">
        <f aca="false">raw_data!A625</f>
        <v>ORD-2024-10624</v>
      </c>
      <c r="B625" s="4" t="n">
        <f aca="false">IFERROR(IF(MID(raw_data!B625,3,1)="/",DATE(VALUE(RIGHT(raw_data!B625,4)),VALUE(LEFT(raw_data!B625,2)),VALUE(MID(raw_data!B625,4,2))),IF(MID(raw_data!B625,3,1)="-",DATE(VALUE(RIGHT(raw_data!B625,4)),VALUE(MID(raw_data!B625,4,2)),VALUE(LEFT(raw_data!B625,2))),IF(MID(raw_data!B625,5,1)="-",DATE(VALUE(LEFT(raw_data!B625,4)),VALUE(MID(raw_data!B625,6,2)),VALUE(RIGHT(raw_data!B625,2))),DATE(VALUE(RIGHT(raw_data!B625,4)),MATCH(MID(raw_data!B625,4,3),{"Jan","Feb","Mar","Apr","May","Jun","Jul","Aug","Sep","Oct","Nov","Dec"},0),VALUE(LEFT(raw_data!B625,2)))))),"")</f>
        <v>45512</v>
      </c>
      <c r="C625" s="4" t="n">
        <f aca="false">IFERROR(IF(MID(raw_data!C625,3,1)="/",DATE(VALUE(RIGHT(raw_data!C625,4)),VALUE(LEFT(raw_data!C625,2)),VALUE(MID(raw_data!C625,4,2))),IF(MID(raw_data!C625,3,1)="-",DATE(VALUE(RIGHT(raw_data!C625,4)),VALUE(MID(raw_data!C625,4,2)),VALUE(LEFT(raw_data!C625,2))),IF(MID(raw_data!C625,5,1)="-",DATE(VALUE(LEFT(raw_data!C625,4)),VALUE(MID(raw_data!C625,6,2)),VALUE(RIGHT(raw_data!C625,2))),DATE(VALUE(RIGHT(raw_data!C625,4)),MATCH(MID(raw_data!C625,4,3),{"Jan","Feb","Mar","Apr","May","Jun","Jul","Aug","Sep","Oct","Nov","Dec"},0),VALUE(LEFT(raw_data!C625,2)))))),"")</f>
        <v>45518</v>
      </c>
      <c r="D625" s="3" t="str">
        <f aca="false">IF(TRIM(raw_data!B625)="","Missing",IF(B625="","Invalid/Unrecognized","Valid"))</f>
        <v>Valid</v>
      </c>
      <c r="E625" s="3" t="str">
        <f aca="false">IF(TRIM(raw_data!C625)="","Missing",IF(C625="","Invalid/Unrecognized","Valid"))</f>
        <v>Valid</v>
      </c>
      <c r="F625" s="5" t="n">
        <f aca="false">IF(OR(B625="",C625=""),"",C625-B625)</f>
        <v>6</v>
      </c>
      <c r="G625" s="3" t="str">
        <f aca="false">IF(F625="","N/A",IF(F625&lt;0,"Invalid - Ship Before Order","OK"))</f>
        <v>OK</v>
      </c>
      <c r="H625" s="3" t="str">
        <f aca="false">raw_data!D625</f>
        <v>CUST-6262</v>
      </c>
      <c r="I625" s="3" t="str">
        <f aca="false">PROPER(TRIM(raw_data!E625))</f>
        <v>Vikram Iyer</v>
      </c>
      <c r="J625" s="3" t="str">
        <f aca="false">PROPER(TRIM(raw_data!F625))</f>
        <v>Home Office</v>
      </c>
      <c r="K625" s="3" t="str">
        <f aca="false">IF(TRIM(raw_data!G625)="","Unknown",PROPER(TRIM(raw_data!G625)))</f>
        <v>North</v>
      </c>
      <c r="L625" s="3" t="str">
        <f aca="false">IF(TRIM(raw_data!G625)="","Filled - Unknown","OK")</f>
        <v>OK</v>
      </c>
      <c r="M625" s="3" t="str">
        <f aca="false">PROPER(TRIM(raw_data!H625))</f>
        <v>Punjab</v>
      </c>
      <c r="N625" s="3" t="str">
        <f aca="false">PROPER(TRIM(raw_data!I625))</f>
        <v>Ludhiana</v>
      </c>
      <c r="O625" s="3" t="str">
        <f aca="false">PROPER(TRIM(raw_data!J625))</f>
        <v>Office Supplies</v>
      </c>
      <c r="P625" s="3" t="str">
        <f aca="false">PROPER(TRIM(raw_data!K625))</f>
        <v>Storage</v>
      </c>
      <c r="Q625" s="3" t="str">
        <f aca="false">TRIM(raw_data!L625)</f>
        <v>Pro Storage 509</v>
      </c>
      <c r="R625" s="3" t="str">
        <f aca="false">IF(TRIM(raw_data!M625)="","Unknown",PROPER(TRIM(raw_data!M625)))</f>
        <v>Second Class</v>
      </c>
      <c r="S625" s="3" t="str">
        <f aca="false">IF(TRIM(raw_data!M625)="","Filled - Unknown","OK")</f>
        <v>OK</v>
      </c>
      <c r="T625" s="6" t="n">
        <f aca="false">raw_data!N625</f>
        <v>8</v>
      </c>
      <c r="U625" s="7" t="n">
        <f aca="false">raw_data!O625</f>
        <v>1359.19</v>
      </c>
      <c r="V625" s="8" t="n">
        <f aca="false">raw_data!P625</f>
        <v>0.05</v>
      </c>
      <c r="W625" s="8" t="n">
        <f aca="false">IF(raw_data!P625="",0,IF(ISTEXT(raw_data!P625),IF(RIGHT(raw_data!P625,1)="%",VALUE(LEFT(raw_data!P625,LEN(raw_data!P625)-1))/100,VALUE(raw_data!P625)),raw_data!P625))</f>
        <v>0.05</v>
      </c>
      <c r="X625" s="3" t="str">
        <f aca="false">IF(raw_data!P625="","Missing - Defaulted to 0",IF(W625&lt;0,"Negative - Invalid",IF(W625&gt;0.3,"Above Allowed Range - Invalid","Valid")))</f>
        <v>Valid</v>
      </c>
      <c r="Y625" s="7" t="n">
        <f aca="false">raw_data!Q625</f>
        <v>10329.84</v>
      </c>
      <c r="Z625" s="7" t="n">
        <f aca="false">raw_data!R625</f>
        <v>7512.22</v>
      </c>
      <c r="AA625" s="7" t="n">
        <f aca="false">raw_data!S625</f>
        <v>2817.62</v>
      </c>
      <c r="AB625" s="3" t="str">
        <f aca="false">PROPER(TRIM(raw_data!T625))</f>
        <v>Paid</v>
      </c>
      <c r="AC625" s="3" t="str">
        <f aca="false">PROPER(TRIM(raw_data!U625))</f>
        <v>Completed</v>
      </c>
      <c r="AD625" s="7" t="n">
        <f aca="false">T625*U625*(1-W625)</f>
        <v>10329.844</v>
      </c>
      <c r="AE625" s="7" t="n">
        <f aca="false">AD625-Z625</f>
        <v>2817.624</v>
      </c>
      <c r="AF625" s="8" t="n">
        <f aca="false">IF(AD625=0,0,AE625/AD625)</f>
        <v>0.272765397037942</v>
      </c>
      <c r="AG625" s="3" t="str">
        <f aca="false">IF(ABS(Y625-AD625)&gt;1,"Mismatch","OK")</f>
        <v>OK</v>
      </c>
      <c r="AH625" s="3" t="str">
        <f aca="false">IF(ABS(AA625-AE625)&gt;1,"Mismatch","OK")</f>
        <v>OK</v>
      </c>
      <c r="AI625" s="6" t="n">
        <f aca="false">IF(B625="","",MONTH(B625))</f>
        <v>8</v>
      </c>
      <c r="AJ625" s="6" t="n">
        <f aca="false">IF(B625="","",YEAR(B625))</f>
        <v>2024</v>
      </c>
      <c r="AK625" s="3" t="str">
        <f aca="false">IF(COUNTIF(raw_data!$A$2:$A$913,A625)&gt;1,"Conflicting Duplicate - Flagged for Review","Unique")</f>
        <v>Unique</v>
      </c>
      <c r="AL625" s="3" t="str">
        <f aca="false">IF(AB625="Refunded","Yes","No")</f>
        <v>No</v>
      </c>
      <c r="AM625" s="3" t="str">
        <f aca="false">IF(OR(AC625&lt;&gt;"Completed",AB625="Failed"),"Excluded","Included")</f>
        <v>Included</v>
      </c>
      <c r="AN625" s="3" t="str">
        <f aca="false">IF(OR(D625="Invalid/Unrecognized",E625="Invalid/Unrecognized",G625="Invalid - Ship Before Order",X625="Negative - Invalid",X625="Above Allowed Range - Invalid",AG625="Mismatch",AH625="Mismatch",AK625="Conflicting Duplicate - Flagged for Review"),"Invalid",IF(OR(L625="Filled - Unknown",S625="Filled - Unknown",X625="Missing - Defaulted to 0",AL625="Yes",AC625="Cancelled",AC625="Returned"),"Warning","Clean"))</f>
        <v>Clean</v>
      </c>
    </row>
    <row r="626" customFormat="false" ht="15" hidden="false" customHeight="false" outlineLevel="0" collapsed="false">
      <c r="A626" s="3" t="str">
        <f aca="false">raw_data!A626</f>
        <v>ORD-2024-10625</v>
      </c>
      <c r="B626" s="4" t="n">
        <f aca="false">IFERROR(IF(MID(raw_data!B626,3,1)="/",DATE(VALUE(RIGHT(raw_data!B626,4)),VALUE(LEFT(raw_data!B626,2)),VALUE(MID(raw_data!B626,4,2))),IF(MID(raw_data!B626,3,1)="-",DATE(VALUE(RIGHT(raw_data!B626,4)),VALUE(MID(raw_data!B626,4,2)),VALUE(LEFT(raw_data!B626,2))),IF(MID(raw_data!B626,5,1)="-",DATE(VALUE(LEFT(raw_data!B626,4)),VALUE(MID(raw_data!B626,6,2)),VALUE(RIGHT(raw_data!B626,2))),DATE(VALUE(RIGHT(raw_data!B626,4)),MATCH(MID(raw_data!B626,4,3),{"Jan","Feb","Mar","Apr","May","Jun","Jul","Aug","Sep","Oct","Nov","Dec"},0),VALUE(LEFT(raw_data!B626,2)))))),"")</f>
        <v>45321</v>
      </c>
      <c r="C626" s="4" t="n">
        <f aca="false">IFERROR(IF(MID(raw_data!C626,3,1)="/",DATE(VALUE(RIGHT(raw_data!C626,4)),VALUE(LEFT(raw_data!C626,2)),VALUE(MID(raw_data!C626,4,2))),IF(MID(raw_data!C626,3,1)="-",DATE(VALUE(RIGHT(raw_data!C626,4)),VALUE(MID(raw_data!C626,4,2)),VALUE(LEFT(raw_data!C626,2))),IF(MID(raw_data!C626,5,1)="-",DATE(VALUE(LEFT(raw_data!C626,4)),VALUE(MID(raw_data!C626,6,2)),VALUE(RIGHT(raw_data!C626,2))),DATE(VALUE(RIGHT(raw_data!C626,4)),MATCH(MID(raw_data!C626,4,3),{"Jan","Feb","Mar","Apr","May","Jun","Jul","Aug","Sep","Oct","Nov","Dec"},0),VALUE(LEFT(raw_data!C626,2)))))),"")</f>
        <v>45323</v>
      </c>
      <c r="D626" s="3" t="str">
        <f aca="false">IF(TRIM(raw_data!B626)="","Missing",IF(B626="","Invalid/Unrecognized","Valid"))</f>
        <v>Valid</v>
      </c>
      <c r="E626" s="3" t="str">
        <f aca="false">IF(TRIM(raw_data!C626)="","Missing",IF(C626="","Invalid/Unrecognized","Valid"))</f>
        <v>Valid</v>
      </c>
      <c r="F626" s="5" t="n">
        <f aca="false">IF(OR(B626="",C626=""),"",C626-B626)</f>
        <v>2</v>
      </c>
      <c r="G626" s="3" t="str">
        <f aca="false">IF(F626="","N/A",IF(F626&lt;0,"Invalid - Ship Before Order","OK"))</f>
        <v>OK</v>
      </c>
      <c r="H626" s="3" t="str">
        <f aca="false">raw_data!D626</f>
        <v>CUST-5070</v>
      </c>
      <c r="I626" s="3" t="str">
        <f aca="false">PROPER(TRIM(raw_data!E626))</f>
        <v>Neha Gupta</v>
      </c>
      <c r="J626" s="3" t="str">
        <f aca="false">PROPER(TRIM(raw_data!F626))</f>
        <v>Home Office</v>
      </c>
      <c r="K626" s="3" t="str">
        <f aca="false">IF(TRIM(raw_data!G626)="","Unknown",PROPER(TRIM(raw_data!G626)))</f>
        <v>East</v>
      </c>
      <c r="L626" s="3" t="str">
        <f aca="false">IF(TRIM(raw_data!G626)="","Filled - Unknown","OK")</f>
        <v>OK</v>
      </c>
      <c r="M626" s="3" t="str">
        <f aca="false">PROPER(TRIM(raw_data!H626))</f>
        <v>Assam</v>
      </c>
      <c r="N626" s="3" t="str">
        <f aca="false">PROPER(TRIM(raw_data!I626))</f>
        <v>Guwahati</v>
      </c>
      <c r="O626" s="3" t="str">
        <f aca="false">PROPER(TRIM(raw_data!J626))</f>
        <v>Furniture</v>
      </c>
      <c r="P626" s="3" t="str">
        <f aca="false">PROPER(TRIM(raw_data!K626))</f>
        <v>Chairs</v>
      </c>
      <c r="Q626" s="3" t="str">
        <f aca="false">TRIM(raw_data!L626)</f>
        <v>Prime Chairs 765</v>
      </c>
      <c r="R626" s="3" t="str">
        <f aca="false">IF(TRIM(raw_data!M626)="","Unknown",PROPER(TRIM(raw_data!M626)))</f>
        <v>First Class</v>
      </c>
      <c r="S626" s="3" t="str">
        <f aca="false">IF(TRIM(raw_data!M626)="","Filled - Unknown","OK")</f>
        <v>OK</v>
      </c>
      <c r="T626" s="6" t="n">
        <f aca="false">raw_data!N626</f>
        <v>2</v>
      </c>
      <c r="U626" s="7" t="n">
        <f aca="false">raw_data!O626</f>
        <v>4451.03</v>
      </c>
      <c r="V626" s="8" t="n">
        <f aca="false">raw_data!P626</f>
        <v>0.05</v>
      </c>
      <c r="W626" s="8" t="n">
        <f aca="false">IF(raw_data!P626="",0,IF(ISTEXT(raw_data!P626),IF(RIGHT(raw_data!P626,1)="%",VALUE(LEFT(raw_data!P626,LEN(raw_data!P626)-1))/100,VALUE(raw_data!P626)),raw_data!P626))</f>
        <v>0.05</v>
      </c>
      <c r="X626" s="3" t="str">
        <f aca="false">IF(raw_data!P626="","Missing - Defaulted to 0",IF(W626&lt;0,"Negative - Invalid",IF(W626&gt;0.3,"Above Allowed Range - Invalid","Valid")))</f>
        <v>Valid</v>
      </c>
      <c r="Y626" s="7" t="n">
        <f aca="false">raw_data!Q626</f>
        <v>8456.96</v>
      </c>
      <c r="Z626" s="7" t="n">
        <f aca="false">raw_data!R626</f>
        <v>5462.85</v>
      </c>
      <c r="AA626" s="7" t="n">
        <f aca="false">raw_data!S626</f>
        <v>2994.11</v>
      </c>
      <c r="AB626" s="3" t="str">
        <f aca="false">PROPER(TRIM(raw_data!T626))</f>
        <v>Paid</v>
      </c>
      <c r="AC626" s="3" t="str">
        <f aca="false">PROPER(TRIM(raw_data!U626))</f>
        <v>Completed</v>
      </c>
      <c r="AD626" s="7" t="n">
        <f aca="false">T626*U626*(1-W626)</f>
        <v>8456.957</v>
      </c>
      <c r="AE626" s="7" t="n">
        <f aca="false">AD626-Z626</f>
        <v>2994.107</v>
      </c>
      <c r="AF626" s="8" t="n">
        <f aca="false">IF(AD626=0,0,AE626/AD626)</f>
        <v>0.354040702820175</v>
      </c>
      <c r="AG626" s="3" t="str">
        <f aca="false">IF(ABS(Y626-AD626)&gt;1,"Mismatch","OK")</f>
        <v>OK</v>
      </c>
      <c r="AH626" s="3" t="str">
        <f aca="false">IF(ABS(AA626-AE626)&gt;1,"Mismatch","OK")</f>
        <v>OK</v>
      </c>
      <c r="AI626" s="6" t="n">
        <f aca="false">IF(B626="","",MONTH(B626))</f>
        <v>1</v>
      </c>
      <c r="AJ626" s="6" t="n">
        <f aca="false">IF(B626="","",YEAR(B626))</f>
        <v>2024</v>
      </c>
      <c r="AK626" s="3" t="str">
        <f aca="false">IF(COUNTIF(raw_data!$A$2:$A$913,A626)&gt;1,"Conflicting Duplicate - Flagged for Review","Unique")</f>
        <v>Unique</v>
      </c>
      <c r="AL626" s="3" t="str">
        <f aca="false">IF(AB626="Refunded","Yes","No")</f>
        <v>No</v>
      </c>
      <c r="AM626" s="3" t="str">
        <f aca="false">IF(OR(AC626&lt;&gt;"Completed",AB626="Failed"),"Excluded","Included")</f>
        <v>Included</v>
      </c>
      <c r="AN626" s="3" t="str">
        <f aca="false">IF(OR(D626="Invalid/Unrecognized",E626="Invalid/Unrecognized",G626="Invalid - Ship Before Order",X626="Negative - Invalid",X626="Above Allowed Range - Invalid",AG626="Mismatch",AH626="Mismatch",AK626="Conflicting Duplicate - Flagged for Review"),"Invalid",IF(OR(L626="Filled - Unknown",S626="Filled - Unknown",X626="Missing - Defaulted to 0",AL626="Yes",AC626="Cancelled",AC626="Returned"),"Warning","Clean"))</f>
        <v>Clean</v>
      </c>
    </row>
    <row r="627" customFormat="false" ht="15" hidden="false" customHeight="false" outlineLevel="0" collapsed="false">
      <c r="A627" s="3" t="str">
        <f aca="false">raw_data!A627</f>
        <v>ORD-2024-10626</v>
      </c>
      <c r="B627" s="4" t="n">
        <f aca="false">IFERROR(IF(MID(raw_data!B627,3,1)="/",DATE(VALUE(RIGHT(raw_data!B627,4)),VALUE(LEFT(raw_data!B627,2)),VALUE(MID(raw_data!B627,4,2))),IF(MID(raw_data!B627,3,1)="-",DATE(VALUE(RIGHT(raw_data!B627,4)),VALUE(MID(raw_data!B627,4,2)),VALUE(LEFT(raw_data!B627,2))),IF(MID(raw_data!B627,5,1)="-",DATE(VALUE(LEFT(raw_data!B627,4)),VALUE(MID(raw_data!B627,6,2)),VALUE(RIGHT(raw_data!B627,2))),DATE(VALUE(RIGHT(raw_data!B627,4)),MATCH(MID(raw_data!B627,4,3),{"Jan","Feb","Mar","Apr","May","Jun","Jul","Aug","Sep","Oct","Nov","Dec"},0),VALUE(LEFT(raw_data!B627,2)))))),"")</f>
        <v>45641</v>
      </c>
      <c r="C627" s="4" t="n">
        <f aca="false">IFERROR(IF(MID(raw_data!C627,3,1)="/",DATE(VALUE(RIGHT(raw_data!C627,4)),VALUE(LEFT(raw_data!C627,2)),VALUE(MID(raw_data!C627,4,2))),IF(MID(raw_data!C627,3,1)="-",DATE(VALUE(RIGHT(raw_data!C627,4)),VALUE(MID(raw_data!C627,4,2)),VALUE(LEFT(raw_data!C627,2))),IF(MID(raw_data!C627,5,1)="-",DATE(VALUE(LEFT(raw_data!C627,4)),VALUE(MID(raw_data!C627,6,2)),VALUE(RIGHT(raw_data!C627,2))),DATE(VALUE(RIGHT(raw_data!C627,4)),MATCH(MID(raw_data!C627,4,3),{"Jan","Feb","Mar","Apr","May","Jun","Jul","Aug","Sep","Oct","Nov","Dec"},0),VALUE(LEFT(raw_data!C627,2)))))),"")</f>
        <v>45647</v>
      </c>
      <c r="D627" s="3" t="str">
        <f aca="false">IF(TRIM(raw_data!B627)="","Missing",IF(B627="","Invalid/Unrecognized","Valid"))</f>
        <v>Valid</v>
      </c>
      <c r="E627" s="3" t="str">
        <f aca="false">IF(TRIM(raw_data!C627)="","Missing",IF(C627="","Invalid/Unrecognized","Valid"))</f>
        <v>Valid</v>
      </c>
      <c r="F627" s="5" t="n">
        <f aca="false">IF(OR(B627="",C627=""),"",C627-B627)</f>
        <v>6</v>
      </c>
      <c r="G627" s="3" t="str">
        <f aca="false">IF(F627="","N/A",IF(F627&lt;0,"Invalid - Ship Before Order","OK"))</f>
        <v>OK</v>
      </c>
      <c r="H627" s="3" t="str">
        <f aca="false">raw_data!D627</f>
        <v>CUST-7946</v>
      </c>
      <c r="I627" s="3" t="str">
        <f aca="false">PROPER(TRIM(raw_data!E627))</f>
        <v>Diya Patel</v>
      </c>
      <c r="J627" s="3" t="str">
        <f aca="false">PROPER(TRIM(raw_data!F627))</f>
        <v>Corporate</v>
      </c>
      <c r="K627" s="3" t="str">
        <f aca="false">IF(TRIM(raw_data!G627)="","Unknown",PROPER(TRIM(raw_data!G627)))</f>
        <v>West</v>
      </c>
      <c r="L627" s="3" t="str">
        <f aca="false">IF(TRIM(raw_data!G627)="","Filled - Unknown","OK")</f>
        <v>OK</v>
      </c>
      <c r="M627" s="3" t="str">
        <f aca="false">PROPER(TRIM(raw_data!H627))</f>
        <v>Rajasthan</v>
      </c>
      <c r="N627" s="3" t="str">
        <f aca="false">PROPER(TRIM(raw_data!I627))</f>
        <v>Udaipur</v>
      </c>
      <c r="O627" s="3" t="str">
        <f aca="false">PROPER(TRIM(raw_data!J627))</f>
        <v>Furniture</v>
      </c>
      <c r="P627" s="3" t="str">
        <f aca="false">PROPER(TRIM(raw_data!K627))</f>
        <v>Chairs</v>
      </c>
      <c r="Q627" s="3" t="str">
        <f aca="false">TRIM(raw_data!L627)</f>
        <v>Elite Chairs 358</v>
      </c>
      <c r="R627" s="3" t="str">
        <f aca="false">IF(TRIM(raw_data!M627)="","Unknown",PROPER(TRIM(raw_data!M627)))</f>
        <v>Same Day</v>
      </c>
      <c r="S627" s="3" t="str">
        <f aca="false">IF(TRIM(raw_data!M627)="","Filled - Unknown","OK")</f>
        <v>OK</v>
      </c>
      <c r="T627" s="6" t="n">
        <f aca="false">raw_data!N627</f>
        <v>3</v>
      </c>
      <c r="U627" s="7" t="n">
        <f aca="false">raw_data!O627</f>
        <v>527.67</v>
      </c>
      <c r="V627" s="8" t="n">
        <f aca="false">raw_data!P627</f>
        <v>0.2</v>
      </c>
      <c r="W627" s="8" t="n">
        <f aca="false">IF(raw_data!P627="",0,IF(ISTEXT(raw_data!P627),IF(RIGHT(raw_data!P627,1)="%",VALUE(LEFT(raw_data!P627,LEN(raw_data!P627)-1))/100,VALUE(raw_data!P627)),raw_data!P627))</f>
        <v>0.2</v>
      </c>
      <c r="X627" s="3" t="str">
        <f aca="false">IF(raw_data!P627="","Missing - Defaulted to 0",IF(W627&lt;0,"Negative - Invalid",IF(W627&gt;0.3,"Above Allowed Range - Invalid","Valid")))</f>
        <v>Valid</v>
      </c>
      <c r="Y627" s="7" t="n">
        <f aca="false">raw_data!Q627</f>
        <v>1266.41</v>
      </c>
      <c r="Z627" s="7" t="n">
        <f aca="false">raw_data!R627</f>
        <v>983.92</v>
      </c>
      <c r="AA627" s="7" t="n">
        <f aca="false">raw_data!S627</f>
        <v>282.49</v>
      </c>
      <c r="AB627" s="3" t="str">
        <f aca="false">PROPER(TRIM(raw_data!T627))</f>
        <v>Paid</v>
      </c>
      <c r="AC627" s="3" t="str">
        <f aca="false">PROPER(TRIM(raw_data!U627))</f>
        <v>Completed</v>
      </c>
      <c r="AD627" s="7" t="n">
        <f aca="false">T627*U627*(1-W627)</f>
        <v>1266.408</v>
      </c>
      <c r="AE627" s="7" t="n">
        <f aca="false">AD627-Z627</f>
        <v>282.488</v>
      </c>
      <c r="AF627" s="8" t="n">
        <f aca="false">IF(AD627=0,0,AE627/AD627)</f>
        <v>0.223062393794101</v>
      </c>
      <c r="AG627" s="3" t="str">
        <f aca="false">IF(ABS(Y627-AD627)&gt;1,"Mismatch","OK")</f>
        <v>OK</v>
      </c>
      <c r="AH627" s="3" t="str">
        <f aca="false">IF(ABS(AA627-AE627)&gt;1,"Mismatch","OK")</f>
        <v>OK</v>
      </c>
      <c r="AI627" s="6" t="n">
        <f aca="false">IF(B627="","",MONTH(B627))</f>
        <v>12</v>
      </c>
      <c r="AJ627" s="6" t="n">
        <f aca="false">IF(B627="","",YEAR(B627))</f>
        <v>2024</v>
      </c>
      <c r="AK627" s="3" t="str">
        <f aca="false">IF(COUNTIF(raw_data!$A$2:$A$913,A627)&gt;1,"Conflicting Duplicate - Flagged for Review","Unique")</f>
        <v>Unique</v>
      </c>
      <c r="AL627" s="3" t="str">
        <f aca="false">IF(AB627="Refunded","Yes","No")</f>
        <v>No</v>
      </c>
      <c r="AM627" s="3" t="str">
        <f aca="false">IF(OR(AC627&lt;&gt;"Completed",AB627="Failed"),"Excluded","Included")</f>
        <v>Included</v>
      </c>
      <c r="AN627" s="3" t="str">
        <f aca="false">IF(OR(D627="Invalid/Unrecognized",E627="Invalid/Unrecognized",G627="Invalid - Ship Before Order",X627="Negative - Invalid",X627="Above Allowed Range - Invalid",AG627="Mismatch",AH627="Mismatch",AK627="Conflicting Duplicate - Flagged for Review"),"Invalid",IF(OR(L627="Filled - Unknown",S627="Filled - Unknown",X627="Missing - Defaulted to 0",AL627="Yes",AC627="Cancelled",AC627="Returned"),"Warning","Clean"))</f>
        <v>Clean</v>
      </c>
    </row>
    <row r="628" customFormat="false" ht="15" hidden="false" customHeight="false" outlineLevel="0" collapsed="false">
      <c r="A628" s="3" t="str">
        <f aca="false">raw_data!A628</f>
        <v>ORD-2025-10627</v>
      </c>
      <c r="B628" s="4" t="n">
        <f aca="false">IFERROR(IF(MID(raw_data!B628,3,1)="/",DATE(VALUE(RIGHT(raw_data!B628,4)),VALUE(LEFT(raw_data!B628,2)),VALUE(MID(raw_data!B628,4,2))),IF(MID(raw_data!B628,3,1)="-",DATE(VALUE(RIGHT(raw_data!B628,4)),VALUE(MID(raw_data!B628,4,2)),VALUE(LEFT(raw_data!B628,2))),IF(MID(raw_data!B628,5,1)="-",DATE(VALUE(LEFT(raw_data!B628,4)),VALUE(MID(raw_data!B628,6,2)),VALUE(RIGHT(raw_data!B628,2))),DATE(VALUE(RIGHT(raw_data!B628,4)),MATCH(MID(raw_data!B628,4,3),{"Jan","Feb","Mar","Apr","May","Jun","Jul","Aug","Sep","Oct","Nov","Dec"},0),VALUE(LEFT(raw_data!B628,2)))))),"")</f>
        <v>45812</v>
      </c>
      <c r="C628" s="4" t="n">
        <f aca="false">IFERROR(IF(MID(raw_data!C628,3,1)="/",DATE(VALUE(RIGHT(raw_data!C628,4)),VALUE(LEFT(raw_data!C628,2)),VALUE(MID(raw_data!C628,4,2))),IF(MID(raw_data!C628,3,1)="-",DATE(VALUE(RIGHT(raw_data!C628,4)),VALUE(MID(raw_data!C628,4,2)),VALUE(LEFT(raw_data!C628,2))),IF(MID(raw_data!C628,5,1)="-",DATE(VALUE(LEFT(raw_data!C628,4)),VALUE(MID(raw_data!C628,6,2)),VALUE(RIGHT(raw_data!C628,2))),DATE(VALUE(RIGHT(raw_data!C628,4)),MATCH(MID(raw_data!C628,4,3),{"Jan","Feb","Mar","Apr","May","Jun","Jul","Aug","Sep","Oct","Nov","Dec"},0),VALUE(LEFT(raw_data!C628,2)))))),"")</f>
        <v>45815</v>
      </c>
      <c r="D628" s="3" t="str">
        <f aca="false">IF(TRIM(raw_data!B628)="","Missing",IF(B628="","Invalid/Unrecognized","Valid"))</f>
        <v>Valid</v>
      </c>
      <c r="E628" s="3" t="str">
        <f aca="false">IF(TRIM(raw_data!C628)="","Missing",IF(C628="","Invalid/Unrecognized","Valid"))</f>
        <v>Valid</v>
      </c>
      <c r="F628" s="5" t="n">
        <f aca="false">IF(OR(B628="",C628=""),"",C628-B628)</f>
        <v>3</v>
      </c>
      <c r="G628" s="3" t="str">
        <f aca="false">IF(F628="","N/A",IF(F628&lt;0,"Invalid - Ship Before Order","OK"))</f>
        <v>OK</v>
      </c>
      <c r="H628" s="3" t="str">
        <f aca="false">raw_data!D628</f>
        <v>CUST-1793</v>
      </c>
      <c r="I628" s="3" t="str">
        <f aca="false">PROPER(TRIM(raw_data!E628))</f>
        <v>Sneha Kapoor</v>
      </c>
      <c r="J628" s="3" t="str">
        <f aca="false">PROPER(TRIM(raw_data!F628))</f>
        <v>Home Office</v>
      </c>
      <c r="K628" s="3" t="str">
        <f aca="false">IF(TRIM(raw_data!G628)="","Unknown",PROPER(TRIM(raw_data!G628)))</f>
        <v>East</v>
      </c>
      <c r="L628" s="3" t="str">
        <f aca="false">IF(TRIM(raw_data!G628)="","Filled - Unknown","OK")</f>
        <v>OK</v>
      </c>
      <c r="M628" s="3" t="str">
        <f aca="false">PROPER(TRIM(raw_data!H628))</f>
        <v>Assam</v>
      </c>
      <c r="N628" s="3" t="str">
        <f aca="false">PROPER(TRIM(raw_data!I628))</f>
        <v>Guwahati</v>
      </c>
      <c r="O628" s="3" t="str">
        <f aca="false">PROPER(TRIM(raw_data!J628))</f>
        <v>Technology</v>
      </c>
      <c r="P628" s="3" t="str">
        <f aca="false">PROPER(TRIM(raw_data!K628))</f>
        <v>Machines</v>
      </c>
      <c r="Q628" s="3" t="str">
        <f aca="false">TRIM(raw_data!L628)</f>
        <v>Elite Machines 971</v>
      </c>
      <c r="R628" s="3" t="str">
        <f aca="false">IF(TRIM(raw_data!M628)="","Unknown",PROPER(TRIM(raw_data!M628)))</f>
        <v>Standard Class</v>
      </c>
      <c r="S628" s="3" t="str">
        <f aca="false">IF(TRIM(raw_data!M628)="","Filled - Unknown","OK")</f>
        <v>OK</v>
      </c>
      <c r="T628" s="6" t="n">
        <f aca="false">raw_data!N628</f>
        <v>8</v>
      </c>
      <c r="U628" s="7" t="n">
        <f aca="false">raw_data!O628</f>
        <v>1434.13</v>
      </c>
      <c r="V628" s="8" t="n">
        <f aca="false">raw_data!P628</f>
        <v>0</v>
      </c>
      <c r="W628" s="8" t="n">
        <f aca="false">IF(raw_data!P628="",0,IF(ISTEXT(raw_data!P628),IF(RIGHT(raw_data!P628,1)="%",VALUE(LEFT(raw_data!P628,LEN(raw_data!P628)-1))/100,VALUE(raw_data!P628)),raw_data!P628))</f>
        <v>0</v>
      </c>
      <c r="X628" s="3" t="str">
        <f aca="false">IF(raw_data!P628="","Missing - Defaulted to 0",IF(W628&lt;0,"Negative - Invalid",IF(W628&gt;0.3,"Above Allowed Range - Invalid","Valid")))</f>
        <v>Valid</v>
      </c>
      <c r="Y628" s="7" t="n">
        <f aca="false">raw_data!Q628</f>
        <v>11473.04</v>
      </c>
      <c r="Z628" s="7" t="n">
        <f aca="false">raw_data!R628</f>
        <v>8931.33</v>
      </c>
      <c r="AA628" s="7" t="n">
        <f aca="false">raw_data!S628</f>
        <v>2541.71</v>
      </c>
      <c r="AB628" s="3" t="str">
        <f aca="false">PROPER(TRIM(raw_data!T628))</f>
        <v>Pending</v>
      </c>
      <c r="AC628" s="3" t="str">
        <f aca="false">PROPER(TRIM(raw_data!U628))</f>
        <v>Returned</v>
      </c>
      <c r="AD628" s="7" t="n">
        <f aca="false">T628*U628*(1-W628)</f>
        <v>11473.04</v>
      </c>
      <c r="AE628" s="7" t="n">
        <f aca="false">AD628-Z628</f>
        <v>2541.71</v>
      </c>
      <c r="AF628" s="8" t="n">
        <f aca="false">IF(AD628=0,0,AE628/AD628)</f>
        <v>0.221537622112361</v>
      </c>
      <c r="AG628" s="3" t="str">
        <f aca="false">IF(ABS(Y628-AD628)&gt;1,"Mismatch","OK")</f>
        <v>OK</v>
      </c>
      <c r="AH628" s="3" t="str">
        <f aca="false">IF(ABS(AA628-AE628)&gt;1,"Mismatch","OK")</f>
        <v>OK</v>
      </c>
      <c r="AI628" s="6" t="n">
        <f aca="false">IF(B628="","",MONTH(B628))</f>
        <v>6</v>
      </c>
      <c r="AJ628" s="6" t="n">
        <f aca="false">IF(B628="","",YEAR(B628))</f>
        <v>2025</v>
      </c>
      <c r="AK628" s="3" t="str">
        <f aca="false">IF(COUNTIF(raw_data!$A$2:$A$913,A628)&gt;1,"Conflicting Duplicate - Flagged for Review","Unique")</f>
        <v>Unique</v>
      </c>
      <c r="AL628" s="3" t="str">
        <f aca="false">IF(AB628="Refunded","Yes","No")</f>
        <v>No</v>
      </c>
      <c r="AM628" s="3" t="str">
        <f aca="false">IF(OR(AC628&lt;&gt;"Completed",AB628="Failed"),"Excluded","Included")</f>
        <v>Excluded</v>
      </c>
      <c r="AN628" s="3" t="str">
        <f aca="false">IF(OR(D628="Invalid/Unrecognized",E628="Invalid/Unrecognized",G628="Invalid - Ship Before Order",X628="Negative - Invalid",X628="Above Allowed Range - Invalid",AG628="Mismatch",AH628="Mismatch",AK628="Conflicting Duplicate - Flagged for Review"),"Invalid",IF(OR(L628="Filled - Unknown",S628="Filled - Unknown",X628="Missing - Defaulted to 0",AL628="Yes",AC628="Cancelled",AC628="Returned"),"Warning","Clean"))</f>
        <v>Warning</v>
      </c>
    </row>
    <row r="629" customFormat="false" ht="15" hidden="false" customHeight="false" outlineLevel="0" collapsed="false">
      <c r="A629" s="3" t="str">
        <f aca="false">raw_data!A629</f>
        <v>ORD-2025-10628</v>
      </c>
      <c r="B629" s="4" t="n">
        <f aca="false">IFERROR(IF(MID(raw_data!B629,3,1)="/",DATE(VALUE(RIGHT(raw_data!B629,4)),VALUE(LEFT(raw_data!B629,2)),VALUE(MID(raw_data!B629,4,2))),IF(MID(raw_data!B629,3,1)="-",DATE(VALUE(RIGHT(raw_data!B629,4)),VALUE(MID(raw_data!B629,4,2)),VALUE(LEFT(raw_data!B629,2))),IF(MID(raw_data!B629,5,1)="-",DATE(VALUE(LEFT(raw_data!B629,4)),VALUE(MID(raw_data!B629,6,2)),VALUE(RIGHT(raw_data!B629,2))),DATE(VALUE(RIGHT(raw_data!B629,4)),MATCH(MID(raw_data!B629,4,3),{"Jan","Feb","Mar","Apr","May","Jun","Jul","Aug","Sep","Oct","Nov","Dec"},0),VALUE(LEFT(raw_data!B629,2)))))),"")</f>
        <v>45701</v>
      </c>
      <c r="C629" s="4" t="n">
        <f aca="false">IFERROR(IF(MID(raw_data!C629,3,1)="/",DATE(VALUE(RIGHT(raw_data!C629,4)),VALUE(LEFT(raw_data!C629,2)),VALUE(MID(raw_data!C629,4,2))),IF(MID(raw_data!C629,3,1)="-",DATE(VALUE(RIGHT(raw_data!C629,4)),VALUE(MID(raw_data!C629,4,2)),VALUE(LEFT(raw_data!C629,2))),IF(MID(raw_data!C629,5,1)="-",DATE(VALUE(LEFT(raw_data!C629,4)),VALUE(MID(raw_data!C629,6,2)),VALUE(RIGHT(raw_data!C629,2))),DATE(VALUE(RIGHT(raw_data!C629,4)),MATCH(MID(raw_data!C629,4,3),{"Jan","Feb","Mar","Apr","May","Jun","Jul","Aug","Sep","Oct","Nov","Dec"},0),VALUE(LEFT(raw_data!C629,2)))))),"")</f>
        <v>45709</v>
      </c>
      <c r="D629" s="3" t="str">
        <f aca="false">IF(TRIM(raw_data!B629)="","Missing",IF(B629="","Invalid/Unrecognized","Valid"))</f>
        <v>Valid</v>
      </c>
      <c r="E629" s="3" t="str">
        <f aca="false">IF(TRIM(raw_data!C629)="","Missing",IF(C629="","Invalid/Unrecognized","Valid"))</f>
        <v>Valid</v>
      </c>
      <c r="F629" s="5" t="n">
        <f aca="false">IF(OR(B629="",C629=""),"",C629-B629)</f>
        <v>8</v>
      </c>
      <c r="G629" s="3" t="str">
        <f aca="false">IF(F629="","N/A",IF(F629&lt;0,"Invalid - Ship Before Order","OK"))</f>
        <v>OK</v>
      </c>
      <c r="H629" s="3" t="str">
        <f aca="false">raw_data!D629</f>
        <v>CUST-8839</v>
      </c>
      <c r="I629" s="3" t="str">
        <f aca="false">PROPER(TRIM(raw_data!E629))</f>
        <v>Karan Malhotra</v>
      </c>
      <c r="J629" s="3" t="str">
        <f aca="false">PROPER(TRIM(raw_data!F629))</f>
        <v>Small Business</v>
      </c>
      <c r="K629" s="3" t="str">
        <f aca="false">IF(TRIM(raw_data!G629)="","Unknown",PROPER(TRIM(raw_data!G629)))</f>
        <v>South</v>
      </c>
      <c r="L629" s="3" t="str">
        <f aca="false">IF(TRIM(raw_data!G629)="","Filled - Unknown","OK")</f>
        <v>OK</v>
      </c>
      <c r="M629" s="3" t="str">
        <f aca="false">PROPER(TRIM(raw_data!H629))</f>
        <v>Kerala</v>
      </c>
      <c r="N629" s="3" t="str">
        <f aca="false">PROPER(TRIM(raw_data!I629))</f>
        <v>Kochi</v>
      </c>
      <c r="O629" s="3" t="str">
        <f aca="false">PROPER(TRIM(raw_data!J629))</f>
        <v>Technology</v>
      </c>
      <c r="P629" s="3" t="str">
        <f aca="false">PROPER(TRIM(raw_data!K629))</f>
        <v>Phones</v>
      </c>
      <c r="Q629" s="3" t="str">
        <f aca="false">TRIM(raw_data!L629)</f>
        <v>Max Phones 825</v>
      </c>
      <c r="R629" s="3" t="str">
        <f aca="false">IF(TRIM(raw_data!M629)="","Unknown",PROPER(TRIM(raw_data!M629)))</f>
        <v>Second Class</v>
      </c>
      <c r="S629" s="3" t="str">
        <f aca="false">IF(TRIM(raw_data!M629)="","Filled - Unknown","OK")</f>
        <v>OK</v>
      </c>
      <c r="T629" s="6" t="n">
        <f aca="false">raw_data!N629</f>
        <v>2</v>
      </c>
      <c r="U629" s="7" t="n">
        <f aca="false">raw_data!O629</f>
        <v>2360.02</v>
      </c>
      <c r="V629" s="8" t="n">
        <f aca="false">raw_data!P629</f>
        <v>0.15</v>
      </c>
      <c r="W629" s="8" t="n">
        <f aca="false">IF(raw_data!P629="",0,IF(ISTEXT(raw_data!P629),IF(RIGHT(raw_data!P629,1)="%",VALUE(LEFT(raw_data!P629,LEN(raw_data!P629)-1))/100,VALUE(raw_data!P629)),raw_data!P629))</f>
        <v>0.15</v>
      </c>
      <c r="X629" s="3" t="str">
        <f aca="false">IF(raw_data!P629="","Missing - Defaulted to 0",IF(W629&lt;0,"Negative - Invalid",IF(W629&gt;0.3,"Above Allowed Range - Invalid","Valid")))</f>
        <v>Valid</v>
      </c>
      <c r="Y629" s="7" t="n">
        <f aca="false">raw_data!Q629</f>
        <v>4012.03</v>
      </c>
      <c r="Z629" s="7" t="n">
        <f aca="false">raw_data!R629</f>
        <v>3142.92</v>
      </c>
      <c r="AA629" s="7" t="n">
        <f aca="false">raw_data!S629</f>
        <v>869.11</v>
      </c>
      <c r="AB629" s="3" t="str">
        <f aca="false">PROPER(TRIM(raw_data!T629))</f>
        <v>Pending</v>
      </c>
      <c r="AC629" s="3" t="str">
        <f aca="false">PROPER(TRIM(raw_data!U629))</f>
        <v>Cancelled</v>
      </c>
      <c r="AD629" s="7" t="n">
        <f aca="false">T629*U629*(1-W629)</f>
        <v>4012.034</v>
      </c>
      <c r="AE629" s="7" t="n">
        <f aca="false">AD629-Z629</f>
        <v>869.114</v>
      </c>
      <c r="AF629" s="8" t="n">
        <f aca="false">IF(AD629=0,0,AE629/AD629)</f>
        <v>0.216626778337372</v>
      </c>
      <c r="AG629" s="3" t="str">
        <f aca="false">IF(ABS(Y629-AD629)&gt;1,"Mismatch","OK")</f>
        <v>OK</v>
      </c>
      <c r="AH629" s="3" t="str">
        <f aca="false">IF(ABS(AA629-AE629)&gt;1,"Mismatch","OK")</f>
        <v>OK</v>
      </c>
      <c r="AI629" s="6" t="n">
        <f aca="false">IF(B629="","",MONTH(B629))</f>
        <v>2</v>
      </c>
      <c r="AJ629" s="6" t="n">
        <f aca="false">IF(B629="","",YEAR(B629))</f>
        <v>2025</v>
      </c>
      <c r="AK629" s="3" t="str">
        <f aca="false">IF(COUNTIF(raw_data!$A$2:$A$913,A629)&gt;1,"Conflicting Duplicate - Flagged for Review","Unique")</f>
        <v>Unique</v>
      </c>
      <c r="AL629" s="3" t="str">
        <f aca="false">IF(AB629="Refunded","Yes","No")</f>
        <v>No</v>
      </c>
      <c r="AM629" s="3" t="str">
        <f aca="false">IF(OR(AC629&lt;&gt;"Completed",AB629="Failed"),"Excluded","Included")</f>
        <v>Excluded</v>
      </c>
      <c r="AN629" s="3" t="str">
        <f aca="false">IF(OR(D629="Invalid/Unrecognized",E629="Invalid/Unrecognized",G629="Invalid - Ship Before Order",X629="Negative - Invalid",X629="Above Allowed Range - Invalid",AG629="Mismatch",AH629="Mismatch",AK629="Conflicting Duplicate - Flagged for Review"),"Invalid",IF(OR(L629="Filled - Unknown",S629="Filled - Unknown",X629="Missing - Defaulted to 0",AL629="Yes",AC629="Cancelled",AC629="Returned"),"Warning","Clean"))</f>
        <v>Warning</v>
      </c>
    </row>
    <row r="630" customFormat="false" ht="15" hidden="false" customHeight="false" outlineLevel="0" collapsed="false">
      <c r="A630" s="3" t="str">
        <f aca="false">raw_data!A630</f>
        <v>ORD-2025-10629</v>
      </c>
      <c r="B630" s="4" t="n">
        <f aca="false">IFERROR(IF(MID(raw_data!B630,3,1)="/",DATE(VALUE(RIGHT(raw_data!B630,4)),VALUE(LEFT(raw_data!B630,2)),VALUE(MID(raw_data!B630,4,2))),IF(MID(raw_data!B630,3,1)="-",DATE(VALUE(RIGHT(raw_data!B630,4)),VALUE(MID(raw_data!B630,4,2)),VALUE(LEFT(raw_data!B630,2))),IF(MID(raw_data!B630,5,1)="-",DATE(VALUE(LEFT(raw_data!B630,4)),VALUE(MID(raw_data!B630,6,2)),VALUE(RIGHT(raw_data!B630,2))),DATE(VALUE(RIGHT(raw_data!B630,4)),MATCH(MID(raw_data!B630,4,3),{"Jan","Feb","Mar","Apr","May","Jun","Jul","Aug","Sep","Oct","Nov","Dec"},0),VALUE(LEFT(raw_data!B630,2)))))),"")</f>
        <v>45935</v>
      </c>
      <c r="C630" s="4" t="n">
        <f aca="false">IFERROR(IF(MID(raw_data!C630,3,1)="/",DATE(VALUE(RIGHT(raw_data!C630,4)),VALUE(LEFT(raw_data!C630,2)),VALUE(MID(raw_data!C630,4,2))),IF(MID(raw_data!C630,3,1)="-",DATE(VALUE(RIGHT(raw_data!C630,4)),VALUE(MID(raw_data!C630,4,2)),VALUE(LEFT(raw_data!C630,2))),IF(MID(raw_data!C630,5,1)="-",DATE(VALUE(LEFT(raw_data!C630,4)),VALUE(MID(raw_data!C630,6,2)),VALUE(RIGHT(raw_data!C630,2))),DATE(VALUE(RIGHT(raw_data!C630,4)),MATCH(MID(raw_data!C630,4,3),{"Jan","Feb","Mar","Apr","May","Jun","Jul","Aug","Sep","Oct","Nov","Dec"},0),VALUE(LEFT(raw_data!C630,2)))))),"")</f>
        <v>45942</v>
      </c>
      <c r="D630" s="3" t="str">
        <f aca="false">IF(TRIM(raw_data!B630)="","Missing",IF(B630="","Invalid/Unrecognized","Valid"))</f>
        <v>Valid</v>
      </c>
      <c r="E630" s="3" t="str">
        <f aca="false">IF(TRIM(raw_data!C630)="","Missing",IF(C630="","Invalid/Unrecognized","Valid"))</f>
        <v>Valid</v>
      </c>
      <c r="F630" s="5" t="n">
        <f aca="false">IF(OR(B630="",C630=""),"",C630-B630)</f>
        <v>7</v>
      </c>
      <c r="G630" s="3" t="str">
        <f aca="false">IF(F630="","N/A",IF(F630&lt;0,"Invalid - Ship Before Order","OK"))</f>
        <v>OK</v>
      </c>
      <c r="H630" s="3" t="str">
        <f aca="false">raw_data!D630</f>
        <v>CUST-6725</v>
      </c>
      <c r="I630" s="3" t="str">
        <f aca="false">PROPER(TRIM(raw_data!E630))</f>
        <v>Ananya Rao</v>
      </c>
      <c r="J630" s="3" t="str">
        <f aca="false">PROPER(TRIM(raw_data!F630))</f>
        <v>Home Office</v>
      </c>
      <c r="K630" s="3" t="str">
        <f aca="false">IF(TRIM(raw_data!G630)="","Unknown",PROPER(TRIM(raw_data!G630)))</f>
        <v>East</v>
      </c>
      <c r="L630" s="3" t="str">
        <f aca="false">IF(TRIM(raw_data!G630)="","Filled - Unknown","OK")</f>
        <v>OK</v>
      </c>
      <c r="M630" s="3" t="str">
        <f aca="false">PROPER(TRIM(raw_data!H630))</f>
        <v>Jharkhand</v>
      </c>
      <c r="N630" s="3" t="str">
        <f aca="false">PROPER(TRIM(raw_data!I630))</f>
        <v>Ranchi</v>
      </c>
      <c r="O630" s="3" t="str">
        <f aca="false">PROPER(TRIM(raw_data!J630))</f>
        <v>Technology</v>
      </c>
      <c r="P630" s="3" t="str">
        <f aca="false">PROPER(TRIM(raw_data!K630))</f>
        <v>Accessories</v>
      </c>
      <c r="Q630" s="3" t="str">
        <f aca="false">TRIM(raw_data!L630)</f>
        <v>Eco Accessories 933</v>
      </c>
      <c r="R630" s="3" t="str">
        <f aca="false">IF(TRIM(raw_data!M630)="","Unknown",PROPER(TRIM(raw_data!M630)))</f>
        <v>Same Day</v>
      </c>
      <c r="S630" s="3" t="str">
        <f aca="false">IF(TRIM(raw_data!M630)="","Filled - Unknown","OK")</f>
        <v>OK</v>
      </c>
      <c r="T630" s="6" t="n">
        <f aca="false">raw_data!N630</f>
        <v>7</v>
      </c>
      <c r="U630" s="7" t="n">
        <f aca="false">raw_data!O630</f>
        <v>806.67</v>
      </c>
      <c r="V630" s="8" t="n">
        <f aca="false">raw_data!P630</f>
        <v>0.05</v>
      </c>
      <c r="W630" s="8" t="n">
        <f aca="false">IF(raw_data!P630="",0,IF(ISTEXT(raw_data!P630),IF(RIGHT(raw_data!P630,1)="%",VALUE(LEFT(raw_data!P630,LEN(raw_data!P630)-1))/100,VALUE(raw_data!P630)),raw_data!P630))</f>
        <v>0.05</v>
      </c>
      <c r="X630" s="3" t="str">
        <f aca="false">IF(raw_data!P630="","Missing - Defaulted to 0",IF(W630&lt;0,"Negative - Invalid",IF(W630&gt;0.3,"Above Allowed Range - Invalid","Valid")))</f>
        <v>Valid</v>
      </c>
      <c r="Y630" s="7" t="n">
        <f aca="false">raw_data!Q630</f>
        <v>5364.36</v>
      </c>
      <c r="Z630" s="7" t="n">
        <f aca="false">raw_data!R630</f>
        <v>4391.29</v>
      </c>
      <c r="AA630" s="7" t="n">
        <f aca="false">raw_data!S630</f>
        <v>973.07</v>
      </c>
      <c r="AB630" s="3" t="str">
        <f aca="false">PROPER(TRIM(raw_data!T630))</f>
        <v>Paid</v>
      </c>
      <c r="AC630" s="3" t="str">
        <f aca="false">PROPER(TRIM(raw_data!U630))</f>
        <v>Completed</v>
      </c>
      <c r="AD630" s="7" t="n">
        <f aca="false">T630*U630*(1-W630)</f>
        <v>5364.3555</v>
      </c>
      <c r="AE630" s="7" t="n">
        <f aca="false">AD630-Z630</f>
        <v>973.0655</v>
      </c>
      <c r="AF630" s="8" t="n">
        <f aca="false">IF(AD630=0,0,AE630/AD630)</f>
        <v>0.181394670804349</v>
      </c>
      <c r="AG630" s="3" t="str">
        <f aca="false">IF(ABS(Y630-AD630)&gt;1,"Mismatch","OK")</f>
        <v>OK</v>
      </c>
      <c r="AH630" s="3" t="str">
        <f aca="false">IF(ABS(AA630-AE630)&gt;1,"Mismatch","OK")</f>
        <v>OK</v>
      </c>
      <c r="AI630" s="6" t="n">
        <f aca="false">IF(B630="","",MONTH(B630))</f>
        <v>10</v>
      </c>
      <c r="AJ630" s="6" t="n">
        <f aca="false">IF(B630="","",YEAR(B630))</f>
        <v>2025</v>
      </c>
      <c r="AK630" s="3" t="str">
        <f aca="false">IF(COUNTIF(raw_data!$A$2:$A$913,A630)&gt;1,"Conflicting Duplicate - Flagged for Review","Unique")</f>
        <v>Unique</v>
      </c>
      <c r="AL630" s="3" t="str">
        <f aca="false">IF(AB630="Refunded","Yes","No")</f>
        <v>No</v>
      </c>
      <c r="AM630" s="3" t="str">
        <f aca="false">IF(OR(AC630&lt;&gt;"Completed",AB630="Failed"),"Excluded","Included")</f>
        <v>Included</v>
      </c>
      <c r="AN630" s="3" t="str">
        <f aca="false">IF(OR(D630="Invalid/Unrecognized",E630="Invalid/Unrecognized",G630="Invalid - Ship Before Order",X630="Negative - Invalid",X630="Above Allowed Range - Invalid",AG630="Mismatch",AH630="Mismatch",AK630="Conflicting Duplicate - Flagged for Review"),"Invalid",IF(OR(L630="Filled - Unknown",S630="Filled - Unknown",X630="Missing - Defaulted to 0",AL630="Yes",AC630="Cancelled",AC630="Returned"),"Warning","Clean"))</f>
        <v>Clean</v>
      </c>
    </row>
    <row r="631" customFormat="false" ht="15" hidden="false" customHeight="false" outlineLevel="0" collapsed="false">
      <c r="A631" s="3" t="str">
        <f aca="false">raw_data!A631</f>
        <v>ORD-2025-10630</v>
      </c>
      <c r="B631" s="4" t="n">
        <f aca="false">IFERROR(IF(MID(raw_data!B631,3,1)="/",DATE(VALUE(RIGHT(raw_data!B631,4)),VALUE(LEFT(raw_data!B631,2)),VALUE(MID(raw_data!B631,4,2))),IF(MID(raw_data!B631,3,1)="-",DATE(VALUE(RIGHT(raw_data!B631,4)),VALUE(MID(raw_data!B631,4,2)),VALUE(LEFT(raw_data!B631,2))),IF(MID(raw_data!B631,5,1)="-",DATE(VALUE(LEFT(raw_data!B631,4)),VALUE(MID(raw_data!B631,6,2)),VALUE(RIGHT(raw_data!B631,2))),DATE(VALUE(RIGHT(raw_data!B631,4)),MATCH(MID(raw_data!B631,4,3),{"Jan","Feb","Mar","Apr","May","Jun","Jul","Aug","Sep","Oct","Nov","Dec"},0),VALUE(LEFT(raw_data!B631,2)))))),"")</f>
        <v>45910</v>
      </c>
      <c r="C631" s="4" t="n">
        <f aca="false">IFERROR(IF(MID(raw_data!C631,3,1)="/",DATE(VALUE(RIGHT(raw_data!C631,4)),VALUE(LEFT(raw_data!C631,2)),VALUE(MID(raw_data!C631,4,2))),IF(MID(raw_data!C631,3,1)="-",DATE(VALUE(RIGHT(raw_data!C631,4)),VALUE(MID(raw_data!C631,4,2)),VALUE(LEFT(raw_data!C631,2))),IF(MID(raw_data!C631,5,1)="-",DATE(VALUE(LEFT(raw_data!C631,4)),VALUE(MID(raw_data!C631,6,2)),VALUE(RIGHT(raw_data!C631,2))),DATE(VALUE(RIGHT(raw_data!C631,4)),MATCH(MID(raw_data!C631,4,3),{"Jan","Feb","Mar","Apr","May","Jun","Jul","Aug","Sep","Oct","Nov","Dec"},0),VALUE(LEFT(raw_data!C631,2)))))),"")</f>
        <v>45914</v>
      </c>
      <c r="D631" s="3" t="str">
        <f aca="false">IF(TRIM(raw_data!B631)="","Missing",IF(B631="","Invalid/Unrecognized","Valid"))</f>
        <v>Valid</v>
      </c>
      <c r="E631" s="3" t="str">
        <f aca="false">IF(TRIM(raw_data!C631)="","Missing",IF(C631="","Invalid/Unrecognized","Valid"))</f>
        <v>Valid</v>
      </c>
      <c r="F631" s="5" t="n">
        <f aca="false">IF(OR(B631="",C631=""),"",C631-B631)</f>
        <v>4</v>
      </c>
      <c r="G631" s="3" t="str">
        <f aca="false">IF(F631="","N/A",IF(F631&lt;0,"Invalid - Ship Before Order","OK"))</f>
        <v>OK</v>
      </c>
      <c r="H631" s="3" t="str">
        <f aca="false">raw_data!D631</f>
        <v>CUST-3793</v>
      </c>
      <c r="I631" s="3" t="str">
        <f aca="false">PROPER(TRIM(raw_data!E631))</f>
        <v>Arjun Bose</v>
      </c>
      <c r="J631" s="3" t="str">
        <f aca="false">PROPER(TRIM(raw_data!F631))</f>
        <v>Home Office</v>
      </c>
      <c r="K631" s="3" t="str">
        <f aca="false">IF(TRIM(raw_data!G631)="","Unknown",PROPER(TRIM(raw_data!G631)))</f>
        <v>West</v>
      </c>
      <c r="L631" s="3" t="str">
        <f aca="false">IF(TRIM(raw_data!G631)="","Filled - Unknown","OK")</f>
        <v>OK</v>
      </c>
      <c r="M631" s="3" t="str">
        <f aca="false">PROPER(TRIM(raw_data!H631))</f>
        <v>Gujarat</v>
      </c>
      <c r="N631" s="3" t="str">
        <f aca="false">PROPER(TRIM(raw_data!I631))</f>
        <v>Ahmedabad</v>
      </c>
      <c r="O631" s="3" t="str">
        <f aca="false">PROPER(TRIM(raw_data!J631))</f>
        <v>Furniture</v>
      </c>
      <c r="P631" s="3" t="str">
        <f aca="false">PROPER(TRIM(raw_data!K631))</f>
        <v>Tables</v>
      </c>
      <c r="Q631" s="3" t="str">
        <f aca="false">TRIM(raw_data!L631)</f>
        <v>Max Tables 908</v>
      </c>
      <c r="R631" s="3" t="str">
        <f aca="false">IF(TRIM(raw_data!M631)="","Unknown",PROPER(TRIM(raw_data!M631)))</f>
        <v>Same Day</v>
      </c>
      <c r="S631" s="3" t="str">
        <f aca="false">IF(TRIM(raw_data!M631)="","Filled - Unknown","OK")</f>
        <v>OK</v>
      </c>
      <c r="T631" s="6" t="n">
        <f aca="false">raw_data!N631</f>
        <v>3</v>
      </c>
      <c r="U631" s="7" t="n">
        <f aca="false">raw_data!O631</f>
        <v>4198.46</v>
      </c>
      <c r="V631" s="8" t="n">
        <f aca="false">raw_data!P631</f>
        <v>0.15</v>
      </c>
      <c r="W631" s="8" t="n">
        <f aca="false">IF(raw_data!P631="",0,IF(ISTEXT(raw_data!P631),IF(RIGHT(raw_data!P631,1)="%",VALUE(LEFT(raw_data!P631,LEN(raw_data!P631)-1))/100,VALUE(raw_data!P631)),raw_data!P631))</f>
        <v>0.15</v>
      </c>
      <c r="X631" s="3" t="str">
        <f aca="false">IF(raw_data!P631="","Missing - Defaulted to 0",IF(W631&lt;0,"Negative - Invalid",IF(W631&gt;0.3,"Above Allowed Range - Invalid","Valid")))</f>
        <v>Valid</v>
      </c>
      <c r="Y631" s="7" t="n">
        <f aca="false">raw_data!Q631</f>
        <v>10706.07</v>
      </c>
      <c r="Z631" s="7" t="n">
        <f aca="false">raw_data!R631</f>
        <v>5927.1</v>
      </c>
      <c r="AA631" s="7" t="n">
        <f aca="false">raw_data!S631</f>
        <v>4778.97</v>
      </c>
      <c r="AB631" s="3" t="str">
        <f aca="false">PROPER(TRIM(raw_data!T631))</f>
        <v>Paid</v>
      </c>
      <c r="AC631" s="3" t="str">
        <f aca="false">PROPER(TRIM(raw_data!U631))</f>
        <v>Completed</v>
      </c>
      <c r="AD631" s="7" t="n">
        <f aca="false">T631*U631*(1-W631)</f>
        <v>10706.073</v>
      </c>
      <c r="AE631" s="7" t="n">
        <f aca="false">AD631-Z631</f>
        <v>4778.973</v>
      </c>
      <c r="AF631" s="8" t="n">
        <f aca="false">IF(AD631=0,0,AE631/AD631)</f>
        <v>0.446379638920826</v>
      </c>
      <c r="AG631" s="3" t="str">
        <f aca="false">IF(ABS(Y631-AD631)&gt;1,"Mismatch","OK")</f>
        <v>OK</v>
      </c>
      <c r="AH631" s="3" t="str">
        <f aca="false">IF(ABS(AA631-AE631)&gt;1,"Mismatch","OK")</f>
        <v>OK</v>
      </c>
      <c r="AI631" s="6" t="n">
        <f aca="false">IF(B631="","",MONTH(B631))</f>
        <v>9</v>
      </c>
      <c r="AJ631" s="6" t="n">
        <f aca="false">IF(B631="","",YEAR(B631))</f>
        <v>2025</v>
      </c>
      <c r="AK631" s="3" t="str">
        <f aca="false">IF(COUNTIF(raw_data!$A$2:$A$913,A631)&gt;1,"Conflicting Duplicate - Flagged for Review","Unique")</f>
        <v>Unique</v>
      </c>
      <c r="AL631" s="3" t="str">
        <f aca="false">IF(AB631="Refunded","Yes","No")</f>
        <v>No</v>
      </c>
      <c r="AM631" s="3" t="str">
        <f aca="false">IF(OR(AC631&lt;&gt;"Completed",AB631="Failed"),"Excluded","Included")</f>
        <v>Included</v>
      </c>
      <c r="AN631" s="3" t="str">
        <f aca="false">IF(OR(D631="Invalid/Unrecognized",E631="Invalid/Unrecognized",G631="Invalid - Ship Before Order",X631="Negative - Invalid",X631="Above Allowed Range - Invalid",AG631="Mismatch",AH631="Mismatch",AK631="Conflicting Duplicate - Flagged for Review"),"Invalid",IF(OR(L631="Filled - Unknown",S631="Filled - Unknown",X631="Missing - Defaulted to 0",AL631="Yes",AC631="Cancelled",AC631="Returned"),"Warning","Clean"))</f>
        <v>Clean</v>
      </c>
    </row>
    <row r="632" customFormat="false" ht="15" hidden="false" customHeight="false" outlineLevel="0" collapsed="false">
      <c r="A632" s="3" t="str">
        <f aca="false">raw_data!A632</f>
        <v>ORD-2024-10631</v>
      </c>
      <c r="B632" s="4" t="n">
        <f aca="false">IFERROR(IF(MID(raw_data!B632,3,1)="/",DATE(VALUE(RIGHT(raw_data!B632,4)),VALUE(LEFT(raw_data!B632,2)),VALUE(MID(raw_data!B632,4,2))),IF(MID(raw_data!B632,3,1)="-",DATE(VALUE(RIGHT(raw_data!B632,4)),VALUE(MID(raw_data!B632,4,2)),VALUE(LEFT(raw_data!B632,2))),IF(MID(raw_data!B632,5,1)="-",DATE(VALUE(LEFT(raw_data!B632,4)),VALUE(MID(raw_data!B632,6,2)),VALUE(RIGHT(raw_data!B632,2))),DATE(VALUE(RIGHT(raw_data!B632,4)),MATCH(MID(raw_data!B632,4,3),{"Jan","Feb","Mar","Apr","May","Jun","Jul","Aug","Sep","Oct","Nov","Dec"},0),VALUE(LEFT(raw_data!B632,2)))))),"")</f>
        <v>45391</v>
      </c>
      <c r="C632" s="4" t="n">
        <f aca="false">IFERROR(IF(MID(raw_data!C632,3,1)="/",DATE(VALUE(RIGHT(raw_data!C632,4)),VALUE(LEFT(raw_data!C632,2)),VALUE(MID(raw_data!C632,4,2))),IF(MID(raw_data!C632,3,1)="-",DATE(VALUE(RIGHT(raw_data!C632,4)),VALUE(MID(raw_data!C632,4,2)),VALUE(LEFT(raw_data!C632,2))),IF(MID(raw_data!C632,5,1)="-",DATE(VALUE(LEFT(raw_data!C632,4)),VALUE(MID(raw_data!C632,6,2)),VALUE(RIGHT(raw_data!C632,2))),DATE(VALUE(RIGHT(raw_data!C632,4)),MATCH(MID(raw_data!C632,4,3),{"Jan","Feb","Mar","Apr","May","Jun","Jul","Aug","Sep","Oct","Nov","Dec"},0),VALUE(LEFT(raw_data!C632,2)))))),"")</f>
        <v>45392</v>
      </c>
      <c r="D632" s="3" t="str">
        <f aca="false">IF(TRIM(raw_data!B632)="","Missing",IF(B632="","Invalid/Unrecognized","Valid"))</f>
        <v>Valid</v>
      </c>
      <c r="E632" s="3" t="str">
        <f aca="false">IF(TRIM(raw_data!C632)="","Missing",IF(C632="","Invalid/Unrecognized","Valid"))</f>
        <v>Valid</v>
      </c>
      <c r="F632" s="5" t="n">
        <f aca="false">IF(OR(B632="",C632=""),"",C632-B632)</f>
        <v>1</v>
      </c>
      <c r="G632" s="3" t="str">
        <f aca="false">IF(F632="","N/A",IF(F632&lt;0,"Invalid - Ship Before Order","OK"))</f>
        <v>OK</v>
      </c>
      <c r="H632" s="3" t="str">
        <f aca="false">raw_data!D632</f>
        <v>CUST-6075</v>
      </c>
      <c r="I632" s="3" t="str">
        <f aca="false">PROPER(TRIM(raw_data!E632))</f>
        <v>Priya Menon</v>
      </c>
      <c r="J632" s="3" t="str">
        <f aca="false">PROPER(TRIM(raw_data!F632))</f>
        <v>Corporate</v>
      </c>
      <c r="K632" s="3" t="str">
        <f aca="false">IF(TRIM(raw_data!G632)="","Unknown",PROPER(TRIM(raw_data!G632)))</f>
        <v>East</v>
      </c>
      <c r="L632" s="3" t="str">
        <f aca="false">IF(TRIM(raw_data!G632)="","Filled - Unknown","OK")</f>
        <v>OK</v>
      </c>
      <c r="M632" s="3" t="str">
        <f aca="false">PROPER(TRIM(raw_data!H632))</f>
        <v>Assam</v>
      </c>
      <c r="N632" s="3" t="str">
        <f aca="false">PROPER(TRIM(raw_data!I632))</f>
        <v>Guwahati</v>
      </c>
      <c r="O632" s="3" t="str">
        <f aca="false">PROPER(TRIM(raw_data!J632))</f>
        <v>Office Supplies</v>
      </c>
      <c r="P632" s="3" t="str">
        <f aca="false">PROPER(TRIM(raw_data!K632))</f>
        <v>Paper</v>
      </c>
      <c r="Q632" s="3" t="str">
        <f aca="false">TRIM(raw_data!L632)</f>
        <v>Elite Paper 239</v>
      </c>
      <c r="R632" s="3" t="str">
        <f aca="false">IF(TRIM(raw_data!M632)="","Unknown",PROPER(TRIM(raw_data!M632)))</f>
        <v>Standard Class</v>
      </c>
      <c r="S632" s="3" t="str">
        <f aca="false">IF(TRIM(raw_data!M632)="","Filled - Unknown","OK")</f>
        <v>OK</v>
      </c>
      <c r="T632" s="6" t="n">
        <f aca="false">raw_data!N632</f>
        <v>4</v>
      </c>
      <c r="U632" s="7" t="n">
        <f aca="false">raw_data!O632</f>
        <v>3047.05</v>
      </c>
      <c r="V632" s="8" t="n">
        <f aca="false">raw_data!P632</f>
        <v>0.1</v>
      </c>
      <c r="W632" s="8" t="n">
        <f aca="false">IF(raw_data!P632="",0,IF(ISTEXT(raw_data!P632),IF(RIGHT(raw_data!P632,1)="%",VALUE(LEFT(raw_data!P632,LEN(raw_data!P632)-1))/100,VALUE(raw_data!P632)),raw_data!P632))</f>
        <v>0.1</v>
      </c>
      <c r="X632" s="3" t="str">
        <f aca="false">IF(raw_data!P632="","Missing - Defaulted to 0",IF(W632&lt;0,"Negative - Invalid",IF(W632&gt;0.3,"Above Allowed Range - Invalid","Valid")))</f>
        <v>Valid</v>
      </c>
      <c r="Y632" s="7" t="n">
        <f aca="false">raw_data!Q632</f>
        <v>10969.38</v>
      </c>
      <c r="Z632" s="7" t="n">
        <f aca="false">raw_data!R632</f>
        <v>9254.46</v>
      </c>
      <c r="AA632" s="7" t="n">
        <f aca="false">raw_data!S632</f>
        <v>1714.92</v>
      </c>
      <c r="AB632" s="3" t="str">
        <f aca="false">PROPER(TRIM(raw_data!T632))</f>
        <v>Paid</v>
      </c>
      <c r="AC632" s="3" t="str">
        <f aca="false">PROPER(TRIM(raw_data!U632))</f>
        <v>Completed</v>
      </c>
      <c r="AD632" s="7" t="n">
        <f aca="false">T632*U632*(1-W632)</f>
        <v>10969.38</v>
      </c>
      <c r="AE632" s="7" t="n">
        <f aca="false">AD632-Z632</f>
        <v>1714.92</v>
      </c>
      <c r="AF632" s="8" t="n">
        <f aca="false">IF(AD632=0,0,AE632/AD632)</f>
        <v>0.156337003549882</v>
      </c>
      <c r="AG632" s="3" t="str">
        <f aca="false">IF(ABS(Y632-AD632)&gt;1,"Mismatch","OK")</f>
        <v>OK</v>
      </c>
      <c r="AH632" s="3" t="str">
        <f aca="false">IF(ABS(AA632-AE632)&gt;1,"Mismatch","OK")</f>
        <v>OK</v>
      </c>
      <c r="AI632" s="6" t="n">
        <f aca="false">IF(B632="","",MONTH(B632))</f>
        <v>4</v>
      </c>
      <c r="AJ632" s="6" t="n">
        <f aca="false">IF(B632="","",YEAR(B632))</f>
        <v>2024</v>
      </c>
      <c r="AK632" s="3" t="str">
        <f aca="false">IF(COUNTIF(raw_data!$A$2:$A$913,A632)&gt;1,"Conflicting Duplicate - Flagged for Review","Unique")</f>
        <v>Unique</v>
      </c>
      <c r="AL632" s="3" t="str">
        <f aca="false">IF(AB632="Refunded","Yes","No")</f>
        <v>No</v>
      </c>
      <c r="AM632" s="3" t="str">
        <f aca="false">IF(OR(AC632&lt;&gt;"Completed",AB632="Failed"),"Excluded","Included")</f>
        <v>Included</v>
      </c>
      <c r="AN632" s="3" t="str">
        <f aca="false">IF(OR(D632="Invalid/Unrecognized",E632="Invalid/Unrecognized",G632="Invalid - Ship Before Order",X632="Negative - Invalid",X632="Above Allowed Range - Invalid",AG632="Mismatch",AH632="Mismatch",AK632="Conflicting Duplicate - Flagged for Review"),"Invalid",IF(OR(L632="Filled - Unknown",S632="Filled - Unknown",X632="Missing - Defaulted to 0",AL632="Yes",AC632="Cancelled",AC632="Returned"),"Warning","Clean"))</f>
        <v>Clean</v>
      </c>
    </row>
    <row r="633" customFormat="false" ht="15" hidden="false" customHeight="false" outlineLevel="0" collapsed="false">
      <c r="A633" s="3" t="str">
        <f aca="false">raw_data!A633</f>
        <v>ORD-2024-10632</v>
      </c>
      <c r="B633" s="4" t="n">
        <f aca="false">IFERROR(IF(MID(raw_data!B633,3,1)="/",DATE(VALUE(RIGHT(raw_data!B633,4)),VALUE(LEFT(raw_data!B633,2)),VALUE(MID(raw_data!B633,4,2))),IF(MID(raw_data!B633,3,1)="-",DATE(VALUE(RIGHT(raw_data!B633,4)),VALUE(MID(raw_data!B633,4,2)),VALUE(LEFT(raw_data!B633,2))),IF(MID(raw_data!B633,5,1)="-",DATE(VALUE(LEFT(raw_data!B633,4)),VALUE(MID(raw_data!B633,6,2)),VALUE(RIGHT(raw_data!B633,2))),DATE(VALUE(RIGHT(raw_data!B633,4)),MATCH(MID(raw_data!B633,4,3),{"Jan","Feb","Mar","Apr","May","Jun","Jul","Aug","Sep","Oct","Nov","Dec"},0),VALUE(LEFT(raw_data!B633,2)))))),"")</f>
        <v>45392</v>
      </c>
      <c r="C633" s="4" t="n">
        <f aca="false">IFERROR(IF(MID(raw_data!C633,3,1)="/",DATE(VALUE(RIGHT(raw_data!C633,4)),VALUE(LEFT(raw_data!C633,2)),VALUE(MID(raw_data!C633,4,2))),IF(MID(raw_data!C633,3,1)="-",DATE(VALUE(RIGHT(raw_data!C633,4)),VALUE(MID(raw_data!C633,4,2)),VALUE(LEFT(raw_data!C633,2))),IF(MID(raw_data!C633,5,1)="-",DATE(VALUE(LEFT(raw_data!C633,4)),VALUE(MID(raw_data!C633,6,2)),VALUE(RIGHT(raw_data!C633,2))),DATE(VALUE(RIGHT(raw_data!C633,4)),MATCH(MID(raw_data!C633,4,3),{"Jan","Feb","Mar","Apr","May","Jun","Jul","Aug","Sep","Oct","Nov","Dec"},0),VALUE(LEFT(raw_data!C633,2)))))),"")</f>
        <v>45397</v>
      </c>
      <c r="D633" s="3" t="str">
        <f aca="false">IF(TRIM(raw_data!B633)="","Missing",IF(B633="","Invalid/Unrecognized","Valid"))</f>
        <v>Valid</v>
      </c>
      <c r="E633" s="3" t="str">
        <f aca="false">IF(TRIM(raw_data!C633)="","Missing",IF(C633="","Invalid/Unrecognized","Valid"))</f>
        <v>Valid</v>
      </c>
      <c r="F633" s="5" t="n">
        <f aca="false">IF(OR(B633="",C633=""),"",C633-B633)</f>
        <v>5</v>
      </c>
      <c r="G633" s="3" t="str">
        <f aca="false">IF(F633="","N/A",IF(F633&lt;0,"Invalid - Ship Before Order","OK"))</f>
        <v>OK</v>
      </c>
      <c r="H633" s="3" t="str">
        <f aca="false">raw_data!D633</f>
        <v>CUST-6381</v>
      </c>
      <c r="I633" s="3" t="str">
        <f aca="false">PROPER(TRIM(raw_data!E633))</f>
        <v>Aarav Sharma</v>
      </c>
      <c r="J633" s="3" t="str">
        <f aca="false">PROPER(TRIM(raw_data!F633))</f>
        <v>Home Office</v>
      </c>
      <c r="K633" s="3" t="str">
        <f aca="false">IF(TRIM(raw_data!G633)="","Unknown",PROPER(TRIM(raw_data!G633)))</f>
        <v>West</v>
      </c>
      <c r="L633" s="3" t="str">
        <f aca="false">IF(TRIM(raw_data!G633)="","Filled - Unknown","OK")</f>
        <v>OK</v>
      </c>
      <c r="M633" s="3" t="str">
        <f aca="false">PROPER(TRIM(raw_data!H633))</f>
        <v>Rajasthan</v>
      </c>
      <c r="N633" s="3" t="str">
        <f aca="false">PROPER(TRIM(raw_data!I633))</f>
        <v>Udaipur</v>
      </c>
      <c r="O633" s="3" t="str">
        <f aca="false">PROPER(TRIM(raw_data!J633))</f>
        <v>Furniture</v>
      </c>
      <c r="P633" s="3" t="str">
        <f aca="false">PROPER(TRIM(raw_data!K633))</f>
        <v>Chairs</v>
      </c>
      <c r="Q633" s="3" t="str">
        <f aca="false">TRIM(raw_data!L633)</f>
        <v>Eco Chairs 452</v>
      </c>
      <c r="R633" s="3" t="str">
        <f aca="false">IF(TRIM(raw_data!M633)="","Unknown",PROPER(TRIM(raw_data!M633)))</f>
        <v>Standard Class</v>
      </c>
      <c r="S633" s="3" t="str">
        <f aca="false">IF(TRIM(raw_data!M633)="","Filled - Unknown","OK")</f>
        <v>OK</v>
      </c>
      <c r="T633" s="6" t="n">
        <f aca="false">raw_data!N633</f>
        <v>8</v>
      </c>
      <c r="U633" s="7" t="n">
        <f aca="false">raw_data!O633</f>
        <v>4362.48</v>
      </c>
      <c r="V633" s="8" t="n">
        <f aca="false">raw_data!P633</f>
        <v>0.1</v>
      </c>
      <c r="W633" s="8" t="n">
        <f aca="false">IF(raw_data!P633="",0,IF(ISTEXT(raw_data!P633),IF(RIGHT(raw_data!P633,1)="%",VALUE(LEFT(raw_data!P633,LEN(raw_data!P633)-1))/100,VALUE(raw_data!P633)),raw_data!P633))</f>
        <v>0.1</v>
      </c>
      <c r="X633" s="3" t="str">
        <f aca="false">IF(raw_data!P633="","Missing - Defaulted to 0",IF(W633&lt;0,"Negative - Invalid",IF(W633&gt;0.3,"Above Allowed Range - Invalid","Valid")))</f>
        <v>Valid</v>
      </c>
      <c r="Y633" s="7" t="n">
        <f aca="false">raw_data!Q633</f>
        <v>31409.86</v>
      </c>
      <c r="Z633" s="7" t="n">
        <f aca="false">raw_data!R633</f>
        <v>22523.54</v>
      </c>
      <c r="AA633" s="7" t="n">
        <f aca="false">raw_data!S633</f>
        <v>8886.32</v>
      </c>
      <c r="AB633" s="3" t="str">
        <f aca="false">PROPER(TRIM(raw_data!T633))</f>
        <v>Paid</v>
      </c>
      <c r="AC633" s="3" t="str">
        <f aca="false">PROPER(TRIM(raw_data!U633))</f>
        <v>Completed</v>
      </c>
      <c r="AD633" s="7" t="n">
        <f aca="false">T633*U633*(1-W633)</f>
        <v>31409.856</v>
      </c>
      <c r="AE633" s="7" t="n">
        <f aca="false">AD633-Z633</f>
        <v>8886.316</v>
      </c>
      <c r="AF633" s="8" t="n">
        <f aca="false">IF(AD633=0,0,AE633/AD633)</f>
        <v>0.28291489142771</v>
      </c>
      <c r="AG633" s="3" t="str">
        <f aca="false">IF(ABS(Y633-AD633)&gt;1,"Mismatch","OK")</f>
        <v>OK</v>
      </c>
      <c r="AH633" s="3" t="str">
        <f aca="false">IF(ABS(AA633-AE633)&gt;1,"Mismatch","OK")</f>
        <v>OK</v>
      </c>
      <c r="AI633" s="6" t="n">
        <f aca="false">IF(B633="","",MONTH(B633))</f>
        <v>4</v>
      </c>
      <c r="AJ633" s="6" t="n">
        <f aca="false">IF(B633="","",YEAR(B633))</f>
        <v>2024</v>
      </c>
      <c r="AK633" s="3" t="str">
        <f aca="false">IF(COUNTIF(raw_data!$A$2:$A$913,A633)&gt;1,"Conflicting Duplicate - Flagged for Review","Unique")</f>
        <v>Unique</v>
      </c>
      <c r="AL633" s="3" t="str">
        <f aca="false">IF(AB633="Refunded","Yes","No")</f>
        <v>No</v>
      </c>
      <c r="AM633" s="3" t="str">
        <f aca="false">IF(OR(AC633&lt;&gt;"Completed",AB633="Failed"),"Excluded","Included")</f>
        <v>Included</v>
      </c>
      <c r="AN633" s="3" t="str">
        <f aca="false">IF(OR(D633="Invalid/Unrecognized",E633="Invalid/Unrecognized",G633="Invalid - Ship Before Order",X633="Negative - Invalid",X633="Above Allowed Range - Invalid",AG633="Mismatch",AH633="Mismatch",AK633="Conflicting Duplicate - Flagged for Review"),"Invalid",IF(OR(L633="Filled - Unknown",S633="Filled - Unknown",X633="Missing - Defaulted to 0",AL633="Yes",AC633="Cancelled",AC633="Returned"),"Warning","Clean"))</f>
        <v>Clean</v>
      </c>
    </row>
    <row r="634" customFormat="false" ht="15" hidden="false" customHeight="false" outlineLevel="0" collapsed="false">
      <c r="A634" s="3" t="str">
        <f aca="false">raw_data!A634</f>
        <v>ORD-2025-10633</v>
      </c>
      <c r="B634" s="4" t="n">
        <f aca="false">IFERROR(IF(MID(raw_data!B634,3,1)="/",DATE(VALUE(RIGHT(raw_data!B634,4)),VALUE(LEFT(raw_data!B634,2)),VALUE(MID(raw_data!B634,4,2))),IF(MID(raw_data!B634,3,1)="-",DATE(VALUE(RIGHT(raw_data!B634,4)),VALUE(MID(raw_data!B634,4,2)),VALUE(LEFT(raw_data!B634,2))),IF(MID(raw_data!B634,5,1)="-",DATE(VALUE(LEFT(raw_data!B634,4)),VALUE(MID(raw_data!B634,6,2)),VALUE(RIGHT(raw_data!B634,2))),DATE(VALUE(RIGHT(raw_data!B634,4)),MATCH(MID(raw_data!B634,4,3),{"Jan","Feb","Mar","Apr","May","Jun","Jul","Aug","Sep","Oct","Nov","Dec"},0),VALUE(LEFT(raw_data!B634,2)))))),"")</f>
        <v>45762</v>
      </c>
      <c r="C634" s="4" t="n">
        <f aca="false">IFERROR(IF(MID(raw_data!C634,3,1)="/",DATE(VALUE(RIGHT(raw_data!C634,4)),VALUE(LEFT(raw_data!C634,2)),VALUE(MID(raw_data!C634,4,2))),IF(MID(raw_data!C634,3,1)="-",DATE(VALUE(RIGHT(raw_data!C634,4)),VALUE(MID(raw_data!C634,4,2)),VALUE(LEFT(raw_data!C634,2))),IF(MID(raw_data!C634,5,1)="-",DATE(VALUE(LEFT(raw_data!C634,4)),VALUE(MID(raw_data!C634,6,2)),VALUE(RIGHT(raw_data!C634,2))),DATE(VALUE(RIGHT(raw_data!C634,4)),MATCH(MID(raw_data!C634,4,3),{"Jan","Feb","Mar","Apr","May","Jun","Jul","Aug","Sep","Oct","Nov","Dec"},0),VALUE(LEFT(raw_data!C634,2)))))),"")</f>
        <v>45763</v>
      </c>
      <c r="D634" s="3" t="str">
        <f aca="false">IF(TRIM(raw_data!B634)="","Missing",IF(B634="","Invalid/Unrecognized","Valid"))</f>
        <v>Valid</v>
      </c>
      <c r="E634" s="3" t="str">
        <f aca="false">IF(TRIM(raw_data!C634)="","Missing",IF(C634="","Invalid/Unrecognized","Valid"))</f>
        <v>Valid</v>
      </c>
      <c r="F634" s="5" t="n">
        <f aca="false">IF(OR(B634="",C634=""),"",C634-B634)</f>
        <v>1</v>
      </c>
      <c r="G634" s="3" t="str">
        <f aca="false">IF(F634="","N/A",IF(F634&lt;0,"Invalid - Ship Before Order","OK"))</f>
        <v>OK</v>
      </c>
      <c r="H634" s="3" t="str">
        <f aca="false">raw_data!D634</f>
        <v>CUST-4593</v>
      </c>
      <c r="I634" s="3" t="str">
        <f aca="false">PROPER(TRIM(raw_data!E634))</f>
        <v>Sneha Kapoor</v>
      </c>
      <c r="J634" s="3" t="str">
        <f aca="false">PROPER(TRIM(raw_data!F634))</f>
        <v>Small Business</v>
      </c>
      <c r="K634" s="3" t="str">
        <f aca="false">IF(TRIM(raw_data!G634)="","Unknown",PROPER(TRIM(raw_data!G634)))</f>
        <v>South</v>
      </c>
      <c r="L634" s="3" t="str">
        <f aca="false">IF(TRIM(raw_data!G634)="","Filled - Unknown","OK")</f>
        <v>OK</v>
      </c>
      <c r="M634" s="3" t="str">
        <f aca="false">PROPER(TRIM(raw_data!H634))</f>
        <v>Karnataka</v>
      </c>
      <c r="N634" s="3" t="str">
        <f aca="false">PROPER(TRIM(raw_data!I634))</f>
        <v>Bengaluru</v>
      </c>
      <c r="O634" s="3" t="str">
        <f aca="false">PROPER(TRIM(raw_data!J634))</f>
        <v>Furniture</v>
      </c>
      <c r="P634" s="3" t="str">
        <f aca="false">PROPER(TRIM(raw_data!K634))</f>
        <v>Furnishings</v>
      </c>
      <c r="Q634" s="3" t="str">
        <f aca="false">TRIM(raw_data!L634)</f>
        <v>Smart Furnishings 721</v>
      </c>
      <c r="R634" s="3" t="str">
        <f aca="false">IF(TRIM(raw_data!M634)="","Unknown",PROPER(TRIM(raw_data!M634)))</f>
        <v>First Class</v>
      </c>
      <c r="S634" s="3" t="str">
        <f aca="false">IF(TRIM(raw_data!M634)="","Filled - Unknown","OK")</f>
        <v>OK</v>
      </c>
      <c r="T634" s="6" t="n">
        <f aca="false">raw_data!N634</f>
        <v>5</v>
      </c>
      <c r="U634" s="7" t="n">
        <f aca="false">raw_data!O634</f>
        <v>2850.53</v>
      </c>
      <c r="V634" s="8" t="n">
        <f aca="false">raw_data!P634</f>
        <v>0</v>
      </c>
      <c r="W634" s="8" t="n">
        <f aca="false">IF(raw_data!P634="",0,IF(ISTEXT(raw_data!P634),IF(RIGHT(raw_data!P634,1)="%",VALUE(LEFT(raw_data!P634,LEN(raw_data!P634)-1))/100,VALUE(raw_data!P634)),raw_data!P634))</f>
        <v>0</v>
      </c>
      <c r="X634" s="3" t="str">
        <f aca="false">IF(raw_data!P634="","Missing - Defaulted to 0",IF(W634&lt;0,"Negative - Invalid",IF(W634&gt;0.3,"Above Allowed Range - Invalid","Valid")))</f>
        <v>Valid</v>
      </c>
      <c r="Y634" s="7" t="n">
        <f aca="false">raw_data!Q634</f>
        <v>14252.65</v>
      </c>
      <c r="Z634" s="7" t="n">
        <f aca="false">raw_data!R634</f>
        <v>11558.31</v>
      </c>
      <c r="AA634" s="7" t="n">
        <f aca="false">raw_data!S634</f>
        <v>2694.34</v>
      </c>
      <c r="AB634" s="3" t="str">
        <f aca="false">PROPER(TRIM(raw_data!T634))</f>
        <v>Paid</v>
      </c>
      <c r="AC634" s="3" t="str">
        <f aca="false">PROPER(TRIM(raw_data!U634))</f>
        <v>Completed</v>
      </c>
      <c r="AD634" s="7" t="n">
        <f aca="false">T634*U634*(1-W634)</f>
        <v>14252.65</v>
      </c>
      <c r="AE634" s="7" t="n">
        <f aca="false">AD634-Z634</f>
        <v>2694.34</v>
      </c>
      <c r="AF634" s="8" t="n">
        <f aca="false">IF(AD634=0,0,AE634/AD634)</f>
        <v>0.189041336172572</v>
      </c>
      <c r="AG634" s="3" t="str">
        <f aca="false">IF(ABS(Y634-AD634)&gt;1,"Mismatch","OK")</f>
        <v>OK</v>
      </c>
      <c r="AH634" s="3" t="str">
        <f aca="false">IF(ABS(AA634-AE634)&gt;1,"Mismatch","OK")</f>
        <v>OK</v>
      </c>
      <c r="AI634" s="6" t="n">
        <f aca="false">IF(B634="","",MONTH(B634))</f>
        <v>4</v>
      </c>
      <c r="AJ634" s="6" t="n">
        <f aca="false">IF(B634="","",YEAR(B634))</f>
        <v>2025</v>
      </c>
      <c r="AK634" s="3" t="str">
        <f aca="false">IF(COUNTIF(raw_data!$A$2:$A$913,A634)&gt;1,"Conflicting Duplicate - Flagged for Review","Unique")</f>
        <v>Unique</v>
      </c>
      <c r="AL634" s="3" t="str">
        <f aca="false">IF(AB634="Refunded","Yes","No")</f>
        <v>No</v>
      </c>
      <c r="AM634" s="3" t="str">
        <f aca="false">IF(OR(AC634&lt;&gt;"Completed",AB634="Failed"),"Excluded","Included")</f>
        <v>Included</v>
      </c>
      <c r="AN634" s="3" t="str">
        <f aca="false">IF(OR(D634="Invalid/Unrecognized",E634="Invalid/Unrecognized",G634="Invalid - Ship Before Order",X634="Negative - Invalid",X634="Above Allowed Range - Invalid",AG634="Mismatch",AH634="Mismatch",AK634="Conflicting Duplicate - Flagged for Review"),"Invalid",IF(OR(L634="Filled - Unknown",S634="Filled - Unknown",X634="Missing - Defaulted to 0",AL634="Yes",AC634="Cancelled",AC634="Returned"),"Warning","Clean"))</f>
        <v>Clean</v>
      </c>
    </row>
    <row r="635" customFormat="false" ht="15" hidden="false" customHeight="false" outlineLevel="0" collapsed="false">
      <c r="A635" s="3" t="str">
        <f aca="false">raw_data!A635</f>
        <v>ORD-2025-10634</v>
      </c>
      <c r="B635" s="4" t="n">
        <f aca="false">IFERROR(IF(MID(raw_data!B635,3,1)="/",DATE(VALUE(RIGHT(raw_data!B635,4)),VALUE(LEFT(raw_data!B635,2)),VALUE(MID(raw_data!B635,4,2))),IF(MID(raw_data!B635,3,1)="-",DATE(VALUE(RIGHT(raw_data!B635,4)),VALUE(MID(raw_data!B635,4,2)),VALUE(LEFT(raw_data!B635,2))),IF(MID(raw_data!B635,5,1)="-",DATE(VALUE(LEFT(raw_data!B635,4)),VALUE(MID(raw_data!B635,6,2)),VALUE(RIGHT(raw_data!B635,2))),DATE(VALUE(RIGHT(raw_data!B635,4)),MATCH(MID(raw_data!B635,4,3),{"Jan","Feb","Mar","Apr","May","Jun","Jul","Aug","Sep","Oct","Nov","Dec"},0),VALUE(LEFT(raw_data!B635,2)))))),"")</f>
        <v>45765</v>
      </c>
      <c r="C635" s="4" t="n">
        <f aca="false">IFERROR(IF(MID(raw_data!C635,3,1)="/",DATE(VALUE(RIGHT(raw_data!C635,4)),VALUE(LEFT(raw_data!C635,2)),VALUE(MID(raw_data!C635,4,2))),IF(MID(raw_data!C635,3,1)="-",DATE(VALUE(RIGHT(raw_data!C635,4)),VALUE(MID(raw_data!C635,4,2)),VALUE(LEFT(raw_data!C635,2))),IF(MID(raw_data!C635,5,1)="-",DATE(VALUE(LEFT(raw_data!C635,4)),VALUE(MID(raw_data!C635,6,2)),VALUE(RIGHT(raw_data!C635,2))),DATE(VALUE(RIGHT(raw_data!C635,4)),MATCH(MID(raw_data!C635,4,3),{"Jan","Feb","Mar","Apr","May","Jun","Jul","Aug","Sep","Oct","Nov","Dec"},0),VALUE(LEFT(raw_data!C635,2)))))),"")</f>
        <v>45767</v>
      </c>
      <c r="D635" s="3" t="str">
        <f aca="false">IF(TRIM(raw_data!B635)="","Missing",IF(B635="","Invalid/Unrecognized","Valid"))</f>
        <v>Valid</v>
      </c>
      <c r="E635" s="3" t="str">
        <f aca="false">IF(TRIM(raw_data!C635)="","Missing",IF(C635="","Invalid/Unrecognized","Valid"))</f>
        <v>Valid</v>
      </c>
      <c r="F635" s="5" t="n">
        <f aca="false">IF(OR(B635="",C635=""),"",C635-B635)</f>
        <v>2</v>
      </c>
      <c r="G635" s="3" t="str">
        <f aca="false">IF(F635="","N/A",IF(F635&lt;0,"Invalid - Ship Before Order","OK"))</f>
        <v>OK</v>
      </c>
      <c r="H635" s="3" t="str">
        <f aca="false">raw_data!D635</f>
        <v>CUST-5043</v>
      </c>
      <c r="I635" s="3" t="str">
        <f aca="false">PROPER(TRIM(raw_data!E635))</f>
        <v>Aarav Sharma</v>
      </c>
      <c r="J635" s="3" t="str">
        <f aca="false">PROPER(TRIM(raw_data!F635))</f>
        <v>Small Business</v>
      </c>
      <c r="K635" s="3" t="str">
        <f aca="false">IF(TRIM(raw_data!G635)="","Unknown",PROPER(TRIM(raw_data!G635)))</f>
        <v>South</v>
      </c>
      <c r="L635" s="3" t="str">
        <f aca="false">IF(TRIM(raw_data!G635)="","Filled - Unknown","OK")</f>
        <v>OK</v>
      </c>
      <c r="M635" s="3" t="str">
        <f aca="false">PROPER(TRIM(raw_data!H635))</f>
        <v>Tamil Nadu</v>
      </c>
      <c r="N635" s="3" t="str">
        <f aca="false">PROPER(TRIM(raw_data!I635))</f>
        <v>Chennai</v>
      </c>
      <c r="O635" s="3" t="str">
        <f aca="false">PROPER(TRIM(raw_data!J635))</f>
        <v>Technology</v>
      </c>
      <c r="P635" s="3" t="str">
        <f aca="false">PROPER(TRIM(raw_data!K635))</f>
        <v>Accessories</v>
      </c>
      <c r="Q635" s="3" t="str">
        <f aca="false">TRIM(raw_data!L635)</f>
        <v>Basic Accessories 729</v>
      </c>
      <c r="R635" s="3" t="str">
        <f aca="false">IF(TRIM(raw_data!M635)="","Unknown",PROPER(TRIM(raw_data!M635)))</f>
        <v>Second Class</v>
      </c>
      <c r="S635" s="3" t="str">
        <f aca="false">IF(TRIM(raw_data!M635)="","Filled - Unknown","OK")</f>
        <v>OK</v>
      </c>
      <c r="T635" s="6" t="n">
        <f aca="false">raw_data!N635</f>
        <v>1</v>
      </c>
      <c r="U635" s="7" t="n">
        <f aca="false">raw_data!O635</f>
        <v>1626.08</v>
      </c>
      <c r="V635" s="8" t="n">
        <f aca="false">raw_data!P635</f>
        <v>0.15</v>
      </c>
      <c r="W635" s="8" t="n">
        <f aca="false">IF(raw_data!P635="",0,IF(ISTEXT(raw_data!P635),IF(RIGHT(raw_data!P635,1)="%",VALUE(LEFT(raw_data!P635,LEN(raw_data!P635)-1))/100,VALUE(raw_data!P635)),raw_data!P635))</f>
        <v>0.15</v>
      </c>
      <c r="X635" s="3" t="str">
        <f aca="false">IF(raw_data!P635="","Missing - Defaulted to 0",IF(W635&lt;0,"Negative - Invalid",IF(W635&gt;0.3,"Above Allowed Range - Invalid","Valid")))</f>
        <v>Valid</v>
      </c>
      <c r="Y635" s="7" t="n">
        <f aca="false">raw_data!Q635</f>
        <v>1382.17</v>
      </c>
      <c r="Z635" s="7" t="n">
        <f aca="false">raw_data!R635</f>
        <v>810.03</v>
      </c>
      <c r="AA635" s="7" t="n">
        <f aca="false">raw_data!S635</f>
        <v>572.14</v>
      </c>
      <c r="AB635" s="3" t="str">
        <f aca="false">PROPER(TRIM(raw_data!T635))</f>
        <v>Paid</v>
      </c>
      <c r="AC635" s="3" t="str">
        <f aca="false">PROPER(TRIM(raw_data!U635))</f>
        <v>Completed</v>
      </c>
      <c r="AD635" s="7" t="n">
        <f aca="false">T635*U635*(1-W635)</f>
        <v>1382.168</v>
      </c>
      <c r="AE635" s="7" t="n">
        <f aca="false">AD635-Z635</f>
        <v>572.138</v>
      </c>
      <c r="AF635" s="8" t="n">
        <f aca="false">IF(AD635=0,0,AE635/AD635)</f>
        <v>0.413942444044429</v>
      </c>
      <c r="AG635" s="3" t="str">
        <f aca="false">IF(ABS(Y635-AD635)&gt;1,"Mismatch","OK")</f>
        <v>OK</v>
      </c>
      <c r="AH635" s="3" t="str">
        <f aca="false">IF(ABS(AA635-AE635)&gt;1,"Mismatch","OK")</f>
        <v>OK</v>
      </c>
      <c r="AI635" s="6" t="n">
        <f aca="false">IF(B635="","",MONTH(B635))</f>
        <v>4</v>
      </c>
      <c r="AJ635" s="6" t="n">
        <f aca="false">IF(B635="","",YEAR(B635))</f>
        <v>2025</v>
      </c>
      <c r="AK635" s="3" t="str">
        <f aca="false">IF(COUNTIF(raw_data!$A$2:$A$913,A635)&gt;1,"Conflicting Duplicate - Flagged for Review","Unique")</f>
        <v>Unique</v>
      </c>
      <c r="AL635" s="3" t="str">
        <f aca="false">IF(AB635="Refunded","Yes","No")</f>
        <v>No</v>
      </c>
      <c r="AM635" s="3" t="str">
        <f aca="false">IF(OR(AC635&lt;&gt;"Completed",AB635="Failed"),"Excluded","Included")</f>
        <v>Included</v>
      </c>
      <c r="AN635" s="3" t="str">
        <f aca="false">IF(OR(D635="Invalid/Unrecognized",E635="Invalid/Unrecognized",G635="Invalid - Ship Before Order",X635="Negative - Invalid",X635="Above Allowed Range - Invalid",AG635="Mismatch",AH635="Mismatch",AK635="Conflicting Duplicate - Flagged for Review"),"Invalid",IF(OR(L635="Filled - Unknown",S635="Filled - Unknown",X635="Missing - Defaulted to 0",AL635="Yes",AC635="Cancelled",AC635="Returned"),"Warning","Clean"))</f>
        <v>Clean</v>
      </c>
    </row>
    <row r="636" customFormat="false" ht="15" hidden="false" customHeight="false" outlineLevel="0" collapsed="false">
      <c r="A636" s="3" t="str">
        <f aca="false">raw_data!A636</f>
        <v>ORD-2025-10635</v>
      </c>
      <c r="B636" s="4" t="n">
        <f aca="false">IFERROR(IF(MID(raw_data!B636,3,1)="/",DATE(VALUE(RIGHT(raw_data!B636,4)),VALUE(LEFT(raw_data!B636,2)),VALUE(MID(raw_data!B636,4,2))),IF(MID(raw_data!B636,3,1)="-",DATE(VALUE(RIGHT(raw_data!B636,4)),VALUE(MID(raw_data!B636,4,2)),VALUE(LEFT(raw_data!B636,2))),IF(MID(raw_data!B636,5,1)="-",DATE(VALUE(LEFT(raw_data!B636,4)),VALUE(MID(raw_data!B636,6,2)),VALUE(RIGHT(raw_data!B636,2))),DATE(VALUE(RIGHT(raw_data!B636,4)),MATCH(MID(raw_data!B636,4,3),{"Jan","Feb","Mar","Apr","May","Jun","Jul","Aug","Sep","Oct","Nov","Dec"},0),VALUE(LEFT(raw_data!B636,2)))))),"")</f>
        <v>45668</v>
      </c>
      <c r="C636" s="4" t="n">
        <f aca="false">IFERROR(IF(MID(raw_data!C636,3,1)="/",DATE(VALUE(RIGHT(raw_data!C636,4)),VALUE(LEFT(raw_data!C636,2)),VALUE(MID(raw_data!C636,4,2))),IF(MID(raw_data!C636,3,1)="-",DATE(VALUE(RIGHT(raw_data!C636,4)),VALUE(MID(raw_data!C636,4,2)),VALUE(LEFT(raw_data!C636,2))),IF(MID(raw_data!C636,5,1)="-",DATE(VALUE(LEFT(raw_data!C636,4)),VALUE(MID(raw_data!C636,6,2)),VALUE(RIGHT(raw_data!C636,2))),DATE(VALUE(RIGHT(raw_data!C636,4)),MATCH(MID(raw_data!C636,4,3),{"Jan","Feb","Mar","Apr","May","Jun","Jul","Aug","Sep","Oct","Nov","Dec"},0),VALUE(LEFT(raw_data!C636,2)))))),"")</f>
        <v>45669</v>
      </c>
      <c r="D636" s="3" t="str">
        <f aca="false">IF(TRIM(raw_data!B636)="","Missing",IF(B636="","Invalid/Unrecognized","Valid"))</f>
        <v>Valid</v>
      </c>
      <c r="E636" s="3" t="str">
        <f aca="false">IF(TRIM(raw_data!C636)="","Missing",IF(C636="","Invalid/Unrecognized","Valid"))</f>
        <v>Valid</v>
      </c>
      <c r="F636" s="5" t="n">
        <f aca="false">IF(OR(B636="",C636=""),"",C636-B636)</f>
        <v>1</v>
      </c>
      <c r="G636" s="3" t="str">
        <f aca="false">IF(F636="","N/A",IF(F636&lt;0,"Invalid - Ship Before Order","OK"))</f>
        <v>OK</v>
      </c>
      <c r="H636" s="3" t="str">
        <f aca="false">raw_data!D636</f>
        <v>CUST-4722</v>
      </c>
      <c r="I636" s="3" t="str">
        <f aca="false">PROPER(TRIM(raw_data!E636))</f>
        <v>Aditi Sen</v>
      </c>
      <c r="J636" s="3" t="str">
        <f aca="false">PROPER(TRIM(raw_data!F636))</f>
        <v>Consumer</v>
      </c>
      <c r="K636" s="3" t="str">
        <f aca="false">IF(TRIM(raw_data!G636)="","Unknown",PROPER(TRIM(raw_data!G636)))</f>
        <v>South</v>
      </c>
      <c r="L636" s="3" t="str">
        <f aca="false">IF(TRIM(raw_data!G636)="","Filled - Unknown","OK")</f>
        <v>OK</v>
      </c>
      <c r="M636" s="3" t="str">
        <f aca="false">PROPER(TRIM(raw_data!H636))</f>
        <v>Telangana</v>
      </c>
      <c r="N636" s="3" t="str">
        <f aca="false">PROPER(TRIM(raw_data!I636))</f>
        <v>Hyderabad</v>
      </c>
      <c r="O636" s="3" t="str">
        <f aca="false">PROPER(TRIM(raw_data!J636))</f>
        <v>Furniture</v>
      </c>
      <c r="P636" s="3" t="str">
        <f aca="false">PROPER(TRIM(raw_data!K636))</f>
        <v>Chairs</v>
      </c>
      <c r="Q636" s="3" t="str">
        <f aca="false">TRIM(raw_data!L636)</f>
        <v>Classic Chairs 220</v>
      </c>
      <c r="R636" s="3" t="str">
        <f aca="false">IF(TRIM(raw_data!M636)="","Unknown",PROPER(TRIM(raw_data!M636)))</f>
        <v>Second Class</v>
      </c>
      <c r="S636" s="3" t="str">
        <f aca="false">IF(TRIM(raw_data!M636)="","Filled - Unknown","OK")</f>
        <v>OK</v>
      </c>
      <c r="T636" s="6" t="n">
        <f aca="false">raw_data!N636</f>
        <v>4</v>
      </c>
      <c r="U636" s="7" t="n">
        <f aca="false">raw_data!O636</f>
        <v>2427.15</v>
      </c>
      <c r="V636" s="8" t="n">
        <f aca="false">raw_data!P636</f>
        <v>0.05</v>
      </c>
      <c r="W636" s="8" t="n">
        <f aca="false">IF(raw_data!P636="",0,IF(ISTEXT(raw_data!P636),IF(RIGHT(raw_data!P636,1)="%",VALUE(LEFT(raw_data!P636,LEN(raw_data!P636)-1))/100,VALUE(raw_data!P636)),raw_data!P636))</f>
        <v>0.05</v>
      </c>
      <c r="X636" s="3" t="str">
        <f aca="false">IF(raw_data!P636="","Missing - Defaulted to 0",IF(W636&lt;0,"Negative - Invalid",IF(W636&gt;0.3,"Above Allowed Range - Invalid","Valid")))</f>
        <v>Valid</v>
      </c>
      <c r="Y636" s="7" t="n">
        <f aca="false">raw_data!Q636</f>
        <v>9223.17</v>
      </c>
      <c r="Z636" s="7" t="n">
        <f aca="false">raw_data!R636</f>
        <v>5103.7</v>
      </c>
      <c r="AA636" s="7" t="n">
        <f aca="false">raw_data!S636</f>
        <v>4119.47</v>
      </c>
      <c r="AB636" s="3" t="str">
        <f aca="false">PROPER(TRIM(raw_data!T636))</f>
        <v>Paid</v>
      </c>
      <c r="AC636" s="3" t="str">
        <f aca="false">PROPER(TRIM(raw_data!U636))</f>
        <v>Completed</v>
      </c>
      <c r="AD636" s="7" t="n">
        <f aca="false">T636*U636*(1-W636)</f>
        <v>9223.17</v>
      </c>
      <c r="AE636" s="7" t="n">
        <f aca="false">AD636-Z636</f>
        <v>4119.47</v>
      </c>
      <c r="AF636" s="8" t="n">
        <f aca="false">IF(AD636=0,0,AE636/AD636)</f>
        <v>0.446643616023558</v>
      </c>
      <c r="AG636" s="3" t="str">
        <f aca="false">IF(ABS(Y636-AD636)&gt;1,"Mismatch","OK")</f>
        <v>OK</v>
      </c>
      <c r="AH636" s="3" t="str">
        <f aca="false">IF(ABS(AA636-AE636)&gt;1,"Mismatch","OK")</f>
        <v>OK</v>
      </c>
      <c r="AI636" s="6" t="n">
        <f aca="false">IF(B636="","",MONTH(B636))</f>
        <v>1</v>
      </c>
      <c r="AJ636" s="6" t="n">
        <f aca="false">IF(B636="","",YEAR(B636))</f>
        <v>2025</v>
      </c>
      <c r="AK636" s="3" t="str">
        <f aca="false">IF(COUNTIF(raw_data!$A$2:$A$913,A636)&gt;1,"Conflicting Duplicate - Flagged for Review","Unique")</f>
        <v>Unique</v>
      </c>
      <c r="AL636" s="3" t="str">
        <f aca="false">IF(AB636="Refunded","Yes","No")</f>
        <v>No</v>
      </c>
      <c r="AM636" s="3" t="str">
        <f aca="false">IF(OR(AC636&lt;&gt;"Completed",AB636="Failed"),"Excluded","Included")</f>
        <v>Included</v>
      </c>
      <c r="AN636" s="3" t="str">
        <f aca="false">IF(OR(D636="Invalid/Unrecognized",E636="Invalid/Unrecognized",G636="Invalid - Ship Before Order",X636="Negative - Invalid",X636="Above Allowed Range - Invalid",AG636="Mismatch",AH636="Mismatch",AK636="Conflicting Duplicate - Flagged for Review"),"Invalid",IF(OR(L636="Filled - Unknown",S636="Filled - Unknown",X636="Missing - Defaulted to 0",AL636="Yes",AC636="Cancelled",AC636="Returned"),"Warning","Clean"))</f>
        <v>Clean</v>
      </c>
    </row>
    <row r="637" customFormat="false" ht="15" hidden="false" customHeight="false" outlineLevel="0" collapsed="false">
      <c r="A637" s="3" t="str">
        <f aca="false">raw_data!A637</f>
        <v>ORD-2024-10636</v>
      </c>
      <c r="B637" s="4" t="n">
        <f aca="false">IFERROR(IF(MID(raw_data!B637,3,1)="/",DATE(VALUE(RIGHT(raw_data!B637,4)),VALUE(LEFT(raw_data!B637,2)),VALUE(MID(raw_data!B637,4,2))),IF(MID(raw_data!B637,3,1)="-",DATE(VALUE(RIGHT(raw_data!B637,4)),VALUE(MID(raw_data!B637,4,2)),VALUE(LEFT(raw_data!B637,2))),IF(MID(raw_data!B637,5,1)="-",DATE(VALUE(LEFT(raw_data!B637,4)),VALUE(MID(raw_data!B637,6,2)),VALUE(RIGHT(raw_data!B637,2))),DATE(VALUE(RIGHT(raw_data!B637,4)),MATCH(MID(raw_data!B637,4,3),{"Jan","Feb","Mar","Apr","May","Jun","Jul","Aug","Sep","Oct","Nov","Dec"},0),VALUE(LEFT(raw_data!B637,2)))))),"")</f>
        <v>45432</v>
      </c>
      <c r="C637" s="4" t="n">
        <f aca="false">IFERROR(IF(MID(raw_data!C637,3,1)="/",DATE(VALUE(RIGHT(raw_data!C637,4)),VALUE(LEFT(raw_data!C637,2)),VALUE(MID(raw_data!C637,4,2))),IF(MID(raw_data!C637,3,1)="-",DATE(VALUE(RIGHT(raw_data!C637,4)),VALUE(MID(raw_data!C637,4,2)),VALUE(LEFT(raw_data!C637,2))),IF(MID(raw_data!C637,5,1)="-",DATE(VALUE(LEFT(raw_data!C637,4)),VALUE(MID(raw_data!C637,6,2)),VALUE(RIGHT(raw_data!C637,2))),DATE(VALUE(RIGHT(raw_data!C637,4)),MATCH(MID(raw_data!C637,4,3),{"Jan","Feb","Mar","Apr","May","Jun","Jul","Aug","Sep","Oct","Nov","Dec"},0),VALUE(LEFT(raw_data!C637,2)))))),"")</f>
        <v>45437</v>
      </c>
      <c r="D637" s="3" t="str">
        <f aca="false">IF(TRIM(raw_data!B637)="","Missing",IF(B637="","Invalid/Unrecognized","Valid"))</f>
        <v>Valid</v>
      </c>
      <c r="E637" s="3" t="str">
        <f aca="false">IF(TRIM(raw_data!C637)="","Missing",IF(C637="","Invalid/Unrecognized","Valid"))</f>
        <v>Valid</v>
      </c>
      <c r="F637" s="5" t="n">
        <f aca="false">IF(OR(B637="",C637=""),"",C637-B637)</f>
        <v>5</v>
      </c>
      <c r="G637" s="3" t="str">
        <f aca="false">IF(F637="","N/A",IF(F637&lt;0,"Invalid - Ship Before Order","OK"))</f>
        <v>OK</v>
      </c>
      <c r="H637" s="3" t="str">
        <f aca="false">raw_data!D637</f>
        <v>CUST-7931</v>
      </c>
      <c r="I637" s="3" t="str">
        <f aca="false">PROPER(TRIM(raw_data!E637))</f>
        <v>Mira Das</v>
      </c>
      <c r="J637" s="3" t="str">
        <f aca="false">PROPER(TRIM(raw_data!F637))</f>
        <v>Corporate</v>
      </c>
      <c r="K637" s="3" t="str">
        <f aca="false">IF(TRIM(raw_data!G637)="","Unknown",PROPER(TRIM(raw_data!G637)))</f>
        <v>South</v>
      </c>
      <c r="L637" s="3" t="str">
        <f aca="false">IF(TRIM(raw_data!G637)="","Filled - Unknown","OK")</f>
        <v>OK</v>
      </c>
      <c r="M637" s="3" t="str">
        <f aca="false">PROPER(TRIM(raw_data!H637))</f>
        <v>Andhra Pradesh</v>
      </c>
      <c r="N637" s="3" t="str">
        <f aca="false">PROPER(TRIM(raw_data!I637))</f>
        <v>Vijayawada</v>
      </c>
      <c r="O637" s="3" t="str">
        <f aca="false">PROPER(TRIM(raw_data!J637))</f>
        <v>Furniture</v>
      </c>
      <c r="P637" s="3" t="str">
        <f aca="false">PROPER(TRIM(raw_data!K637))</f>
        <v>Chairs</v>
      </c>
      <c r="Q637" s="3" t="str">
        <f aca="false">TRIM(raw_data!L637)</f>
        <v>Max Chairs 305</v>
      </c>
      <c r="R637" s="3" t="str">
        <f aca="false">IF(TRIM(raw_data!M637)="","Unknown",PROPER(TRIM(raw_data!M637)))</f>
        <v>Same Day</v>
      </c>
      <c r="S637" s="3" t="str">
        <f aca="false">IF(TRIM(raw_data!M637)="","Filled - Unknown","OK")</f>
        <v>OK</v>
      </c>
      <c r="T637" s="6" t="n">
        <f aca="false">raw_data!N637</f>
        <v>7</v>
      </c>
      <c r="U637" s="7" t="n">
        <f aca="false">raw_data!O637</f>
        <v>3122.85</v>
      </c>
      <c r="V637" s="8" t="n">
        <f aca="false">raw_data!P637</f>
        <v>0.25</v>
      </c>
      <c r="W637" s="8" t="n">
        <f aca="false">IF(raw_data!P637="",0,IF(ISTEXT(raw_data!P637),IF(RIGHT(raw_data!P637,1)="%",VALUE(LEFT(raw_data!P637,LEN(raw_data!P637)-1))/100,VALUE(raw_data!P637)),raw_data!P637))</f>
        <v>0.25</v>
      </c>
      <c r="X637" s="3" t="str">
        <f aca="false">IF(raw_data!P637="","Missing - Defaulted to 0",IF(W637&lt;0,"Negative - Invalid",IF(W637&gt;0.3,"Above Allowed Range - Invalid","Valid")))</f>
        <v>Valid</v>
      </c>
      <c r="Y637" s="7" t="n">
        <f aca="false">raw_data!Q637</f>
        <v>16394.96</v>
      </c>
      <c r="Z637" s="7" t="n">
        <f aca="false">raw_data!R637</f>
        <v>10404.17</v>
      </c>
      <c r="AA637" s="7" t="n">
        <f aca="false">raw_data!S637</f>
        <v>5990.79</v>
      </c>
      <c r="AB637" s="3" t="str">
        <f aca="false">PROPER(TRIM(raw_data!T637))</f>
        <v>Paid</v>
      </c>
      <c r="AC637" s="3" t="str">
        <f aca="false">PROPER(TRIM(raw_data!U637))</f>
        <v>Completed</v>
      </c>
      <c r="AD637" s="7" t="n">
        <f aca="false">T637*U637*(1-W637)</f>
        <v>16394.9625</v>
      </c>
      <c r="AE637" s="7" t="n">
        <f aca="false">AD637-Z637</f>
        <v>5990.7925</v>
      </c>
      <c r="AF637" s="8" t="n">
        <f aca="false">IF(AD637=0,0,AE637/AD637)</f>
        <v>0.365404464938544</v>
      </c>
      <c r="AG637" s="3" t="str">
        <f aca="false">IF(ABS(Y637-AD637)&gt;1,"Mismatch","OK")</f>
        <v>OK</v>
      </c>
      <c r="AH637" s="3" t="str">
        <f aca="false">IF(ABS(AA637-AE637)&gt;1,"Mismatch","OK")</f>
        <v>OK</v>
      </c>
      <c r="AI637" s="6" t="n">
        <f aca="false">IF(B637="","",MONTH(B637))</f>
        <v>5</v>
      </c>
      <c r="AJ637" s="6" t="n">
        <f aca="false">IF(B637="","",YEAR(B637))</f>
        <v>2024</v>
      </c>
      <c r="AK637" s="3" t="str">
        <f aca="false">IF(COUNTIF(raw_data!$A$2:$A$913,A637)&gt;1,"Conflicting Duplicate - Flagged for Review","Unique")</f>
        <v>Unique</v>
      </c>
      <c r="AL637" s="3" t="str">
        <f aca="false">IF(AB637="Refunded","Yes","No")</f>
        <v>No</v>
      </c>
      <c r="AM637" s="3" t="str">
        <f aca="false">IF(OR(AC637&lt;&gt;"Completed",AB637="Failed"),"Excluded","Included")</f>
        <v>Included</v>
      </c>
      <c r="AN637" s="3" t="str">
        <f aca="false">IF(OR(D637="Invalid/Unrecognized",E637="Invalid/Unrecognized",G637="Invalid - Ship Before Order",X637="Negative - Invalid",X637="Above Allowed Range - Invalid",AG637="Mismatch",AH637="Mismatch",AK637="Conflicting Duplicate - Flagged for Review"),"Invalid",IF(OR(L637="Filled - Unknown",S637="Filled - Unknown",X637="Missing - Defaulted to 0",AL637="Yes",AC637="Cancelled",AC637="Returned"),"Warning","Clean"))</f>
        <v>Clean</v>
      </c>
    </row>
    <row r="638" customFormat="false" ht="15" hidden="false" customHeight="false" outlineLevel="0" collapsed="false">
      <c r="A638" s="3" t="str">
        <f aca="false">raw_data!A638</f>
        <v>ORD-2024-10637</v>
      </c>
      <c r="B638" s="4" t="n">
        <f aca="false">IFERROR(IF(MID(raw_data!B638,3,1)="/",DATE(VALUE(RIGHT(raw_data!B638,4)),VALUE(LEFT(raw_data!B638,2)),VALUE(MID(raw_data!B638,4,2))),IF(MID(raw_data!B638,3,1)="-",DATE(VALUE(RIGHT(raw_data!B638,4)),VALUE(MID(raw_data!B638,4,2)),VALUE(LEFT(raw_data!B638,2))),IF(MID(raw_data!B638,5,1)="-",DATE(VALUE(LEFT(raw_data!B638,4)),VALUE(MID(raw_data!B638,6,2)),VALUE(RIGHT(raw_data!B638,2))),DATE(VALUE(RIGHT(raw_data!B638,4)),MATCH(MID(raw_data!B638,4,3),{"Jan","Feb","Mar","Apr","May","Jun","Jul","Aug","Sep","Oct","Nov","Dec"},0),VALUE(LEFT(raw_data!B638,2)))))),"")</f>
        <v>45567</v>
      </c>
      <c r="C638" s="4" t="n">
        <f aca="false">IFERROR(IF(MID(raw_data!C638,3,1)="/",DATE(VALUE(RIGHT(raw_data!C638,4)),VALUE(LEFT(raw_data!C638,2)),VALUE(MID(raw_data!C638,4,2))),IF(MID(raw_data!C638,3,1)="-",DATE(VALUE(RIGHT(raw_data!C638,4)),VALUE(MID(raw_data!C638,4,2)),VALUE(LEFT(raw_data!C638,2))),IF(MID(raw_data!C638,5,1)="-",DATE(VALUE(LEFT(raw_data!C638,4)),VALUE(MID(raw_data!C638,6,2)),VALUE(RIGHT(raw_data!C638,2))),DATE(VALUE(RIGHT(raw_data!C638,4)),MATCH(MID(raw_data!C638,4,3),{"Jan","Feb","Mar","Apr","May","Jun","Jul","Aug","Sep","Oct","Nov","Dec"},0),VALUE(LEFT(raw_data!C638,2)))))),"")</f>
        <v>45574</v>
      </c>
      <c r="D638" s="3" t="str">
        <f aca="false">IF(TRIM(raw_data!B638)="","Missing",IF(B638="","Invalid/Unrecognized","Valid"))</f>
        <v>Valid</v>
      </c>
      <c r="E638" s="3" t="str">
        <f aca="false">IF(TRIM(raw_data!C638)="","Missing",IF(C638="","Invalid/Unrecognized","Valid"))</f>
        <v>Valid</v>
      </c>
      <c r="F638" s="5" t="n">
        <f aca="false">IF(OR(B638="",C638=""),"",C638-B638)</f>
        <v>7</v>
      </c>
      <c r="G638" s="3" t="str">
        <f aca="false">IF(F638="","N/A",IF(F638&lt;0,"Invalid - Ship Before Order","OK"))</f>
        <v>OK</v>
      </c>
      <c r="H638" s="3" t="str">
        <f aca="false">raw_data!D638</f>
        <v>CUST-7221</v>
      </c>
      <c r="I638" s="3" t="str">
        <f aca="false">PROPER(TRIM(raw_data!E638))</f>
        <v>Ananya Rao</v>
      </c>
      <c r="J638" s="3" t="str">
        <f aca="false">PROPER(TRIM(raw_data!F638))</f>
        <v>Consumer</v>
      </c>
      <c r="K638" s="3" t="str">
        <f aca="false">IF(TRIM(raw_data!G638)="","Unknown",PROPER(TRIM(raw_data!G638)))</f>
        <v>South</v>
      </c>
      <c r="L638" s="3" t="str">
        <f aca="false">IF(TRIM(raw_data!G638)="","Filled - Unknown","OK")</f>
        <v>OK</v>
      </c>
      <c r="M638" s="3" t="str">
        <f aca="false">PROPER(TRIM(raw_data!H638))</f>
        <v>Tamil Nadu</v>
      </c>
      <c r="N638" s="3" t="str">
        <f aca="false">PROPER(TRIM(raw_data!I638))</f>
        <v>Chennai</v>
      </c>
      <c r="O638" s="3" t="str">
        <f aca="false">PROPER(TRIM(raw_data!J638))</f>
        <v>Office Supplies</v>
      </c>
      <c r="P638" s="3" t="str">
        <f aca="false">PROPER(TRIM(raw_data!K638))</f>
        <v>Paper</v>
      </c>
      <c r="Q638" s="3" t="str">
        <f aca="false">TRIM(raw_data!L638)</f>
        <v>Smart Paper 872</v>
      </c>
      <c r="R638" s="3" t="str">
        <f aca="false">IF(TRIM(raw_data!M638)="","Unknown",PROPER(TRIM(raw_data!M638)))</f>
        <v>Standard Class</v>
      </c>
      <c r="S638" s="3" t="str">
        <f aca="false">IF(TRIM(raw_data!M638)="","Filled - Unknown","OK")</f>
        <v>OK</v>
      </c>
      <c r="T638" s="6" t="n">
        <f aca="false">raw_data!N638</f>
        <v>8</v>
      </c>
      <c r="U638" s="7" t="n">
        <f aca="false">raw_data!O638</f>
        <v>1910.31</v>
      </c>
      <c r="V638" s="8" t="n">
        <f aca="false">raw_data!P638</f>
        <v>0.15</v>
      </c>
      <c r="W638" s="8" t="n">
        <f aca="false">IF(raw_data!P638="",0,IF(ISTEXT(raw_data!P638),IF(RIGHT(raw_data!P638,1)="%",VALUE(LEFT(raw_data!P638,LEN(raw_data!P638)-1))/100,VALUE(raw_data!P638)),raw_data!P638))</f>
        <v>0.15</v>
      </c>
      <c r="X638" s="3" t="str">
        <f aca="false">IF(raw_data!P638="","Missing - Defaulted to 0",IF(W638&lt;0,"Negative - Invalid",IF(W638&gt;0.3,"Above Allowed Range - Invalid","Valid")))</f>
        <v>Valid</v>
      </c>
      <c r="Y638" s="7" t="n">
        <f aca="false">raw_data!Q638</f>
        <v>12990.11</v>
      </c>
      <c r="Z638" s="7" t="n">
        <f aca="false">raw_data!R638</f>
        <v>10200.8</v>
      </c>
      <c r="AA638" s="7" t="n">
        <f aca="false">raw_data!S638</f>
        <v>2789.31</v>
      </c>
      <c r="AB638" s="3" t="str">
        <f aca="false">PROPER(TRIM(raw_data!T638))</f>
        <v>Paid</v>
      </c>
      <c r="AC638" s="3" t="str">
        <f aca="false">PROPER(TRIM(raw_data!U638))</f>
        <v>Completed</v>
      </c>
      <c r="AD638" s="7" t="n">
        <f aca="false">T638*U638*(1-W638)</f>
        <v>12990.108</v>
      </c>
      <c r="AE638" s="7" t="n">
        <f aca="false">AD638-Z638</f>
        <v>2789.308</v>
      </c>
      <c r="AF638" s="8" t="n">
        <f aca="false">IF(AD638=0,0,AE638/AD638)</f>
        <v>0.214725543467383</v>
      </c>
      <c r="AG638" s="3" t="str">
        <f aca="false">IF(ABS(Y638-AD638)&gt;1,"Mismatch","OK")</f>
        <v>OK</v>
      </c>
      <c r="AH638" s="3" t="str">
        <f aca="false">IF(ABS(AA638-AE638)&gt;1,"Mismatch","OK")</f>
        <v>OK</v>
      </c>
      <c r="AI638" s="6" t="n">
        <f aca="false">IF(B638="","",MONTH(B638))</f>
        <v>10</v>
      </c>
      <c r="AJ638" s="6" t="n">
        <f aca="false">IF(B638="","",YEAR(B638))</f>
        <v>2024</v>
      </c>
      <c r="AK638" s="3" t="str">
        <f aca="false">IF(COUNTIF(raw_data!$A$2:$A$913,A638)&gt;1,"Conflicting Duplicate - Flagged for Review","Unique")</f>
        <v>Unique</v>
      </c>
      <c r="AL638" s="3" t="str">
        <f aca="false">IF(AB638="Refunded","Yes","No")</f>
        <v>No</v>
      </c>
      <c r="AM638" s="3" t="str">
        <f aca="false">IF(OR(AC638&lt;&gt;"Completed",AB638="Failed"),"Excluded","Included")</f>
        <v>Included</v>
      </c>
      <c r="AN638" s="3" t="str">
        <f aca="false">IF(OR(D638="Invalid/Unrecognized",E638="Invalid/Unrecognized",G638="Invalid - Ship Before Order",X638="Negative - Invalid",X638="Above Allowed Range - Invalid",AG638="Mismatch",AH638="Mismatch",AK638="Conflicting Duplicate - Flagged for Review"),"Invalid",IF(OR(L638="Filled - Unknown",S638="Filled - Unknown",X638="Missing - Defaulted to 0",AL638="Yes",AC638="Cancelled",AC638="Returned"),"Warning","Clean"))</f>
        <v>Clean</v>
      </c>
    </row>
    <row r="639" customFormat="false" ht="15" hidden="false" customHeight="false" outlineLevel="0" collapsed="false">
      <c r="A639" s="3" t="str">
        <f aca="false">raw_data!A639</f>
        <v>ORD-2024-10638</v>
      </c>
      <c r="B639" s="4" t="n">
        <f aca="false">IFERROR(IF(MID(raw_data!B639,3,1)="/",DATE(VALUE(RIGHT(raw_data!B639,4)),VALUE(LEFT(raw_data!B639,2)),VALUE(MID(raw_data!B639,4,2))),IF(MID(raw_data!B639,3,1)="-",DATE(VALUE(RIGHT(raw_data!B639,4)),VALUE(MID(raw_data!B639,4,2)),VALUE(LEFT(raw_data!B639,2))),IF(MID(raw_data!B639,5,1)="-",DATE(VALUE(LEFT(raw_data!B639,4)),VALUE(MID(raw_data!B639,6,2)),VALUE(RIGHT(raw_data!B639,2))),DATE(VALUE(RIGHT(raw_data!B639,4)),MATCH(MID(raw_data!B639,4,3),{"Jan","Feb","Mar","Apr","May","Jun","Jul","Aug","Sep","Oct","Nov","Dec"},0),VALUE(LEFT(raw_data!B639,2)))))),"")</f>
        <v>45438</v>
      </c>
      <c r="C639" s="4" t="n">
        <f aca="false">IFERROR(IF(MID(raw_data!C639,3,1)="/",DATE(VALUE(RIGHT(raw_data!C639,4)),VALUE(LEFT(raw_data!C639,2)),VALUE(MID(raw_data!C639,4,2))),IF(MID(raw_data!C639,3,1)="-",DATE(VALUE(RIGHT(raw_data!C639,4)),VALUE(MID(raw_data!C639,4,2)),VALUE(LEFT(raw_data!C639,2))),IF(MID(raw_data!C639,5,1)="-",DATE(VALUE(LEFT(raw_data!C639,4)),VALUE(MID(raw_data!C639,6,2)),VALUE(RIGHT(raw_data!C639,2))),DATE(VALUE(RIGHT(raw_data!C639,4)),MATCH(MID(raw_data!C639,4,3),{"Jan","Feb","Mar","Apr","May","Jun","Jul","Aug","Sep","Oct","Nov","Dec"},0),VALUE(LEFT(raw_data!C639,2)))))),"")</f>
        <v>45438</v>
      </c>
      <c r="D639" s="3" t="str">
        <f aca="false">IF(TRIM(raw_data!B639)="","Missing",IF(B639="","Invalid/Unrecognized","Valid"))</f>
        <v>Valid</v>
      </c>
      <c r="E639" s="3" t="str">
        <f aca="false">IF(TRIM(raw_data!C639)="","Missing",IF(C639="","Invalid/Unrecognized","Valid"))</f>
        <v>Valid</v>
      </c>
      <c r="F639" s="5" t="n">
        <f aca="false">IF(OR(B639="",C639=""),"",C639-B639)</f>
        <v>0</v>
      </c>
      <c r="G639" s="3" t="str">
        <f aca="false">IF(F639="","N/A",IF(F639&lt;0,"Invalid - Ship Before Order","OK"))</f>
        <v>OK</v>
      </c>
      <c r="H639" s="3" t="str">
        <f aca="false">raw_data!D639</f>
        <v>CUST-2594</v>
      </c>
      <c r="I639" s="3" t="str">
        <f aca="false">PROPER(TRIM(raw_data!E639))</f>
        <v>Rahul Verma</v>
      </c>
      <c r="J639" s="3" t="str">
        <f aca="false">PROPER(TRIM(raw_data!F639))</f>
        <v>Small Business</v>
      </c>
      <c r="K639" s="3" t="str">
        <f aca="false">IF(TRIM(raw_data!G639)="","Unknown",PROPER(TRIM(raw_data!G639)))</f>
        <v>West</v>
      </c>
      <c r="L639" s="3" t="str">
        <f aca="false">IF(TRIM(raw_data!G639)="","Filled - Unknown","OK")</f>
        <v>OK</v>
      </c>
      <c r="M639" s="3" t="str">
        <f aca="false">PROPER(TRIM(raw_data!H639))</f>
        <v>Goa</v>
      </c>
      <c r="N639" s="3" t="str">
        <f aca="false">PROPER(TRIM(raw_data!I639))</f>
        <v>Panaji</v>
      </c>
      <c r="O639" s="3" t="str">
        <f aca="false">PROPER(TRIM(raw_data!J639))</f>
        <v>Technology</v>
      </c>
      <c r="P639" s="3" t="str">
        <f aca="false">PROPER(TRIM(raw_data!K639))</f>
        <v>Copiers</v>
      </c>
      <c r="Q639" s="3" t="str">
        <f aca="false">TRIM(raw_data!L639)</f>
        <v>Max Copiers 994</v>
      </c>
      <c r="R639" s="3" t="str">
        <f aca="false">IF(TRIM(raw_data!M639)="","Unknown",PROPER(TRIM(raw_data!M639)))</f>
        <v>First Class</v>
      </c>
      <c r="S639" s="3" t="str">
        <f aca="false">IF(TRIM(raw_data!M639)="","Filled - Unknown","OK")</f>
        <v>OK</v>
      </c>
      <c r="T639" s="6" t="n">
        <f aca="false">raw_data!N639</f>
        <v>2</v>
      </c>
      <c r="U639" s="7" t="n">
        <f aca="false">raw_data!O639</f>
        <v>3192.47</v>
      </c>
      <c r="V639" s="8" t="n">
        <f aca="false">raw_data!P639</f>
        <v>0.2</v>
      </c>
      <c r="W639" s="8" t="n">
        <f aca="false">IF(raw_data!P639="",0,IF(ISTEXT(raw_data!P639),IF(RIGHT(raw_data!P639,1)="%",VALUE(LEFT(raw_data!P639,LEN(raw_data!P639)-1))/100,VALUE(raw_data!P639)),raw_data!P639))</f>
        <v>0.2</v>
      </c>
      <c r="X639" s="3" t="str">
        <f aca="false">IF(raw_data!P639="","Missing - Defaulted to 0",IF(W639&lt;0,"Negative - Invalid",IF(W639&gt;0.3,"Above Allowed Range - Invalid","Valid")))</f>
        <v>Valid</v>
      </c>
      <c r="Y639" s="7" t="n">
        <f aca="false">raw_data!Q639</f>
        <v>5107.95</v>
      </c>
      <c r="Z639" s="7" t="n">
        <f aca="false">raw_data!R639</f>
        <v>3133.08</v>
      </c>
      <c r="AA639" s="7" t="n">
        <f aca="false">raw_data!S639</f>
        <v>1974.87</v>
      </c>
      <c r="AB639" s="3" t="str">
        <f aca="false">PROPER(TRIM(raw_data!T639))</f>
        <v>Paid</v>
      </c>
      <c r="AC639" s="3" t="str">
        <f aca="false">PROPER(TRIM(raw_data!U639))</f>
        <v>Completed</v>
      </c>
      <c r="AD639" s="7" t="n">
        <f aca="false">T639*U639*(1-W639)</f>
        <v>5107.952</v>
      </c>
      <c r="AE639" s="7" t="n">
        <f aca="false">AD639-Z639</f>
        <v>1974.872</v>
      </c>
      <c r="AF639" s="8" t="n">
        <f aca="false">IF(AD639=0,0,AE639/AD639)</f>
        <v>0.386626969086632</v>
      </c>
      <c r="AG639" s="3" t="str">
        <f aca="false">IF(ABS(Y639-AD639)&gt;1,"Mismatch","OK")</f>
        <v>OK</v>
      </c>
      <c r="AH639" s="3" t="str">
        <f aca="false">IF(ABS(AA639-AE639)&gt;1,"Mismatch","OK")</f>
        <v>OK</v>
      </c>
      <c r="AI639" s="6" t="n">
        <f aca="false">IF(B639="","",MONTH(B639))</f>
        <v>5</v>
      </c>
      <c r="AJ639" s="6" t="n">
        <f aca="false">IF(B639="","",YEAR(B639))</f>
        <v>2024</v>
      </c>
      <c r="AK639" s="3" t="str">
        <f aca="false">IF(COUNTIF(raw_data!$A$2:$A$913,A639)&gt;1,"Conflicting Duplicate - Flagged for Review","Unique")</f>
        <v>Unique</v>
      </c>
      <c r="AL639" s="3" t="str">
        <f aca="false">IF(AB639="Refunded","Yes","No")</f>
        <v>No</v>
      </c>
      <c r="AM639" s="3" t="str">
        <f aca="false">IF(OR(AC639&lt;&gt;"Completed",AB639="Failed"),"Excluded","Included")</f>
        <v>Included</v>
      </c>
      <c r="AN639" s="3" t="str">
        <f aca="false">IF(OR(D639="Invalid/Unrecognized",E639="Invalid/Unrecognized",G639="Invalid - Ship Before Order",X639="Negative - Invalid",X639="Above Allowed Range - Invalid",AG639="Mismatch",AH639="Mismatch",AK639="Conflicting Duplicate - Flagged for Review"),"Invalid",IF(OR(L639="Filled - Unknown",S639="Filled - Unknown",X639="Missing - Defaulted to 0",AL639="Yes",AC639="Cancelled",AC639="Returned"),"Warning","Clean"))</f>
        <v>Clean</v>
      </c>
    </row>
    <row r="640" customFormat="false" ht="15" hidden="false" customHeight="false" outlineLevel="0" collapsed="false">
      <c r="A640" s="3" t="str">
        <f aca="false">raw_data!A640</f>
        <v>ORD-2024-10639</v>
      </c>
      <c r="B640" s="4" t="n">
        <f aca="false">IFERROR(IF(MID(raw_data!B640,3,1)="/",DATE(VALUE(RIGHT(raw_data!B640,4)),VALUE(LEFT(raw_data!B640,2)),VALUE(MID(raw_data!B640,4,2))),IF(MID(raw_data!B640,3,1)="-",DATE(VALUE(RIGHT(raw_data!B640,4)),VALUE(MID(raw_data!B640,4,2)),VALUE(LEFT(raw_data!B640,2))),IF(MID(raw_data!B640,5,1)="-",DATE(VALUE(LEFT(raw_data!B640,4)),VALUE(MID(raw_data!B640,6,2)),VALUE(RIGHT(raw_data!B640,2))),DATE(VALUE(RIGHT(raw_data!B640,4)),MATCH(MID(raw_data!B640,4,3),{"Jan","Feb","Mar","Apr","May","Jun","Jul","Aug","Sep","Oct","Nov","Dec"},0),VALUE(LEFT(raw_data!B640,2)))))),"")</f>
        <v>45317</v>
      </c>
      <c r="C640" s="4" t="n">
        <f aca="false">IFERROR(IF(MID(raw_data!C640,3,1)="/",DATE(VALUE(RIGHT(raw_data!C640,4)),VALUE(LEFT(raw_data!C640,2)),VALUE(MID(raw_data!C640,4,2))),IF(MID(raw_data!C640,3,1)="-",DATE(VALUE(RIGHT(raw_data!C640,4)),VALUE(MID(raw_data!C640,4,2)),VALUE(LEFT(raw_data!C640,2))),IF(MID(raw_data!C640,5,1)="-",DATE(VALUE(LEFT(raw_data!C640,4)),VALUE(MID(raw_data!C640,6,2)),VALUE(RIGHT(raw_data!C640,2))),DATE(VALUE(RIGHT(raw_data!C640,4)),MATCH(MID(raw_data!C640,4,3),{"Jan","Feb","Mar","Apr","May","Jun","Jul","Aug","Sep","Oct","Nov","Dec"},0),VALUE(LEFT(raw_data!C640,2)))))),"")</f>
        <v>45322</v>
      </c>
      <c r="D640" s="3" t="str">
        <f aca="false">IF(TRIM(raw_data!B640)="","Missing",IF(B640="","Invalid/Unrecognized","Valid"))</f>
        <v>Valid</v>
      </c>
      <c r="E640" s="3" t="str">
        <f aca="false">IF(TRIM(raw_data!C640)="","Missing",IF(C640="","Invalid/Unrecognized","Valid"))</f>
        <v>Valid</v>
      </c>
      <c r="F640" s="5" t="n">
        <f aca="false">IF(OR(B640="",C640=""),"",C640-B640)</f>
        <v>5</v>
      </c>
      <c r="G640" s="3" t="str">
        <f aca="false">IF(F640="","N/A",IF(F640&lt;0,"Invalid - Ship Before Order","OK"))</f>
        <v>OK</v>
      </c>
      <c r="H640" s="3" t="str">
        <f aca="false">raw_data!D640</f>
        <v>CUST-2111</v>
      </c>
      <c r="I640" s="3" t="str">
        <f aca="false">PROPER(TRIM(raw_data!E640))</f>
        <v>Karan Malhotra</v>
      </c>
      <c r="J640" s="3" t="str">
        <f aca="false">PROPER(TRIM(raw_data!F640))</f>
        <v>Corporate</v>
      </c>
      <c r="K640" s="3" t="str">
        <f aca="false">IF(TRIM(raw_data!G640)="","Unknown",PROPER(TRIM(raw_data!G640)))</f>
        <v>South</v>
      </c>
      <c r="L640" s="3" t="str">
        <f aca="false">IF(TRIM(raw_data!G640)="","Filled - Unknown","OK")</f>
        <v>OK</v>
      </c>
      <c r="M640" s="3" t="str">
        <f aca="false">PROPER(TRIM(raw_data!H640))</f>
        <v>Kerala</v>
      </c>
      <c r="N640" s="3" t="str">
        <f aca="false">PROPER(TRIM(raw_data!I640))</f>
        <v>Kochi</v>
      </c>
      <c r="O640" s="3" t="str">
        <f aca="false">PROPER(TRIM(raw_data!J640))</f>
        <v>Office Supplies</v>
      </c>
      <c r="P640" s="3" t="str">
        <f aca="false">PROPER(TRIM(raw_data!K640))</f>
        <v>Storage</v>
      </c>
      <c r="Q640" s="3" t="str">
        <f aca="false">TRIM(raw_data!L640)</f>
        <v>Pro Storage 744</v>
      </c>
      <c r="R640" s="3" t="str">
        <f aca="false">IF(TRIM(raw_data!M640)="","Unknown",PROPER(TRIM(raw_data!M640)))</f>
        <v>Second Class</v>
      </c>
      <c r="S640" s="3" t="str">
        <f aca="false">IF(TRIM(raw_data!M640)="","Filled - Unknown","OK")</f>
        <v>OK</v>
      </c>
      <c r="T640" s="6" t="n">
        <f aca="false">raw_data!N640</f>
        <v>3</v>
      </c>
      <c r="U640" s="7" t="n">
        <f aca="false">raw_data!O640</f>
        <v>3224.32</v>
      </c>
      <c r="V640" s="8" t="n">
        <f aca="false">raw_data!P640</f>
        <v>0.2</v>
      </c>
      <c r="W640" s="8" t="n">
        <f aca="false">IF(raw_data!P640="",0,IF(ISTEXT(raw_data!P640),IF(RIGHT(raw_data!P640,1)="%",VALUE(LEFT(raw_data!P640,LEN(raw_data!P640)-1))/100,VALUE(raw_data!P640)),raw_data!P640))</f>
        <v>0.2</v>
      </c>
      <c r="X640" s="3" t="str">
        <f aca="false">IF(raw_data!P640="","Missing - Defaulted to 0",IF(W640&lt;0,"Negative - Invalid",IF(W640&gt;0.3,"Above Allowed Range - Invalid","Valid")))</f>
        <v>Valid</v>
      </c>
      <c r="Y640" s="7" t="n">
        <f aca="false">raw_data!Q640</f>
        <v>7738.37</v>
      </c>
      <c r="Z640" s="7" t="n">
        <f aca="false">raw_data!R640</f>
        <v>4626.85</v>
      </c>
      <c r="AA640" s="7" t="n">
        <f aca="false">raw_data!S640</f>
        <v>3111.52</v>
      </c>
      <c r="AB640" s="3" t="str">
        <f aca="false">PROPER(TRIM(raw_data!T640))</f>
        <v>Failed</v>
      </c>
      <c r="AC640" s="3" t="str">
        <f aca="false">PROPER(TRIM(raw_data!U640))</f>
        <v>Returned</v>
      </c>
      <c r="AD640" s="7" t="n">
        <f aca="false">T640*U640*(1-W640)</f>
        <v>7738.368</v>
      </c>
      <c r="AE640" s="7" t="n">
        <f aca="false">AD640-Z640</f>
        <v>3111.518</v>
      </c>
      <c r="AF640" s="8" t="n">
        <f aca="false">IF(AD640=0,0,AE640/AD640)</f>
        <v>0.402089691263067</v>
      </c>
      <c r="AG640" s="3" t="str">
        <f aca="false">IF(ABS(Y640-AD640)&gt;1,"Mismatch","OK")</f>
        <v>OK</v>
      </c>
      <c r="AH640" s="3" t="str">
        <f aca="false">IF(ABS(AA640-AE640)&gt;1,"Mismatch","OK")</f>
        <v>OK</v>
      </c>
      <c r="AI640" s="6" t="n">
        <f aca="false">IF(B640="","",MONTH(B640))</f>
        <v>1</v>
      </c>
      <c r="AJ640" s="6" t="n">
        <f aca="false">IF(B640="","",YEAR(B640))</f>
        <v>2024</v>
      </c>
      <c r="AK640" s="3" t="str">
        <f aca="false">IF(COUNTIF(raw_data!$A$2:$A$913,A640)&gt;1,"Conflicting Duplicate - Flagged for Review","Unique")</f>
        <v>Unique</v>
      </c>
      <c r="AL640" s="3" t="str">
        <f aca="false">IF(AB640="Refunded","Yes","No")</f>
        <v>No</v>
      </c>
      <c r="AM640" s="3" t="str">
        <f aca="false">IF(OR(AC640&lt;&gt;"Completed",AB640="Failed"),"Excluded","Included")</f>
        <v>Excluded</v>
      </c>
      <c r="AN640" s="3" t="str">
        <f aca="false">IF(OR(D640="Invalid/Unrecognized",E640="Invalid/Unrecognized",G640="Invalid - Ship Before Order",X640="Negative - Invalid",X640="Above Allowed Range - Invalid",AG640="Mismatch",AH640="Mismatch",AK640="Conflicting Duplicate - Flagged for Review"),"Invalid",IF(OR(L640="Filled - Unknown",S640="Filled - Unknown",X640="Missing - Defaulted to 0",AL640="Yes",AC640="Cancelled",AC640="Returned"),"Warning","Clean"))</f>
        <v>Warning</v>
      </c>
    </row>
    <row r="641" customFormat="false" ht="15" hidden="false" customHeight="false" outlineLevel="0" collapsed="false">
      <c r="A641" s="3" t="str">
        <f aca="false">raw_data!A641</f>
        <v>ORD-2024-10640</v>
      </c>
      <c r="B641" s="4" t="n">
        <f aca="false">IFERROR(IF(MID(raw_data!B641,3,1)="/",DATE(VALUE(RIGHT(raw_data!B641,4)),VALUE(LEFT(raw_data!B641,2)),VALUE(MID(raw_data!B641,4,2))),IF(MID(raw_data!B641,3,1)="-",DATE(VALUE(RIGHT(raw_data!B641,4)),VALUE(MID(raw_data!B641,4,2)),VALUE(LEFT(raw_data!B641,2))),IF(MID(raw_data!B641,5,1)="-",DATE(VALUE(LEFT(raw_data!B641,4)),VALUE(MID(raw_data!B641,6,2)),VALUE(RIGHT(raw_data!B641,2))),DATE(VALUE(RIGHT(raw_data!B641,4)),MATCH(MID(raw_data!B641,4,3),{"Jan","Feb","Mar","Apr","May","Jun","Jul","Aug","Sep","Oct","Nov","Dec"},0),VALUE(LEFT(raw_data!B641,2)))))),"")</f>
        <v>45653</v>
      </c>
      <c r="C641" s="4" t="n">
        <f aca="false">IFERROR(IF(MID(raw_data!C641,3,1)="/",DATE(VALUE(RIGHT(raw_data!C641,4)),VALUE(LEFT(raw_data!C641,2)),VALUE(MID(raw_data!C641,4,2))),IF(MID(raw_data!C641,3,1)="-",DATE(VALUE(RIGHT(raw_data!C641,4)),VALUE(MID(raw_data!C641,4,2)),VALUE(LEFT(raw_data!C641,2))),IF(MID(raw_data!C641,5,1)="-",DATE(VALUE(LEFT(raw_data!C641,4)),VALUE(MID(raw_data!C641,6,2)),VALUE(RIGHT(raw_data!C641,2))),DATE(VALUE(RIGHT(raw_data!C641,4)),MATCH(MID(raw_data!C641,4,3),{"Jan","Feb","Mar","Apr","May","Jun","Jul","Aug","Sep","Oct","Nov","Dec"},0),VALUE(LEFT(raw_data!C641,2)))))),"")</f>
        <v>45657</v>
      </c>
      <c r="D641" s="3" t="str">
        <f aca="false">IF(TRIM(raw_data!B641)="","Missing",IF(B641="","Invalid/Unrecognized","Valid"))</f>
        <v>Valid</v>
      </c>
      <c r="E641" s="3" t="str">
        <f aca="false">IF(TRIM(raw_data!C641)="","Missing",IF(C641="","Invalid/Unrecognized","Valid"))</f>
        <v>Valid</v>
      </c>
      <c r="F641" s="5" t="n">
        <f aca="false">IF(OR(B641="",C641=""),"",C641-B641)</f>
        <v>4</v>
      </c>
      <c r="G641" s="3" t="str">
        <f aca="false">IF(F641="","N/A",IF(F641&lt;0,"Invalid - Ship Before Order","OK"))</f>
        <v>OK</v>
      </c>
      <c r="H641" s="3" t="str">
        <f aca="false">raw_data!D641</f>
        <v>CUST-6829</v>
      </c>
      <c r="I641" s="3" t="str">
        <f aca="false">PROPER(TRIM(raw_data!E641))</f>
        <v>Isha Nair</v>
      </c>
      <c r="J641" s="3" t="str">
        <f aca="false">PROPER(TRIM(raw_data!F641))</f>
        <v>Small Business</v>
      </c>
      <c r="K641" s="3" t="str">
        <f aca="false">IF(TRIM(raw_data!G641)="","Unknown",PROPER(TRIM(raw_data!G641)))</f>
        <v>East</v>
      </c>
      <c r="L641" s="3" t="str">
        <f aca="false">IF(TRIM(raw_data!G641)="","Filled - Unknown","OK")</f>
        <v>OK</v>
      </c>
      <c r="M641" s="3" t="str">
        <f aca="false">PROPER(TRIM(raw_data!H641))</f>
        <v>Odisha</v>
      </c>
      <c r="N641" s="3" t="str">
        <f aca="false">PROPER(TRIM(raw_data!I641))</f>
        <v>Bhubaneswar</v>
      </c>
      <c r="O641" s="3" t="str">
        <f aca="false">PROPER(TRIM(raw_data!J641))</f>
        <v>Furniture</v>
      </c>
      <c r="P641" s="3" t="str">
        <f aca="false">PROPER(TRIM(raw_data!K641))</f>
        <v>Chairs</v>
      </c>
      <c r="Q641" s="3" t="str">
        <f aca="false">TRIM(raw_data!L641)</f>
        <v>Elite Chairs 744</v>
      </c>
      <c r="R641" s="3" t="str">
        <f aca="false">IF(TRIM(raw_data!M641)="","Unknown",PROPER(TRIM(raw_data!M641)))</f>
        <v>Second Class</v>
      </c>
      <c r="S641" s="3" t="str">
        <f aca="false">IF(TRIM(raw_data!M641)="","Filled - Unknown","OK")</f>
        <v>OK</v>
      </c>
      <c r="T641" s="6" t="n">
        <f aca="false">raw_data!N641</f>
        <v>1</v>
      </c>
      <c r="U641" s="7" t="n">
        <f aca="false">raw_data!O641</f>
        <v>1594.7</v>
      </c>
      <c r="V641" s="8" t="n">
        <f aca="false">raw_data!P641</f>
        <v>0.05</v>
      </c>
      <c r="W641" s="8" t="n">
        <f aca="false">IF(raw_data!P641="",0,IF(ISTEXT(raw_data!P641),IF(RIGHT(raw_data!P641,1)="%",VALUE(LEFT(raw_data!P641,LEN(raw_data!P641)-1))/100,VALUE(raw_data!P641)),raw_data!P641))</f>
        <v>0.05</v>
      </c>
      <c r="X641" s="3" t="str">
        <f aca="false">IF(raw_data!P641="","Missing - Defaulted to 0",IF(W641&lt;0,"Negative - Invalid",IF(W641&gt;0.3,"Above Allowed Range - Invalid","Valid")))</f>
        <v>Valid</v>
      </c>
      <c r="Y641" s="7" t="n">
        <f aca="false">raw_data!Q641</f>
        <v>1514.96</v>
      </c>
      <c r="Z641" s="7" t="n">
        <f aca="false">raw_data!R641</f>
        <v>1046.17</v>
      </c>
      <c r="AA641" s="7" t="n">
        <f aca="false">raw_data!S641</f>
        <v>468.79</v>
      </c>
      <c r="AB641" s="3" t="str">
        <f aca="false">PROPER(TRIM(raw_data!T641))</f>
        <v>Paid</v>
      </c>
      <c r="AC641" s="3" t="str">
        <f aca="false">PROPER(TRIM(raw_data!U641))</f>
        <v>Completed</v>
      </c>
      <c r="AD641" s="7" t="n">
        <f aca="false">T641*U641*(1-W641)</f>
        <v>1514.965</v>
      </c>
      <c r="AE641" s="7" t="n">
        <f aca="false">AD641-Z641</f>
        <v>468.795</v>
      </c>
      <c r="AF641" s="8" t="n">
        <f aca="false">IF(AD641=0,0,AE641/AD641)</f>
        <v>0.309442792407745</v>
      </c>
      <c r="AG641" s="3" t="str">
        <f aca="false">IF(ABS(Y641-AD641)&gt;1,"Mismatch","OK")</f>
        <v>OK</v>
      </c>
      <c r="AH641" s="3" t="str">
        <f aca="false">IF(ABS(AA641-AE641)&gt;1,"Mismatch","OK")</f>
        <v>OK</v>
      </c>
      <c r="AI641" s="6" t="n">
        <f aca="false">IF(B641="","",MONTH(B641))</f>
        <v>12</v>
      </c>
      <c r="AJ641" s="6" t="n">
        <f aca="false">IF(B641="","",YEAR(B641))</f>
        <v>2024</v>
      </c>
      <c r="AK641" s="3" t="str">
        <f aca="false">IF(COUNTIF(raw_data!$A$2:$A$913,A641)&gt;1,"Conflicting Duplicate - Flagged for Review","Unique")</f>
        <v>Unique</v>
      </c>
      <c r="AL641" s="3" t="str">
        <f aca="false">IF(AB641="Refunded","Yes","No")</f>
        <v>No</v>
      </c>
      <c r="AM641" s="3" t="str">
        <f aca="false">IF(OR(AC641&lt;&gt;"Completed",AB641="Failed"),"Excluded","Included")</f>
        <v>Included</v>
      </c>
      <c r="AN641" s="3" t="str">
        <f aca="false">IF(OR(D641="Invalid/Unrecognized",E641="Invalid/Unrecognized",G641="Invalid - Ship Before Order",X641="Negative - Invalid",X641="Above Allowed Range - Invalid",AG641="Mismatch",AH641="Mismatch",AK641="Conflicting Duplicate - Flagged for Review"),"Invalid",IF(OR(L641="Filled - Unknown",S641="Filled - Unknown",X641="Missing - Defaulted to 0",AL641="Yes",AC641="Cancelled",AC641="Returned"),"Warning","Clean"))</f>
        <v>Clean</v>
      </c>
    </row>
    <row r="642" customFormat="false" ht="15" hidden="false" customHeight="false" outlineLevel="0" collapsed="false">
      <c r="A642" s="3" t="str">
        <f aca="false">raw_data!A642</f>
        <v>ORD-2025-10641</v>
      </c>
      <c r="B642" s="4" t="n">
        <f aca="false">IFERROR(IF(MID(raw_data!B642,3,1)="/",DATE(VALUE(RIGHT(raw_data!B642,4)),VALUE(LEFT(raw_data!B642,2)),VALUE(MID(raw_data!B642,4,2))),IF(MID(raw_data!B642,3,1)="-",DATE(VALUE(RIGHT(raw_data!B642,4)),VALUE(MID(raw_data!B642,4,2)),VALUE(LEFT(raw_data!B642,2))),IF(MID(raw_data!B642,5,1)="-",DATE(VALUE(LEFT(raw_data!B642,4)),VALUE(MID(raw_data!B642,6,2)),VALUE(RIGHT(raw_data!B642,2))),DATE(VALUE(RIGHT(raw_data!B642,4)),MATCH(MID(raw_data!B642,4,3),{"Jan","Feb","Mar","Apr","May","Jun","Jul","Aug","Sep","Oct","Nov","Dec"},0),VALUE(LEFT(raw_data!B642,2)))))),"")</f>
        <v>45671</v>
      </c>
      <c r="C642" s="4" t="n">
        <f aca="false">IFERROR(IF(MID(raw_data!C642,3,1)="/",DATE(VALUE(RIGHT(raw_data!C642,4)),VALUE(LEFT(raw_data!C642,2)),VALUE(MID(raw_data!C642,4,2))),IF(MID(raw_data!C642,3,1)="-",DATE(VALUE(RIGHT(raw_data!C642,4)),VALUE(MID(raw_data!C642,4,2)),VALUE(LEFT(raw_data!C642,2))),IF(MID(raw_data!C642,5,1)="-",DATE(VALUE(LEFT(raw_data!C642,4)),VALUE(MID(raw_data!C642,6,2)),VALUE(RIGHT(raw_data!C642,2))),DATE(VALUE(RIGHT(raw_data!C642,4)),MATCH(MID(raw_data!C642,4,3),{"Jan","Feb","Mar","Apr","May","Jun","Jul","Aug","Sep","Oct","Nov","Dec"},0),VALUE(LEFT(raw_data!C642,2)))))),"")</f>
        <v>45674</v>
      </c>
      <c r="D642" s="3" t="str">
        <f aca="false">IF(TRIM(raw_data!B642)="","Missing",IF(B642="","Invalid/Unrecognized","Valid"))</f>
        <v>Valid</v>
      </c>
      <c r="E642" s="3" t="str">
        <f aca="false">IF(TRIM(raw_data!C642)="","Missing",IF(C642="","Invalid/Unrecognized","Valid"))</f>
        <v>Valid</v>
      </c>
      <c r="F642" s="5" t="n">
        <f aca="false">IF(OR(B642="",C642=""),"",C642-B642)</f>
        <v>3</v>
      </c>
      <c r="G642" s="3" t="str">
        <f aca="false">IF(F642="","N/A",IF(F642&lt;0,"Invalid - Ship Before Order","OK"))</f>
        <v>OK</v>
      </c>
      <c r="H642" s="3" t="str">
        <f aca="false">raw_data!D642</f>
        <v>CUST-5061</v>
      </c>
      <c r="I642" s="3" t="str">
        <f aca="false">PROPER(TRIM(raw_data!E642))</f>
        <v>Vikram Iyer</v>
      </c>
      <c r="J642" s="3" t="str">
        <f aca="false">PROPER(TRIM(raw_data!F642))</f>
        <v>Consumer</v>
      </c>
      <c r="K642" s="3" t="str">
        <f aca="false">IF(TRIM(raw_data!G642)="","Unknown",PROPER(TRIM(raw_data!G642)))</f>
        <v>West</v>
      </c>
      <c r="L642" s="3" t="str">
        <f aca="false">IF(TRIM(raw_data!G642)="","Filled - Unknown","OK")</f>
        <v>OK</v>
      </c>
      <c r="M642" s="3" t="str">
        <f aca="false">PROPER(TRIM(raw_data!H642))</f>
        <v>Goa</v>
      </c>
      <c r="N642" s="3" t="str">
        <f aca="false">PROPER(TRIM(raw_data!I642))</f>
        <v>Panaji</v>
      </c>
      <c r="O642" s="3" t="str">
        <f aca="false">PROPER(TRIM(raw_data!J642))</f>
        <v>Office Supplies</v>
      </c>
      <c r="P642" s="3" t="str">
        <f aca="false">PROPER(TRIM(raw_data!K642))</f>
        <v>Storage</v>
      </c>
      <c r="Q642" s="3" t="str">
        <f aca="false">TRIM(raw_data!L642)</f>
        <v>Basic Storage 973</v>
      </c>
      <c r="R642" s="3" t="str">
        <f aca="false">IF(TRIM(raw_data!M642)="","Unknown",PROPER(TRIM(raw_data!M642)))</f>
        <v>First Class</v>
      </c>
      <c r="S642" s="3" t="str">
        <f aca="false">IF(TRIM(raw_data!M642)="","Filled - Unknown","OK")</f>
        <v>OK</v>
      </c>
      <c r="T642" s="6" t="n">
        <f aca="false">raw_data!N642</f>
        <v>1</v>
      </c>
      <c r="U642" s="7" t="n">
        <f aca="false">raw_data!O642</f>
        <v>1584.12</v>
      </c>
      <c r="V642" s="8" t="n">
        <f aca="false">raw_data!P642</f>
        <v>0.2</v>
      </c>
      <c r="W642" s="8" t="n">
        <f aca="false">IF(raw_data!P642="",0,IF(ISTEXT(raw_data!P642),IF(RIGHT(raw_data!P642,1)="%",VALUE(LEFT(raw_data!P642,LEN(raw_data!P642)-1))/100,VALUE(raw_data!P642)),raw_data!P642))</f>
        <v>0.2</v>
      </c>
      <c r="X642" s="3" t="str">
        <f aca="false">IF(raw_data!P642="","Missing - Defaulted to 0",IF(W642&lt;0,"Negative - Invalid",IF(W642&gt;0.3,"Above Allowed Range - Invalid","Valid")))</f>
        <v>Valid</v>
      </c>
      <c r="Y642" s="7" t="n">
        <f aca="false">raw_data!Q642</f>
        <v>1267.3</v>
      </c>
      <c r="Z642" s="7" t="n">
        <f aca="false">raw_data!R642</f>
        <v>923.53</v>
      </c>
      <c r="AA642" s="7" t="n">
        <f aca="false">raw_data!S642</f>
        <v>343.77</v>
      </c>
      <c r="AB642" s="3" t="str">
        <f aca="false">PROPER(TRIM(raw_data!T642))</f>
        <v>Paid</v>
      </c>
      <c r="AC642" s="3" t="str">
        <f aca="false">PROPER(TRIM(raw_data!U642))</f>
        <v>Completed</v>
      </c>
      <c r="AD642" s="7" t="n">
        <f aca="false">T642*U642*(1-W642)</f>
        <v>1267.296</v>
      </c>
      <c r="AE642" s="7" t="n">
        <f aca="false">AD642-Z642</f>
        <v>343.766</v>
      </c>
      <c r="AF642" s="8" t="n">
        <f aca="false">IF(AD642=0,0,AE642/AD642)</f>
        <v>0.271259437416357</v>
      </c>
      <c r="AG642" s="3" t="str">
        <f aca="false">IF(ABS(Y642-AD642)&gt;1,"Mismatch","OK")</f>
        <v>OK</v>
      </c>
      <c r="AH642" s="3" t="str">
        <f aca="false">IF(ABS(AA642-AE642)&gt;1,"Mismatch","OK")</f>
        <v>OK</v>
      </c>
      <c r="AI642" s="6" t="n">
        <f aca="false">IF(B642="","",MONTH(B642))</f>
        <v>1</v>
      </c>
      <c r="AJ642" s="6" t="n">
        <f aca="false">IF(B642="","",YEAR(B642))</f>
        <v>2025</v>
      </c>
      <c r="AK642" s="3" t="str">
        <f aca="false">IF(COUNTIF(raw_data!$A$2:$A$913,A642)&gt;1,"Conflicting Duplicate - Flagged for Review","Unique")</f>
        <v>Unique</v>
      </c>
      <c r="AL642" s="3" t="str">
        <f aca="false">IF(AB642="Refunded","Yes","No")</f>
        <v>No</v>
      </c>
      <c r="AM642" s="3" t="str">
        <f aca="false">IF(OR(AC642&lt;&gt;"Completed",AB642="Failed"),"Excluded","Included")</f>
        <v>Included</v>
      </c>
      <c r="AN642" s="3" t="str">
        <f aca="false">IF(OR(D642="Invalid/Unrecognized",E642="Invalid/Unrecognized",G642="Invalid - Ship Before Order",X642="Negative - Invalid",X642="Above Allowed Range - Invalid",AG642="Mismatch",AH642="Mismatch",AK642="Conflicting Duplicate - Flagged for Review"),"Invalid",IF(OR(L642="Filled - Unknown",S642="Filled - Unknown",X642="Missing - Defaulted to 0",AL642="Yes",AC642="Cancelled",AC642="Returned"),"Warning","Clean"))</f>
        <v>Clean</v>
      </c>
    </row>
    <row r="643" customFormat="false" ht="15" hidden="false" customHeight="false" outlineLevel="0" collapsed="false">
      <c r="A643" s="3" t="str">
        <f aca="false">raw_data!A643</f>
        <v>ORD-2025-10642</v>
      </c>
      <c r="B643" s="4" t="n">
        <f aca="false">IFERROR(IF(MID(raw_data!B643,3,1)="/",DATE(VALUE(RIGHT(raw_data!B643,4)),VALUE(LEFT(raw_data!B643,2)),VALUE(MID(raw_data!B643,4,2))),IF(MID(raw_data!B643,3,1)="-",DATE(VALUE(RIGHT(raw_data!B643,4)),VALUE(MID(raw_data!B643,4,2)),VALUE(LEFT(raw_data!B643,2))),IF(MID(raw_data!B643,5,1)="-",DATE(VALUE(LEFT(raw_data!B643,4)),VALUE(MID(raw_data!B643,6,2)),VALUE(RIGHT(raw_data!B643,2))),DATE(VALUE(RIGHT(raw_data!B643,4)),MATCH(MID(raw_data!B643,4,3),{"Jan","Feb","Mar","Apr","May","Jun","Jul","Aug","Sep","Oct","Nov","Dec"},0),VALUE(LEFT(raw_data!B643,2)))))),"")</f>
        <v>45756</v>
      </c>
      <c r="C643" s="4" t="n">
        <f aca="false">IFERROR(IF(MID(raw_data!C643,3,1)="/",DATE(VALUE(RIGHT(raw_data!C643,4)),VALUE(LEFT(raw_data!C643,2)),VALUE(MID(raw_data!C643,4,2))),IF(MID(raw_data!C643,3,1)="-",DATE(VALUE(RIGHT(raw_data!C643,4)),VALUE(MID(raw_data!C643,4,2)),VALUE(LEFT(raw_data!C643,2))),IF(MID(raw_data!C643,5,1)="-",DATE(VALUE(LEFT(raw_data!C643,4)),VALUE(MID(raw_data!C643,6,2)),VALUE(RIGHT(raw_data!C643,2))),DATE(VALUE(RIGHT(raw_data!C643,4)),MATCH(MID(raw_data!C643,4,3),{"Jan","Feb","Mar","Apr","May","Jun","Jul","Aug","Sep","Oct","Nov","Dec"},0),VALUE(LEFT(raw_data!C643,2)))))),"")</f>
        <v>45761</v>
      </c>
      <c r="D643" s="3" t="str">
        <f aca="false">IF(TRIM(raw_data!B643)="","Missing",IF(B643="","Invalid/Unrecognized","Valid"))</f>
        <v>Valid</v>
      </c>
      <c r="E643" s="3" t="str">
        <f aca="false">IF(TRIM(raw_data!C643)="","Missing",IF(C643="","Invalid/Unrecognized","Valid"))</f>
        <v>Valid</v>
      </c>
      <c r="F643" s="5" t="n">
        <f aca="false">IF(OR(B643="",C643=""),"",C643-B643)</f>
        <v>5</v>
      </c>
      <c r="G643" s="3" t="str">
        <f aca="false">IF(F643="","N/A",IF(F643&lt;0,"Invalid - Ship Before Order","OK"))</f>
        <v>OK</v>
      </c>
      <c r="H643" s="3" t="str">
        <f aca="false">raw_data!D643</f>
        <v>CUST-7915</v>
      </c>
      <c r="I643" s="3" t="str">
        <f aca="false">PROPER(TRIM(raw_data!E643))</f>
        <v>Karan Malhotra</v>
      </c>
      <c r="J643" s="3" t="str">
        <f aca="false">PROPER(TRIM(raw_data!F643))</f>
        <v>Consumer</v>
      </c>
      <c r="K643" s="3" t="str">
        <f aca="false">IF(TRIM(raw_data!G643)="","Unknown",PROPER(TRIM(raw_data!G643)))</f>
        <v>North</v>
      </c>
      <c r="L643" s="3" t="str">
        <f aca="false">IF(TRIM(raw_data!G643)="","Filled - Unknown","OK")</f>
        <v>OK</v>
      </c>
      <c r="M643" s="3" t="str">
        <f aca="false">PROPER(TRIM(raw_data!H643))</f>
        <v>Delhi</v>
      </c>
      <c r="N643" s="3" t="str">
        <f aca="false">PROPER(TRIM(raw_data!I643))</f>
        <v>New Delhi</v>
      </c>
      <c r="O643" s="3" t="str">
        <f aca="false">PROPER(TRIM(raw_data!J643))</f>
        <v>Furniture</v>
      </c>
      <c r="P643" s="3" t="str">
        <f aca="false">PROPER(TRIM(raw_data!K643))</f>
        <v>Furnishings</v>
      </c>
      <c r="Q643" s="3" t="str">
        <f aca="false">TRIM(raw_data!L643)</f>
        <v>Smart Furnishings 783</v>
      </c>
      <c r="R643" s="3" t="str">
        <f aca="false">IF(TRIM(raw_data!M643)="","Unknown",PROPER(TRIM(raw_data!M643)))</f>
        <v>Same Day</v>
      </c>
      <c r="S643" s="3" t="str">
        <f aca="false">IF(TRIM(raw_data!M643)="","Filled - Unknown","OK")</f>
        <v>OK</v>
      </c>
      <c r="T643" s="6" t="n">
        <f aca="false">raw_data!N643</f>
        <v>2</v>
      </c>
      <c r="U643" s="7" t="n">
        <f aca="false">raw_data!O643</f>
        <v>3202.87</v>
      </c>
      <c r="V643" s="8" t="n">
        <f aca="false">raw_data!P643</f>
        <v>0</v>
      </c>
      <c r="W643" s="8" t="n">
        <f aca="false">IF(raw_data!P643="",0,IF(ISTEXT(raw_data!P643),IF(RIGHT(raw_data!P643,1)="%",VALUE(LEFT(raw_data!P643,LEN(raw_data!P643)-1))/100,VALUE(raw_data!P643)),raw_data!P643))</f>
        <v>0</v>
      </c>
      <c r="X643" s="3" t="str">
        <f aca="false">IF(raw_data!P643="","Missing - Defaulted to 0",IF(W643&lt;0,"Negative - Invalid",IF(W643&gt;0.3,"Above Allowed Range - Invalid","Valid")))</f>
        <v>Valid</v>
      </c>
      <c r="Y643" s="7" t="n">
        <f aca="false">raw_data!Q643</f>
        <v>6405.74</v>
      </c>
      <c r="Z643" s="7" t="n">
        <f aca="false">raw_data!R643</f>
        <v>3561.87</v>
      </c>
      <c r="AA643" s="7" t="n">
        <f aca="false">raw_data!S643</f>
        <v>2843.87</v>
      </c>
      <c r="AB643" s="3" t="str">
        <f aca="false">PROPER(TRIM(raw_data!T643))</f>
        <v>Paid</v>
      </c>
      <c r="AC643" s="3" t="str">
        <f aca="false">PROPER(TRIM(raw_data!U643))</f>
        <v>Completed</v>
      </c>
      <c r="AD643" s="7" t="n">
        <f aca="false">T643*U643*(1-W643)</f>
        <v>6405.74</v>
      </c>
      <c r="AE643" s="7" t="n">
        <f aca="false">AD643-Z643</f>
        <v>2843.87</v>
      </c>
      <c r="AF643" s="8" t="n">
        <f aca="false">IF(AD643=0,0,AE643/AD643)</f>
        <v>0.443956514001505</v>
      </c>
      <c r="AG643" s="3" t="str">
        <f aca="false">IF(ABS(Y643-AD643)&gt;1,"Mismatch","OK")</f>
        <v>OK</v>
      </c>
      <c r="AH643" s="3" t="str">
        <f aca="false">IF(ABS(AA643-AE643)&gt;1,"Mismatch","OK")</f>
        <v>OK</v>
      </c>
      <c r="AI643" s="6" t="n">
        <f aca="false">IF(B643="","",MONTH(B643))</f>
        <v>4</v>
      </c>
      <c r="AJ643" s="6" t="n">
        <f aca="false">IF(B643="","",YEAR(B643))</f>
        <v>2025</v>
      </c>
      <c r="AK643" s="3" t="str">
        <f aca="false">IF(COUNTIF(raw_data!$A$2:$A$913,A643)&gt;1,"Conflicting Duplicate - Flagged for Review","Unique")</f>
        <v>Unique</v>
      </c>
      <c r="AL643" s="3" t="str">
        <f aca="false">IF(AB643="Refunded","Yes","No")</f>
        <v>No</v>
      </c>
      <c r="AM643" s="3" t="str">
        <f aca="false">IF(OR(AC643&lt;&gt;"Completed",AB643="Failed"),"Excluded","Included")</f>
        <v>Included</v>
      </c>
      <c r="AN643" s="3" t="str">
        <f aca="false">IF(OR(D643="Invalid/Unrecognized",E643="Invalid/Unrecognized",G643="Invalid - Ship Before Order",X643="Negative - Invalid",X643="Above Allowed Range - Invalid",AG643="Mismatch",AH643="Mismatch",AK643="Conflicting Duplicate - Flagged for Review"),"Invalid",IF(OR(L643="Filled - Unknown",S643="Filled - Unknown",X643="Missing - Defaulted to 0",AL643="Yes",AC643="Cancelled",AC643="Returned"),"Warning","Clean"))</f>
        <v>Clean</v>
      </c>
    </row>
    <row r="644" customFormat="false" ht="15" hidden="false" customHeight="false" outlineLevel="0" collapsed="false">
      <c r="A644" s="3" t="str">
        <f aca="false">raw_data!A644</f>
        <v>ORD-2024-10643</v>
      </c>
      <c r="B644" s="4" t="n">
        <f aca="false">IFERROR(IF(MID(raw_data!B644,3,1)="/",DATE(VALUE(RIGHT(raw_data!B644,4)),VALUE(LEFT(raw_data!B644,2)),VALUE(MID(raw_data!B644,4,2))),IF(MID(raw_data!B644,3,1)="-",DATE(VALUE(RIGHT(raw_data!B644,4)),VALUE(MID(raw_data!B644,4,2)),VALUE(LEFT(raw_data!B644,2))),IF(MID(raw_data!B644,5,1)="-",DATE(VALUE(LEFT(raw_data!B644,4)),VALUE(MID(raw_data!B644,6,2)),VALUE(RIGHT(raw_data!B644,2))),DATE(VALUE(RIGHT(raw_data!B644,4)),MATCH(MID(raw_data!B644,4,3),{"Jan","Feb","Mar","Apr","May","Jun","Jul","Aug","Sep","Oct","Nov","Dec"},0),VALUE(LEFT(raw_data!B644,2)))))),"")</f>
        <v>45533</v>
      </c>
      <c r="C644" s="4" t="n">
        <f aca="false">IFERROR(IF(MID(raw_data!C644,3,1)="/",DATE(VALUE(RIGHT(raw_data!C644,4)),VALUE(LEFT(raw_data!C644,2)),VALUE(MID(raw_data!C644,4,2))),IF(MID(raw_data!C644,3,1)="-",DATE(VALUE(RIGHT(raw_data!C644,4)),VALUE(MID(raw_data!C644,4,2)),VALUE(LEFT(raw_data!C644,2))),IF(MID(raw_data!C644,5,1)="-",DATE(VALUE(LEFT(raw_data!C644,4)),VALUE(MID(raw_data!C644,6,2)),VALUE(RIGHT(raw_data!C644,2))),DATE(VALUE(RIGHT(raw_data!C644,4)),MATCH(MID(raw_data!C644,4,3),{"Jan","Feb","Mar","Apr","May","Jun","Jul","Aug","Sep","Oct","Nov","Dec"},0),VALUE(LEFT(raw_data!C644,2)))))),"")</f>
        <v>45535</v>
      </c>
      <c r="D644" s="3" t="str">
        <f aca="false">IF(TRIM(raw_data!B644)="","Missing",IF(B644="","Invalid/Unrecognized","Valid"))</f>
        <v>Valid</v>
      </c>
      <c r="E644" s="3" t="str">
        <f aca="false">IF(TRIM(raw_data!C644)="","Missing",IF(C644="","Invalid/Unrecognized","Valid"))</f>
        <v>Valid</v>
      </c>
      <c r="F644" s="5" t="n">
        <f aca="false">IF(OR(B644="",C644=""),"",C644-B644)</f>
        <v>2</v>
      </c>
      <c r="G644" s="3" t="str">
        <f aca="false">IF(F644="","N/A",IF(F644&lt;0,"Invalid - Ship Before Order","OK"))</f>
        <v>OK</v>
      </c>
      <c r="H644" s="3" t="str">
        <f aca="false">raw_data!D644</f>
        <v>CUST-1940</v>
      </c>
      <c r="I644" s="3" t="str">
        <f aca="false">PROPER(TRIM(raw_data!E644))</f>
        <v>Isha Nair</v>
      </c>
      <c r="J644" s="3" t="str">
        <f aca="false">PROPER(TRIM(raw_data!F644))</f>
        <v>Home Office</v>
      </c>
      <c r="K644" s="3" t="str">
        <f aca="false">IF(TRIM(raw_data!G644)="","Unknown",PROPER(TRIM(raw_data!G644)))</f>
        <v>East</v>
      </c>
      <c r="L644" s="3" t="str">
        <f aca="false">IF(TRIM(raw_data!G644)="","Filled - Unknown","OK")</f>
        <v>OK</v>
      </c>
      <c r="M644" s="3" t="str">
        <f aca="false">PROPER(TRIM(raw_data!H644))</f>
        <v>Assam</v>
      </c>
      <c r="N644" s="3" t="str">
        <f aca="false">PROPER(TRIM(raw_data!I644))</f>
        <v>Guwahati</v>
      </c>
      <c r="O644" s="3" t="str">
        <f aca="false">PROPER(TRIM(raw_data!J644))</f>
        <v>Office Supplies</v>
      </c>
      <c r="P644" s="3" t="str">
        <f aca="false">PROPER(TRIM(raw_data!K644))</f>
        <v>Binders</v>
      </c>
      <c r="Q644" s="3" t="str">
        <f aca="false">TRIM(raw_data!L644)</f>
        <v>Prime Binders 287</v>
      </c>
      <c r="R644" s="3" t="str">
        <f aca="false">IF(TRIM(raw_data!M644)="","Unknown",PROPER(TRIM(raw_data!M644)))</f>
        <v>Second Class</v>
      </c>
      <c r="S644" s="3" t="str">
        <f aca="false">IF(TRIM(raw_data!M644)="","Filled - Unknown","OK")</f>
        <v>OK</v>
      </c>
      <c r="T644" s="6" t="n">
        <f aca="false">raw_data!N644</f>
        <v>9</v>
      </c>
      <c r="U644" s="7" t="n">
        <f aca="false">raw_data!O644</f>
        <v>1275.21</v>
      </c>
      <c r="V644" s="8" t="n">
        <f aca="false">raw_data!P644</f>
        <v>0.25</v>
      </c>
      <c r="W644" s="8" t="n">
        <f aca="false">IF(raw_data!P644="",0,IF(ISTEXT(raw_data!P644),IF(RIGHT(raw_data!P644,1)="%",VALUE(LEFT(raw_data!P644,LEN(raw_data!P644)-1))/100,VALUE(raw_data!P644)),raw_data!P644))</f>
        <v>0.25</v>
      </c>
      <c r="X644" s="3" t="str">
        <f aca="false">IF(raw_data!P644="","Missing - Defaulted to 0",IF(W644&lt;0,"Negative - Invalid",IF(W644&gt;0.3,"Above Allowed Range - Invalid","Valid")))</f>
        <v>Valid</v>
      </c>
      <c r="Y644" s="7" t="n">
        <f aca="false">raw_data!Q644</f>
        <v>8607.67</v>
      </c>
      <c r="Z644" s="7" t="n">
        <f aca="false">raw_data!R644</f>
        <v>5337.64</v>
      </c>
      <c r="AA644" s="7" t="n">
        <f aca="false">raw_data!S644</f>
        <v>3270.03</v>
      </c>
      <c r="AB644" s="3" t="str">
        <f aca="false">PROPER(TRIM(raw_data!T644))</f>
        <v>Failed</v>
      </c>
      <c r="AC644" s="3" t="str">
        <f aca="false">PROPER(TRIM(raw_data!U644))</f>
        <v>Returned</v>
      </c>
      <c r="AD644" s="7" t="n">
        <f aca="false">T644*U644*(1-W644)</f>
        <v>8607.6675</v>
      </c>
      <c r="AE644" s="7" t="n">
        <f aca="false">AD644-Z644</f>
        <v>3270.0275</v>
      </c>
      <c r="AF644" s="8" t="n">
        <f aca="false">IF(AD644=0,0,AE644/AD644)</f>
        <v>0.379897051088463</v>
      </c>
      <c r="AG644" s="3" t="str">
        <f aca="false">IF(ABS(Y644-AD644)&gt;1,"Mismatch","OK")</f>
        <v>OK</v>
      </c>
      <c r="AH644" s="3" t="str">
        <f aca="false">IF(ABS(AA644-AE644)&gt;1,"Mismatch","OK")</f>
        <v>OK</v>
      </c>
      <c r="AI644" s="6" t="n">
        <f aca="false">IF(B644="","",MONTH(B644))</f>
        <v>8</v>
      </c>
      <c r="AJ644" s="6" t="n">
        <f aca="false">IF(B644="","",YEAR(B644))</f>
        <v>2024</v>
      </c>
      <c r="AK644" s="3" t="str">
        <f aca="false">IF(COUNTIF(raw_data!$A$2:$A$913,A644)&gt;1,"Conflicting Duplicate - Flagged for Review","Unique")</f>
        <v>Unique</v>
      </c>
      <c r="AL644" s="3" t="str">
        <f aca="false">IF(AB644="Refunded","Yes","No")</f>
        <v>No</v>
      </c>
      <c r="AM644" s="3" t="str">
        <f aca="false">IF(OR(AC644&lt;&gt;"Completed",AB644="Failed"),"Excluded","Included")</f>
        <v>Excluded</v>
      </c>
      <c r="AN644" s="3" t="str">
        <f aca="false">IF(OR(D644="Invalid/Unrecognized",E644="Invalid/Unrecognized",G644="Invalid - Ship Before Order",X644="Negative - Invalid",X644="Above Allowed Range - Invalid",AG644="Mismatch",AH644="Mismatch",AK644="Conflicting Duplicate - Flagged for Review"),"Invalid",IF(OR(L644="Filled - Unknown",S644="Filled - Unknown",X644="Missing - Defaulted to 0",AL644="Yes",AC644="Cancelled",AC644="Returned"),"Warning","Clean"))</f>
        <v>Warning</v>
      </c>
    </row>
    <row r="645" customFormat="false" ht="15" hidden="false" customHeight="false" outlineLevel="0" collapsed="false">
      <c r="A645" s="3" t="str">
        <f aca="false">raw_data!A645</f>
        <v>ORD-2024-10644</v>
      </c>
      <c r="B645" s="4" t="n">
        <f aca="false">IFERROR(IF(MID(raw_data!B645,3,1)="/",DATE(VALUE(RIGHT(raw_data!B645,4)),VALUE(LEFT(raw_data!B645,2)),VALUE(MID(raw_data!B645,4,2))),IF(MID(raw_data!B645,3,1)="-",DATE(VALUE(RIGHT(raw_data!B645,4)),VALUE(MID(raw_data!B645,4,2)),VALUE(LEFT(raw_data!B645,2))),IF(MID(raw_data!B645,5,1)="-",DATE(VALUE(LEFT(raw_data!B645,4)),VALUE(MID(raw_data!B645,6,2)),VALUE(RIGHT(raw_data!B645,2))),DATE(VALUE(RIGHT(raw_data!B645,4)),MATCH(MID(raw_data!B645,4,3),{"Jan","Feb","Mar","Apr","May","Jun","Jul","Aug","Sep","Oct","Nov","Dec"},0),VALUE(LEFT(raw_data!B645,2)))))),"")</f>
        <v>45327</v>
      </c>
      <c r="C645" s="4" t="n">
        <f aca="false">IFERROR(IF(MID(raw_data!C645,3,1)="/",DATE(VALUE(RIGHT(raw_data!C645,4)),VALUE(LEFT(raw_data!C645,2)),VALUE(MID(raw_data!C645,4,2))),IF(MID(raw_data!C645,3,1)="-",DATE(VALUE(RIGHT(raw_data!C645,4)),VALUE(MID(raw_data!C645,4,2)),VALUE(LEFT(raw_data!C645,2))),IF(MID(raw_data!C645,5,1)="-",DATE(VALUE(LEFT(raw_data!C645,4)),VALUE(MID(raw_data!C645,6,2)),VALUE(RIGHT(raw_data!C645,2))),DATE(VALUE(RIGHT(raw_data!C645,4)),MATCH(MID(raw_data!C645,4,3),{"Jan","Feb","Mar","Apr","May","Jun","Jul","Aug","Sep","Oct","Nov","Dec"},0),VALUE(LEFT(raw_data!C645,2)))))),"")</f>
        <v>45335</v>
      </c>
      <c r="D645" s="3" t="str">
        <f aca="false">IF(TRIM(raw_data!B645)="","Missing",IF(B645="","Invalid/Unrecognized","Valid"))</f>
        <v>Valid</v>
      </c>
      <c r="E645" s="3" t="str">
        <f aca="false">IF(TRIM(raw_data!C645)="","Missing",IF(C645="","Invalid/Unrecognized","Valid"))</f>
        <v>Valid</v>
      </c>
      <c r="F645" s="5" t="n">
        <f aca="false">IF(OR(B645="",C645=""),"",C645-B645)</f>
        <v>8</v>
      </c>
      <c r="G645" s="3" t="str">
        <f aca="false">IF(F645="","N/A",IF(F645&lt;0,"Invalid - Ship Before Order","OK"))</f>
        <v>OK</v>
      </c>
      <c r="H645" s="3" t="str">
        <f aca="false">raw_data!D645</f>
        <v>CUST-1986</v>
      </c>
      <c r="I645" s="3" t="str">
        <f aca="false">PROPER(TRIM(raw_data!E645))</f>
        <v>Aarav Sharma</v>
      </c>
      <c r="J645" s="3" t="str">
        <f aca="false">PROPER(TRIM(raw_data!F645))</f>
        <v>Home Office</v>
      </c>
      <c r="K645" s="3" t="str">
        <f aca="false">IF(TRIM(raw_data!G645)="","Unknown",PROPER(TRIM(raw_data!G645)))</f>
        <v>North</v>
      </c>
      <c r="L645" s="3" t="str">
        <f aca="false">IF(TRIM(raw_data!G645)="","Filled - Unknown","OK")</f>
        <v>OK</v>
      </c>
      <c r="M645" s="3" t="str">
        <f aca="false">PROPER(TRIM(raw_data!H645))</f>
        <v>Uttar Pradesh</v>
      </c>
      <c r="N645" s="3" t="str">
        <f aca="false">PROPER(TRIM(raw_data!I645))</f>
        <v>Noida</v>
      </c>
      <c r="O645" s="3" t="str">
        <f aca="false">PROPER(TRIM(raw_data!J645))</f>
        <v>Office Supplies</v>
      </c>
      <c r="P645" s="3" t="str">
        <f aca="false">PROPER(TRIM(raw_data!K645))</f>
        <v>Labels</v>
      </c>
      <c r="Q645" s="3" t="str">
        <f aca="false">TRIM(raw_data!L645)</f>
        <v>Elite Labels 654</v>
      </c>
      <c r="R645" s="3" t="str">
        <f aca="false">IF(TRIM(raw_data!M645)="","Unknown",PROPER(TRIM(raw_data!M645)))</f>
        <v>Standard Class</v>
      </c>
      <c r="S645" s="3" t="str">
        <f aca="false">IF(TRIM(raw_data!M645)="","Filled - Unknown","OK")</f>
        <v>OK</v>
      </c>
      <c r="T645" s="6" t="n">
        <f aca="false">raw_data!N645</f>
        <v>8</v>
      </c>
      <c r="U645" s="7" t="n">
        <f aca="false">raw_data!O645</f>
        <v>3871.18</v>
      </c>
      <c r="V645" s="8" t="n">
        <f aca="false">raw_data!P645</f>
        <v>0.15</v>
      </c>
      <c r="W645" s="8" t="n">
        <f aca="false">IF(raw_data!P645="",0,IF(ISTEXT(raw_data!P645),IF(RIGHT(raw_data!P645,1)="%",VALUE(LEFT(raw_data!P645,LEN(raw_data!P645)-1))/100,VALUE(raw_data!P645)),raw_data!P645))</f>
        <v>0.15</v>
      </c>
      <c r="X645" s="3" t="str">
        <f aca="false">IF(raw_data!P645="","Missing - Defaulted to 0",IF(W645&lt;0,"Negative - Invalid",IF(W645&gt;0.3,"Above Allowed Range - Invalid","Valid")))</f>
        <v>Valid</v>
      </c>
      <c r="Y645" s="7" t="n">
        <f aca="false">raw_data!Q645</f>
        <v>26324.02</v>
      </c>
      <c r="Z645" s="7" t="n">
        <f aca="false">raw_data!R645</f>
        <v>16277.96</v>
      </c>
      <c r="AA645" s="7" t="n">
        <f aca="false">raw_data!S645</f>
        <v>10046.06</v>
      </c>
      <c r="AB645" s="3" t="str">
        <f aca="false">PROPER(TRIM(raw_data!T645))</f>
        <v>Failed</v>
      </c>
      <c r="AC645" s="3" t="str">
        <f aca="false">PROPER(TRIM(raw_data!U645))</f>
        <v>Returned</v>
      </c>
      <c r="AD645" s="7" t="n">
        <f aca="false">T645*U645*(1-W645)</f>
        <v>26324.024</v>
      </c>
      <c r="AE645" s="7" t="n">
        <f aca="false">AD645-Z645</f>
        <v>10046.064</v>
      </c>
      <c r="AF645" s="8" t="n">
        <f aca="false">IF(AD645=0,0,AE645/AD645)</f>
        <v>0.381631015075811</v>
      </c>
      <c r="AG645" s="3" t="str">
        <f aca="false">IF(ABS(Y645-AD645)&gt;1,"Mismatch","OK")</f>
        <v>OK</v>
      </c>
      <c r="AH645" s="3" t="str">
        <f aca="false">IF(ABS(AA645-AE645)&gt;1,"Mismatch","OK")</f>
        <v>OK</v>
      </c>
      <c r="AI645" s="6" t="n">
        <f aca="false">IF(B645="","",MONTH(B645))</f>
        <v>2</v>
      </c>
      <c r="AJ645" s="6" t="n">
        <f aca="false">IF(B645="","",YEAR(B645))</f>
        <v>2024</v>
      </c>
      <c r="AK645" s="3" t="str">
        <f aca="false">IF(COUNTIF(raw_data!$A$2:$A$913,A645)&gt;1,"Conflicting Duplicate - Flagged for Review","Unique")</f>
        <v>Unique</v>
      </c>
      <c r="AL645" s="3" t="str">
        <f aca="false">IF(AB645="Refunded","Yes","No")</f>
        <v>No</v>
      </c>
      <c r="AM645" s="3" t="str">
        <f aca="false">IF(OR(AC645&lt;&gt;"Completed",AB645="Failed"),"Excluded","Included")</f>
        <v>Excluded</v>
      </c>
      <c r="AN645" s="3" t="str">
        <f aca="false">IF(OR(D645="Invalid/Unrecognized",E645="Invalid/Unrecognized",G645="Invalid - Ship Before Order",X645="Negative - Invalid",X645="Above Allowed Range - Invalid",AG645="Mismatch",AH645="Mismatch",AK645="Conflicting Duplicate - Flagged for Review"),"Invalid",IF(OR(L645="Filled - Unknown",S645="Filled - Unknown",X645="Missing - Defaulted to 0",AL645="Yes",AC645="Cancelled",AC645="Returned"),"Warning","Clean"))</f>
        <v>Warning</v>
      </c>
    </row>
    <row r="646" customFormat="false" ht="15" hidden="false" customHeight="false" outlineLevel="0" collapsed="false">
      <c r="A646" s="3" t="str">
        <f aca="false">raw_data!A646</f>
        <v>ORD-2025-10645</v>
      </c>
      <c r="B646" s="4" t="n">
        <f aca="false">IFERROR(IF(MID(raw_data!B646,3,1)="/",DATE(VALUE(RIGHT(raw_data!B646,4)),VALUE(LEFT(raw_data!B646,2)),VALUE(MID(raw_data!B646,4,2))),IF(MID(raw_data!B646,3,1)="-",DATE(VALUE(RIGHT(raw_data!B646,4)),VALUE(MID(raw_data!B646,4,2)),VALUE(LEFT(raw_data!B646,2))),IF(MID(raw_data!B646,5,1)="-",DATE(VALUE(LEFT(raw_data!B646,4)),VALUE(MID(raw_data!B646,6,2)),VALUE(RIGHT(raw_data!B646,2))),DATE(VALUE(RIGHT(raw_data!B646,4)),MATCH(MID(raw_data!B646,4,3),{"Jan","Feb","Mar","Apr","May","Jun","Jul","Aug","Sep","Oct","Nov","Dec"},0),VALUE(LEFT(raw_data!B646,2)))))),"")</f>
        <v>45757</v>
      </c>
      <c r="C646" s="4" t="n">
        <f aca="false">IFERROR(IF(MID(raw_data!C646,3,1)="/",DATE(VALUE(RIGHT(raw_data!C646,4)),VALUE(LEFT(raw_data!C646,2)),VALUE(MID(raw_data!C646,4,2))),IF(MID(raw_data!C646,3,1)="-",DATE(VALUE(RIGHT(raw_data!C646,4)),VALUE(MID(raw_data!C646,4,2)),VALUE(LEFT(raw_data!C646,2))),IF(MID(raw_data!C646,5,1)="-",DATE(VALUE(LEFT(raw_data!C646,4)),VALUE(MID(raw_data!C646,6,2)),VALUE(RIGHT(raw_data!C646,2))),DATE(VALUE(RIGHT(raw_data!C646,4)),MATCH(MID(raw_data!C646,4,3),{"Jan","Feb","Mar","Apr","May","Jun","Jul","Aug","Sep","Oct","Nov","Dec"},0),VALUE(LEFT(raw_data!C646,2)))))),"")</f>
        <v>45764</v>
      </c>
      <c r="D646" s="3" t="str">
        <f aca="false">IF(TRIM(raw_data!B646)="","Missing",IF(B646="","Invalid/Unrecognized","Valid"))</f>
        <v>Valid</v>
      </c>
      <c r="E646" s="3" t="str">
        <f aca="false">IF(TRIM(raw_data!C646)="","Missing",IF(C646="","Invalid/Unrecognized","Valid"))</f>
        <v>Valid</v>
      </c>
      <c r="F646" s="5" t="n">
        <f aca="false">IF(OR(B646="",C646=""),"",C646-B646)</f>
        <v>7</v>
      </c>
      <c r="G646" s="3" t="str">
        <f aca="false">IF(F646="","N/A",IF(F646&lt;0,"Invalid - Ship Before Order","OK"))</f>
        <v>OK</v>
      </c>
      <c r="H646" s="3" t="str">
        <f aca="false">raw_data!D646</f>
        <v>CUST-5549</v>
      </c>
      <c r="I646" s="3" t="str">
        <f aca="false">PROPER(TRIM(raw_data!E646))</f>
        <v>Vikram Iyer</v>
      </c>
      <c r="J646" s="3" t="str">
        <f aca="false">PROPER(TRIM(raw_data!F646))</f>
        <v>Consumer</v>
      </c>
      <c r="K646" s="3" t="str">
        <f aca="false">IF(TRIM(raw_data!G646)="","Unknown",PROPER(TRIM(raw_data!G646)))</f>
        <v>East</v>
      </c>
      <c r="L646" s="3" t="str">
        <f aca="false">IF(TRIM(raw_data!G646)="","Filled - Unknown","OK")</f>
        <v>OK</v>
      </c>
      <c r="M646" s="3" t="str">
        <f aca="false">PROPER(TRIM(raw_data!H646))</f>
        <v>West Bengal</v>
      </c>
      <c r="N646" s="3" t="str">
        <f aca="false">PROPER(TRIM(raw_data!I646))</f>
        <v>Kolkata</v>
      </c>
      <c r="O646" s="3" t="str">
        <f aca="false">PROPER(TRIM(raw_data!J646))</f>
        <v>Furniture</v>
      </c>
      <c r="P646" s="3" t="str">
        <f aca="false">PROPER(TRIM(raw_data!K646))</f>
        <v>Chairs</v>
      </c>
      <c r="Q646" s="3" t="str">
        <f aca="false">TRIM(raw_data!L646)</f>
        <v>Pro Chairs 812</v>
      </c>
      <c r="R646" s="3" t="str">
        <f aca="false">IF(TRIM(raw_data!M646)="","Unknown",PROPER(TRIM(raw_data!M646)))</f>
        <v>Standard Class</v>
      </c>
      <c r="S646" s="3" t="str">
        <f aca="false">IF(TRIM(raw_data!M646)="","Filled - Unknown","OK")</f>
        <v>OK</v>
      </c>
      <c r="T646" s="6" t="n">
        <f aca="false">raw_data!N646</f>
        <v>4</v>
      </c>
      <c r="U646" s="7" t="n">
        <f aca="false">raw_data!O646</f>
        <v>3750.02</v>
      </c>
      <c r="V646" s="8" t="n">
        <f aca="false">raw_data!P646</f>
        <v>0.05</v>
      </c>
      <c r="W646" s="8" t="n">
        <f aca="false">IF(raw_data!P646="",0,IF(ISTEXT(raw_data!P646),IF(RIGHT(raw_data!P646,1)="%",VALUE(LEFT(raw_data!P646,LEN(raw_data!P646)-1))/100,VALUE(raw_data!P646)),raw_data!P646))</f>
        <v>0.05</v>
      </c>
      <c r="X646" s="3" t="str">
        <f aca="false">IF(raw_data!P646="","Missing - Defaulted to 0",IF(W646&lt;0,"Negative - Invalid",IF(W646&gt;0.3,"Above Allowed Range - Invalid","Valid")))</f>
        <v>Valid</v>
      </c>
      <c r="Y646" s="7" t="n">
        <f aca="false">raw_data!Q646</f>
        <v>14250.08</v>
      </c>
      <c r="Z646" s="7" t="n">
        <f aca="false">raw_data!R646</f>
        <v>10914.92</v>
      </c>
      <c r="AA646" s="7" t="n">
        <f aca="false">raw_data!S646</f>
        <v>3335.16</v>
      </c>
      <c r="AB646" s="3" t="str">
        <f aca="false">PROPER(TRIM(raw_data!T646))</f>
        <v>Paid</v>
      </c>
      <c r="AC646" s="3" t="str">
        <f aca="false">PROPER(TRIM(raw_data!U646))</f>
        <v>Completed</v>
      </c>
      <c r="AD646" s="7" t="n">
        <f aca="false">T646*U646*(1-W646)</f>
        <v>14250.076</v>
      </c>
      <c r="AE646" s="7" t="n">
        <f aca="false">AD646-Z646</f>
        <v>3335.156</v>
      </c>
      <c r="AF646" s="8" t="n">
        <f aca="false">IF(AD646=0,0,AE646/AD646)</f>
        <v>0.234044786848856</v>
      </c>
      <c r="AG646" s="3" t="str">
        <f aca="false">IF(ABS(Y646-AD646)&gt;1,"Mismatch","OK")</f>
        <v>OK</v>
      </c>
      <c r="AH646" s="3" t="str">
        <f aca="false">IF(ABS(AA646-AE646)&gt;1,"Mismatch","OK")</f>
        <v>OK</v>
      </c>
      <c r="AI646" s="6" t="n">
        <f aca="false">IF(B646="","",MONTH(B646))</f>
        <v>4</v>
      </c>
      <c r="AJ646" s="6" t="n">
        <f aca="false">IF(B646="","",YEAR(B646))</f>
        <v>2025</v>
      </c>
      <c r="AK646" s="3" t="str">
        <f aca="false">IF(COUNTIF(raw_data!$A$2:$A$913,A646)&gt;1,"Conflicting Duplicate - Flagged for Review","Unique")</f>
        <v>Unique</v>
      </c>
      <c r="AL646" s="3" t="str">
        <f aca="false">IF(AB646="Refunded","Yes","No")</f>
        <v>No</v>
      </c>
      <c r="AM646" s="3" t="str">
        <f aca="false">IF(OR(AC646&lt;&gt;"Completed",AB646="Failed"),"Excluded","Included")</f>
        <v>Included</v>
      </c>
      <c r="AN646" s="3" t="str">
        <f aca="false">IF(OR(D646="Invalid/Unrecognized",E646="Invalid/Unrecognized",G646="Invalid - Ship Before Order",X646="Negative - Invalid",X646="Above Allowed Range - Invalid",AG646="Mismatch",AH646="Mismatch",AK646="Conflicting Duplicate - Flagged for Review"),"Invalid",IF(OR(L646="Filled - Unknown",S646="Filled - Unknown",X646="Missing - Defaulted to 0",AL646="Yes",AC646="Cancelled",AC646="Returned"),"Warning","Clean"))</f>
        <v>Clean</v>
      </c>
    </row>
    <row r="647" customFormat="false" ht="15" hidden="false" customHeight="false" outlineLevel="0" collapsed="false">
      <c r="A647" s="3" t="str">
        <f aca="false">raw_data!A647</f>
        <v>ORD-2024-10646</v>
      </c>
      <c r="B647" s="4" t="n">
        <f aca="false">IFERROR(IF(MID(raw_data!B647,3,1)="/",DATE(VALUE(RIGHT(raw_data!B647,4)),VALUE(LEFT(raw_data!B647,2)),VALUE(MID(raw_data!B647,4,2))),IF(MID(raw_data!B647,3,1)="-",DATE(VALUE(RIGHT(raw_data!B647,4)),VALUE(MID(raw_data!B647,4,2)),VALUE(LEFT(raw_data!B647,2))),IF(MID(raw_data!B647,5,1)="-",DATE(VALUE(LEFT(raw_data!B647,4)),VALUE(MID(raw_data!B647,6,2)),VALUE(RIGHT(raw_data!B647,2))),DATE(VALUE(RIGHT(raw_data!B647,4)),MATCH(MID(raw_data!B647,4,3),{"Jan","Feb","Mar","Apr","May","Jun","Jul","Aug","Sep","Oct","Nov","Dec"},0),VALUE(LEFT(raw_data!B647,2)))))),"")</f>
        <v>45295</v>
      </c>
      <c r="C647" s="4" t="n">
        <f aca="false">IFERROR(IF(MID(raw_data!C647,3,1)="/",DATE(VALUE(RIGHT(raw_data!C647,4)),VALUE(LEFT(raw_data!C647,2)),VALUE(MID(raw_data!C647,4,2))),IF(MID(raw_data!C647,3,1)="-",DATE(VALUE(RIGHT(raw_data!C647,4)),VALUE(MID(raw_data!C647,4,2)),VALUE(LEFT(raw_data!C647,2))),IF(MID(raw_data!C647,5,1)="-",DATE(VALUE(LEFT(raw_data!C647,4)),VALUE(MID(raw_data!C647,6,2)),VALUE(RIGHT(raw_data!C647,2))),DATE(VALUE(RIGHT(raw_data!C647,4)),MATCH(MID(raw_data!C647,4,3),{"Jan","Feb","Mar","Apr","May","Jun","Jul","Aug","Sep","Oct","Nov","Dec"},0),VALUE(LEFT(raw_data!C647,2)))))),"")</f>
        <v>45300</v>
      </c>
      <c r="D647" s="3" t="str">
        <f aca="false">IF(TRIM(raw_data!B647)="","Missing",IF(B647="","Invalid/Unrecognized","Valid"))</f>
        <v>Valid</v>
      </c>
      <c r="E647" s="3" t="str">
        <f aca="false">IF(TRIM(raw_data!C647)="","Missing",IF(C647="","Invalid/Unrecognized","Valid"))</f>
        <v>Valid</v>
      </c>
      <c r="F647" s="5" t="n">
        <f aca="false">IF(OR(B647="",C647=""),"",C647-B647)</f>
        <v>5</v>
      </c>
      <c r="G647" s="3" t="str">
        <f aca="false">IF(F647="","N/A",IF(F647&lt;0,"Invalid - Ship Before Order","OK"))</f>
        <v>OK</v>
      </c>
      <c r="H647" s="3" t="str">
        <f aca="false">raw_data!D647</f>
        <v>CUST-2314</v>
      </c>
      <c r="I647" s="3" t="str">
        <f aca="false">PROPER(TRIM(raw_data!E647))</f>
        <v>Kabir Singh</v>
      </c>
      <c r="J647" s="3" t="str">
        <f aca="false">PROPER(TRIM(raw_data!F647))</f>
        <v>Consumer</v>
      </c>
      <c r="K647" s="3" t="str">
        <f aca="false">IF(TRIM(raw_data!G647)="","Unknown",PROPER(TRIM(raw_data!G647)))</f>
        <v>East</v>
      </c>
      <c r="L647" s="3" t="str">
        <f aca="false">IF(TRIM(raw_data!G647)="","Filled - Unknown","OK")</f>
        <v>OK</v>
      </c>
      <c r="M647" s="3" t="str">
        <f aca="false">PROPER(TRIM(raw_data!H647))</f>
        <v>Bihar</v>
      </c>
      <c r="N647" s="3" t="str">
        <f aca="false">PROPER(TRIM(raw_data!I647))</f>
        <v>Patna</v>
      </c>
      <c r="O647" s="3" t="str">
        <f aca="false">PROPER(TRIM(raw_data!J647))</f>
        <v>Furniture</v>
      </c>
      <c r="P647" s="3" t="str">
        <f aca="false">PROPER(TRIM(raw_data!K647))</f>
        <v>Chairs</v>
      </c>
      <c r="Q647" s="3" t="str">
        <f aca="false">TRIM(raw_data!L647)</f>
        <v>Basic Chairs 480</v>
      </c>
      <c r="R647" s="3" t="str">
        <f aca="false">IF(TRIM(raw_data!M647)="","Unknown",PROPER(TRIM(raw_data!M647)))</f>
        <v>Second Class</v>
      </c>
      <c r="S647" s="3" t="str">
        <f aca="false">IF(TRIM(raw_data!M647)="","Filled - Unknown","OK")</f>
        <v>OK</v>
      </c>
      <c r="T647" s="6" t="n">
        <f aca="false">raw_data!N647</f>
        <v>6</v>
      </c>
      <c r="U647" s="7" t="n">
        <f aca="false">raw_data!O647</f>
        <v>2423.61</v>
      </c>
      <c r="V647" s="8" t="n">
        <f aca="false">raw_data!P647</f>
        <v>0.1</v>
      </c>
      <c r="W647" s="8" t="n">
        <f aca="false">IF(raw_data!P647="",0,IF(ISTEXT(raw_data!P647),IF(RIGHT(raw_data!P647,1)="%",VALUE(LEFT(raw_data!P647,LEN(raw_data!P647)-1))/100,VALUE(raw_data!P647)),raw_data!P647))</f>
        <v>0.1</v>
      </c>
      <c r="X647" s="3" t="str">
        <f aca="false">IF(raw_data!P647="","Missing - Defaulted to 0",IF(W647&lt;0,"Negative - Invalid",IF(W647&gt;0.3,"Above Allowed Range - Invalid","Valid")))</f>
        <v>Valid</v>
      </c>
      <c r="Y647" s="7" t="n">
        <f aca="false">raw_data!Q647</f>
        <v>13087.49</v>
      </c>
      <c r="Z647" s="7" t="n">
        <f aca="false">raw_data!R647</f>
        <v>7608.89</v>
      </c>
      <c r="AA647" s="7" t="n">
        <f aca="false">raw_data!S647</f>
        <v>5133.22</v>
      </c>
      <c r="AB647" s="3" t="str">
        <f aca="false">PROPER(TRIM(raw_data!T647))</f>
        <v>Paid</v>
      </c>
      <c r="AC647" s="3" t="str">
        <f aca="false">PROPER(TRIM(raw_data!U647))</f>
        <v>Completed</v>
      </c>
      <c r="AD647" s="7" t="n">
        <f aca="false">T647*U647*(1-W647)</f>
        <v>13087.494</v>
      </c>
      <c r="AE647" s="7" t="n">
        <f aca="false">AD647-Z647</f>
        <v>5478.604</v>
      </c>
      <c r="AF647" s="8" t="n">
        <f aca="false">IF(AD647=0,0,AE647/AD647)</f>
        <v>0.418613678065488</v>
      </c>
      <c r="AG647" s="3" t="str">
        <f aca="false">IF(ABS(Y647-AD647)&gt;1,"Mismatch","OK")</f>
        <v>OK</v>
      </c>
      <c r="AH647" s="3" t="str">
        <f aca="false">IF(ABS(AA647-AE647)&gt;1,"Mismatch","OK")</f>
        <v>Mismatch</v>
      </c>
      <c r="AI647" s="6" t="n">
        <f aca="false">IF(B647="","",MONTH(B647))</f>
        <v>1</v>
      </c>
      <c r="AJ647" s="6" t="n">
        <f aca="false">IF(B647="","",YEAR(B647))</f>
        <v>2024</v>
      </c>
      <c r="AK647" s="3" t="str">
        <f aca="false">IF(COUNTIF(raw_data!$A$2:$A$913,A647)&gt;1,"Conflicting Duplicate - Flagged for Review","Unique")</f>
        <v>Unique</v>
      </c>
      <c r="AL647" s="3" t="str">
        <f aca="false">IF(AB647="Refunded","Yes","No")</f>
        <v>No</v>
      </c>
      <c r="AM647" s="3" t="str">
        <f aca="false">IF(OR(AC647&lt;&gt;"Completed",AB647="Failed"),"Excluded","Included")</f>
        <v>Included</v>
      </c>
      <c r="AN647" s="3" t="str">
        <f aca="false">IF(OR(D647="Invalid/Unrecognized",E647="Invalid/Unrecognized",G647="Invalid - Ship Before Order",X647="Negative - Invalid",X647="Above Allowed Range - Invalid",AG647="Mismatch",AH647="Mismatch",AK647="Conflicting Duplicate - Flagged for Review"),"Invalid",IF(OR(L647="Filled - Unknown",S647="Filled - Unknown",X647="Missing - Defaulted to 0",AL647="Yes",AC647="Cancelled",AC647="Returned"),"Warning","Clean"))</f>
        <v>Invalid</v>
      </c>
    </row>
    <row r="648" customFormat="false" ht="15" hidden="false" customHeight="false" outlineLevel="0" collapsed="false">
      <c r="A648" s="3" t="str">
        <f aca="false">raw_data!A648</f>
        <v>ORD-2024-10647</v>
      </c>
      <c r="B648" s="4" t="n">
        <f aca="false">IFERROR(IF(MID(raw_data!B648,3,1)="/",DATE(VALUE(RIGHT(raw_data!B648,4)),VALUE(LEFT(raw_data!B648,2)),VALUE(MID(raw_data!B648,4,2))),IF(MID(raw_data!B648,3,1)="-",DATE(VALUE(RIGHT(raw_data!B648,4)),VALUE(MID(raw_data!B648,4,2)),VALUE(LEFT(raw_data!B648,2))),IF(MID(raw_data!B648,5,1)="-",DATE(VALUE(LEFT(raw_data!B648,4)),VALUE(MID(raw_data!B648,6,2)),VALUE(RIGHT(raw_data!B648,2))),DATE(VALUE(RIGHT(raw_data!B648,4)),MATCH(MID(raw_data!B648,4,3),{"Jan","Feb","Mar","Apr","May","Jun","Jul","Aug","Sep","Oct","Nov","Dec"},0),VALUE(LEFT(raw_data!B648,2)))))),"")</f>
        <v>45553</v>
      </c>
      <c r="C648" s="4" t="n">
        <f aca="false">IFERROR(IF(MID(raw_data!C648,3,1)="/",DATE(VALUE(RIGHT(raw_data!C648,4)),VALUE(LEFT(raw_data!C648,2)),VALUE(MID(raw_data!C648,4,2))),IF(MID(raw_data!C648,3,1)="-",DATE(VALUE(RIGHT(raw_data!C648,4)),VALUE(MID(raw_data!C648,4,2)),VALUE(LEFT(raw_data!C648,2))),IF(MID(raw_data!C648,5,1)="-",DATE(VALUE(LEFT(raw_data!C648,4)),VALUE(MID(raw_data!C648,6,2)),VALUE(RIGHT(raw_data!C648,2))),DATE(VALUE(RIGHT(raw_data!C648,4)),MATCH(MID(raw_data!C648,4,3),{"Jan","Feb","Mar","Apr","May","Jun","Jul","Aug","Sep","Oct","Nov","Dec"},0),VALUE(LEFT(raw_data!C648,2)))))),"")</f>
        <v>45559</v>
      </c>
      <c r="D648" s="3" t="str">
        <f aca="false">IF(TRIM(raw_data!B648)="","Missing",IF(B648="","Invalid/Unrecognized","Valid"))</f>
        <v>Valid</v>
      </c>
      <c r="E648" s="3" t="str">
        <f aca="false">IF(TRIM(raw_data!C648)="","Missing",IF(C648="","Invalid/Unrecognized","Valid"))</f>
        <v>Valid</v>
      </c>
      <c r="F648" s="5" t="n">
        <f aca="false">IF(OR(B648="",C648=""),"",C648-B648)</f>
        <v>6</v>
      </c>
      <c r="G648" s="3" t="str">
        <f aca="false">IF(F648="","N/A",IF(F648&lt;0,"Invalid - Ship Before Order","OK"))</f>
        <v>OK</v>
      </c>
      <c r="H648" s="3" t="str">
        <f aca="false">raw_data!D648</f>
        <v>CUST-6360</v>
      </c>
      <c r="I648" s="3" t="str">
        <f aca="false">PROPER(TRIM(raw_data!E648))</f>
        <v>Vikram Iyer</v>
      </c>
      <c r="J648" s="3" t="str">
        <f aca="false">PROPER(TRIM(raw_data!F648))</f>
        <v>Small Business</v>
      </c>
      <c r="K648" s="3" t="str">
        <f aca="false">IF(TRIM(raw_data!G648)="","Unknown",PROPER(TRIM(raw_data!G648)))</f>
        <v>East</v>
      </c>
      <c r="L648" s="3" t="str">
        <f aca="false">IF(TRIM(raw_data!G648)="","Filled - Unknown","OK")</f>
        <v>OK</v>
      </c>
      <c r="M648" s="3" t="str">
        <f aca="false">PROPER(TRIM(raw_data!H648))</f>
        <v>Jharkhand</v>
      </c>
      <c r="N648" s="3" t="str">
        <f aca="false">PROPER(TRIM(raw_data!I648))</f>
        <v>Ranchi</v>
      </c>
      <c r="O648" s="3" t="str">
        <f aca="false">PROPER(TRIM(raw_data!J648))</f>
        <v>Technology</v>
      </c>
      <c r="P648" s="3" t="str">
        <f aca="false">PROPER(TRIM(raw_data!K648))</f>
        <v>Machines</v>
      </c>
      <c r="Q648" s="3" t="str">
        <f aca="false">TRIM(raw_data!L648)</f>
        <v>Elite Machines 955</v>
      </c>
      <c r="R648" s="3" t="str">
        <f aca="false">IF(TRIM(raw_data!M648)="","Unknown",PROPER(TRIM(raw_data!M648)))</f>
        <v>First Class</v>
      </c>
      <c r="S648" s="3" t="str">
        <f aca="false">IF(TRIM(raw_data!M648)="","Filled - Unknown","OK")</f>
        <v>OK</v>
      </c>
      <c r="T648" s="6" t="n">
        <f aca="false">raw_data!N648</f>
        <v>3</v>
      </c>
      <c r="U648" s="7" t="n">
        <f aca="false">raw_data!O648</f>
        <v>729.14</v>
      </c>
      <c r="V648" s="8" t="n">
        <f aca="false">raw_data!P648</f>
        <v>0.25</v>
      </c>
      <c r="W648" s="8" t="n">
        <f aca="false">IF(raw_data!P648="",0,IF(ISTEXT(raw_data!P648),IF(RIGHT(raw_data!P648,1)="%",VALUE(LEFT(raw_data!P648,LEN(raw_data!P648)-1))/100,VALUE(raw_data!P648)),raw_data!P648))</f>
        <v>0.25</v>
      </c>
      <c r="X648" s="3" t="str">
        <f aca="false">IF(raw_data!P648="","Missing - Defaulted to 0",IF(W648&lt;0,"Negative - Invalid",IF(W648&gt;0.3,"Above Allowed Range - Invalid","Valid")))</f>
        <v>Valid</v>
      </c>
      <c r="Y648" s="7" t="n">
        <f aca="false">raw_data!Q648</f>
        <v>1640.57</v>
      </c>
      <c r="Z648" s="7" t="n">
        <f aca="false">raw_data!R648</f>
        <v>1136.98</v>
      </c>
      <c r="AA648" s="7" t="n">
        <f aca="false">raw_data!S648</f>
        <v>503.59</v>
      </c>
      <c r="AB648" s="3" t="str">
        <f aca="false">PROPER(TRIM(raw_data!T648))</f>
        <v>Paid</v>
      </c>
      <c r="AC648" s="3" t="str">
        <f aca="false">PROPER(TRIM(raw_data!U648))</f>
        <v>Completed</v>
      </c>
      <c r="AD648" s="7" t="n">
        <f aca="false">T648*U648*(1-W648)</f>
        <v>1640.565</v>
      </c>
      <c r="AE648" s="7" t="n">
        <f aca="false">AD648-Z648</f>
        <v>503.585</v>
      </c>
      <c r="AF648" s="8" t="n">
        <f aca="false">IF(AD648=0,0,AE648/AD648)</f>
        <v>0.306958273521622</v>
      </c>
      <c r="AG648" s="3" t="str">
        <f aca="false">IF(ABS(Y648-AD648)&gt;1,"Mismatch","OK")</f>
        <v>OK</v>
      </c>
      <c r="AH648" s="3" t="str">
        <f aca="false">IF(ABS(AA648-AE648)&gt;1,"Mismatch","OK")</f>
        <v>OK</v>
      </c>
      <c r="AI648" s="6" t="n">
        <f aca="false">IF(B648="","",MONTH(B648))</f>
        <v>9</v>
      </c>
      <c r="AJ648" s="6" t="n">
        <f aca="false">IF(B648="","",YEAR(B648))</f>
        <v>2024</v>
      </c>
      <c r="AK648" s="3" t="str">
        <f aca="false">IF(COUNTIF(raw_data!$A$2:$A$913,A648)&gt;1,"Conflicting Duplicate - Flagged for Review","Unique")</f>
        <v>Unique</v>
      </c>
      <c r="AL648" s="3" t="str">
        <f aca="false">IF(AB648="Refunded","Yes","No")</f>
        <v>No</v>
      </c>
      <c r="AM648" s="3" t="str">
        <f aca="false">IF(OR(AC648&lt;&gt;"Completed",AB648="Failed"),"Excluded","Included")</f>
        <v>Included</v>
      </c>
      <c r="AN648" s="3" t="str">
        <f aca="false">IF(OR(D648="Invalid/Unrecognized",E648="Invalid/Unrecognized",G648="Invalid - Ship Before Order",X648="Negative - Invalid",X648="Above Allowed Range - Invalid",AG648="Mismatch",AH648="Mismatch",AK648="Conflicting Duplicate - Flagged for Review"),"Invalid",IF(OR(L648="Filled - Unknown",S648="Filled - Unknown",X648="Missing - Defaulted to 0",AL648="Yes",AC648="Cancelled",AC648="Returned"),"Warning","Clean"))</f>
        <v>Clean</v>
      </c>
    </row>
    <row r="649" customFormat="false" ht="15" hidden="false" customHeight="false" outlineLevel="0" collapsed="false">
      <c r="A649" s="3" t="str">
        <f aca="false">raw_data!A649</f>
        <v>ORD-2025-10648</v>
      </c>
      <c r="B649" s="4" t="n">
        <f aca="false">IFERROR(IF(MID(raw_data!B649,3,1)="/",DATE(VALUE(RIGHT(raw_data!B649,4)),VALUE(LEFT(raw_data!B649,2)),VALUE(MID(raw_data!B649,4,2))),IF(MID(raw_data!B649,3,1)="-",DATE(VALUE(RIGHT(raw_data!B649,4)),VALUE(MID(raw_data!B649,4,2)),VALUE(LEFT(raw_data!B649,2))),IF(MID(raw_data!B649,5,1)="-",DATE(VALUE(LEFT(raw_data!B649,4)),VALUE(MID(raw_data!B649,6,2)),VALUE(RIGHT(raw_data!B649,2))),DATE(VALUE(RIGHT(raw_data!B649,4)),MATCH(MID(raw_data!B649,4,3),{"Jan","Feb","Mar","Apr","May","Jun","Jul","Aug","Sep","Oct","Nov","Dec"},0),VALUE(LEFT(raw_data!B649,2)))))),"")</f>
        <v>45658</v>
      </c>
      <c r="C649" s="4" t="n">
        <f aca="false">IFERROR(IF(MID(raw_data!C649,3,1)="/",DATE(VALUE(RIGHT(raw_data!C649,4)),VALUE(LEFT(raw_data!C649,2)),VALUE(MID(raw_data!C649,4,2))),IF(MID(raw_data!C649,3,1)="-",DATE(VALUE(RIGHT(raw_data!C649,4)),VALUE(MID(raw_data!C649,4,2)),VALUE(LEFT(raw_data!C649,2))),IF(MID(raw_data!C649,5,1)="-",DATE(VALUE(LEFT(raw_data!C649,4)),VALUE(MID(raw_data!C649,6,2)),VALUE(RIGHT(raw_data!C649,2))),DATE(VALUE(RIGHT(raw_data!C649,4)),MATCH(MID(raw_data!C649,4,3),{"Jan","Feb","Mar","Apr","May","Jun","Jul","Aug","Sep","Oct","Nov","Dec"},0),VALUE(LEFT(raw_data!C649,2)))))),"")</f>
        <v>45666</v>
      </c>
      <c r="D649" s="3" t="str">
        <f aca="false">IF(TRIM(raw_data!B649)="","Missing",IF(B649="","Invalid/Unrecognized","Valid"))</f>
        <v>Valid</v>
      </c>
      <c r="E649" s="3" t="str">
        <f aca="false">IF(TRIM(raw_data!C649)="","Missing",IF(C649="","Invalid/Unrecognized","Valid"))</f>
        <v>Valid</v>
      </c>
      <c r="F649" s="5" t="n">
        <f aca="false">IF(OR(B649="",C649=""),"",C649-B649)</f>
        <v>8</v>
      </c>
      <c r="G649" s="3" t="str">
        <f aca="false">IF(F649="","N/A",IF(F649&lt;0,"Invalid - Ship Before Order","OK"))</f>
        <v>OK</v>
      </c>
      <c r="H649" s="3" t="str">
        <f aca="false">raw_data!D649</f>
        <v>CUST-9942</v>
      </c>
      <c r="I649" s="3" t="str">
        <f aca="false">PROPER(TRIM(raw_data!E649))</f>
        <v>Rohan Mehta</v>
      </c>
      <c r="J649" s="3" t="str">
        <f aca="false">PROPER(TRIM(raw_data!F649))</f>
        <v>Small Business</v>
      </c>
      <c r="K649" s="3" t="str">
        <f aca="false">IF(TRIM(raw_data!G649)="","Unknown",PROPER(TRIM(raw_data!G649)))</f>
        <v>North</v>
      </c>
      <c r="L649" s="3" t="str">
        <f aca="false">IF(TRIM(raw_data!G649)="","Filled - Unknown","OK")</f>
        <v>OK</v>
      </c>
      <c r="M649" s="3" t="str">
        <f aca="false">PROPER(TRIM(raw_data!H649))</f>
        <v>Punjab</v>
      </c>
      <c r="N649" s="3" t="str">
        <f aca="false">PROPER(TRIM(raw_data!I649))</f>
        <v>Ludhiana</v>
      </c>
      <c r="O649" s="3" t="str">
        <f aca="false">PROPER(TRIM(raw_data!J649))</f>
        <v>Office Supplies</v>
      </c>
      <c r="P649" s="3" t="str">
        <f aca="false">PROPER(TRIM(raw_data!K649))</f>
        <v>Art</v>
      </c>
      <c r="Q649" s="3" t="str">
        <f aca="false">TRIM(raw_data!L649)</f>
        <v>Prime Art 461</v>
      </c>
      <c r="R649" s="3" t="str">
        <f aca="false">IF(TRIM(raw_data!M649)="","Unknown",PROPER(TRIM(raw_data!M649)))</f>
        <v>First Class</v>
      </c>
      <c r="S649" s="3" t="str">
        <f aca="false">IF(TRIM(raw_data!M649)="","Filled - Unknown","OK")</f>
        <v>OK</v>
      </c>
      <c r="T649" s="6" t="n">
        <f aca="false">raw_data!N649</f>
        <v>8</v>
      </c>
      <c r="U649" s="7" t="n">
        <f aca="false">raw_data!O649</f>
        <v>2123.81</v>
      </c>
      <c r="V649" s="8" t="n">
        <f aca="false">raw_data!P649</f>
        <v>0.15</v>
      </c>
      <c r="W649" s="8" t="n">
        <f aca="false">IF(raw_data!P649="",0,IF(ISTEXT(raw_data!P649),IF(RIGHT(raw_data!P649,1)="%",VALUE(LEFT(raw_data!P649,LEN(raw_data!P649)-1))/100,VALUE(raw_data!P649)),raw_data!P649))</f>
        <v>0.15</v>
      </c>
      <c r="X649" s="3" t="str">
        <f aca="false">IF(raw_data!P649="","Missing - Defaulted to 0",IF(W649&lt;0,"Negative - Invalid",IF(W649&gt;0.3,"Above Allowed Range - Invalid","Valid")))</f>
        <v>Valid</v>
      </c>
      <c r="Y649" s="7" t="n">
        <f aca="false">raw_data!Q649</f>
        <v>14441.91</v>
      </c>
      <c r="Z649" s="7" t="n">
        <f aca="false">raw_data!R649</f>
        <v>10872.89</v>
      </c>
      <c r="AA649" s="7" t="n">
        <f aca="false">raw_data!S649</f>
        <v>3569.02</v>
      </c>
      <c r="AB649" s="3" t="str">
        <f aca="false">PROPER(TRIM(raw_data!T649))</f>
        <v>Paid</v>
      </c>
      <c r="AC649" s="3" t="str">
        <f aca="false">PROPER(TRIM(raw_data!U649))</f>
        <v>Completed</v>
      </c>
      <c r="AD649" s="7" t="n">
        <f aca="false">T649*U649*(1-W649)</f>
        <v>14441.908</v>
      </c>
      <c r="AE649" s="7" t="n">
        <f aca="false">AD649-Z649</f>
        <v>3569.018</v>
      </c>
      <c r="AF649" s="8" t="n">
        <f aca="false">IF(AD649=0,0,AE649/AD649)</f>
        <v>0.247129257436067</v>
      </c>
      <c r="AG649" s="3" t="str">
        <f aca="false">IF(ABS(Y649-AD649)&gt;1,"Mismatch","OK")</f>
        <v>OK</v>
      </c>
      <c r="AH649" s="3" t="str">
        <f aca="false">IF(ABS(AA649-AE649)&gt;1,"Mismatch","OK")</f>
        <v>OK</v>
      </c>
      <c r="AI649" s="6" t="n">
        <f aca="false">IF(B649="","",MONTH(B649))</f>
        <v>1</v>
      </c>
      <c r="AJ649" s="6" t="n">
        <f aca="false">IF(B649="","",YEAR(B649))</f>
        <v>2025</v>
      </c>
      <c r="AK649" s="3" t="str">
        <f aca="false">IF(COUNTIF(raw_data!$A$2:$A$913,A649)&gt;1,"Conflicting Duplicate - Flagged for Review","Unique")</f>
        <v>Unique</v>
      </c>
      <c r="AL649" s="3" t="str">
        <f aca="false">IF(AB649="Refunded","Yes","No")</f>
        <v>No</v>
      </c>
      <c r="AM649" s="3" t="str">
        <f aca="false">IF(OR(AC649&lt;&gt;"Completed",AB649="Failed"),"Excluded","Included")</f>
        <v>Included</v>
      </c>
      <c r="AN649" s="3" t="str">
        <f aca="false">IF(OR(D649="Invalid/Unrecognized",E649="Invalid/Unrecognized",G649="Invalid - Ship Before Order",X649="Negative - Invalid",X649="Above Allowed Range - Invalid",AG649="Mismatch",AH649="Mismatch",AK649="Conflicting Duplicate - Flagged for Review"),"Invalid",IF(OR(L649="Filled - Unknown",S649="Filled - Unknown",X649="Missing - Defaulted to 0",AL649="Yes",AC649="Cancelled",AC649="Returned"),"Warning","Clean"))</f>
        <v>Clean</v>
      </c>
    </row>
    <row r="650" customFormat="false" ht="15" hidden="false" customHeight="false" outlineLevel="0" collapsed="false">
      <c r="A650" s="3" t="str">
        <f aca="false">raw_data!A650</f>
        <v>ORD-2024-10649</v>
      </c>
      <c r="B650" s="4" t="n">
        <f aca="false">IFERROR(IF(MID(raw_data!B650,3,1)="/",DATE(VALUE(RIGHT(raw_data!B650,4)),VALUE(LEFT(raw_data!B650,2)),VALUE(MID(raw_data!B650,4,2))),IF(MID(raw_data!B650,3,1)="-",DATE(VALUE(RIGHT(raw_data!B650,4)),VALUE(MID(raw_data!B650,4,2)),VALUE(LEFT(raw_data!B650,2))),IF(MID(raw_data!B650,5,1)="-",DATE(VALUE(LEFT(raw_data!B650,4)),VALUE(MID(raw_data!B650,6,2)),VALUE(RIGHT(raw_data!B650,2))),DATE(VALUE(RIGHT(raw_data!B650,4)),MATCH(MID(raw_data!B650,4,3),{"Jan","Feb","Mar","Apr","May","Jun","Jul","Aug","Sep","Oct","Nov","Dec"},0),VALUE(LEFT(raw_data!B650,2)))))),"")</f>
        <v>45403</v>
      </c>
      <c r="C650" s="4" t="n">
        <f aca="false">IFERROR(IF(MID(raw_data!C650,3,1)="/",DATE(VALUE(RIGHT(raw_data!C650,4)),VALUE(LEFT(raw_data!C650,2)),VALUE(MID(raw_data!C650,4,2))),IF(MID(raw_data!C650,3,1)="-",DATE(VALUE(RIGHT(raw_data!C650,4)),VALUE(MID(raw_data!C650,4,2)),VALUE(LEFT(raw_data!C650,2))),IF(MID(raw_data!C650,5,1)="-",DATE(VALUE(LEFT(raw_data!C650,4)),VALUE(MID(raw_data!C650,6,2)),VALUE(RIGHT(raw_data!C650,2))),DATE(VALUE(RIGHT(raw_data!C650,4)),MATCH(MID(raw_data!C650,4,3),{"Jan","Feb","Mar","Apr","May","Jun","Jul","Aug","Sep","Oct","Nov","Dec"},0),VALUE(LEFT(raw_data!C650,2)))))),"")</f>
        <v>45406</v>
      </c>
      <c r="D650" s="3" t="str">
        <f aca="false">IF(TRIM(raw_data!B650)="","Missing",IF(B650="","Invalid/Unrecognized","Valid"))</f>
        <v>Valid</v>
      </c>
      <c r="E650" s="3" t="str">
        <f aca="false">IF(TRIM(raw_data!C650)="","Missing",IF(C650="","Invalid/Unrecognized","Valid"))</f>
        <v>Valid</v>
      </c>
      <c r="F650" s="5" t="n">
        <f aca="false">IF(OR(B650="",C650=""),"",C650-B650)</f>
        <v>3</v>
      </c>
      <c r="G650" s="3" t="str">
        <f aca="false">IF(F650="","N/A",IF(F650&lt;0,"Invalid - Ship Before Order","OK"))</f>
        <v>OK</v>
      </c>
      <c r="H650" s="3" t="str">
        <f aca="false">raw_data!D650</f>
        <v>CUST-1808</v>
      </c>
      <c r="I650" s="3" t="str">
        <f aca="false">PROPER(TRIM(raw_data!E650))</f>
        <v>Neha Gupta</v>
      </c>
      <c r="J650" s="3" t="str">
        <f aca="false">PROPER(TRIM(raw_data!F650))</f>
        <v>Small Business</v>
      </c>
      <c r="K650" s="3" t="str">
        <f aca="false">IF(TRIM(raw_data!G650)="","Unknown",PROPER(TRIM(raw_data!G650)))</f>
        <v>South</v>
      </c>
      <c r="L650" s="3" t="str">
        <f aca="false">IF(TRIM(raw_data!G650)="","Filled - Unknown","OK")</f>
        <v>OK</v>
      </c>
      <c r="M650" s="3" t="str">
        <f aca="false">PROPER(TRIM(raw_data!H650))</f>
        <v>Andhra Pradesh</v>
      </c>
      <c r="N650" s="3" t="str">
        <f aca="false">PROPER(TRIM(raw_data!I650))</f>
        <v>Vijayawada</v>
      </c>
      <c r="O650" s="3" t="str">
        <f aca="false">PROPER(TRIM(raw_data!J650))</f>
        <v>Office Supplies</v>
      </c>
      <c r="P650" s="3" t="str">
        <f aca="false">PROPER(TRIM(raw_data!K650))</f>
        <v>Art</v>
      </c>
      <c r="Q650" s="3" t="str">
        <f aca="false">TRIM(raw_data!L650)</f>
        <v>Prime Art 301</v>
      </c>
      <c r="R650" s="3" t="str">
        <f aca="false">IF(TRIM(raw_data!M650)="","Unknown",PROPER(TRIM(raw_data!M650)))</f>
        <v>Same Day</v>
      </c>
      <c r="S650" s="3" t="str">
        <f aca="false">IF(TRIM(raw_data!M650)="","Filled - Unknown","OK")</f>
        <v>OK</v>
      </c>
      <c r="T650" s="6" t="n">
        <f aca="false">raw_data!N650</f>
        <v>9</v>
      </c>
      <c r="U650" s="7" t="n">
        <f aca="false">raw_data!O650</f>
        <v>703.59</v>
      </c>
      <c r="V650" s="8" t="n">
        <f aca="false">raw_data!P650</f>
        <v>0.2</v>
      </c>
      <c r="W650" s="8" t="n">
        <f aca="false">IF(raw_data!P650="",0,IF(ISTEXT(raw_data!P650),IF(RIGHT(raw_data!P650,1)="%",VALUE(LEFT(raw_data!P650,LEN(raw_data!P650)-1))/100,VALUE(raw_data!P650)),raw_data!P650))</f>
        <v>0.2</v>
      </c>
      <c r="X650" s="3" t="str">
        <f aca="false">IF(raw_data!P650="","Missing - Defaulted to 0",IF(W650&lt;0,"Negative - Invalid",IF(W650&gt;0.3,"Above Allowed Range - Invalid","Valid")))</f>
        <v>Valid</v>
      </c>
      <c r="Y650" s="7" t="n">
        <f aca="false">raw_data!Q650</f>
        <v>5065.85</v>
      </c>
      <c r="Z650" s="7" t="n">
        <f aca="false">raw_data!R650</f>
        <v>3517.23</v>
      </c>
      <c r="AA650" s="7" t="n">
        <f aca="false">raw_data!S650</f>
        <v>1548.62</v>
      </c>
      <c r="AB650" s="3" t="str">
        <f aca="false">PROPER(TRIM(raw_data!T650))</f>
        <v>Failed</v>
      </c>
      <c r="AC650" s="3" t="str">
        <f aca="false">PROPER(TRIM(raw_data!U650))</f>
        <v>Returned</v>
      </c>
      <c r="AD650" s="7" t="n">
        <f aca="false">T650*U650*(1-W650)</f>
        <v>5065.848</v>
      </c>
      <c r="AE650" s="7" t="n">
        <f aca="false">AD650-Z650</f>
        <v>1548.618</v>
      </c>
      <c r="AF650" s="8" t="n">
        <f aca="false">IF(AD650=0,0,AE650/AD650)</f>
        <v>0.305697683783643</v>
      </c>
      <c r="AG650" s="3" t="str">
        <f aca="false">IF(ABS(Y650-AD650)&gt;1,"Mismatch","OK")</f>
        <v>OK</v>
      </c>
      <c r="AH650" s="3" t="str">
        <f aca="false">IF(ABS(AA650-AE650)&gt;1,"Mismatch","OK")</f>
        <v>OK</v>
      </c>
      <c r="AI650" s="6" t="n">
        <f aca="false">IF(B650="","",MONTH(B650))</f>
        <v>4</v>
      </c>
      <c r="AJ650" s="6" t="n">
        <f aca="false">IF(B650="","",YEAR(B650))</f>
        <v>2024</v>
      </c>
      <c r="AK650" s="3" t="str">
        <f aca="false">IF(COUNTIF(raw_data!$A$2:$A$913,A650)&gt;1,"Conflicting Duplicate - Flagged for Review","Unique")</f>
        <v>Unique</v>
      </c>
      <c r="AL650" s="3" t="str">
        <f aca="false">IF(AB650="Refunded","Yes","No")</f>
        <v>No</v>
      </c>
      <c r="AM650" s="3" t="str">
        <f aca="false">IF(OR(AC650&lt;&gt;"Completed",AB650="Failed"),"Excluded","Included")</f>
        <v>Excluded</v>
      </c>
      <c r="AN650" s="3" t="str">
        <f aca="false">IF(OR(D650="Invalid/Unrecognized",E650="Invalid/Unrecognized",G650="Invalid - Ship Before Order",X650="Negative - Invalid",X650="Above Allowed Range - Invalid",AG650="Mismatch",AH650="Mismatch",AK650="Conflicting Duplicate - Flagged for Review"),"Invalid",IF(OR(L650="Filled - Unknown",S650="Filled - Unknown",X650="Missing - Defaulted to 0",AL650="Yes",AC650="Cancelled",AC650="Returned"),"Warning","Clean"))</f>
        <v>Warning</v>
      </c>
    </row>
    <row r="651" customFormat="false" ht="15" hidden="false" customHeight="false" outlineLevel="0" collapsed="false">
      <c r="A651" s="3" t="str">
        <f aca="false">raw_data!A651</f>
        <v>ORD-2025-10650</v>
      </c>
      <c r="B651" s="4" t="n">
        <f aca="false">IFERROR(IF(MID(raw_data!B651,3,1)="/",DATE(VALUE(RIGHT(raw_data!B651,4)),VALUE(LEFT(raw_data!B651,2)),VALUE(MID(raw_data!B651,4,2))),IF(MID(raw_data!B651,3,1)="-",DATE(VALUE(RIGHT(raw_data!B651,4)),VALUE(MID(raw_data!B651,4,2)),VALUE(LEFT(raw_data!B651,2))),IF(MID(raw_data!B651,5,1)="-",DATE(VALUE(LEFT(raw_data!B651,4)),VALUE(MID(raw_data!B651,6,2)),VALUE(RIGHT(raw_data!B651,2))),DATE(VALUE(RIGHT(raw_data!B651,4)),MATCH(MID(raw_data!B651,4,3),{"Jan","Feb","Mar","Apr","May","Jun","Jul","Aug","Sep","Oct","Nov","Dec"},0),VALUE(LEFT(raw_data!B651,2)))))),"")</f>
        <v>45880</v>
      </c>
      <c r="C651" s="4" t="n">
        <f aca="false">IFERROR(IF(MID(raw_data!C651,3,1)="/",DATE(VALUE(RIGHT(raw_data!C651,4)),VALUE(LEFT(raw_data!C651,2)),VALUE(MID(raw_data!C651,4,2))),IF(MID(raw_data!C651,3,1)="-",DATE(VALUE(RIGHT(raw_data!C651,4)),VALUE(MID(raw_data!C651,4,2)),VALUE(LEFT(raw_data!C651,2))),IF(MID(raw_data!C651,5,1)="-",DATE(VALUE(LEFT(raw_data!C651,4)),VALUE(MID(raw_data!C651,6,2)),VALUE(RIGHT(raw_data!C651,2))),DATE(VALUE(RIGHT(raw_data!C651,4)),MATCH(MID(raw_data!C651,4,3),{"Jan","Feb","Mar","Apr","May","Jun","Jul","Aug","Sep","Oct","Nov","Dec"},0),VALUE(LEFT(raw_data!C651,2)))))),"")</f>
        <v>45888</v>
      </c>
      <c r="D651" s="3" t="str">
        <f aca="false">IF(TRIM(raw_data!B651)="","Missing",IF(B651="","Invalid/Unrecognized","Valid"))</f>
        <v>Valid</v>
      </c>
      <c r="E651" s="3" t="str">
        <f aca="false">IF(TRIM(raw_data!C651)="","Missing",IF(C651="","Invalid/Unrecognized","Valid"))</f>
        <v>Valid</v>
      </c>
      <c r="F651" s="5" t="n">
        <f aca="false">IF(OR(B651="",C651=""),"",C651-B651)</f>
        <v>8</v>
      </c>
      <c r="G651" s="3" t="str">
        <f aca="false">IF(F651="","N/A",IF(F651&lt;0,"Invalid - Ship Before Order","OK"))</f>
        <v>OK</v>
      </c>
      <c r="H651" s="3" t="str">
        <f aca="false">raw_data!D651</f>
        <v>CUST-7277</v>
      </c>
      <c r="I651" s="3" t="str">
        <f aca="false">PROPER(TRIM(raw_data!E651))</f>
        <v>Kabir Singh</v>
      </c>
      <c r="J651" s="3" t="str">
        <f aca="false">PROPER(TRIM(raw_data!F651))</f>
        <v>Small Business</v>
      </c>
      <c r="K651" s="3" t="str">
        <f aca="false">IF(TRIM(raw_data!G651)="","Unknown",PROPER(TRIM(raw_data!G651)))</f>
        <v>South</v>
      </c>
      <c r="L651" s="3" t="str">
        <f aca="false">IF(TRIM(raw_data!G651)="","Filled - Unknown","OK")</f>
        <v>OK</v>
      </c>
      <c r="M651" s="3" t="str">
        <f aca="false">PROPER(TRIM(raw_data!H651))</f>
        <v>Kerala</v>
      </c>
      <c r="N651" s="3" t="str">
        <f aca="false">PROPER(TRIM(raw_data!I651))</f>
        <v>Kochi</v>
      </c>
      <c r="O651" s="3" t="str">
        <f aca="false">PROPER(TRIM(raw_data!J651))</f>
        <v>Technology</v>
      </c>
      <c r="P651" s="3" t="str">
        <f aca="false">PROPER(TRIM(raw_data!K651))</f>
        <v>Accessories</v>
      </c>
      <c r="Q651" s="3" t="str">
        <f aca="false">TRIM(raw_data!L651)</f>
        <v>Classic Accessories 354</v>
      </c>
      <c r="R651" s="3" t="str">
        <f aca="false">IF(TRIM(raw_data!M651)="","Unknown",PROPER(TRIM(raw_data!M651)))</f>
        <v>Standard Class</v>
      </c>
      <c r="S651" s="3" t="str">
        <f aca="false">IF(TRIM(raw_data!M651)="","Filled - Unknown","OK")</f>
        <v>OK</v>
      </c>
      <c r="T651" s="6" t="n">
        <f aca="false">raw_data!N651</f>
        <v>4</v>
      </c>
      <c r="U651" s="7" t="n">
        <f aca="false">raw_data!O651</f>
        <v>2258.96</v>
      </c>
      <c r="V651" s="8" t="n">
        <f aca="false">raw_data!P651</f>
        <v>0.25</v>
      </c>
      <c r="W651" s="8" t="n">
        <f aca="false">IF(raw_data!P651="",0,IF(ISTEXT(raw_data!P651),IF(RIGHT(raw_data!P651,1)="%",VALUE(LEFT(raw_data!P651,LEN(raw_data!P651)-1))/100,VALUE(raw_data!P651)),raw_data!P651))</f>
        <v>0.25</v>
      </c>
      <c r="X651" s="3" t="str">
        <f aca="false">IF(raw_data!P651="","Missing - Defaulted to 0",IF(W651&lt;0,"Negative - Invalid",IF(W651&gt;0.3,"Above Allowed Range - Invalid","Valid")))</f>
        <v>Valid</v>
      </c>
      <c r="Y651" s="7" t="n">
        <f aca="false">raw_data!Q651</f>
        <v>6776.88</v>
      </c>
      <c r="Z651" s="7" t="n">
        <f aca="false">raw_data!R651</f>
        <v>3836.24</v>
      </c>
      <c r="AA651" s="7" t="n">
        <f aca="false">raw_data!S651</f>
        <v>2940.64</v>
      </c>
      <c r="AB651" s="3" t="str">
        <f aca="false">PROPER(TRIM(raw_data!T651))</f>
        <v>Paid</v>
      </c>
      <c r="AC651" s="3" t="str">
        <f aca="false">PROPER(TRIM(raw_data!U651))</f>
        <v>Completed</v>
      </c>
      <c r="AD651" s="7" t="n">
        <f aca="false">T651*U651*(1-W651)</f>
        <v>6776.88</v>
      </c>
      <c r="AE651" s="7" t="n">
        <f aca="false">AD651-Z651</f>
        <v>2940.64</v>
      </c>
      <c r="AF651" s="8" t="n">
        <f aca="false">IF(AD651=0,0,AE651/AD651)</f>
        <v>0.433922394966415</v>
      </c>
      <c r="AG651" s="3" t="str">
        <f aca="false">IF(ABS(Y651-AD651)&gt;1,"Mismatch","OK")</f>
        <v>OK</v>
      </c>
      <c r="AH651" s="3" t="str">
        <f aca="false">IF(ABS(AA651-AE651)&gt;1,"Mismatch","OK")</f>
        <v>OK</v>
      </c>
      <c r="AI651" s="6" t="n">
        <f aca="false">IF(B651="","",MONTH(B651))</f>
        <v>8</v>
      </c>
      <c r="AJ651" s="6" t="n">
        <f aca="false">IF(B651="","",YEAR(B651))</f>
        <v>2025</v>
      </c>
      <c r="AK651" s="3" t="str">
        <f aca="false">IF(COUNTIF(raw_data!$A$2:$A$913,A651)&gt;1,"Conflicting Duplicate - Flagged for Review","Unique")</f>
        <v>Unique</v>
      </c>
      <c r="AL651" s="3" t="str">
        <f aca="false">IF(AB651="Refunded","Yes","No")</f>
        <v>No</v>
      </c>
      <c r="AM651" s="3" t="str">
        <f aca="false">IF(OR(AC651&lt;&gt;"Completed",AB651="Failed"),"Excluded","Included")</f>
        <v>Included</v>
      </c>
      <c r="AN651" s="3" t="str">
        <f aca="false">IF(OR(D651="Invalid/Unrecognized",E651="Invalid/Unrecognized",G651="Invalid - Ship Before Order",X651="Negative - Invalid",X651="Above Allowed Range - Invalid",AG651="Mismatch",AH651="Mismatch",AK651="Conflicting Duplicate - Flagged for Review"),"Invalid",IF(OR(L651="Filled - Unknown",S651="Filled - Unknown",X651="Missing - Defaulted to 0",AL651="Yes",AC651="Cancelled",AC651="Returned"),"Warning","Clean"))</f>
        <v>Clean</v>
      </c>
    </row>
    <row r="652" customFormat="false" ht="15" hidden="false" customHeight="false" outlineLevel="0" collapsed="false">
      <c r="A652" s="3" t="str">
        <f aca="false">raw_data!A652</f>
        <v>ORD-2024-10651</v>
      </c>
      <c r="B652" s="4" t="n">
        <f aca="false">IFERROR(IF(MID(raw_data!B652,3,1)="/",DATE(VALUE(RIGHT(raw_data!B652,4)),VALUE(LEFT(raw_data!B652,2)),VALUE(MID(raw_data!B652,4,2))),IF(MID(raw_data!B652,3,1)="-",DATE(VALUE(RIGHT(raw_data!B652,4)),VALUE(MID(raw_data!B652,4,2)),VALUE(LEFT(raw_data!B652,2))),IF(MID(raw_data!B652,5,1)="-",DATE(VALUE(LEFT(raw_data!B652,4)),VALUE(MID(raw_data!B652,6,2)),VALUE(RIGHT(raw_data!B652,2))),DATE(VALUE(RIGHT(raw_data!B652,4)),MATCH(MID(raw_data!B652,4,3),{"Jan","Feb","Mar","Apr","May","Jun","Jul","Aug","Sep","Oct","Nov","Dec"},0),VALUE(LEFT(raw_data!B652,2)))))),"")</f>
        <v>45395</v>
      </c>
      <c r="C652" s="4" t="n">
        <f aca="false">IFERROR(IF(MID(raw_data!C652,3,1)="/",DATE(VALUE(RIGHT(raw_data!C652,4)),VALUE(LEFT(raw_data!C652,2)),VALUE(MID(raw_data!C652,4,2))),IF(MID(raw_data!C652,3,1)="-",DATE(VALUE(RIGHT(raw_data!C652,4)),VALUE(MID(raw_data!C652,4,2)),VALUE(LEFT(raw_data!C652,2))),IF(MID(raw_data!C652,5,1)="-",DATE(VALUE(LEFT(raw_data!C652,4)),VALUE(MID(raw_data!C652,6,2)),VALUE(RIGHT(raw_data!C652,2))),DATE(VALUE(RIGHT(raw_data!C652,4)),MATCH(MID(raw_data!C652,4,3),{"Jan","Feb","Mar","Apr","May","Jun","Jul","Aug","Sep","Oct","Nov","Dec"},0),VALUE(LEFT(raw_data!C652,2)))))),"")</f>
        <v>45403</v>
      </c>
      <c r="D652" s="3" t="str">
        <f aca="false">IF(TRIM(raw_data!B652)="","Missing",IF(B652="","Invalid/Unrecognized","Valid"))</f>
        <v>Valid</v>
      </c>
      <c r="E652" s="3" t="str">
        <f aca="false">IF(TRIM(raw_data!C652)="","Missing",IF(C652="","Invalid/Unrecognized","Valid"))</f>
        <v>Valid</v>
      </c>
      <c r="F652" s="5" t="n">
        <f aca="false">IF(OR(B652="",C652=""),"",C652-B652)</f>
        <v>8</v>
      </c>
      <c r="G652" s="3" t="str">
        <f aca="false">IF(F652="","N/A",IF(F652&lt;0,"Invalid - Ship Before Order","OK"))</f>
        <v>OK</v>
      </c>
      <c r="H652" s="3" t="str">
        <f aca="false">raw_data!D652</f>
        <v>CUST-7744</v>
      </c>
      <c r="I652" s="3" t="str">
        <f aca="false">PROPER(TRIM(raw_data!E652))</f>
        <v>Aarav Sharma</v>
      </c>
      <c r="J652" s="3" t="str">
        <f aca="false">PROPER(TRIM(raw_data!F652))</f>
        <v>Home Office</v>
      </c>
      <c r="K652" s="3" t="str">
        <f aca="false">IF(TRIM(raw_data!G652)="","Unknown",PROPER(TRIM(raw_data!G652)))</f>
        <v>East</v>
      </c>
      <c r="L652" s="3" t="str">
        <f aca="false">IF(TRIM(raw_data!G652)="","Filled - Unknown","OK")</f>
        <v>OK</v>
      </c>
      <c r="M652" s="3" t="str">
        <f aca="false">PROPER(TRIM(raw_data!H652))</f>
        <v>Bihar</v>
      </c>
      <c r="N652" s="3" t="str">
        <f aca="false">PROPER(TRIM(raw_data!I652))</f>
        <v>Patna</v>
      </c>
      <c r="O652" s="3" t="str">
        <f aca="false">PROPER(TRIM(raw_data!J652))</f>
        <v>Technology</v>
      </c>
      <c r="P652" s="3" t="str">
        <f aca="false">PROPER(TRIM(raw_data!K652))</f>
        <v>Accessories</v>
      </c>
      <c r="Q652" s="3" t="str">
        <f aca="false">TRIM(raw_data!L652)</f>
        <v>Basic Accessories 210</v>
      </c>
      <c r="R652" s="3" t="str">
        <f aca="false">IF(TRIM(raw_data!M652)="","Unknown",PROPER(TRIM(raw_data!M652)))</f>
        <v>Same Day</v>
      </c>
      <c r="S652" s="3" t="str">
        <f aca="false">IF(TRIM(raw_data!M652)="","Filled - Unknown","OK")</f>
        <v>OK</v>
      </c>
      <c r="T652" s="6" t="n">
        <f aca="false">raw_data!N652</f>
        <v>7</v>
      </c>
      <c r="U652" s="7" t="n">
        <f aca="false">raw_data!O652</f>
        <v>2648.76</v>
      </c>
      <c r="V652" s="8" t="n">
        <f aca="false">raw_data!P652</f>
        <v>0.15</v>
      </c>
      <c r="W652" s="8" t="n">
        <f aca="false">IF(raw_data!P652="",0,IF(ISTEXT(raw_data!P652),IF(RIGHT(raw_data!P652,1)="%",VALUE(LEFT(raw_data!P652,LEN(raw_data!P652)-1))/100,VALUE(raw_data!P652)),raw_data!P652))</f>
        <v>0.15</v>
      </c>
      <c r="X652" s="3" t="str">
        <f aca="false">IF(raw_data!P652="","Missing - Defaulted to 0",IF(W652&lt;0,"Negative - Invalid",IF(W652&gt;0.3,"Above Allowed Range - Invalid","Valid")))</f>
        <v>Valid</v>
      </c>
      <c r="Y652" s="7" t="n">
        <f aca="false">raw_data!Q652</f>
        <v>15760.12</v>
      </c>
      <c r="Z652" s="7" t="n">
        <f aca="false">raw_data!R652</f>
        <v>9931.53</v>
      </c>
      <c r="AA652" s="7" t="n">
        <f aca="false">raw_data!S652</f>
        <v>5828.59</v>
      </c>
      <c r="AB652" s="3" t="str">
        <f aca="false">PROPER(TRIM(raw_data!T652))</f>
        <v>Failed</v>
      </c>
      <c r="AC652" s="3" t="str">
        <f aca="false">PROPER(TRIM(raw_data!U652))</f>
        <v>Returned</v>
      </c>
      <c r="AD652" s="7" t="n">
        <f aca="false">T652*U652*(1-W652)</f>
        <v>15760.122</v>
      </c>
      <c r="AE652" s="7" t="n">
        <f aca="false">AD652-Z652</f>
        <v>5828.592</v>
      </c>
      <c r="AF652" s="8" t="n">
        <f aca="false">IF(AD652=0,0,AE652/AD652)</f>
        <v>0.369831654856479</v>
      </c>
      <c r="AG652" s="3" t="str">
        <f aca="false">IF(ABS(Y652-AD652)&gt;1,"Mismatch","OK")</f>
        <v>OK</v>
      </c>
      <c r="AH652" s="3" t="str">
        <f aca="false">IF(ABS(AA652-AE652)&gt;1,"Mismatch","OK")</f>
        <v>OK</v>
      </c>
      <c r="AI652" s="6" t="n">
        <f aca="false">IF(B652="","",MONTH(B652))</f>
        <v>4</v>
      </c>
      <c r="AJ652" s="6" t="n">
        <f aca="false">IF(B652="","",YEAR(B652))</f>
        <v>2024</v>
      </c>
      <c r="AK652" s="3" t="str">
        <f aca="false">IF(COUNTIF(raw_data!$A$2:$A$913,A652)&gt;1,"Conflicting Duplicate - Flagged for Review","Unique")</f>
        <v>Unique</v>
      </c>
      <c r="AL652" s="3" t="str">
        <f aca="false">IF(AB652="Refunded","Yes","No")</f>
        <v>No</v>
      </c>
      <c r="AM652" s="3" t="str">
        <f aca="false">IF(OR(AC652&lt;&gt;"Completed",AB652="Failed"),"Excluded","Included")</f>
        <v>Excluded</v>
      </c>
      <c r="AN652" s="3" t="str">
        <f aca="false">IF(OR(D652="Invalid/Unrecognized",E652="Invalid/Unrecognized",G652="Invalid - Ship Before Order",X652="Negative - Invalid",X652="Above Allowed Range - Invalid",AG652="Mismatch",AH652="Mismatch",AK652="Conflicting Duplicate - Flagged for Review"),"Invalid",IF(OR(L652="Filled - Unknown",S652="Filled - Unknown",X652="Missing - Defaulted to 0",AL652="Yes",AC652="Cancelled",AC652="Returned"),"Warning","Clean"))</f>
        <v>Warning</v>
      </c>
    </row>
    <row r="653" customFormat="false" ht="15" hidden="false" customHeight="false" outlineLevel="0" collapsed="false">
      <c r="A653" s="3" t="str">
        <f aca="false">raw_data!A653</f>
        <v>ORD-2025-10652</v>
      </c>
      <c r="B653" s="4" t="n">
        <f aca="false">IFERROR(IF(MID(raw_data!B653,3,1)="/",DATE(VALUE(RIGHT(raw_data!B653,4)),VALUE(LEFT(raw_data!B653,2)),VALUE(MID(raw_data!B653,4,2))),IF(MID(raw_data!B653,3,1)="-",DATE(VALUE(RIGHT(raw_data!B653,4)),VALUE(MID(raw_data!B653,4,2)),VALUE(LEFT(raw_data!B653,2))),IF(MID(raw_data!B653,5,1)="-",DATE(VALUE(LEFT(raw_data!B653,4)),VALUE(MID(raw_data!B653,6,2)),VALUE(RIGHT(raw_data!B653,2))),DATE(VALUE(RIGHT(raw_data!B653,4)),MATCH(MID(raw_data!B653,4,3),{"Jan","Feb","Mar","Apr","May","Jun","Jul","Aug","Sep","Oct","Nov","Dec"},0),VALUE(LEFT(raw_data!B653,2)))))),"")</f>
        <v>45875</v>
      </c>
      <c r="C653" s="4" t="n">
        <f aca="false">IFERROR(IF(MID(raw_data!C653,3,1)="/",DATE(VALUE(RIGHT(raw_data!C653,4)),VALUE(LEFT(raw_data!C653,2)),VALUE(MID(raw_data!C653,4,2))),IF(MID(raw_data!C653,3,1)="-",DATE(VALUE(RIGHT(raw_data!C653,4)),VALUE(MID(raw_data!C653,4,2)),VALUE(LEFT(raw_data!C653,2))),IF(MID(raw_data!C653,5,1)="-",DATE(VALUE(LEFT(raw_data!C653,4)),VALUE(MID(raw_data!C653,6,2)),VALUE(RIGHT(raw_data!C653,2))),DATE(VALUE(RIGHT(raw_data!C653,4)),MATCH(MID(raw_data!C653,4,3),{"Jan","Feb","Mar","Apr","May","Jun","Jul","Aug","Sep","Oct","Nov","Dec"},0),VALUE(LEFT(raw_data!C653,2)))))),"")</f>
        <v>45878</v>
      </c>
      <c r="D653" s="3" t="str">
        <f aca="false">IF(TRIM(raw_data!B653)="","Missing",IF(B653="","Invalid/Unrecognized","Valid"))</f>
        <v>Valid</v>
      </c>
      <c r="E653" s="3" t="str">
        <f aca="false">IF(TRIM(raw_data!C653)="","Missing",IF(C653="","Invalid/Unrecognized","Valid"))</f>
        <v>Valid</v>
      </c>
      <c r="F653" s="5" t="n">
        <f aca="false">IF(OR(B653="",C653=""),"",C653-B653)</f>
        <v>3</v>
      </c>
      <c r="G653" s="3" t="str">
        <f aca="false">IF(F653="","N/A",IF(F653&lt;0,"Invalid - Ship Before Order","OK"))</f>
        <v>OK</v>
      </c>
      <c r="H653" s="3" t="str">
        <f aca="false">raw_data!D653</f>
        <v>CUST-2660</v>
      </c>
      <c r="I653" s="3" t="str">
        <f aca="false">PROPER(TRIM(raw_data!E653))</f>
        <v>Mira Das</v>
      </c>
      <c r="J653" s="3" t="str">
        <f aca="false">PROPER(TRIM(raw_data!F653))</f>
        <v>Small Business</v>
      </c>
      <c r="K653" s="3" t="str">
        <f aca="false">IF(TRIM(raw_data!G653)="","Unknown",PROPER(TRIM(raw_data!G653)))</f>
        <v>South</v>
      </c>
      <c r="L653" s="3" t="str">
        <f aca="false">IF(TRIM(raw_data!G653)="","Filled - Unknown","OK")</f>
        <v>OK</v>
      </c>
      <c r="M653" s="3" t="str">
        <f aca="false">PROPER(TRIM(raw_data!H653))</f>
        <v>Andhra Pradesh</v>
      </c>
      <c r="N653" s="3" t="str">
        <f aca="false">PROPER(TRIM(raw_data!I653))</f>
        <v>Vijayawada</v>
      </c>
      <c r="O653" s="3" t="str">
        <f aca="false">PROPER(TRIM(raw_data!J653))</f>
        <v>Office Supplies</v>
      </c>
      <c r="P653" s="3" t="str">
        <f aca="false">PROPER(TRIM(raw_data!K653))</f>
        <v>Paper</v>
      </c>
      <c r="Q653" s="3" t="str">
        <f aca="false">TRIM(raw_data!L653)</f>
        <v>Smart Paper 364</v>
      </c>
      <c r="R653" s="3" t="str">
        <f aca="false">IF(TRIM(raw_data!M653)="","Unknown",PROPER(TRIM(raw_data!M653)))</f>
        <v>Second Class</v>
      </c>
      <c r="S653" s="3" t="str">
        <f aca="false">IF(TRIM(raw_data!M653)="","Filled - Unknown","OK")</f>
        <v>OK</v>
      </c>
      <c r="T653" s="6" t="n">
        <f aca="false">raw_data!N653</f>
        <v>3</v>
      </c>
      <c r="U653" s="7" t="n">
        <f aca="false">raw_data!O653</f>
        <v>598.55</v>
      </c>
      <c r="V653" s="8" t="n">
        <f aca="false">raw_data!P653</f>
        <v>0</v>
      </c>
      <c r="W653" s="8" t="n">
        <f aca="false">IF(raw_data!P653="",0,IF(ISTEXT(raw_data!P653),IF(RIGHT(raw_data!P653,1)="%",VALUE(LEFT(raw_data!P653,LEN(raw_data!P653)-1))/100,VALUE(raw_data!P653)),raw_data!P653))</f>
        <v>0</v>
      </c>
      <c r="X653" s="3" t="str">
        <f aca="false">IF(raw_data!P653="","Missing - Defaulted to 0",IF(W653&lt;0,"Negative - Invalid",IF(W653&gt;0.3,"Above Allowed Range - Invalid","Valid")))</f>
        <v>Valid</v>
      </c>
      <c r="Y653" s="7" t="n">
        <f aca="false">raw_data!Q653</f>
        <v>1795.65</v>
      </c>
      <c r="Z653" s="7" t="n">
        <f aca="false">raw_data!R653</f>
        <v>996.72</v>
      </c>
      <c r="AA653" s="7" t="n">
        <f aca="false">raw_data!S653</f>
        <v>798.93</v>
      </c>
      <c r="AB653" s="3" t="str">
        <f aca="false">PROPER(TRIM(raw_data!T653))</f>
        <v>Paid</v>
      </c>
      <c r="AC653" s="3" t="str">
        <f aca="false">PROPER(TRIM(raw_data!U653))</f>
        <v>Completed</v>
      </c>
      <c r="AD653" s="7" t="n">
        <f aca="false">T653*U653*(1-W653)</f>
        <v>1795.65</v>
      </c>
      <c r="AE653" s="7" t="n">
        <f aca="false">AD653-Z653</f>
        <v>798.93</v>
      </c>
      <c r="AF653" s="8" t="n">
        <f aca="false">IF(AD653=0,0,AE653/AD653)</f>
        <v>0.444925235986968</v>
      </c>
      <c r="AG653" s="3" t="str">
        <f aca="false">IF(ABS(Y653-AD653)&gt;1,"Mismatch","OK")</f>
        <v>OK</v>
      </c>
      <c r="AH653" s="3" t="str">
        <f aca="false">IF(ABS(AA653-AE653)&gt;1,"Mismatch","OK")</f>
        <v>OK</v>
      </c>
      <c r="AI653" s="6" t="n">
        <f aca="false">IF(B653="","",MONTH(B653))</f>
        <v>8</v>
      </c>
      <c r="AJ653" s="6" t="n">
        <f aca="false">IF(B653="","",YEAR(B653))</f>
        <v>2025</v>
      </c>
      <c r="AK653" s="3" t="str">
        <f aca="false">IF(COUNTIF(raw_data!$A$2:$A$913,A653)&gt;1,"Conflicting Duplicate - Flagged for Review","Unique")</f>
        <v>Unique</v>
      </c>
      <c r="AL653" s="3" t="str">
        <f aca="false">IF(AB653="Refunded","Yes","No")</f>
        <v>No</v>
      </c>
      <c r="AM653" s="3" t="str">
        <f aca="false">IF(OR(AC653&lt;&gt;"Completed",AB653="Failed"),"Excluded","Included")</f>
        <v>Included</v>
      </c>
      <c r="AN653" s="3" t="str">
        <f aca="false">IF(OR(D653="Invalid/Unrecognized",E653="Invalid/Unrecognized",G653="Invalid - Ship Before Order",X653="Negative - Invalid",X653="Above Allowed Range - Invalid",AG653="Mismatch",AH653="Mismatch",AK653="Conflicting Duplicate - Flagged for Review"),"Invalid",IF(OR(L653="Filled - Unknown",S653="Filled - Unknown",X653="Missing - Defaulted to 0",AL653="Yes",AC653="Cancelled",AC653="Returned"),"Warning","Clean"))</f>
        <v>Clean</v>
      </c>
    </row>
    <row r="654" customFormat="false" ht="15" hidden="false" customHeight="false" outlineLevel="0" collapsed="false">
      <c r="A654" s="3" t="str">
        <f aca="false">raw_data!A654</f>
        <v>ORD-2025-10653</v>
      </c>
      <c r="B654" s="4" t="n">
        <f aca="false">IFERROR(IF(MID(raw_data!B654,3,1)="/",DATE(VALUE(RIGHT(raw_data!B654,4)),VALUE(LEFT(raw_data!B654,2)),VALUE(MID(raw_data!B654,4,2))),IF(MID(raw_data!B654,3,1)="-",DATE(VALUE(RIGHT(raw_data!B654,4)),VALUE(MID(raw_data!B654,4,2)),VALUE(LEFT(raw_data!B654,2))),IF(MID(raw_data!B654,5,1)="-",DATE(VALUE(LEFT(raw_data!B654,4)),VALUE(MID(raw_data!B654,6,2)),VALUE(RIGHT(raw_data!B654,2))),DATE(VALUE(RIGHT(raw_data!B654,4)),MATCH(MID(raw_data!B654,4,3),{"Jan","Feb","Mar","Apr","May","Jun","Jul","Aug","Sep","Oct","Nov","Dec"},0),VALUE(LEFT(raw_data!B654,2)))))),"")</f>
        <v>45733</v>
      </c>
      <c r="C654" s="4" t="n">
        <f aca="false">IFERROR(IF(MID(raw_data!C654,3,1)="/",DATE(VALUE(RIGHT(raw_data!C654,4)),VALUE(LEFT(raw_data!C654,2)),VALUE(MID(raw_data!C654,4,2))),IF(MID(raw_data!C654,3,1)="-",DATE(VALUE(RIGHT(raw_data!C654,4)),VALUE(MID(raw_data!C654,4,2)),VALUE(LEFT(raw_data!C654,2))),IF(MID(raw_data!C654,5,1)="-",DATE(VALUE(LEFT(raw_data!C654,4)),VALUE(MID(raw_data!C654,6,2)),VALUE(RIGHT(raw_data!C654,2))),DATE(VALUE(RIGHT(raw_data!C654,4)),MATCH(MID(raw_data!C654,4,3),{"Jan","Feb","Mar","Apr","May","Jun","Jul","Aug","Sep","Oct","Nov","Dec"},0),VALUE(LEFT(raw_data!C654,2)))))),"")</f>
        <v>45737</v>
      </c>
      <c r="D654" s="3" t="str">
        <f aca="false">IF(TRIM(raw_data!B654)="","Missing",IF(B654="","Invalid/Unrecognized","Valid"))</f>
        <v>Valid</v>
      </c>
      <c r="E654" s="3" t="str">
        <f aca="false">IF(TRIM(raw_data!C654)="","Missing",IF(C654="","Invalid/Unrecognized","Valid"))</f>
        <v>Valid</v>
      </c>
      <c r="F654" s="5" t="n">
        <f aca="false">IF(OR(B654="",C654=""),"",C654-B654)</f>
        <v>4</v>
      </c>
      <c r="G654" s="3" t="str">
        <f aca="false">IF(F654="","N/A",IF(F654&lt;0,"Invalid - Ship Before Order","OK"))</f>
        <v>OK</v>
      </c>
      <c r="H654" s="3" t="str">
        <f aca="false">raw_data!D654</f>
        <v>CUST-8177</v>
      </c>
      <c r="I654" s="3" t="str">
        <f aca="false">PROPER(TRIM(raw_data!E654))</f>
        <v>Sneha Kapoor</v>
      </c>
      <c r="J654" s="3" t="str">
        <f aca="false">PROPER(TRIM(raw_data!F654))</f>
        <v>Consumer</v>
      </c>
      <c r="K654" s="3" t="str">
        <f aca="false">IF(TRIM(raw_data!G654)="","Unknown",PROPER(TRIM(raw_data!G654)))</f>
        <v>North</v>
      </c>
      <c r="L654" s="3" t="str">
        <f aca="false">IF(TRIM(raw_data!G654)="","Filled - Unknown","OK")</f>
        <v>OK</v>
      </c>
      <c r="M654" s="3" t="str">
        <f aca="false">PROPER(TRIM(raw_data!H654))</f>
        <v>Uttar Pradesh</v>
      </c>
      <c r="N654" s="3" t="str">
        <f aca="false">PROPER(TRIM(raw_data!I654))</f>
        <v>Noida</v>
      </c>
      <c r="O654" s="3" t="str">
        <f aca="false">PROPER(TRIM(raw_data!J654))</f>
        <v>Office Supplies</v>
      </c>
      <c r="P654" s="3" t="str">
        <f aca="false">PROPER(TRIM(raw_data!K654))</f>
        <v>Binders</v>
      </c>
      <c r="Q654" s="3" t="str">
        <f aca="false">TRIM(raw_data!L654)</f>
        <v>Smart Binders 999</v>
      </c>
      <c r="R654" s="3" t="str">
        <f aca="false">IF(TRIM(raw_data!M654)="","Unknown",PROPER(TRIM(raw_data!M654)))</f>
        <v>Standard Class</v>
      </c>
      <c r="S654" s="3" t="str">
        <f aca="false">IF(TRIM(raw_data!M654)="","Filled - Unknown","OK")</f>
        <v>OK</v>
      </c>
      <c r="T654" s="6" t="n">
        <f aca="false">raw_data!N654</f>
        <v>5</v>
      </c>
      <c r="U654" s="7" t="n">
        <f aca="false">raw_data!O654</f>
        <v>4320.59</v>
      </c>
      <c r="V654" s="8" t="n">
        <f aca="false">raw_data!P654</f>
        <v>0.15</v>
      </c>
      <c r="W654" s="8" t="n">
        <f aca="false">IF(raw_data!P654="",0,IF(ISTEXT(raw_data!P654),IF(RIGHT(raw_data!P654,1)="%",VALUE(LEFT(raw_data!P654,LEN(raw_data!P654)-1))/100,VALUE(raw_data!P654)),raw_data!P654))</f>
        <v>0.15</v>
      </c>
      <c r="X654" s="3" t="str">
        <f aca="false">IF(raw_data!P654="","Missing - Defaulted to 0",IF(W654&lt;0,"Negative - Invalid",IF(W654&gt;0.3,"Above Allowed Range - Invalid","Valid")))</f>
        <v>Valid</v>
      </c>
      <c r="Y654" s="7" t="n">
        <f aca="false">raw_data!Q654</f>
        <v>18362.51</v>
      </c>
      <c r="Z654" s="7" t="n">
        <f aca="false">raw_data!R654</f>
        <v>11133.97</v>
      </c>
      <c r="AA654" s="7" t="n">
        <f aca="false">raw_data!S654</f>
        <v>7228.54</v>
      </c>
      <c r="AB654" s="3" t="str">
        <f aca="false">PROPER(TRIM(raw_data!T654))</f>
        <v>Paid</v>
      </c>
      <c r="AC654" s="3" t="str">
        <f aca="false">PROPER(TRIM(raw_data!U654))</f>
        <v>Completed</v>
      </c>
      <c r="AD654" s="7" t="n">
        <f aca="false">T654*U654*(1-W654)</f>
        <v>18362.5075</v>
      </c>
      <c r="AE654" s="7" t="n">
        <f aca="false">AD654-Z654</f>
        <v>7228.5375</v>
      </c>
      <c r="AF654" s="8" t="n">
        <f aca="false">IF(AD654=0,0,AE654/AD654)</f>
        <v>0.393657429411533</v>
      </c>
      <c r="AG654" s="3" t="str">
        <f aca="false">IF(ABS(Y654-AD654)&gt;1,"Mismatch","OK")</f>
        <v>OK</v>
      </c>
      <c r="AH654" s="3" t="str">
        <f aca="false">IF(ABS(AA654-AE654)&gt;1,"Mismatch","OK")</f>
        <v>OK</v>
      </c>
      <c r="AI654" s="6" t="n">
        <f aca="false">IF(B654="","",MONTH(B654))</f>
        <v>3</v>
      </c>
      <c r="AJ654" s="6" t="n">
        <f aca="false">IF(B654="","",YEAR(B654))</f>
        <v>2025</v>
      </c>
      <c r="AK654" s="3" t="str">
        <f aca="false">IF(COUNTIF(raw_data!$A$2:$A$913,A654)&gt;1,"Conflicting Duplicate - Flagged for Review","Unique")</f>
        <v>Unique</v>
      </c>
      <c r="AL654" s="3" t="str">
        <f aca="false">IF(AB654="Refunded","Yes","No")</f>
        <v>No</v>
      </c>
      <c r="AM654" s="3" t="str">
        <f aca="false">IF(OR(AC654&lt;&gt;"Completed",AB654="Failed"),"Excluded","Included")</f>
        <v>Included</v>
      </c>
      <c r="AN654" s="3" t="str">
        <f aca="false">IF(OR(D654="Invalid/Unrecognized",E654="Invalid/Unrecognized",G654="Invalid - Ship Before Order",X654="Negative - Invalid",X654="Above Allowed Range - Invalid",AG654="Mismatch",AH654="Mismatch",AK654="Conflicting Duplicate - Flagged for Review"),"Invalid",IF(OR(L654="Filled - Unknown",S654="Filled - Unknown",X654="Missing - Defaulted to 0",AL654="Yes",AC654="Cancelled",AC654="Returned"),"Warning","Clean"))</f>
        <v>Clean</v>
      </c>
    </row>
    <row r="655" customFormat="false" ht="15" hidden="false" customHeight="false" outlineLevel="0" collapsed="false">
      <c r="A655" s="3" t="str">
        <f aca="false">raw_data!A655</f>
        <v>ORD-2025-10654</v>
      </c>
      <c r="B655" s="4" t="n">
        <f aca="false">IFERROR(IF(MID(raw_data!B655,3,1)="/",DATE(VALUE(RIGHT(raw_data!B655,4)),VALUE(LEFT(raw_data!B655,2)),VALUE(MID(raw_data!B655,4,2))),IF(MID(raw_data!B655,3,1)="-",DATE(VALUE(RIGHT(raw_data!B655,4)),VALUE(MID(raw_data!B655,4,2)),VALUE(LEFT(raw_data!B655,2))),IF(MID(raw_data!B655,5,1)="-",DATE(VALUE(LEFT(raw_data!B655,4)),VALUE(MID(raw_data!B655,6,2)),VALUE(RIGHT(raw_data!B655,2))),DATE(VALUE(RIGHT(raw_data!B655,4)),MATCH(MID(raw_data!B655,4,3),{"Jan","Feb","Mar","Apr","May","Jun","Jul","Aug","Sep","Oct","Nov","Dec"},0),VALUE(LEFT(raw_data!B655,2)))))),"")</f>
        <v>45751</v>
      </c>
      <c r="C655" s="4" t="n">
        <f aca="false">IFERROR(IF(MID(raw_data!C655,3,1)="/",DATE(VALUE(RIGHT(raw_data!C655,4)),VALUE(LEFT(raw_data!C655,2)),VALUE(MID(raw_data!C655,4,2))),IF(MID(raw_data!C655,3,1)="-",DATE(VALUE(RIGHT(raw_data!C655,4)),VALUE(MID(raw_data!C655,4,2)),VALUE(LEFT(raw_data!C655,2))),IF(MID(raw_data!C655,5,1)="-",DATE(VALUE(LEFT(raw_data!C655,4)),VALUE(MID(raw_data!C655,6,2)),VALUE(RIGHT(raw_data!C655,2))),DATE(VALUE(RIGHT(raw_data!C655,4)),MATCH(MID(raw_data!C655,4,3),{"Jan","Feb","Mar","Apr","May","Jun","Jul","Aug","Sep","Oct","Nov","Dec"},0),VALUE(LEFT(raw_data!C655,2)))))),"")</f>
        <v>45754</v>
      </c>
      <c r="D655" s="3" t="str">
        <f aca="false">IF(TRIM(raw_data!B655)="","Missing",IF(B655="","Invalid/Unrecognized","Valid"))</f>
        <v>Valid</v>
      </c>
      <c r="E655" s="3" t="str">
        <f aca="false">IF(TRIM(raw_data!C655)="","Missing",IF(C655="","Invalid/Unrecognized","Valid"))</f>
        <v>Valid</v>
      </c>
      <c r="F655" s="5" t="n">
        <f aca="false">IF(OR(B655="",C655=""),"",C655-B655)</f>
        <v>3</v>
      </c>
      <c r="G655" s="3" t="str">
        <f aca="false">IF(F655="","N/A",IF(F655&lt;0,"Invalid - Ship Before Order","OK"))</f>
        <v>OK</v>
      </c>
      <c r="H655" s="3" t="str">
        <f aca="false">raw_data!D655</f>
        <v>CUST-3970</v>
      </c>
      <c r="I655" s="3" t="str">
        <f aca="false">PROPER(TRIM(raw_data!E655))</f>
        <v>Priya Menon</v>
      </c>
      <c r="J655" s="3" t="str">
        <f aca="false">PROPER(TRIM(raw_data!F655))</f>
        <v>Small Business</v>
      </c>
      <c r="K655" s="3" t="str">
        <f aca="false">IF(TRIM(raw_data!G655)="","Unknown",PROPER(TRIM(raw_data!G655)))</f>
        <v>South</v>
      </c>
      <c r="L655" s="3" t="str">
        <f aca="false">IF(TRIM(raw_data!G655)="","Filled - Unknown","OK")</f>
        <v>OK</v>
      </c>
      <c r="M655" s="3" t="str">
        <f aca="false">PROPER(TRIM(raw_data!H655))</f>
        <v>Tamil Nadu</v>
      </c>
      <c r="N655" s="3" t="str">
        <f aca="false">PROPER(TRIM(raw_data!I655))</f>
        <v>Chennai</v>
      </c>
      <c r="O655" s="3" t="str">
        <f aca="false">PROPER(TRIM(raw_data!J655))</f>
        <v>Technology</v>
      </c>
      <c r="P655" s="3" t="str">
        <f aca="false">PROPER(TRIM(raw_data!K655))</f>
        <v>Copiers</v>
      </c>
      <c r="Q655" s="3" t="str">
        <f aca="false">TRIM(raw_data!L655)</f>
        <v>Max Copiers 356</v>
      </c>
      <c r="R655" s="3" t="str">
        <f aca="false">IF(TRIM(raw_data!M655)="","Unknown",PROPER(TRIM(raw_data!M655)))</f>
        <v>Second Class</v>
      </c>
      <c r="S655" s="3" t="str">
        <f aca="false">IF(TRIM(raw_data!M655)="","Filled - Unknown","OK")</f>
        <v>OK</v>
      </c>
      <c r="T655" s="6" t="n">
        <f aca="false">raw_data!N655</f>
        <v>7</v>
      </c>
      <c r="U655" s="7" t="n">
        <f aca="false">raw_data!O655</f>
        <v>4457.93</v>
      </c>
      <c r="V655" s="8" t="n">
        <f aca="false">raw_data!P655</f>
        <v>0.15</v>
      </c>
      <c r="W655" s="8" t="n">
        <f aca="false">IF(raw_data!P655="",0,IF(ISTEXT(raw_data!P655),IF(RIGHT(raw_data!P655,1)="%",VALUE(LEFT(raw_data!P655,LEN(raw_data!P655)-1))/100,VALUE(raw_data!P655)),raw_data!P655))</f>
        <v>0.15</v>
      </c>
      <c r="X655" s="3" t="str">
        <f aca="false">IF(raw_data!P655="","Missing - Defaulted to 0",IF(W655&lt;0,"Negative - Invalid",IF(W655&gt;0.3,"Above Allowed Range - Invalid","Valid")))</f>
        <v>Valid</v>
      </c>
      <c r="Y655" s="7" t="n">
        <f aca="false">raw_data!Q655</f>
        <v>26524.68</v>
      </c>
      <c r="Z655" s="7" t="n">
        <f aca="false">raw_data!R655</f>
        <v>20574.3</v>
      </c>
      <c r="AA655" s="7" t="n">
        <f aca="false">raw_data!S655</f>
        <v>5950.38</v>
      </c>
      <c r="AB655" s="3" t="str">
        <f aca="false">PROPER(TRIM(raw_data!T655))</f>
        <v>Paid</v>
      </c>
      <c r="AC655" s="3" t="str">
        <f aca="false">PROPER(TRIM(raw_data!U655))</f>
        <v>Completed</v>
      </c>
      <c r="AD655" s="7" t="n">
        <f aca="false">T655*U655*(1-W655)</f>
        <v>26524.6835</v>
      </c>
      <c r="AE655" s="7" t="n">
        <f aca="false">AD655-Z655</f>
        <v>5950.3835</v>
      </c>
      <c r="AF655" s="8" t="n">
        <f aca="false">IF(AD655=0,0,AE655/AD655)</f>
        <v>0.224333817215953</v>
      </c>
      <c r="AG655" s="3" t="str">
        <f aca="false">IF(ABS(Y655-AD655)&gt;1,"Mismatch","OK")</f>
        <v>OK</v>
      </c>
      <c r="AH655" s="3" t="str">
        <f aca="false">IF(ABS(AA655-AE655)&gt;1,"Mismatch","OK")</f>
        <v>OK</v>
      </c>
      <c r="AI655" s="6" t="n">
        <f aca="false">IF(B655="","",MONTH(B655))</f>
        <v>4</v>
      </c>
      <c r="AJ655" s="6" t="n">
        <f aca="false">IF(B655="","",YEAR(B655))</f>
        <v>2025</v>
      </c>
      <c r="AK655" s="3" t="str">
        <f aca="false">IF(COUNTIF(raw_data!$A$2:$A$913,A655)&gt;1,"Conflicting Duplicate - Flagged for Review","Unique")</f>
        <v>Unique</v>
      </c>
      <c r="AL655" s="3" t="str">
        <f aca="false">IF(AB655="Refunded","Yes","No")</f>
        <v>No</v>
      </c>
      <c r="AM655" s="3" t="str">
        <f aca="false">IF(OR(AC655&lt;&gt;"Completed",AB655="Failed"),"Excluded","Included")</f>
        <v>Included</v>
      </c>
      <c r="AN655" s="3" t="str">
        <f aca="false">IF(OR(D655="Invalid/Unrecognized",E655="Invalid/Unrecognized",G655="Invalid - Ship Before Order",X655="Negative - Invalid",X655="Above Allowed Range - Invalid",AG655="Mismatch",AH655="Mismatch",AK655="Conflicting Duplicate - Flagged for Review"),"Invalid",IF(OR(L655="Filled - Unknown",S655="Filled - Unknown",X655="Missing - Defaulted to 0",AL655="Yes",AC655="Cancelled",AC655="Returned"),"Warning","Clean"))</f>
        <v>Clean</v>
      </c>
    </row>
    <row r="656" customFormat="false" ht="15" hidden="false" customHeight="false" outlineLevel="0" collapsed="false">
      <c r="A656" s="3" t="str">
        <f aca="false">raw_data!A656</f>
        <v>ORD-2025-10655</v>
      </c>
      <c r="B656" s="4" t="n">
        <f aca="false">IFERROR(IF(MID(raw_data!B656,3,1)="/",DATE(VALUE(RIGHT(raw_data!B656,4)),VALUE(LEFT(raw_data!B656,2)),VALUE(MID(raw_data!B656,4,2))),IF(MID(raw_data!B656,3,1)="-",DATE(VALUE(RIGHT(raw_data!B656,4)),VALUE(MID(raw_data!B656,4,2)),VALUE(LEFT(raw_data!B656,2))),IF(MID(raw_data!B656,5,1)="-",DATE(VALUE(LEFT(raw_data!B656,4)),VALUE(MID(raw_data!B656,6,2)),VALUE(RIGHT(raw_data!B656,2))),DATE(VALUE(RIGHT(raw_data!B656,4)),MATCH(MID(raw_data!B656,4,3),{"Jan","Feb","Mar","Apr","May","Jun","Jul","Aug","Sep","Oct","Nov","Dec"},0),VALUE(LEFT(raw_data!B656,2)))))),"")</f>
        <v>45942</v>
      </c>
      <c r="C656" s="4" t="n">
        <f aca="false">IFERROR(IF(MID(raw_data!C656,3,1)="/",DATE(VALUE(RIGHT(raw_data!C656,4)),VALUE(LEFT(raw_data!C656,2)),VALUE(MID(raw_data!C656,4,2))),IF(MID(raw_data!C656,3,1)="-",DATE(VALUE(RIGHT(raw_data!C656,4)),VALUE(MID(raw_data!C656,4,2)),VALUE(LEFT(raw_data!C656,2))),IF(MID(raw_data!C656,5,1)="-",DATE(VALUE(LEFT(raw_data!C656,4)),VALUE(MID(raw_data!C656,6,2)),VALUE(RIGHT(raw_data!C656,2))),DATE(VALUE(RIGHT(raw_data!C656,4)),MATCH(MID(raw_data!C656,4,3),{"Jan","Feb","Mar","Apr","May","Jun","Jul","Aug","Sep","Oct","Nov","Dec"},0),VALUE(LEFT(raw_data!C656,2)))))),"")</f>
        <v>45946</v>
      </c>
      <c r="D656" s="3" t="str">
        <f aca="false">IF(TRIM(raw_data!B656)="","Missing",IF(B656="","Invalid/Unrecognized","Valid"))</f>
        <v>Valid</v>
      </c>
      <c r="E656" s="3" t="str">
        <f aca="false">IF(TRIM(raw_data!C656)="","Missing",IF(C656="","Invalid/Unrecognized","Valid"))</f>
        <v>Valid</v>
      </c>
      <c r="F656" s="5" t="n">
        <f aca="false">IF(OR(B656="",C656=""),"",C656-B656)</f>
        <v>4</v>
      </c>
      <c r="G656" s="3" t="str">
        <f aca="false">IF(F656="","N/A",IF(F656&lt;0,"Invalid - Ship Before Order","OK"))</f>
        <v>OK</v>
      </c>
      <c r="H656" s="3" t="str">
        <f aca="false">raw_data!D656</f>
        <v>CUST-8249</v>
      </c>
      <c r="I656" s="3" t="str">
        <f aca="false">PROPER(TRIM(raw_data!E656))</f>
        <v>Diya Patel</v>
      </c>
      <c r="J656" s="3" t="str">
        <f aca="false">PROPER(TRIM(raw_data!F656))</f>
        <v>Corporate</v>
      </c>
      <c r="K656" s="3" t="str">
        <f aca="false">IF(TRIM(raw_data!G656)="","Unknown",PROPER(TRIM(raw_data!G656)))</f>
        <v>East</v>
      </c>
      <c r="L656" s="3" t="str">
        <f aca="false">IF(TRIM(raw_data!G656)="","Filled - Unknown","OK")</f>
        <v>OK</v>
      </c>
      <c r="M656" s="3" t="str">
        <f aca="false">PROPER(TRIM(raw_data!H656))</f>
        <v>Bihar</v>
      </c>
      <c r="N656" s="3" t="str">
        <f aca="false">PROPER(TRIM(raw_data!I656))</f>
        <v>Patna</v>
      </c>
      <c r="O656" s="3" t="str">
        <f aca="false">PROPER(TRIM(raw_data!J656))</f>
        <v>Technology</v>
      </c>
      <c r="P656" s="3" t="str">
        <f aca="false">PROPER(TRIM(raw_data!K656))</f>
        <v>Machines</v>
      </c>
      <c r="Q656" s="3" t="str">
        <f aca="false">TRIM(raw_data!L656)</f>
        <v>Classic Machines 639</v>
      </c>
      <c r="R656" s="3" t="str">
        <f aca="false">IF(TRIM(raw_data!M656)="","Unknown",PROPER(TRIM(raw_data!M656)))</f>
        <v>Same Day</v>
      </c>
      <c r="S656" s="3" t="str">
        <f aca="false">IF(TRIM(raw_data!M656)="","Filled - Unknown","OK")</f>
        <v>OK</v>
      </c>
      <c r="T656" s="6" t="n">
        <f aca="false">raw_data!N656</f>
        <v>1</v>
      </c>
      <c r="U656" s="7" t="n">
        <f aca="false">raw_data!O656</f>
        <v>2570.06</v>
      </c>
      <c r="V656" s="8" t="n">
        <f aca="false">raw_data!P656</f>
        <v>0.2</v>
      </c>
      <c r="W656" s="8" t="n">
        <f aca="false">IF(raw_data!P656="",0,IF(ISTEXT(raw_data!P656),IF(RIGHT(raw_data!P656,1)="%",VALUE(LEFT(raw_data!P656,LEN(raw_data!P656)-1))/100,VALUE(raw_data!P656)),raw_data!P656))</f>
        <v>0.2</v>
      </c>
      <c r="X656" s="3" t="str">
        <f aca="false">IF(raw_data!P656="","Missing - Defaulted to 0",IF(W656&lt;0,"Negative - Invalid",IF(W656&gt;0.3,"Above Allowed Range - Invalid","Valid")))</f>
        <v>Valid</v>
      </c>
      <c r="Y656" s="7" t="n">
        <f aca="false">raw_data!Q656</f>
        <v>2056.05</v>
      </c>
      <c r="Z656" s="7" t="n">
        <f aca="false">raw_data!R656</f>
        <v>1662.39</v>
      </c>
      <c r="AA656" s="7" t="n">
        <f aca="false">raw_data!S656</f>
        <v>393.66</v>
      </c>
      <c r="AB656" s="3" t="str">
        <f aca="false">PROPER(TRIM(raw_data!T656))</f>
        <v>Paid</v>
      </c>
      <c r="AC656" s="3" t="str">
        <f aca="false">PROPER(TRIM(raw_data!U656))</f>
        <v>Completed</v>
      </c>
      <c r="AD656" s="7" t="n">
        <f aca="false">T656*U656*(1-W656)</f>
        <v>2056.048</v>
      </c>
      <c r="AE656" s="7" t="n">
        <f aca="false">AD656-Z656</f>
        <v>393.658</v>
      </c>
      <c r="AF656" s="8" t="n">
        <f aca="false">IF(AD656=0,0,AE656/AD656)</f>
        <v>0.191463428869365</v>
      </c>
      <c r="AG656" s="3" t="str">
        <f aca="false">IF(ABS(Y656-AD656)&gt;1,"Mismatch","OK")</f>
        <v>OK</v>
      </c>
      <c r="AH656" s="3" t="str">
        <f aca="false">IF(ABS(AA656-AE656)&gt;1,"Mismatch","OK")</f>
        <v>OK</v>
      </c>
      <c r="AI656" s="6" t="n">
        <f aca="false">IF(B656="","",MONTH(B656))</f>
        <v>10</v>
      </c>
      <c r="AJ656" s="6" t="n">
        <f aca="false">IF(B656="","",YEAR(B656))</f>
        <v>2025</v>
      </c>
      <c r="AK656" s="3" t="str">
        <f aca="false">IF(COUNTIF(raw_data!$A$2:$A$913,A656)&gt;1,"Conflicting Duplicate - Flagged for Review","Unique")</f>
        <v>Unique</v>
      </c>
      <c r="AL656" s="3" t="str">
        <f aca="false">IF(AB656="Refunded","Yes","No")</f>
        <v>No</v>
      </c>
      <c r="AM656" s="3" t="str">
        <f aca="false">IF(OR(AC656&lt;&gt;"Completed",AB656="Failed"),"Excluded","Included")</f>
        <v>Included</v>
      </c>
      <c r="AN656" s="3" t="str">
        <f aca="false">IF(OR(D656="Invalid/Unrecognized",E656="Invalid/Unrecognized",G656="Invalid - Ship Before Order",X656="Negative - Invalid",X656="Above Allowed Range - Invalid",AG656="Mismatch",AH656="Mismatch",AK656="Conflicting Duplicate - Flagged for Review"),"Invalid",IF(OR(L656="Filled - Unknown",S656="Filled - Unknown",X656="Missing - Defaulted to 0",AL656="Yes",AC656="Cancelled",AC656="Returned"),"Warning","Clean"))</f>
        <v>Clean</v>
      </c>
    </row>
    <row r="657" customFormat="false" ht="15" hidden="false" customHeight="false" outlineLevel="0" collapsed="false">
      <c r="A657" s="3" t="str">
        <f aca="false">raw_data!A657</f>
        <v>ORD-2025-10656</v>
      </c>
      <c r="B657" s="4" t="n">
        <f aca="false">IFERROR(IF(MID(raw_data!B657,3,1)="/",DATE(VALUE(RIGHT(raw_data!B657,4)),VALUE(LEFT(raw_data!B657,2)),VALUE(MID(raw_data!B657,4,2))),IF(MID(raw_data!B657,3,1)="-",DATE(VALUE(RIGHT(raw_data!B657,4)),VALUE(MID(raw_data!B657,4,2)),VALUE(LEFT(raw_data!B657,2))),IF(MID(raw_data!B657,5,1)="-",DATE(VALUE(LEFT(raw_data!B657,4)),VALUE(MID(raw_data!B657,6,2)),VALUE(RIGHT(raw_data!B657,2))),DATE(VALUE(RIGHT(raw_data!B657,4)),MATCH(MID(raw_data!B657,4,3),{"Jan","Feb","Mar","Apr","May","Jun","Jul","Aug","Sep","Oct","Nov","Dec"},0),VALUE(LEFT(raw_data!B657,2)))))),"")</f>
        <v>45895</v>
      </c>
      <c r="C657" s="4" t="n">
        <f aca="false">IFERROR(IF(MID(raw_data!C657,3,1)="/",DATE(VALUE(RIGHT(raw_data!C657,4)),VALUE(LEFT(raw_data!C657,2)),VALUE(MID(raw_data!C657,4,2))),IF(MID(raw_data!C657,3,1)="-",DATE(VALUE(RIGHT(raw_data!C657,4)),VALUE(MID(raw_data!C657,4,2)),VALUE(LEFT(raw_data!C657,2))),IF(MID(raw_data!C657,5,1)="-",DATE(VALUE(LEFT(raw_data!C657,4)),VALUE(MID(raw_data!C657,6,2)),VALUE(RIGHT(raw_data!C657,2))),DATE(VALUE(RIGHT(raw_data!C657,4)),MATCH(MID(raw_data!C657,4,3),{"Jan","Feb","Mar","Apr","May","Jun","Jul","Aug","Sep","Oct","Nov","Dec"},0),VALUE(LEFT(raw_data!C657,2)))))),"")</f>
        <v>45895</v>
      </c>
      <c r="D657" s="3" t="str">
        <f aca="false">IF(TRIM(raw_data!B657)="","Missing",IF(B657="","Invalid/Unrecognized","Valid"))</f>
        <v>Valid</v>
      </c>
      <c r="E657" s="3" t="str">
        <f aca="false">IF(TRIM(raw_data!C657)="","Missing",IF(C657="","Invalid/Unrecognized","Valid"))</f>
        <v>Valid</v>
      </c>
      <c r="F657" s="5" t="n">
        <f aca="false">IF(OR(B657="",C657=""),"",C657-B657)</f>
        <v>0</v>
      </c>
      <c r="G657" s="3" t="str">
        <f aca="false">IF(F657="","N/A",IF(F657&lt;0,"Invalid - Ship Before Order","OK"))</f>
        <v>OK</v>
      </c>
      <c r="H657" s="3" t="str">
        <f aca="false">raw_data!D657</f>
        <v>CUST-8039</v>
      </c>
      <c r="I657" s="3" t="str">
        <f aca="false">PROPER(TRIM(raw_data!E657))</f>
        <v>Neha Gupta</v>
      </c>
      <c r="J657" s="3" t="str">
        <f aca="false">PROPER(TRIM(raw_data!F657))</f>
        <v>Home Office</v>
      </c>
      <c r="K657" s="3" t="str">
        <f aca="false">IF(TRIM(raw_data!G657)="","Unknown",PROPER(TRIM(raw_data!G657)))</f>
        <v>East</v>
      </c>
      <c r="L657" s="3" t="str">
        <f aca="false">IF(TRIM(raw_data!G657)="","Filled - Unknown","OK")</f>
        <v>OK</v>
      </c>
      <c r="M657" s="3" t="str">
        <f aca="false">PROPER(TRIM(raw_data!H657))</f>
        <v>West Bengal</v>
      </c>
      <c r="N657" s="3" t="str">
        <f aca="false">PROPER(TRIM(raw_data!I657))</f>
        <v>Kolkata</v>
      </c>
      <c r="O657" s="3" t="str">
        <f aca="false">PROPER(TRIM(raw_data!J657))</f>
        <v>Furniture</v>
      </c>
      <c r="P657" s="3" t="str">
        <f aca="false">PROPER(TRIM(raw_data!K657))</f>
        <v>Furnishings</v>
      </c>
      <c r="Q657" s="3" t="str">
        <f aca="false">TRIM(raw_data!L657)</f>
        <v>Smart Furnishings 748</v>
      </c>
      <c r="R657" s="3" t="str">
        <f aca="false">IF(TRIM(raw_data!M657)="","Unknown",PROPER(TRIM(raw_data!M657)))</f>
        <v>Standard Class</v>
      </c>
      <c r="S657" s="3" t="str">
        <f aca="false">IF(TRIM(raw_data!M657)="","Filled - Unknown","OK")</f>
        <v>OK</v>
      </c>
      <c r="T657" s="6" t="n">
        <f aca="false">raw_data!N657</f>
        <v>4</v>
      </c>
      <c r="U657" s="7" t="n">
        <f aca="false">raw_data!O657</f>
        <v>2151.82</v>
      </c>
      <c r="V657" s="8" t="n">
        <f aca="false">raw_data!P657</f>
        <v>0</v>
      </c>
      <c r="W657" s="8" t="n">
        <f aca="false">IF(raw_data!P657="",0,IF(ISTEXT(raw_data!P657),IF(RIGHT(raw_data!P657,1)="%",VALUE(LEFT(raw_data!P657,LEN(raw_data!P657)-1))/100,VALUE(raw_data!P657)),raw_data!P657))</f>
        <v>0</v>
      </c>
      <c r="X657" s="3" t="str">
        <f aca="false">IF(raw_data!P657="","Missing - Defaulted to 0",IF(W657&lt;0,"Negative - Invalid",IF(W657&gt;0.3,"Above Allowed Range - Invalid","Valid")))</f>
        <v>Valid</v>
      </c>
      <c r="Y657" s="7" t="n">
        <f aca="false">raw_data!Q657</f>
        <v>8607.28</v>
      </c>
      <c r="Z657" s="7" t="n">
        <f aca="false">raw_data!R657</f>
        <v>5124.01</v>
      </c>
      <c r="AA657" s="7" t="n">
        <f aca="false">raw_data!S657</f>
        <v>3483.27</v>
      </c>
      <c r="AB657" s="3" t="str">
        <f aca="false">PROPER(TRIM(raw_data!T657))</f>
        <v>Paid</v>
      </c>
      <c r="AC657" s="3" t="str">
        <f aca="false">PROPER(TRIM(raw_data!U657))</f>
        <v>Completed</v>
      </c>
      <c r="AD657" s="7" t="n">
        <f aca="false">T657*U657*(1-W657)</f>
        <v>8607.28</v>
      </c>
      <c r="AE657" s="7" t="n">
        <f aca="false">AD657-Z657</f>
        <v>3483.27</v>
      </c>
      <c r="AF657" s="8" t="n">
        <f aca="false">IF(AD657=0,0,AE657/AD657)</f>
        <v>0.404688821555706</v>
      </c>
      <c r="AG657" s="3" t="str">
        <f aca="false">IF(ABS(Y657-AD657)&gt;1,"Mismatch","OK")</f>
        <v>OK</v>
      </c>
      <c r="AH657" s="3" t="str">
        <f aca="false">IF(ABS(AA657-AE657)&gt;1,"Mismatch","OK")</f>
        <v>OK</v>
      </c>
      <c r="AI657" s="6" t="n">
        <f aca="false">IF(B657="","",MONTH(B657))</f>
        <v>8</v>
      </c>
      <c r="AJ657" s="6" t="n">
        <f aca="false">IF(B657="","",YEAR(B657))</f>
        <v>2025</v>
      </c>
      <c r="AK657" s="3" t="str">
        <f aca="false">IF(COUNTIF(raw_data!$A$2:$A$913,A657)&gt;1,"Conflicting Duplicate - Flagged for Review","Unique")</f>
        <v>Unique</v>
      </c>
      <c r="AL657" s="3" t="str">
        <f aca="false">IF(AB657="Refunded","Yes","No")</f>
        <v>No</v>
      </c>
      <c r="AM657" s="3" t="str">
        <f aca="false">IF(OR(AC657&lt;&gt;"Completed",AB657="Failed"),"Excluded","Included")</f>
        <v>Included</v>
      </c>
      <c r="AN657" s="3" t="str">
        <f aca="false">IF(OR(D657="Invalid/Unrecognized",E657="Invalid/Unrecognized",G657="Invalid - Ship Before Order",X657="Negative - Invalid",X657="Above Allowed Range - Invalid",AG657="Mismatch",AH657="Mismatch",AK657="Conflicting Duplicate - Flagged for Review"),"Invalid",IF(OR(L657="Filled - Unknown",S657="Filled - Unknown",X657="Missing - Defaulted to 0",AL657="Yes",AC657="Cancelled",AC657="Returned"),"Warning","Clean"))</f>
        <v>Clean</v>
      </c>
    </row>
    <row r="658" customFormat="false" ht="15" hidden="false" customHeight="false" outlineLevel="0" collapsed="false">
      <c r="A658" s="3" t="str">
        <f aca="false">raw_data!A658</f>
        <v>ORD-2024-10657</v>
      </c>
      <c r="B658" s="4" t="n">
        <f aca="false">IFERROR(IF(MID(raw_data!B658,3,1)="/",DATE(VALUE(RIGHT(raw_data!B658,4)),VALUE(LEFT(raw_data!B658,2)),VALUE(MID(raw_data!B658,4,2))),IF(MID(raw_data!B658,3,1)="-",DATE(VALUE(RIGHT(raw_data!B658,4)),VALUE(MID(raw_data!B658,4,2)),VALUE(LEFT(raw_data!B658,2))),IF(MID(raw_data!B658,5,1)="-",DATE(VALUE(LEFT(raw_data!B658,4)),VALUE(MID(raw_data!B658,6,2)),VALUE(RIGHT(raw_data!B658,2))),DATE(VALUE(RIGHT(raw_data!B658,4)),MATCH(MID(raw_data!B658,4,3),{"Jan","Feb","Mar","Apr","May","Jun","Jul","Aug","Sep","Oct","Nov","Dec"},0),VALUE(LEFT(raw_data!B658,2)))))),"")</f>
        <v>45419</v>
      </c>
      <c r="C658" s="4" t="n">
        <f aca="false">IFERROR(IF(MID(raw_data!C658,3,1)="/",DATE(VALUE(RIGHT(raw_data!C658,4)),VALUE(LEFT(raw_data!C658,2)),VALUE(MID(raw_data!C658,4,2))),IF(MID(raw_data!C658,3,1)="-",DATE(VALUE(RIGHT(raw_data!C658,4)),VALUE(MID(raw_data!C658,4,2)),VALUE(LEFT(raw_data!C658,2))),IF(MID(raw_data!C658,5,1)="-",DATE(VALUE(LEFT(raw_data!C658,4)),VALUE(MID(raw_data!C658,6,2)),VALUE(RIGHT(raw_data!C658,2))),DATE(VALUE(RIGHT(raw_data!C658,4)),MATCH(MID(raw_data!C658,4,3),{"Jan","Feb","Mar","Apr","May","Jun","Jul","Aug","Sep","Oct","Nov","Dec"},0),VALUE(LEFT(raw_data!C658,2)))))),"")</f>
        <v>45426</v>
      </c>
      <c r="D658" s="3" t="str">
        <f aca="false">IF(TRIM(raw_data!B658)="","Missing",IF(B658="","Invalid/Unrecognized","Valid"))</f>
        <v>Valid</v>
      </c>
      <c r="E658" s="3" t="str">
        <f aca="false">IF(TRIM(raw_data!C658)="","Missing",IF(C658="","Invalid/Unrecognized","Valid"))</f>
        <v>Valid</v>
      </c>
      <c r="F658" s="5" t="n">
        <f aca="false">IF(OR(B658="",C658=""),"",C658-B658)</f>
        <v>7</v>
      </c>
      <c r="G658" s="3" t="str">
        <f aca="false">IF(F658="","N/A",IF(F658&lt;0,"Invalid - Ship Before Order","OK"))</f>
        <v>OK</v>
      </c>
      <c r="H658" s="3" t="str">
        <f aca="false">raw_data!D658</f>
        <v>CUST-4446</v>
      </c>
      <c r="I658" s="3" t="str">
        <f aca="false">PROPER(TRIM(raw_data!E658))</f>
        <v>Neha Gupta</v>
      </c>
      <c r="J658" s="3" t="str">
        <f aca="false">PROPER(TRIM(raw_data!F658))</f>
        <v>Small Business</v>
      </c>
      <c r="K658" s="3" t="str">
        <f aca="false">IF(TRIM(raw_data!G658)="","Unknown",PROPER(TRIM(raw_data!G658)))</f>
        <v>North</v>
      </c>
      <c r="L658" s="3" t="str">
        <f aca="false">IF(TRIM(raw_data!G658)="","Filled - Unknown","OK")</f>
        <v>OK</v>
      </c>
      <c r="M658" s="3" t="str">
        <f aca="false">PROPER(TRIM(raw_data!H658))</f>
        <v>Haryana</v>
      </c>
      <c r="N658" s="3" t="str">
        <f aca="false">PROPER(TRIM(raw_data!I658))</f>
        <v>Gurugram</v>
      </c>
      <c r="O658" s="3" t="str">
        <f aca="false">PROPER(TRIM(raw_data!J658))</f>
        <v>Technology</v>
      </c>
      <c r="P658" s="3" t="str">
        <f aca="false">PROPER(TRIM(raw_data!K658))</f>
        <v>Machines</v>
      </c>
      <c r="Q658" s="3" t="str">
        <f aca="false">TRIM(raw_data!L658)</f>
        <v>Pro Machines 589</v>
      </c>
      <c r="R658" s="3" t="str">
        <f aca="false">IF(TRIM(raw_data!M658)="","Unknown",PROPER(TRIM(raw_data!M658)))</f>
        <v>Same Day</v>
      </c>
      <c r="S658" s="3" t="str">
        <f aca="false">IF(TRIM(raw_data!M658)="","Filled - Unknown","OK")</f>
        <v>OK</v>
      </c>
      <c r="T658" s="6" t="n">
        <f aca="false">raw_data!N658</f>
        <v>4</v>
      </c>
      <c r="U658" s="7" t="n">
        <f aca="false">raw_data!O658</f>
        <v>2751.1</v>
      </c>
      <c r="V658" s="8" t="n">
        <f aca="false">raw_data!P658</f>
        <v>-0.05</v>
      </c>
      <c r="W658" s="8" t="n">
        <f aca="false">IF(raw_data!P658="",0,IF(ISTEXT(raw_data!P658),IF(RIGHT(raw_data!P658,1)="%",VALUE(LEFT(raw_data!P658,LEN(raw_data!P658)-1))/100,VALUE(raw_data!P658)),raw_data!P658))</f>
        <v>-0.05</v>
      </c>
      <c r="X658" s="3" t="str">
        <f aca="false">IF(raw_data!P658="","Missing - Defaulted to 0",IF(W658&lt;0,"Negative - Invalid",IF(W658&gt;0.3,"Above Allowed Range - Invalid","Valid")))</f>
        <v>Negative - Invalid</v>
      </c>
      <c r="Y658" s="7" t="n">
        <f aca="false">raw_data!Q658</f>
        <v>9903.96</v>
      </c>
      <c r="Z658" s="7" t="n">
        <f aca="false">raw_data!R658</f>
        <v>7696.28</v>
      </c>
      <c r="AA658" s="7" t="n">
        <f aca="false">raw_data!S658</f>
        <v>2207.68</v>
      </c>
      <c r="AB658" s="3" t="str">
        <f aca="false">PROPER(TRIM(raw_data!T658))</f>
        <v>Paid</v>
      </c>
      <c r="AC658" s="3" t="str">
        <f aca="false">PROPER(TRIM(raw_data!U658))</f>
        <v>Completed</v>
      </c>
      <c r="AD658" s="7" t="n">
        <f aca="false">T658*U658*(1-W658)</f>
        <v>11554.62</v>
      </c>
      <c r="AE658" s="7" t="n">
        <f aca="false">AD658-Z658</f>
        <v>3858.34</v>
      </c>
      <c r="AF658" s="8" t="n">
        <f aca="false">IF(AD658=0,0,AE658/AD658)</f>
        <v>0.333921842518404</v>
      </c>
      <c r="AG658" s="3" t="str">
        <f aca="false">IF(ABS(Y658-AD658)&gt;1,"Mismatch","OK")</f>
        <v>Mismatch</v>
      </c>
      <c r="AH658" s="3" t="str">
        <f aca="false">IF(ABS(AA658-AE658)&gt;1,"Mismatch","OK")</f>
        <v>Mismatch</v>
      </c>
      <c r="AI658" s="6" t="n">
        <f aca="false">IF(B658="","",MONTH(B658))</f>
        <v>5</v>
      </c>
      <c r="AJ658" s="6" t="n">
        <f aca="false">IF(B658="","",YEAR(B658))</f>
        <v>2024</v>
      </c>
      <c r="AK658" s="3" t="str">
        <f aca="false">IF(COUNTIF(raw_data!$A$2:$A$913,A658)&gt;1,"Conflicting Duplicate - Flagged for Review","Unique")</f>
        <v>Unique</v>
      </c>
      <c r="AL658" s="3" t="str">
        <f aca="false">IF(AB658="Refunded","Yes","No")</f>
        <v>No</v>
      </c>
      <c r="AM658" s="3" t="str">
        <f aca="false">IF(OR(AC658&lt;&gt;"Completed",AB658="Failed"),"Excluded","Included")</f>
        <v>Included</v>
      </c>
      <c r="AN658" s="3" t="str">
        <f aca="false">IF(OR(D658="Invalid/Unrecognized",E658="Invalid/Unrecognized",G658="Invalid - Ship Before Order",X658="Negative - Invalid",X658="Above Allowed Range - Invalid",AG658="Mismatch",AH658="Mismatch",AK658="Conflicting Duplicate - Flagged for Review"),"Invalid",IF(OR(L658="Filled - Unknown",S658="Filled - Unknown",X658="Missing - Defaulted to 0",AL658="Yes",AC658="Cancelled",AC658="Returned"),"Warning","Clean"))</f>
        <v>Invalid</v>
      </c>
    </row>
    <row r="659" customFormat="false" ht="15" hidden="false" customHeight="false" outlineLevel="0" collapsed="false">
      <c r="A659" s="3" t="str">
        <f aca="false">raw_data!A659</f>
        <v>ORD-2025-10658</v>
      </c>
      <c r="B659" s="4" t="n">
        <f aca="false">IFERROR(IF(MID(raw_data!B659,3,1)="/",DATE(VALUE(RIGHT(raw_data!B659,4)),VALUE(LEFT(raw_data!B659,2)),VALUE(MID(raw_data!B659,4,2))),IF(MID(raw_data!B659,3,1)="-",DATE(VALUE(RIGHT(raw_data!B659,4)),VALUE(MID(raw_data!B659,4,2)),VALUE(LEFT(raw_data!B659,2))),IF(MID(raw_data!B659,5,1)="-",DATE(VALUE(LEFT(raw_data!B659,4)),VALUE(MID(raw_data!B659,6,2)),VALUE(RIGHT(raw_data!B659,2))),DATE(VALUE(RIGHT(raw_data!B659,4)),MATCH(MID(raw_data!B659,4,3),{"Jan","Feb","Mar","Apr","May","Jun","Jul","Aug","Sep","Oct","Nov","Dec"},0),VALUE(LEFT(raw_data!B659,2)))))),"")</f>
        <v>45876</v>
      </c>
      <c r="C659" s="4" t="n">
        <f aca="false">IFERROR(IF(MID(raw_data!C659,3,1)="/",DATE(VALUE(RIGHT(raw_data!C659,4)),VALUE(LEFT(raw_data!C659,2)),VALUE(MID(raw_data!C659,4,2))),IF(MID(raw_data!C659,3,1)="-",DATE(VALUE(RIGHT(raw_data!C659,4)),VALUE(MID(raw_data!C659,4,2)),VALUE(LEFT(raw_data!C659,2))),IF(MID(raw_data!C659,5,1)="-",DATE(VALUE(LEFT(raw_data!C659,4)),VALUE(MID(raw_data!C659,6,2)),VALUE(RIGHT(raw_data!C659,2))),DATE(VALUE(RIGHT(raw_data!C659,4)),MATCH(MID(raw_data!C659,4,3),{"Jan","Feb","Mar","Apr","May","Jun","Jul","Aug","Sep","Oct","Nov","Dec"},0),VALUE(LEFT(raw_data!C659,2)))))),"")</f>
        <v>45879</v>
      </c>
      <c r="D659" s="3" t="str">
        <f aca="false">IF(TRIM(raw_data!B659)="","Missing",IF(B659="","Invalid/Unrecognized","Valid"))</f>
        <v>Valid</v>
      </c>
      <c r="E659" s="3" t="str">
        <f aca="false">IF(TRIM(raw_data!C659)="","Missing",IF(C659="","Invalid/Unrecognized","Valid"))</f>
        <v>Valid</v>
      </c>
      <c r="F659" s="5" t="n">
        <f aca="false">IF(OR(B659="",C659=""),"",C659-B659)</f>
        <v>3</v>
      </c>
      <c r="G659" s="3" t="str">
        <f aca="false">IF(F659="","N/A",IF(F659&lt;0,"Invalid - Ship Before Order","OK"))</f>
        <v>OK</v>
      </c>
      <c r="H659" s="3" t="str">
        <f aca="false">raw_data!D659</f>
        <v>CUST-7787</v>
      </c>
      <c r="I659" s="3" t="str">
        <f aca="false">PROPER(TRIM(raw_data!E659))</f>
        <v>Aditi Sen</v>
      </c>
      <c r="J659" s="3" t="str">
        <f aca="false">PROPER(TRIM(raw_data!F659))</f>
        <v>Home Office</v>
      </c>
      <c r="K659" s="3" t="str">
        <f aca="false">IF(TRIM(raw_data!G659)="","Unknown",PROPER(TRIM(raw_data!G659)))</f>
        <v>East</v>
      </c>
      <c r="L659" s="3" t="str">
        <f aca="false">IF(TRIM(raw_data!G659)="","Filled - Unknown","OK")</f>
        <v>OK</v>
      </c>
      <c r="M659" s="3" t="str">
        <f aca="false">PROPER(TRIM(raw_data!H659))</f>
        <v>Bihar</v>
      </c>
      <c r="N659" s="3" t="str">
        <f aca="false">PROPER(TRIM(raw_data!I659))</f>
        <v>Patna</v>
      </c>
      <c r="O659" s="3" t="str">
        <f aca="false">PROPER(TRIM(raw_data!J659))</f>
        <v>Office Supplies</v>
      </c>
      <c r="P659" s="3" t="str">
        <f aca="false">PROPER(TRIM(raw_data!K659))</f>
        <v>Storage</v>
      </c>
      <c r="Q659" s="3" t="str">
        <f aca="false">TRIM(raw_data!L659)</f>
        <v>Eco Storage 316</v>
      </c>
      <c r="R659" s="3" t="str">
        <f aca="false">IF(TRIM(raw_data!M659)="","Unknown",PROPER(TRIM(raw_data!M659)))</f>
        <v>Second Class</v>
      </c>
      <c r="S659" s="3" t="str">
        <f aca="false">IF(TRIM(raw_data!M659)="","Filled - Unknown","OK")</f>
        <v>OK</v>
      </c>
      <c r="T659" s="6" t="n">
        <f aca="false">raw_data!N659</f>
        <v>1</v>
      </c>
      <c r="U659" s="7" t="n">
        <f aca="false">raw_data!O659</f>
        <v>2541.25</v>
      </c>
      <c r="V659" s="8" t="n">
        <f aca="false">raw_data!P659</f>
        <v>0.2</v>
      </c>
      <c r="W659" s="8" t="n">
        <f aca="false">IF(raw_data!P659="",0,IF(ISTEXT(raw_data!P659),IF(RIGHT(raw_data!P659,1)="%",VALUE(LEFT(raw_data!P659,LEN(raw_data!P659)-1))/100,VALUE(raw_data!P659)),raw_data!P659))</f>
        <v>0.2</v>
      </c>
      <c r="X659" s="3" t="str">
        <f aca="false">IF(raw_data!P659="","Missing - Defaulted to 0",IF(W659&lt;0,"Negative - Invalid",IF(W659&gt;0.3,"Above Allowed Range - Invalid","Valid")))</f>
        <v>Valid</v>
      </c>
      <c r="Y659" s="7" t="n">
        <f aca="false">raw_data!Q659</f>
        <v>2033</v>
      </c>
      <c r="Z659" s="7" t="n">
        <f aca="false">raw_data!R659</f>
        <v>1291.41</v>
      </c>
      <c r="AA659" s="7" t="n">
        <f aca="false">raw_data!S659</f>
        <v>741.59</v>
      </c>
      <c r="AB659" s="3" t="str">
        <f aca="false">PROPER(TRIM(raw_data!T659))</f>
        <v>Paid</v>
      </c>
      <c r="AC659" s="3" t="str">
        <f aca="false">PROPER(TRIM(raw_data!U659))</f>
        <v>Completed</v>
      </c>
      <c r="AD659" s="7" t="n">
        <f aca="false">T659*U659*(1-W659)</f>
        <v>2033</v>
      </c>
      <c r="AE659" s="7" t="n">
        <f aca="false">AD659-Z659</f>
        <v>741.59</v>
      </c>
      <c r="AF659" s="8" t="n">
        <f aca="false">IF(AD659=0,0,AE659/AD659)</f>
        <v>0.364776192818495</v>
      </c>
      <c r="AG659" s="3" t="str">
        <f aca="false">IF(ABS(Y659-AD659)&gt;1,"Mismatch","OK")</f>
        <v>OK</v>
      </c>
      <c r="AH659" s="3" t="str">
        <f aca="false">IF(ABS(AA659-AE659)&gt;1,"Mismatch","OK")</f>
        <v>OK</v>
      </c>
      <c r="AI659" s="6" t="n">
        <f aca="false">IF(B659="","",MONTH(B659))</f>
        <v>8</v>
      </c>
      <c r="AJ659" s="6" t="n">
        <f aca="false">IF(B659="","",YEAR(B659))</f>
        <v>2025</v>
      </c>
      <c r="AK659" s="3" t="str">
        <f aca="false">IF(COUNTIF(raw_data!$A$2:$A$913,A659)&gt;1,"Conflicting Duplicate - Flagged for Review","Unique")</f>
        <v>Unique</v>
      </c>
      <c r="AL659" s="3" t="str">
        <f aca="false">IF(AB659="Refunded","Yes","No")</f>
        <v>No</v>
      </c>
      <c r="AM659" s="3" t="str">
        <f aca="false">IF(OR(AC659&lt;&gt;"Completed",AB659="Failed"),"Excluded","Included")</f>
        <v>Included</v>
      </c>
      <c r="AN659" s="3" t="str">
        <f aca="false">IF(OR(D659="Invalid/Unrecognized",E659="Invalid/Unrecognized",G659="Invalid - Ship Before Order",X659="Negative - Invalid",X659="Above Allowed Range - Invalid",AG659="Mismatch",AH659="Mismatch",AK659="Conflicting Duplicate - Flagged for Review"),"Invalid",IF(OR(L659="Filled - Unknown",S659="Filled - Unknown",X659="Missing - Defaulted to 0",AL659="Yes",AC659="Cancelled",AC659="Returned"),"Warning","Clean"))</f>
        <v>Clean</v>
      </c>
    </row>
    <row r="660" customFormat="false" ht="15" hidden="false" customHeight="false" outlineLevel="0" collapsed="false">
      <c r="A660" s="3" t="str">
        <f aca="false">raw_data!A660</f>
        <v>ORD-2025-10659</v>
      </c>
      <c r="B660" s="4" t="n">
        <f aca="false">IFERROR(IF(MID(raw_data!B660,3,1)="/",DATE(VALUE(RIGHT(raw_data!B660,4)),VALUE(LEFT(raw_data!B660,2)),VALUE(MID(raw_data!B660,4,2))),IF(MID(raw_data!B660,3,1)="-",DATE(VALUE(RIGHT(raw_data!B660,4)),VALUE(MID(raw_data!B660,4,2)),VALUE(LEFT(raw_data!B660,2))),IF(MID(raw_data!B660,5,1)="-",DATE(VALUE(LEFT(raw_data!B660,4)),VALUE(MID(raw_data!B660,6,2)),VALUE(RIGHT(raw_data!B660,2))),DATE(VALUE(RIGHT(raw_data!B660,4)),MATCH(MID(raw_data!B660,4,3),{"Jan","Feb","Mar","Apr","May","Jun","Jul","Aug","Sep","Oct","Nov","Dec"},0),VALUE(LEFT(raw_data!B660,2)))))),"")</f>
        <v>45817</v>
      </c>
      <c r="C660" s="4" t="n">
        <f aca="false">IFERROR(IF(MID(raw_data!C660,3,1)="/",DATE(VALUE(RIGHT(raw_data!C660,4)),VALUE(LEFT(raw_data!C660,2)),VALUE(MID(raw_data!C660,4,2))),IF(MID(raw_data!C660,3,1)="-",DATE(VALUE(RIGHT(raw_data!C660,4)),VALUE(MID(raw_data!C660,4,2)),VALUE(LEFT(raw_data!C660,2))),IF(MID(raw_data!C660,5,1)="-",DATE(VALUE(LEFT(raw_data!C660,4)),VALUE(MID(raw_data!C660,6,2)),VALUE(RIGHT(raw_data!C660,2))),DATE(VALUE(RIGHT(raw_data!C660,4)),MATCH(MID(raw_data!C660,4,3),{"Jan","Feb","Mar","Apr","May","Jun","Jul","Aug","Sep","Oct","Nov","Dec"},0),VALUE(LEFT(raw_data!C660,2)))))),"")</f>
        <v>45820</v>
      </c>
      <c r="D660" s="3" t="str">
        <f aca="false">IF(TRIM(raw_data!B660)="","Missing",IF(B660="","Invalid/Unrecognized","Valid"))</f>
        <v>Valid</v>
      </c>
      <c r="E660" s="3" t="str">
        <f aca="false">IF(TRIM(raw_data!C660)="","Missing",IF(C660="","Invalid/Unrecognized","Valid"))</f>
        <v>Valid</v>
      </c>
      <c r="F660" s="5" t="n">
        <f aca="false">IF(OR(B660="",C660=""),"",C660-B660)</f>
        <v>3</v>
      </c>
      <c r="G660" s="3" t="str">
        <f aca="false">IF(F660="","N/A",IF(F660&lt;0,"Invalid - Ship Before Order","OK"))</f>
        <v>OK</v>
      </c>
      <c r="H660" s="3" t="str">
        <f aca="false">raw_data!D660</f>
        <v>CUST-9074</v>
      </c>
      <c r="I660" s="3" t="str">
        <f aca="false">PROPER(TRIM(raw_data!E660))</f>
        <v>Sneha Kapoor</v>
      </c>
      <c r="J660" s="3" t="str">
        <f aca="false">PROPER(TRIM(raw_data!F660))</f>
        <v>Consumer</v>
      </c>
      <c r="K660" s="3" t="str">
        <f aca="false">IF(TRIM(raw_data!G660)="","Unknown",PROPER(TRIM(raw_data!G660)))</f>
        <v>Unknown</v>
      </c>
      <c r="L660" s="3" t="str">
        <f aca="false">IF(TRIM(raw_data!G660)="","Filled - Unknown","OK")</f>
        <v>Filled - Unknown</v>
      </c>
      <c r="M660" s="3" t="str">
        <f aca="false">PROPER(TRIM(raw_data!H660))</f>
        <v>Bihar</v>
      </c>
      <c r="N660" s="3" t="str">
        <f aca="false">PROPER(TRIM(raw_data!I660))</f>
        <v>Patna</v>
      </c>
      <c r="O660" s="3" t="str">
        <f aca="false">PROPER(TRIM(raw_data!J660))</f>
        <v>Office Supplies</v>
      </c>
      <c r="P660" s="3" t="str">
        <f aca="false">PROPER(TRIM(raw_data!K660))</f>
        <v>Art</v>
      </c>
      <c r="Q660" s="3" t="str">
        <f aca="false">TRIM(raw_data!L660)</f>
        <v>Eco Art 763</v>
      </c>
      <c r="R660" s="3" t="str">
        <f aca="false">IF(TRIM(raw_data!M660)="","Unknown",PROPER(TRIM(raw_data!M660)))</f>
        <v>First Class</v>
      </c>
      <c r="S660" s="3" t="str">
        <f aca="false">IF(TRIM(raw_data!M660)="","Filled - Unknown","OK")</f>
        <v>OK</v>
      </c>
      <c r="T660" s="6" t="n">
        <f aca="false">raw_data!N660</f>
        <v>7</v>
      </c>
      <c r="U660" s="7" t="n">
        <f aca="false">raw_data!O660</f>
        <v>2852.42</v>
      </c>
      <c r="V660" s="8" t="n">
        <f aca="false">raw_data!P660</f>
        <v>0</v>
      </c>
      <c r="W660" s="8" t="n">
        <f aca="false">IF(raw_data!P660="",0,IF(ISTEXT(raw_data!P660),IF(RIGHT(raw_data!P660,1)="%",VALUE(LEFT(raw_data!P660,LEN(raw_data!P660)-1))/100,VALUE(raw_data!P660)),raw_data!P660))</f>
        <v>0</v>
      </c>
      <c r="X660" s="3" t="str">
        <f aca="false">IF(raw_data!P660="","Missing - Defaulted to 0",IF(W660&lt;0,"Negative - Invalid",IF(W660&gt;0.3,"Above Allowed Range - Invalid","Valid")))</f>
        <v>Valid</v>
      </c>
      <c r="Y660" s="7" t="n">
        <f aca="false">raw_data!Q660</f>
        <v>19966.94</v>
      </c>
      <c r="Z660" s="7" t="n">
        <f aca="false">raw_data!R660</f>
        <v>12690.83</v>
      </c>
      <c r="AA660" s="7" t="n">
        <f aca="false">raw_data!S660</f>
        <v>7276.11</v>
      </c>
      <c r="AB660" s="3" t="str">
        <f aca="false">PROPER(TRIM(raw_data!T660))</f>
        <v>Refunded</v>
      </c>
      <c r="AC660" s="3" t="str">
        <f aca="false">PROPER(TRIM(raw_data!U660))</f>
        <v>Cancelled</v>
      </c>
      <c r="AD660" s="7" t="n">
        <f aca="false">T660*U660*(1-W660)</f>
        <v>19966.94</v>
      </c>
      <c r="AE660" s="7" t="n">
        <f aca="false">AD660-Z660</f>
        <v>7276.11</v>
      </c>
      <c r="AF660" s="8" t="n">
        <f aca="false">IF(AD660=0,0,AE660/AD660)</f>
        <v>0.364407866202833</v>
      </c>
      <c r="AG660" s="3" t="str">
        <f aca="false">IF(ABS(Y660-AD660)&gt;1,"Mismatch","OK")</f>
        <v>OK</v>
      </c>
      <c r="AH660" s="3" t="str">
        <f aca="false">IF(ABS(AA660-AE660)&gt;1,"Mismatch","OK")</f>
        <v>OK</v>
      </c>
      <c r="AI660" s="6" t="n">
        <f aca="false">IF(B660="","",MONTH(B660))</f>
        <v>6</v>
      </c>
      <c r="AJ660" s="6" t="n">
        <f aca="false">IF(B660="","",YEAR(B660))</f>
        <v>2025</v>
      </c>
      <c r="AK660" s="3" t="str">
        <f aca="false">IF(COUNTIF(raw_data!$A$2:$A$913,A660)&gt;1,"Conflicting Duplicate - Flagged for Review","Unique")</f>
        <v>Unique</v>
      </c>
      <c r="AL660" s="3" t="str">
        <f aca="false">IF(AB660="Refunded","Yes","No")</f>
        <v>Yes</v>
      </c>
      <c r="AM660" s="3" t="str">
        <f aca="false">IF(OR(AC660&lt;&gt;"Completed",AB660="Failed"),"Excluded","Included")</f>
        <v>Excluded</v>
      </c>
      <c r="AN660" s="3" t="str">
        <f aca="false">IF(OR(D660="Invalid/Unrecognized",E660="Invalid/Unrecognized",G660="Invalid - Ship Before Order",X660="Negative - Invalid",X660="Above Allowed Range - Invalid",AG660="Mismatch",AH660="Mismatch",AK660="Conflicting Duplicate - Flagged for Review"),"Invalid",IF(OR(L660="Filled - Unknown",S660="Filled - Unknown",X660="Missing - Defaulted to 0",AL660="Yes",AC660="Cancelled",AC660="Returned"),"Warning","Clean"))</f>
        <v>Warning</v>
      </c>
    </row>
    <row r="661" customFormat="false" ht="15" hidden="false" customHeight="false" outlineLevel="0" collapsed="false">
      <c r="A661" s="3" t="str">
        <f aca="false">raw_data!A661</f>
        <v>ORD-2025-10660</v>
      </c>
      <c r="B661" s="4" t="n">
        <f aca="false">IFERROR(IF(MID(raw_data!B661,3,1)="/",DATE(VALUE(RIGHT(raw_data!B661,4)),VALUE(LEFT(raw_data!B661,2)),VALUE(MID(raw_data!B661,4,2))),IF(MID(raw_data!B661,3,1)="-",DATE(VALUE(RIGHT(raw_data!B661,4)),VALUE(MID(raw_data!B661,4,2)),VALUE(LEFT(raw_data!B661,2))),IF(MID(raw_data!B661,5,1)="-",DATE(VALUE(LEFT(raw_data!B661,4)),VALUE(MID(raw_data!B661,6,2)),VALUE(RIGHT(raw_data!B661,2))),DATE(VALUE(RIGHT(raw_data!B661,4)),MATCH(MID(raw_data!B661,4,3),{"Jan","Feb","Mar","Apr","May","Jun","Jul","Aug","Sep","Oct","Nov","Dec"},0),VALUE(LEFT(raw_data!B661,2)))))),"")</f>
        <v>45678</v>
      </c>
      <c r="C661" s="4" t="n">
        <f aca="false">IFERROR(IF(MID(raw_data!C661,3,1)="/",DATE(VALUE(RIGHT(raw_data!C661,4)),VALUE(LEFT(raw_data!C661,2)),VALUE(MID(raw_data!C661,4,2))),IF(MID(raw_data!C661,3,1)="-",DATE(VALUE(RIGHT(raw_data!C661,4)),VALUE(MID(raw_data!C661,4,2)),VALUE(LEFT(raw_data!C661,2))),IF(MID(raw_data!C661,5,1)="-",DATE(VALUE(LEFT(raw_data!C661,4)),VALUE(MID(raw_data!C661,6,2)),VALUE(RIGHT(raw_data!C661,2))),DATE(VALUE(RIGHT(raw_data!C661,4)),MATCH(MID(raw_data!C661,4,3),{"Jan","Feb","Mar","Apr","May","Jun","Jul","Aug","Sep","Oct","Nov","Dec"},0),VALUE(LEFT(raw_data!C661,2)))))),"")</f>
        <v>45679</v>
      </c>
      <c r="D661" s="3" t="str">
        <f aca="false">IF(TRIM(raw_data!B661)="","Missing",IF(B661="","Invalid/Unrecognized","Valid"))</f>
        <v>Valid</v>
      </c>
      <c r="E661" s="3" t="str">
        <f aca="false">IF(TRIM(raw_data!C661)="","Missing",IF(C661="","Invalid/Unrecognized","Valid"))</f>
        <v>Valid</v>
      </c>
      <c r="F661" s="5" t="n">
        <f aca="false">IF(OR(B661="",C661=""),"",C661-B661)</f>
        <v>1</v>
      </c>
      <c r="G661" s="3" t="str">
        <f aca="false">IF(F661="","N/A",IF(F661&lt;0,"Invalid - Ship Before Order","OK"))</f>
        <v>OK</v>
      </c>
      <c r="H661" s="3" t="str">
        <f aca="false">raw_data!D661</f>
        <v>CUST-8330</v>
      </c>
      <c r="I661" s="3" t="str">
        <f aca="false">PROPER(TRIM(raw_data!E661))</f>
        <v>Diya Patel</v>
      </c>
      <c r="J661" s="3" t="str">
        <f aca="false">PROPER(TRIM(raw_data!F661))</f>
        <v>Corporate</v>
      </c>
      <c r="K661" s="3" t="str">
        <f aca="false">IF(TRIM(raw_data!G661)="","Unknown",PROPER(TRIM(raw_data!G661)))</f>
        <v>South</v>
      </c>
      <c r="L661" s="3" t="str">
        <f aca="false">IF(TRIM(raw_data!G661)="","Filled - Unknown","OK")</f>
        <v>OK</v>
      </c>
      <c r="M661" s="3" t="str">
        <f aca="false">PROPER(TRIM(raw_data!H661))</f>
        <v>Karnataka</v>
      </c>
      <c r="N661" s="3" t="str">
        <f aca="false">PROPER(TRIM(raw_data!I661))</f>
        <v>Bengaluru</v>
      </c>
      <c r="O661" s="3" t="str">
        <f aca="false">PROPER(TRIM(raw_data!J661))</f>
        <v>Technology</v>
      </c>
      <c r="P661" s="3" t="str">
        <f aca="false">PROPER(TRIM(raw_data!K661))</f>
        <v>Phones</v>
      </c>
      <c r="Q661" s="3" t="str">
        <f aca="false">TRIM(raw_data!L661)</f>
        <v>Pro Phones 356</v>
      </c>
      <c r="R661" s="3" t="str">
        <f aca="false">IF(TRIM(raw_data!M661)="","Unknown",PROPER(TRIM(raw_data!M661)))</f>
        <v>Second Class</v>
      </c>
      <c r="S661" s="3" t="str">
        <f aca="false">IF(TRIM(raw_data!M661)="","Filled - Unknown","OK")</f>
        <v>OK</v>
      </c>
      <c r="T661" s="6" t="n">
        <f aca="false">raw_data!N661</f>
        <v>2</v>
      </c>
      <c r="U661" s="7" t="n">
        <f aca="false">raw_data!O661</f>
        <v>444.31</v>
      </c>
      <c r="V661" s="8" t="n">
        <f aca="false">raw_data!P661</f>
        <v>0.2</v>
      </c>
      <c r="W661" s="8" t="n">
        <f aca="false">IF(raw_data!P661="",0,IF(ISTEXT(raw_data!P661),IF(RIGHT(raw_data!P661,1)="%",VALUE(LEFT(raw_data!P661,LEN(raw_data!P661)-1))/100,VALUE(raw_data!P661)),raw_data!P661))</f>
        <v>0.2</v>
      </c>
      <c r="X661" s="3" t="str">
        <f aca="false">IF(raw_data!P661="","Missing - Defaulted to 0",IF(W661&lt;0,"Negative - Invalid",IF(W661&gt;0.3,"Above Allowed Range - Invalid","Valid")))</f>
        <v>Valid</v>
      </c>
      <c r="Y661" s="7" t="n">
        <f aca="false">raw_data!Q661</f>
        <v>710.9</v>
      </c>
      <c r="Z661" s="7" t="n">
        <f aca="false">raw_data!R661</f>
        <v>513.88</v>
      </c>
      <c r="AA661" s="7" t="n">
        <f aca="false">raw_data!S661</f>
        <v>197.02</v>
      </c>
      <c r="AB661" s="3" t="str">
        <f aca="false">PROPER(TRIM(raw_data!T661))</f>
        <v>Refunded</v>
      </c>
      <c r="AC661" s="3" t="str">
        <f aca="false">PROPER(TRIM(raw_data!U661))</f>
        <v>Cancelled</v>
      </c>
      <c r="AD661" s="7" t="n">
        <f aca="false">T661*U661*(1-W661)</f>
        <v>710.896</v>
      </c>
      <c r="AE661" s="7" t="n">
        <f aca="false">AD661-Z661</f>
        <v>197.016</v>
      </c>
      <c r="AF661" s="8" t="n">
        <f aca="false">IF(AD661=0,0,AE661/AD661)</f>
        <v>0.277137584119196</v>
      </c>
      <c r="AG661" s="3" t="str">
        <f aca="false">IF(ABS(Y661-AD661)&gt;1,"Mismatch","OK")</f>
        <v>OK</v>
      </c>
      <c r="AH661" s="3" t="str">
        <f aca="false">IF(ABS(AA661-AE661)&gt;1,"Mismatch","OK")</f>
        <v>OK</v>
      </c>
      <c r="AI661" s="6" t="n">
        <f aca="false">IF(B661="","",MONTH(B661))</f>
        <v>1</v>
      </c>
      <c r="AJ661" s="6" t="n">
        <f aca="false">IF(B661="","",YEAR(B661))</f>
        <v>2025</v>
      </c>
      <c r="AK661" s="3" t="str">
        <f aca="false">IF(COUNTIF(raw_data!$A$2:$A$913,A661)&gt;1,"Conflicting Duplicate - Flagged for Review","Unique")</f>
        <v>Unique</v>
      </c>
      <c r="AL661" s="3" t="str">
        <f aca="false">IF(AB661="Refunded","Yes","No")</f>
        <v>Yes</v>
      </c>
      <c r="AM661" s="3" t="str">
        <f aca="false">IF(OR(AC661&lt;&gt;"Completed",AB661="Failed"),"Excluded","Included")</f>
        <v>Excluded</v>
      </c>
      <c r="AN661" s="3" t="str">
        <f aca="false">IF(OR(D661="Invalid/Unrecognized",E661="Invalid/Unrecognized",G661="Invalid - Ship Before Order",X661="Negative - Invalid",X661="Above Allowed Range - Invalid",AG661="Mismatch",AH661="Mismatch",AK661="Conflicting Duplicate - Flagged for Review"),"Invalid",IF(OR(L661="Filled - Unknown",S661="Filled - Unknown",X661="Missing - Defaulted to 0",AL661="Yes",AC661="Cancelled",AC661="Returned"),"Warning","Clean"))</f>
        <v>Warning</v>
      </c>
    </row>
    <row r="662" customFormat="false" ht="15" hidden="false" customHeight="false" outlineLevel="0" collapsed="false">
      <c r="A662" s="3" t="str">
        <f aca="false">raw_data!A662</f>
        <v>ORD-2025-10661</v>
      </c>
      <c r="B662" s="4" t="n">
        <f aca="false">IFERROR(IF(MID(raw_data!B662,3,1)="/",DATE(VALUE(RIGHT(raw_data!B662,4)),VALUE(LEFT(raw_data!B662,2)),VALUE(MID(raw_data!B662,4,2))),IF(MID(raw_data!B662,3,1)="-",DATE(VALUE(RIGHT(raw_data!B662,4)),VALUE(MID(raw_data!B662,4,2)),VALUE(LEFT(raw_data!B662,2))),IF(MID(raw_data!B662,5,1)="-",DATE(VALUE(LEFT(raw_data!B662,4)),VALUE(MID(raw_data!B662,6,2)),VALUE(RIGHT(raw_data!B662,2))),DATE(VALUE(RIGHT(raw_data!B662,4)),MATCH(MID(raw_data!B662,4,3),{"Jan","Feb","Mar","Apr","May","Jun","Jul","Aug","Sep","Oct","Nov","Dec"},0),VALUE(LEFT(raw_data!B662,2)))))),"")</f>
        <v>45853</v>
      </c>
      <c r="C662" s="4" t="n">
        <f aca="false">IFERROR(IF(MID(raw_data!C662,3,1)="/",DATE(VALUE(RIGHT(raw_data!C662,4)),VALUE(LEFT(raw_data!C662,2)),VALUE(MID(raw_data!C662,4,2))),IF(MID(raw_data!C662,3,1)="-",DATE(VALUE(RIGHT(raw_data!C662,4)),VALUE(MID(raw_data!C662,4,2)),VALUE(LEFT(raw_data!C662,2))),IF(MID(raw_data!C662,5,1)="-",DATE(VALUE(LEFT(raw_data!C662,4)),VALUE(MID(raw_data!C662,6,2)),VALUE(RIGHT(raw_data!C662,2))),DATE(VALUE(RIGHT(raw_data!C662,4)),MATCH(MID(raw_data!C662,4,3),{"Jan","Feb","Mar","Apr","May","Jun","Jul","Aug","Sep","Oct","Nov","Dec"},0),VALUE(LEFT(raw_data!C662,2)))))),"")</f>
        <v>45853</v>
      </c>
      <c r="D662" s="3" t="str">
        <f aca="false">IF(TRIM(raw_data!B662)="","Missing",IF(B662="","Invalid/Unrecognized","Valid"))</f>
        <v>Valid</v>
      </c>
      <c r="E662" s="3" t="str">
        <f aca="false">IF(TRIM(raw_data!C662)="","Missing",IF(C662="","Invalid/Unrecognized","Valid"))</f>
        <v>Valid</v>
      </c>
      <c r="F662" s="5" t="n">
        <f aca="false">IF(OR(B662="",C662=""),"",C662-B662)</f>
        <v>0</v>
      </c>
      <c r="G662" s="3" t="str">
        <f aca="false">IF(F662="","N/A",IF(F662&lt;0,"Invalid - Ship Before Order","OK"))</f>
        <v>OK</v>
      </c>
      <c r="H662" s="3" t="str">
        <f aca="false">raw_data!D662</f>
        <v>CUST-5638</v>
      </c>
      <c r="I662" s="3" t="str">
        <f aca="false">PROPER(TRIM(raw_data!E662))</f>
        <v>Arjun Bose</v>
      </c>
      <c r="J662" s="3" t="str">
        <f aca="false">PROPER(TRIM(raw_data!F662))</f>
        <v>Small Business</v>
      </c>
      <c r="K662" s="3" t="str">
        <f aca="false">IF(TRIM(raw_data!G662)="","Unknown",PROPER(TRIM(raw_data!G662)))</f>
        <v>East</v>
      </c>
      <c r="L662" s="3" t="str">
        <f aca="false">IF(TRIM(raw_data!G662)="","Filled - Unknown","OK")</f>
        <v>OK</v>
      </c>
      <c r="M662" s="3" t="str">
        <f aca="false">PROPER(TRIM(raw_data!H662))</f>
        <v>Jharkhand</v>
      </c>
      <c r="N662" s="3" t="str">
        <f aca="false">PROPER(TRIM(raw_data!I662))</f>
        <v>Ranchi</v>
      </c>
      <c r="O662" s="3" t="str">
        <f aca="false">PROPER(TRIM(raw_data!J662))</f>
        <v>Technology</v>
      </c>
      <c r="P662" s="3" t="str">
        <f aca="false">PROPER(TRIM(raw_data!K662))</f>
        <v>Phones</v>
      </c>
      <c r="Q662" s="3" t="str">
        <f aca="false">TRIM(raw_data!L662)</f>
        <v>Basic Phones 865</v>
      </c>
      <c r="R662" s="3" t="str">
        <f aca="false">IF(TRIM(raw_data!M662)="","Unknown",PROPER(TRIM(raw_data!M662)))</f>
        <v>Same Day</v>
      </c>
      <c r="S662" s="3" t="str">
        <f aca="false">IF(TRIM(raw_data!M662)="","Filled - Unknown","OK")</f>
        <v>OK</v>
      </c>
      <c r="T662" s="6" t="n">
        <f aca="false">raw_data!N662</f>
        <v>4</v>
      </c>
      <c r="U662" s="7" t="n">
        <f aca="false">raw_data!O662</f>
        <v>4442.91</v>
      </c>
      <c r="V662" s="8" t="n">
        <f aca="false">raw_data!P662</f>
        <v>0.1</v>
      </c>
      <c r="W662" s="8" t="n">
        <f aca="false">IF(raw_data!P662="",0,IF(ISTEXT(raw_data!P662),IF(RIGHT(raw_data!P662,1)="%",VALUE(LEFT(raw_data!P662,LEN(raw_data!P662)-1))/100,VALUE(raw_data!P662)),raw_data!P662))</f>
        <v>0.1</v>
      </c>
      <c r="X662" s="3" t="str">
        <f aca="false">IF(raw_data!P662="","Missing - Defaulted to 0",IF(W662&lt;0,"Negative - Invalid",IF(W662&gt;0.3,"Above Allowed Range - Invalid","Valid")))</f>
        <v>Valid</v>
      </c>
      <c r="Y662" s="7" t="n">
        <f aca="false">raw_data!Q662</f>
        <v>15994.48</v>
      </c>
      <c r="Z662" s="7" t="n">
        <f aca="false">raw_data!R662</f>
        <v>9224.28</v>
      </c>
      <c r="AA662" s="7" t="n">
        <f aca="false">raw_data!S662</f>
        <v>6770.2</v>
      </c>
      <c r="AB662" s="3" t="str">
        <f aca="false">PROPER(TRIM(raw_data!T662))</f>
        <v>Paid</v>
      </c>
      <c r="AC662" s="3" t="str">
        <f aca="false">PROPER(TRIM(raw_data!U662))</f>
        <v>Completed</v>
      </c>
      <c r="AD662" s="7" t="n">
        <f aca="false">T662*U662*(1-W662)</f>
        <v>15994.476</v>
      </c>
      <c r="AE662" s="7" t="n">
        <f aca="false">AD662-Z662</f>
        <v>6770.196</v>
      </c>
      <c r="AF662" s="8" t="n">
        <f aca="false">IF(AD662=0,0,AE662/AD662)</f>
        <v>0.423283388589911</v>
      </c>
      <c r="AG662" s="3" t="str">
        <f aca="false">IF(ABS(Y662-AD662)&gt;1,"Mismatch","OK")</f>
        <v>OK</v>
      </c>
      <c r="AH662" s="3" t="str">
        <f aca="false">IF(ABS(AA662-AE662)&gt;1,"Mismatch","OK")</f>
        <v>OK</v>
      </c>
      <c r="AI662" s="6" t="n">
        <f aca="false">IF(B662="","",MONTH(B662))</f>
        <v>7</v>
      </c>
      <c r="AJ662" s="6" t="n">
        <f aca="false">IF(B662="","",YEAR(B662))</f>
        <v>2025</v>
      </c>
      <c r="AK662" s="3" t="str">
        <f aca="false">IF(COUNTIF(raw_data!$A$2:$A$913,A662)&gt;1,"Conflicting Duplicate - Flagged for Review","Unique")</f>
        <v>Unique</v>
      </c>
      <c r="AL662" s="3" t="str">
        <f aca="false">IF(AB662="Refunded","Yes","No")</f>
        <v>No</v>
      </c>
      <c r="AM662" s="3" t="str">
        <f aca="false">IF(OR(AC662&lt;&gt;"Completed",AB662="Failed"),"Excluded","Included")</f>
        <v>Included</v>
      </c>
      <c r="AN662" s="3" t="str">
        <f aca="false">IF(OR(D662="Invalid/Unrecognized",E662="Invalid/Unrecognized",G662="Invalid - Ship Before Order",X662="Negative - Invalid",X662="Above Allowed Range - Invalid",AG662="Mismatch",AH662="Mismatch",AK662="Conflicting Duplicate - Flagged for Review"),"Invalid",IF(OR(L662="Filled - Unknown",S662="Filled - Unknown",X662="Missing - Defaulted to 0",AL662="Yes",AC662="Cancelled",AC662="Returned"),"Warning","Clean"))</f>
        <v>Clean</v>
      </c>
    </row>
    <row r="663" customFormat="false" ht="15" hidden="false" customHeight="false" outlineLevel="0" collapsed="false">
      <c r="A663" s="3" t="str">
        <f aca="false">raw_data!A663</f>
        <v>ORD-2024-10662</v>
      </c>
      <c r="B663" s="4" t="n">
        <f aca="false">IFERROR(IF(MID(raw_data!B663,3,1)="/",DATE(VALUE(RIGHT(raw_data!B663,4)),VALUE(LEFT(raw_data!B663,2)),VALUE(MID(raw_data!B663,4,2))),IF(MID(raw_data!B663,3,1)="-",DATE(VALUE(RIGHT(raw_data!B663,4)),VALUE(MID(raw_data!B663,4,2)),VALUE(LEFT(raw_data!B663,2))),IF(MID(raw_data!B663,5,1)="-",DATE(VALUE(LEFT(raw_data!B663,4)),VALUE(MID(raw_data!B663,6,2)),VALUE(RIGHT(raw_data!B663,2))),DATE(VALUE(RIGHT(raw_data!B663,4)),MATCH(MID(raw_data!B663,4,3),{"Jan","Feb","Mar","Apr","May","Jun","Jul","Aug","Sep","Oct","Nov","Dec"},0),VALUE(LEFT(raw_data!B663,2)))))),"")</f>
        <v>45429</v>
      </c>
      <c r="C663" s="4" t="n">
        <f aca="false">IFERROR(IF(MID(raw_data!C663,3,1)="/",DATE(VALUE(RIGHT(raw_data!C663,4)),VALUE(LEFT(raw_data!C663,2)),VALUE(MID(raw_data!C663,4,2))),IF(MID(raw_data!C663,3,1)="-",DATE(VALUE(RIGHT(raw_data!C663,4)),VALUE(MID(raw_data!C663,4,2)),VALUE(LEFT(raw_data!C663,2))),IF(MID(raw_data!C663,5,1)="-",DATE(VALUE(LEFT(raw_data!C663,4)),VALUE(MID(raw_data!C663,6,2)),VALUE(RIGHT(raw_data!C663,2))),DATE(VALUE(RIGHT(raw_data!C663,4)),MATCH(MID(raw_data!C663,4,3),{"Jan","Feb","Mar","Apr","May","Jun","Jul","Aug","Sep","Oct","Nov","Dec"},0),VALUE(LEFT(raw_data!C663,2)))))),"")</f>
        <v>45434</v>
      </c>
      <c r="D663" s="3" t="str">
        <f aca="false">IF(TRIM(raw_data!B663)="","Missing",IF(B663="","Invalid/Unrecognized","Valid"))</f>
        <v>Valid</v>
      </c>
      <c r="E663" s="3" t="str">
        <f aca="false">IF(TRIM(raw_data!C663)="","Missing",IF(C663="","Invalid/Unrecognized","Valid"))</f>
        <v>Valid</v>
      </c>
      <c r="F663" s="5" t="n">
        <f aca="false">IF(OR(B663="",C663=""),"",C663-B663)</f>
        <v>5</v>
      </c>
      <c r="G663" s="3" t="str">
        <f aca="false">IF(F663="","N/A",IF(F663&lt;0,"Invalid - Ship Before Order","OK"))</f>
        <v>OK</v>
      </c>
      <c r="H663" s="3" t="str">
        <f aca="false">raw_data!D663</f>
        <v>CUST-4537</v>
      </c>
      <c r="I663" s="3" t="str">
        <f aca="false">PROPER(TRIM(raw_data!E663))</f>
        <v>Sneha Kapoor</v>
      </c>
      <c r="J663" s="3" t="str">
        <f aca="false">PROPER(TRIM(raw_data!F663))</f>
        <v>Consumer</v>
      </c>
      <c r="K663" s="3" t="str">
        <f aca="false">IF(TRIM(raw_data!G663)="","Unknown",PROPER(TRIM(raw_data!G663)))</f>
        <v>South</v>
      </c>
      <c r="L663" s="3" t="str">
        <f aca="false">IF(TRIM(raw_data!G663)="","Filled - Unknown","OK")</f>
        <v>OK</v>
      </c>
      <c r="M663" s="3" t="str">
        <f aca="false">PROPER(TRIM(raw_data!H663))</f>
        <v>Andhra Pradesh</v>
      </c>
      <c r="N663" s="3" t="str">
        <f aca="false">PROPER(TRIM(raw_data!I663))</f>
        <v>Vijayawada</v>
      </c>
      <c r="O663" s="3" t="str">
        <f aca="false">PROPER(TRIM(raw_data!J663))</f>
        <v>Technology</v>
      </c>
      <c r="P663" s="3" t="str">
        <f aca="false">PROPER(TRIM(raw_data!K663))</f>
        <v>Machines</v>
      </c>
      <c r="Q663" s="3" t="str">
        <f aca="false">TRIM(raw_data!L663)</f>
        <v>Max Machines 595</v>
      </c>
      <c r="R663" s="3" t="str">
        <f aca="false">IF(TRIM(raw_data!M663)="","Unknown",PROPER(TRIM(raw_data!M663)))</f>
        <v>Second Class</v>
      </c>
      <c r="S663" s="3" t="str">
        <f aca="false">IF(TRIM(raw_data!M663)="","Filled - Unknown","OK")</f>
        <v>OK</v>
      </c>
      <c r="T663" s="6" t="n">
        <f aca="false">raw_data!N663</f>
        <v>7</v>
      </c>
      <c r="U663" s="7" t="n">
        <f aca="false">raw_data!O663</f>
        <v>232.5</v>
      </c>
      <c r="V663" s="8" t="n">
        <f aca="false">raw_data!P663</f>
        <v>0</v>
      </c>
      <c r="W663" s="8" t="n">
        <f aca="false">IF(raw_data!P663="",0,IF(ISTEXT(raw_data!P663),IF(RIGHT(raw_data!P663,1)="%",VALUE(LEFT(raw_data!P663,LEN(raw_data!P663)-1))/100,VALUE(raw_data!P663)),raw_data!P663))</f>
        <v>0</v>
      </c>
      <c r="X663" s="3" t="str">
        <f aca="false">IF(raw_data!P663="","Missing - Defaulted to 0",IF(W663&lt;0,"Negative - Invalid",IF(W663&gt;0.3,"Above Allowed Range - Invalid","Valid")))</f>
        <v>Valid</v>
      </c>
      <c r="Y663" s="7" t="n">
        <f aca="false">raw_data!Q663</f>
        <v>1627.5</v>
      </c>
      <c r="Z663" s="7" t="n">
        <f aca="false">raw_data!R663</f>
        <v>939.9</v>
      </c>
      <c r="AA663" s="7" t="n">
        <f aca="false">raw_data!S663</f>
        <v>687.6</v>
      </c>
      <c r="AB663" s="3" t="str">
        <f aca="false">PROPER(TRIM(raw_data!T663))</f>
        <v>Paid</v>
      </c>
      <c r="AC663" s="3" t="str">
        <f aca="false">PROPER(TRIM(raw_data!U663))</f>
        <v>Completed</v>
      </c>
      <c r="AD663" s="7" t="n">
        <f aca="false">T663*U663*(1-W663)</f>
        <v>1627.5</v>
      </c>
      <c r="AE663" s="7" t="n">
        <f aca="false">AD663-Z663</f>
        <v>687.6</v>
      </c>
      <c r="AF663" s="8" t="n">
        <f aca="false">IF(AD663=0,0,AE663/AD663)</f>
        <v>0.422488479262673</v>
      </c>
      <c r="AG663" s="3" t="str">
        <f aca="false">IF(ABS(Y663-AD663)&gt;1,"Mismatch","OK")</f>
        <v>OK</v>
      </c>
      <c r="AH663" s="3" t="str">
        <f aca="false">IF(ABS(AA663-AE663)&gt;1,"Mismatch","OK")</f>
        <v>OK</v>
      </c>
      <c r="AI663" s="6" t="n">
        <f aca="false">IF(B663="","",MONTH(B663))</f>
        <v>5</v>
      </c>
      <c r="AJ663" s="6" t="n">
        <f aca="false">IF(B663="","",YEAR(B663))</f>
        <v>2024</v>
      </c>
      <c r="AK663" s="3" t="str">
        <f aca="false">IF(COUNTIF(raw_data!$A$2:$A$913,A663)&gt;1,"Conflicting Duplicate - Flagged for Review","Unique")</f>
        <v>Unique</v>
      </c>
      <c r="AL663" s="3" t="str">
        <f aca="false">IF(AB663="Refunded","Yes","No")</f>
        <v>No</v>
      </c>
      <c r="AM663" s="3" t="str">
        <f aca="false">IF(OR(AC663&lt;&gt;"Completed",AB663="Failed"),"Excluded","Included")</f>
        <v>Included</v>
      </c>
      <c r="AN663" s="3" t="str">
        <f aca="false">IF(OR(D663="Invalid/Unrecognized",E663="Invalid/Unrecognized",G663="Invalid - Ship Before Order",X663="Negative - Invalid",X663="Above Allowed Range - Invalid",AG663="Mismatch",AH663="Mismatch",AK663="Conflicting Duplicate - Flagged for Review"),"Invalid",IF(OR(L663="Filled - Unknown",S663="Filled - Unknown",X663="Missing - Defaulted to 0",AL663="Yes",AC663="Cancelled",AC663="Returned"),"Warning","Clean"))</f>
        <v>Clean</v>
      </c>
    </row>
    <row r="664" customFormat="false" ht="15" hidden="false" customHeight="false" outlineLevel="0" collapsed="false">
      <c r="A664" s="3" t="str">
        <f aca="false">raw_data!A664</f>
        <v>ORD-2024-10663</v>
      </c>
      <c r="B664" s="4" t="n">
        <f aca="false">IFERROR(IF(MID(raw_data!B664,3,1)="/",DATE(VALUE(RIGHT(raw_data!B664,4)),VALUE(LEFT(raw_data!B664,2)),VALUE(MID(raw_data!B664,4,2))),IF(MID(raw_data!B664,3,1)="-",DATE(VALUE(RIGHT(raw_data!B664,4)),VALUE(MID(raw_data!B664,4,2)),VALUE(LEFT(raw_data!B664,2))),IF(MID(raw_data!B664,5,1)="-",DATE(VALUE(LEFT(raw_data!B664,4)),VALUE(MID(raw_data!B664,6,2)),VALUE(RIGHT(raw_data!B664,2))),DATE(VALUE(RIGHT(raw_data!B664,4)),MATCH(MID(raw_data!B664,4,3),{"Jan","Feb","Mar","Apr","May","Jun","Jul","Aug","Sep","Oct","Nov","Dec"},0),VALUE(LEFT(raw_data!B664,2)))))),"")</f>
        <v>45305</v>
      </c>
      <c r="C664" s="4" t="n">
        <f aca="false">IFERROR(IF(MID(raw_data!C664,3,1)="/",DATE(VALUE(RIGHT(raw_data!C664,4)),VALUE(LEFT(raw_data!C664,2)),VALUE(MID(raw_data!C664,4,2))),IF(MID(raw_data!C664,3,1)="-",DATE(VALUE(RIGHT(raw_data!C664,4)),VALUE(MID(raw_data!C664,4,2)),VALUE(LEFT(raw_data!C664,2))),IF(MID(raw_data!C664,5,1)="-",DATE(VALUE(LEFT(raw_data!C664,4)),VALUE(MID(raw_data!C664,6,2)),VALUE(RIGHT(raw_data!C664,2))),DATE(VALUE(RIGHT(raw_data!C664,4)),MATCH(MID(raw_data!C664,4,3),{"Jan","Feb","Mar","Apr","May","Jun","Jul","Aug","Sep","Oct","Nov","Dec"},0),VALUE(LEFT(raw_data!C664,2)))))),"")</f>
        <v>45309</v>
      </c>
      <c r="D664" s="3" t="str">
        <f aca="false">IF(TRIM(raw_data!B664)="","Missing",IF(B664="","Invalid/Unrecognized","Valid"))</f>
        <v>Valid</v>
      </c>
      <c r="E664" s="3" t="str">
        <f aca="false">IF(TRIM(raw_data!C664)="","Missing",IF(C664="","Invalid/Unrecognized","Valid"))</f>
        <v>Valid</v>
      </c>
      <c r="F664" s="5" t="n">
        <f aca="false">IF(OR(B664="",C664=""),"",C664-B664)</f>
        <v>4</v>
      </c>
      <c r="G664" s="3" t="str">
        <f aca="false">IF(F664="","N/A",IF(F664&lt;0,"Invalid - Ship Before Order","OK"))</f>
        <v>OK</v>
      </c>
      <c r="H664" s="3" t="str">
        <f aca="false">raw_data!D664</f>
        <v>CUST-3181</v>
      </c>
      <c r="I664" s="3" t="str">
        <f aca="false">PROPER(TRIM(raw_data!E664))</f>
        <v>Mira Das</v>
      </c>
      <c r="J664" s="3" t="str">
        <f aca="false">PROPER(TRIM(raw_data!F664))</f>
        <v>Home Office</v>
      </c>
      <c r="K664" s="3" t="str">
        <f aca="false">IF(TRIM(raw_data!G664)="","Unknown",PROPER(TRIM(raw_data!G664)))</f>
        <v>West</v>
      </c>
      <c r="L664" s="3" t="str">
        <f aca="false">IF(TRIM(raw_data!G664)="","Filled - Unknown","OK")</f>
        <v>OK</v>
      </c>
      <c r="M664" s="3" t="str">
        <f aca="false">PROPER(TRIM(raw_data!H664))</f>
        <v>Rajasthan</v>
      </c>
      <c r="N664" s="3" t="str">
        <f aca="false">PROPER(TRIM(raw_data!I664))</f>
        <v>Udaipur</v>
      </c>
      <c r="O664" s="3" t="str">
        <f aca="false">PROPER(TRIM(raw_data!J664))</f>
        <v>Technology</v>
      </c>
      <c r="P664" s="3" t="str">
        <f aca="false">PROPER(TRIM(raw_data!K664))</f>
        <v>Machines</v>
      </c>
      <c r="Q664" s="3" t="str">
        <f aca="false">TRIM(raw_data!L664)</f>
        <v>Elite Machines 367</v>
      </c>
      <c r="R664" s="3" t="str">
        <f aca="false">IF(TRIM(raw_data!M664)="","Unknown",PROPER(TRIM(raw_data!M664)))</f>
        <v>Same Day</v>
      </c>
      <c r="S664" s="3" t="str">
        <f aca="false">IF(TRIM(raw_data!M664)="","Filled - Unknown","OK")</f>
        <v>OK</v>
      </c>
      <c r="T664" s="6" t="n">
        <f aca="false">raw_data!N664</f>
        <v>6</v>
      </c>
      <c r="U664" s="7" t="n">
        <f aca="false">raw_data!O664</f>
        <v>1784.8</v>
      </c>
      <c r="V664" s="8" t="n">
        <f aca="false">raw_data!P664</f>
        <v>0.1</v>
      </c>
      <c r="W664" s="8" t="n">
        <f aca="false">IF(raw_data!P664="",0,IF(ISTEXT(raw_data!P664),IF(RIGHT(raw_data!P664,1)="%",VALUE(LEFT(raw_data!P664,LEN(raw_data!P664)-1))/100,VALUE(raw_data!P664)),raw_data!P664))</f>
        <v>0.1</v>
      </c>
      <c r="X664" s="3" t="str">
        <f aca="false">IF(raw_data!P664="","Missing - Defaulted to 0",IF(W664&lt;0,"Negative - Invalid",IF(W664&gt;0.3,"Above Allowed Range - Invalid","Valid")))</f>
        <v>Valid</v>
      </c>
      <c r="Y664" s="7" t="n">
        <f aca="false">raw_data!Q664</f>
        <v>9637.92</v>
      </c>
      <c r="Z664" s="7" t="n">
        <f aca="false">raw_data!R664</f>
        <v>7329.29</v>
      </c>
      <c r="AA664" s="7" t="n">
        <f aca="false">raw_data!S664</f>
        <v>2308.63</v>
      </c>
      <c r="AB664" s="3" t="str">
        <f aca="false">PROPER(TRIM(raw_data!T664))</f>
        <v>Paid</v>
      </c>
      <c r="AC664" s="3" t="str">
        <f aca="false">PROPER(TRIM(raw_data!U664))</f>
        <v>Completed</v>
      </c>
      <c r="AD664" s="7" t="n">
        <f aca="false">T664*U664*(1-W664)</f>
        <v>9637.92</v>
      </c>
      <c r="AE664" s="7" t="n">
        <f aca="false">AD664-Z664</f>
        <v>2308.63</v>
      </c>
      <c r="AF664" s="8" t="n">
        <f aca="false">IF(AD664=0,0,AE664/AD664)</f>
        <v>0.239536123976958</v>
      </c>
      <c r="AG664" s="3" t="str">
        <f aca="false">IF(ABS(Y664-AD664)&gt;1,"Mismatch","OK")</f>
        <v>OK</v>
      </c>
      <c r="AH664" s="3" t="str">
        <f aca="false">IF(ABS(AA664-AE664)&gt;1,"Mismatch","OK")</f>
        <v>OK</v>
      </c>
      <c r="AI664" s="6" t="n">
        <f aca="false">IF(B664="","",MONTH(B664))</f>
        <v>1</v>
      </c>
      <c r="AJ664" s="6" t="n">
        <f aca="false">IF(B664="","",YEAR(B664))</f>
        <v>2024</v>
      </c>
      <c r="AK664" s="3" t="str">
        <f aca="false">IF(COUNTIF(raw_data!$A$2:$A$913,A664)&gt;1,"Conflicting Duplicate - Flagged for Review","Unique")</f>
        <v>Unique</v>
      </c>
      <c r="AL664" s="3" t="str">
        <f aca="false">IF(AB664="Refunded","Yes","No")</f>
        <v>No</v>
      </c>
      <c r="AM664" s="3" t="str">
        <f aca="false">IF(OR(AC664&lt;&gt;"Completed",AB664="Failed"),"Excluded","Included")</f>
        <v>Included</v>
      </c>
      <c r="AN664" s="3" t="str">
        <f aca="false">IF(OR(D664="Invalid/Unrecognized",E664="Invalid/Unrecognized",G664="Invalid - Ship Before Order",X664="Negative - Invalid",X664="Above Allowed Range - Invalid",AG664="Mismatch",AH664="Mismatch",AK664="Conflicting Duplicate - Flagged for Review"),"Invalid",IF(OR(L664="Filled - Unknown",S664="Filled - Unknown",X664="Missing - Defaulted to 0",AL664="Yes",AC664="Cancelled",AC664="Returned"),"Warning","Clean"))</f>
        <v>Clean</v>
      </c>
    </row>
    <row r="665" customFormat="false" ht="15" hidden="false" customHeight="false" outlineLevel="0" collapsed="false">
      <c r="A665" s="3" t="str">
        <f aca="false">raw_data!A665</f>
        <v>ORD-2024-10664</v>
      </c>
      <c r="B665" s="4" t="n">
        <f aca="false">IFERROR(IF(MID(raw_data!B665,3,1)="/",DATE(VALUE(RIGHT(raw_data!B665,4)),VALUE(LEFT(raw_data!B665,2)),VALUE(MID(raw_data!B665,4,2))),IF(MID(raw_data!B665,3,1)="-",DATE(VALUE(RIGHT(raw_data!B665,4)),VALUE(MID(raw_data!B665,4,2)),VALUE(LEFT(raw_data!B665,2))),IF(MID(raw_data!B665,5,1)="-",DATE(VALUE(LEFT(raw_data!B665,4)),VALUE(MID(raw_data!B665,6,2)),VALUE(RIGHT(raw_data!B665,2))),DATE(VALUE(RIGHT(raw_data!B665,4)),MATCH(MID(raw_data!B665,4,3),{"Jan","Feb","Mar","Apr","May","Jun","Jul","Aug","Sep","Oct","Nov","Dec"},0),VALUE(LEFT(raw_data!B665,2)))))),"")</f>
        <v>45414</v>
      </c>
      <c r="C665" s="4" t="n">
        <f aca="false">IFERROR(IF(MID(raw_data!C665,3,1)="/",DATE(VALUE(RIGHT(raw_data!C665,4)),VALUE(LEFT(raw_data!C665,2)),VALUE(MID(raw_data!C665,4,2))),IF(MID(raw_data!C665,3,1)="-",DATE(VALUE(RIGHT(raw_data!C665,4)),VALUE(MID(raw_data!C665,4,2)),VALUE(LEFT(raw_data!C665,2))),IF(MID(raw_data!C665,5,1)="-",DATE(VALUE(LEFT(raw_data!C665,4)),VALUE(MID(raw_data!C665,6,2)),VALUE(RIGHT(raw_data!C665,2))),DATE(VALUE(RIGHT(raw_data!C665,4)),MATCH(MID(raw_data!C665,4,3),{"Jan","Feb","Mar","Apr","May","Jun","Jul","Aug","Sep","Oct","Nov","Dec"},0),VALUE(LEFT(raw_data!C665,2)))))),"")</f>
        <v>45420</v>
      </c>
      <c r="D665" s="3" t="str">
        <f aca="false">IF(TRIM(raw_data!B665)="","Missing",IF(B665="","Invalid/Unrecognized","Valid"))</f>
        <v>Valid</v>
      </c>
      <c r="E665" s="3" t="str">
        <f aca="false">IF(TRIM(raw_data!C665)="","Missing",IF(C665="","Invalid/Unrecognized","Valid"))</f>
        <v>Valid</v>
      </c>
      <c r="F665" s="5" t="n">
        <f aca="false">IF(OR(B665="",C665=""),"",C665-B665)</f>
        <v>6</v>
      </c>
      <c r="G665" s="3" t="str">
        <f aca="false">IF(F665="","N/A",IF(F665&lt;0,"Invalid - Ship Before Order","OK"))</f>
        <v>OK</v>
      </c>
      <c r="H665" s="3" t="str">
        <f aca="false">raw_data!D665</f>
        <v>CUST-1015</v>
      </c>
      <c r="I665" s="3" t="str">
        <f aca="false">PROPER(TRIM(raw_data!E665))</f>
        <v>Rahul Verma</v>
      </c>
      <c r="J665" s="3" t="str">
        <f aca="false">PROPER(TRIM(raw_data!F665))</f>
        <v>Home Office</v>
      </c>
      <c r="K665" s="3" t="str">
        <f aca="false">IF(TRIM(raw_data!G665)="","Unknown",PROPER(TRIM(raw_data!G665)))</f>
        <v>East</v>
      </c>
      <c r="L665" s="3" t="str">
        <f aca="false">IF(TRIM(raw_data!G665)="","Filled - Unknown","OK")</f>
        <v>OK</v>
      </c>
      <c r="M665" s="3" t="str">
        <f aca="false">PROPER(TRIM(raw_data!H665))</f>
        <v>Jharkhand</v>
      </c>
      <c r="N665" s="3" t="str">
        <f aca="false">PROPER(TRIM(raw_data!I665))</f>
        <v>Ranchi</v>
      </c>
      <c r="O665" s="3" t="str">
        <f aca="false">PROPER(TRIM(raw_data!J665))</f>
        <v>Technology</v>
      </c>
      <c r="P665" s="3" t="str">
        <f aca="false">PROPER(TRIM(raw_data!K665))</f>
        <v>Copiers</v>
      </c>
      <c r="Q665" s="3" t="str">
        <f aca="false">TRIM(raw_data!L665)</f>
        <v>Basic Copiers 787</v>
      </c>
      <c r="R665" s="3" t="str">
        <f aca="false">IF(TRIM(raw_data!M665)="","Unknown",PROPER(TRIM(raw_data!M665)))</f>
        <v>Second Class</v>
      </c>
      <c r="S665" s="3" t="str">
        <f aca="false">IF(TRIM(raw_data!M665)="","Filled - Unknown","OK")</f>
        <v>OK</v>
      </c>
      <c r="T665" s="6" t="n">
        <f aca="false">raw_data!N665</f>
        <v>2</v>
      </c>
      <c r="U665" s="7" t="n">
        <f aca="false">raw_data!O665</f>
        <v>3185.01</v>
      </c>
      <c r="V665" s="8" t="n">
        <f aca="false">raw_data!P665</f>
        <v>-0.24</v>
      </c>
      <c r="W665" s="8" t="n">
        <f aca="false">IF(raw_data!P665="",0,IF(ISTEXT(raw_data!P665),IF(RIGHT(raw_data!P665,1)="%",VALUE(LEFT(raw_data!P665,LEN(raw_data!P665)-1))/100,VALUE(raw_data!P665)),raw_data!P665))</f>
        <v>-0.24</v>
      </c>
      <c r="X665" s="3" t="str">
        <f aca="false">IF(raw_data!P665="","Missing - Defaulted to 0",IF(W665&lt;0,"Negative - Invalid",IF(W665&gt;0.3,"Above Allowed Range - Invalid","Valid")))</f>
        <v>Negative - Invalid</v>
      </c>
      <c r="Y665" s="7" t="n">
        <f aca="false">raw_data!Q665</f>
        <v>4777.52</v>
      </c>
      <c r="Z665" s="7" t="n">
        <f aca="false">raw_data!R665</f>
        <v>3152.98</v>
      </c>
      <c r="AA665" s="7" t="n">
        <f aca="false">raw_data!S665</f>
        <v>1624.54</v>
      </c>
      <c r="AB665" s="3" t="str">
        <f aca="false">PROPER(TRIM(raw_data!T665))</f>
        <v>Paid</v>
      </c>
      <c r="AC665" s="3" t="str">
        <f aca="false">PROPER(TRIM(raw_data!U665))</f>
        <v>Completed</v>
      </c>
      <c r="AD665" s="7" t="n">
        <f aca="false">T665*U665*(1-W665)</f>
        <v>7898.8248</v>
      </c>
      <c r="AE665" s="7" t="n">
        <f aca="false">AD665-Z665</f>
        <v>4745.8448</v>
      </c>
      <c r="AF665" s="8" t="n">
        <f aca="false">IF(AD665=0,0,AE665/AD665)</f>
        <v>0.60082922715288</v>
      </c>
      <c r="AG665" s="3" t="str">
        <f aca="false">IF(ABS(Y665-AD665)&gt;1,"Mismatch","OK")</f>
        <v>Mismatch</v>
      </c>
      <c r="AH665" s="3" t="str">
        <f aca="false">IF(ABS(AA665-AE665)&gt;1,"Mismatch","OK")</f>
        <v>Mismatch</v>
      </c>
      <c r="AI665" s="6" t="n">
        <f aca="false">IF(B665="","",MONTH(B665))</f>
        <v>5</v>
      </c>
      <c r="AJ665" s="6" t="n">
        <f aca="false">IF(B665="","",YEAR(B665))</f>
        <v>2024</v>
      </c>
      <c r="AK665" s="3" t="str">
        <f aca="false">IF(COUNTIF(raw_data!$A$2:$A$913,A665)&gt;1,"Conflicting Duplicate - Flagged for Review","Unique")</f>
        <v>Unique</v>
      </c>
      <c r="AL665" s="3" t="str">
        <f aca="false">IF(AB665="Refunded","Yes","No")</f>
        <v>No</v>
      </c>
      <c r="AM665" s="3" t="str">
        <f aca="false">IF(OR(AC665&lt;&gt;"Completed",AB665="Failed"),"Excluded","Included")</f>
        <v>Included</v>
      </c>
      <c r="AN665" s="3" t="str">
        <f aca="false">IF(OR(D665="Invalid/Unrecognized",E665="Invalid/Unrecognized",G665="Invalid - Ship Before Order",X665="Negative - Invalid",X665="Above Allowed Range - Invalid",AG665="Mismatch",AH665="Mismatch",AK665="Conflicting Duplicate - Flagged for Review"),"Invalid",IF(OR(L665="Filled - Unknown",S665="Filled - Unknown",X665="Missing - Defaulted to 0",AL665="Yes",AC665="Cancelled",AC665="Returned"),"Warning","Clean"))</f>
        <v>Invalid</v>
      </c>
    </row>
    <row r="666" customFormat="false" ht="15" hidden="false" customHeight="false" outlineLevel="0" collapsed="false">
      <c r="A666" s="3" t="str">
        <f aca="false">raw_data!A666</f>
        <v>ORD-2024-10665</v>
      </c>
      <c r="B666" s="4" t="n">
        <f aca="false">IFERROR(IF(MID(raw_data!B666,3,1)="/",DATE(VALUE(RIGHT(raw_data!B666,4)),VALUE(LEFT(raw_data!B666,2)),VALUE(MID(raw_data!B666,4,2))),IF(MID(raw_data!B666,3,1)="-",DATE(VALUE(RIGHT(raw_data!B666,4)),VALUE(MID(raw_data!B666,4,2)),VALUE(LEFT(raw_data!B666,2))),IF(MID(raw_data!B666,5,1)="-",DATE(VALUE(LEFT(raw_data!B666,4)),VALUE(MID(raw_data!B666,6,2)),VALUE(RIGHT(raw_data!B666,2))),DATE(VALUE(RIGHT(raw_data!B666,4)),MATCH(MID(raw_data!B666,4,3),{"Jan","Feb","Mar","Apr","May","Jun","Jul","Aug","Sep","Oct","Nov","Dec"},0),VALUE(LEFT(raw_data!B666,2)))))),"")</f>
        <v>45633</v>
      </c>
      <c r="C666" s="4" t="n">
        <f aca="false">IFERROR(IF(MID(raw_data!C666,3,1)="/",DATE(VALUE(RIGHT(raw_data!C666,4)),VALUE(LEFT(raw_data!C666,2)),VALUE(MID(raw_data!C666,4,2))),IF(MID(raw_data!C666,3,1)="-",DATE(VALUE(RIGHT(raw_data!C666,4)),VALUE(MID(raw_data!C666,4,2)),VALUE(LEFT(raw_data!C666,2))),IF(MID(raw_data!C666,5,1)="-",DATE(VALUE(LEFT(raw_data!C666,4)),VALUE(MID(raw_data!C666,6,2)),VALUE(RIGHT(raw_data!C666,2))),DATE(VALUE(RIGHT(raw_data!C666,4)),MATCH(MID(raw_data!C666,4,3),{"Jan","Feb","Mar","Apr","May","Jun","Jul","Aug","Sep","Oct","Nov","Dec"},0),VALUE(LEFT(raw_data!C666,2)))))),"")</f>
        <v>45636</v>
      </c>
      <c r="D666" s="3" t="str">
        <f aca="false">IF(TRIM(raw_data!B666)="","Missing",IF(B666="","Invalid/Unrecognized","Valid"))</f>
        <v>Valid</v>
      </c>
      <c r="E666" s="3" t="str">
        <f aca="false">IF(TRIM(raw_data!C666)="","Missing",IF(C666="","Invalid/Unrecognized","Valid"))</f>
        <v>Valid</v>
      </c>
      <c r="F666" s="5" t="n">
        <f aca="false">IF(OR(B666="",C666=""),"",C666-B666)</f>
        <v>3</v>
      </c>
      <c r="G666" s="3" t="str">
        <f aca="false">IF(F666="","N/A",IF(F666&lt;0,"Invalid - Ship Before Order","OK"))</f>
        <v>OK</v>
      </c>
      <c r="H666" s="3" t="str">
        <f aca="false">raw_data!D666</f>
        <v>CUST-2709</v>
      </c>
      <c r="I666" s="3" t="str">
        <f aca="false">PROPER(TRIM(raw_data!E666))</f>
        <v>Mira Das</v>
      </c>
      <c r="J666" s="3" t="str">
        <f aca="false">PROPER(TRIM(raw_data!F666))</f>
        <v>Home Office</v>
      </c>
      <c r="K666" s="3" t="str">
        <f aca="false">IF(TRIM(raw_data!G666)="","Unknown",PROPER(TRIM(raw_data!G666)))</f>
        <v>South</v>
      </c>
      <c r="L666" s="3" t="str">
        <f aca="false">IF(TRIM(raw_data!G666)="","Filled - Unknown","OK")</f>
        <v>OK</v>
      </c>
      <c r="M666" s="3" t="str">
        <f aca="false">PROPER(TRIM(raw_data!H666))</f>
        <v>Telangana</v>
      </c>
      <c r="N666" s="3" t="str">
        <f aca="false">PROPER(TRIM(raw_data!I666))</f>
        <v>Hyderabad</v>
      </c>
      <c r="O666" s="3" t="str">
        <f aca="false">PROPER(TRIM(raw_data!J666))</f>
        <v>Technology</v>
      </c>
      <c r="P666" s="3" t="str">
        <f aca="false">PROPER(TRIM(raw_data!K666))</f>
        <v>Accessories</v>
      </c>
      <c r="Q666" s="3" t="str">
        <f aca="false">TRIM(raw_data!L666)</f>
        <v>Max Accessories 903</v>
      </c>
      <c r="R666" s="3" t="str">
        <f aca="false">IF(TRIM(raw_data!M666)="","Unknown",PROPER(TRIM(raw_data!M666)))</f>
        <v>Standard Class</v>
      </c>
      <c r="S666" s="3" t="str">
        <f aca="false">IF(TRIM(raw_data!M666)="","Filled - Unknown","OK")</f>
        <v>OK</v>
      </c>
      <c r="T666" s="6" t="n">
        <f aca="false">raw_data!N666</f>
        <v>1</v>
      </c>
      <c r="U666" s="7" t="n">
        <f aca="false">raw_data!O666</f>
        <v>1908.83</v>
      </c>
      <c r="V666" s="8" t="n">
        <f aca="false">raw_data!P666</f>
        <v>0.2</v>
      </c>
      <c r="W666" s="8" t="n">
        <f aca="false">IF(raw_data!P666="",0,IF(ISTEXT(raw_data!P666),IF(RIGHT(raw_data!P666,1)="%",VALUE(LEFT(raw_data!P666,LEN(raw_data!P666)-1))/100,VALUE(raw_data!P666)),raw_data!P666))</f>
        <v>0.2</v>
      </c>
      <c r="X666" s="3" t="str">
        <f aca="false">IF(raw_data!P666="","Missing - Defaulted to 0",IF(W666&lt;0,"Negative - Invalid",IF(W666&gt;0.3,"Above Allowed Range - Invalid","Valid")))</f>
        <v>Valid</v>
      </c>
      <c r="Y666" s="7" t="n">
        <f aca="false">raw_data!Q666</f>
        <v>1527.06</v>
      </c>
      <c r="Z666" s="7" t="n">
        <f aca="false">raw_data!R666</f>
        <v>1055.89</v>
      </c>
      <c r="AA666" s="7" t="n">
        <f aca="false">raw_data!S666</f>
        <v>471.17</v>
      </c>
      <c r="AB666" s="3" t="str">
        <f aca="false">PROPER(TRIM(raw_data!T666))</f>
        <v>Paid</v>
      </c>
      <c r="AC666" s="3" t="str">
        <f aca="false">PROPER(TRIM(raw_data!U666))</f>
        <v>Completed</v>
      </c>
      <c r="AD666" s="7" t="n">
        <f aca="false">T666*U666*(1-W666)</f>
        <v>1527.064</v>
      </c>
      <c r="AE666" s="7" t="n">
        <f aca="false">AD666-Z666</f>
        <v>471.174</v>
      </c>
      <c r="AF666" s="8" t="n">
        <f aca="false">IF(AD666=0,0,AE666/AD666)</f>
        <v>0.308548954071342</v>
      </c>
      <c r="AG666" s="3" t="str">
        <f aca="false">IF(ABS(Y666-AD666)&gt;1,"Mismatch","OK")</f>
        <v>OK</v>
      </c>
      <c r="AH666" s="3" t="str">
        <f aca="false">IF(ABS(AA666-AE666)&gt;1,"Mismatch","OK")</f>
        <v>OK</v>
      </c>
      <c r="AI666" s="6" t="n">
        <f aca="false">IF(B666="","",MONTH(B666))</f>
        <v>12</v>
      </c>
      <c r="AJ666" s="6" t="n">
        <f aca="false">IF(B666="","",YEAR(B666))</f>
        <v>2024</v>
      </c>
      <c r="AK666" s="3" t="str">
        <f aca="false">IF(COUNTIF(raw_data!$A$2:$A$913,A666)&gt;1,"Conflicting Duplicate - Flagged for Review","Unique")</f>
        <v>Unique</v>
      </c>
      <c r="AL666" s="3" t="str">
        <f aca="false">IF(AB666="Refunded","Yes","No")</f>
        <v>No</v>
      </c>
      <c r="AM666" s="3" t="str">
        <f aca="false">IF(OR(AC666&lt;&gt;"Completed",AB666="Failed"),"Excluded","Included")</f>
        <v>Included</v>
      </c>
      <c r="AN666" s="3" t="str">
        <f aca="false">IF(OR(D666="Invalid/Unrecognized",E666="Invalid/Unrecognized",G666="Invalid - Ship Before Order",X666="Negative - Invalid",X666="Above Allowed Range - Invalid",AG666="Mismatch",AH666="Mismatch",AK666="Conflicting Duplicate - Flagged for Review"),"Invalid",IF(OR(L666="Filled - Unknown",S666="Filled - Unknown",X666="Missing - Defaulted to 0",AL666="Yes",AC666="Cancelled",AC666="Returned"),"Warning","Clean"))</f>
        <v>Clean</v>
      </c>
    </row>
    <row r="667" customFormat="false" ht="15" hidden="false" customHeight="false" outlineLevel="0" collapsed="false">
      <c r="A667" s="3" t="str">
        <f aca="false">raw_data!A667</f>
        <v>ORD-2025-10666</v>
      </c>
      <c r="B667" s="4" t="n">
        <f aca="false">IFERROR(IF(MID(raw_data!B667,3,1)="/",DATE(VALUE(RIGHT(raw_data!B667,4)),VALUE(LEFT(raw_data!B667,2)),VALUE(MID(raw_data!B667,4,2))),IF(MID(raw_data!B667,3,1)="-",DATE(VALUE(RIGHT(raw_data!B667,4)),VALUE(MID(raw_data!B667,4,2)),VALUE(LEFT(raw_data!B667,2))),IF(MID(raw_data!B667,5,1)="-",DATE(VALUE(LEFT(raw_data!B667,4)),VALUE(MID(raw_data!B667,6,2)),VALUE(RIGHT(raw_data!B667,2))),DATE(VALUE(RIGHT(raw_data!B667,4)),MATCH(MID(raw_data!B667,4,3),{"Jan","Feb","Mar","Apr","May","Jun","Jul","Aug","Sep","Oct","Nov","Dec"},0),VALUE(LEFT(raw_data!B667,2)))))),"")</f>
        <v>45670</v>
      </c>
      <c r="C667" s="4" t="n">
        <f aca="false">IFERROR(IF(MID(raw_data!C667,3,1)="/",DATE(VALUE(RIGHT(raw_data!C667,4)),VALUE(LEFT(raw_data!C667,2)),VALUE(MID(raw_data!C667,4,2))),IF(MID(raw_data!C667,3,1)="-",DATE(VALUE(RIGHT(raw_data!C667,4)),VALUE(MID(raw_data!C667,4,2)),VALUE(LEFT(raw_data!C667,2))),IF(MID(raw_data!C667,5,1)="-",DATE(VALUE(LEFT(raw_data!C667,4)),VALUE(MID(raw_data!C667,6,2)),VALUE(RIGHT(raw_data!C667,2))),DATE(VALUE(RIGHT(raw_data!C667,4)),MATCH(MID(raw_data!C667,4,3),{"Jan","Feb","Mar","Apr","May","Jun","Jul","Aug","Sep","Oct","Nov","Dec"},0),VALUE(LEFT(raw_data!C667,2)))))),"")</f>
        <v>45670</v>
      </c>
      <c r="D667" s="3" t="str">
        <f aca="false">IF(TRIM(raw_data!B667)="","Missing",IF(B667="","Invalid/Unrecognized","Valid"))</f>
        <v>Valid</v>
      </c>
      <c r="E667" s="3" t="str">
        <f aca="false">IF(TRIM(raw_data!C667)="","Missing",IF(C667="","Invalid/Unrecognized","Valid"))</f>
        <v>Valid</v>
      </c>
      <c r="F667" s="5" t="n">
        <f aca="false">IF(OR(B667="",C667=""),"",C667-B667)</f>
        <v>0</v>
      </c>
      <c r="G667" s="3" t="str">
        <f aca="false">IF(F667="","N/A",IF(F667&lt;0,"Invalid - Ship Before Order","OK"))</f>
        <v>OK</v>
      </c>
      <c r="H667" s="3" t="str">
        <f aca="false">raw_data!D667</f>
        <v>CUST-1197</v>
      </c>
      <c r="I667" s="3" t="str">
        <f aca="false">PROPER(TRIM(raw_data!E667))</f>
        <v>Rahul Verma</v>
      </c>
      <c r="J667" s="3" t="str">
        <f aca="false">PROPER(TRIM(raw_data!F667))</f>
        <v>Home Office</v>
      </c>
      <c r="K667" s="3" t="str">
        <f aca="false">IF(TRIM(raw_data!G667)="","Unknown",PROPER(TRIM(raw_data!G667)))</f>
        <v>West</v>
      </c>
      <c r="L667" s="3" t="str">
        <f aca="false">IF(TRIM(raw_data!G667)="","Filled - Unknown","OK")</f>
        <v>OK</v>
      </c>
      <c r="M667" s="3" t="str">
        <f aca="false">PROPER(TRIM(raw_data!H667))</f>
        <v>Gujarat</v>
      </c>
      <c r="N667" s="3" t="str">
        <f aca="false">PROPER(TRIM(raw_data!I667))</f>
        <v>Ahmedabad</v>
      </c>
      <c r="O667" s="3" t="str">
        <f aca="false">PROPER(TRIM(raw_data!J667))</f>
        <v>Office Supplies</v>
      </c>
      <c r="P667" s="3" t="str">
        <f aca="false">PROPER(TRIM(raw_data!K667))</f>
        <v>Art</v>
      </c>
      <c r="Q667" s="3" t="str">
        <f aca="false">TRIM(raw_data!L667)</f>
        <v>Max Art 660</v>
      </c>
      <c r="R667" s="3" t="str">
        <f aca="false">IF(TRIM(raw_data!M667)="","Unknown",PROPER(TRIM(raw_data!M667)))</f>
        <v>Standard Class</v>
      </c>
      <c r="S667" s="3" t="str">
        <f aca="false">IF(TRIM(raw_data!M667)="","Filled - Unknown","OK")</f>
        <v>OK</v>
      </c>
      <c r="T667" s="6" t="n">
        <f aca="false">raw_data!N667</f>
        <v>3</v>
      </c>
      <c r="U667" s="7" t="n">
        <f aca="false">raw_data!O667</f>
        <v>2110.52</v>
      </c>
      <c r="V667" s="8" t="n">
        <f aca="false">raw_data!P667</f>
        <v>0.1</v>
      </c>
      <c r="W667" s="8" t="n">
        <f aca="false">IF(raw_data!P667="",0,IF(ISTEXT(raw_data!P667),IF(RIGHT(raw_data!P667,1)="%",VALUE(LEFT(raw_data!P667,LEN(raw_data!P667)-1))/100,VALUE(raw_data!P667)),raw_data!P667))</f>
        <v>0.1</v>
      </c>
      <c r="X667" s="3" t="str">
        <f aca="false">IF(raw_data!P667="","Missing - Defaulted to 0",IF(W667&lt;0,"Negative - Invalid",IF(W667&gt;0.3,"Above Allowed Range - Invalid","Valid")))</f>
        <v>Valid</v>
      </c>
      <c r="Y667" s="7" t="n">
        <f aca="false">raw_data!Q667</f>
        <v>5698.4</v>
      </c>
      <c r="Z667" s="7" t="n">
        <f aca="false">raw_data!R667</f>
        <v>3640.89</v>
      </c>
      <c r="AA667" s="7" t="n">
        <f aca="false">raw_data!S667</f>
        <v>2057.51</v>
      </c>
      <c r="AB667" s="3" t="str">
        <f aca="false">PROPER(TRIM(raw_data!T667))</f>
        <v>Failed</v>
      </c>
      <c r="AC667" s="3" t="str">
        <f aca="false">PROPER(TRIM(raw_data!U667))</f>
        <v>Cancelled</v>
      </c>
      <c r="AD667" s="7" t="n">
        <f aca="false">T667*U667*(1-W667)</f>
        <v>5698.404</v>
      </c>
      <c r="AE667" s="7" t="n">
        <f aca="false">AD667-Z667</f>
        <v>2057.514</v>
      </c>
      <c r="AF667" s="8" t="n">
        <f aca="false">IF(AD667=0,0,AE667/AD667)</f>
        <v>0.361068467591978</v>
      </c>
      <c r="AG667" s="3" t="str">
        <f aca="false">IF(ABS(Y667-AD667)&gt;1,"Mismatch","OK")</f>
        <v>OK</v>
      </c>
      <c r="AH667" s="3" t="str">
        <f aca="false">IF(ABS(AA667-AE667)&gt;1,"Mismatch","OK")</f>
        <v>OK</v>
      </c>
      <c r="AI667" s="6" t="n">
        <f aca="false">IF(B667="","",MONTH(B667))</f>
        <v>1</v>
      </c>
      <c r="AJ667" s="6" t="n">
        <f aca="false">IF(B667="","",YEAR(B667))</f>
        <v>2025</v>
      </c>
      <c r="AK667" s="3" t="str">
        <f aca="false">IF(COUNTIF(raw_data!$A$2:$A$913,A667)&gt;1,"Conflicting Duplicate - Flagged for Review","Unique")</f>
        <v>Unique</v>
      </c>
      <c r="AL667" s="3" t="str">
        <f aca="false">IF(AB667="Refunded","Yes","No")</f>
        <v>No</v>
      </c>
      <c r="AM667" s="3" t="str">
        <f aca="false">IF(OR(AC667&lt;&gt;"Completed",AB667="Failed"),"Excluded","Included")</f>
        <v>Excluded</v>
      </c>
      <c r="AN667" s="3" t="str">
        <f aca="false">IF(OR(D667="Invalid/Unrecognized",E667="Invalid/Unrecognized",G667="Invalid - Ship Before Order",X667="Negative - Invalid",X667="Above Allowed Range - Invalid",AG667="Mismatch",AH667="Mismatch",AK667="Conflicting Duplicate - Flagged for Review"),"Invalid",IF(OR(L667="Filled - Unknown",S667="Filled - Unknown",X667="Missing - Defaulted to 0",AL667="Yes",AC667="Cancelled",AC667="Returned"),"Warning","Clean"))</f>
        <v>Warning</v>
      </c>
    </row>
    <row r="668" customFormat="false" ht="15" hidden="false" customHeight="false" outlineLevel="0" collapsed="false">
      <c r="A668" s="3" t="str">
        <f aca="false">raw_data!A668</f>
        <v>ORD-2024-10667</v>
      </c>
      <c r="B668" s="4" t="n">
        <f aca="false">IFERROR(IF(MID(raw_data!B668,3,1)="/",DATE(VALUE(RIGHT(raw_data!B668,4)),VALUE(LEFT(raw_data!B668,2)),VALUE(MID(raw_data!B668,4,2))),IF(MID(raw_data!B668,3,1)="-",DATE(VALUE(RIGHT(raw_data!B668,4)),VALUE(MID(raw_data!B668,4,2)),VALUE(LEFT(raw_data!B668,2))),IF(MID(raw_data!B668,5,1)="-",DATE(VALUE(LEFT(raw_data!B668,4)),VALUE(MID(raw_data!B668,6,2)),VALUE(RIGHT(raw_data!B668,2))),DATE(VALUE(RIGHT(raw_data!B668,4)),MATCH(MID(raw_data!B668,4,3),{"Jan","Feb","Mar","Apr","May","Jun","Jul","Aug","Sep","Oct","Nov","Dec"},0),VALUE(LEFT(raw_data!B668,2)))))),"")</f>
        <v>45464</v>
      </c>
      <c r="C668" s="4" t="n">
        <f aca="false">IFERROR(IF(MID(raw_data!C668,3,1)="/",DATE(VALUE(RIGHT(raw_data!C668,4)),VALUE(LEFT(raw_data!C668,2)),VALUE(MID(raw_data!C668,4,2))),IF(MID(raw_data!C668,3,1)="-",DATE(VALUE(RIGHT(raw_data!C668,4)),VALUE(MID(raw_data!C668,4,2)),VALUE(LEFT(raw_data!C668,2))),IF(MID(raw_data!C668,5,1)="-",DATE(VALUE(LEFT(raw_data!C668,4)),VALUE(MID(raw_data!C668,6,2)),VALUE(RIGHT(raw_data!C668,2))),DATE(VALUE(RIGHT(raw_data!C668,4)),MATCH(MID(raw_data!C668,4,3),{"Jan","Feb","Mar","Apr","May","Jun","Jul","Aug","Sep","Oct","Nov","Dec"},0),VALUE(LEFT(raw_data!C668,2)))))),"")</f>
        <v>45469</v>
      </c>
      <c r="D668" s="3" t="str">
        <f aca="false">IF(TRIM(raw_data!B668)="","Missing",IF(B668="","Invalid/Unrecognized","Valid"))</f>
        <v>Valid</v>
      </c>
      <c r="E668" s="3" t="str">
        <f aca="false">IF(TRIM(raw_data!C668)="","Missing",IF(C668="","Invalid/Unrecognized","Valid"))</f>
        <v>Valid</v>
      </c>
      <c r="F668" s="5" t="n">
        <f aca="false">IF(OR(B668="",C668=""),"",C668-B668)</f>
        <v>5</v>
      </c>
      <c r="G668" s="3" t="str">
        <f aca="false">IF(F668="","N/A",IF(F668&lt;0,"Invalid - Ship Before Order","OK"))</f>
        <v>OK</v>
      </c>
      <c r="H668" s="3" t="str">
        <f aca="false">raw_data!D668</f>
        <v>CUST-7758</v>
      </c>
      <c r="I668" s="3" t="str">
        <f aca="false">PROPER(TRIM(raw_data!E668))</f>
        <v>Rohan Mehta</v>
      </c>
      <c r="J668" s="3" t="str">
        <f aca="false">PROPER(TRIM(raw_data!F668))</f>
        <v>Small Business</v>
      </c>
      <c r="K668" s="3" t="str">
        <f aca="false">IF(TRIM(raw_data!G668)="","Unknown",PROPER(TRIM(raw_data!G668)))</f>
        <v>North</v>
      </c>
      <c r="L668" s="3" t="str">
        <f aca="false">IF(TRIM(raw_data!G668)="","Filled - Unknown","OK")</f>
        <v>OK</v>
      </c>
      <c r="M668" s="3" t="str">
        <f aca="false">PROPER(TRIM(raw_data!H668))</f>
        <v>Punjab</v>
      </c>
      <c r="N668" s="3" t="str">
        <f aca="false">PROPER(TRIM(raw_data!I668))</f>
        <v>Ludhiana</v>
      </c>
      <c r="O668" s="3" t="str">
        <f aca="false">PROPER(TRIM(raw_data!J668))</f>
        <v>Technology</v>
      </c>
      <c r="P668" s="3" t="str">
        <f aca="false">PROPER(TRIM(raw_data!K668))</f>
        <v>Copiers</v>
      </c>
      <c r="Q668" s="3" t="str">
        <f aca="false">TRIM(raw_data!L668)</f>
        <v>Classic Copiers 908</v>
      </c>
      <c r="R668" s="3" t="str">
        <f aca="false">IF(TRIM(raw_data!M668)="","Unknown",PROPER(TRIM(raw_data!M668)))</f>
        <v>Same Day</v>
      </c>
      <c r="S668" s="3" t="str">
        <f aca="false">IF(TRIM(raw_data!M668)="","Filled - Unknown","OK")</f>
        <v>OK</v>
      </c>
      <c r="T668" s="6" t="n">
        <f aca="false">raw_data!N668</f>
        <v>1</v>
      </c>
      <c r="U668" s="7" t="n">
        <f aca="false">raw_data!O668</f>
        <v>279.83</v>
      </c>
      <c r="V668" s="8" t="n">
        <f aca="false">raw_data!P668</f>
        <v>0.05</v>
      </c>
      <c r="W668" s="8" t="n">
        <f aca="false">IF(raw_data!P668="",0,IF(ISTEXT(raw_data!P668),IF(RIGHT(raw_data!P668,1)="%",VALUE(LEFT(raw_data!P668,LEN(raw_data!P668)-1))/100,VALUE(raw_data!P668)),raw_data!P668))</f>
        <v>0.05</v>
      </c>
      <c r="X668" s="3" t="str">
        <f aca="false">IF(raw_data!P668="","Missing - Defaulted to 0",IF(W668&lt;0,"Negative - Invalid",IF(W668&gt;0.3,"Above Allowed Range - Invalid","Valid")))</f>
        <v>Valid</v>
      </c>
      <c r="Y668" s="7" t="n">
        <f aca="false">raw_data!Q668</f>
        <v>265.84</v>
      </c>
      <c r="Z668" s="7" t="n">
        <f aca="false">raw_data!R668</f>
        <v>223.49</v>
      </c>
      <c r="AA668" s="7" t="n">
        <f aca="false">raw_data!S668</f>
        <v>42.35</v>
      </c>
      <c r="AB668" s="3" t="str">
        <f aca="false">PROPER(TRIM(raw_data!T668))</f>
        <v>Paid</v>
      </c>
      <c r="AC668" s="3" t="str">
        <f aca="false">PROPER(TRIM(raw_data!U668))</f>
        <v>Completed</v>
      </c>
      <c r="AD668" s="7" t="n">
        <f aca="false">T668*U668*(1-W668)</f>
        <v>265.8385</v>
      </c>
      <c r="AE668" s="7" t="n">
        <f aca="false">AD668-Z668</f>
        <v>42.3484999999999</v>
      </c>
      <c r="AF668" s="8" t="n">
        <f aca="false">IF(AD668=0,0,AE668/AD668)</f>
        <v>0.15930160605029</v>
      </c>
      <c r="AG668" s="3" t="str">
        <f aca="false">IF(ABS(Y668-AD668)&gt;1,"Mismatch","OK")</f>
        <v>OK</v>
      </c>
      <c r="AH668" s="3" t="str">
        <f aca="false">IF(ABS(AA668-AE668)&gt;1,"Mismatch","OK")</f>
        <v>OK</v>
      </c>
      <c r="AI668" s="6" t="n">
        <f aca="false">IF(B668="","",MONTH(B668))</f>
        <v>6</v>
      </c>
      <c r="AJ668" s="6" t="n">
        <f aca="false">IF(B668="","",YEAR(B668))</f>
        <v>2024</v>
      </c>
      <c r="AK668" s="3" t="str">
        <f aca="false">IF(COUNTIF(raw_data!$A$2:$A$913,A668)&gt;1,"Conflicting Duplicate - Flagged for Review","Unique")</f>
        <v>Unique</v>
      </c>
      <c r="AL668" s="3" t="str">
        <f aca="false">IF(AB668="Refunded","Yes","No")</f>
        <v>No</v>
      </c>
      <c r="AM668" s="3" t="str">
        <f aca="false">IF(OR(AC668&lt;&gt;"Completed",AB668="Failed"),"Excluded","Included")</f>
        <v>Included</v>
      </c>
      <c r="AN668" s="3" t="str">
        <f aca="false">IF(OR(D668="Invalid/Unrecognized",E668="Invalid/Unrecognized",G668="Invalid - Ship Before Order",X668="Negative - Invalid",X668="Above Allowed Range - Invalid",AG668="Mismatch",AH668="Mismatch",AK668="Conflicting Duplicate - Flagged for Review"),"Invalid",IF(OR(L668="Filled - Unknown",S668="Filled - Unknown",X668="Missing - Defaulted to 0",AL668="Yes",AC668="Cancelled",AC668="Returned"),"Warning","Clean"))</f>
        <v>Clean</v>
      </c>
    </row>
    <row r="669" customFormat="false" ht="15" hidden="false" customHeight="false" outlineLevel="0" collapsed="false">
      <c r="A669" s="3" t="str">
        <f aca="false">raw_data!A669</f>
        <v>ORD-2025-10668</v>
      </c>
      <c r="B669" s="4" t="n">
        <f aca="false">IFERROR(IF(MID(raw_data!B669,3,1)="/",DATE(VALUE(RIGHT(raw_data!B669,4)),VALUE(LEFT(raw_data!B669,2)),VALUE(MID(raw_data!B669,4,2))),IF(MID(raw_data!B669,3,1)="-",DATE(VALUE(RIGHT(raw_data!B669,4)),VALUE(MID(raw_data!B669,4,2)),VALUE(LEFT(raw_data!B669,2))),IF(MID(raw_data!B669,5,1)="-",DATE(VALUE(LEFT(raw_data!B669,4)),VALUE(MID(raw_data!B669,6,2)),VALUE(RIGHT(raw_data!B669,2))),DATE(VALUE(RIGHT(raw_data!B669,4)),MATCH(MID(raw_data!B669,4,3),{"Jan","Feb","Mar","Apr","May","Jun","Jul","Aug","Sep","Oct","Nov","Dec"},0),VALUE(LEFT(raw_data!B669,2)))))),"")</f>
        <v>45797</v>
      </c>
      <c r="C669" s="4" t="n">
        <f aca="false">IFERROR(IF(MID(raw_data!C669,3,1)="/",DATE(VALUE(RIGHT(raw_data!C669,4)),VALUE(LEFT(raw_data!C669,2)),VALUE(MID(raw_data!C669,4,2))),IF(MID(raw_data!C669,3,1)="-",DATE(VALUE(RIGHT(raw_data!C669,4)),VALUE(MID(raw_data!C669,4,2)),VALUE(LEFT(raw_data!C669,2))),IF(MID(raw_data!C669,5,1)="-",DATE(VALUE(LEFT(raw_data!C669,4)),VALUE(MID(raw_data!C669,6,2)),VALUE(RIGHT(raw_data!C669,2))),DATE(VALUE(RIGHT(raw_data!C669,4)),MATCH(MID(raw_data!C669,4,3),{"Jan","Feb","Mar","Apr","May","Jun","Jul","Aug","Sep","Oct","Nov","Dec"},0),VALUE(LEFT(raw_data!C669,2)))))),"")</f>
        <v>45804</v>
      </c>
      <c r="D669" s="3" t="str">
        <f aca="false">IF(TRIM(raw_data!B669)="","Missing",IF(B669="","Invalid/Unrecognized","Valid"))</f>
        <v>Valid</v>
      </c>
      <c r="E669" s="3" t="str">
        <f aca="false">IF(TRIM(raw_data!C669)="","Missing",IF(C669="","Invalid/Unrecognized","Valid"))</f>
        <v>Valid</v>
      </c>
      <c r="F669" s="5" t="n">
        <f aca="false">IF(OR(B669="",C669=""),"",C669-B669)</f>
        <v>7</v>
      </c>
      <c r="G669" s="3" t="str">
        <f aca="false">IF(F669="","N/A",IF(F669&lt;0,"Invalid - Ship Before Order","OK"))</f>
        <v>OK</v>
      </c>
      <c r="H669" s="3" t="str">
        <f aca="false">raw_data!D669</f>
        <v>CUST-3912</v>
      </c>
      <c r="I669" s="3" t="str">
        <f aca="false">PROPER(TRIM(raw_data!E669))</f>
        <v>Diya Patel</v>
      </c>
      <c r="J669" s="3" t="str">
        <f aca="false">PROPER(TRIM(raw_data!F669))</f>
        <v>Small Business</v>
      </c>
      <c r="K669" s="3" t="str">
        <f aca="false">IF(TRIM(raw_data!G669)="","Unknown",PROPER(TRIM(raw_data!G669)))</f>
        <v>East</v>
      </c>
      <c r="L669" s="3" t="str">
        <f aca="false">IF(TRIM(raw_data!G669)="","Filled - Unknown","OK")</f>
        <v>OK</v>
      </c>
      <c r="M669" s="3" t="str">
        <f aca="false">PROPER(TRIM(raw_data!H669))</f>
        <v>Bihar</v>
      </c>
      <c r="N669" s="3" t="str">
        <f aca="false">PROPER(TRIM(raw_data!I669))</f>
        <v>Patna</v>
      </c>
      <c r="O669" s="3" t="str">
        <f aca="false">PROPER(TRIM(raw_data!J669))</f>
        <v>Technology</v>
      </c>
      <c r="P669" s="3" t="str">
        <f aca="false">PROPER(TRIM(raw_data!K669))</f>
        <v>Machines</v>
      </c>
      <c r="Q669" s="3" t="str">
        <f aca="false">TRIM(raw_data!L669)</f>
        <v>Pro Machines 706</v>
      </c>
      <c r="R669" s="3" t="str">
        <f aca="false">IF(TRIM(raw_data!M669)="","Unknown",PROPER(TRIM(raw_data!M669)))</f>
        <v>Standard Class</v>
      </c>
      <c r="S669" s="3" t="str">
        <f aca="false">IF(TRIM(raw_data!M669)="","Filled - Unknown","OK")</f>
        <v>OK</v>
      </c>
      <c r="T669" s="6" t="n">
        <f aca="false">raw_data!N669</f>
        <v>1</v>
      </c>
      <c r="U669" s="7" t="n">
        <f aca="false">raw_data!O669</f>
        <v>3959.14</v>
      </c>
      <c r="V669" s="8" t="n">
        <f aca="false">raw_data!P669</f>
        <v>0</v>
      </c>
      <c r="W669" s="8" t="n">
        <f aca="false">IF(raw_data!P669="",0,IF(ISTEXT(raw_data!P669),IF(RIGHT(raw_data!P669,1)="%",VALUE(LEFT(raw_data!P669,LEN(raw_data!P669)-1))/100,VALUE(raw_data!P669)),raw_data!P669))</f>
        <v>0</v>
      </c>
      <c r="X669" s="3" t="str">
        <f aca="false">IF(raw_data!P669="","Missing - Defaulted to 0",IF(W669&lt;0,"Negative - Invalid",IF(W669&gt;0.3,"Above Allowed Range - Invalid","Valid")))</f>
        <v>Valid</v>
      </c>
      <c r="Y669" s="7" t="n">
        <f aca="false">raw_data!Q669</f>
        <v>3959.14</v>
      </c>
      <c r="Z669" s="7" t="n">
        <f aca="false">raw_data!R669</f>
        <v>3239.53</v>
      </c>
      <c r="AA669" s="7" t="n">
        <f aca="false">raw_data!S669</f>
        <v>719.61</v>
      </c>
      <c r="AB669" s="3" t="str">
        <f aca="false">PROPER(TRIM(raw_data!T669))</f>
        <v>Pending</v>
      </c>
      <c r="AC669" s="3" t="str">
        <f aca="false">PROPER(TRIM(raw_data!U669))</f>
        <v>Returned</v>
      </c>
      <c r="AD669" s="7" t="n">
        <f aca="false">T669*U669*(1-W669)</f>
        <v>3959.14</v>
      </c>
      <c r="AE669" s="7" t="n">
        <f aca="false">AD669-Z669</f>
        <v>719.61</v>
      </c>
      <c r="AF669" s="8" t="n">
        <f aca="false">IF(AD669=0,0,AE669/AD669)</f>
        <v>0.18175916992074</v>
      </c>
      <c r="AG669" s="3" t="str">
        <f aca="false">IF(ABS(Y669-AD669)&gt;1,"Mismatch","OK")</f>
        <v>OK</v>
      </c>
      <c r="AH669" s="3" t="str">
        <f aca="false">IF(ABS(AA669-AE669)&gt;1,"Mismatch","OK")</f>
        <v>OK</v>
      </c>
      <c r="AI669" s="6" t="n">
        <f aca="false">IF(B669="","",MONTH(B669))</f>
        <v>5</v>
      </c>
      <c r="AJ669" s="6" t="n">
        <f aca="false">IF(B669="","",YEAR(B669))</f>
        <v>2025</v>
      </c>
      <c r="AK669" s="3" t="str">
        <f aca="false">IF(COUNTIF(raw_data!$A$2:$A$913,A669)&gt;1,"Conflicting Duplicate - Flagged for Review","Unique")</f>
        <v>Unique</v>
      </c>
      <c r="AL669" s="3" t="str">
        <f aca="false">IF(AB669="Refunded","Yes","No")</f>
        <v>No</v>
      </c>
      <c r="AM669" s="3" t="str">
        <f aca="false">IF(OR(AC669&lt;&gt;"Completed",AB669="Failed"),"Excluded","Included")</f>
        <v>Excluded</v>
      </c>
      <c r="AN669" s="3" t="str">
        <f aca="false">IF(OR(D669="Invalid/Unrecognized",E669="Invalid/Unrecognized",G669="Invalid - Ship Before Order",X669="Negative - Invalid",X669="Above Allowed Range - Invalid",AG669="Mismatch",AH669="Mismatch",AK669="Conflicting Duplicate - Flagged for Review"),"Invalid",IF(OR(L669="Filled - Unknown",S669="Filled - Unknown",X669="Missing - Defaulted to 0",AL669="Yes",AC669="Cancelled",AC669="Returned"),"Warning","Clean"))</f>
        <v>Warning</v>
      </c>
    </row>
    <row r="670" customFormat="false" ht="15" hidden="false" customHeight="false" outlineLevel="0" collapsed="false">
      <c r="A670" s="3" t="str">
        <f aca="false">raw_data!A670</f>
        <v>ORD-2024-10669</v>
      </c>
      <c r="B670" s="4" t="n">
        <f aca="false">IFERROR(IF(MID(raw_data!B670,3,1)="/",DATE(VALUE(RIGHT(raw_data!B670,4)),VALUE(LEFT(raw_data!B670,2)),VALUE(MID(raw_data!B670,4,2))),IF(MID(raw_data!B670,3,1)="-",DATE(VALUE(RIGHT(raw_data!B670,4)),VALUE(MID(raw_data!B670,4,2)),VALUE(LEFT(raw_data!B670,2))),IF(MID(raw_data!B670,5,1)="-",DATE(VALUE(LEFT(raw_data!B670,4)),VALUE(MID(raw_data!B670,6,2)),VALUE(RIGHT(raw_data!B670,2))),DATE(VALUE(RIGHT(raw_data!B670,4)),MATCH(MID(raw_data!B670,4,3),{"Jan","Feb","Mar","Apr","May","Jun","Jul","Aug","Sep","Oct","Nov","Dec"},0),VALUE(LEFT(raw_data!B670,2)))))),"")</f>
        <v>45617</v>
      </c>
      <c r="C670" s="4" t="n">
        <f aca="false">IFERROR(IF(MID(raw_data!C670,3,1)="/",DATE(VALUE(RIGHT(raw_data!C670,4)),VALUE(LEFT(raw_data!C670,2)),VALUE(MID(raw_data!C670,4,2))),IF(MID(raw_data!C670,3,1)="-",DATE(VALUE(RIGHT(raw_data!C670,4)),VALUE(MID(raw_data!C670,4,2)),VALUE(LEFT(raw_data!C670,2))),IF(MID(raw_data!C670,5,1)="-",DATE(VALUE(LEFT(raw_data!C670,4)),VALUE(MID(raw_data!C670,6,2)),VALUE(RIGHT(raw_data!C670,2))),DATE(VALUE(RIGHT(raw_data!C670,4)),MATCH(MID(raw_data!C670,4,3),{"Jan","Feb","Mar","Apr","May","Jun","Jul","Aug","Sep","Oct","Nov","Dec"},0),VALUE(LEFT(raw_data!C670,2)))))),"")</f>
        <v>45619</v>
      </c>
      <c r="D670" s="3" t="str">
        <f aca="false">IF(TRIM(raw_data!B670)="","Missing",IF(B670="","Invalid/Unrecognized","Valid"))</f>
        <v>Valid</v>
      </c>
      <c r="E670" s="3" t="str">
        <f aca="false">IF(TRIM(raw_data!C670)="","Missing",IF(C670="","Invalid/Unrecognized","Valid"))</f>
        <v>Valid</v>
      </c>
      <c r="F670" s="5" t="n">
        <f aca="false">IF(OR(B670="",C670=""),"",C670-B670)</f>
        <v>2</v>
      </c>
      <c r="G670" s="3" t="str">
        <f aca="false">IF(F670="","N/A",IF(F670&lt;0,"Invalid - Ship Before Order","OK"))</f>
        <v>OK</v>
      </c>
      <c r="H670" s="3" t="str">
        <f aca="false">raw_data!D670</f>
        <v>CUST-4190</v>
      </c>
      <c r="I670" s="3" t="str">
        <f aca="false">PROPER(TRIM(raw_data!E670))</f>
        <v>Mira Das</v>
      </c>
      <c r="J670" s="3" t="str">
        <f aca="false">PROPER(TRIM(raw_data!F670))</f>
        <v>Corporate</v>
      </c>
      <c r="K670" s="3" t="str">
        <f aca="false">IF(TRIM(raw_data!G670)="","Unknown",PROPER(TRIM(raw_data!G670)))</f>
        <v>West</v>
      </c>
      <c r="L670" s="3" t="str">
        <f aca="false">IF(TRIM(raw_data!G670)="","Filled - Unknown","OK")</f>
        <v>OK</v>
      </c>
      <c r="M670" s="3" t="str">
        <f aca="false">PROPER(TRIM(raw_data!H670))</f>
        <v>Gujarat</v>
      </c>
      <c r="N670" s="3" t="str">
        <f aca="false">PROPER(TRIM(raw_data!I670))</f>
        <v>Ahmedabad</v>
      </c>
      <c r="O670" s="3" t="str">
        <f aca="false">PROPER(TRIM(raw_data!J670))</f>
        <v>Office Supplies</v>
      </c>
      <c r="P670" s="3" t="str">
        <f aca="false">PROPER(TRIM(raw_data!K670))</f>
        <v>Paper</v>
      </c>
      <c r="Q670" s="3" t="str">
        <f aca="false">TRIM(raw_data!L670)</f>
        <v>Pro Paper 187</v>
      </c>
      <c r="R670" s="3" t="str">
        <f aca="false">IF(TRIM(raw_data!M670)="","Unknown",PROPER(TRIM(raw_data!M670)))</f>
        <v>Second Class</v>
      </c>
      <c r="S670" s="3" t="str">
        <f aca="false">IF(TRIM(raw_data!M670)="","Filled - Unknown","OK")</f>
        <v>OK</v>
      </c>
      <c r="T670" s="6" t="n">
        <f aca="false">raw_data!N670</f>
        <v>5</v>
      </c>
      <c r="U670" s="7" t="n">
        <f aca="false">raw_data!O670</f>
        <v>600.46</v>
      </c>
      <c r="V670" s="8" t="n">
        <f aca="false">raw_data!P670</f>
        <v>0.2</v>
      </c>
      <c r="W670" s="8" t="n">
        <f aca="false">IF(raw_data!P670="",0,IF(ISTEXT(raw_data!P670),IF(RIGHT(raw_data!P670,1)="%",VALUE(LEFT(raw_data!P670,LEN(raw_data!P670)-1))/100,VALUE(raw_data!P670)),raw_data!P670))</f>
        <v>0.2</v>
      </c>
      <c r="X670" s="3" t="str">
        <f aca="false">IF(raw_data!P670="","Missing - Defaulted to 0",IF(W670&lt;0,"Negative - Invalid",IF(W670&gt;0.3,"Above Allowed Range - Invalid","Valid")))</f>
        <v>Valid</v>
      </c>
      <c r="Y670" s="7" t="n">
        <f aca="false">raw_data!Q670</f>
        <v>2401.84</v>
      </c>
      <c r="Z670" s="7" t="n">
        <f aca="false">raw_data!R670</f>
        <v>1873.11</v>
      </c>
      <c r="AA670" s="7" t="n">
        <f aca="false">raw_data!S670</f>
        <v>528.73</v>
      </c>
      <c r="AB670" s="3" t="str">
        <f aca="false">PROPER(TRIM(raw_data!T670))</f>
        <v>Paid</v>
      </c>
      <c r="AC670" s="3" t="str">
        <f aca="false">PROPER(TRIM(raw_data!U670))</f>
        <v>Completed</v>
      </c>
      <c r="AD670" s="7" t="n">
        <f aca="false">T670*U670*(1-W670)</f>
        <v>2401.84</v>
      </c>
      <c r="AE670" s="7" t="n">
        <f aca="false">AD670-Z670</f>
        <v>528.73</v>
      </c>
      <c r="AF670" s="8" t="n">
        <f aca="false">IF(AD670=0,0,AE670/AD670)</f>
        <v>0.22013539619625</v>
      </c>
      <c r="AG670" s="3" t="str">
        <f aca="false">IF(ABS(Y670-AD670)&gt;1,"Mismatch","OK")</f>
        <v>OK</v>
      </c>
      <c r="AH670" s="3" t="str">
        <f aca="false">IF(ABS(AA670-AE670)&gt;1,"Mismatch","OK")</f>
        <v>OK</v>
      </c>
      <c r="AI670" s="6" t="n">
        <f aca="false">IF(B670="","",MONTH(B670))</f>
        <v>11</v>
      </c>
      <c r="AJ670" s="6" t="n">
        <f aca="false">IF(B670="","",YEAR(B670))</f>
        <v>2024</v>
      </c>
      <c r="AK670" s="3" t="str">
        <f aca="false">IF(COUNTIF(raw_data!$A$2:$A$913,A670)&gt;1,"Conflicting Duplicate - Flagged for Review","Unique")</f>
        <v>Unique</v>
      </c>
      <c r="AL670" s="3" t="str">
        <f aca="false">IF(AB670="Refunded","Yes","No")</f>
        <v>No</v>
      </c>
      <c r="AM670" s="3" t="str">
        <f aca="false">IF(OR(AC670&lt;&gt;"Completed",AB670="Failed"),"Excluded","Included")</f>
        <v>Included</v>
      </c>
      <c r="AN670" s="3" t="str">
        <f aca="false">IF(OR(D670="Invalid/Unrecognized",E670="Invalid/Unrecognized",G670="Invalid - Ship Before Order",X670="Negative - Invalid",X670="Above Allowed Range - Invalid",AG670="Mismatch",AH670="Mismatch",AK670="Conflicting Duplicate - Flagged for Review"),"Invalid",IF(OR(L670="Filled - Unknown",S670="Filled - Unknown",X670="Missing - Defaulted to 0",AL670="Yes",AC670="Cancelled",AC670="Returned"),"Warning","Clean"))</f>
        <v>Clean</v>
      </c>
    </row>
    <row r="671" customFormat="false" ht="15" hidden="false" customHeight="false" outlineLevel="0" collapsed="false">
      <c r="A671" s="3" t="str">
        <f aca="false">raw_data!A671</f>
        <v>ORD-2024-10670</v>
      </c>
      <c r="B671" s="4" t="n">
        <f aca="false">IFERROR(IF(MID(raw_data!B671,3,1)="/",DATE(VALUE(RIGHT(raw_data!B671,4)),VALUE(LEFT(raw_data!B671,2)),VALUE(MID(raw_data!B671,4,2))),IF(MID(raw_data!B671,3,1)="-",DATE(VALUE(RIGHT(raw_data!B671,4)),VALUE(MID(raw_data!B671,4,2)),VALUE(LEFT(raw_data!B671,2))),IF(MID(raw_data!B671,5,1)="-",DATE(VALUE(LEFT(raw_data!B671,4)),VALUE(MID(raw_data!B671,6,2)),VALUE(RIGHT(raw_data!B671,2))),DATE(VALUE(RIGHT(raw_data!B671,4)),MATCH(MID(raw_data!B671,4,3),{"Jan","Feb","Mar","Apr","May","Jun","Jul","Aug","Sep","Oct","Nov","Dec"},0),VALUE(LEFT(raw_data!B671,2)))))),"")</f>
        <v>45375</v>
      </c>
      <c r="C671" s="4" t="n">
        <f aca="false">IFERROR(IF(MID(raw_data!C671,3,1)="/",DATE(VALUE(RIGHT(raw_data!C671,4)),VALUE(LEFT(raw_data!C671,2)),VALUE(MID(raw_data!C671,4,2))),IF(MID(raw_data!C671,3,1)="-",DATE(VALUE(RIGHT(raw_data!C671,4)),VALUE(MID(raw_data!C671,4,2)),VALUE(LEFT(raw_data!C671,2))),IF(MID(raw_data!C671,5,1)="-",DATE(VALUE(LEFT(raw_data!C671,4)),VALUE(MID(raw_data!C671,6,2)),VALUE(RIGHT(raw_data!C671,2))),DATE(VALUE(RIGHT(raw_data!C671,4)),MATCH(MID(raw_data!C671,4,3),{"Jan","Feb","Mar","Apr","May","Jun","Jul","Aug","Sep","Oct","Nov","Dec"},0),VALUE(LEFT(raw_data!C671,2)))))),"")</f>
        <v>45383</v>
      </c>
      <c r="D671" s="3" t="str">
        <f aca="false">IF(TRIM(raw_data!B671)="","Missing",IF(B671="","Invalid/Unrecognized","Valid"))</f>
        <v>Valid</v>
      </c>
      <c r="E671" s="3" t="str">
        <f aca="false">IF(TRIM(raw_data!C671)="","Missing",IF(C671="","Invalid/Unrecognized","Valid"))</f>
        <v>Valid</v>
      </c>
      <c r="F671" s="5" t="n">
        <f aca="false">IF(OR(B671="",C671=""),"",C671-B671)</f>
        <v>8</v>
      </c>
      <c r="G671" s="3" t="str">
        <f aca="false">IF(F671="","N/A",IF(F671&lt;0,"Invalid - Ship Before Order","OK"))</f>
        <v>OK</v>
      </c>
      <c r="H671" s="3" t="str">
        <f aca="false">raw_data!D671</f>
        <v>CUST-7568</v>
      </c>
      <c r="I671" s="3" t="str">
        <f aca="false">PROPER(TRIM(raw_data!E671))</f>
        <v>Ananya Rao</v>
      </c>
      <c r="J671" s="3" t="str">
        <f aca="false">PROPER(TRIM(raw_data!F671))</f>
        <v>Home Office</v>
      </c>
      <c r="K671" s="3" t="str">
        <f aca="false">IF(TRIM(raw_data!G671)="","Unknown",PROPER(TRIM(raw_data!G671)))</f>
        <v>West</v>
      </c>
      <c r="L671" s="3" t="str">
        <f aca="false">IF(TRIM(raw_data!G671)="","Filled - Unknown","OK")</f>
        <v>OK</v>
      </c>
      <c r="M671" s="3" t="str">
        <f aca="false">PROPER(TRIM(raw_data!H671))</f>
        <v>Maharashtra</v>
      </c>
      <c r="N671" s="3" t="str">
        <f aca="false">PROPER(TRIM(raw_data!I671))</f>
        <v>Mumbai</v>
      </c>
      <c r="O671" s="3" t="str">
        <f aca="false">PROPER(TRIM(raw_data!J671))</f>
        <v>Furniture</v>
      </c>
      <c r="P671" s="3" t="str">
        <f aca="false">PROPER(TRIM(raw_data!K671))</f>
        <v>Tables</v>
      </c>
      <c r="Q671" s="3" t="str">
        <f aca="false">TRIM(raw_data!L671)</f>
        <v>Classic Tables 606</v>
      </c>
      <c r="R671" s="3" t="str">
        <f aca="false">IF(TRIM(raw_data!M671)="","Unknown",PROPER(TRIM(raw_data!M671)))</f>
        <v>Second Class</v>
      </c>
      <c r="S671" s="3" t="str">
        <f aca="false">IF(TRIM(raw_data!M671)="","Filled - Unknown","OK")</f>
        <v>OK</v>
      </c>
      <c r="T671" s="6" t="n">
        <f aca="false">raw_data!N671</f>
        <v>4</v>
      </c>
      <c r="U671" s="7" t="n">
        <f aca="false">raw_data!O671</f>
        <v>1700.72</v>
      </c>
      <c r="V671" s="8" t="n">
        <f aca="false">raw_data!P671</f>
        <v>0.25</v>
      </c>
      <c r="W671" s="8" t="n">
        <f aca="false">IF(raw_data!P671="",0,IF(ISTEXT(raw_data!P671),IF(RIGHT(raw_data!P671,1)="%",VALUE(LEFT(raw_data!P671,LEN(raw_data!P671)-1))/100,VALUE(raw_data!P671)),raw_data!P671))</f>
        <v>0.25</v>
      </c>
      <c r="X671" s="3" t="str">
        <f aca="false">IF(raw_data!P671="","Missing - Defaulted to 0",IF(W671&lt;0,"Negative - Invalid",IF(W671&gt;0.3,"Above Allowed Range - Invalid","Valid")))</f>
        <v>Valid</v>
      </c>
      <c r="Y671" s="7" t="n">
        <f aca="false">raw_data!Q671</f>
        <v>5102.16</v>
      </c>
      <c r="Z671" s="7" t="n">
        <f aca="false">raw_data!R671</f>
        <v>3226.45</v>
      </c>
      <c r="AA671" s="7" t="n">
        <f aca="false">raw_data!S671</f>
        <v>1875.71</v>
      </c>
      <c r="AB671" s="3" t="str">
        <f aca="false">PROPER(TRIM(raw_data!T671))</f>
        <v>Paid</v>
      </c>
      <c r="AC671" s="3" t="str">
        <f aca="false">PROPER(TRIM(raw_data!U671))</f>
        <v>Completed</v>
      </c>
      <c r="AD671" s="7" t="n">
        <f aca="false">T671*U671*(1-W671)</f>
        <v>5102.16</v>
      </c>
      <c r="AE671" s="7" t="n">
        <f aca="false">AD671-Z671</f>
        <v>1875.71</v>
      </c>
      <c r="AF671" s="8" t="n">
        <f aca="false">IF(AD671=0,0,AE671/AD671)</f>
        <v>0.367630572149835</v>
      </c>
      <c r="AG671" s="3" t="str">
        <f aca="false">IF(ABS(Y671-AD671)&gt;1,"Mismatch","OK")</f>
        <v>OK</v>
      </c>
      <c r="AH671" s="3" t="str">
        <f aca="false">IF(ABS(AA671-AE671)&gt;1,"Mismatch","OK")</f>
        <v>OK</v>
      </c>
      <c r="AI671" s="6" t="n">
        <f aca="false">IF(B671="","",MONTH(B671))</f>
        <v>3</v>
      </c>
      <c r="AJ671" s="6" t="n">
        <f aca="false">IF(B671="","",YEAR(B671))</f>
        <v>2024</v>
      </c>
      <c r="AK671" s="3" t="str">
        <f aca="false">IF(COUNTIF(raw_data!$A$2:$A$913,A671)&gt;1,"Conflicting Duplicate - Flagged for Review","Unique")</f>
        <v>Unique</v>
      </c>
      <c r="AL671" s="3" t="str">
        <f aca="false">IF(AB671="Refunded","Yes","No")</f>
        <v>No</v>
      </c>
      <c r="AM671" s="3" t="str">
        <f aca="false">IF(OR(AC671&lt;&gt;"Completed",AB671="Failed"),"Excluded","Included")</f>
        <v>Included</v>
      </c>
      <c r="AN671" s="3" t="str">
        <f aca="false">IF(OR(D671="Invalid/Unrecognized",E671="Invalid/Unrecognized",G671="Invalid - Ship Before Order",X671="Negative - Invalid",X671="Above Allowed Range - Invalid",AG671="Mismatch",AH671="Mismatch",AK671="Conflicting Duplicate - Flagged for Review"),"Invalid",IF(OR(L671="Filled - Unknown",S671="Filled - Unknown",X671="Missing - Defaulted to 0",AL671="Yes",AC671="Cancelled",AC671="Returned"),"Warning","Clean"))</f>
        <v>Clean</v>
      </c>
    </row>
    <row r="672" customFormat="false" ht="15" hidden="false" customHeight="false" outlineLevel="0" collapsed="false">
      <c r="A672" s="3" t="str">
        <f aca="false">raw_data!A672</f>
        <v>ORD-2025-10671</v>
      </c>
      <c r="B672" s="4" t="n">
        <f aca="false">IFERROR(IF(MID(raw_data!B672,3,1)="/",DATE(VALUE(RIGHT(raw_data!B672,4)),VALUE(LEFT(raw_data!B672,2)),VALUE(MID(raw_data!B672,4,2))),IF(MID(raw_data!B672,3,1)="-",DATE(VALUE(RIGHT(raw_data!B672,4)),VALUE(MID(raw_data!B672,4,2)),VALUE(LEFT(raw_data!B672,2))),IF(MID(raw_data!B672,5,1)="-",DATE(VALUE(LEFT(raw_data!B672,4)),VALUE(MID(raw_data!B672,6,2)),VALUE(RIGHT(raw_data!B672,2))),DATE(VALUE(RIGHT(raw_data!B672,4)),MATCH(MID(raw_data!B672,4,3),{"Jan","Feb","Mar","Apr","May","Jun","Jul","Aug","Sep","Oct","Nov","Dec"},0),VALUE(LEFT(raw_data!B672,2)))))),"")</f>
        <v>45690</v>
      </c>
      <c r="C672" s="4" t="n">
        <f aca="false">IFERROR(IF(MID(raw_data!C672,3,1)="/",DATE(VALUE(RIGHT(raw_data!C672,4)),VALUE(LEFT(raw_data!C672,2)),VALUE(MID(raw_data!C672,4,2))),IF(MID(raw_data!C672,3,1)="-",DATE(VALUE(RIGHT(raw_data!C672,4)),VALUE(MID(raw_data!C672,4,2)),VALUE(LEFT(raw_data!C672,2))),IF(MID(raw_data!C672,5,1)="-",DATE(VALUE(LEFT(raw_data!C672,4)),VALUE(MID(raw_data!C672,6,2)),VALUE(RIGHT(raw_data!C672,2))),DATE(VALUE(RIGHT(raw_data!C672,4)),MATCH(MID(raw_data!C672,4,3),{"Jan","Feb","Mar","Apr","May","Jun","Jul","Aug","Sep","Oct","Nov","Dec"},0),VALUE(LEFT(raw_data!C672,2)))))),"")</f>
        <v>45694</v>
      </c>
      <c r="D672" s="3" t="str">
        <f aca="false">IF(TRIM(raw_data!B672)="","Missing",IF(B672="","Invalid/Unrecognized","Valid"))</f>
        <v>Valid</v>
      </c>
      <c r="E672" s="3" t="str">
        <f aca="false">IF(TRIM(raw_data!C672)="","Missing",IF(C672="","Invalid/Unrecognized","Valid"))</f>
        <v>Valid</v>
      </c>
      <c r="F672" s="5" t="n">
        <f aca="false">IF(OR(B672="",C672=""),"",C672-B672)</f>
        <v>4</v>
      </c>
      <c r="G672" s="3" t="str">
        <f aca="false">IF(F672="","N/A",IF(F672&lt;0,"Invalid - Ship Before Order","OK"))</f>
        <v>OK</v>
      </c>
      <c r="H672" s="3" t="str">
        <f aca="false">raw_data!D672</f>
        <v>CUST-5604</v>
      </c>
      <c r="I672" s="3" t="str">
        <f aca="false">PROPER(TRIM(raw_data!E672))</f>
        <v>Sneha Kapoor</v>
      </c>
      <c r="J672" s="3" t="str">
        <f aca="false">PROPER(TRIM(raw_data!F672))</f>
        <v>Corporate</v>
      </c>
      <c r="K672" s="3" t="str">
        <f aca="false">IF(TRIM(raw_data!G672)="","Unknown",PROPER(TRIM(raw_data!G672)))</f>
        <v>North</v>
      </c>
      <c r="L672" s="3" t="str">
        <f aca="false">IF(TRIM(raw_data!G672)="","Filled - Unknown","OK")</f>
        <v>OK</v>
      </c>
      <c r="M672" s="3" t="str">
        <f aca="false">PROPER(TRIM(raw_data!H672))</f>
        <v>Uttar Pradesh</v>
      </c>
      <c r="N672" s="3" t="str">
        <f aca="false">PROPER(TRIM(raw_data!I672))</f>
        <v>Noida</v>
      </c>
      <c r="O672" s="3" t="str">
        <f aca="false">PROPER(TRIM(raw_data!J672))</f>
        <v>Furniture</v>
      </c>
      <c r="P672" s="3" t="str">
        <f aca="false">PROPER(TRIM(raw_data!K672))</f>
        <v>Tables</v>
      </c>
      <c r="Q672" s="3" t="str">
        <f aca="false">TRIM(raw_data!L672)</f>
        <v>Smart Tables 835</v>
      </c>
      <c r="R672" s="3" t="str">
        <f aca="false">IF(TRIM(raw_data!M672)="","Unknown",PROPER(TRIM(raw_data!M672)))</f>
        <v>Standard Class</v>
      </c>
      <c r="S672" s="3" t="str">
        <f aca="false">IF(TRIM(raw_data!M672)="","Filled - Unknown","OK")</f>
        <v>OK</v>
      </c>
      <c r="T672" s="6" t="n">
        <f aca="false">raw_data!N672</f>
        <v>8</v>
      </c>
      <c r="U672" s="7" t="n">
        <f aca="false">raw_data!O672</f>
        <v>857.86</v>
      </c>
      <c r="V672" s="8" t="n">
        <f aca="false">raw_data!P672</f>
        <v>0.1</v>
      </c>
      <c r="W672" s="8" t="n">
        <f aca="false">IF(raw_data!P672="",0,IF(ISTEXT(raw_data!P672),IF(RIGHT(raw_data!P672,1)="%",VALUE(LEFT(raw_data!P672,LEN(raw_data!P672)-1))/100,VALUE(raw_data!P672)),raw_data!P672))</f>
        <v>0.1</v>
      </c>
      <c r="X672" s="3" t="str">
        <f aca="false">IF(raw_data!P672="","Missing - Defaulted to 0",IF(W672&lt;0,"Negative - Invalid",IF(W672&gt;0.3,"Above Allowed Range - Invalid","Valid")))</f>
        <v>Valid</v>
      </c>
      <c r="Y672" s="7" t="n">
        <f aca="false">raw_data!Q672</f>
        <v>6176.59</v>
      </c>
      <c r="Z672" s="7" t="n">
        <f aca="false">raw_data!R672</f>
        <v>3560.96</v>
      </c>
      <c r="AA672" s="7" t="n">
        <f aca="false">raw_data!S672</f>
        <v>2615.63</v>
      </c>
      <c r="AB672" s="3" t="str">
        <f aca="false">PROPER(TRIM(raw_data!T672))</f>
        <v>Paid</v>
      </c>
      <c r="AC672" s="3" t="str">
        <f aca="false">PROPER(TRIM(raw_data!U672))</f>
        <v>Completed</v>
      </c>
      <c r="AD672" s="7" t="n">
        <f aca="false">T672*U672*(1-W672)</f>
        <v>6176.592</v>
      </c>
      <c r="AE672" s="7" t="n">
        <f aca="false">AD672-Z672</f>
        <v>2615.632</v>
      </c>
      <c r="AF672" s="8" t="n">
        <f aca="false">IF(AD672=0,0,AE672/AD672)</f>
        <v>0.423474951882851</v>
      </c>
      <c r="AG672" s="3" t="str">
        <f aca="false">IF(ABS(Y672-AD672)&gt;1,"Mismatch","OK")</f>
        <v>OK</v>
      </c>
      <c r="AH672" s="3" t="str">
        <f aca="false">IF(ABS(AA672-AE672)&gt;1,"Mismatch","OK")</f>
        <v>OK</v>
      </c>
      <c r="AI672" s="6" t="n">
        <f aca="false">IF(B672="","",MONTH(B672))</f>
        <v>2</v>
      </c>
      <c r="AJ672" s="6" t="n">
        <f aca="false">IF(B672="","",YEAR(B672))</f>
        <v>2025</v>
      </c>
      <c r="AK672" s="3" t="str">
        <f aca="false">IF(COUNTIF(raw_data!$A$2:$A$913,A672)&gt;1,"Conflicting Duplicate - Flagged for Review","Unique")</f>
        <v>Unique</v>
      </c>
      <c r="AL672" s="3" t="str">
        <f aca="false">IF(AB672="Refunded","Yes","No")</f>
        <v>No</v>
      </c>
      <c r="AM672" s="3" t="str">
        <f aca="false">IF(OR(AC672&lt;&gt;"Completed",AB672="Failed"),"Excluded","Included")</f>
        <v>Included</v>
      </c>
      <c r="AN672" s="3" t="str">
        <f aca="false">IF(OR(D672="Invalid/Unrecognized",E672="Invalid/Unrecognized",G672="Invalid - Ship Before Order",X672="Negative - Invalid",X672="Above Allowed Range - Invalid",AG672="Mismatch",AH672="Mismatch",AK672="Conflicting Duplicate - Flagged for Review"),"Invalid",IF(OR(L672="Filled - Unknown",S672="Filled - Unknown",X672="Missing - Defaulted to 0",AL672="Yes",AC672="Cancelled",AC672="Returned"),"Warning","Clean"))</f>
        <v>Clean</v>
      </c>
    </row>
    <row r="673" customFormat="false" ht="15" hidden="false" customHeight="false" outlineLevel="0" collapsed="false">
      <c r="A673" s="3" t="str">
        <f aca="false">raw_data!A673</f>
        <v>ORD-2024-10672</v>
      </c>
      <c r="B673" s="4" t="n">
        <f aca="false">IFERROR(IF(MID(raw_data!B673,3,1)="/",DATE(VALUE(RIGHT(raw_data!B673,4)),VALUE(LEFT(raw_data!B673,2)),VALUE(MID(raw_data!B673,4,2))),IF(MID(raw_data!B673,3,1)="-",DATE(VALUE(RIGHT(raw_data!B673,4)),VALUE(MID(raw_data!B673,4,2)),VALUE(LEFT(raw_data!B673,2))),IF(MID(raw_data!B673,5,1)="-",DATE(VALUE(LEFT(raw_data!B673,4)),VALUE(MID(raw_data!B673,6,2)),VALUE(RIGHT(raw_data!B673,2))),DATE(VALUE(RIGHT(raw_data!B673,4)),MATCH(MID(raw_data!B673,4,3),{"Jan","Feb","Mar","Apr","May","Jun","Jul","Aug","Sep","Oct","Nov","Dec"},0),VALUE(LEFT(raw_data!B673,2)))))),"")</f>
        <v>45373</v>
      </c>
      <c r="C673" s="4" t="n">
        <f aca="false">IFERROR(IF(MID(raw_data!C673,3,1)="/",DATE(VALUE(RIGHT(raw_data!C673,4)),VALUE(LEFT(raw_data!C673,2)),VALUE(MID(raw_data!C673,4,2))),IF(MID(raw_data!C673,3,1)="-",DATE(VALUE(RIGHT(raw_data!C673,4)),VALUE(MID(raw_data!C673,4,2)),VALUE(LEFT(raw_data!C673,2))),IF(MID(raw_data!C673,5,1)="-",DATE(VALUE(LEFT(raw_data!C673,4)),VALUE(MID(raw_data!C673,6,2)),VALUE(RIGHT(raw_data!C673,2))),DATE(VALUE(RIGHT(raw_data!C673,4)),MATCH(MID(raw_data!C673,4,3),{"Jan","Feb","Mar","Apr","May","Jun","Jul","Aug","Sep","Oct","Nov","Dec"},0),VALUE(LEFT(raw_data!C673,2)))))),"")</f>
        <v>45378</v>
      </c>
      <c r="D673" s="3" t="str">
        <f aca="false">IF(TRIM(raw_data!B673)="","Missing",IF(B673="","Invalid/Unrecognized","Valid"))</f>
        <v>Valid</v>
      </c>
      <c r="E673" s="3" t="str">
        <f aca="false">IF(TRIM(raw_data!C673)="","Missing",IF(C673="","Invalid/Unrecognized","Valid"))</f>
        <v>Valid</v>
      </c>
      <c r="F673" s="5" t="n">
        <f aca="false">IF(OR(B673="",C673=""),"",C673-B673)</f>
        <v>5</v>
      </c>
      <c r="G673" s="3" t="str">
        <f aca="false">IF(F673="","N/A",IF(F673&lt;0,"Invalid - Ship Before Order","OK"))</f>
        <v>OK</v>
      </c>
      <c r="H673" s="3" t="str">
        <f aca="false">raw_data!D673</f>
        <v>CUST-3293</v>
      </c>
      <c r="I673" s="3" t="str">
        <f aca="false">PROPER(TRIM(raw_data!E673))</f>
        <v>Aditi Sen</v>
      </c>
      <c r="J673" s="3" t="str">
        <f aca="false">PROPER(TRIM(raw_data!F673))</f>
        <v>Home Office</v>
      </c>
      <c r="K673" s="3" t="str">
        <f aca="false">IF(TRIM(raw_data!G673)="","Unknown",PROPER(TRIM(raw_data!G673)))</f>
        <v>West</v>
      </c>
      <c r="L673" s="3" t="str">
        <f aca="false">IF(TRIM(raw_data!G673)="","Filled - Unknown","OK")</f>
        <v>OK</v>
      </c>
      <c r="M673" s="3" t="str">
        <f aca="false">PROPER(TRIM(raw_data!H673))</f>
        <v>Goa</v>
      </c>
      <c r="N673" s="3" t="str">
        <f aca="false">PROPER(TRIM(raw_data!I673))</f>
        <v>Panaji</v>
      </c>
      <c r="O673" s="3" t="str">
        <f aca="false">PROPER(TRIM(raw_data!J673))</f>
        <v>Technology</v>
      </c>
      <c r="P673" s="3" t="str">
        <f aca="false">PROPER(TRIM(raw_data!K673))</f>
        <v>Copiers</v>
      </c>
      <c r="Q673" s="3" t="str">
        <f aca="false">TRIM(raw_data!L673)</f>
        <v>Classic Copiers 583</v>
      </c>
      <c r="R673" s="3" t="str">
        <f aca="false">IF(TRIM(raw_data!M673)="","Unknown",PROPER(TRIM(raw_data!M673)))</f>
        <v>Second Class</v>
      </c>
      <c r="S673" s="3" t="str">
        <f aca="false">IF(TRIM(raw_data!M673)="","Filled - Unknown","OK")</f>
        <v>OK</v>
      </c>
      <c r="T673" s="6" t="n">
        <f aca="false">raw_data!N673</f>
        <v>9</v>
      </c>
      <c r="U673" s="7" t="n">
        <f aca="false">raw_data!O673</f>
        <v>3649.51</v>
      </c>
      <c r="V673" s="8" t="n">
        <f aca="false">raw_data!P673</f>
        <v>0.05</v>
      </c>
      <c r="W673" s="8" t="n">
        <f aca="false">IF(raw_data!P673="",0,IF(ISTEXT(raw_data!P673),IF(RIGHT(raw_data!P673,1)="%",VALUE(LEFT(raw_data!P673,LEN(raw_data!P673)-1))/100,VALUE(raw_data!P673)),raw_data!P673))</f>
        <v>0.05</v>
      </c>
      <c r="X673" s="3" t="str">
        <f aca="false">IF(raw_data!P673="","Missing - Defaulted to 0",IF(W673&lt;0,"Negative - Invalid",IF(W673&gt;0.3,"Above Allowed Range - Invalid","Valid")))</f>
        <v>Valid</v>
      </c>
      <c r="Y673" s="7" t="n">
        <f aca="false">raw_data!Q673</f>
        <v>31203.31</v>
      </c>
      <c r="Z673" s="7" t="n">
        <f aca="false">raw_data!R673</f>
        <v>17738.13</v>
      </c>
      <c r="AA673" s="7" t="n">
        <f aca="false">raw_data!S673</f>
        <v>13465.18</v>
      </c>
      <c r="AB673" s="3" t="str">
        <f aca="false">PROPER(TRIM(raw_data!T673))</f>
        <v>Paid</v>
      </c>
      <c r="AC673" s="3" t="str">
        <f aca="false">PROPER(TRIM(raw_data!U673))</f>
        <v>Completed</v>
      </c>
      <c r="AD673" s="7" t="n">
        <f aca="false">T673*U673*(1-W673)</f>
        <v>31203.3105</v>
      </c>
      <c r="AE673" s="7" t="n">
        <f aca="false">AD673-Z673</f>
        <v>13465.1805</v>
      </c>
      <c r="AF673" s="8" t="n">
        <f aca="false">IF(AD673=0,0,AE673/AD673)</f>
        <v>0.431530510200192</v>
      </c>
      <c r="AG673" s="3" t="str">
        <f aca="false">IF(ABS(Y673-AD673)&gt;1,"Mismatch","OK")</f>
        <v>OK</v>
      </c>
      <c r="AH673" s="3" t="str">
        <f aca="false">IF(ABS(AA673-AE673)&gt;1,"Mismatch","OK")</f>
        <v>OK</v>
      </c>
      <c r="AI673" s="6" t="n">
        <f aca="false">IF(B673="","",MONTH(B673))</f>
        <v>3</v>
      </c>
      <c r="AJ673" s="6" t="n">
        <f aca="false">IF(B673="","",YEAR(B673))</f>
        <v>2024</v>
      </c>
      <c r="AK673" s="3" t="str">
        <f aca="false">IF(COUNTIF(raw_data!$A$2:$A$913,A673)&gt;1,"Conflicting Duplicate - Flagged for Review","Unique")</f>
        <v>Unique</v>
      </c>
      <c r="AL673" s="3" t="str">
        <f aca="false">IF(AB673="Refunded","Yes","No")</f>
        <v>No</v>
      </c>
      <c r="AM673" s="3" t="str">
        <f aca="false">IF(OR(AC673&lt;&gt;"Completed",AB673="Failed"),"Excluded","Included")</f>
        <v>Included</v>
      </c>
      <c r="AN673" s="3" t="str">
        <f aca="false">IF(OR(D673="Invalid/Unrecognized",E673="Invalid/Unrecognized",G673="Invalid - Ship Before Order",X673="Negative - Invalid",X673="Above Allowed Range - Invalid",AG673="Mismatch",AH673="Mismatch",AK673="Conflicting Duplicate - Flagged for Review"),"Invalid",IF(OR(L673="Filled - Unknown",S673="Filled - Unknown",X673="Missing - Defaulted to 0",AL673="Yes",AC673="Cancelled",AC673="Returned"),"Warning","Clean"))</f>
        <v>Clean</v>
      </c>
    </row>
    <row r="674" customFormat="false" ht="15" hidden="false" customHeight="false" outlineLevel="0" collapsed="false">
      <c r="A674" s="3" t="str">
        <f aca="false">raw_data!A674</f>
        <v>ORD-2024-10673</v>
      </c>
      <c r="B674" s="4" t="n">
        <f aca="false">IFERROR(IF(MID(raw_data!B674,3,1)="/",DATE(VALUE(RIGHT(raw_data!B674,4)),VALUE(LEFT(raw_data!B674,2)),VALUE(MID(raw_data!B674,4,2))),IF(MID(raw_data!B674,3,1)="-",DATE(VALUE(RIGHT(raw_data!B674,4)),VALUE(MID(raw_data!B674,4,2)),VALUE(LEFT(raw_data!B674,2))),IF(MID(raw_data!B674,5,1)="-",DATE(VALUE(LEFT(raw_data!B674,4)),VALUE(MID(raw_data!B674,6,2)),VALUE(RIGHT(raw_data!B674,2))),DATE(VALUE(RIGHT(raw_data!B674,4)),MATCH(MID(raw_data!B674,4,3),{"Jan","Feb","Mar","Apr","May","Jun","Jul","Aug","Sep","Oct","Nov","Dec"},0),VALUE(LEFT(raw_data!B674,2)))))),"")</f>
        <v>45539</v>
      </c>
      <c r="C674" s="4" t="n">
        <f aca="false">IFERROR(IF(MID(raw_data!C674,3,1)="/",DATE(VALUE(RIGHT(raw_data!C674,4)),VALUE(LEFT(raw_data!C674,2)),VALUE(MID(raw_data!C674,4,2))),IF(MID(raw_data!C674,3,1)="-",DATE(VALUE(RIGHT(raw_data!C674,4)),VALUE(MID(raw_data!C674,4,2)),VALUE(LEFT(raw_data!C674,2))),IF(MID(raw_data!C674,5,1)="-",DATE(VALUE(LEFT(raw_data!C674,4)),VALUE(MID(raw_data!C674,6,2)),VALUE(RIGHT(raw_data!C674,2))),DATE(VALUE(RIGHT(raw_data!C674,4)),MATCH(MID(raw_data!C674,4,3),{"Jan","Feb","Mar","Apr","May","Jun","Jul","Aug","Sep","Oct","Nov","Dec"},0),VALUE(LEFT(raw_data!C674,2)))))),"")</f>
        <v>45540</v>
      </c>
      <c r="D674" s="3" t="str">
        <f aca="false">IF(TRIM(raw_data!B674)="","Missing",IF(B674="","Invalid/Unrecognized","Valid"))</f>
        <v>Valid</v>
      </c>
      <c r="E674" s="3" t="str">
        <f aca="false">IF(TRIM(raw_data!C674)="","Missing",IF(C674="","Invalid/Unrecognized","Valid"))</f>
        <v>Valid</v>
      </c>
      <c r="F674" s="5" t="n">
        <f aca="false">IF(OR(B674="",C674=""),"",C674-B674)</f>
        <v>1</v>
      </c>
      <c r="G674" s="3" t="str">
        <f aca="false">IF(F674="","N/A",IF(F674&lt;0,"Invalid - Ship Before Order","OK"))</f>
        <v>OK</v>
      </c>
      <c r="H674" s="3" t="str">
        <f aca="false">raw_data!D674</f>
        <v>CUST-8180</v>
      </c>
      <c r="I674" s="3" t="str">
        <f aca="false">PROPER(TRIM(raw_data!E674))</f>
        <v>Aditi Sen</v>
      </c>
      <c r="J674" s="3" t="str">
        <f aca="false">PROPER(TRIM(raw_data!F674))</f>
        <v>Corporate</v>
      </c>
      <c r="K674" s="3" t="str">
        <f aca="false">IF(TRIM(raw_data!G674)="","Unknown",PROPER(TRIM(raw_data!G674)))</f>
        <v>West</v>
      </c>
      <c r="L674" s="3" t="str">
        <f aca="false">IF(TRIM(raw_data!G674)="","Filled - Unknown","OK")</f>
        <v>OK</v>
      </c>
      <c r="M674" s="3" t="str">
        <f aca="false">PROPER(TRIM(raw_data!H674))</f>
        <v>Madhya Pradesh</v>
      </c>
      <c r="N674" s="3" t="str">
        <f aca="false">PROPER(TRIM(raw_data!I674))</f>
        <v>Indore</v>
      </c>
      <c r="O674" s="3" t="str">
        <f aca="false">PROPER(TRIM(raw_data!J674))</f>
        <v>Furniture</v>
      </c>
      <c r="P674" s="3" t="str">
        <f aca="false">PROPER(TRIM(raw_data!K674))</f>
        <v>Chairs</v>
      </c>
      <c r="Q674" s="3" t="str">
        <f aca="false">TRIM(raw_data!L674)</f>
        <v>Classic Chairs 460</v>
      </c>
      <c r="R674" s="3" t="str">
        <f aca="false">IF(TRIM(raw_data!M674)="","Unknown",PROPER(TRIM(raw_data!M674)))</f>
        <v>Standard Class</v>
      </c>
      <c r="S674" s="3" t="str">
        <f aca="false">IF(TRIM(raw_data!M674)="","Filled - Unknown","OK")</f>
        <v>OK</v>
      </c>
      <c r="T674" s="6" t="n">
        <f aca="false">raw_data!N674</f>
        <v>5</v>
      </c>
      <c r="U674" s="7" t="n">
        <f aca="false">raw_data!O674</f>
        <v>2528.53</v>
      </c>
      <c r="V674" s="8" t="n">
        <f aca="false">raw_data!P674</f>
        <v>0.05</v>
      </c>
      <c r="W674" s="8" t="n">
        <f aca="false">IF(raw_data!P674="",0,IF(ISTEXT(raw_data!P674),IF(RIGHT(raw_data!P674,1)="%",VALUE(LEFT(raw_data!P674,LEN(raw_data!P674)-1))/100,VALUE(raw_data!P674)),raw_data!P674))</f>
        <v>0.05</v>
      </c>
      <c r="X674" s="3" t="str">
        <f aca="false">IF(raw_data!P674="","Missing - Defaulted to 0",IF(W674&lt;0,"Negative - Invalid",IF(W674&gt;0.3,"Above Allowed Range - Invalid","Valid")))</f>
        <v>Valid</v>
      </c>
      <c r="Y674" s="7" t="n">
        <f aca="false">raw_data!Q674</f>
        <v>12010.52</v>
      </c>
      <c r="Z674" s="7" t="n">
        <f aca="false">raw_data!R674</f>
        <v>7864.61</v>
      </c>
      <c r="AA674" s="7" t="n">
        <f aca="false">raw_data!S674</f>
        <v>4145.91</v>
      </c>
      <c r="AB674" s="3" t="str">
        <f aca="false">PROPER(TRIM(raw_data!T674))</f>
        <v>Paid</v>
      </c>
      <c r="AC674" s="3" t="str">
        <f aca="false">PROPER(TRIM(raw_data!U674))</f>
        <v>Returned</v>
      </c>
      <c r="AD674" s="7" t="n">
        <f aca="false">T674*U674*(1-W674)</f>
        <v>12010.5175</v>
      </c>
      <c r="AE674" s="7" t="n">
        <f aca="false">AD674-Z674</f>
        <v>4145.9075</v>
      </c>
      <c r="AF674" s="8" t="n">
        <f aca="false">IF(AD674=0,0,AE674/AD674)</f>
        <v>0.34518974723612</v>
      </c>
      <c r="AG674" s="3" t="str">
        <f aca="false">IF(ABS(Y674-AD674)&gt;1,"Mismatch","OK")</f>
        <v>OK</v>
      </c>
      <c r="AH674" s="3" t="str">
        <f aca="false">IF(ABS(AA674-AE674)&gt;1,"Mismatch","OK")</f>
        <v>OK</v>
      </c>
      <c r="AI674" s="6" t="n">
        <f aca="false">IF(B674="","",MONTH(B674))</f>
        <v>9</v>
      </c>
      <c r="AJ674" s="6" t="n">
        <f aca="false">IF(B674="","",YEAR(B674))</f>
        <v>2024</v>
      </c>
      <c r="AK674" s="3" t="str">
        <f aca="false">IF(COUNTIF(raw_data!$A$2:$A$913,A674)&gt;1,"Conflicting Duplicate - Flagged for Review","Unique")</f>
        <v>Unique</v>
      </c>
      <c r="AL674" s="3" t="str">
        <f aca="false">IF(AB674="Refunded","Yes","No")</f>
        <v>No</v>
      </c>
      <c r="AM674" s="3" t="str">
        <f aca="false">IF(OR(AC674&lt;&gt;"Completed",AB674="Failed"),"Excluded","Included")</f>
        <v>Excluded</v>
      </c>
      <c r="AN674" s="3" t="str">
        <f aca="false">IF(OR(D674="Invalid/Unrecognized",E674="Invalid/Unrecognized",G674="Invalid - Ship Before Order",X674="Negative - Invalid",X674="Above Allowed Range - Invalid",AG674="Mismatch",AH674="Mismatch",AK674="Conflicting Duplicate - Flagged for Review"),"Invalid",IF(OR(L674="Filled - Unknown",S674="Filled - Unknown",X674="Missing - Defaulted to 0",AL674="Yes",AC674="Cancelled",AC674="Returned"),"Warning","Clean"))</f>
        <v>Warning</v>
      </c>
    </row>
    <row r="675" customFormat="false" ht="15" hidden="false" customHeight="false" outlineLevel="0" collapsed="false">
      <c r="A675" s="3" t="str">
        <f aca="false">raw_data!A675</f>
        <v>ORD-2025-10674</v>
      </c>
      <c r="B675" s="4" t="n">
        <f aca="false">IFERROR(IF(MID(raw_data!B675,3,1)="/",DATE(VALUE(RIGHT(raw_data!B675,4)),VALUE(LEFT(raw_data!B675,2)),VALUE(MID(raw_data!B675,4,2))),IF(MID(raw_data!B675,3,1)="-",DATE(VALUE(RIGHT(raw_data!B675,4)),VALUE(MID(raw_data!B675,4,2)),VALUE(LEFT(raw_data!B675,2))),IF(MID(raw_data!B675,5,1)="-",DATE(VALUE(LEFT(raw_data!B675,4)),VALUE(MID(raw_data!B675,6,2)),VALUE(RIGHT(raw_data!B675,2))),DATE(VALUE(RIGHT(raw_data!B675,4)),MATCH(MID(raw_data!B675,4,3),{"Jan","Feb","Mar","Apr","May","Jun","Jul","Aug","Sep","Oct","Nov","Dec"},0),VALUE(LEFT(raw_data!B675,2)))))),"")</f>
        <v>45701</v>
      </c>
      <c r="C675" s="4" t="n">
        <f aca="false">IFERROR(IF(MID(raw_data!C675,3,1)="/",DATE(VALUE(RIGHT(raw_data!C675,4)),VALUE(LEFT(raw_data!C675,2)),VALUE(MID(raw_data!C675,4,2))),IF(MID(raw_data!C675,3,1)="-",DATE(VALUE(RIGHT(raw_data!C675,4)),VALUE(MID(raw_data!C675,4,2)),VALUE(LEFT(raw_data!C675,2))),IF(MID(raw_data!C675,5,1)="-",DATE(VALUE(LEFT(raw_data!C675,4)),VALUE(MID(raw_data!C675,6,2)),VALUE(RIGHT(raw_data!C675,2))),DATE(VALUE(RIGHT(raw_data!C675,4)),MATCH(MID(raw_data!C675,4,3),{"Jan","Feb","Mar","Apr","May","Jun","Jul","Aug","Sep","Oct","Nov","Dec"},0),VALUE(LEFT(raw_data!C675,2)))))),"")</f>
        <v>45704</v>
      </c>
      <c r="D675" s="3" t="str">
        <f aca="false">IF(TRIM(raw_data!B675)="","Missing",IF(B675="","Invalid/Unrecognized","Valid"))</f>
        <v>Valid</v>
      </c>
      <c r="E675" s="3" t="str">
        <f aca="false">IF(TRIM(raw_data!C675)="","Missing",IF(C675="","Invalid/Unrecognized","Valid"))</f>
        <v>Valid</v>
      </c>
      <c r="F675" s="5" t="n">
        <f aca="false">IF(OR(B675="",C675=""),"",C675-B675)</f>
        <v>3</v>
      </c>
      <c r="G675" s="3" t="str">
        <f aca="false">IF(F675="","N/A",IF(F675&lt;0,"Invalid - Ship Before Order","OK"))</f>
        <v>OK</v>
      </c>
      <c r="H675" s="3" t="str">
        <f aca="false">raw_data!D675</f>
        <v>CUST-2807</v>
      </c>
      <c r="I675" s="3" t="str">
        <f aca="false">PROPER(TRIM(raw_data!E675))</f>
        <v>Arjun Bose</v>
      </c>
      <c r="J675" s="3" t="str">
        <f aca="false">PROPER(TRIM(raw_data!F675))</f>
        <v>Small Business</v>
      </c>
      <c r="K675" s="3" t="str">
        <f aca="false">IF(TRIM(raw_data!G675)="","Unknown",PROPER(TRIM(raw_data!G675)))</f>
        <v>West</v>
      </c>
      <c r="L675" s="3" t="str">
        <f aca="false">IF(TRIM(raw_data!G675)="","Filled - Unknown","OK")</f>
        <v>OK</v>
      </c>
      <c r="M675" s="3" t="str">
        <f aca="false">PROPER(TRIM(raw_data!H675))</f>
        <v>Rajasthan</v>
      </c>
      <c r="N675" s="3" t="str">
        <f aca="false">PROPER(TRIM(raw_data!I675))</f>
        <v>Udaipur</v>
      </c>
      <c r="O675" s="3" t="str">
        <f aca="false">PROPER(TRIM(raw_data!J675))</f>
        <v>Furniture</v>
      </c>
      <c r="P675" s="3" t="str">
        <f aca="false">PROPER(TRIM(raw_data!K675))</f>
        <v>Bookcases</v>
      </c>
      <c r="Q675" s="3" t="str">
        <f aca="false">TRIM(raw_data!L675)</f>
        <v>Classic Bookcases 488</v>
      </c>
      <c r="R675" s="3" t="str">
        <f aca="false">IF(TRIM(raw_data!M675)="","Unknown",PROPER(TRIM(raw_data!M675)))</f>
        <v>Second Class</v>
      </c>
      <c r="S675" s="3" t="str">
        <f aca="false">IF(TRIM(raw_data!M675)="","Filled - Unknown","OK")</f>
        <v>OK</v>
      </c>
      <c r="T675" s="6" t="n">
        <f aca="false">raw_data!N675</f>
        <v>4</v>
      </c>
      <c r="U675" s="7" t="n">
        <f aca="false">raw_data!O675</f>
        <v>4072.9</v>
      </c>
      <c r="V675" s="8" t="n">
        <f aca="false">raw_data!P675</f>
        <v>0.15</v>
      </c>
      <c r="W675" s="8" t="n">
        <f aca="false">IF(raw_data!P675="",0,IF(ISTEXT(raw_data!P675),IF(RIGHT(raw_data!P675,1)="%",VALUE(LEFT(raw_data!P675,LEN(raw_data!P675)-1))/100,VALUE(raw_data!P675)),raw_data!P675))</f>
        <v>0.15</v>
      </c>
      <c r="X675" s="3" t="str">
        <f aca="false">IF(raw_data!P675="","Missing - Defaulted to 0",IF(W675&lt;0,"Negative - Invalid",IF(W675&gt;0.3,"Above Allowed Range - Invalid","Valid")))</f>
        <v>Valid</v>
      </c>
      <c r="Y675" s="7" t="n">
        <f aca="false">raw_data!Q675</f>
        <v>13847.86</v>
      </c>
      <c r="Z675" s="7" t="n">
        <f aca="false">raw_data!R675</f>
        <v>8471.78</v>
      </c>
      <c r="AA675" s="7" t="n">
        <f aca="false">raw_data!S675</f>
        <v>5376.08</v>
      </c>
      <c r="AB675" s="3" t="str">
        <f aca="false">PROPER(TRIM(raw_data!T675))</f>
        <v>Paid</v>
      </c>
      <c r="AC675" s="3" t="str">
        <f aca="false">PROPER(TRIM(raw_data!U675))</f>
        <v>Completed</v>
      </c>
      <c r="AD675" s="7" t="n">
        <f aca="false">T675*U675*(1-W675)</f>
        <v>13847.86</v>
      </c>
      <c r="AE675" s="7" t="n">
        <f aca="false">AD675-Z675</f>
        <v>5376.08</v>
      </c>
      <c r="AF675" s="8" t="n">
        <f aca="false">IF(AD675=0,0,AE675/AD675)</f>
        <v>0.388224606545705</v>
      </c>
      <c r="AG675" s="3" t="str">
        <f aca="false">IF(ABS(Y675-AD675)&gt;1,"Mismatch","OK")</f>
        <v>OK</v>
      </c>
      <c r="AH675" s="3" t="str">
        <f aca="false">IF(ABS(AA675-AE675)&gt;1,"Mismatch","OK")</f>
        <v>OK</v>
      </c>
      <c r="AI675" s="6" t="n">
        <f aca="false">IF(B675="","",MONTH(B675))</f>
        <v>2</v>
      </c>
      <c r="AJ675" s="6" t="n">
        <f aca="false">IF(B675="","",YEAR(B675))</f>
        <v>2025</v>
      </c>
      <c r="AK675" s="3" t="str">
        <f aca="false">IF(COUNTIF(raw_data!$A$2:$A$913,A675)&gt;1,"Conflicting Duplicate - Flagged for Review","Unique")</f>
        <v>Unique</v>
      </c>
      <c r="AL675" s="3" t="str">
        <f aca="false">IF(AB675="Refunded","Yes","No")</f>
        <v>No</v>
      </c>
      <c r="AM675" s="3" t="str">
        <f aca="false">IF(OR(AC675&lt;&gt;"Completed",AB675="Failed"),"Excluded","Included")</f>
        <v>Included</v>
      </c>
      <c r="AN675" s="3" t="str">
        <f aca="false">IF(OR(D675="Invalid/Unrecognized",E675="Invalid/Unrecognized",G675="Invalid - Ship Before Order",X675="Negative - Invalid",X675="Above Allowed Range - Invalid",AG675="Mismatch",AH675="Mismatch",AK675="Conflicting Duplicate - Flagged for Review"),"Invalid",IF(OR(L675="Filled - Unknown",S675="Filled - Unknown",X675="Missing - Defaulted to 0",AL675="Yes",AC675="Cancelled",AC675="Returned"),"Warning","Clean"))</f>
        <v>Clean</v>
      </c>
    </row>
    <row r="676" customFormat="false" ht="15" hidden="false" customHeight="false" outlineLevel="0" collapsed="false">
      <c r="A676" s="3" t="str">
        <f aca="false">raw_data!A676</f>
        <v>ORD-2024-10675</v>
      </c>
      <c r="B676" s="4" t="n">
        <f aca="false">IFERROR(IF(MID(raw_data!B676,3,1)="/",DATE(VALUE(RIGHT(raw_data!B676,4)),VALUE(LEFT(raw_data!B676,2)),VALUE(MID(raw_data!B676,4,2))),IF(MID(raw_data!B676,3,1)="-",DATE(VALUE(RIGHT(raw_data!B676,4)),VALUE(MID(raw_data!B676,4,2)),VALUE(LEFT(raw_data!B676,2))),IF(MID(raw_data!B676,5,1)="-",DATE(VALUE(LEFT(raw_data!B676,4)),VALUE(MID(raw_data!B676,6,2)),VALUE(RIGHT(raw_data!B676,2))),DATE(VALUE(RIGHT(raw_data!B676,4)),MATCH(MID(raw_data!B676,4,3),{"Jan","Feb","Mar","Apr","May","Jun","Jul","Aug","Sep","Oct","Nov","Dec"},0),VALUE(LEFT(raw_data!B676,2)))))),"")</f>
        <v>45430</v>
      </c>
      <c r="C676" s="4" t="n">
        <f aca="false">IFERROR(IF(MID(raw_data!C676,3,1)="/",DATE(VALUE(RIGHT(raw_data!C676,4)),VALUE(LEFT(raw_data!C676,2)),VALUE(MID(raw_data!C676,4,2))),IF(MID(raw_data!C676,3,1)="-",DATE(VALUE(RIGHT(raw_data!C676,4)),VALUE(MID(raw_data!C676,4,2)),VALUE(LEFT(raw_data!C676,2))),IF(MID(raw_data!C676,5,1)="-",DATE(VALUE(LEFT(raw_data!C676,4)),VALUE(MID(raw_data!C676,6,2)),VALUE(RIGHT(raw_data!C676,2))),DATE(VALUE(RIGHT(raw_data!C676,4)),MATCH(MID(raw_data!C676,4,3),{"Jan","Feb","Mar","Apr","May","Jun","Jul","Aug","Sep","Oct","Nov","Dec"},0),VALUE(LEFT(raw_data!C676,2)))))),"")</f>
        <v>45433</v>
      </c>
      <c r="D676" s="3" t="str">
        <f aca="false">IF(TRIM(raw_data!B676)="","Missing",IF(B676="","Invalid/Unrecognized","Valid"))</f>
        <v>Valid</v>
      </c>
      <c r="E676" s="3" t="str">
        <f aca="false">IF(TRIM(raw_data!C676)="","Missing",IF(C676="","Invalid/Unrecognized","Valid"))</f>
        <v>Valid</v>
      </c>
      <c r="F676" s="5" t="n">
        <f aca="false">IF(OR(B676="",C676=""),"",C676-B676)</f>
        <v>3</v>
      </c>
      <c r="G676" s="3" t="str">
        <f aca="false">IF(F676="","N/A",IF(F676&lt;0,"Invalid - Ship Before Order","OK"))</f>
        <v>OK</v>
      </c>
      <c r="H676" s="3" t="str">
        <f aca="false">raw_data!D676</f>
        <v>CUST-4081</v>
      </c>
      <c r="I676" s="3" t="str">
        <f aca="false">PROPER(TRIM(raw_data!E676))</f>
        <v>Vikram Iyer</v>
      </c>
      <c r="J676" s="3" t="str">
        <f aca="false">PROPER(TRIM(raw_data!F676))</f>
        <v>Corporate</v>
      </c>
      <c r="K676" s="3" t="str">
        <f aca="false">IF(TRIM(raw_data!G676)="","Unknown",PROPER(TRIM(raw_data!G676)))</f>
        <v>East</v>
      </c>
      <c r="L676" s="3" t="str">
        <f aca="false">IF(TRIM(raw_data!G676)="","Filled - Unknown","OK")</f>
        <v>OK</v>
      </c>
      <c r="M676" s="3" t="str">
        <f aca="false">PROPER(TRIM(raw_data!H676))</f>
        <v>Jharkhand</v>
      </c>
      <c r="N676" s="3" t="str">
        <f aca="false">PROPER(TRIM(raw_data!I676))</f>
        <v>Ranchi</v>
      </c>
      <c r="O676" s="3" t="str">
        <f aca="false">PROPER(TRIM(raw_data!J676))</f>
        <v>Technology</v>
      </c>
      <c r="P676" s="3" t="str">
        <f aca="false">PROPER(TRIM(raw_data!K676))</f>
        <v>Accessories</v>
      </c>
      <c r="Q676" s="3" t="str">
        <f aca="false">TRIM(raw_data!L676)</f>
        <v>Basic Accessories 944</v>
      </c>
      <c r="R676" s="3" t="str">
        <f aca="false">IF(TRIM(raw_data!M676)="","Unknown",PROPER(TRIM(raw_data!M676)))</f>
        <v>Second Class</v>
      </c>
      <c r="S676" s="3" t="str">
        <f aca="false">IF(TRIM(raw_data!M676)="","Filled - Unknown","OK")</f>
        <v>OK</v>
      </c>
      <c r="T676" s="6" t="n">
        <f aca="false">raw_data!N676</f>
        <v>1</v>
      </c>
      <c r="U676" s="7" t="n">
        <f aca="false">raw_data!O676</f>
        <v>1033.71</v>
      </c>
      <c r="V676" s="8" t="n">
        <f aca="false">raw_data!P676</f>
        <v>0</v>
      </c>
      <c r="W676" s="8" t="n">
        <f aca="false">IF(raw_data!P676="",0,IF(ISTEXT(raw_data!P676),IF(RIGHT(raw_data!P676,1)="%",VALUE(LEFT(raw_data!P676,LEN(raw_data!P676)-1))/100,VALUE(raw_data!P676)),raw_data!P676))</f>
        <v>0</v>
      </c>
      <c r="X676" s="3" t="str">
        <f aca="false">IF(raw_data!P676="","Missing - Defaulted to 0",IF(W676&lt;0,"Negative - Invalid",IF(W676&gt;0.3,"Above Allowed Range - Invalid","Valid")))</f>
        <v>Valid</v>
      </c>
      <c r="Y676" s="7" t="n">
        <f aca="false">raw_data!Q676</f>
        <v>1033.71</v>
      </c>
      <c r="Z676" s="7" t="n">
        <f aca="false">raw_data!R676</f>
        <v>630.82</v>
      </c>
      <c r="AA676" s="7" t="n">
        <f aca="false">raw_data!S676</f>
        <v>402.89</v>
      </c>
      <c r="AB676" s="3" t="str">
        <f aca="false">PROPER(TRIM(raw_data!T676))</f>
        <v>Pending</v>
      </c>
      <c r="AC676" s="3" t="str">
        <f aca="false">PROPER(TRIM(raw_data!U676))</f>
        <v>Returned</v>
      </c>
      <c r="AD676" s="7" t="n">
        <f aca="false">T676*U676*(1-W676)</f>
        <v>1033.71</v>
      </c>
      <c r="AE676" s="7" t="n">
        <f aca="false">AD676-Z676</f>
        <v>402.89</v>
      </c>
      <c r="AF676" s="8" t="n">
        <f aca="false">IF(AD676=0,0,AE676/AD676)</f>
        <v>0.389751477687166</v>
      </c>
      <c r="AG676" s="3" t="str">
        <f aca="false">IF(ABS(Y676-AD676)&gt;1,"Mismatch","OK")</f>
        <v>OK</v>
      </c>
      <c r="AH676" s="3" t="str">
        <f aca="false">IF(ABS(AA676-AE676)&gt;1,"Mismatch","OK")</f>
        <v>OK</v>
      </c>
      <c r="AI676" s="6" t="n">
        <f aca="false">IF(B676="","",MONTH(B676))</f>
        <v>5</v>
      </c>
      <c r="AJ676" s="6" t="n">
        <f aca="false">IF(B676="","",YEAR(B676))</f>
        <v>2024</v>
      </c>
      <c r="AK676" s="3" t="str">
        <f aca="false">IF(COUNTIF(raw_data!$A$2:$A$913,A676)&gt;1,"Conflicting Duplicate - Flagged for Review","Unique")</f>
        <v>Unique</v>
      </c>
      <c r="AL676" s="3" t="str">
        <f aca="false">IF(AB676="Refunded","Yes","No")</f>
        <v>No</v>
      </c>
      <c r="AM676" s="3" t="str">
        <f aca="false">IF(OR(AC676&lt;&gt;"Completed",AB676="Failed"),"Excluded","Included")</f>
        <v>Excluded</v>
      </c>
      <c r="AN676" s="3" t="str">
        <f aca="false">IF(OR(D676="Invalid/Unrecognized",E676="Invalid/Unrecognized",G676="Invalid - Ship Before Order",X676="Negative - Invalid",X676="Above Allowed Range - Invalid",AG676="Mismatch",AH676="Mismatch",AK676="Conflicting Duplicate - Flagged for Review"),"Invalid",IF(OR(L676="Filled - Unknown",S676="Filled - Unknown",X676="Missing - Defaulted to 0",AL676="Yes",AC676="Cancelled",AC676="Returned"),"Warning","Clean"))</f>
        <v>Warning</v>
      </c>
    </row>
    <row r="677" customFormat="false" ht="15" hidden="false" customHeight="false" outlineLevel="0" collapsed="false">
      <c r="A677" s="3" t="str">
        <f aca="false">raw_data!A677</f>
        <v>ORD-2025-10676</v>
      </c>
      <c r="B677" s="4" t="n">
        <f aca="false">IFERROR(IF(MID(raw_data!B677,3,1)="/",DATE(VALUE(RIGHT(raw_data!B677,4)),VALUE(LEFT(raw_data!B677,2)),VALUE(MID(raw_data!B677,4,2))),IF(MID(raw_data!B677,3,1)="-",DATE(VALUE(RIGHT(raw_data!B677,4)),VALUE(MID(raw_data!B677,4,2)),VALUE(LEFT(raw_data!B677,2))),IF(MID(raw_data!B677,5,1)="-",DATE(VALUE(LEFT(raw_data!B677,4)),VALUE(MID(raw_data!B677,6,2)),VALUE(RIGHT(raw_data!B677,2))),DATE(VALUE(RIGHT(raw_data!B677,4)),MATCH(MID(raw_data!B677,4,3),{"Jan","Feb","Mar","Apr","May","Jun","Jul","Aug","Sep","Oct","Nov","Dec"},0),VALUE(LEFT(raw_data!B677,2)))))),"")</f>
        <v>45815</v>
      </c>
      <c r="C677" s="4" t="n">
        <f aca="false">IFERROR(IF(MID(raw_data!C677,3,1)="/",DATE(VALUE(RIGHT(raw_data!C677,4)),VALUE(LEFT(raw_data!C677,2)),VALUE(MID(raw_data!C677,4,2))),IF(MID(raw_data!C677,3,1)="-",DATE(VALUE(RIGHT(raw_data!C677,4)),VALUE(MID(raw_data!C677,4,2)),VALUE(LEFT(raw_data!C677,2))),IF(MID(raw_data!C677,5,1)="-",DATE(VALUE(LEFT(raw_data!C677,4)),VALUE(MID(raw_data!C677,6,2)),VALUE(RIGHT(raw_data!C677,2))),DATE(VALUE(RIGHT(raw_data!C677,4)),MATCH(MID(raw_data!C677,4,3),{"Jan","Feb","Mar","Apr","May","Jun","Jul","Aug","Sep","Oct","Nov","Dec"},0),VALUE(LEFT(raw_data!C677,2)))))),"")</f>
        <v>45818</v>
      </c>
      <c r="D677" s="3" t="str">
        <f aca="false">IF(TRIM(raw_data!B677)="","Missing",IF(B677="","Invalid/Unrecognized","Valid"))</f>
        <v>Valid</v>
      </c>
      <c r="E677" s="3" t="str">
        <f aca="false">IF(TRIM(raw_data!C677)="","Missing",IF(C677="","Invalid/Unrecognized","Valid"))</f>
        <v>Valid</v>
      </c>
      <c r="F677" s="5" t="n">
        <f aca="false">IF(OR(B677="",C677=""),"",C677-B677)</f>
        <v>3</v>
      </c>
      <c r="G677" s="3" t="str">
        <f aca="false">IF(F677="","N/A",IF(F677&lt;0,"Invalid - Ship Before Order","OK"))</f>
        <v>OK</v>
      </c>
      <c r="H677" s="3" t="str">
        <f aca="false">raw_data!D677</f>
        <v>CUST-5061</v>
      </c>
      <c r="I677" s="3" t="str">
        <f aca="false">PROPER(TRIM(raw_data!E677))</f>
        <v>Aarav Sharma</v>
      </c>
      <c r="J677" s="3" t="str">
        <f aca="false">PROPER(TRIM(raw_data!F677))</f>
        <v>Consumer</v>
      </c>
      <c r="K677" s="3" t="str">
        <f aca="false">IF(TRIM(raw_data!G677)="","Unknown",PROPER(TRIM(raw_data!G677)))</f>
        <v>North</v>
      </c>
      <c r="L677" s="3" t="str">
        <f aca="false">IF(TRIM(raw_data!G677)="","Filled - Unknown","OK")</f>
        <v>OK</v>
      </c>
      <c r="M677" s="3" t="str">
        <f aca="false">PROPER(TRIM(raw_data!H677))</f>
        <v>Rajasthan</v>
      </c>
      <c r="N677" s="3" t="str">
        <f aca="false">PROPER(TRIM(raw_data!I677))</f>
        <v>Jaipur</v>
      </c>
      <c r="O677" s="3" t="str">
        <f aca="false">PROPER(TRIM(raw_data!J677))</f>
        <v>Furniture</v>
      </c>
      <c r="P677" s="3" t="str">
        <f aca="false">PROPER(TRIM(raw_data!K677))</f>
        <v>Furnishings</v>
      </c>
      <c r="Q677" s="3" t="str">
        <f aca="false">TRIM(raw_data!L677)</f>
        <v>Eco Furnishings 217</v>
      </c>
      <c r="R677" s="3" t="str">
        <f aca="false">IF(TRIM(raw_data!M677)="","Unknown",PROPER(TRIM(raw_data!M677)))</f>
        <v>Same Day</v>
      </c>
      <c r="S677" s="3" t="str">
        <f aca="false">IF(TRIM(raw_data!M677)="","Filled - Unknown","OK")</f>
        <v>OK</v>
      </c>
      <c r="T677" s="6" t="n">
        <f aca="false">raw_data!N677</f>
        <v>3</v>
      </c>
      <c r="U677" s="7" t="n">
        <f aca="false">raw_data!O677</f>
        <v>963.26</v>
      </c>
      <c r="V677" s="8" t="n">
        <f aca="false">raw_data!P677</f>
        <v>0</v>
      </c>
      <c r="W677" s="8" t="n">
        <f aca="false">IF(raw_data!P677="",0,IF(ISTEXT(raw_data!P677),IF(RIGHT(raw_data!P677,1)="%",VALUE(LEFT(raw_data!P677,LEN(raw_data!P677)-1))/100,VALUE(raw_data!P677)),raw_data!P677))</f>
        <v>0</v>
      </c>
      <c r="X677" s="3" t="str">
        <f aca="false">IF(raw_data!P677="","Missing - Defaulted to 0",IF(W677&lt;0,"Negative - Invalid",IF(W677&gt;0.3,"Above Allowed Range - Invalid","Valid")))</f>
        <v>Valid</v>
      </c>
      <c r="Y677" s="7" t="n">
        <f aca="false">raw_data!Q677</f>
        <v>2889.78</v>
      </c>
      <c r="Z677" s="7" t="n">
        <f aca="false">raw_data!R677</f>
        <v>1811.23</v>
      </c>
      <c r="AA677" s="7" t="n">
        <f aca="false">raw_data!S677</f>
        <v>1078.55</v>
      </c>
      <c r="AB677" s="3" t="str">
        <f aca="false">PROPER(TRIM(raw_data!T677))</f>
        <v>Paid</v>
      </c>
      <c r="AC677" s="3" t="str">
        <f aca="false">PROPER(TRIM(raw_data!U677))</f>
        <v>Completed</v>
      </c>
      <c r="AD677" s="7" t="n">
        <f aca="false">T677*U677*(1-W677)</f>
        <v>2889.78</v>
      </c>
      <c r="AE677" s="7" t="n">
        <f aca="false">AD677-Z677</f>
        <v>1078.55</v>
      </c>
      <c r="AF677" s="8" t="n">
        <f aca="false">IF(AD677=0,0,AE677/AD677)</f>
        <v>0.373229103945629</v>
      </c>
      <c r="AG677" s="3" t="str">
        <f aca="false">IF(ABS(Y677-AD677)&gt;1,"Mismatch","OK")</f>
        <v>OK</v>
      </c>
      <c r="AH677" s="3" t="str">
        <f aca="false">IF(ABS(AA677-AE677)&gt;1,"Mismatch","OK")</f>
        <v>OK</v>
      </c>
      <c r="AI677" s="6" t="n">
        <f aca="false">IF(B677="","",MONTH(B677))</f>
        <v>6</v>
      </c>
      <c r="AJ677" s="6" t="n">
        <f aca="false">IF(B677="","",YEAR(B677))</f>
        <v>2025</v>
      </c>
      <c r="AK677" s="3" t="str">
        <f aca="false">IF(COUNTIF(raw_data!$A$2:$A$913,A677)&gt;1,"Conflicting Duplicate - Flagged for Review","Unique")</f>
        <v>Unique</v>
      </c>
      <c r="AL677" s="3" t="str">
        <f aca="false">IF(AB677="Refunded","Yes","No")</f>
        <v>No</v>
      </c>
      <c r="AM677" s="3" t="str">
        <f aca="false">IF(OR(AC677&lt;&gt;"Completed",AB677="Failed"),"Excluded","Included")</f>
        <v>Included</v>
      </c>
      <c r="AN677" s="3" t="str">
        <f aca="false">IF(OR(D677="Invalid/Unrecognized",E677="Invalid/Unrecognized",G677="Invalid - Ship Before Order",X677="Negative - Invalid",X677="Above Allowed Range - Invalid",AG677="Mismatch",AH677="Mismatch",AK677="Conflicting Duplicate - Flagged for Review"),"Invalid",IF(OR(L677="Filled - Unknown",S677="Filled - Unknown",X677="Missing - Defaulted to 0",AL677="Yes",AC677="Cancelled",AC677="Returned"),"Warning","Clean"))</f>
        <v>Clean</v>
      </c>
    </row>
    <row r="678" customFormat="false" ht="15" hidden="false" customHeight="false" outlineLevel="0" collapsed="false">
      <c r="A678" s="3" t="str">
        <f aca="false">raw_data!A678</f>
        <v>ORD-2025-10677</v>
      </c>
      <c r="B678" s="4" t="n">
        <f aca="false">IFERROR(IF(MID(raw_data!B678,3,1)="/",DATE(VALUE(RIGHT(raw_data!B678,4)),VALUE(LEFT(raw_data!B678,2)),VALUE(MID(raw_data!B678,4,2))),IF(MID(raw_data!B678,3,1)="-",DATE(VALUE(RIGHT(raw_data!B678,4)),VALUE(MID(raw_data!B678,4,2)),VALUE(LEFT(raw_data!B678,2))),IF(MID(raw_data!B678,5,1)="-",DATE(VALUE(LEFT(raw_data!B678,4)),VALUE(MID(raw_data!B678,6,2)),VALUE(RIGHT(raw_data!B678,2))),DATE(VALUE(RIGHT(raw_data!B678,4)),MATCH(MID(raw_data!B678,4,3),{"Jan","Feb","Mar","Apr","May","Jun","Jul","Aug","Sep","Oct","Nov","Dec"},0),VALUE(LEFT(raw_data!B678,2)))))),"")</f>
        <v>45911</v>
      </c>
      <c r="C678" s="4" t="n">
        <f aca="false">IFERROR(IF(MID(raw_data!C678,3,1)="/",DATE(VALUE(RIGHT(raw_data!C678,4)),VALUE(LEFT(raw_data!C678,2)),VALUE(MID(raw_data!C678,4,2))),IF(MID(raw_data!C678,3,1)="-",DATE(VALUE(RIGHT(raw_data!C678,4)),VALUE(MID(raw_data!C678,4,2)),VALUE(LEFT(raw_data!C678,2))),IF(MID(raw_data!C678,5,1)="-",DATE(VALUE(LEFT(raw_data!C678,4)),VALUE(MID(raw_data!C678,6,2)),VALUE(RIGHT(raw_data!C678,2))),DATE(VALUE(RIGHT(raw_data!C678,4)),MATCH(MID(raw_data!C678,4,3),{"Jan","Feb","Mar","Apr","May","Jun","Jul","Aug","Sep","Oct","Nov","Dec"},0),VALUE(LEFT(raw_data!C678,2)))))),"")</f>
        <v>45918</v>
      </c>
      <c r="D678" s="3" t="str">
        <f aca="false">IF(TRIM(raw_data!B678)="","Missing",IF(B678="","Invalid/Unrecognized","Valid"))</f>
        <v>Valid</v>
      </c>
      <c r="E678" s="3" t="str">
        <f aca="false">IF(TRIM(raw_data!C678)="","Missing",IF(C678="","Invalid/Unrecognized","Valid"))</f>
        <v>Valid</v>
      </c>
      <c r="F678" s="5" t="n">
        <f aca="false">IF(OR(B678="",C678=""),"",C678-B678)</f>
        <v>7</v>
      </c>
      <c r="G678" s="3" t="str">
        <f aca="false">IF(F678="","N/A",IF(F678&lt;0,"Invalid - Ship Before Order","OK"))</f>
        <v>OK</v>
      </c>
      <c r="H678" s="3" t="str">
        <f aca="false">raw_data!D678</f>
        <v>CUST-9212</v>
      </c>
      <c r="I678" s="3" t="str">
        <f aca="false">PROPER(TRIM(raw_data!E678))</f>
        <v>Rahul Verma</v>
      </c>
      <c r="J678" s="3" t="str">
        <f aca="false">PROPER(TRIM(raw_data!F678))</f>
        <v>Small Business</v>
      </c>
      <c r="K678" s="3" t="str">
        <f aca="false">IF(TRIM(raw_data!G678)="","Unknown",PROPER(TRIM(raw_data!G678)))</f>
        <v>North</v>
      </c>
      <c r="L678" s="3" t="str">
        <f aca="false">IF(TRIM(raw_data!G678)="","Filled - Unknown","OK")</f>
        <v>OK</v>
      </c>
      <c r="M678" s="3" t="str">
        <f aca="false">PROPER(TRIM(raw_data!H678))</f>
        <v>Delhi</v>
      </c>
      <c r="N678" s="3" t="str">
        <f aca="false">PROPER(TRIM(raw_data!I678))</f>
        <v>New Delhi</v>
      </c>
      <c r="O678" s="3" t="str">
        <f aca="false">PROPER(TRIM(raw_data!J678))</f>
        <v>Technology</v>
      </c>
      <c r="P678" s="3" t="str">
        <f aca="false">PROPER(TRIM(raw_data!K678))</f>
        <v>Phones</v>
      </c>
      <c r="Q678" s="3" t="str">
        <f aca="false">TRIM(raw_data!L678)</f>
        <v>Smart Phones 967</v>
      </c>
      <c r="R678" s="3" t="str">
        <f aca="false">IF(TRIM(raw_data!M678)="","Unknown",PROPER(TRIM(raw_data!M678)))</f>
        <v>Same Day</v>
      </c>
      <c r="S678" s="3" t="str">
        <f aca="false">IF(TRIM(raw_data!M678)="","Filled - Unknown","OK")</f>
        <v>OK</v>
      </c>
      <c r="T678" s="6" t="n">
        <f aca="false">raw_data!N678</f>
        <v>7</v>
      </c>
      <c r="U678" s="7" t="n">
        <f aca="false">raw_data!O678</f>
        <v>3411.21</v>
      </c>
      <c r="V678" s="8" t="n">
        <f aca="false">raw_data!P678</f>
        <v>0.15</v>
      </c>
      <c r="W678" s="8" t="n">
        <f aca="false">IF(raw_data!P678="",0,IF(ISTEXT(raw_data!P678),IF(RIGHT(raw_data!P678,1)="%",VALUE(LEFT(raw_data!P678,LEN(raw_data!P678)-1))/100,VALUE(raw_data!P678)),raw_data!P678))</f>
        <v>0.15</v>
      </c>
      <c r="X678" s="3" t="str">
        <f aca="false">IF(raw_data!P678="","Missing - Defaulted to 0",IF(W678&lt;0,"Negative - Invalid",IF(W678&gt;0.3,"Above Allowed Range - Invalid","Valid")))</f>
        <v>Valid</v>
      </c>
      <c r="Y678" s="7" t="n">
        <f aca="false">raw_data!Q678</f>
        <v>20296.7</v>
      </c>
      <c r="Z678" s="7" t="n">
        <f aca="false">raw_data!R678</f>
        <v>14920.87</v>
      </c>
      <c r="AA678" s="7" t="n">
        <f aca="false">raw_data!S678</f>
        <v>5375.83</v>
      </c>
      <c r="AB678" s="3" t="str">
        <f aca="false">PROPER(TRIM(raw_data!T678))</f>
        <v>Paid</v>
      </c>
      <c r="AC678" s="3" t="str">
        <f aca="false">PROPER(TRIM(raw_data!U678))</f>
        <v>Completed</v>
      </c>
      <c r="AD678" s="7" t="n">
        <f aca="false">T678*U678*(1-W678)</f>
        <v>20296.6995</v>
      </c>
      <c r="AE678" s="7" t="n">
        <f aca="false">AD678-Z678</f>
        <v>5375.8295</v>
      </c>
      <c r="AF678" s="8" t="n">
        <f aca="false">IF(AD678=0,0,AE678/AD678)</f>
        <v>0.264862250140719</v>
      </c>
      <c r="AG678" s="3" t="str">
        <f aca="false">IF(ABS(Y678-AD678)&gt;1,"Mismatch","OK")</f>
        <v>OK</v>
      </c>
      <c r="AH678" s="3" t="str">
        <f aca="false">IF(ABS(AA678-AE678)&gt;1,"Mismatch","OK")</f>
        <v>OK</v>
      </c>
      <c r="AI678" s="6" t="n">
        <f aca="false">IF(B678="","",MONTH(B678))</f>
        <v>9</v>
      </c>
      <c r="AJ678" s="6" t="n">
        <f aca="false">IF(B678="","",YEAR(B678))</f>
        <v>2025</v>
      </c>
      <c r="AK678" s="3" t="str">
        <f aca="false">IF(COUNTIF(raw_data!$A$2:$A$913,A678)&gt;1,"Conflicting Duplicate - Flagged for Review","Unique")</f>
        <v>Unique</v>
      </c>
      <c r="AL678" s="3" t="str">
        <f aca="false">IF(AB678="Refunded","Yes","No")</f>
        <v>No</v>
      </c>
      <c r="AM678" s="3" t="str">
        <f aca="false">IF(OR(AC678&lt;&gt;"Completed",AB678="Failed"),"Excluded","Included")</f>
        <v>Included</v>
      </c>
      <c r="AN678" s="3" t="str">
        <f aca="false">IF(OR(D678="Invalid/Unrecognized",E678="Invalid/Unrecognized",G678="Invalid - Ship Before Order",X678="Negative - Invalid",X678="Above Allowed Range - Invalid",AG678="Mismatch",AH678="Mismatch",AK678="Conflicting Duplicate - Flagged for Review"),"Invalid",IF(OR(L678="Filled - Unknown",S678="Filled - Unknown",X678="Missing - Defaulted to 0",AL678="Yes",AC678="Cancelled",AC678="Returned"),"Warning","Clean"))</f>
        <v>Clean</v>
      </c>
    </row>
    <row r="679" customFormat="false" ht="15" hidden="false" customHeight="false" outlineLevel="0" collapsed="false">
      <c r="A679" s="3" t="str">
        <f aca="false">raw_data!A679</f>
        <v>ORD-2024-10678</v>
      </c>
      <c r="B679" s="4" t="n">
        <f aca="false">IFERROR(IF(MID(raw_data!B679,3,1)="/",DATE(VALUE(RIGHT(raw_data!B679,4)),VALUE(LEFT(raw_data!B679,2)),VALUE(MID(raw_data!B679,4,2))),IF(MID(raw_data!B679,3,1)="-",DATE(VALUE(RIGHT(raw_data!B679,4)),VALUE(MID(raw_data!B679,4,2)),VALUE(LEFT(raw_data!B679,2))),IF(MID(raw_data!B679,5,1)="-",DATE(VALUE(LEFT(raw_data!B679,4)),VALUE(MID(raw_data!B679,6,2)),VALUE(RIGHT(raw_data!B679,2))),DATE(VALUE(RIGHT(raw_data!B679,4)),MATCH(MID(raw_data!B679,4,3),{"Jan","Feb","Mar","Apr","May","Jun","Jul","Aug","Sep","Oct","Nov","Dec"},0),VALUE(LEFT(raw_data!B679,2)))))),"")</f>
        <v>45465</v>
      </c>
      <c r="C679" s="4" t="n">
        <f aca="false">IFERROR(IF(MID(raw_data!C679,3,1)="/",DATE(VALUE(RIGHT(raw_data!C679,4)),VALUE(LEFT(raw_data!C679,2)),VALUE(MID(raw_data!C679,4,2))),IF(MID(raw_data!C679,3,1)="-",DATE(VALUE(RIGHT(raw_data!C679,4)),VALUE(MID(raw_data!C679,4,2)),VALUE(LEFT(raw_data!C679,2))),IF(MID(raw_data!C679,5,1)="-",DATE(VALUE(LEFT(raw_data!C679,4)),VALUE(MID(raw_data!C679,6,2)),VALUE(RIGHT(raw_data!C679,2))),DATE(VALUE(RIGHT(raw_data!C679,4)),MATCH(MID(raw_data!C679,4,3),{"Jan","Feb","Mar","Apr","May","Jun","Jul","Aug","Sep","Oct","Nov","Dec"},0),VALUE(LEFT(raw_data!C679,2)))))),"")</f>
        <v>45470</v>
      </c>
      <c r="D679" s="3" t="str">
        <f aca="false">IF(TRIM(raw_data!B679)="","Missing",IF(B679="","Invalid/Unrecognized","Valid"))</f>
        <v>Valid</v>
      </c>
      <c r="E679" s="3" t="str">
        <f aca="false">IF(TRIM(raw_data!C679)="","Missing",IF(C679="","Invalid/Unrecognized","Valid"))</f>
        <v>Valid</v>
      </c>
      <c r="F679" s="5" t="n">
        <f aca="false">IF(OR(B679="",C679=""),"",C679-B679)</f>
        <v>5</v>
      </c>
      <c r="G679" s="3" t="str">
        <f aca="false">IF(F679="","N/A",IF(F679&lt;0,"Invalid - Ship Before Order","OK"))</f>
        <v>OK</v>
      </c>
      <c r="H679" s="3" t="str">
        <f aca="false">raw_data!D679</f>
        <v>CUST-4655</v>
      </c>
      <c r="I679" s="3" t="str">
        <f aca="false">PROPER(TRIM(raw_data!E679))</f>
        <v>Isha Nair</v>
      </c>
      <c r="J679" s="3" t="str">
        <f aca="false">PROPER(TRIM(raw_data!F679))</f>
        <v>Home Office</v>
      </c>
      <c r="K679" s="3" t="str">
        <f aca="false">IF(TRIM(raw_data!G679)="","Unknown",PROPER(TRIM(raw_data!G679)))</f>
        <v>South</v>
      </c>
      <c r="L679" s="3" t="str">
        <f aca="false">IF(TRIM(raw_data!G679)="","Filled - Unknown","OK")</f>
        <v>OK</v>
      </c>
      <c r="M679" s="3" t="str">
        <f aca="false">PROPER(TRIM(raw_data!H679))</f>
        <v>Karnataka</v>
      </c>
      <c r="N679" s="3" t="str">
        <f aca="false">PROPER(TRIM(raw_data!I679))</f>
        <v>Bengaluru</v>
      </c>
      <c r="O679" s="3" t="str">
        <f aca="false">PROPER(TRIM(raw_data!J679))</f>
        <v>Furniture</v>
      </c>
      <c r="P679" s="3" t="str">
        <f aca="false">PROPER(TRIM(raw_data!K679))</f>
        <v>Chairs</v>
      </c>
      <c r="Q679" s="3" t="str">
        <f aca="false">TRIM(raw_data!L679)</f>
        <v>Smart Chairs 610</v>
      </c>
      <c r="R679" s="3" t="str">
        <f aca="false">IF(TRIM(raw_data!M679)="","Unknown",PROPER(TRIM(raw_data!M679)))</f>
        <v>Same Day</v>
      </c>
      <c r="S679" s="3" t="str">
        <f aca="false">IF(TRIM(raw_data!M679)="","Filled - Unknown","OK")</f>
        <v>OK</v>
      </c>
      <c r="T679" s="6" t="n">
        <f aca="false">raw_data!N679</f>
        <v>7</v>
      </c>
      <c r="U679" s="7" t="n">
        <f aca="false">raw_data!O679</f>
        <v>2623.48</v>
      </c>
      <c r="V679" s="8" t="n">
        <f aca="false">raw_data!P679</f>
        <v>0</v>
      </c>
      <c r="W679" s="8" t="n">
        <f aca="false">IF(raw_data!P679="",0,IF(ISTEXT(raw_data!P679),IF(RIGHT(raw_data!P679,1)="%",VALUE(LEFT(raw_data!P679,LEN(raw_data!P679)-1))/100,VALUE(raw_data!P679)),raw_data!P679))</f>
        <v>0</v>
      </c>
      <c r="X679" s="3" t="str">
        <f aca="false">IF(raw_data!P679="","Missing - Defaulted to 0",IF(W679&lt;0,"Negative - Invalid",IF(W679&gt;0.3,"Above Allowed Range - Invalid","Valid")))</f>
        <v>Valid</v>
      </c>
      <c r="Y679" s="7" t="n">
        <f aca="false">raw_data!Q679</f>
        <v>18364.36</v>
      </c>
      <c r="Z679" s="7" t="n">
        <f aca="false">raw_data!R679</f>
        <v>15445.81</v>
      </c>
      <c r="AA679" s="7" t="n">
        <f aca="false">raw_data!S679</f>
        <v>2918.55</v>
      </c>
      <c r="AB679" s="3" t="str">
        <f aca="false">PROPER(TRIM(raw_data!T679))</f>
        <v>Paid</v>
      </c>
      <c r="AC679" s="3" t="str">
        <f aca="false">PROPER(TRIM(raw_data!U679))</f>
        <v>Completed</v>
      </c>
      <c r="AD679" s="7" t="n">
        <f aca="false">T679*U679*(1-W679)</f>
        <v>18364.36</v>
      </c>
      <c r="AE679" s="7" t="n">
        <f aca="false">AD679-Z679</f>
        <v>2918.55</v>
      </c>
      <c r="AF679" s="8" t="n">
        <f aca="false">IF(AD679=0,0,AE679/AD679)</f>
        <v>0.158924678017639</v>
      </c>
      <c r="AG679" s="3" t="str">
        <f aca="false">IF(ABS(Y679-AD679)&gt;1,"Mismatch","OK")</f>
        <v>OK</v>
      </c>
      <c r="AH679" s="3" t="str">
        <f aca="false">IF(ABS(AA679-AE679)&gt;1,"Mismatch","OK")</f>
        <v>OK</v>
      </c>
      <c r="AI679" s="6" t="n">
        <f aca="false">IF(B679="","",MONTH(B679))</f>
        <v>6</v>
      </c>
      <c r="AJ679" s="6" t="n">
        <f aca="false">IF(B679="","",YEAR(B679))</f>
        <v>2024</v>
      </c>
      <c r="AK679" s="3" t="str">
        <f aca="false">IF(COUNTIF(raw_data!$A$2:$A$913,A679)&gt;1,"Conflicting Duplicate - Flagged for Review","Unique")</f>
        <v>Unique</v>
      </c>
      <c r="AL679" s="3" t="str">
        <f aca="false">IF(AB679="Refunded","Yes","No")</f>
        <v>No</v>
      </c>
      <c r="AM679" s="3" t="str">
        <f aca="false">IF(OR(AC679&lt;&gt;"Completed",AB679="Failed"),"Excluded","Included")</f>
        <v>Included</v>
      </c>
      <c r="AN679" s="3" t="str">
        <f aca="false">IF(OR(D679="Invalid/Unrecognized",E679="Invalid/Unrecognized",G679="Invalid - Ship Before Order",X679="Negative - Invalid",X679="Above Allowed Range - Invalid",AG679="Mismatch",AH679="Mismatch",AK679="Conflicting Duplicate - Flagged for Review"),"Invalid",IF(OR(L679="Filled - Unknown",S679="Filled - Unknown",X679="Missing - Defaulted to 0",AL679="Yes",AC679="Cancelled",AC679="Returned"),"Warning","Clean"))</f>
        <v>Clean</v>
      </c>
    </row>
    <row r="680" customFormat="false" ht="15" hidden="false" customHeight="false" outlineLevel="0" collapsed="false">
      <c r="A680" s="3" t="str">
        <f aca="false">raw_data!A680</f>
        <v>ORD-2024-10679</v>
      </c>
      <c r="B680" s="4" t="n">
        <f aca="false">IFERROR(IF(MID(raw_data!B680,3,1)="/",DATE(VALUE(RIGHT(raw_data!B680,4)),VALUE(LEFT(raw_data!B680,2)),VALUE(MID(raw_data!B680,4,2))),IF(MID(raw_data!B680,3,1)="-",DATE(VALUE(RIGHT(raw_data!B680,4)),VALUE(MID(raw_data!B680,4,2)),VALUE(LEFT(raw_data!B680,2))),IF(MID(raw_data!B680,5,1)="-",DATE(VALUE(LEFT(raw_data!B680,4)),VALUE(MID(raw_data!B680,6,2)),VALUE(RIGHT(raw_data!B680,2))),DATE(VALUE(RIGHT(raw_data!B680,4)),MATCH(MID(raw_data!B680,4,3),{"Jan","Feb","Mar","Apr","May","Jun","Jul","Aug","Sep","Oct","Nov","Dec"},0),VALUE(LEFT(raw_data!B680,2)))))),"")</f>
        <v>45620</v>
      </c>
      <c r="C680" s="4" t="n">
        <f aca="false">IFERROR(IF(MID(raw_data!C680,3,1)="/",DATE(VALUE(RIGHT(raw_data!C680,4)),VALUE(LEFT(raw_data!C680,2)),VALUE(MID(raw_data!C680,4,2))),IF(MID(raw_data!C680,3,1)="-",DATE(VALUE(RIGHT(raw_data!C680,4)),VALUE(MID(raw_data!C680,4,2)),VALUE(LEFT(raw_data!C680,2))),IF(MID(raw_data!C680,5,1)="-",DATE(VALUE(LEFT(raw_data!C680,4)),VALUE(MID(raw_data!C680,6,2)),VALUE(RIGHT(raw_data!C680,2))),DATE(VALUE(RIGHT(raw_data!C680,4)),MATCH(MID(raw_data!C680,4,3),{"Jan","Feb","Mar","Apr","May","Jun","Jul","Aug","Sep","Oct","Nov","Dec"},0),VALUE(LEFT(raw_data!C680,2)))))),"")</f>
        <v>45627</v>
      </c>
      <c r="D680" s="3" t="str">
        <f aca="false">IF(TRIM(raw_data!B680)="","Missing",IF(B680="","Invalid/Unrecognized","Valid"))</f>
        <v>Valid</v>
      </c>
      <c r="E680" s="3" t="str">
        <f aca="false">IF(TRIM(raw_data!C680)="","Missing",IF(C680="","Invalid/Unrecognized","Valid"))</f>
        <v>Valid</v>
      </c>
      <c r="F680" s="5" t="n">
        <f aca="false">IF(OR(B680="",C680=""),"",C680-B680)</f>
        <v>7</v>
      </c>
      <c r="G680" s="3" t="str">
        <f aca="false">IF(F680="","N/A",IF(F680&lt;0,"Invalid - Ship Before Order","OK"))</f>
        <v>OK</v>
      </c>
      <c r="H680" s="3" t="str">
        <f aca="false">raw_data!D680</f>
        <v>CUST-1674</v>
      </c>
      <c r="I680" s="3" t="str">
        <f aca="false">PROPER(TRIM(raw_data!E680))</f>
        <v>Kabir Singh</v>
      </c>
      <c r="J680" s="3" t="str">
        <f aca="false">PROPER(TRIM(raw_data!F680))</f>
        <v>Corporate</v>
      </c>
      <c r="K680" s="3" t="str">
        <f aca="false">IF(TRIM(raw_data!G680)="","Unknown",PROPER(TRIM(raw_data!G680)))</f>
        <v>South</v>
      </c>
      <c r="L680" s="3" t="str">
        <f aca="false">IF(TRIM(raw_data!G680)="","Filled - Unknown","OK")</f>
        <v>OK</v>
      </c>
      <c r="M680" s="3" t="str">
        <f aca="false">PROPER(TRIM(raw_data!H680))</f>
        <v>Karnataka</v>
      </c>
      <c r="N680" s="3" t="str">
        <f aca="false">PROPER(TRIM(raw_data!I680))</f>
        <v>Bengaluru</v>
      </c>
      <c r="O680" s="3" t="str">
        <f aca="false">PROPER(TRIM(raw_data!J680))</f>
        <v>Furniture</v>
      </c>
      <c r="P680" s="3" t="str">
        <f aca="false">PROPER(TRIM(raw_data!K680))</f>
        <v>Tables</v>
      </c>
      <c r="Q680" s="3" t="str">
        <f aca="false">TRIM(raw_data!L680)</f>
        <v>Prime Tables 123</v>
      </c>
      <c r="R680" s="3" t="str">
        <f aca="false">IF(TRIM(raw_data!M680)="","Unknown",PROPER(TRIM(raw_data!M680)))</f>
        <v>Second Class</v>
      </c>
      <c r="S680" s="3" t="str">
        <f aca="false">IF(TRIM(raw_data!M680)="","Filled - Unknown","OK")</f>
        <v>OK</v>
      </c>
      <c r="T680" s="6" t="n">
        <f aca="false">raw_data!N680</f>
        <v>9</v>
      </c>
      <c r="U680" s="7" t="n">
        <f aca="false">raw_data!O680</f>
        <v>2763.61</v>
      </c>
      <c r="V680" s="8" t="n">
        <f aca="false">raw_data!P680</f>
        <v>0.15</v>
      </c>
      <c r="W680" s="8" t="n">
        <f aca="false">IF(raw_data!P680="",0,IF(ISTEXT(raw_data!P680),IF(RIGHT(raw_data!P680,1)="%",VALUE(LEFT(raw_data!P680,LEN(raw_data!P680)-1))/100,VALUE(raw_data!P680)),raw_data!P680))</f>
        <v>0.15</v>
      </c>
      <c r="X680" s="3" t="str">
        <f aca="false">IF(raw_data!P680="","Missing - Defaulted to 0",IF(W680&lt;0,"Negative - Invalid",IF(W680&gt;0.3,"Above Allowed Range - Invalid","Valid")))</f>
        <v>Valid</v>
      </c>
      <c r="Y680" s="7" t="n">
        <f aca="false">raw_data!Q680</f>
        <v>21141.62</v>
      </c>
      <c r="Z680" s="7" t="n">
        <f aca="false">raw_data!R680</f>
        <v>11676.33</v>
      </c>
      <c r="AA680" s="7" t="n">
        <f aca="false">raw_data!S680</f>
        <v>9465.29</v>
      </c>
      <c r="AB680" s="3" t="str">
        <f aca="false">PROPER(TRIM(raw_data!T680))</f>
        <v>Paid</v>
      </c>
      <c r="AC680" s="3" t="str">
        <f aca="false">PROPER(TRIM(raw_data!U680))</f>
        <v>Completed</v>
      </c>
      <c r="AD680" s="7" t="n">
        <f aca="false">T680*U680*(1-W680)</f>
        <v>21141.6165</v>
      </c>
      <c r="AE680" s="7" t="n">
        <f aca="false">AD680-Z680</f>
        <v>9465.2865</v>
      </c>
      <c r="AF680" s="8" t="n">
        <f aca="false">IF(AD680=0,0,AE680/AD680)</f>
        <v>0.447708740719992</v>
      </c>
      <c r="AG680" s="3" t="str">
        <f aca="false">IF(ABS(Y680-AD680)&gt;1,"Mismatch","OK")</f>
        <v>OK</v>
      </c>
      <c r="AH680" s="3" t="str">
        <f aca="false">IF(ABS(AA680-AE680)&gt;1,"Mismatch","OK")</f>
        <v>OK</v>
      </c>
      <c r="AI680" s="6" t="n">
        <f aca="false">IF(B680="","",MONTH(B680))</f>
        <v>11</v>
      </c>
      <c r="AJ680" s="6" t="n">
        <f aca="false">IF(B680="","",YEAR(B680))</f>
        <v>2024</v>
      </c>
      <c r="AK680" s="3" t="str">
        <f aca="false">IF(COUNTIF(raw_data!$A$2:$A$913,A680)&gt;1,"Conflicting Duplicate - Flagged for Review","Unique")</f>
        <v>Unique</v>
      </c>
      <c r="AL680" s="3" t="str">
        <f aca="false">IF(AB680="Refunded","Yes","No")</f>
        <v>No</v>
      </c>
      <c r="AM680" s="3" t="str">
        <f aca="false">IF(OR(AC680&lt;&gt;"Completed",AB680="Failed"),"Excluded","Included")</f>
        <v>Included</v>
      </c>
      <c r="AN680" s="3" t="str">
        <f aca="false">IF(OR(D680="Invalid/Unrecognized",E680="Invalid/Unrecognized",G680="Invalid - Ship Before Order",X680="Negative - Invalid",X680="Above Allowed Range - Invalid",AG680="Mismatch",AH680="Mismatch",AK680="Conflicting Duplicate - Flagged for Review"),"Invalid",IF(OR(L680="Filled - Unknown",S680="Filled - Unknown",X680="Missing - Defaulted to 0",AL680="Yes",AC680="Cancelled",AC680="Returned"),"Warning","Clean"))</f>
        <v>Clean</v>
      </c>
    </row>
    <row r="681" customFormat="false" ht="15" hidden="false" customHeight="false" outlineLevel="0" collapsed="false">
      <c r="A681" s="3" t="str">
        <f aca="false">raw_data!A681</f>
        <v>ORD-2025-10680</v>
      </c>
      <c r="B681" s="4" t="n">
        <f aca="false">IFERROR(IF(MID(raw_data!B681,3,1)="/",DATE(VALUE(RIGHT(raw_data!B681,4)),VALUE(LEFT(raw_data!B681,2)),VALUE(MID(raw_data!B681,4,2))),IF(MID(raw_data!B681,3,1)="-",DATE(VALUE(RIGHT(raw_data!B681,4)),VALUE(MID(raw_data!B681,4,2)),VALUE(LEFT(raw_data!B681,2))),IF(MID(raw_data!B681,5,1)="-",DATE(VALUE(LEFT(raw_data!B681,4)),VALUE(MID(raw_data!B681,6,2)),VALUE(RIGHT(raw_data!B681,2))),DATE(VALUE(RIGHT(raw_data!B681,4)),MATCH(MID(raw_data!B681,4,3),{"Jan","Feb","Mar","Apr","May","Jun","Jul","Aug","Sep","Oct","Nov","Dec"},0),VALUE(LEFT(raw_data!B681,2)))))),"")</f>
        <v>45885</v>
      </c>
      <c r="C681" s="4" t="n">
        <f aca="false">IFERROR(IF(MID(raw_data!C681,3,1)="/",DATE(VALUE(RIGHT(raw_data!C681,4)),VALUE(LEFT(raw_data!C681,2)),VALUE(MID(raw_data!C681,4,2))),IF(MID(raw_data!C681,3,1)="-",DATE(VALUE(RIGHT(raw_data!C681,4)),VALUE(MID(raw_data!C681,4,2)),VALUE(LEFT(raw_data!C681,2))),IF(MID(raw_data!C681,5,1)="-",DATE(VALUE(LEFT(raw_data!C681,4)),VALUE(MID(raw_data!C681,6,2)),VALUE(RIGHT(raw_data!C681,2))),DATE(VALUE(RIGHT(raw_data!C681,4)),MATCH(MID(raw_data!C681,4,3),{"Jan","Feb","Mar","Apr","May","Jun","Jul","Aug","Sep","Oct","Nov","Dec"},0),VALUE(LEFT(raw_data!C681,2)))))),"")</f>
        <v>45892</v>
      </c>
      <c r="D681" s="3" t="str">
        <f aca="false">IF(TRIM(raw_data!B681)="","Missing",IF(B681="","Invalid/Unrecognized","Valid"))</f>
        <v>Valid</v>
      </c>
      <c r="E681" s="3" t="str">
        <f aca="false">IF(TRIM(raw_data!C681)="","Missing",IF(C681="","Invalid/Unrecognized","Valid"))</f>
        <v>Valid</v>
      </c>
      <c r="F681" s="5" t="n">
        <f aca="false">IF(OR(B681="",C681=""),"",C681-B681)</f>
        <v>7</v>
      </c>
      <c r="G681" s="3" t="str">
        <f aca="false">IF(F681="","N/A",IF(F681&lt;0,"Invalid - Ship Before Order","OK"))</f>
        <v>OK</v>
      </c>
      <c r="H681" s="3" t="str">
        <f aca="false">raw_data!D681</f>
        <v>CUST-2897</v>
      </c>
      <c r="I681" s="3" t="str">
        <f aca="false">PROPER(TRIM(raw_data!E681))</f>
        <v>Rohan Mehta</v>
      </c>
      <c r="J681" s="3" t="str">
        <f aca="false">PROPER(TRIM(raw_data!F681))</f>
        <v>Corporate</v>
      </c>
      <c r="K681" s="3" t="str">
        <f aca="false">IF(TRIM(raw_data!G681)="","Unknown",PROPER(TRIM(raw_data!G681)))</f>
        <v>North</v>
      </c>
      <c r="L681" s="3" t="str">
        <f aca="false">IF(TRIM(raw_data!G681)="","Filled - Unknown","OK")</f>
        <v>OK</v>
      </c>
      <c r="M681" s="3" t="str">
        <f aca="false">PROPER(TRIM(raw_data!H681))</f>
        <v>Punjab</v>
      </c>
      <c r="N681" s="3" t="str">
        <f aca="false">PROPER(TRIM(raw_data!I681))</f>
        <v>Ludhiana</v>
      </c>
      <c r="O681" s="3" t="str">
        <f aca="false">PROPER(TRIM(raw_data!J681))</f>
        <v>Technology</v>
      </c>
      <c r="P681" s="3" t="str">
        <f aca="false">PROPER(TRIM(raw_data!K681))</f>
        <v>Copiers</v>
      </c>
      <c r="Q681" s="3" t="str">
        <f aca="false">TRIM(raw_data!L681)</f>
        <v>Smart Copiers 579</v>
      </c>
      <c r="R681" s="3" t="str">
        <f aca="false">IF(TRIM(raw_data!M681)="","Unknown",PROPER(TRIM(raw_data!M681)))</f>
        <v>Same Day</v>
      </c>
      <c r="S681" s="3" t="str">
        <f aca="false">IF(TRIM(raw_data!M681)="","Filled - Unknown","OK")</f>
        <v>OK</v>
      </c>
      <c r="T681" s="6" t="n">
        <f aca="false">raw_data!N681</f>
        <v>4</v>
      </c>
      <c r="U681" s="7" t="n">
        <f aca="false">raw_data!O681</f>
        <v>1410.57</v>
      </c>
      <c r="V681" s="8" t="str">
        <f aca="false">raw_data!P681</f>
        <v>70%</v>
      </c>
      <c r="W681" s="8" t="n">
        <f aca="false">IF(raw_data!P681="",0,IF(ISTEXT(raw_data!P681),IF(RIGHT(raw_data!P681,1)="%",VALUE(LEFT(raw_data!P681,LEN(raw_data!P681)-1))/100,VALUE(raw_data!P681)),raw_data!P681))</f>
        <v>0.7</v>
      </c>
      <c r="X681" s="3" t="str">
        <f aca="false">IF(raw_data!P681="","Missing - Defaulted to 0",IF(W681&lt;0,"Negative - Invalid",IF(W681&gt;0.3,"Above Allowed Range - Invalid","Valid")))</f>
        <v>Above Allowed Range - Invalid</v>
      </c>
      <c r="Y681" s="7" t="n">
        <f aca="false">raw_data!Q681</f>
        <v>5360.17</v>
      </c>
      <c r="Z681" s="7" t="n">
        <f aca="false">raw_data!R681</f>
        <v>3881.51</v>
      </c>
      <c r="AA681" s="7" t="n">
        <f aca="false">raw_data!S681</f>
        <v>1478.66</v>
      </c>
      <c r="AB681" s="3" t="str">
        <f aca="false">PROPER(TRIM(raw_data!T681))</f>
        <v>Refunded</v>
      </c>
      <c r="AC681" s="3" t="str">
        <f aca="false">PROPER(TRIM(raw_data!U681))</f>
        <v>Cancelled</v>
      </c>
      <c r="AD681" s="7" t="n">
        <f aca="false">T681*U681*(1-W681)</f>
        <v>1692.684</v>
      </c>
      <c r="AE681" s="7" t="n">
        <f aca="false">AD681-Z681</f>
        <v>-2188.826</v>
      </c>
      <c r="AF681" s="8" t="n">
        <f aca="false">IF(AD681=0,0,AE681/AD681)</f>
        <v>-1.29310964125614</v>
      </c>
      <c r="AG681" s="3" t="str">
        <f aca="false">IF(ABS(Y681-AD681)&gt;1,"Mismatch","OK")</f>
        <v>Mismatch</v>
      </c>
      <c r="AH681" s="3" t="str">
        <f aca="false">IF(ABS(AA681-AE681)&gt;1,"Mismatch","OK")</f>
        <v>Mismatch</v>
      </c>
      <c r="AI681" s="6" t="n">
        <f aca="false">IF(B681="","",MONTH(B681))</f>
        <v>8</v>
      </c>
      <c r="AJ681" s="6" t="n">
        <f aca="false">IF(B681="","",YEAR(B681))</f>
        <v>2025</v>
      </c>
      <c r="AK681" s="3" t="str">
        <f aca="false">IF(COUNTIF(raw_data!$A$2:$A$913,A681)&gt;1,"Conflicting Duplicate - Flagged for Review","Unique")</f>
        <v>Unique</v>
      </c>
      <c r="AL681" s="3" t="str">
        <f aca="false">IF(AB681="Refunded","Yes","No")</f>
        <v>Yes</v>
      </c>
      <c r="AM681" s="3" t="str">
        <f aca="false">IF(OR(AC681&lt;&gt;"Completed",AB681="Failed"),"Excluded","Included")</f>
        <v>Excluded</v>
      </c>
      <c r="AN681" s="3" t="str">
        <f aca="false">IF(OR(D681="Invalid/Unrecognized",E681="Invalid/Unrecognized",G681="Invalid - Ship Before Order",X681="Negative - Invalid",X681="Above Allowed Range - Invalid",AG681="Mismatch",AH681="Mismatch",AK681="Conflicting Duplicate - Flagged for Review"),"Invalid",IF(OR(L681="Filled - Unknown",S681="Filled - Unknown",X681="Missing - Defaulted to 0",AL681="Yes",AC681="Cancelled",AC681="Returned"),"Warning","Clean"))</f>
        <v>Invalid</v>
      </c>
    </row>
    <row r="682" customFormat="false" ht="15" hidden="false" customHeight="false" outlineLevel="0" collapsed="false">
      <c r="A682" s="3" t="str">
        <f aca="false">raw_data!A682</f>
        <v>ORD-2024-10681</v>
      </c>
      <c r="B682" s="4" t="n">
        <f aca="false">IFERROR(IF(MID(raw_data!B682,3,1)="/",DATE(VALUE(RIGHT(raw_data!B682,4)),VALUE(LEFT(raw_data!B682,2)),VALUE(MID(raw_data!B682,4,2))),IF(MID(raw_data!B682,3,1)="-",DATE(VALUE(RIGHT(raw_data!B682,4)),VALUE(MID(raw_data!B682,4,2)),VALUE(LEFT(raw_data!B682,2))),IF(MID(raw_data!B682,5,1)="-",DATE(VALUE(LEFT(raw_data!B682,4)),VALUE(MID(raw_data!B682,6,2)),VALUE(RIGHT(raw_data!B682,2))),DATE(VALUE(RIGHT(raw_data!B682,4)),MATCH(MID(raw_data!B682,4,3),{"Jan","Feb","Mar","Apr","May","Jun","Jul","Aug","Sep","Oct","Nov","Dec"},0),VALUE(LEFT(raw_data!B682,2)))))),"")</f>
        <v>45441</v>
      </c>
      <c r="C682" s="4" t="n">
        <f aca="false">IFERROR(IF(MID(raw_data!C682,3,1)="/",DATE(VALUE(RIGHT(raw_data!C682,4)),VALUE(LEFT(raw_data!C682,2)),VALUE(MID(raw_data!C682,4,2))),IF(MID(raw_data!C682,3,1)="-",DATE(VALUE(RIGHT(raw_data!C682,4)),VALUE(MID(raw_data!C682,4,2)),VALUE(LEFT(raw_data!C682,2))),IF(MID(raw_data!C682,5,1)="-",DATE(VALUE(LEFT(raw_data!C682,4)),VALUE(MID(raw_data!C682,6,2)),VALUE(RIGHT(raw_data!C682,2))),DATE(VALUE(RIGHT(raw_data!C682,4)),MATCH(MID(raw_data!C682,4,3),{"Jan","Feb","Mar","Apr","May","Jun","Jul","Aug","Sep","Oct","Nov","Dec"},0),VALUE(LEFT(raw_data!C682,2)))))),"")</f>
        <v>45448</v>
      </c>
      <c r="D682" s="3" t="str">
        <f aca="false">IF(TRIM(raw_data!B682)="","Missing",IF(B682="","Invalid/Unrecognized","Valid"))</f>
        <v>Valid</v>
      </c>
      <c r="E682" s="3" t="str">
        <f aca="false">IF(TRIM(raw_data!C682)="","Missing",IF(C682="","Invalid/Unrecognized","Valid"))</f>
        <v>Valid</v>
      </c>
      <c r="F682" s="5" t="n">
        <f aca="false">IF(OR(B682="",C682=""),"",C682-B682)</f>
        <v>7</v>
      </c>
      <c r="G682" s="3" t="str">
        <f aca="false">IF(F682="","N/A",IF(F682&lt;0,"Invalid - Ship Before Order","OK"))</f>
        <v>OK</v>
      </c>
      <c r="H682" s="3" t="str">
        <f aca="false">raw_data!D682</f>
        <v>CUST-1136</v>
      </c>
      <c r="I682" s="3" t="str">
        <f aca="false">PROPER(TRIM(raw_data!E682))</f>
        <v>Kabir Singh</v>
      </c>
      <c r="J682" s="3" t="str">
        <f aca="false">PROPER(TRIM(raw_data!F682))</f>
        <v>Corporate</v>
      </c>
      <c r="K682" s="3" t="str">
        <f aca="false">IF(TRIM(raw_data!G682)="","Unknown",PROPER(TRIM(raw_data!G682)))</f>
        <v>South</v>
      </c>
      <c r="L682" s="3" t="str">
        <f aca="false">IF(TRIM(raw_data!G682)="","Filled - Unknown","OK")</f>
        <v>OK</v>
      </c>
      <c r="M682" s="3" t="str">
        <f aca="false">PROPER(TRIM(raw_data!H682))</f>
        <v>Tamil Nadu</v>
      </c>
      <c r="N682" s="3" t="str">
        <f aca="false">PROPER(TRIM(raw_data!I682))</f>
        <v>Chennai</v>
      </c>
      <c r="O682" s="3" t="str">
        <f aca="false">PROPER(TRIM(raw_data!J682))</f>
        <v>Technology</v>
      </c>
      <c r="P682" s="3" t="str">
        <f aca="false">PROPER(TRIM(raw_data!K682))</f>
        <v>Accessories</v>
      </c>
      <c r="Q682" s="3" t="str">
        <f aca="false">TRIM(raw_data!L682)</f>
        <v>Eco Accessories 658</v>
      </c>
      <c r="R682" s="3" t="str">
        <f aca="false">IF(TRIM(raw_data!M682)="","Unknown",PROPER(TRIM(raw_data!M682)))</f>
        <v>First Class</v>
      </c>
      <c r="S682" s="3" t="str">
        <f aca="false">IF(TRIM(raw_data!M682)="","Filled - Unknown","OK")</f>
        <v>OK</v>
      </c>
      <c r="T682" s="6" t="n">
        <f aca="false">raw_data!N682</f>
        <v>4</v>
      </c>
      <c r="U682" s="7" t="n">
        <f aca="false">raw_data!O682</f>
        <v>3700.24</v>
      </c>
      <c r="V682" s="8" t="n">
        <f aca="false">raw_data!P682</f>
        <v>0</v>
      </c>
      <c r="W682" s="8" t="n">
        <f aca="false">IF(raw_data!P682="",0,IF(ISTEXT(raw_data!P682),IF(RIGHT(raw_data!P682,1)="%",VALUE(LEFT(raw_data!P682,LEN(raw_data!P682)-1))/100,VALUE(raw_data!P682)),raw_data!P682))</f>
        <v>0</v>
      </c>
      <c r="X682" s="3" t="str">
        <f aca="false">IF(raw_data!P682="","Missing - Defaulted to 0",IF(W682&lt;0,"Negative - Invalid",IF(W682&gt;0.3,"Above Allowed Range - Invalid","Valid")))</f>
        <v>Valid</v>
      </c>
      <c r="Y682" s="7" t="n">
        <f aca="false">raw_data!Q682</f>
        <v>14800.96</v>
      </c>
      <c r="Z682" s="7" t="n">
        <f aca="false">raw_data!R682</f>
        <v>12048.39</v>
      </c>
      <c r="AA682" s="7" t="n">
        <f aca="false">raw_data!S682</f>
        <v>2752.57</v>
      </c>
      <c r="AB682" s="3" t="str">
        <f aca="false">PROPER(TRIM(raw_data!T682))</f>
        <v>Paid</v>
      </c>
      <c r="AC682" s="3" t="str">
        <f aca="false">PROPER(TRIM(raw_data!U682))</f>
        <v>Completed</v>
      </c>
      <c r="AD682" s="7" t="n">
        <f aca="false">T682*U682*(1-W682)</f>
        <v>14800.96</v>
      </c>
      <c r="AE682" s="7" t="n">
        <f aca="false">AD682-Z682</f>
        <v>2752.57</v>
      </c>
      <c r="AF682" s="8" t="n">
        <f aca="false">IF(AD682=0,0,AE682/AD682)</f>
        <v>0.185972396385099</v>
      </c>
      <c r="AG682" s="3" t="str">
        <f aca="false">IF(ABS(Y682-AD682)&gt;1,"Mismatch","OK")</f>
        <v>OK</v>
      </c>
      <c r="AH682" s="3" t="str">
        <f aca="false">IF(ABS(AA682-AE682)&gt;1,"Mismatch","OK")</f>
        <v>OK</v>
      </c>
      <c r="AI682" s="6" t="n">
        <f aca="false">IF(B682="","",MONTH(B682))</f>
        <v>5</v>
      </c>
      <c r="AJ682" s="6" t="n">
        <f aca="false">IF(B682="","",YEAR(B682))</f>
        <v>2024</v>
      </c>
      <c r="AK682" s="3" t="str">
        <f aca="false">IF(COUNTIF(raw_data!$A$2:$A$913,A682)&gt;1,"Conflicting Duplicate - Flagged for Review","Unique")</f>
        <v>Unique</v>
      </c>
      <c r="AL682" s="3" t="str">
        <f aca="false">IF(AB682="Refunded","Yes","No")</f>
        <v>No</v>
      </c>
      <c r="AM682" s="3" t="str">
        <f aca="false">IF(OR(AC682&lt;&gt;"Completed",AB682="Failed"),"Excluded","Included")</f>
        <v>Included</v>
      </c>
      <c r="AN682" s="3" t="str">
        <f aca="false">IF(OR(D682="Invalid/Unrecognized",E682="Invalid/Unrecognized",G682="Invalid - Ship Before Order",X682="Negative - Invalid",X682="Above Allowed Range - Invalid",AG682="Mismatch",AH682="Mismatch",AK682="Conflicting Duplicate - Flagged for Review"),"Invalid",IF(OR(L682="Filled - Unknown",S682="Filled - Unknown",X682="Missing - Defaulted to 0",AL682="Yes",AC682="Cancelled",AC682="Returned"),"Warning","Clean"))</f>
        <v>Clean</v>
      </c>
    </row>
    <row r="683" customFormat="false" ht="15" hidden="false" customHeight="false" outlineLevel="0" collapsed="false">
      <c r="A683" s="3" t="str">
        <f aca="false">raw_data!A683</f>
        <v>ORD-2024-10682</v>
      </c>
      <c r="B683" s="4" t="n">
        <f aca="false">IFERROR(IF(MID(raw_data!B683,3,1)="/",DATE(VALUE(RIGHT(raw_data!B683,4)),VALUE(LEFT(raw_data!B683,2)),VALUE(MID(raw_data!B683,4,2))),IF(MID(raw_data!B683,3,1)="-",DATE(VALUE(RIGHT(raw_data!B683,4)),VALUE(MID(raw_data!B683,4,2)),VALUE(LEFT(raw_data!B683,2))),IF(MID(raw_data!B683,5,1)="-",DATE(VALUE(LEFT(raw_data!B683,4)),VALUE(MID(raw_data!B683,6,2)),VALUE(RIGHT(raw_data!B683,2))),DATE(VALUE(RIGHT(raw_data!B683,4)),MATCH(MID(raw_data!B683,4,3),{"Jan","Feb","Mar","Apr","May","Jun","Jul","Aug","Sep","Oct","Nov","Dec"},0),VALUE(LEFT(raw_data!B683,2)))))),"")</f>
        <v>45477</v>
      </c>
      <c r="C683" s="4" t="n">
        <f aca="false">IFERROR(IF(MID(raw_data!C683,3,1)="/",DATE(VALUE(RIGHT(raw_data!C683,4)),VALUE(LEFT(raw_data!C683,2)),VALUE(MID(raw_data!C683,4,2))),IF(MID(raw_data!C683,3,1)="-",DATE(VALUE(RIGHT(raw_data!C683,4)),VALUE(MID(raw_data!C683,4,2)),VALUE(LEFT(raw_data!C683,2))),IF(MID(raw_data!C683,5,1)="-",DATE(VALUE(LEFT(raw_data!C683,4)),VALUE(MID(raw_data!C683,6,2)),VALUE(RIGHT(raw_data!C683,2))),DATE(VALUE(RIGHT(raw_data!C683,4)),MATCH(MID(raw_data!C683,4,3),{"Jan","Feb","Mar","Apr","May","Jun","Jul","Aug","Sep","Oct","Nov","Dec"},0),VALUE(LEFT(raw_data!C683,2)))))),"")</f>
        <v>45483</v>
      </c>
      <c r="D683" s="3" t="str">
        <f aca="false">IF(TRIM(raw_data!B683)="","Missing",IF(B683="","Invalid/Unrecognized","Valid"))</f>
        <v>Valid</v>
      </c>
      <c r="E683" s="3" t="str">
        <f aca="false">IF(TRIM(raw_data!C683)="","Missing",IF(C683="","Invalid/Unrecognized","Valid"))</f>
        <v>Valid</v>
      </c>
      <c r="F683" s="5" t="n">
        <f aca="false">IF(OR(B683="",C683=""),"",C683-B683)</f>
        <v>6</v>
      </c>
      <c r="G683" s="3" t="str">
        <f aca="false">IF(F683="","N/A",IF(F683&lt;0,"Invalid - Ship Before Order","OK"))</f>
        <v>OK</v>
      </c>
      <c r="H683" s="3" t="str">
        <f aca="false">raw_data!D683</f>
        <v>CUST-1376</v>
      </c>
      <c r="I683" s="3" t="str">
        <f aca="false">PROPER(TRIM(raw_data!E683))</f>
        <v>Vikram Iyer</v>
      </c>
      <c r="J683" s="3" t="str">
        <f aca="false">PROPER(TRIM(raw_data!F683))</f>
        <v>Corporate</v>
      </c>
      <c r="K683" s="3" t="str">
        <f aca="false">IF(TRIM(raw_data!G683)="","Unknown",PROPER(TRIM(raw_data!G683)))</f>
        <v>North</v>
      </c>
      <c r="L683" s="3" t="str">
        <f aca="false">IF(TRIM(raw_data!G683)="","Filled - Unknown","OK")</f>
        <v>OK</v>
      </c>
      <c r="M683" s="3" t="str">
        <f aca="false">PROPER(TRIM(raw_data!H683))</f>
        <v>Delhi</v>
      </c>
      <c r="N683" s="3" t="str">
        <f aca="false">PROPER(TRIM(raw_data!I683))</f>
        <v>New Delhi</v>
      </c>
      <c r="O683" s="3" t="str">
        <f aca="false">PROPER(TRIM(raw_data!J683))</f>
        <v>Furniture</v>
      </c>
      <c r="P683" s="3" t="str">
        <f aca="false">PROPER(TRIM(raw_data!K683))</f>
        <v>Tables</v>
      </c>
      <c r="Q683" s="3" t="str">
        <f aca="false">TRIM(raw_data!L683)</f>
        <v>Smart Tables 777</v>
      </c>
      <c r="R683" s="3" t="str">
        <f aca="false">IF(TRIM(raw_data!M683)="","Unknown",PROPER(TRIM(raw_data!M683)))</f>
        <v>Second Class</v>
      </c>
      <c r="S683" s="3" t="str">
        <f aca="false">IF(TRIM(raw_data!M683)="","Filled - Unknown","OK")</f>
        <v>OK</v>
      </c>
      <c r="T683" s="6" t="n">
        <f aca="false">raw_data!N683</f>
        <v>5</v>
      </c>
      <c r="U683" s="7" t="n">
        <f aca="false">raw_data!O683</f>
        <v>1200.27</v>
      </c>
      <c r="V683" s="8" t="n">
        <f aca="false">raw_data!P683</f>
        <v>0</v>
      </c>
      <c r="W683" s="8" t="n">
        <f aca="false">IF(raw_data!P683="",0,IF(ISTEXT(raw_data!P683),IF(RIGHT(raw_data!P683,1)="%",VALUE(LEFT(raw_data!P683,LEN(raw_data!P683)-1))/100,VALUE(raw_data!P683)),raw_data!P683))</f>
        <v>0</v>
      </c>
      <c r="X683" s="3" t="str">
        <f aca="false">IF(raw_data!P683="","Missing - Defaulted to 0",IF(W683&lt;0,"Negative - Invalid",IF(W683&gt;0.3,"Above Allowed Range - Invalid","Valid")))</f>
        <v>Valid</v>
      </c>
      <c r="Y683" s="7" t="n">
        <f aca="false">raw_data!Q683</f>
        <v>6001.35</v>
      </c>
      <c r="Z683" s="7" t="n">
        <f aca="false">raw_data!R683</f>
        <v>4182.99</v>
      </c>
      <c r="AA683" s="7" t="n">
        <f aca="false">raw_data!S683</f>
        <v>1818.36</v>
      </c>
      <c r="AB683" s="3" t="str">
        <f aca="false">PROPER(TRIM(raw_data!T683))</f>
        <v>Paid</v>
      </c>
      <c r="AC683" s="3" t="str">
        <f aca="false">PROPER(TRIM(raw_data!U683))</f>
        <v>Cancelled</v>
      </c>
      <c r="AD683" s="7" t="n">
        <f aca="false">T683*U683*(1-W683)</f>
        <v>6001.35</v>
      </c>
      <c r="AE683" s="7" t="n">
        <f aca="false">AD683-Z683</f>
        <v>1818.36</v>
      </c>
      <c r="AF683" s="8" t="n">
        <f aca="false">IF(AD683=0,0,AE683/AD683)</f>
        <v>0.302991826838961</v>
      </c>
      <c r="AG683" s="3" t="str">
        <f aca="false">IF(ABS(Y683-AD683)&gt;1,"Mismatch","OK")</f>
        <v>OK</v>
      </c>
      <c r="AH683" s="3" t="str">
        <f aca="false">IF(ABS(AA683-AE683)&gt;1,"Mismatch","OK")</f>
        <v>OK</v>
      </c>
      <c r="AI683" s="6" t="n">
        <f aca="false">IF(B683="","",MONTH(B683))</f>
        <v>7</v>
      </c>
      <c r="AJ683" s="6" t="n">
        <f aca="false">IF(B683="","",YEAR(B683))</f>
        <v>2024</v>
      </c>
      <c r="AK683" s="3" t="str">
        <f aca="false">IF(COUNTIF(raw_data!$A$2:$A$913,A683)&gt;1,"Conflicting Duplicate - Flagged for Review","Unique")</f>
        <v>Unique</v>
      </c>
      <c r="AL683" s="3" t="str">
        <f aca="false">IF(AB683="Refunded","Yes","No")</f>
        <v>No</v>
      </c>
      <c r="AM683" s="3" t="str">
        <f aca="false">IF(OR(AC683&lt;&gt;"Completed",AB683="Failed"),"Excluded","Included")</f>
        <v>Excluded</v>
      </c>
      <c r="AN683" s="3" t="str">
        <f aca="false">IF(OR(D683="Invalid/Unrecognized",E683="Invalid/Unrecognized",G683="Invalid - Ship Before Order",X683="Negative - Invalid",X683="Above Allowed Range - Invalid",AG683="Mismatch",AH683="Mismatch",AK683="Conflicting Duplicate - Flagged for Review"),"Invalid",IF(OR(L683="Filled - Unknown",S683="Filled - Unknown",X683="Missing - Defaulted to 0",AL683="Yes",AC683="Cancelled",AC683="Returned"),"Warning","Clean"))</f>
        <v>Warning</v>
      </c>
    </row>
    <row r="684" customFormat="false" ht="15" hidden="false" customHeight="false" outlineLevel="0" collapsed="false">
      <c r="A684" s="3" t="str">
        <f aca="false">raw_data!A684</f>
        <v>ORD-2025-10683</v>
      </c>
      <c r="B684" s="4" t="n">
        <f aca="false">IFERROR(IF(MID(raw_data!B684,3,1)="/",DATE(VALUE(RIGHT(raw_data!B684,4)),VALUE(LEFT(raw_data!B684,2)),VALUE(MID(raw_data!B684,4,2))),IF(MID(raw_data!B684,3,1)="-",DATE(VALUE(RIGHT(raw_data!B684,4)),VALUE(MID(raw_data!B684,4,2)),VALUE(LEFT(raw_data!B684,2))),IF(MID(raw_data!B684,5,1)="-",DATE(VALUE(LEFT(raw_data!B684,4)),VALUE(MID(raw_data!B684,6,2)),VALUE(RIGHT(raw_data!B684,2))),DATE(VALUE(RIGHT(raw_data!B684,4)),MATCH(MID(raw_data!B684,4,3),{"Jan","Feb","Mar","Apr","May","Jun","Jul","Aug","Sep","Oct","Nov","Dec"},0),VALUE(LEFT(raw_data!B684,2)))))),"")</f>
        <v>45693</v>
      </c>
      <c r="C684" s="4" t="n">
        <f aca="false">IFERROR(IF(MID(raw_data!C684,3,1)="/",DATE(VALUE(RIGHT(raw_data!C684,4)),VALUE(LEFT(raw_data!C684,2)),VALUE(MID(raw_data!C684,4,2))),IF(MID(raw_data!C684,3,1)="-",DATE(VALUE(RIGHT(raw_data!C684,4)),VALUE(MID(raw_data!C684,4,2)),VALUE(LEFT(raw_data!C684,2))),IF(MID(raw_data!C684,5,1)="-",DATE(VALUE(LEFT(raw_data!C684,4)),VALUE(MID(raw_data!C684,6,2)),VALUE(RIGHT(raw_data!C684,2))),DATE(VALUE(RIGHT(raw_data!C684,4)),MATCH(MID(raw_data!C684,4,3),{"Jan","Feb","Mar","Apr","May","Jun","Jul","Aug","Sep","Oct","Nov","Dec"},0),VALUE(LEFT(raw_data!C684,2)))))),"")</f>
        <v>45693</v>
      </c>
      <c r="D684" s="3" t="str">
        <f aca="false">IF(TRIM(raw_data!B684)="","Missing",IF(B684="","Invalid/Unrecognized","Valid"))</f>
        <v>Valid</v>
      </c>
      <c r="E684" s="3" t="str">
        <f aca="false">IF(TRIM(raw_data!C684)="","Missing",IF(C684="","Invalid/Unrecognized","Valid"))</f>
        <v>Valid</v>
      </c>
      <c r="F684" s="5" t="n">
        <f aca="false">IF(OR(B684="",C684=""),"",C684-B684)</f>
        <v>0</v>
      </c>
      <c r="G684" s="3" t="str">
        <f aca="false">IF(F684="","N/A",IF(F684&lt;0,"Invalid - Ship Before Order","OK"))</f>
        <v>OK</v>
      </c>
      <c r="H684" s="3" t="str">
        <f aca="false">raw_data!D684</f>
        <v>CUST-1553</v>
      </c>
      <c r="I684" s="3" t="str">
        <f aca="false">PROPER(TRIM(raw_data!E684))</f>
        <v>Ananya Rao</v>
      </c>
      <c r="J684" s="3" t="str">
        <f aca="false">PROPER(TRIM(raw_data!F684))</f>
        <v>Corporate</v>
      </c>
      <c r="K684" s="3" t="str">
        <f aca="false">IF(TRIM(raw_data!G684)="","Unknown",PROPER(TRIM(raw_data!G684)))</f>
        <v>North</v>
      </c>
      <c r="L684" s="3" t="str">
        <f aca="false">IF(TRIM(raw_data!G684)="","Filled - Unknown","OK")</f>
        <v>OK</v>
      </c>
      <c r="M684" s="3" t="str">
        <f aca="false">PROPER(TRIM(raw_data!H684))</f>
        <v>Haryana</v>
      </c>
      <c r="N684" s="3" t="str">
        <f aca="false">PROPER(TRIM(raw_data!I684))</f>
        <v>Gurugram</v>
      </c>
      <c r="O684" s="3" t="str">
        <f aca="false">PROPER(TRIM(raw_data!J684))</f>
        <v>Office Supplies</v>
      </c>
      <c r="P684" s="3" t="str">
        <f aca="false">PROPER(TRIM(raw_data!K684))</f>
        <v>Storage</v>
      </c>
      <c r="Q684" s="3" t="str">
        <f aca="false">TRIM(raw_data!L684)</f>
        <v>Eco Storage 861</v>
      </c>
      <c r="R684" s="3" t="str">
        <f aca="false">IF(TRIM(raw_data!M684)="","Unknown",PROPER(TRIM(raw_data!M684)))</f>
        <v>Same Day</v>
      </c>
      <c r="S684" s="3" t="str">
        <f aca="false">IF(TRIM(raw_data!M684)="","Filled - Unknown","OK")</f>
        <v>OK</v>
      </c>
      <c r="T684" s="6" t="n">
        <f aca="false">raw_data!N684</f>
        <v>3</v>
      </c>
      <c r="U684" s="7" t="n">
        <f aca="false">raw_data!O684</f>
        <v>2590.78</v>
      </c>
      <c r="V684" s="8" t="n">
        <f aca="false">raw_data!P684</f>
        <v>0</v>
      </c>
      <c r="W684" s="8" t="n">
        <f aca="false">IF(raw_data!P684="",0,IF(ISTEXT(raw_data!P684),IF(RIGHT(raw_data!P684,1)="%",VALUE(LEFT(raw_data!P684,LEN(raw_data!P684)-1))/100,VALUE(raw_data!P684)),raw_data!P684))</f>
        <v>0</v>
      </c>
      <c r="X684" s="3" t="str">
        <f aca="false">IF(raw_data!P684="","Missing - Defaulted to 0",IF(W684&lt;0,"Negative - Invalid",IF(W684&gt;0.3,"Above Allowed Range - Invalid","Valid")))</f>
        <v>Missing - Defaulted to 0</v>
      </c>
      <c r="Y684" s="7" t="n">
        <f aca="false">raw_data!Q684</f>
        <v>7383.72</v>
      </c>
      <c r="Z684" s="7" t="n">
        <f aca="false">raw_data!R684</f>
        <v>4113.66</v>
      </c>
      <c r="AA684" s="7" t="n">
        <f aca="false">raw_data!S684</f>
        <v>3270.06</v>
      </c>
      <c r="AB684" s="3" t="str">
        <f aca="false">PROPER(TRIM(raw_data!T684))</f>
        <v>Paid</v>
      </c>
      <c r="AC684" s="3" t="str">
        <f aca="false">PROPER(TRIM(raw_data!U684))</f>
        <v>Completed</v>
      </c>
      <c r="AD684" s="7" t="n">
        <f aca="false">T684*U684*(1-W684)</f>
        <v>7772.34</v>
      </c>
      <c r="AE684" s="7" t="n">
        <f aca="false">AD684-Z684</f>
        <v>3658.68</v>
      </c>
      <c r="AF684" s="8" t="n">
        <f aca="false">IF(AD684=0,0,AE684/AD684)</f>
        <v>0.470730822377817</v>
      </c>
      <c r="AG684" s="3" t="str">
        <f aca="false">IF(ABS(Y684-AD684)&gt;1,"Mismatch","OK")</f>
        <v>Mismatch</v>
      </c>
      <c r="AH684" s="3" t="str">
        <f aca="false">IF(ABS(AA684-AE684)&gt;1,"Mismatch","OK")</f>
        <v>Mismatch</v>
      </c>
      <c r="AI684" s="6" t="n">
        <f aca="false">IF(B684="","",MONTH(B684))</f>
        <v>2</v>
      </c>
      <c r="AJ684" s="6" t="n">
        <f aca="false">IF(B684="","",YEAR(B684))</f>
        <v>2025</v>
      </c>
      <c r="AK684" s="3" t="str">
        <f aca="false">IF(COUNTIF(raw_data!$A$2:$A$913,A684)&gt;1,"Conflicting Duplicate - Flagged for Review","Unique")</f>
        <v>Unique</v>
      </c>
      <c r="AL684" s="3" t="str">
        <f aca="false">IF(AB684="Refunded","Yes","No")</f>
        <v>No</v>
      </c>
      <c r="AM684" s="3" t="str">
        <f aca="false">IF(OR(AC684&lt;&gt;"Completed",AB684="Failed"),"Excluded","Included")</f>
        <v>Included</v>
      </c>
      <c r="AN684" s="3" t="str">
        <f aca="false">IF(OR(D684="Invalid/Unrecognized",E684="Invalid/Unrecognized",G684="Invalid - Ship Before Order",X684="Negative - Invalid",X684="Above Allowed Range - Invalid",AG684="Mismatch",AH684="Mismatch",AK684="Conflicting Duplicate - Flagged for Review"),"Invalid",IF(OR(L684="Filled - Unknown",S684="Filled - Unknown",X684="Missing - Defaulted to 0",AL684="Yes",AC684="Cancelled",AC684="Returned"),"Warning","Clean"))</f>
        <v>Invalid</v>
      </c>
    </row>
    <row r="685" customFormat="false" ht="15" hidden="false" customHeight="false" outlineLevel="0" collapsed="false">
      <c r="A685" s="3" t="str">
        <f aca="false">raw_data!A685</f>
        <v>ORD-2025-10684</v>
      </c>
      <c r="B685" s="4" t="n">
        <f aca="false">IFERROR(IF(MID(raw_data!B685,3,1)="/",DATE(VALUE(RIGHT(raw_data!B685,4)),VALUE(LEFT(raw_data!B685,2)),VALUE(MID(raw_data!B685,4,2))),IF(MID(raw_data!B685,3,1)="-",DATE(VALUE(RIGHT(raw_data!B685,4)),VALUE(MID(raw_data!B685,4,2)),VALUE(LEFT(raw_data!B685,2))),IF(MID(raw_data!B685,5,1)="-",DATE(VALUE(LEFT(raw_data!B685,4)),VALUE(MID(raw_data!B685,6,2)),VALUE(RIGHT(raw_data!B685,2))),DATE(VALUE(RIGHT(raw_data!B685,4)),MATCH(MID(raw_data!B685,4,3),{"Jan","Feb","Mar","Apr","May","Jun","Jul","Aug","Sep","Oct","Nov","Dec"},0),VALUE(LEFT(raw_data!B685,2)))))),"")</f>
        <v>45858</v>
      </c>
      <c r="C685" s="4" t="n">
        <f aca="false">IFERROR(IF(MID(raw_data!C685,3,1)="/",DATE(VALUE(RIGHT(raw_data!C685,4)),VALUE(LEFT(raw_data!C685,2)),VALUE(MID(raw_data!C685,4,2))),IF(MID(raw_data!C685,3,1)="-",DATE(VALUE(RIGHT(raw_data!C685,4)),VALUE(MID(raw_data!C685,4,2)),VALUE(LEFT(raw_data!C685,2))),IF(MID(raw_data!C685,5,1)="-",DATE(VALUE(LEFT(raw_data!C685,4)),VALUE(MID(raw_data!C685,6,2)),VALUE(RIGHT(raw_data!C685,2))),DATE(VALUE(RIGHT(raw_data!C685,4)),MATCH(MID(raw_data!C685,4,3),{"Jan","Feb","Mar","Apr","May","Jun","Jul","Aug","Sep","Oct","Nov","Dec"},0),VALUE(LEFT(raw_data!C685,2)))))),"")</f>
        <v>45862</v>
      </c>
      <c r="D685" s="3" t="str">
        <f aca="false">IF(TRIM(raw_data!B685)="","Missing",IF(B685="","Invalid/Unrecognized","Valid"))</f>
        <v>Valid</v>
      </c>
      <c r="E685" s="3" t="str">
        <f aca="false">IF(TRIM(raw_data!C685)="","Missing",IF(C685="","Invalid/Unrecognized","Valid"))</f>
        <v>Valid</v>
      </c>
      <c r="F685" s="5" t="n">
        <f aca="false">IF(OR(B685="",C685=""),"",C685-B685)</f>
        <v>4</v>
      </c>
      <c r="G685" s="3" t="str">
        <f aca="false">IF(F685="","N/A",IF(F685&lt;0,"Invalid - Ship Before Order","OK"))</f>
        <v>OK</v>
      </c>
      <c r="H685" s="3" t="str">
        <f aca="false">raw_data!D685</f>
        <v>CUST-5704</v>
      </c>
      <c r="I685" s="3" t="str">
        <f aca="false">PROPER(TRIM(raw_data!E685))</f>
        <v>Arjun Bose</v>
      </c>
      <c r="J685" s="3" t="str">
        <f aca="false">PROPER(TRIM(raw_data!F685))</f>
        <v>Small Business</v>
      </c>
      <c r="K685" s="3" t="str">
        <f aca="false">IF(TRIM(raw_data!G685)="","Unknown",PROPER(TRIM(raw_data!G685)))</f>
        <v>South</v>
      </c>
      <c r="L685" s="3" t="str">
        <f aca="false">IF(TRIM(raw_data!G685)="","Filled - Unknown","OK")</f>
        <v>OK</v>
      </c>
      <c r="M685" s="3" t="str">
        <f aca="false">PROPER(TRIM(raw_data!H685))</f>
        <v>Telangana</v>
      </c>
      <c r="N685" s="3" t="str">
        <f aca="false">PROPER(TRIM(raw_data!I685))</f>
        <v>Hyderabad</v>
      </c>
      <c r="O685" s="3" t="str">
        <f aca="false">PROPER(TRIM(raw_data!J685))</f>
        <v>Furniture</v>
      </c>
      <c r="P685" s="3" t="str">
        <f aca="false">PROPER(TRIM(raw_data!K685))</f>
        <v>Furnishings</v>
      </c>
      <c r="Q685" s="3" t="str">
        <f aca="false">TRIM(raw_data!L685)</f>
        <v>Eco Furnishings 875</v>
      </c>
      <c r="R685" s="3" t="str">
        <f aca="false">IF(TRIM(raw_data!M685)="","Unknown",PROPER(TRIM(raw_data!M685)))</f>
        <v>Second Class</v>
      </c>
      <c r="S685" s="3" t="str">
        <f aca="false">IF(TRIM(raw_data!M685)="","Filled - Unknown","OK")</f>
        <v>OK</v>
      </c>
      <c r="T685" s="6" t="n">
        <f aca="false">raw_data!N685</f>
        <v>6</v>
      </c>
      <c r="U685" s="7" t="n">
        <f aca="false">raw_data!O685</f>
        <v>1646.45</v>
      </c>
      <c r="V685" s="8" t="n">
        <f aca="false">raw_data!P685</f>
        <v>0.2</v>
      </c>
      <c r="W685" s="8" t="n">
        <f aca="false">IF(raw_data!P685="",0,IF(ISTEXT(raw_data!P685),IF(RIGHT(raw_data!P685,1)="%",VALUE(LEFT(raw_data!P685,LEN(raw_data!P685)-1))/100,VALUE(raw_data!P685)),raw_data!P685))</f>
        <v>0.2</v>
      </c>
      <c r="X685" s="3" t="str">
        <f aca="false">IF(raw_data!P685="","Missing - Defaulted to 0",IF(W685&lt;0,"Negative - Invalid",IF(W685&gt;0.3,"Above Allowed Range - Invalid","Valid")))</f>
        <v>Valid</v>
      </c>
      <c r="Y685" s="7" t="n">
        <f aca="false">raw_data!Q685</f>
        <v>7902.96</v>
      </c>
      <c r="Z685" s="7" t="n">
        <f aca="false">raw_data!R685</f>
        <v>5512.03</v>
      </c>
      <c r="AA685" s="7" t="n">
        <f aca="false">raw_data!S685</f>
        <v>2390.93</v>
      </c>
      <c r="AB685" s="3" t="str">
        <f aca="false">PROPER(TRIM(raw_data!T685))</f>
        <v>Refunded</v>
      </c>
      <c r="AC685" s="3" t="str">
        <f aca="false">PROPER(TRIM(raw_data!U685))</f>
        <v>Cancelled</v>
      </c>
      <c r="AD685" s="7" t="n">
        <f aca="false">T685*U685*(1-W685)</f>
        <v>7902.96</v>
      </c>
      <c r="AE685" s="7" t="n">
        <f aca="false">AD685-Z685</f>
        <v>2390.93</v>
      </c>
      <c r="AF685" s="8" t="n">
        <f aca="false">IF(AD685=0,0,AE685/AD685)</f>
        <v>0.302536011823418</v>
      </c>
      <c r="AG685" s="3" t="str">
        <f aca="false">IF(ABS(Y685-AD685)&gt;1,"Mismatch","OK")</f>
        <v>OK</v>
      </c>
      <c r="AH685" s="3" t="str">
        <f aca="false">IF(ABS(AA685-AE685)&gt;1,"Mismatch","OK")</f>
        <v>OK</v>
      </c>
      <c r="AI685" s="6" t="n">
        <f aca="false">IF(B685="","",MONTH(B685))</f>
        <v>7</v>
      </c>
      <c r="AJ685" s="6" t="n">
        <f aca="false">IF(B685="","",YEAR(B685))</f>
        <v>2025</v>
      </c>
      <c r="AK685" s="3" t="str">
        <f aca="false">IF(COUNTIF(raw_data!$A$2:$A$913,A685)&gt;1,"Conflicting Duplicate - Flagged for Review","Unique")</f>
        <v>Unique</v>
      </c>
      <c r="AL685" s="3" t="str">
        <f aca="false">IF(AB685="Refunded","Yes","No")</f>
        <v>Yes</v>
      </c>
      <c r="AM685" s="3" t="str">
        <f aca="false">IF(OR(AC685&lt;&gt;"Completed",AB685="Failed"),"Excluded","Included")</f>
        <v>Excluded</v>
      </c>
      <c r="AN685" s="3" t="str">
        <f aca="false">IF(OR(D685="Invalid/Unrecognized",E685="Invalid/Unrecognized",G685="Invalid - Ship Before Order",X685="Negative - Invalid",X685="Above Allowed Range - Invalid",AG685="Mismatch",AH685="Mismatch",AK685="Conflicting Duplicate - Flagged for Review"),"Invalid",IF(OR(L685="Filled - Unknown",S685="Filled - Unknown",X685="Missing - Defaulted to 0",AL685="Yes",AC685="Cancelled",AC685="Returned"),"Warning","Clean"))</f>
        <v>Warning</v>
      </c>
    </row>
    <row r="686" customFormat="false" ht="15" hidden="false" customHeight="false" outlineLevel="0" collapsed="false">
      <c r="A686" s="3" t="str">
        <f aca="false">raw_data!A686</f>
        <v>ORD-2025-10685</v>
      </c>
      <c r="B686" s="4" t="n">
        <f aca="false">IFERROR(IF(MID(raw_data!B686,3,1)="/",DATE(VALUE(RIGHT(raw_data!B686,4)),VALUE(LEFT(raw_data!B686,2)),VALUE(MID(raw_data!B686,4,2))),IF(MID(raw_data!B686,3,1)="-",DATE(VALUE(RIGHT(raw_data!B686,4)),VALUE(MID(raw_data!B686,4,2)),VALUE(LEFT(raw_data!B686,2))),IF(MID(raw_data!B686,5,1)="-",DATE(VALUE(LEFT(raw_data!B686,4)),VALUE(MID(raw_data!B686,6,2)),VALUE(RIGHT(raw_data!B686,2))),DATE(VALUE(RIGHT(raw_data!B686,4)),MATCH(MID(raw_data!B686,4,3),{"Jan","Feb","Mar","Apr","May","Jun","Jul","Aug","Sep","Oct","Nov","Dec"},0),VALUE(LEFT(raw_data!B686,2)))))),"")</f>
        <v>45859</v>
      </c>
      <c r="C686" s="4" t="n">
        <f aca="false">IFERROR(IF(MID(raw_data!C686,3,1)="/",DATE(VALUE(RIGHT(raw_data!C686,4)),VALUE(LEFT(raw_data!C686,2)),VALUE(MID(raw_data!C686,4,2))),IF(MID(raw_data!C686,3,1)="-",DATE(VALUE(RIGHT(raw_data!C686,4)),VALUE(MID(raw_data!C686,4,2)),VALUE(LEFT(raw_data!C686,2))),IF(MID(raw_data!C686,5,1)="-",DATE(VALUE(LEFT(raw_data!C686,4)),VALUE(MID(raw_data!C686,6,2)),VALUE(RIGHT(raw_data!C686,2))),DATE(VALUE(RIGHT(raw_data!C686,4)),MATCH(MID(raw_data!C686,4,3),{"Jan","Feb","Mar","Apr","May","Jun","Jul","Aug","Sep","Oct","Nov","Dec"},0),VALUE(LEFT(raw_data!C686,2)))))),"")</f>
        <v>45859</v>
      </c>
      <c r="D686" s="3" t="str">
        <f aca="false">IF(TRIM(raw_data!B686)="","Missing",IF(B686="","Invalid/Unrecognized","Valid"))</f>
        <v>Valid</v>
      </c>
      <c r="E686" s="3" t="str">
        <f aca="false">IF(TRIM(raw_data!C686)="","Missing",IF(C686="","Invalid/Unrecognized","Valid"))</f>
        <v>Valid</v>
      </c>
      <c r="F686" s="5" t="n">
        <f aca="false">IF(OR(B686="",C686=""),"",C686-B686)</f>
        <v>0</v>
      </c>
      <c r="G686" s="3" t="str">
        <f aca="false">IF(F686="","N/A",IF(F686&lt;0,"Invalid - Ship Before Order","OK"))</f>
        <v>OK</v>
      </c>
      <c r="H686" s="3" t="str">
        <f aca="false">raw_data!D686</f>
        <v>CUST-6738</v>
      </c>
      <c r="I686" s="3" t="str">
        <f aca="false">PROPER(TRIM(raw_data!E686))</f>
        <v>Isha Nair</v>
      </c>
      <c r="J686" s="3" t="str">
        <f aca="false">PROPER(TRIM(raw_data!F686))</f>
        <v>Home Office</v>
      </c>
      <c r="K686" s="3" t="str">
        <f aca="false">IF(TRIM(raw_data!G686)="","Unknown",PROPER(TRIM(raw_data!G686)))</f>
        <v>South</v>
      </c>
      <c r="L686" s="3" t="str">
        <f aca="false">IF(TRIM(raw_data!G686)="","Filled - Unknown","OK")</f>
        <v>OK</v>
      </c>
      <c r="M686" s="3" t="str">
        <f aca="false">PROPER(TRIM(raw_data!H686))</f>
        <v>Tamil Nadu</v>
      </c>
      <c r="N686" s="3" t="str">
        <f aca="false">PROPER(TRIM(raw_data!I686))</f>
        <v>Chennai</v>
      </c>
      <c r="O686" s="3" t="str">
        <f aca="false">PROPER(TRIM(raw_data!J686))</f>
        <v>Furniture</v>
      </c>
      <c r="P686" s="3" t="str">
        <f aca="false">PROPER(TRIM(raw_data!K686))</f>
        <v>Bookcases</v>
      </c>
      <c r="Q686" s="3" t="str">
        <f aca="false">TRIM(raw_data!L686)</f>
        <v>Prime Bookcases 784</v>
      </c>
      <c r="R686" s="3" t="str">
        <f aca="false">IF(TRIM(raw_data!M686)="","Unknown",PROPER(TRIM(raw_data!M686)))</f>
        <v>First Class</v>
      </c>
      <c r="S686" s="3" t="str">
        <f aca="false">IF(TRIM(raw_data!M686)="","Filled - Unknown","OK")</f>
        <v>OK</v>
      </c>
      <c r="T686" s="6" t="n">
        <f aca="false">raw_data!N686</f>
        <v>7</v>
      </c>
      <c r="U686" s="7" t="n">
        <f aca="false">raw_data!O686</f>
        <v>4396.65</v>
      </c>
      <c r="V686" s="8" t="n">
        <f aca="false">raw_data!P686</f>
        <v>0.2</v>
      </c>
      <c r="W686" s="8" t="n">
        <f aca="false">IF(raw_data!P686="",0,IF(ISTEXT(raw_data!P686),IF(RIGHT(raw_data!P686,1)="%",VALUE(LEFT(raw_data!P686,LEN(raw_data!P686)-1))/100,VALUE(raw_data!P686)),raw_data!P686))</f>
        <v>0.2</v>
      </c>
      <c r="X686" s="3" t="str">
        <f aca="false">IF(raw_data!P686="","Missing - Defaulted to 0",IF(W686&lt;0,"Negative - Invalid",IF(W686&gt;0.3,"Above Allowed Range - Invalid","Valid")))</f>
        <v>Valid</v>
      </c>
      <c r="Y686" s="7" t="n">
        <f aca="false">raw_data!Q686</f>
        <v>24621.24</v>
      </c>
      <c r="Z686" s="7" t="n">
        <f aca="false">raw_data!R686</f>
        <v>17155.48</v>
      </c>
      <c r="AA686" s="7" t="n">
        <f aca="false">raw_data!S686</f>
        <v>7465.76</v>
      </c>
      <c r="AB686" s="3" t="str">
        <f aca="false">PROPER(TRIM(raw_data!T686))</f>
        <v>Refunded</v>
      </c>
      <c r="AC686" s="3" t="str">
        <f aca="false">PROPER(TRIM(raw_data!U686))</f>
        <v>Cancelled</v>
      </c>
      <c r="AD686" s="7" t="n">
        <f aca="false">T686*U686*(1-W686)</f>
        <v>24621.24</v>
      </c>
      <c r="AE686" s="7" t="n">
        <f aca="false">AD686-Z686</f>
        <v>7465.76</v>
      </c>
      <c r="AF686" s="8" t="n">
        <f aca="false">IF(AD686=0,0,AE686/AD686)</f>
        <v>0.303224370502867</v>
      </c>
      <c r="AG686" s="3" t="str">
        <f aca="false">IF(ABS(Y686-AD686)&gt;1,"Mismatch","OK")</f>
        <v>OK</v>
      </c>
      <c r="AH686" s="3" t="str">
        <f aca="false">IF(ABS(AA686-AE686)&gt;1,"Mismatch","OK")</f>
        <v>OK</v>
      </c>
      <c r="AI686" s="6" t="n">
        <f aca="false">IF(B686="","",MONTH(B686))</f>
        <v>7</v>
      </c>
      <c r="AJ686" s="6" t="n">
        <f aca="false">IF(B686="","",YEAR(B686))</f>
        <v>2025</v>
      </c>
      <c r="AK686" s="3" t="str">
        <f aca="false">IF(COUNTIF(raw_data!$A$2:$A$913,A686)&gt;1,"Conflicting Duplicate - Flagged for Review","Unique")</f>
        <v>Unique</v>
      </c>
      <c r="AL686" s="3" t="str">
        <f aca="false">IF(AB686="Refunded","Yes","No")</f>
        <v>Yes</v>
      </c>
      <c r="AM686" s="3" t="str">
        <f aca="false">IF(OR(AC686&lt;&gt;"Completed",AB686="Failed"),"Excluded","Included")</f>
        <v>Excluded</v>
      </c>
      <c r="AN686" s="3" t="str">
        <f aca="false">IF(OR(D686="Invalid/Unrecognized",E686="Invalid/Unrecognized",G686="Invalid - Ship Before Order",X686="Negative - Invalid",X686="Above Allowed Range - Invalid",AG686="Mismatch",AH686="Mismatch",AK686="Conflicting Duplicate - Flagged for Review"),"Invalid",IF(OR(L686="Filled - Unknown",S686="Filled - Unknown",X686="Missing - Defaulted to 0",AL686="Yes",AC686="Cancelled",AC686="Returned"),"Warning","Clean"))</f>
        <v>Warning</v>
      </c>
    </row>
    <row r="687" customFormat="false" ht="15" hidden="false" customHeight="false" outlineLevel="0" collapsed="false">
      <c r="A687" s="3" t="str">
        <f aca="false">raw_data!A687</f>
        <v>ORD-2025-10686</v>
      </c>
      <c r="B687" s="4" t="n">
        <f aca="false">IFERROR(IF(MID(raw_data!B687,3,1)="/",DATE(VALUE(RIGHT(raw_data!B687,4)),VALUE(LEFT(raw_data!B687,2)),VALUE(MID(raw_data!B687,4,2))),IF(MID(raw_data!B687,3,1)="-",DATE(VALUE(RIGHT(raw_data!B687,4)),VALUE(MID(raw_data!B687,4,2)),VALUE(LEFT(raw_data!B687,2))),IF(MID(raw_data!B687,5,1)="-",DATE(VALUE(LEFT(raw_data!B687,4)),VALUE(MID(raw_data!B687,6,2)),VALUE(RIGHT(raw_data!B687,2))),DATE(VALUE(RIGHT(raw_data!B687,4)),MATCH(MID(raw_data!B687,4,3),{"Jan","Feb","Mar","Apr","May","Jun","Jul","Aug","Sep","Oct","Nov","Dec"},0),VALUE(LEFT(raw_data!B687,2)))))),"")</f>
        <v>45931</v>
      </c>
      <c r="C687" s="4" t="n">
        <f aca="false">IFERROR(IF(MID(raw_data!C687,3,1)="/",DATE(VALUE(RIGHT(raw_data!C687,4)),VALUE(LEFT(raw_data!C687,2)),VALUE(MID(raw_data!C687,4,2))),IF(MID(raw_data!C687,3,1)="-",DATE(VALUE(RIGHT(raw_data!C687,4)),VALUE(MID(raw_data!C687,4,2)),VALUE(LEFT(raw_data!C687,2))),IF(MID(raw_data!C687,5,1)="-",DATE(VALUE(LEFT(raw_data!C687,4)),VALUE(MID(raw_data!C687,6,2)),VALUE(RIGHT(raw_data!C687,2))),DATE(VALUE(RIGHT(raw_data!C687,4)),MATCH(MID(raw_data!C687,4,3),{"Jan","Feb","Mar","Apr","May","Jun","Jul","Aug","Sep","Oct","Nov","Dec"},0),VALUE(LEFT(raw_data!C687,2)))))),"")</f>
        <v>45933</v>
      </c>
      <c r="D687" s="3" t="str">
        <f aca="false">IF(TRIM(raw_data!B687)="","Missing",IF(B687="","Invalid/Unrecognized","Valid"))</f>
        <v>Valid</v>
      </c>
      <c r="E687" s="3" t="str">
        <f aca="false">IF(TRIM(raw_data!C687)="","Missing",IF(C687="","Invalid/Unrecognized","Valid"))</f>
        <v>Valid</v>
      </c>
      <c r="F687" s="5" t="n">
        <f aca="false">IF(OR(B687="",C687=""),"",C687-B687)</f>
        <v>2</v>
      </c>
      <c r="G687" s="3" t="str">
        <f aca="false">IF(F687="","N/A",IF(F687&lt;0,"Invalid - Ship Before Order","OK"))</f>
        <v>OK</v>
      </c>
      <c r="H687" s="3" t="str">
        <f aca="false">raw_data!D687</f>
        <v>CUST-2586</v>
      </c>
      <c r="I687" s="3" t="str">
        <f aca="false">PROPER(TRIM(raw_data!E687))</f>
        <v>Neha Gupta</v>
      </c>
      <c r="J687" s="3" t="str">
        <f aca="false">PROPER(TRIM(raw_data!F687))</f>
        <v>Corporate</v>
      </c>
      <c r="K687" s="3" t="str">
        <f aca="false">IF(TRIM(raw_data!G687)="","Unknown",PROPER(TRIM(raw_data!G687)))</f>
        <v>West</v>
      </c>
      <c r="L687" s="3" t="str">
        <f aca="false">IF(TRIM(raw_data!G687)="","Filled - Unknown","OK")</f>
        <v>OK</v>
      </c>
      <c r="M687" s="3" t="str">
        <f aca="false">PROPER(TRIM(raw_data!H687))</f>
        <v>Goa</v>
      </c>
      <c r="N687" s="3" t="str">
        <f aca="false">PROPER(TRIM(raw_data!I687))</f>
        <v>Panaji</v>
      </c>
      <c r="O687" s="3" t="str">
        <f aca="false">PROPER(TRIM(raw_data!J687))</f>
        <v>Office Supplies</v>
      </c>
      <c r="P687" s="3" t="str">
        <f aca="false">PROPER(TRIM(raw_data!K687))</f>
        <v>Art</v>
      </c>
      <c r="Q687" s="3" t="str">
        <f aca="false">TRIM(raw_data!L687)</f>
        <v>Classic Art 380</v>
      </c>
      <c r="R687" s="3" t="str">
        <f aca="false">IF(TRIM(raw_data!M687)="","Unknown",PROPER(TRIM(raw_data!M687)))</f>
        <v>Standard Class</v>
      </c>
      <c r="S687" s="3" t="str">
        <f aca="false">IF(TRIM(raw_data!M687)="","Filled - Unknown","OK")</f>
        <v>OK</v>
      </c>
      <c r="T687" s="6" t="n">
        <f aca="false">raw_data!N687</f>
        <v>9</v>
      </c>
      <c r="U687" s="7" t="n">
        <f aca="false">raw_data!O687</f>
        <v>818.15</v>
      </c>
      <c r="V687" s="8" t="n">
        <f aca="false">raw_data!P687</f>
        <v>0.55</v>
      </c>
      <c r="W687" s="8" t="n">
        <f aca="false">IF(raw_data!P687="",0,IF(ISTEXT(raw_data!P687),IF(RIGHT(raw_data!P687,1)="%",VALUE(LEFT(raw_data!P687,LEN(raw_data!P687)-1))/100,VALUE(raw_data!P687)),raw_data!P687))</f>
        <v>0.55</v>
      </c>
      <c r="X687" s="3" t="str">
        <f aca="false">IF(raw_data!P687="","Missing - Defaulted to 0",IF(W687&lt;0,"Negative - Invalid",IF(W687&gt;0.3,"Above Allowed Range - Invalid","Valid")))</f>
        <v>Above Allowed Range - Invalid</v>
      </c>
      <c r="Y687" s="7" t="n">
        <f aca="false">raw_data!Q687</f>
        <v>6627.01</v>
      </c>
      <c r="Z687" s="7" t="n">
        <f aca="false">raw_data!R687</f>
        <v>5606.79</v>
      </c>
      <c r="AA687" s="7" t="n">
        <f aca="false">raw_data!S687</f>
        <v>1020.22</v>
      </c>
      <c r="AB687" s="3" t="str">
        <f aca="false">PROPER(TRIM(raw_data!T687))</f>
        <v>Failed</v>
      </c>
      <c r="AC687" s="3" t="str">
        <f aca="false">PROPER(TRIM(raw_data!U687))</f>
        <v>Cancelled</v>
      </c>
      <c r="AD687" s="7" t="n">
        <f aca="false">T687*U687*(1-W687)</f>
        <v>3313.5075</v>
      </c>
      <c r="AE687" s="7" t="n">
        <f aca="false">AD687-Z687</f>
        <v>-2293.2825</v>
      </c>
      <c r="AF687" s="8" t="n">
        <f aca="false">IF(AD687=0,0,AE687/AD687)</f>
        <v>-0.692101194881859</v>
      </c>
      <c r="AG687" s="3" t="str">
        <f aca="false">IF(ABS(Y687-AD687)&gt;1,"Mismatch","OK")</f>
        <v>Mismatch</v>
      </c>
      <c r="AH687" s="3" t="str">
        <f aca="false">IF(ABS(AA687-AE687)&gt;1,"Mismatch","OK")</f>
        <v>Mismatch</v>
      </c>
      <c r="AI687" s="6" t="n">
        <f aca="false">IF(B687="","",MONTH(B687))</f>
        <v>10</v>
      </c>
      <c r="AJ687" s="6" t="n">
        <f aca="false">IF(B687="","",YEAR(B687))</f>
        <v>2025</v>
      </c>
      <c r="AK687" s="3" t="str">
        <f aca="false">IF(COUNTIF(raw_data!$A$2:$A$913,A687)&gt;1,"Conflicting Duplicate - Flagged for Review","Unique")</f>
        <v>Unique</v>
      </c>
      <c r="AL687" s="3" t="str">
        <f aca="false">IF(AB687="Refunded","Yes","No")</f>
        <v>No</v>
      </c>
      <c r="AM687" s="3" t="str">
        <f aca="false">IF(OR(AC687&lt;&gt;"Completed",AB687="Failed"),"Excluded","Included")</f>
        <v>Excluded</v>
      </c>
      <c r="AN687" s="3" t="str">
        <f aca="false">IF(OR(D687="Invalid/Unrecognized",E687="Invalid/Unrecognized",G687="Invalid - Ship Before Order",X687="Negative - Invalid",X687="Above Allowed Range - Invalid",AG687="Mismatch",AH687="Mismatch",AK687="Conflicting Duplicate - Flagged for Review"),"Invalid",IF(OR(L687="Filled - Unknown",S687="Filled - Unknown",X687="Missing - Defaulted to 0",AL687="Yes",AC687="Cancelled",AC687="Returned"),"Warning","Clean"))</f>
        <v>Invalid</v>
      </c>
    </row>
    <row r="688" customFormat="false" ht="15" hidden="false" customHeight="false" outlineLevel="0" collapsed="false">
      <c r="A688" s="3" t="str">
        <f aca="false">raw_data!A688</f>
        <v>ORD-2024-10687</v>
      </c>
      <c r="B688" s="4" t="n">
        <f aca="false">IFERROR(IF(MID(raw_data!B688,3,1)="/",DATE(VALUE(RIGHT(raw_data!B688,4)),VALUE(LEFT(raw_data!B688,2)),VALUE(MID(raw_data!B688,4,2))),IF(MID(raw_data!B688,3,1)="-",DATE(VALUE(RIGHT(raw_data!B688,4)),VALUE(MID(raw_data!B688,4,2)),VALUE(LEFT(raw_data!B688,2))),IF(MID(raw_data!B688,5,1)="-",DATE(VALUE(LEFT(raw_data!B688,4)),VALUE(MID(raw_data!B688,6,2)),VALUE(RIGHT(raw_data!B688,2))),DATE(VALUE(RIGHT(raw_data!B688,4)),MATCH(MID(raw_data!B688,4,3),{"Jan","Feb","Mar","Apr","May","Jun","Jul","Aug","Sep","Oct","Nov","Dec"},0),VALUE(LEFT(raw_data!B688,2)))))),"")</f>
        <v>45376</v>
      </c>
      <c r="C688" s="4" t="n">
        <f aca="false">IFERROR(IF(MID(raw_data!C688,3,1)="/",DATE(VALUE(RIGHT(raw_data!C688,4)),VALUE(LEFT(raw_data!C688,2)),VALUE(MID(raw_data!C688,4,2))),IF(MID(raw_data!C688,3,1)="-",DATE(VALUE(RIGHT(raw_data!C688,4)),VALUE(MID(raw_data!C688,4,2)),VALUE(LEFT(raw_data!C688,2))),IF(MID(raw_data!C688,5,1)="-",DATE(VALUE(LEFT(raw_data!C688,4)),VALUE(MID(raw_data!C688,6,2)),VALUE(RIGHT(raw_data!C688,2))),DATE(VALUE(RIGHT(raw_data!C688,4)),MATCH(MID(raw_data!C688,4,3),{"Jan","Feb","Mar","Apr","May","Jun","Jul","Aug","Sep","Oct","Nov","Dec"},0),VALUE(LEFT(raw_data!C688,2)))))),"")</f>
        <v>45384</v>
      </c>
      <c r="D688" s="3" t="str">
        <f aca="false">IF(TRIM(raw_data!B688)="","Missing",IF(B688="","Invalid/Unrecognized","Valid"))</f>
        <v>Valid</v>
      </c>
      <c r="E688" s="3" t="str">
        <f aca="false">IF(TRIM(raw_data!C688)="","Missing",IF(C688="","Invalid/Unrecognized","Valid"))</f>
        <v>Valid</v>
      </c>
      <c r="F688" s="5" t="n">
        <f aca="false">IF(OR(B688="",C688=""),"",C688-B688)</f>
        <v>8</v>
      </c>
      <c r="G688" s="3" t="str">
        <f aca="false">IF(F688="","N/A",IF(F688&lt;0,"Invalid - Ship Before Order","OK"))</f>
        <v>OK</v>
      </c>
      <c r="H688" s="3" t="str">
        <f aca="false">raw_data!D688</f>
        <v>CUST-3127</v>
      </c>
      <c r="I688" s="3" t="str">
        <f aca="false">PROPER(TRIM(raw_data!E688))</f>
        <v>Sneha Kapoor</v>
      </c>
      <c r="J688" s="3" t="str">
        <f aca="false">PROPER(TRIM(raw_data!F688))</f>
        <v>Home Office</v>
      </c>
      <c r="K688" s="3" t="str">
        <f aca="false">IF(TRIM(raw_data!G688)="","Unknown",PROPER(TRIM(raw_data!G688)))</f>
        <v>South</v>
      </c>
      <c r="L688" s="3" t="str">
        <f aca="false">IF(TRIM(raw_data!G688)="","Filled - Unknown","OK")</f>
        <v>OK</v>
      </c>
      <c r="M688" s="3" t="str">
        <f aca="false">PROPER(TRIM(raw_data!H688))</f>
        <v>Tamil Nadu</v>
      </c>
      <c r="N688" s="3" t="str">
        <f aca="false">PROPER(TRIM(raw_data!I688))</f>
        <v>Chennai</v>
      </c>
      <c r="O688" s="3" t="str">
        <f aca="false">PROPER(TRIM(raw_data!J688))</f>
        <v>Technology</v>
      </c>
      <c r="P688" s="3" t="str">
        <f aca="false">PROPER(TRIM(raw_data!K688))</f>
        <v>Copiers</v>
      </c>
      <c r="Q688" s="3" t="str">
        <f aca="false">TRIM(raw_data!L688)</f>
        <v>Pro Copiers 502</v>
      </c>
      <c r="R688" s="3" t="str">
        <f aca="false">IF(TRIM(raw_data!M688)="","Unknown",PROPER(TRIM(raw_data!M688)))</f>
        <v>Standard Class</v>
      </c>
      <c r="S688" s="3" t="str">
        <f aca="false">IF(TRIM(raw_data!M688)="","Filled - Unknown","OK")</f>
        <v>OK</v>
      </c>
      <c r="T688" s="6" t="n">
        <f aca="false">raw_data!N688</f>
        <v>2</v>
      </c>
      <c r="U688" s="7" t="n">
        <f aca="false">raw_data!O688</f>
        <v>2349.13</v>
      </c>
      <c r="V688" s="8" t="n">
        <f aca="false">raw_data!P688</f>
        <v>0</v>
      </c>
      <c r="W688" s="8" t="n">
        <f aca="false">IF(raw_data!P688="",0,IF(ISTEXT(raw_data!P688),IF(RIGHT(raw_data!P688,1)="%",VALUE(LEFT(raw_data!P688,LEN(raw_data!P688)-1))/100,VALUE(raw_data!P688)),raw_data!P688))</f>
        <v>0</v>
      </c>
      <c r="X688" s="3" t="str">
        <f aca="false">IF(raw_data!P688="","Missing - Defaulted to 0",IF(W688&lt;0,"Negative - Invalid",IF(W688&gt;0.3,"Above Allowed Range - Invalid","Valid")))</f>
        <v>Valid</v>
      </c>
      <c r="Y688" s="7" t="n">
        <f aca="false">raw_data!Q688</f>
        <v>4698.26</v>
      </c>
      <c r="Z688" s="7" t="n">
        <f aca="false">raw_data!R688</f>
        <v>2654.92</v>
      </c>
      <c r="AA688" s="7" t="n">
        <f aca="false">raw_data!S688</f>
        <v>2043.34</v>
      </c>
      <c r="AB688" s="3" t="str">
        <f aca="false">PROPER(TRIM(raw_data!T688))</f>
        <v>Paid</v>
      </c>
      <c r="AC688" s="3" t="str">
        <f aca="false">PROPER(TRIM(raw_data!U688))</f>
        <v>Completed</v>
      </c>
      <c r="AD688" s="7" t="n">
        <f aca="false">T688*U688*(1-W688)</f>
        <v>4698.26</v>
      </c>
      <c r="AE688" s="7" t="n">
        <f aca="false">AD688-Z688</f>
        <v>2043.34</v>
      </c>
      <c r="AF688" s="8" t="n">
        <f aca="false">IF(AD688=0,0,AE688/AD688)</f>
        <v>0.434914202279142</v>
      </c>
      <c r="AG688" s="3" t="str">
        <f aca="false">IF(ABS(Y688-AD688)&gt;1,"Mismatch","OK")</f>
        <v>OK</v>
      </c>
      <c r="AH688" s="3" t="str">
        <f aca="false">IF(ABS(AA688-AE688)&gt;1,"Mismatch","OK")</f>
        <v>OK</v>
      </c>
      <c r="AI688" s="6" t="n">
        <f aca="false">IF(B688="","",MONTH(B688))</f>
        <v>3</v>
      </c>
      <c r="AJ688" s="6" t="n">
        <f aca="false">IF(B688="","",YEAR(B688))</f>
        <v>2024</v>
      </c>
      <c r="AK688" s="3" t="str">
        <f aca="false">IF(COUNTIF(raw_data!$A$2:$A$913,A688)&gt;1,"Conflicting Duplicate - Flagged for Review","Unique")</f>
        <v>Unique</v>
      </c>
      <c r="AL688" s="3" t="str">
        <f aca="false">IF(AB688="Refunded","Yes","No")</f>
        <v>No</v>
      </c>
      <c r="AM688" s="3" t="str">
        <f aca="false">IF(OR(AC688&lt;&gt;"Completed",AB688="Failed"),"Excluded","Included")</f>
        <v>Included</v>
      </c>
      <c r="AN688" s="3" t="str">
        <f aca="false">IF(OR(D688="Invalid/Unrecognized",E688="Invalid/Unrecognized",G688="Invalid - Ship Before Order",X688="Negative - Invalid",X688="Above Allowed Range - Invalid",AG688="Mismatch",AH688="Mismatch",AK688="Conflicting Duplicate - Flagged for Review"),"Invalid",IF(OR(L688="Filled - Unknown",S688="Filled - Unknown",X688="Missing - Defaulted to 0",AL688="Yes",AC688="Cancelled",AC688="Returned"),"Warning","Clean"))</f>
        <v>Clean</v>
      </c>
    </row>
    <row r="689" customFormat="false" ht="15" hidden="false" customHeight="false" outlineLevel="0" collapsed="false">
      <c r="A689" s="3" t="str">
        <f aca="false">raw_data!A689</f>
        <v>ORD-2025-10688</v>
      </c>
      <c r="B689" s="4" t="n">
        <f aca="false">IFERROR(IF(MID(raw_data!B689,3,1)="/",DATE(VALUE(RIGHT(raw_data!B689,4)),VALUE(LEFT(raw_data!B689,2)),VALUE(MID(raw_data!B689,4,2))),IF(MID(raw_data!B689,3,1)="-",DATE(VALUE(RIGHT(raw_data!B689,4)),VALUE(MID(raw_data!B689,4,2)),VALUE(LEFT(raw_data!B689,2))),IF(MID(raw_data!B689,5,1)="-",DATE(VALUE(LEFT(raw_data!B689,4)),VALUE(MID(raw_data!B689,6,2)),VALUE(RIGHT(raw_data!B689,2))),DATE(VALUE(RIGHT(raw_data!B689,4)),MATCH(MID(raw_data!B689,4,3),{"Jan","Feb","Mar","Apr","May","Jun","Jul","Aug","Sep","Oct","Nov","Dec"},0),VALUE(LEFT(raw_data!B689,2)))))),"")</f>
        <v>45938</v>
      </c>
      <c r="C689" s="4" t="n">
        <f aca="false">IFERROR(IF(MID(raw_data!C689,3,1)="/",DATE(VALUE(RIGHT(raw_data!C689,4)),VALUE(LEFT(raw_data!C689,2)),VALUE(MID(raw_data!C689,4,2))),IF(MID(raw_data!C689,3,1)="-",DATE(VALUE(RIGHT(raw_data!C689,4)),VALUE(MID(raw_data!C689,4,2)),VALUE(LEFT(raw_data!C689,2))),IF(MID(raw_data!C689,5,1)="-",DATE(VALUE(LEFT(raw_data!C689,4)),VALUE(MID(raw_data!C689,6,2)),VALUE(RIGHT(raw_data!C689,2))),DATE(VALUE(RIGHT(raw_data!C689,4)),MATCH(MID(raw_data!C689,4,3),{"Jan","Feb","Mar","Apr","May","Jun","Jul","Aug","Sep","Oct","Nov","Dec"},0),VALUE(LEFT(raw_data!C689,2)))))),"")</f>
        <v>45943</v>
      </c>
      <c r="D689" s="3" t="str">
        <f aca="false">IF(TRIM(raw_data!B689)="","Missing",IF(B689="","Invalid/Unrecognized","Valid"))</f>
        <v>Valid</v>
      </c>
      <c r="E689" s="3" t="str">
        <f aca="false">IF(TRIM(raw_data!C689)="","Missing",IF(C689="","Invalid/Unrecognized","Valid"))</f>
        <v>Valid</v>
      </c>
      <c r="F689" s="5" t="n">
        <f aca="false">IF(OR(B689="",C689=""),"",C689-B689)</f>
        <v>5</v>
      </c>
      <c r="G689" s="3" t="str">
        <f aca="false">IF(F689="","N/A",IF(F689&lt;0,"Invalid - Ship Before Order","OK"))</f>
        <v>OK</v>
      </c>
      <c r="H689" s="3" t="str">
        <f aca="false">raw_data!D689</f>
        <v>CUST-9347</v>
      </c>
      <c r="I689" s="3" t="str">
        <f aca="false">PROPER(TRIM(raw_data!E689))</f>
        <v>Mira Das</v>
      </c>
      <c r="J689" s="3" t="str">
        <f aca="false">PROPER(TRIM(raw_data!F689))</f>
        <v>Home Office</v>
      </c>
      <c r="K689" s="3" t="str">
        <f aca="false">IF(TRIM(raw_data!G689)="","Unknown",PROPER(TRIM(raw_data!G689)))</f>
        <v>North</v>
      </c>
      <c r="L689" s="3" t="str">
        <f aca="false">IF(TRIM(raw_data!G689)="","Filled - Unknown","OK")</f>
        <v>OK</v>
      </c>
      <c r="M689" s="3" t="str">
        <f aca="false">PROPER(TRIM(raw_data!H689))</f>
        <v>Punjab</v>
      </c>
      <c r="N689" s="3" t="str">
        <f aca="false">PROPER(TRIM(raw_data!I689))</f>
        <v>Ludhiana</v>
      </c>
      <c r="O689" s="3" t="str">
        <f aca="false">PROPER(TRIM(raw_data!J689))</f>
        <v>Furniture</v>
      </c>
      <c r="P689" s="3" t="str">
        <f aca="false">PROPER(TRIM(raw_data!K689))</f>
        <v>Tables</v>
      </c>
      <c r="Q689" s="3" t="str">
        <f aca="false">TRIM(raw_data!L689)</f>
        <v>Prime Tables 604</v>
      </c>
      <c r="R689" s="3" t="str">
        <f aca="false">IF(TRIM(raw_data!M689)="","Unknown",PROPER(TRIM(raw_data!M689)))</f>
        <v>First Class</v>
      </c>
      <c r="S689" s="3" t="str">
        <f aca="false">IF(TRIM(raw_data!M689)="","Filled - Unknown","OK")</f>
        <v>OK</v>
      </c>
      <c r="T689" s="6" t="n">
        <f aca="false">raw_data!N689</f>
        <v>4</v>
      </c>
      <c r="U689" s="7" t="n">
        <f aca="false">raw_data!O689</f>
        <v>172.05</v>
      </c>
      <c r="V689" s="8" t="n">
        <f aca="false">raw_data!P689</f>
        <v>0</v>
      </c>
      <c r="W689" s="8" t="n">
        <f aca="false">IF(raw_data!P689="",0,IF(ISTEXT(raw_data!P689),IF(RIGHT(raw_data!P689,1)="%",VALUE(LEFT(raw_data!P689,LEN(raw_data!P689)-1))/100,VALUE(raw_data!P689)),raw_data!P689))</f>
        <v>0</v>
      </c>
      <c r="X689" s="3" t="str">
        <f aca="false">IF(raw_data!P689="","Missing - Defaulted to 0",IF(W689&lt;0,"Negative - Invalid",IF(W689&gt;0.3,"Above Allowed Range - Invalid","Valid")))</f>
        <v>Valid</v>
      </c>
      <c r="Y689" s="7" t="n">
        <f aca="false">raw_data!Q689</f>
        <v>688.2</v>
      </c>
      <c r="Z689" s="7" t="n">
        <f aca="false">raw_data!R689</f>
        <v>497.68</v>
      </c>
      <c r="AA689" s="7" t="n">
        <f aca="false">raw_data!S689</f>
        <v>190.52</v>
      </c>
      <c r="AB689" s="3" t="str">
        <f aca="false">PROPER(TRIM(raw_data!T689))</f>
        <v>Failed</v>
      </c>
      <c r="AC689" s="3" t="str">
        <f aca="false">PROPER(TRIM(raw_data!U689))</f>
        <v>Cancelled</v>
      </c>
      <c r="AD689" s="7" t="n">
        <f aca="false">T689*U689*(1-W689)</f>
        <v>688.2</v>
      </c>
      <c r="AE689" s="7" t="n">
        <f aca="false">AD689-Z689</f>
        <v>190.52</v>
      </c>
      <c r="AF689" s="8" t="n">
        <f aca="false">IF(AD689=0,0,AE689/AD689)</f>
        <v>0.276838128451032</v>
      </c>
      <c r="AG689" s="3" t="str">
        <f aca="false">IF(ABS(Y689-AD689)&gt;1,"Mismatch","OK")</f>
        <v>OK</v>
      </c>
      <c r="AH689" s="3" t="str">
        <f aca="false">IF(ABS(AA689-AE689)&gt;1,"Mismatch","OK")</f>
        <v>OK</v>
      </c>
      <c r="AI689" s="6" t="n">
        <f aca="false">IF(B689="","",MONTH(B689))</f>
        <v>10</v>
      </c>
      <c r="AJ689" s="6" t="n">
        <f aca="false">IF(B689="","",YEAR(B689))</f>
        <v>2025</v>
      </c>
      <c r="AK689" s="3" t="str">
        <f aca="false">IF(COUNTIF(raw_data!$A$2:$A$913,A689)&gt;1,"Conflicting Duplicate - Flagged for Review","Unique")</f>
        <v>Unique</v>
      </c>
      <c r="AL689" s="3" t="str">
        <f aca="false">IF(AB689="Refunded","Yes","No")</f>
        <v>No</v>
      </c>
      <c r="AM689" s="3" t="str">
        <f aca="false">IF(OR(AC689&lt;&gt;"Completed",AB689="Failed"),"Excluded","Included")</f>
        <v>Excluded</v>
      </c>
      <c r="AN689" s="3" t="str">
        <f aca="false">IF(OR(D689="Invalid/Unrecognized",E689="Invalid/Unrecognized",G689="Invalid - Ship Before Order",X689="Negative - Invalid",X689="Above Allowed Range - Invalid",AG689="Mismatch",AH689="Mismatch",AK689="Conflicting Duplicate - Flagged for Review"),"Invalid",IF(OR(L689="Filled - Unknown",S689="Filled - Unknown",X689="Missing - Defaulted to 0",AL689="Yes",AC689="Cancelled",AC689="Returned"),"Warning","Clean"))</f>
        <v>Warning</v>
      </c>
    </row>
    <row r="690" customFormat="false" ht="15" hidden="false" customHeight="false" outlineLevel="0" collapsed="false">
      <c r="A690" s="3" t="str">
        <f aca="false">raw_data!A690</f>
        <v>ORD-2025-10689</v>
      </c>
      <c r="B690" s="4" t="n">
        <f aca="false">IFERROR(IF(MID(raw_data!B690,3,1)="/",DATE(VALUE(RIGHT(raw_data!B690,4)),VALUE(LEFT(raw_data!B690,2)),VALUE(MID(raw_data!B690,4,2))),IF(MID(raw_data!B690,3,1)="-",DATE(VALUE(RIGHT(raw_data!B690,4)),VALUE(MID(raw_data!B690,4,2)),VALUE(LEFT(raw_data!B690,2))),IF(MID(raw_data!B690,5,1)="-",DATE(VALUE(LEFT(raw_data!B690,4)),VALUE(MID(raw_data!B690,6,2)),VALUE(RIGHT(raw_data!B690,2))),DATE(VALUE(RIGHT(raw_data!B690,4)),MATCH(MID(raw_data!B690,4,3),{"Jan","Feb","Mar","Apr","May","Jun","Jul","Aug","Sep","Oct","Nov","Dec"},0),VALUE(LEFT(raw_data!B690,2)))))),"")</f>
        <v>45714</v>
      </c>
      <c r="C690" s="4" t="n">
        <f aca="false">IFERROR(IF(MID(raw_data!C690,3,1)="/",DATE(VALUE(RIGHT(raw_data!C690,4)),VALUE(LEFT(raw_data!C690,2)),VALUE(MID(raw_data!C690,4,2))),IF(MID(raw_data!C690,3,1)="-",DATE(VALUE(RIGHT(raw_data!C690,4)),VALUE(MID(raw_data!C690,4,2)),VALUE(LEFT(raw_data!C690,2))),IF(MID(raw_data!C690,5,1)="-",DATE(VALUE(LEFT(raw_data!C690,4)),VALUE(MID(raw_data!C690,6,2)),VALUE(RIGHT(raw_data!C690,2))),DATE(VALUE(RIGHT(raw_data!C690,4)),MATCH(MID(raw_data!C690,4,3),{"Jan","Feb","Mar","Apr","May","Jun","Jul","Aug","Sep","Oct","Nov","Dec"},0),VALUE(LEFT(raw_data!C690,2)))))),"")</f>
        <v>45715</v>
      </c>
      <c r="D690" s="3" t="str">
        <f aca="false">IF(TRIM(raw_data!B690)="","Missing",IF(B690="","Invalid/Unrecognized","Valid"))</f>
        <v>Valid</v>
      </c>
      <c r="E690" s="3" t="str">
        <f aca="false">IF(TRIM(raw_data!C690)="","Missing",IF(C690="","Invalid/Unrecognized","Valid"))</f>
        <v>Valid</v>
      </c>
      <c r="F690" s="5" t="n">
        <f aca="false">IF(OR(B690="",C690=""),"",C690-B690)</f>
        <v>1</v>
      </c>
      <c r="G690" s="3" t="str">
        <f aca="false">IF(F690="","N/A",IF(F690&lt;0,"Invalid - Ship Before Order","OK"))</f>
        <v>OK</v>
      </c>
      <c r="H690" s="3" t="str">
        <f aca="false">raw_data!D690</f>
        <v>CUST-8575</v>
      </c>
      <c r="I690" s="3" t="str">
        <f aca="false">PROPER(TRIM(raw_data!E690))</f>
        <v>Neha Gupta</v>
      </c>
      <c r="J690" s="3" t="str">
        <f aca="false">PROPER(TRIM(raw_data!F690))</f>
        <v>Home Office</v>
      </c>
      <c r="K690" s="3" t="str">
        <f aca="false">IF(TRIM(raw_data!G690)="","Unknown",PROPER(TRIM(raw_data!G690)))</f>
        <v>North</v>
      </c>
      <c r="L690" s="3" t="str">
        <f aca="false">IF(TRIM(raw_data!G690)="","Filled - Unknown","OK")</f>
        <v>OK</v>
      </c>
      <c r="M690" s="3" t="str">
        <f aca="false">PROPER(TRIM(raw_data!H690))</f>
        <v>Haryana</v>
      </c>
      <c r="N690" s="3" t="str">
        <f aca="false">PROPER(TRIM(raw_data!I690))</f>
        <v>Gurugram</v>
      </c>
      <c r="O690" s="3" t="str">
        <f aca="false">PROPER(TRIM(raw_data!J690))</f>
        <v>Office Supplies</v>
      </c>
      <c r="P690" s="3" t="str">
        <f aca="false">PROPER(TRIM(raw_data!K690))</f>
        <v>Art</v>
      </c>
      <c r="Q690" s="3" t="str">
        <f aca="false">TRIM(raw_data!L690)</f>
        <v>Basic Art 798</v>
      </c>
      <c r="R690" s="3" t="str">
        <f aca="false">IF(TRIM(raw_data!M690)="","Unknown",PROPER(TRIM(raw_data!M690)))</f>
        <v>Second Class</v>
      </c>
      <c r="S690" s="3" t="str">
        <f aca="false">IF(TRIM(raw_data!M690)="","Filled - Unknown","OK")</f>
        <v>OK</v>
      </c>
      <c r="T690" s="6" t="n">
        <f aca="false">raw_data!N690</f>
        <v>6</v>
      </c>
      <c r="U690" s="7" t="n">
        <f aca="false">raw_data!O690</f>
        <v>3037.66</v>
      </c>
      <c r="V690" s="8" t="n">
        <f aca="false">raw_data!P690</f>
        <v>0.15</v>
      </c>
      <c r="W690" s="8" t="n">
        <f aca="false">IF(raw_data!P690="",0,IF(ISTEXT(raw_data!P690),IF(RIGHT(raw_data!P690,1)="%",VALUE(LEFT(raw_data!P690,LEN(raw_data!P690)-1))/100,VALUE(raw_data!P690)),raw_data!P690))</f>
        <v>0.15</v>
      </c>
      <c r="X690" s="3" t="str">
        <f aca="false">IF(raw_data!P690="","Missing - Defaulted to 0",IF(W690&lt;0,"Negative - Invalid",IF(W690&gt;0.3,"Above Allowed Range - Invalid","Valid")))</f>
        <v>Valid</v>
      </c>
      <c r="Y690" s="7" t="n">
        <f aca="false">raw_data!Q690</f>
        <v>15492.07</v>
      </c>
      <c r="Z690" s="7" t="n">
        <f aca="false">raw_data!R690</f>
        <v>12581.23</v>
      </c>
      <c r="AA690" s="7" t="n">
        <f aca="false">raw_data!S690</f>
        <v>2910.84</v>
      </c>
      <c r="AB690" s="3" t="str">
        <f aca="false">PROPER(TRIM(raw_data!T690))</f>
        <v>Paid</v>
      </c>
      <c r="AC690" s="3" t="str">
        <f aca="false">PROPER(TRIM(raw_data!U690))</f>
        <v>Completed</v>
      </c>
      <c r="AD690" s="7" t="n">
        <f aca="false">T690*U690*(1-W690)</f>
        <v>15492.066</v>
      </c>
      <c r="AE690" s="7" t="n">
        <f aca="false">AD690-Z690</f>
        <v>2910.836</v>
      </c>
      <c r="AF690" s="8" t="n">
        <f aca="false">IF(AD690=0,0,AE690/AD690)</f>
        <v>0.187892047451902</v>
      </c>
      <c r="AG690" s="3" t="str">
        <f aca="false">IF(ABS(Y690-AD690)&gt;1,"Mismatch","OK")</f>
        <v>OK</v>
      </c>
      <c r="AH690" s="3" t="str">
        <f aca="false">IF(ABS(AA690-AE690)&gt;1,"Mismatch","OK")</f>
        <v>OK</v>
      </c>
      <c r="AI690" s="6" t="n">
        <f aca="false">IF(B690="","",MONTH(B690))</f>
        <v>2</v>
      </c>
      <c r="AJ690" s="6" t="n">
        <f aca="false">IF(B690="","",YEAR(B690))</f>
        <v>2025</v>
      </c>
      <c r="AK690" s="3" t="str">
        <f aca="false">IF(COUNTIF(raw_data!$A$2:$A$913,A690)&gt;1,"Conflicting Duplicate - Flagged for Review","Unique")</f>
        <v>Unique</v>
      </c>
      <c r="AL690" s="3" t="str">
        <f aca="false">IF(AB690="Refunded","Yes","No")</f>
        <v>No</v>
      </c>
      <c r="AM690" s="3" t="str">
        <f aca="false">IF(OR(AC690&lt;&gt;"Completed",AB690="Failed"),"Excluded","Included")</f>
        <v>Included</v>
      </c>
      <c r="AN690" s="3" t="str">
        <f aca="false">IF(OR(D690="Invalid/Unrecognized",E690="Invalid/Unrecognized",G690="Invalid - Ship Before Order",X690="Negative - Invalid",X690="Above Allowed Range - Invalid",AG690="Mismatch",AH690="Mismatch",AK690="Conflicting Duplicate - Flagged for Review"),"Invalid",IF(OR(L690="Filled - Unknown",S690="Filled - Unknown",X690="Missing - Defaulted to 0",AL690="Yes",AC690="Cancelled",AC690="Returned"),"Warning","Clean"))</f>
        <v>Clean</v>
      </c>
    </row>
    <row r="691" customFormat="false" ht="15" hidden="false" customHeight="false" outlineLevel="0" collapsed="false">
      <c r="A691" s="3" t="str">
        <f aca="false">raw_data!A691</f>
        <v>ORD-2024-10690</v>
      </c>
      <c r="B691" s="4" t="n">
        <f aca="false">IFERROR(IF(MID(raw_data!B691,3,1)="/",DATE(VALUE(RIGHT(raw_data!B691,4)),VALUE(LEFT(raw_data!B691,2)),VALUE(MID(raw_data!B691,4,2))),IF(MID(raw_data!B691,3,1)="-",DATE(VALUE(RIGHT(raw_data!B691,4)),VALUE(MID(raw_data!B691,4,2)),VALUE(LEFT(raw_data!B691,2))),IF(MID(raw_data!B691,5,1)="-",DATE(VALUE(LEFT(raw_data!B691,4)),VALUE(MID(raw_data!B691,6,2)),VALUE(RIGHT(raw_data!B691,2))),DATE(VALUE(RIGHT(raw_data!B691,4)),MATCH(MID(raw_data!B691,4,3),{"Jan","Feb","Mar","Apr","May","Jun","Jul","Aug","Sep","Oct","Nov","Dec"},0),VALUE(LEFT(raw_data!B691,2)))))),"")</f>
        <v>45570</v>
      </c>
      <c r="C691" s="4" t="n">
        <f aca="false">IFERROR(IF(MID(raw_data!C691,3,1)="/",DATE(VALUE(RIGHT(raw_data!C691,4)),VALUE(LEFT(raw_data!C691,2)),VALUE(MID(raw_data!C691,4,2))),IF(MID(raw_data!C691,3,1)="-",DATE(VALUE(RIGHT(raw_data!C691,4)),VALUE(MID(raw_data!C691,4,2)),VALUE(LEFT(raw_data!C691,2))),IF(MID(raw_data!C691,5,1)="-",DATE(VALUE(LEFT(raw_data!C691,4)),VALUE(MID(raw_data!C691,6,2)),VALUE(RIGHT(raw_data!C691,2))),DATE(VALUE(RIGHT(raw_data!C691,4)),MATCH(MID(raw_data!C691,4,3),{"Jan","Feb","Mar","Apr","May","Jun","Jul","Aug","Sep","Oct","Nov","Dec"},0),VALUE(LEFT(raw_data!C691,2)))))),"")</f>
        <v>45571</v>
      </c>
      <c r="D691" s="3" t="str">
        <f aca="false">IF(TRIM(raw_data!B691)="","Missing",IF(B691="","Invalid/Unrecognized","Valid"))</f>
        <v>Valid</v>
      </c>
      <c r="E691" s="3" t="str">
        <f aca="false">IF(TRIM(raw_data!C691)="","Missing",IF(C691="","Invalid/Unrecognized","Valid"))</f>
        <v>Valid</v>
      </c>
      <c r="F691" s="5" t="n">
        <f aca="false">IF(OR(B691="",C691=""),"",C691-B691)</f>
        <v>1</v>
      </c>
      <c r="G691" s="3" t="str">
        <f aca="false">IF(F691="","N/A",IF(F691&lt;0,"Invalid - Ship Before Order","OK"))</f>
        <v>OK</v>
      </c>
      <c r="H691" s="3" t="str">
        <f aca="false">raw_data!D691</f>
        <v>CUST-4382</v>
      </c>
      <c r="I691" s="3" t="str">
        <f aca="false">PROPER(TRIM(raw_data!E691))</f>
        <v>Rohan Mehta</v>
      </c>
      <c r="J691" s="3" t="str">
        <f aca="false">PROPER(TRIM(raw_data!F691))</f>
        <v>Small Business</v>
      </c>
      <c r="K691" s="3" t="str">
        <f aca="false">IF(TRIM(raw_data!G691)="","Unknown",PROPER(TRIM(raw_data!G691)))</f>
        <v>North</v>
      </c>
      <c r="L691" s="3" t="str">
        <f aca="false">IF(TRIM(raw_data!G691)="","Filled - Unknown","OK")</f>
        <v>OK</v>
      </c>
      <c r="M691" s="3" t="str">
        <f aca="false">PROPER(TRIM(raw_data!H691))</f>
        <v>Punjab</v>
      </c>
      <c r="N691" s="3" t="str">
        <f aca="false">PROPER(TRIM(raw_data!I691))</f>
        <v>Ludhiana</v>
      </c>
      <c r="O691" s="3" t="str">
        <f aca="false">PROPER(TRIM(raw_data!J691))</f>
        <v>Furniture</v>
      </c>
      <c r="P691" s="3" t="str">
        <f aca="false">PROPER(TRIM(raw_data!K691))</f>
        <v>Tables</v>
      </c>
      <c r="Q691" s="3" t="str">
        <f aca="false">TRIM(raw_data!L691)</f>
        <v>Elite Tables 717</v>
      </c>
      <c r="R691" s="3" t="str">
        <f aca="false">IF(TRIM(raw_data!M691)="","Unknown",PROPER(TRIM(raw_data!M691)))</f>
        <v>Standard Class</v>
      </c>
      <c r="S691" s="3" t="str">
        <f aca="false">IF(TRIM(raw_data!M691)="","Filled - Unknown","OK")</f>
        <v>OK</v>
      </c>
      <c r="T691" s="6" t="n">
        <f aca="false">raw_data!N691</f>
        <v>9</v>
      </c>
      <c r="U691" s="7" t="n">
        <f aca="false">raw_data!O691</f>
        <v>489.58</v>
      </c>
      <c r="V691" s="8" t="n">
        <f aca="false">raw_data!P691</f>
        <v>0.15</v>
      </c>
      <c r="W691" s="8" t="n">
        <f aca="false">IF(raw_data!P691="",0,IF(ISTEXT(raw_data!P691),IF(RIGHT(raw_data!P691,1)="%",VALUE(LEFT(raw_data!P691,LEN(raw_data!P691)-1))/100,VALUE(raw_data!P691)),raw_data!P691))</f>
        <v>0.15</v>
      </c>
      <c r="X691" s="3" t="str">
        <f aca="false">IF(raw_data!P691="","Missing - Defaulted to 0",IF(W691&lt;0,"Negative - Invalid",IF(W691&gt;0.3,"Above Allowed Range - Invalid","Valid")))</f>
        <v>Valid</v>
      </c>
      <c r="Y691" s="7" t="n">
        <f aca="false">raw_data!Q691</f>
        <v>3745.29</v>
      </c>
      <c r="Z691" s="7" t="n">
        <f aca="false">raw_data!R691</f>
        <v>2302.65</v>
      </c>
      <c r="AA691" s="7" t="n">
        <f aca="false">raw_data!S691</f>
        <v>1442.64</v>
      </c>
      <c r="AB691" s="3" t="str">
        <f aca="false">PROPER(TRIM(raw_data!T691))</f>
        <v>Failed</v>
      </c>
      <c r="AC691" s="3" t="str">
        <f aca="false">PROPER(TRIM(raw_data!U691))</f>
        <v>Cancelled</v>
      </c>
      <c r="AD691" s="7" t="n">
        <f aca="false">T691*U691*(1-W691)</f>
        <v>3745.287</v>
      </c>
      <c r="AE691" s="7" t="n">
        <f aca="false">AD691-Z691</f>
        <v>1442.637</v>
      </c>
      <c r="AF691" s="8" t="n">
        <f aca="false">IF(AD691=0,0,AE691/AD691)</f>
        <v>0.385187303402917</v>
      </c>
      <c r="AG691" s="3" t="str">
        <f aca="false">IF(ABS(Y691-AD691)&gt;1,"Mismatch","OK")</f>
        <v>OK</v>
      </c>
      <c r="AH691" s="3" t="str">
        <f aca="false">IF(ABS(AA691-AE691)&gt;1,"Mismatch","OK")</f>
        <v>OK</v>
      </c>
      <c r="AI691" s="6" t="n">
        <f aca="false">IF(B691="","",MONTH(B691))</f>
        <v>10</v>
      </c>
      <c r="AJ691" s="6" t="n">
        <f aca="false">IF(B691="","",YEAR(B691))</f>
        <v>2024</v>
      </c>
      <c r="AK691" s="3" t="str">
        <f aca="false">IF(COUNTIF(raw_data!$A$2:$A$913,A691)&gt;1,"Conflicting Duplicate - Flagged for Review","Unique")</f>
        <v>Unique</v>
      </c>
      <c r="AL691" s="3" t="str">
        <f aca="false">IF(AB691="Refunded","Yes","No")</f>
        <v>No</v>
      </c>
      <c r="AM691" s="3" t="str">
        <f aca="false">IF(OR(AC691&lt;&gt;"Completed",AB691="Failed"),"Excluded","Included")</f>
        <v>Excluded</v>
      </c>
      <c r="AN691" s="3" t="str">
        <f aca="false">IF(OR(D691="Invalid/Unrecognized",E691="Invalid/Unrecognized",G691="Invalid - Ship Before Order",X691="Negative - Invalid",X691="Above Allowed Range - Invalid",AG691="Mismatch",AH691="Mismatch",AK691="Conflicting Duplicate - Flagged for Review"),"Invalid",IF(OR(L691="Filled - Unknown",S691="Filled - Unknown",X691="Missing - Defaulted to 0",AL691="Yes",AC691="Cancelled",AC691="Returned"),"Warning","Clean"))</f>
        <v>Warning</v>
      </c>
    </row>
    <row r="692" customFormat="false" ht="15" hidden="false" customHeight="false" outlineLevel="0" collapsed="false">
      <c r="A692" s="3" t="str">
        <f aca="false">raw_data!A692</f>
        <v>ORD-2024-10691</v>
      </c>
      <c r="B692" s="4" t="n">
        <f aca="false">IFERROR(IF(MID(raw_data!B692,3,1)="/",DATE(VALUE(RIGHT(raw_data!B692,4)),VALUE(LEFT(raw_data!B692,2)),VALUE(MID(raw_data!B692,4,2))),IF(MID(raw_data!B692,3,1)="-",DATE(VALUE(RIGHT(raw_data!B692,4)),VALUE(MID(raw_data!B692,4,2)),VALUE(LEFT(raw_data!B692,2))),IF(MID(raw_data!B692,5,1)="-",DATE(VALUE(LEFT(raw_data!B692,4)),VALUE(MID(raw_data!B692,6,2)),VALUE(RIGHT(raw_data!B692,2))),DATE(VALUE(RIGHT(raw_data!B692,4)),MATCH(MID(raw_data!B692,4,3),{"Jan","Feb","Mar","Apr","May","Jun","Jul","Aug","Sep","Oct","Nov","Dec"},0),VALUE(LEFT(raw_data!B692,2)))))),"")</f>
        <v>45546</v>
      </c>
      <c r="C692" s="4" t="n">
        <f aca="false">IFERROR(IF(MID(raw_data!C692,3,1)="/",DATE(VALUE(RIGHT(raw_data!C692,4)),VALUE(LEFT(raw_data!C692,2)),VALUE(MID(raw_data!C692,4,2))),IF(MID(raw_data!C692,3,1)="-",DATE(VALUE(RIGHT(raw_data!C692,4)),VALUE(MID(raw_data!C692,4,2)),VALUE(LEFT(raw_data!C692,2))),IF(MID(raw_data!C692,5,1)="-",DATE(VALUE(LEFT(raw_data!C692,4)),VALUE(MID(raw_data!C692,6,2)),VALUE(RIGHT(raw_data!C692,2))),DATE(VALUE(RIGHT(raw_data!C692,4)),MATCH(MID(raw_data!C692,4,3),{"Jan","Feb","Mar","Apr","May","Jun","Jul","Aug","Sep","Oct","Nov","Dec"},0),VALUE(LEFT(raw_data!C692,2)))))),"")</f>
        <v>45550</v>
      </c>
      <c r="D692" s="3" t="str">
        <f aca="false">IF(TRIM(raw_data!B692)="","Missing",IF(B692="","Invalid/Unrecognized","Valid"))</f>
        <v>Valid</v>
      </c>
      <c r="E692" s="3" t="str">
        <f aca="false">IF(TRIM(raw_data!C692)="","Missing",IF(C692="","Invalid/Unrecognized","Valid"))</f>
        <v>Valid</v>
      </c>
      <c r="F692" s="5" t="n">
        <f aca="false">IF(OR(B692="",C692=""),"",C692-B692)</f>
        <v>4</v>
      </c>
      <c r="G692" s="3" t="str">
        <f aca="false">IF(F692="","N/A",IF(F692&lt;0,"Invalid - Ship Before Order","OK"))</f>
        <v>OK</v>
      </c>
      <c r="H692" s="3" t="str">
        <f aca="false">raw_data!D692</f>
        <v>CUST-6815</v>
      </c>
      <c r="I692" s="3" t="str">
        <f aca="false">PROPER(TRIM(raw_data!E692))</f>
        <v>Sneha Kapoor</v>
      </c>
      <c r="J692" s="3" t="str">
        <f aca="false">PROPER(TRIM(raw_data!F692))</f>
        <v>Corporate</v>
      </c>
      <c r="K692" s="3" t="str">
        <f aca="false">IF(TRIM(raw_data!G692)="","Unknown",PROPER(TRIM(raw_data!G692)))</f>
        <v>South</v>
      </c>
      <c r="L692" s="3" t="str">
        <f aca="false">IF(TRIM(raw_data!G692)="","Filled - Unknown","OK")</f>
        <v>OK</v>
      </c>
      <c r="M692" s="3" t="str">
        <f aca="false">PROPER(TRIM(raw_data!H692))</f>
        <v>Tamil Nadu</v>
      </c>
      <c r="N692" s="3" t="str">
        <f aca="false">PROPER(TRIM(raw_data!I692))</f>
        <v>Chennai</v>
      </c>
      <c r="O692" s="3" t="str">
        <f aca="false">PROPER(TRIM(raw_data!J692))</f>
        <v>Office Supplies</v>
      </c>
      <c r="P692" s="3" t="str">
        <f aca="false">PROPER(TRIM(raw_data!K692))</f>
        <v>Art</v>
      </c>
      <c r="Q692" s="3" t="str">
        <f aca="false">TRIM(raw_data!L692)</f>
        <v>Max Art 725</v>
      </c>
      <c r="R692" s="3" t="str">
        <f aca="false">IF(TRIM(raw_data!M692)="","Unknown",PROPER(TRIM(raw_data!M692)))</f>
        <v>Standard Class</v>
      </c>
      <c r="S692" s="3" t="str">
        <f aca="false">IF(TRIM(raw_data!M692)="","Filled - Unknown","OK")</f>
        <v>OK</v>
      </c>
      <c r="T692" s="6" t="n">
        <f aca="false">raw_data!N692</f>
        <v>4</v>
      </c>
      <c r="U692" s="7" t="n">
        <f aca="false">raw_data!O692</f>
        <v>865.63</v>
      </c>
      <c r="V692" s="8" t="n">
        <f aca="false">raw_data!P692</f>
        <v>0</v>
      </c>
      <c r="W692" s="8" t="n">
        <f aca="false">IF(raw_data!P692="",0,IF(ISTEXT(raw_data!P692),IF(RIGHT(raw_data!P692,1)="%",VALUE(LEFT(raw_data!P692,LEN(raw_data!P692)-1))/100,VALUE(raw_data!P692)),raw_data!P692))</f>
        <v>0</v>
      </c>
      <c r="X692" s="3" t="str">
        <f aca="false">IF(raw_data!P692="","Missing - Defaulted to 0",IF(W692&lt;0,"Negative - Invalid",IF(W692&gt;0.3,"Above Allowed Range - Invalid","Valid")))</f>
        <v>Valid</v>
      </c>
      <c r="Y692" s="7" t="n">
        <f aca="false">raw_data!Q692</f>
        <v>3462.52</v>
      </c>
      <c r="Z692" s="7" t="n">
        <f aca="false">raw_data!R692</f>
        <v>2797.29</v>
      </c>
      <c r="AA692" s="7" t="n">
        <f aca="false">raw_data!S692</f>
        <v>665.23</v>
      </c>
      <c r="AB692" s="3" t="str">
        <f aca="false">PROPER(TRIM(raw_data!T692))</f>
        <v>Failed</v>
      </c>
      <c r="AC692" s="3" t="str">
        <f aca="false">PROPER(TRIM(raw_data!U692))</f>
        <v>Returned</v>
      </c>
      <c r="AD692" s="7" t="n">
        <f aca="false">T692*U692*(1-W692)</f>
        <v>3462.52</v>
      </c>
      <c r="AE692" s="7" t="n">
        <f aca="false">AD692-Z692</f>
        <v>665.23</v>
      </c>
      <c r="AF692" s="8" t="n">
        <f aca="false">IF(AD692=0,0,AE692/AD692)</f>
        <v>0.192123077989441</v>
      </c>
      <c r="AG692" s="3" t="str">
        <f aca="false">IF(ABS(Y692-AD692)&gt;1,"Mismatch","OK")</f>
        <v>OK</v>
      </c>
      <c r="AH692" s="3" t="str">
        <f aca="false">IF(ABS(AA692-AE692)&gt;1,"Mismatch","OK")</f>
        <v>OK</v>
      </c>
      <c r="AI692" s="6" t="n">
        <f aca="false">IF(B692="","",MONTH(B692))</f>
        <v>9</v>
      </c>
      <c r="AJ692" s="6" t="n">
        <f aca="false">IF(B692="","",YEAR(B692))</f>
        <v>2024</v>
      </c>
      <c r="AK692" s="3" t="str">
        <f aca="false">IF(COUNTIF(raw_data!$A$2:$A$913,A692)&gt;1,"Conflicting Duplicate - Flagged for Review","Unique")</f>
        <v>Unique</v>
      </c>
      <c r="AL692" s="3" t="str">
        <f aca="false">IF(AB692="Refunded","Yes","No")</f>
        <v>No</v>
      </c>
      <c r="AM692" s="3" t="str">
        <f aca="false">IF(OR(AC692&lt;&gt;"Completed",AB692="Failed"),"Excluded","Included")</f>
        <v>Excluded</v>
      </c>
      <c r="AN692" s="3" t="str">
        <f aca="false">IF(OR(D692="Invalid/Unrecognized",E692="Invalid/Unrecognized",G692="Invalid - Ship Before Order",X692="Negative - Invalid",X692="Above Allowed Range - Invalid",AG692="Mismatch",AH692="Mismatch",AK692="Conflicting Duplicate - Flagged for Review"),"Invalid",IF(OR(L692="Filled - Unknown",S692="Filled - Unknown",X692="Missing - Defaulted to 0",AL692="Yes",AC692="Cancelled",AC692="Returned"),"Warning","Clean"))</f>
        <v>Warning</v>
      </c>
    </row>
    <row r="693" customFormat="false" ht="15" hidden="false" customHeight="false" outlineLevel="0" collapsed="false">
      <c r="A693" s="3" t="str">
        <f aca="false">raw_data!A693</f>
        <v>ORD-2024-10692</v>
      </c>
      <c r="B693" s="4" t="n">
        <f aca="false">IFERROR(IF(MID(raw_data!B693,3,1)="/",DATE(VALUE(RIGHT(raw_data!B693,4)),VALUE(LEFT(raw_data!B693,2)),VALUE(MID(raw_data!B693,4,2))),IF(MID(raw_data!B693,3,1)="-",DATE(VALUE(RIGHT(raw_data!B693,4)),VALUE(MID(raw_data!B693,4,2)),VALUE(LEFT(raw_data!B693,2))),IF(MID(raw_data!B693,5,1)="-",DATE(VALUE(LEFT(raw_data!B693,4)),VALUE(MID(raw_data!B693,6,2)),VALUE(RIGHT(raw_data!B693,2))),DATE(VALUE(RIGHT(raw_data!B693,4)),MATCH(MID(raw_data!B693,4,3),{"Jan","Feb","Mar","Apr","May","Jun","Jul","Aug","Sep","Oct","Nov","Dec"},0),VALUE(LEFT(raw_data!B693,2)))))),"")</f>
        <v>45641</v>
      </c>
      <c r="C693" s="4" t="n">
        <f aca="false">IFERROR(IF(MID(raw_data!C693,3,1)="/",DATE(VALUE(RIGHT(raw_data!C693,4)),VALUE(LEFT(raw_data!C693,2)),VALUE(MID(raw_data!C693,4,2))),IF(MID(raw_data!C693,3,1)="-",DATE(VALUE(RIGHT(raw_data!C693,4)),VALUE(MID(raw_data!C693,4,2)),VALUE(LEFT(raw_data!C693,2))),IF(MID(raw_data!C693,5,1)="-",DATE(VALUE(LEFT(raw_data!C693,4)),VALUE(MID(raw_data!C693,6,2)),VALUE(RIGHT(raw_data!C693,2))),DATE(VALUE(RIGHT(raw_data!C693,4)),MATCH(MID(raw_data!C693,4,3),{"Jan","Feb","Mar","Apr","May","Jun","Jul","Aug","Sep","Oct","Nov","Dec"},0),VALUE(LEFT(raw_data!C693,2)))))),"")</f>
        <v>45642</v>
      </c>
      <c r="D693" s="3" t="str">
        <f aca="false">IF(TRIM(raw_data!B693)="","Missing",IF(B693="","Invalid/Unrecognized","Valid"))</f>
        <v>Valid</v>
      </c>
      <c r="E693" s="3" t="str">
        <f aca="false">IF(TRIM(raw_data!C693)="","Missing",IF(C693="","Invalid/Unrecognized","Valid"))</f>
        <v>Valid</v>
      </c>
      <c r="F693" s="5" t="n">
        <f aca="false">IF(OR(B693="",C693=""),"",C693-B693)</f>
        <v>1</v>
      </c>
      <c r="G693" s="3" t="str">
        <f aca="false">IF(F693="","N/A",IF(F693&lt;0,"Invalid - Ship Before Order","OK"))</f>
        <v>OK</v>
      </c>
      <c r="H693" s="3" t="str">
        <f aca="false">raw_data!D693</f>
        <v>CUST-7309</v>
      </c>
      <c r="I693" s="3" t="str">
        <f aca="false">PROPER(TRIM(raw_data!E693))</f>
        <v>Rohan Mehta</v>
      </c>
      <c r="J693" s="3" t="str">
        <f aca="false">PROPER(TRIM(raw_data!F693))</f>
        <v>Consumer</v>
      </c>
      <c r="K693" s="3" t="str">
        <f aca="false">IF(TRIM(raw_data!G693)="","Unknown",PROPER(TRIM(raw_data!G693)))</f>
        <v>East</v>
      </c>
      <c r="L693" s="3" t="str">
        <f aca="false">IF(TRIM(raw_data!G693)="","Filled - Unknown","OK")</f>
        <v>OK</v>
      </c>
      <c r="M693" s="3" t="str">
        <f aca="false">PROPER(TRIM(raw_data!H693))</f>
        <v>Odisha</v>
      </c>
      <c r="N693" s="3" t="str">
        <f aca="false">PROPER(TRIM(raw_data!I693))</f>
        <v>Bhubaneswar</v>
      </c>
      <c r="O693" s="3" t="str">
        <f aca="false">PROPER(TRIM(raw_data!J693))</f>
        <v>Technology</v>
      </c>
      <c r="P693" s="3" t="str">
        <f aca="false">PROPER(TRIM(raw_data!K693))</f>
        <v>Copiers</v>
      </c>
      <c r="Q693" s="3" t="str">
        <f aca="false">TRIM(raw_data!L693)</f>
        <v>Smart Copiers 456</v>
      </c>
      <c r="R693" s="3" t="str">
        <f aca="false">IF(TRIM(raw_data!M693)="","Unknown",PROPER(TRIM(raw_data!M693)))</f>
        <v>Second Class</v>
      </c>
      <c r="S693" s="3" t="str">
        <f aca="false">IF(TRIM(raw_data!M693)="","Filled - Unknown","OK")</f>
        <v>OK</v>
      </c>
      <c r="T693" s="6" t="n">
        <f aca="false">raw_data!N693</f>
        <v>6</v>
      </c>
      <c r="U693" s="7" t="n">
        <f aca="false">raw_data!O693</f>
        <v>1538.1</v>
      </c>
      <c r="V693" s="8" t="n">
        <f aca="false">raw_data!P693</f>
        <v>0.05</v>
      </c>
      <c r="W693" s="8" t="n">
        <f aca="false">IF(raw_data!P693="",0,IF(ISTEXT(raw_data!P693),IF(RIGHT(raw_data!P693,1)="%",VALUE(LEFT(raw_data!P693,LEN(raw_data!P693)-1))/100,VALUE(raw_data!P693)),raw_data!P693))</f>
        <v>0.05</v>
      </c>
      <c r="X693" s="3" t="str">
        <f aca="false">IF(raw_data!P693="","Missing - Defaulted to 0",IF(W693&lt;0,"Negative - Invalid",IF(W693&gt;0.3,"Above Allowed Range - Invalid","Valid")))</f>
        <v>Valid</v>
      </c>
      <c r="Y693" s="7" t="n">
        <f aca="false">raw_data!Q693</f>
        <v>8767.17</v>
      </c>
      <c r="Z693" s="7" t="n">
        <f aca="false">raw_data!R693</f>
        <v>5098.2</v>
      </c>
      <c r="AA693" s="7" t="n">
        <f aca="false">raw_data!S693</f>
        <v>3668.97</v>
      </c>
      <c r="AB693" s="3" t="str">
        <f aca="false">PROPER(TRIM(raw_data!T693))</f>
        <v>Paid</v>
      </c>
      <c r="AC693" s="3" t="str">
        <f aca="false">PROPER(TRIM(raw_data!U693))</f>
        <v>Completed</v>
      </c>
      <c r="AD693" s="7" t="n">
        <f aca="false">T693*U693*(1-W693)</f>
        <v>8767.17</v>
      </c>
      <c r="AE693" s="7" t="n">
        <f aca="false">AD693-Z693</f>
        <v>3668.97</v>
      </c>
      <c r="AF693" s="8" t="n">
        <f aca="false">IF(AD693=0,0,AE693/AD693)</f>
        <v>0.418489660859776</v>
      </c>
      <c r="AG693" s="3" t="str">
        <f aca="false">IF(ABS(Y693-AD693)&gt;1,"Mismatch","OK")</f>
        <v>OK</v>
      </c>
      <c r="AH693" s="3" t="str">
        <f aca="false">IF(ABS(AA693-AE693)&gt;1,"Mismatch","OK")</f>
        <v>OK</v>
      </c>
      <c r="AI693" s="6" t="n">
        <f aca="false">IF(B693="","",MONTH(B693))</f>
        <v>12</v>
      </c>
      <c r="AJ693" s="6" t="n">
        <f aca="false">IF(B693="","",YEAR(B693))</f>
        <v>2024</v>
      </c>
      <c r="AK693" s="3" t="str">
        <f aca="false">IF(COUNTIF(raw_data!$A$2:$A$913,A693)&gt;1,"Conflicting Duplicate - Flagged for Review","Unique")</f>
        <v>Unique</v>
      </c>
      <c r="AL693" s="3" t="str">
        <f aca="false">IF(AB693="Refunded","Yes","No")</f>
        <v>No</v>
      </c>
      <c r="AM693" s="3" t="str">
        <f aca="false">IF(OR(AC693&lt;&gt;"Completed",AB693="Failed"),"Excluded","Included")</f>
        <v>Included</v>
      </c>
      <c r="AN693" s="3" t="str">
        <f aca="false">IF(OR(D693="Invalid/Unrecognized",E693="Invalid/Unrecognized",G693="Invalid - Ship Before Order",X693="Negative - Invalid",X693="Above Allowed Range - Invalid",AG693="Mismatch",AH693="Mismatch",AK693="Conflicting Duplicate - Flagged for Review"),"Invalid",IF(OR(L693="Filled - Unknown",S693="Filled - Unknown",X693="Missing - Defaulted to 0",AL693="Yes",AC693="Cancelled",AC693="Returned"),"Warning","Clean"))</f>
        <v>Clean</v>
      </c>
    </row>
    <row r="694" customFormat="false" ht="15" hidden="false" customHeight="false" outlineLevel="0" collapsed="false">
      <c r="A694" s="3" t="str">
        <f aca="false">raw_data!A694</f>
        <v>ORD-2025-10693</v>
      </c>
      <c r="B694" s="4" t="n">
        <f aca="false">IFERROR(IF(MID(raw_data!B694,3,1)="/",DATE(VALUE(RIGHT(raw_data!B694,4)),VALUE(LEFT(raw_data!B694,2)),VALUE(MID(raw_data!B694,4,2))),IF(MID(raw_data!B694,3,1)="-",DATE(VALUE(RIGHT(raw_data!B694,4)),VALUE(MID(raw_data!B694,4,2)),VALUE(LEFT(raw_data!B694,2))),IF(MID(raw_data!B694,5,1)="-",DATE(VALUE(LEFT(raw_data!B694,4)),VALUE(MID(raw_data!B694,6,2)),VALUE(RIGHT(raw_data!B694,2))),DATE(VALUE(RIGHT(raw_data!B694,4)),MATCH(MID(raw_data!B694,4,3),{"Jan","Feb","Mar","Apr","May","Jun","Jul","Aug","Sep","Oct","Nov","Dec"},0),VALUE(LEFT(raw_data!B694,2)))))),"")</f>
        <v>45935</v>
      </c>
      <c r="C694" s="4" t="n">
        <f aca="false">IFERROR(IF(MID(raw_data!C694,3,1)="/",DATE(VALUE(RIGHT(raw_data!C694,4)),VALUE(LEFT(raw_data!C694,2)),VALUE(MID(raw_data!C694,4,2))),IF(MID(raw_data!C694,3,1)="-",DATE(VALUE(RIGHT(raw_data!C694,4)),VALUE(MID(raw_data!C694,4,2)),VALUE(LEFT(raw_data!C694,2))),IF(MID(raw_data!C694,5,1)="-",DATE(VALUE(LEFT(raw_data!C694,4)),VALUE(MID(raw_data!C694,6,2)),VALUE(RIGHT(raw_data!C694,2))),DATE(VALUE(RIGHT(raw_data!C694,4)),MATCH(MID(raw_data!C694,4,3),{"Jan","Feb","Mar","Apr","May","Jun","Jul","Aug","Sep","Oct","Nov","Dec"},0),VALUE(LEFT(raw_data!C694,2)))))),"")</f>
        <v>45940</v>
      </c>
      <c r="D694" s="3" t="str">
        <f aca="false">IF(TRIM(raw_data!B694)="","Missing",IF(B694="","Invalid/Unrecognized","Valid"))</f>
        <v>Valid</v>
      </c>
      <c r="E694" s="3" t="str">
        <f aca="false">IF(TRIM(raw_data!C694)="","Missing",IF(C694="","Invalid/Unrecognized","Valid"))</f>
        <v>Valid</v>
      </c>
      <c r="F694" s="5" t="n">
        <f aca="false">IF(OR(B694="",C694=""),"",C694-B694)</f>
        <v>5</v>
      </c>
      <c r="G694" s="3" t="str">
        <f aca="false">IF(F694="","N/A",IF(F694&lt;0,"Invalid - Ship Before Order","OK"))</f>
        <v>OK</v>
      </c>
      <c r="H694" s="3" t="str">
        <f aca="false">raw_data!D694</f>
        <v>CUST-9531</v>
      </c>
      <c r="I694" s="3" t="str">
        <f aca="false">PROPER(TRIM(raw_data!E694))</f>
        <v>Isha Nair</v>
      </c>
      <c r="J694" s="3" t="str">
        <f aca="false">PROPER(TRIM(raw_data!F694))</f>
        <v>Corporate</v>
      </c>
      <c r="K694" s="3" t="str">
        <f aca="false">IF(TRIM(raw_data!G694)="","Unknown",PROPER(TRIM(raw_data!G694)))</f>
        <v>South</v>
      </c>
      <c r="L694" s="3" t="str">
        <f aca="false">IF(TRIM(raw_data!G694)="","Filled - Unknown","OK")</f>
        <v>OK</v>
      </c>
      <c r="M694" s="3" t="str">
        <f aca="false">PROPER(TRIM(raw_data!H694))</f>
        <v>Karnataka</v>
      </c>
      <c r="N694" s="3" t="str">
        <f aca="false">PROPER(TRIM(raw_data!I694))</f>
        <v>Bengaluru</v>
      </c>
      <c r="O694" s="3" t="str">
        <f aca="false">PROPER(TRIM(raw_data!J694))</f>
        <v>Furniture</v>
      </c>
      <c r="P694" s="3" t="str">
        <f aca="false">PROPER(TRIM(raw_data!K694))</f>
        <v>Furnishings</v>
      </c>
      <c r="Q694" s="3" t="str">
        <f aca="false">TRIM(raw_data!L694)</f>
        <v>Prime Furnishings 883</v>
      </c>
      <c r="R694" s="3" t="str">
        <f aca="false">IF(TRIM(raw_data!M694)="","Unknown",PROPER(TRIM(raw_data!M694)))</f>
        <v>Second Class</v>
      </c>
      <c r="S694" s="3" t="str">
        <f aca="false">IF(TRIM(raw_data!M694)="","Filled - Unknown","OK")</f>
        <v>OK</v>
      </c>
      <c r="T694" s="6" t="n">
        <f aca="false">raw_data!N694</f>
        <v>4</v>
      </c>
      <c r="U694" s="7" t="n">
        <f aca="false">raw_data!O694</f>
        <v>2365.68</v>
      </c>
      <c r="V694" s="8" t="n">
        <f aca="false">raw_data!P694</f>
        <v>0.1</v>
      </c>
      <c r="W694" s="8" t="n">
        <f aca="false">IF(raw_data!P694="",0,IF(ISTEXT(raw_data!P694),IF(RIGHT(raw_data!P694,1)="%",VALUE(LEFT(raw_data!P694,LEN(raw_data!P694)-1))/100,VALUE(raw_data!P694)),raw_data!P694))</f>
        <v>0.1</v>
      </c>
      <c r="X694" s="3" t="str">
        <f aca="false">IF(raw_data!P694="","Missing - Defaulted to 0",IF(W694&lt;0,"Negative - Invalid",IF(W694&gt;0.3,"Above Allowed Range - Invalid","Valid")))</f>
        <v>Valid</v>
      </c>
      <c r="Y694" s="7" t="n">
        <f aca="false">raw_data!Q694</f>
        <v>8516.45</v>
      </c>
      <c r="Z694" s="7" t="n">
        <f aca="false">raw_data!R694</f>
        <v>5903.81</v>
      </c>
      <c r="AA694" s="7" t="n">
        <f aca="false">raw_data!S694</f>
        <v>2612.64</v>
      </c>
      <c r="AB694" s="3" t="str">
        <f aca="false">PROPER(TRIM(raw_data!T694))</f>
        <v>Paid</v>
      </c>
      <c r="AC694" s="3" t="str">
        <f aca="false">PROPER(TRIM(raw_data!U694))</f>
        <v>Completed</v>
      </c>
      <c r="AD694" s="7" t="n">
        <f aca="false">T694*U694*(1-W694)</f>
        <v>8516.448</v>
      </c>
      <c r="AE694" s="7" t="n">
        <f aca="false">AD694-Z694</f>
        <v>2612.638</v>
      </c>
      <c r="AF694" s="8" t="n">
        <f aca="false">IF(AD694=0,0,AE694/AD694)</f>
        <v>0.306775547740091</v>
      </c>
      <c r="AG694" s="3" t="str">
        <f aca="false">IF(ABS(Y694-AD694)&gt;1,"Mismatch","OK")</f>
        <v>OK</v>
      </c>
      <c r="AH694" s="3" t="str">
        <f aca="false">IF(ABS(AA694-AE694)&gt;1,"Mismatch","OK")</f>
        <v>OK</v>
      </c>
      <c r="AI694" s="6" t="n">
        <f aca="false">IF(B694="","",MONTH(B694))</f>
        <v>10</v>
      </c>
      <c r="AJ694" s="6" t="n">
        <f aca="false">IF(B694="","",YEAR(B694))</f>
        <v>2025</v>
      </c>
      <c r="AK694" s="3" t="str">
        <f aca="false">IF(COUNTIF(raw_data!$A$2:$A$913,A694)&gt;1,"Conflicting Duplicate - Flagged for Review","Unique")</f>
        <v>Unique</v>
      </c>
      <c r="AL694" s="3" t="str">
        <f aca="false">IF(AB694="Refunded","Yes","No")</f>
        <v>No</v>
      </c>
      <c r="AM694" s="3" t="str">
        <f aca="false">IF(OR(AC694&lt;&gt;"Completed",AB694="Failed"),"Excluded","Included")</f>
        <v>Included</v>
      </c>
      <c r="AN694" s="3" t="str">
        <f aca="false">IF(OR(D694="Invalid/Unrecognized",E694="Invalid/Unrecognized",G694="Invalid - Ship Before Order",X694="Negative - Invalid",X694="Above Allowed Range - Invalid",AG694="Mismatch",AH694="Mismatch",AK694="Conflicting Duplicate - Flagged for Review"),"Invalid",IF(OR(L694="Filled - Unknown",S694="Filled - Unknown",X694="Missing - Defaulted to 0",AL694="Yes",AC694="Cancelled",AC694="Returned"),"Warning","Clean"))</f>
        <v>Clean</v>
      </c>
    </row>
    <row r="695" customFormat="false" ht="15" hidden="false" customHeight="false" outlineLevel="0" collapsed="false">
      <c r="A695" s="3" t="str">
        <f aca="false">raw_data!A695</f>
        <v>ORD-2025-10694</v>
      </c>
      <c r="B695" s="4" t="n">
        <f aca="false">IFERROR(IF(MID(raw_data!B695,3,1)="/",DATE(VALUE(RIGHT(raw_data!B695,4)),VALUE(LEFT(raw_data!B695,2)),VALUE(MID(raw_data!B695,4,2))),IF(MID(raw_data!B695,3,1)="-",DATE(VALUE(RIGHT(raw_data!B695,4)),VALUE(MID(raw_data!B695,4,2)),VALUE(LEFT(raw_data!B695,2))),IF(MID(raw_data!B695,5,1)="-",DATE(VALUE(LEFT(raw_data!B695,4)),VALUE(MID(raw_data!B695,6,2)),VALUE(RIGHT(raw_data!B695,2))),DATE(VALUE(RIGHT(raw_data!B695,4)),MATCH(MID(raw_data!B695,4,3),{"Jan","Feb","Mar","Apr","May","Jun","Jul","Aug","Sep","Oct","Nov","Dec"},0),VALUE(LEFT(raw_data!B695,2)))))),"")</f>
        <v>45750</v>
      </c>
      <c r="C695" s="4" t="n">
        <f aca="false">IFERROR(IF(MID(raw_data!C695,3,1)="/",DATE(VALUE(RIGHT(raw_data!C695,4)),VALUE(LEFT(raw_data!C695,2)),VALUE(MID(raw_data!C695,4,2))),IF(MID(raw_data!C695,3,1)="-",DATE(VALUE(RIGHT(raw_data!C695,4)),VALUE(MID(raw_data!C695,4,2)),VALUE(LEFT(raw_data!C695,2))),IF(MID(raw_data!C695,5,1)="-",DATE(VALUE(LEFT(raw_data!C695,4)),VALUE(MID(raw_data!C695,6,2)),VALUE(RIGHT(raw_data!C695,2))),DATE(VALUE(RIGHT(raw_data!C695,4)),MATCH(MID(raw_data!C695,4,3),{"Jan","Feb","Mar","Apr","May","Jun","Jul","Aug","Sep","Oct","Nov","Dec"},0),VALUE(LEFT(raw_data!C695,2)))))),"")</f>
        <v>45758</v>
      </c>
      <c r="D695" s="3" t="str">
        <f aca="false">IF(TRIM(raw_data!B695)="","Missing",IF(B695="","Invalid/Unrecognized","Valid"))</f>
        <v>Valid</v>
      </c>
      <c r="E695" s="3" t="str">
        <f aca="false">IF(TRIM(raw_data!C695)="","Missing",IF(C695="","Invalid/Unrecognized","Valid"))</f>
        <v>Valid</v>
      </c>
      <c r="F695" s="5" t="n">
        <f aca="false">IF(OR(B695="",C695=""),"",C695-B695)</f>
        <v>8</v>
      </c>
      <c r="G695" s="3" t="str">
        <f aca="false">IF(F695="","N/A",IF(F695&lt;0,"Invalid - Ship Before Order","OK"))</f>
        <v>OK</v>
      </c>
      <c r="H695" s="3" t="str">
        <f aca="false">raw_data!D695</f>
        <v>CUST-6032</v>
      </c>
      <c r="I695" s="3" t="str">
        <f aca="false">PROPER(TRIM(raw_data!E695))</f>
        <v>Arjun Bose</v>
      </c>
      <c r="J695" s="3" t="str">
        <f aca="false">PROPER(TRIM(raw_data!F695))</f>
        <v>Consumer</v>
      </c>
      <c r="K695" s="3" t="str">
        <f aca="false">IF(TRIM(raw_data!G695)="","Unknown",PROPER(TRIM(raw_data!G695)))</f>
        <v>South</v>
      </c>
      <c r="L695" s="3" t="str">
        <f aca="false">IF(TRIM(raw_data!G695)="","Filled - Unknown","OK")</f>
        <v>OK</v>
      </c>
      <c r="M695" s="3" t="str">
        <f aca="false">PROPER(TRIM(raw_data!H695))</f>
        <v>Tamil Nadu</v>
      </c>
      <c r="N695" s="3" t="str">
        <f aca="false">PROPER(TRIM(raw_data!I695))</f>
        <v>Chennai</v>
      </c>
      <c r="O695" s="3" t="str">
        <f aca="false">PROPER(TRIM(raw_data!J695))</f>
        <v>Furniture</v>
      </c>
      <c r="P695" s="3" t="str">
        <f aca="false">PROPER(TRIM(raw_data!K695))</f>
        <v>Bookcases</v>
      </c>
      <c r="Q695" s="3" t="str">
        <f aca="false">TRIM(raw_data!L695)</f>
        <v>Smart Bookcases 828</v>
      </c>
      <c r="R695" s="3" t="str">
        <f aca="false">IF(TRIM(raw_data!M695)="","Unknown",PROPER(TRIM(raw_data!M695)))</f>
        <v>Second Class</v>
      </c>
      <c r="S695" s="3" t="str">
        <f aca="false">IF(TRIM(raw_data!M695)="","Filled - Unknown","OK")</f>
        <v>OK</v>
      </c>
      <c r="T695" s="6" t="n">
        <f aca="false">raw_data!N695</f>
        <v>3</v>
      </c>
      <c r="U695" s="7" t="n">
        <f aca="false">raw_data!O695</f>
        <v>4149.77</v>
      </c>
      <c r="V695" s="8" t="n">
        <f aca="false">raw_data!P695</f>
        <v>0.05</v>
      </c>
      <c r="W695" s="8" t="n">
        <f aca="false">IF(raw_data!P695="",0,IF(ISTEXT(raw_data!P695),IF(RIGHT(raw_data!P695,1)="%",VALUE(LEFT(raw_data!P695,LEN(raw_data!P695)-1))/100,VALUE(raw_data!P695)),raw_data!P695))</f>
        <v>0.05</v>
      </c>
      <c r="X695" s="3" t="str">
        <f aca="false">IF(raw_data!P695="","Missing - Defaulted to 0",IF(W695&lt;0,"Negative - Invalid",IF(W695&gt;0.3,"Above Allowed Range - Invalid","Valid")))</f>
        <v>Valid</v>
      </c>
      <c r="Y695" s="7" t="n">
        <f aca="false">raw_data!Q695</f>
        <v>11826.84</v>
      </c>
      <c r="Z695" s="7" t="n">
        <f aca="false">raw_data!R695</f>
        <v>8035.96</v>
      </c>
      <c r="AA695" s="7" t="n">
        <f aca="false">raw_data!S695</f>
        <v>3790.88</v>
      </c>
      <c r="AB695" s="3" t="str">
        <f aca="false">PROPER(TRIM(raw_data!T695))</f>
        <v>Paid</v>
      </c>
      <c r="AC695" s="3" t="str">
        <f aca="false">PROPER(TRIM(raw_data!U695))</f>
        <v>Completed</v>
      </c>
      <c r="AD695" s="7" t="n">
        <f aca="false">T695*U695*(1-W695)</f>
        <v>11826.8445</v>
      </c>
      <c r="AE695" s="7" t="n">
        <f aca="false">AD695-Z695</f>
        <v>3790.8845</v>
      </c>
      <c r="AF695" s="8" t="n">
        <f aca="false">IF(AD695=0,0,AE695/AD695)</f>
        <v>0.320532201129388</v>
      </c>
      <c r="AG695" s="3" t="str">
        <f aca="false">IF(ABS(Y695-AD695)&gt;1,"Mismatch","OK")</f>
        <v>OK</v>
      </c>
      <c r="AH695" s="3" t="str">
        <f aca="false">IF(ABS(AA695-AE695)&gt;1,"Mismatch","OK")</f>
        <v>OK</v>
      </c>
      <c r="AI695" s="6" t="n">
        <f aca="false">IF(B695="","",MONTH(B695))</f>
        <v>4</v>
      </c>
      <c r="AJ695" s="6" t="n">
        <f aca="false">IF(B695="","",YEAR(B695))</f>
        <v>2025</v>
      </c>
      <c r="AK695" s="3" t="str">
        <f aca="false">IF(COUNTIF(raw_data!$A$2:$A$913,A695)&gt;1,"Conflicting Duplicate - Flagged for Review","Unique")</f>
        <v>Unique</v>
      </c>
      <c r="AL695" s="3" t="str">
        <f aca="false">IF(AB695="Refunded","Yes","No")</f>
        <v>No</v>
      </c>
      <c r="AM695" s="3" t="str">
        <f aca="false">IF(OR(AC695&lt;&gt;"Completed",AB695="Failed"),"Excluded","Included")</f>
        <v>Included</v>
      </c>
      <c r="AN695" s="3" t="str">
        <f aca="false">IF(OR(D695="Invalid/Unrecognized",E695="Invalid/Unrecognized",G695="Invalid - Ship Before Order",X695="Negative - Invalid",X695="Above Allowed Range - Invalid",AG695="Mismatch",AH695="Mismatch",AK695="Conflicting Duplicate - Flagged for Review"),"Invalid",IF(OR(L695="Filled - Unknown",S695="Filled - Unknown",X695="Missing - Defaulted to 0",AL695="Yes",AC695="Cancelled",AC695="Returned"),"Warning","Clean"))</f>
        <v>Clean</v>
      </c>
    </row>
    <row r="696" customFormat="false" ht="15" hidden="false" customHeight="false" outlineLevel="0" collapsed="false">
      <c r="A696" s="3" t="str">
        <f aca="false">raw_data!A696</f>
        <v>ORD-2025-10695</v>
      </c>
      <c r="B696" s="4" t="n">
        <f aca="false">IFERROR(IF(MID(raw_data!B696,3,1)="/",DATE(VALUE(RIGHT(raw_data!B696,4)),VALUE(LEFT(raw_data!B696,2)),VALUE(MID(raw_data!B696,4,2))),IF(MID(raw_data!B696,3,1)="-",DATE(VALUE(RIGHT(raw_data!B696,4)),VALUE(MID(raw_data!B696,4,2)),VALUE(LEFT(raw_data!B696,2))),IF(MID(raw_data!B696,5,1)="-",DATE(VALUE(LEFT(raw_data!B696,4)),VALUE(MID(raw_data!B696,6,2)),VALUE(RIGHT(raw_data!B696,2))),DATE(VALUE(RIGHT(raw_data!B696,4)),MATCH(MID(raw_data!B696,4,3),{"Jan","Feb","Mar","Apr","May","Jun","Jul","Aug","Sep","Oct","Nov","Dec"},0),VALUE(LEFT(raw_data!B696,2)))))),"")</f>
        <v>45870</v>
      </c>
      <c r="C696" s="4" t="n">
        <f aca="false">IFERROR(IF(MID(raw_data!C696,3,1)="/",DATE(VALUE(RIGHT(raw_data!C696,4)),VALUE(LEFT(raw_data!C696,2)),VALUE(MID(raw_data!C696,4,2))),IF(MID(raw_data!C696,3,1)="-",DATE(VALUE(RIGHT(raw_data!C696,4)),VALUE(MID(raw_data!C696,4,2)),VALUE(LEFT(raw_data!C696,2))),IF(MID(raw_data!C696,5,1)="-",DATE(VALUE(LEFT(raw_data!C696,4)),VALUE(MID(raw_data!C696,6,2)),VALUE(RIGHT(raw_data!C696,2))),DATE(VALUE(RIGHT(raw_data!C696,4)),MATCH(MID(raw_data!C696,4,3),{"Jan","Feb","Mar","Apr","May","Jun","Jul","Aug","Sep","Oct","Nov","Dec"},0),VALUE(LEFT(raw_data!C696,2)))))),"")</f>
        <v>45878</v>
      </c>
      <c r="D696" s="3" t="str">
        <f aca="false">IF(TRIM(raw_data!B696)="","Missing",IF(B696="","Invalid/Unrecognized","Valid"))</f>
        <v>Valid</v>
      </c>
      <c r="E696" s="3" t="str">
        <f aca="false">IF(TRIM(raw_data!C696)="","Missing",IF(C696="","Invalid/Unrecognized","Valid"))</f>
        <v>Valid</v>
      </c>
      <c r="F696" s="5" t="n">
        <f aca="false">IF(OR(B696="",C696=""),"",C696-B696)</f>
        <v>8</v>
      </c>
      <c r="G696" s="3" t="str">
        <f aca="false">IF(F696="","N/A",IF(F696&lt;0,"Invalid - Ship Before Order","OK"))</f>
        <v>OK</v>
      </c>
      <c r="H696" s="3" t="str">
        <f aca="false">raw_data!D696</f>
        <v>CUST-8025</v>
      </c>
      <c r="I696" s="3" t="str">
        <f aca="false">PROPER(TRIM(raw_data!E696))</f>
        <v>Isha Nair</v>
      </c>
      <c r="J696" s="3" t="str">
        <f aca="false">PROPER(TRIM(raw_data!F696))</f>
        <v>Consumer</v>
      </c>
      <c r="K696" s="3" t="str">
        <f aca="false">IF(TRIM(raw_data!G696)="","Unknown",PROPER(TRIM(raw_data!G696)))</f>
        <v>South</v>
      </c>
      <c r="L696" s="3" t="str">
        <f aca="false">IF(TRIM(raw_data!G696)="","Filled - Unknown","OK")</f>
        <v>OK</v>
      </c>
      <c r="M696" s="3" t="str">
        <f aca="false">PROPER(TRIM(raw_data!H696))</f>
        <v>Andhra Pradesh</v>
      </c>
      <c r="N696" s="3" t="str">
        <f aca="false">PROPER(TRIM(raw_data!I696))</f>
        <v>Vijayawada</v>
      </c>
      <c r="O696" s="3" t="str">
        <f aca="false">PROPER(TRIM(raw_data!J696))</f>
        <v>Office Supplies</v>
      </c>
      <c r="P696" s="3" t="str">
        <f aca="false">PROPER(TRIM(raw_data!K696))</f>
        <v>Storage</v>
      </c>
      <c r="Q696" s="3" t="str">
        <f aca="false">TRIM(raw_data!L696)</f>
        <v>Classic Storage 291</v>
      </c>
      <c r="R696" s="3" t="str">
        <f aca="false">IF(TRIM(raw_data!M696)="","Unknown",PROPER(TRIM(raw_data!M696)))</f>
        <v>First Class</v>
      </c>
      <c r="S696" s="3" t="str">
        <f aca="false">IF(TRIM(raw_data!M696)="","Filled - Unknown","OK")</f>
        <v>OK</v>
      </c>
      <c r="T696" s="6" t="n">
        <f aca="false">raw_data!N696</f>
        <v>5</v>
      </c>
      <c r="U696" s="7" t="n">
        <f aca="false">raw_data!O696</f>
        <v>2736.24</v>
      </c>
      <c r="V696" s="8" t="n">
        <f aca="false">raw_data!P696</f>
        <v>0.15</v>
      </c>
      <c r="W696" s="8" t="n">
        <f aca="false">IF(raw_data!P696="",0,IF(ISTEXT(raw_data!P696),IF(RIGHT(raw_data!P696,1)="%",VALUE(LEFT(raw_data!P696,LEN(raw_data!P696)-1))/100,VALUE(raw_data!P696)),raw_data!P696))</f>
        <v>0.15</v>
      </c>
      <c r="X696" s="3" t="str">
        <f aca="false">IF(raw_data!P696="","Missing - Defaulted to 0",IF(W696&lt;0,"Negative - Invalid",IF(W696&gt;0.3,"Above Allowed Range - Invalid","Valid")))</f>
        <v>Valid</v>
      </c>
      <c r="Y696" s="7" t="n">
        <f aca="false">raw_data!Q696</f>
        <v>11629.02</v>
      </c>
      <c r="Z696" s="7" t="n">
        <f aca="false">raw_data!R696</f>
        <v>9627.21</v>
      </c>
      <c r="AA696" s="7" t="n">
        <f aca="false">raw_data!S696</f>
        <v>2001.81</v>
      </c>
      <c r="AB696" s="3" t="str">
        <f aca="false">PROPER(TRIM(raw_data!T696))</f>
        <v>Paid</v>
      </c>
      <c r="AC696" s="3" t="str">
        <f aca="false">PROPER(TRIM(raw_data!U696))</f>
        <v>Completed</v>
      </c>
      <c r="AD696" s="7" t="n">
        <f aca="false">T696*U696*(1-W696)</f>
        <v>11629.02</v>
      </c>
      <c r="AE696" s="7" t="n">
        <f aca="false">AD696-Z696</f>
        <v>2001.81</v>
      </c>
      <c r="AF696" s="8" t="n">
        <f aca="false">IF(AD696=0,0,AE696/AD696)</f>
        <v>0.172139182837419</v>
      </c>
      <c r="AG696" s="3" t="str">
        <f aca="false">IF(ABS(Y696-AD696)&gt;1,"Mismatch","OK")</f>
        <v>OK</v>
      </c>
      <c r="AH696" s="3" t="str">
        <f aca="false">IF(ABS(AA696-AE696)&gt;1,"Mismatch","OK")</f>
        <v>OK</v>
      </c>
      <c r="AI696" s="6" t="n">
        <f aca="false">IF(B696="","",MONTH(B696))</f>
        <v>8</v>
      </c>
      <c r="AJ696" s="6" t="n">
        <f aca="false">IF(B696="","",YEAR(B696))</f>
        <v>2025</v>
      </c>
      <c r="AK696" s="3" t="str">
        <f aca="false">IF(COUNTIF(raw_data!$A$2:$A$913,A696)&gt;1,"Conflicting Duplicate - Flagged for Review","Unique")</f>
        <v>Unique</v>
      </c>
      <c r="AL696" s="3" t="str">
        <f aca="false">IF(AB696="Refunded","Yes","No")</f>
        <v>No</v>
      </c>
      <c r="AM696" s="3" t="str">
        <f aca="false">IF(OR(AC696&lt;&gt;"Completed",AB696="Failed"),"Excluded","Included")</f>
        <v>Included</v>
      </c>
      <c r="AN696" s="3" t="str">
        <f aca="false">IF(OR(D696="Invalid/Unrecognized",E696="Invalid/Unrecognized",G696="Invalid - Ship Before Order",X696="Negative - Invalid",X696="Above Allowed Range - Invalid",AG696="Mismatch",AH696="Mismatch",AK696="Conflicting Duplicate - Flagged for Review"),"Invalid",IF(OR(L696="Filled - Unknown",S696="Filled - Unknown",X696="Missing - Defaulted to 0",AL696="Yes",AC696="Cancelled",AC696="Returned"),"Warning","Clean"))</f>
        <v>Clean</v>
      </c>
    </row>
    <row r="697" customFormat="false" ht="15" hidden="false" customHeight="false" outlineLevel="0" collapsed="false">
      <c r="A697" s="3" t="str">
        <f aca="false">raw_data!A697</f>
        <v>ORD-2024-10696</v>
      </c>
      <c r="B697" s="4" t="n">
        <f aca="false">IFERROR(IF(MID(raw_data!B697,3,1)="/",DATE(VALUE(RIGHT(raw_data!B697,4)),VALUE(LEFT(raw_data!B697,2)),VALUE(MID(raw_data!B697,4,2))),IF(MID(raw_data!B697,3,1)="-",DATE(VALUE(RIGHT(raw_data!B697,4)),VALUE(MID(raw_data!B697,4,2)),VALUE(LEFT(raw_data!B697,2))),IF(MID(raw_data!B697,5,1)="-",DATE(VALUE(LEFT(raw_data!B697,4)),VALUE(MID(raw_data!B697,6,2)),VALUE(RIGHT(raw_data!B697,2))),DATE(VALUE(RIGHT(raw_data!B697,4)),MATCH(MID(raw_data!B697,4,3),{"Jan","Feb","Mar","Apr","May","Jun","Jul","Aug","Sep","Oct","Nov","Dec"},0),VALUE(LEFT(raw_data!B697,2)))))),"")</f>
        <v>45474</v>
      </c>
      <c r="C697" s="4" t="n">
        <f aca="false">IFERROR(IF(MID(raw_data!C697,3,1)="/",DATE(VALUE(RIGHT(raw_data!C697,4)),VALUE(LEFT(raw_data!C697,2)),VALUE(MID(raw_data!C697,4,2))),IF(MID(raw_data!C697,3,1)="-",DATE(VALUE(RIGHT(raw_data!C697,4)),VALUE(MID(raw_data!C697,4,2)),VALUE(LEFT(raw_data!C697,2))),IF(MID(raw_data!C697,5,1)="-",DATE(VALUE(LEFT(raw_data!C697,4)),VALUE(MID(raw_data!C697,6,2)),VALUE(RIGHT(raw_data!C697,2))),DATE(VALUE(RIGHT(raw_data!C697,4)),MATCH(MID(raw_data!C697,4,3),{"Jan","Feb","Mar","Apr","May","Jun","Jul","Aug","Sep","Oct","Nov","Dec"},0),VALUE(LEFT(raw_data!C697,2)))))),"")</f>
        <v>45474</v>
      </c>
      <c r="D697" s="3" t="str">
        <f aca="false">IF(TRIM(raw_data!B697)="","Missing",IF(B697="","Invalid/Unrecognized","Valid"))</f>
        <v>Valid</v>
      </c>
      <c r="E697" s="3" t="str">
        <f aca="false">IF(TRIM(raw_data!C697)="","Missing",IF(C697="","Invalid/Unrecognized","Valid"))</f>
        <v>Valid</v>
      </c>
      <c r="F697" s="5" t="n">
        <f aca="false">IF(OR(B697="",C697=""),"",C697-B697)</f>
        <v>0</v>
      </c>
      <c r="G697" s="3" t="str">
        <f aca="false">IF(F697="","N/A",IF(F697&lt;0,"Invalid - Ship Before Order","OK"))</f>
        <v>OK</v>
      </c>
      <c r="H697" s="3" t="str">
        <f aca="false">raw_data!D697</f>
        <v>CUST-6257</v>
      </c>
      <c r="I697" s="3" t="str">
        <f aca="false">PROPER(TRIM(raw_data!E697))</f>
        <v>Aarav Sharma</v>
      </c>
      <c r="J697" s="3" t="str">
        <f aca="false">PROPER(TRIM(raw_data!F697))</f>
        <v>Consumer</v>
      </c>
      <c r="K697" s="3" t="str">
        <f aca="false">IF(TRIM(raw_data!G697)="","Unknown",PROPER(TRIM(raw_data!G697)))</f>
        <v>West</v>
      </c>
      <c r="L697" s="3" t="str">
        <f aca="false">IF(TRIM(raw_data!G697)="","Filled - Unknown","OK")</f>
        <v>OK</v>
      </c>
      <c r="M697" s="3" t="str">
        <f aca="false">PROPER(TRIM(raw_data!H697))</f>
        <v>Madhya Pradesh</v>
      </c>
      <c r="N697" s="3" t="str">
        <f aca="false">PROPER(TRIM(raw_data!I697))</f>
        <v>Indore</v>
      </c>
      <c r="O697" s="3" t="str">
        <f aca="false">PROPER(TRIM(raw_data!J697))</f>
        <v>Technology</v>
      </c>
      <c r="P697" s="3" t="str">
        <f aca="false">PROPER(TRIM(raw_data!K697))</f>
        <v>Machines</v>
      </c>
      <c r="Q697" s="3" t="str">
        <f aca="false">TRIM(raw_data!L697)</f>
        <v>Prime Machines 102</v>
      </c>
      <c r="R697" s="3" t="str">
        <f aca="false">IF(TRIM(raw_data!M697)="","Unknown",PROPER(TRIM(raw_data!M697)))</f>
        <v>Standard Class</v>
      </c>
      <c r="S697" s="3" t="str">
        <f aca="false">IF(TRIM(raw_data!M697)="","Filled - Unknown","OK")</f>
        <v>OK</v>
      </c>
      <c r="T697" s="6" t="n">
        <f aca="false">raw_data!N697</f>
        <v>4</v>
      </c>
      <c r="U697" s="7" t="n">
        <f aca="false">raw_data!O697</f>
        <v>257.39</v>
      </c>
      <c r="V697" s="8" t="n">
        <f aca="false">raw_data!P697</f>
        <v>0</v>
      </c>
      <c r="W697" s="8" t="n">
        <f aca="false">IF(raw_data!P697="",0,IF(ISTEXT(raw_data!P697),IF(RIGHT(raw_data!P697,1)="%",VALUE(LEFT(raw_data!P697,LEN(raw_data!P697)-1))/100,VALUE(raw_data!P697)),raw_data!P697))</f>
        <v>0</v>
      </c>
      <c r="X697" s="3" t="str">
        <f aca="false">IF(raw_data!P697="","Missing - Defaulted to 0",IF(W697&lt;0,"Negative - Invalid",IF(W697&gt;0.3,"Above Allowed Range - Invalid","Valid")))</f>
        <v>Valid</v>
      </c>
      <c r="Y697" s="7" t="n">
        <f aca="false">raw_data!Q697</f>
        <v>1029.56</v>
      </c>
      <c r="Z697" s="7" t="n">
        <f aca="false">raw_data!R697</f>
        <v>626.33</v>
      </c>
      <c r="AA697" s="7" t="n">
        <f aca="false">raw_data!S697</f>
        <v>403.23</v>
      </c>
      <c r="AB697" s="3" t="str">
        <f aca="false">PROPER(TRIM(raw_data!T697))</f>
        <v>Paid</v>
      </c>
      <c r="AC697" s="3" t="str">
        <f aca="false">PROPER(TRIM(raw_data!U697))</f>
        <v>Completed</v>
      </c>
      <c r="AD697" s="7" t="n">
        <f aca="false">T697*U697*(1-W697)</f>
        <v>1029.56</v>
      </c>
      <c r="AE697" s="7" t="n">
        <f aca="false">AD697-Z697</f>
        <v>403.23</v>
      </c>
      <c r="AF697" s="8" t="n">
        <f aca="false">IF(AD697=0,0,AE697/AD697)</f>
        <v>0.391652744861883</v>
      </c>
      <c r="AG697" s="3" t="str">
        <f aca="false">IF(ABS(Y697-AD697)&gt;1,"Mismatch","OK")</f>
        <v>OK</v>
      </c>
      <c r="AH697" s="3" t="str">
        <f aca="false">IF(ABS(AA697-AE697)&gt;1,"Mismatch","OK")</f>
        <v>OK</v>
      </c>
      <c r="AI697" s="6" t="n">
        <f aca="false">IF(B697="","",MONTH(B697))</f>
        <v>7</v>
      </c>
      <c r="AJ697" s="6" t="n">
        <f aca="false">IF(B697="","",YEAR(B697))</f>
        <v>2024</v>
      </c>
      <c r="AK697" s="3" t="str">
        <f aca="false">IF(COUNTIF(raw_data!$A$2:$A$913,A697)&gt;1,"Conflicting Duplicate - Flagged for Review","Unique")</f>
        <v>Unique</v>
      </c>
      <c r="AL697" s="3" t="str">
        <f aca="false">IF(AB697="Refunded","Yes","No")</f>
        <v>No</v>
      </c>
      <c r="AM697" s="3" t="str">
        <f aca="false">IF(OR(AC697&lt;&gt;"Completed",AB697="Failed"),"Excluded","Included")</f>
        <v>Included</v>
      </c>
      <c r="AN697" s="3" t="str">
        <f aca="false">IF(OR(D697="Invalid/Unrecognized",E697="Invalid/Unrecognized",G697="Invalid - Ship Before Order",X697="Negative - Invalid",X697="Above Allowed Range - Invalid",AG697="Mismatch",AH697="Mismatch",AK697="Conflicting Duplicate - Flagged for Review"),"Invalid",IF(OR(L697="Filled - Unknown",S697="Filled - Unknown",X697="Missing - Defaulted to 0",AL697="Yes",AC697="Cancelled",AC697="Returned"),"Warning","Clean"))</f>
        <v>Clean</v>
      </c>
    </row>
    <row r="698" customFormat="false" ht="15" hidden="false" customHeight="false" outlineLevel="0" collapsed="false">
      <c r="A698" s="3" t="str">
        <f aca="false">raw_data!A698</f>
        <v>ORD-2025-10697</v>
      </c>
      <c r="B698" s="4" t="n">
        <f aca="false">IFERROR(IF(MID(raw_data!B698,3,1)="/",DATE(VALUE(RIGHT(raw_data!B698,4)),VALUE(LEFT(raw_data!B698,2)),VALUE(MID(raw_data!B698,4,2))),IF(MID(raw_data!B698,3,1)="-",DATE(VALUE(RIGHT(raw_data!B698,4)),VALUE(MID(raw_data!B698,4,2)),VALUE(LEFT(raw_data!B698,2))),IF(MID(raw_data!B698,5,1)="-",DATE(VALUE(LEFT(raw_data!B698,4)),VALUE(MID(raw_data!B698,6,2)),VALUE(RIGHT(raw_data!B698,2))),DATE(VALUE(RIGHT(raw_data!B698,4)),MATCH(MID(raw_data!B698,4,3),{"Jan","Feb","Mar","Apr","May","Jun","Jul","Aug","Sep","Oct","Nov","Dec"},0),VALUE(LEFT(raw_data!B698,2)))))),"")</f>
        <v>45922</v>
      </c>
      <c r="C698" s="4" t="n">
        <f aca="false">IFERROR(IF(MID(raw_data!C698,3,1)="/",DATE(VALUE(RIGHT(raw_data!C698,4)),VALUE(LEFT(raw_data!C698,2)),VALUE(MID(raw_data!C698,4,2))),IF(MID(raw_data!C698,3,1)="-",DATE(VALUE(RIGHT(raw_data!C698,4)),VALUE(MID(raw_data!C698,4,2)),VALUE(LEFT(raw_data!C698,2))),IF(MID(raw_data!C698,5,1)="-",DATE(VALUE(LEFT(raw_data!C698,4)),VALUE(MID(raw_data!C698,6,2)),VALUE(RIGHT(raw_data!C698,2))),DATE(VALUE(RIGHT(raw_data!C698,4)),MATCH(MID(raw_data!C698,4,3),{"Jan","Feb","Mar","Apr","May","Jun","Jul","Aug","Sep","Oct","Nov","Dec"},0),VALUE(LEFT(raw_data!C698,2)))))),"")</f>
        <v>45925</v>
      </c>
      <c r="D698" s="3" t="str">
        <f aca="false">IF(TRIM(raw_data!B698)="","Missing",IF(B698="","Invalid/Unrecognized","Valid"))</f>
        <v>Valid</v>
      </c>
      <c r="E698" s="3" t="str">
        <f aca="false">IF(TRIM(raw_data!C698)="","Missing",IF(C698="","Invalid/Unrecognized","Valid"))</f>
        <v>Valid</v>
      </c>
      <c r="F698" s="5" t="n">
        <f aca="false">IF(OR(B698="",C698=""),"",C698-B698)</f>
        <v>3</v>
      </c>
      <c r="G698" s="3" t="str">
        <f aca="false">IF(F698="","N/A",IF(F698&lt;0,"Invalid - Ship Before Order","OK"))</f>
        <v>OK</v>
      </c>
      <c r="H698" s="3" t="str">
        <f aca="false">raw_data!D698</f>
        <v>CUST-7812</v>
      </c>
      <c r="I698" s="3" t="str">
        <f aca="false">PROPER(TRIM(raw_data!E698))</f>
        <v>Isha Nair</v>
      </c>
      <c r="J698" s="3" t="str">
        <f aca="false">PROPER(TRIM(raw_data!F698))</f>
        <v>Small Business</v>
      </c>
      <c r="K698" s="3" t="str">
        <f aca="false">IF(TRIM(raw_data!G698)="","Unknown",PROPER(TRIM(raw_data!G698)))</f>
        <v>South</v>
      </c>
      <c r="L698" s="3" t="str">
        <f aca="false">IF(TRIM(raw_data!G698)="","Filled - Unknown","OK")</f>
        <v>OK</v>
      </c>
      <c r="M698" s="3" t="str">
        <f aca="false">PROPER(TRIM(raw_data!H698))</f>
        <v>Kerala</v>
      </c>
      <c r="N698" s="3" t="str">
        <f aca="false">PROPER(TRIM(raw_data!I698))</f>
        <v>Kochi</v>
      </c>
      <c r="O698" s="3" t="str">
        <f aca="false">PROPER(TRIM(raw_data!J698))</f>
        <v>Technology</v>
      </c>
      <c r="P698" s="3" t="str">
        <f aca="false">PROPER(TRIM(raw_data!K698))</f>
        <v>Phones</v>
      </c>
      <c r="Q698" s="3" t="str">
        <f aca="false">TRIM(raw_data!L698)</f>
        <v>Classic Phones 842</v>
      </c>
      <c r="R698" s="3" t="str">
        <f aca="false">IF(TRIM(raw_data!M698)="","Unknown",PROPER(TRIM(raw_data!M698)))</f>
        <v>Unknown</v>
      </c>
      <c r="S698" s="3" t="str">
        <f aca="false">IF(TRIM(raw_data!M698)="","Filled - Unknown","OK")</f>
        <v>Filled - Unknown</v>
      </c>
      <c r="T698" s="6" t="n">
        <f aca="false">raw_data!N698</f>
        <v>4</v>
      </c>
      <c r="U698" s="7" t="n">
        <f aca="false">raw_data!O698</f>
        <v>1178.84</v>
      </c>
      <c r="V698" s="8" t="n">
        <f aca="false">raw_data!P698</f>
        <v>0.25</v>
      </c>
      <c r="W698" s="8" t="n">
        <f aca="false">IF(raw_data!P698="",0,IF(ISTEXT(raw_data!P698),IF(RIGHT(raw_data!P698,1)="%",VALUE(LEFT(raw_data!P698,LEN(raw_data!P698)-1))/100,VALUE(raw_data!P698)),raw_data!P698))</f>
        <v>0.25</v>
      </c>
      <c r="X698" s="3" t="str">
        <f aca="false">IF(raw_data!P698="","Missing - Defaulted to 0",IF(W698&lt;0,"Negative - Invalid",IF(W698&gt;0.3,"Above Allowed Range - Invalid","Valid")))</f>
        <v>Valid</v>
      </c>
      <c r="Y698" s="7" t="n">
        <f aca="false">raw_data!Q698</f>
        <v>3536.52</v>
      </c>
      <c r="Z698" s="7" t="n">
        <f aca="false">raw_data!R698</f>
        <v>2102.41</v>
      </c>
      <c r="AA698" s="7" t="n">
        <f aca="false">raw_data!S698</f>
        <v>1363.28</v>
      </c>
      <c r="AB698" s="3" t="str">
        <f aca="false">PROPER(TRIM(raw_data!T698))</f>
        <v>Paid</v>
      </c>
      <c r="AC698" s="3" t="str">
        <f aca="false">PROPER(TRIM(raw_data!U698))</f>
        <v>Completed</v>
      </c>
      <c r="AD698" s="7" t="n">
        <f aca="false">T698*U698*(1-W698)</f>
        <v>3536.52</v>
      </c>
      <c r="AE698" s="7" t="n">
        <f aca="false">AD698-Z698</f>
        <v>1434.11</v>
      </c>
      <c r="AF698" s="8" t="n">
        <f aca="false">IF(AD698=0,0,AE698/AD698)</f>
        <v>0.405514460543133</v>
      </c>
      <c r="AG698" s="3" t="str">
        <f aca="false">IF(ABS(Y698-AD698)&gt;1,"Mismatch","OK")</f>
        <v>OK</v>
      </c>
      <c r="AH698" s="3" t="str">
        <f aca="false">IF(ABS(AA698-AE698)&gt;1,"Mismatch","OK")</f>
        <v>Mismatch</v>
      </c>
      <c r="AI698" s="6" t="n">
        <f aca="false">IF(B698="","",MONTH(B698))</f>
        <v>9</v>
      </c>
      <c r="AJ698" s="6" t="n">
        <f aca="false">IF(B698="","",YEAR(B698))</f>
        <v>2025</v>
      </c>
      <c r="AK698" s="3" t="str">
        <f aca="false">IF(COUNTIF(raw_data!$A$2:$A$913,A698)&gt;1,"Conflicting Duplicate - Flagged for Review","Unique")</f>
        <v>Unique</v>
      </c>
      <c r="AL698" s="3" t="str">
        <f aca="false">IF(AB698="Refunded","Yes","No")</f>
        <v>No</v>
      </c>
      <c r="AM698" s="3" t="str">
        <f aca="false">IF(OR(AC698&lt;&gt;"Completed",AB698="Failed"),"Excluded","Included")</f>
        <v>Included</v>
      </c>
      <c r="AN698" s="3" t="str">
        <f aca="false">IF(OR(D698="Invalid/Unrecognized",E698="Invalid/Unrecognized",G698="Invalid - Ship Before Order",X698="Negative - Invalid",X698="Above Allowed Range - Invalid",AG698="Mismatch",AH698="Mismatch",AK698="Conflicting Duplicate - Flagged for Review"),"Invalid",IF(OR(L698="Filled - Unknown",S698="Filled - Unknown",X698="Missing - Defaulted to 0",AL698="Yes",AC698="Cancelled",AC698="Returned"),"Warning","Clean"))</f>
        <v>Invalid</v>
      </c>
    </row>
    <row r="699" customFormat="false" ht="15" hidden="false" customHeight="false" outlineLevel="0" collapsed="false">
      <c r="A699" s="3" t="str">
        <f aca="false">raw_data!A699</f>
        <v>ORD-2025-10698</v>
      </c>
      <c r="B699" s="4" t="n">
        <f aca="false">IFERROR(IF(MID(raw_data!B699,3,1)="/",DATE(VALUE(RIGHT(raw_data!B699,4)),VALUE(LEFT(raw_data!B699,2)),VALUE(MID(raw_data!B699,4,2))),IF(MID(raw_data!B699,3,1)="-",DATE(VALUE(RIGHT(raw_data!B699,4)),VALUE(MID(raw_data!B699,4,2)),VALUE(LEFT(raw_data!B699,2))),IF(MID(raw_data!B699,5,1)="-",DATE(VALUE(LEFT(raw_data!B699,4)),VALUE(MID(raw_data!B699,6,2)),VALUE(RIGHT(raw_data!B699,2))),DATE(VALUE(RIGHT(raw_data!B699,4)),MATCH(MID(raw_data!B699,4,3),{"Jan","Feb","Mar","Apr","May","Jun","Jul","Aug","Sep","Oct","Nov","Dec"},0),VALUE(LEFT(raw_data!B699,2)))))),"")</f>
        <v>45717</v>
      </c>
      <c r="C699" s="4" t="n">
        <f aca="false">IFERROR(IF(MID(raw_data!C699,3,1)="/",DATE(VALUE(RIGHT(raw_data!C699,4)),VALUE(LEFT(raw_data!C699,2)),VALUE(MID(raw_data!C699,4,2))),IF(MID(raw_data!C699,3,1)="-",DATE(VALUE(RIGHT(raw_data!C699,4)),VALUE(MID(raw_data!C699,4,2)),VALUE(LEFT(raw_data!C699,2))),IF(MID(raw_data!C699,5,1)="-",DATE(VALUE(LEFT(raw_data!C699,4)),VALUE(MID(raw_data!C699,6,2)),VALUE(RIGHT(raw_data!C699,2))),DATE(VALUE(RIGHT(raw_data!C699,4)),MATCH(MID(raw_data!C699,4,3),{"Jan","Feb","Mar","Apr","May","Jun","Jul","Aug","Sep","Oct","Nov","Dec"},0),VALUE(LEFT(raw_data!C699,2)))))),"")</f>
        <v>45723</v>
      </c>
      <c r="D699" s="3" t="str">
        <f aca="false">IF(TRIM(raw_data!B699)="","Missing",IF(B699="","Invalid/Unrecognized","Valid"))</f>
        <v>Valid</v>
      </c>
      <c r="E699" s="3" t="str">
        <f aca="false">IF(TRIM(raw_data!C699)="","Missing",IF(C699="","Invalid/Unrecognized","Valid"))</f>
        <v>Valid</v>
      </c>
      <c r="F699" s="5" t="n">
        <f aca="false">IF(OR(B699="",C699=""),"",C699-B699)</f>
        <v>6</v>
      </c>
      <c r="G699" s="3" t="str">
        <f aca="false">IF(F699="","N/A",IF(F699&lt;0,"Invalid - Ship Before Order","OK"))</f>
        <v>OK</v>
      </c>
      <c r="H699" s="3" t="str">
        <f aca="false">raw_data!D699</f>
        <v>CUST-6205</v>
      </c>
      <c r="I699" s="3" t="str">
        <f aca="false">PROPER(TRIM(raw_data!E699))</f>
        <v>Arjun Bose</v>
      </c>
      <c r="J699" s="3" t="str">
        <f aca="false">PROPER(TRIM(raw_data!F699))</f>
        <v>Corporate</v>
      </c>
      <c r="K699" s="3" t="str">
        <f aca="false">IF(TRIM(raw_data!G699)="","Unknown",PROPER(TRIM(raw_data!G699)))</f>
        <v>South</v>
      </c>
      <c r="L699" s="3" t="str">
        <f aca="false">IF(TRIM(raw_data!G699)="","Filled - Unknown","OK")</f>
        <v>OK</v>
      </c>
      <c r="M699" s="3" t="str">
        <f aca="false">PROPER(TRIM(raw_data!H699))</f>
        <v>Andhra Pradesh</v>
      </c>
      <c r="N699" s="3" t="str">
        <f aca="false">PROPER(TRIM(raw_data!I699))</f>
        <v>Vijayawada</v>
      </c>
      <c r="O699" s="3" t="str">
        <f aca="false">PROPER(TRIM(raw_data!J699))</f>
        <v>Office Supplies</v>
      </c>
      <c r="P699" s="3" t="str">
        <f aca="false">PROPER(TRIM(raw_data!K699))</f>
        <v>Labels</v>
      </c>
      <c r="Q699" s="3" t="str">
        <f aca="false">TRIM(raw_data!L699)</f>
        <v>Max Labels 970</v>
      </c>
      <c r="R699" s="3" t="str">
        <f aca="false">IF(TRIM(raw_data!M699)="","Unknown",PROPER(TRIM(raw_data!M699)))</f>
        <v>First Class</v>
      </c>
      <c r="S699" s="3" t="str">
        <f aca="false">IF(TRIM(raw_data!M699)="","Filled - Unknown","OK")</f>
        <v>OK</v>
      </c>
      <c r="T699" s="6" t="n">
        <f aca="false">raw_data!N699</f>
        <v>7</v>
      </c>
      <c r="U699" s="7" t="n">
        <f aca="false">raw_data!O699</f>
        <v>567.15</v>
      </c>
      <c r="V699" s="8" t="n">
        <f aca="false">raw_data!P699</f>
        <v>0</v>
      </c>
      <c r="W699" s="8" t="n">
        <f aca="false">IF(raw_data!P699="",0,IF(ISTEXT(raw_data!P699),IF(RIGHT(raw_data!P699,1)="%",VALUE(LEFT(raw_data!P699,LEN(raw_data!P699)-1))/100,VALUE(raw_data!P699)),raw_data!P699))</f>
        <v>0</v>
      </c>
      <c r="X699" s="3" t="str">
        <f aca="false">IF(raw_data!P699="","Missing - Defaulted to 0",IF(W699&lt;0,"Negative - Invalid",IF(W699&gt;0.3,"Above Allowed Range - Invalid","Valid")))</f>
        <v>Missing - Defaulted to 0</v>
      </c>
      <c r="Y699" s="7" t="n">
        <f aca="false">raw_data!Q699</f>
        <v>2977.54</v>
      </c>
      <c r="Z699" s="7" t="n">
        <f aca="false">raw_data!R699</f>
        <v>1849.3</v>
      </c>
      <c r="AA699" s="7" t="n">
        <f aca="false">raw_data!S699</f>
        <v>1128.24</v>
      </c>
      <c r="AB699" s="3" t="str">
        <f aca="false">PROPER(TRIM(raw_data!T699))</f>
        <v>Refunded</v>
      </c>
      <c r="AC699" s="3" t="str">
        <f aca="false">PROPER(TRIM(raw_data!U699))</f>
        <v>Returned</v>
      </c>
      <c r="AD699" s="7" t="n">
        <f aca="false">T699*U699*(1-W699)</f>
        <v>3970.05</v>
      </c>
      <c r="AE699" s="7" t="n">
        <f aca="false">AD699-Z699</f>
        <v>2120.75</v>
      </c>
      <c r="AF699" s="8" t="n">
        <f aca="false">IF(AD699=0,0,AE699/AD699)</f>
        <v>0.534187226861123</v>
      </c>
      <c r="AG699" s="3" t="str">
        <f aca="false">IF(ABS(Y699-AD699)&gt;1,"Mismatch","OK")</f>
        <v>Mismatch</v>
      </c>
      <c r="AH699" s="3" t="str">
        <f aca="false">IF(ABS(AA699-AE699)&gt;1,"Mismatch","OK")</f>
        <v>Mismatch</v>
      </c>
      <c r="AI699" s="6" t="n">
        <f aca="false">IF(B699="","",MONTH(B699))</f>
        <v>3</v>
      </c>
      <c r="AJ699" s="6" t="n">
        <f aca="false">IF(B699="","",YEAR(B699))</f>
        <v>2025</v>
      </c>
      <c r="AK699" s="3" t="str">
        <f aca="false">IF(COUNTIF(raw_data!$A$2:$A$913,A699)&gt;1,"Conflicting Duplicate - Flagged for Review","Unique")</f>
        <v>Unique</v>
      </c>
      <c r="AL699" s="3" t="str">
        <f aca="false">IF(AB699="Refunded","Yes","No")</f>
        <v>Yes</v>
      </c>
      <c r="AM699" s="3" t="str">
        <f aca="false">IF(OR(AC699&lt;&gt;"Completed",AB699="Failed"),"Excluded","Included")</f>
        <v>Excluded</v>
      </c>
      <c r="AN699" s="3" t="str">
        <f aca="false">IF(OR(D699="Invalid/Unrecognized",E699="Invalid/Unrecognized",G699="Invalid - Ship Before Order",X699="Negative - Invalid",X699="Above Allowed Range - Invalid",AG699="Mismatch",AH699="Mismatch",AK699="Conflicting Duplicate - Flagged for Review"),"Invalid",IF(OR(L699="Filled - Unknown",S699="Filled - Unknown",X699="Missing - Defaulted to 0",AL699="Yes",AC699="Cancelled",AC699="Returned"),"Warning","Clean"))</f>
        <v>Invalid</v>
      </c>
    </row>
    <row r="700" customFormat="false" ht="15" hidden="false" customHeight="false" outlineLevel="0" collapsed="false">
      <c r="A700" s="3" t="str">
        <f aca="false">raw_data!A700</f>
        <v>ORD-2024-10699</v>
      </c>
      <c r="B700" s="4" t="n">
        <f aca="false">IFERROR(IF(MID(raw_data!B700,3,1)="/",DATE(VALUE(RIGHT(raw_data!B700,4)),VALUE(LEFT(raw_data!B700,2)),VALUE(MID(raw_data!B700,4,2))),IF(MID(raw_data!B700,3,1)="-",DATE(VALUE(RIGHT(raw_data!B700,4)),VALUE(MID(raw_data!B700,4,2)),VALUE(LEFT(raw_data!B700,2))),IF(MID(raw_data!B700,5,1)="-",DATE(VALUE(LEFT(raw_data!B700,4)),VALUE(MID(raw_data!B700,6,2)),VALUE(RIGHT(raw_data!B700,2))),DATE(VALUE(RIGHT(raw_data!B700,4)),MATCH(MID(raw_data!B700,4,3),{"Jan","Feb","Mar","Apr","May","Jun","Jul","Aug","Sep","Oct","Nov","Dec"},0),VALUE(LEFT(raw_data!B700,2)))))),"")</f>
        <v>45549</v>
      </c>
      <c r="C700" s="4" t="n">
        <f aca="false">IFERROR(IF(MID(raw_data!C700,3,1)="/",DATE(VALUE(RIGHT(raw_data!C700,4)),VALUE(LEFT(raw_data!C700,2)),VALUE(MID(raw_data!C700,4,2))),IF(MID(raw_data!C700,3,1)="-",DATE(VALUE(RIGHT(raw_data!C700,4)),VALUE(MID(raw_data!C700,4,2)),VALUE(LEFT(raw_data!C700,2))),IF(MID(raw_data!C700,5,1)="-",DATE(VALUE(LEFT(raw_data!C700,4)),VALUE(MID(raw_data!C700,6,2)),VALUE(RIGHT(raw_data!C700,2))),DATE(VALUE(RIGHT(raw_data!C700,4)),MATCH(MID(raw_data!C700,4,3),{"Jan","Feb","Mar","Apr","May","Jun","Jul","Aug","Sep","Oct","Nov","Dec"},0),VALUE(LEFT(raw_data!C700,2)))))),"")</f>
        <v>45549</v>
      </c>
      <c r="D700" s="3" t="str">
        <f aca="false">IF(TRIM(raw_data!B700)="","Missing",IF(B700="","Invalid/Unrecognized","Valid"))</f>
        <v>Valid</v>
      </c>
      <c r="E700" s="3" t="str">
        <f aca="false">IF(TRIM(raw_data!C700)="","Missing",IF(C700="","Invalid/Unrecognized","Valid"))</f>
        <v>Valid</v>
      </c>
      <c r="F700" s="5" t="n">
        <f aca="false">IF(OR(B700="",C700=""),"",C700-B700)</f>
        <v>0</v>
      </c>
      <c r="G700" s="3" t="str">
        <f aca="false">IF(F700="","N/A",IF(F700&lt;0,"Invalid - Ship Before Order","OK"))</f>
        <v>OK</v>
      </c>
      <c r="H700" s="3" t="str">
        <f aca="false">raw_data!D700</f>
        <v>CUST-5357</v>
      </c>
      <c r="I700" s="3" t="str">
        <f aca="false">PROPER(TRIM(raw_data!E700))</f>
        <v>Mira Das</v>
      </c>
      <c r="J700" s="3" t="str">
        <f aca="false">PROPER(TRIM(raw_data!F700))</f>
        <v>Corporate</v>
      </c>
      <c r="K700" s="3" t="str">
        <f aca="false">IF(TRIM(raw_data!G700)="","Unknown",PROPER(TRIM(raw_data!G700)))</f>
        <v>North</v>
      </c>
      <c r="L700" s="3" t="str">
        <f aca="false">IF(TRIM(raw_data!G700)="","Filled - Unknown","OK")</f>
        <v>OK</v>
      </c>
      <c r="M700" s="3" t="str">
        <f aca="false">PROPER(TRIM(raw_data!H700))</f>
        <v>Rajasthan</v>
      </c>
      <c r="N700" s="3" t="str">
        <f aca="false">PROPER(TRIM(raw_data!I700))</f>
        <v>Jaipur</v>
      </c>
      <c r="O700" s="3" t="str">
        <f aca="false">PROPER(TRIM(raw_data!J700))</f>
        <v>Technology</v>
      </c>
      <c r="P700" s="3" t="str">
        <f aca="false">PROPER(TRIM(raw_data!K700))</f>
        <v>Machines</v>
      </c>
      <c r="Q700" s="3" t="str">
        <f aca="false">TRIM(raw_data!L700)</f>
        <v>Classic Machines 648</v>
      </c>
      <c r="R700" s="3" t="str">
        <f aca="false">IF(TRIM(raw_data!M700)="","Unknown",PROPER(TRIM(raw_data!M700)))</f>
        <v>Standard Class</v>
      </c>
      <c r="S700" s="3" t="str">
        <f aca="false">IF(TRIM(raw_data!M700)="","Filled - Unknown","OK")</f>
        <v>OK</v>
      </c>
      <c r="T700" s="6" t="n">
        <f aca="false">raw_data!N700</f>
        <v>8</v>
      </c>
      <c r="U700" s="7" t="n">
        <f aca="false">raw_data!O700</f>
        <v>4081.66</v>
      </c>
      <c r="V700" s="8" t="n">
        <f aca="false">raw_data!P700</f>
        <v>0.15</v>
      </c>
      <c r="W700" s="8" t="n">
        <f aca="false">IF(raw_data!P700="",0,IF(ISTEXT(raw_data!P700),IF(RIGHT(raw_data!P700,1)="%",VALUE(LEFT(raw_data!P700,LEN(raw_data!P700)-1))/100,VALUE(raw_data!P700)),raw_data!P700))</f>
        <v>0.15</v>
      </c>
      <c r="X700" s="3" t="str">
        <f aca="false">IF(raw_data!P700="","Missing - Defaulted to 0",IF(W700&lt;0,"Negative - Invalid",IF(W700&gt;0.3,"Above Allowed Range - Invalid","Valid")))</f>
        <v>Valid</v>
      </c>
      <c r="Y700" s="7" t="n">
        <f aca="false">raw_data!Q700</f>
        <v>28208.1</v>
      </c>
      <c r="Z700" s="7" t="n">
        <f aca="false">raw_data!R700</f>
        <v>23751.91</v>
      </c>
      <c r="AA700" s="7" t="n">
        <f aca="false">raw_data!S700</f>
        <v>4003.38</v>
      </c>
      <c r="AB700" s="3" t="str">
        <f aca="false">PROPER(TRIM(raw_data!T700))</f>
        <v>Paid</v>
      </c>
      <c r="AC700" s="3" t="str">
        <f aca="false">PROPER(TRIM(raw_data!U700))</f>
        <v>Returned</v>
      </c>
      <c r="AD700" s="7" t="n">
        <f aca="false">T700*U700*(1-W700)</f>
        <v>27755.288</v>
      </c>
      <c r="AE700" s="7" t="n">
        <f aca="false">AD700-Z700</f>
        <v>4003.378</v>
      </c>
      <c r="AF700" s="8" t="n">
        <f aca="false">IF(AD700=0,0,AE700/AD700)</f>
        <v>0.144238388014565</v>
      </c>
      <c r="AG700" s="3" t="str">
        <f aca="false">IF(ABS(Y700-AD700)&gt;1,"Mismatch","OK")</f>
        <v>Mismatch</v>
      </c>
      <c r="AH700" s="3" t="str">
        <f aca="false">IF(ABS(AA700-AE700)&gt;1,"Mismatch","OK")</f>
        <v>OK</v>
      </c>
      <c r="AI700" s="6" t="n">
        <f aca="false">IF(B700="","",MONTH(B700))</f>
        <v>9</v>
      </c>
      <c r="AJ700" s="6" t="n">
        <f aca="false">IF(B700="","",YEAR(B700))</f>
        <v>2024</v>
      </c>
      <c r="AK700" s="3" t="str">
        <f aca="false">IF(COUNTIF(raw_data!$A$2:$A$913,A700)&gt;1,"Conflicting Duplicate - Flagged for Review","Unique")</f>
        <v>Unique</v>
      </c>
      <c r="AL700" s="3" t="str">
        <f aca="false">IF(AB700="Refunded","Yes","No")</f>
        <v>No</v>
      </c>
      <c r="AM700" s="3" t="str">
        <f aca="false">IF(OR(AC700&lt;&gt;"Completed",AB700="Failed"),"Excluded","Included")</f>
        <v>Excluded</v>
      </c>
      <c r="AN700" s="3" t="str">
        <f aca="false">IF(OR(D700="Invalid/Unrecognized",E700="Invalid/Unrecognized",G700="Invalid - Ship Before Order",X700="Negative - Invalid",X700="Above Allowed Range - Invalid",AG700="Mismatch",AH700="Mismatch",AK700="Conflicting Duplicate - Flagged for Review"),"Invalid",IF(OR(L700="Filled - Unknown",S700="Filled - Unknown",X700="Missing - Defaulted to 0",AL700="Yes",AC700="Cancelled",AC700="Returned"),"Warning","Clean"))</f>
        <v>Invalid</v>
      </c>
    </row>
    <row r="701" customFormat="false" ht="15" hidden="false" customHeight="false" outlineLevel="0" collapsed="false">
      <c r="A701" s="3" t="str">
        <f aca="false">raw_data!A701</f>
        <v>ORD-2024-10700</v>
      </c>
      <c r="B701" s="4" t="n">
        <f aca="false">IFERROR(IF(MID(raw_data!B701,3,1)="/",DATE(VALUE(RIGHT(raw_data!B701,4)),VALUE(LEFT(raw_data!B701,2)),VALUE(MID(raw_data!B701,4,2))),IF(MID(raw_data!B701,3,1)="-",DATE(VALUE(RIGHT(raw_data!B701,4)),VALUE(MID(raw_data!B701,4,2)),VALUE(LEFT(raw_data!B701,2))),IF(MID(raw_data!B701,5,1)="-",DATE(VALUE(LEFT(raw_data!B701,4)),VALUE(MID(raw_data!B701,6,2)),VALUE(RIGHT(raw_data!B701,2))),DATE(VALUE(RIGHT(raw_data!B701,4)),MATCH(MID(raw_data!B701,4,3),{"Jan","Feb","Mar","Apr","May","Jun","Jul","Aug","Sep","Oct","Nov","Dec"},0),VALUE(LEFT(raw_data!B701,2)))))),"")</f>
        <v>45454</v>
      </c>
      <c r="C701" s="4" t="n">
        <f aca="false">IFERROR(IF(MID(raw_data!C701,3,1)="/",DATE(VALUE(RIGHT(raw_data!C701,4)),VALUE(LEFT(raw_data!C701,2)),VALUE(MID(raw_data!C701,4,2))),IF(MID(raw_data!C701,3,1)="-",DATE(VALUE(RIGHT(raw_data!C701,4)),VALUE(MID(raw_data!C701,4,2)),VALUE(LEFT(raw_data!C701,2))),IF(MID(raw_data!C701,5,1)="-",DATE(VALUE(LEFT(raw_data!C701,4)),VALUE(MID(raw_data!C701,6,2)),VALUE(RIGHT(raw_data!C701,2))),DATE(VALUE(RIGHT(raw_data!C701,4)),MATCH(MID(raw_data!C701,4,3),{"Jan","Feb","Mar","Apr","May","Jun","Jul","Aug","Sep","Oct","Nov","Dec"},0),VALUE(LEFT(raw_data!C701,2)))))),"")</f>
        <v>45454</v>
      </c>
      <c r="D701" s="3" t="str">
        <f aca="false">IF(TRIM(raw_data!B701)="","Missing",IF(B701="","Invalid/Unrecognized","Valid"))</f>
        <v>Valid</v>
      </c>
      <c r="E701" s="3" t="str">
        <f aca="false">IF(TRIM(raw_data!C701)="","Missing",IF(C701="","Invalid/Unrecognized","Valid"))</f>
        <v>Valid</v>
      </c>
      <c r="F701" s="5" t="n">
        <f aca="false">IF(OR(B701="",C701=""),"",C701-B701)</f>
        <v>0</v>
      </c>
      <c r="G701" s="3" t="str">
        <f aca="false">IF(F701="","N/A",IF(F701&lt;0,"Invalid - Ship Before Order","OK"))</f>
        <v>OK</v>
      </c>
      <c r="H701" s="3" t="str">
        <f aca="false">raw_data!D701</f>
        <v>CUST-9802</v>
      </c>
      <c r="I701" s="3" t="str">
        <f aca="false">PROPER(TRIM(raw_data!E701))</f>
        <v>Arjun Bose</v>
      </c>
      <c r="J701" s="3" t="str">
        <f aca="false">PROPER(TRIM(raw_data!F701))</f>
        <v>Small Business</v>
      </c>
      <c r="K701" s="3" t="str">
        <f aca="false">IF(TRIM(raw_data!G701)="","Unknown",PROPER(TRIM(raw_data!G701)))</f>
        <v>South</v>
      </c>
      <c r="L701" s="3" t="str">
        <f aca="false">IF(TRIM(raw_data!G701)="","Filled - Unknown","OK")</f>
        <v>OK</v>
      </c>
      <c r="M701" s="3" t="str">
        <f aca="false">PROPER(TRIM(raw_data!H701))</f>
        <v>Karnataka</v>
      </c>
      <c r="N701" s="3" t="str">
        <f aca="false">PROPER(TRIM(raw_data!I701))</f>
        <v>Bengaluru</v>
      </c>
      <c r="O701" s="3" t="str">
        <f aca="false">PROPER(TRIM(raw_data!J701))</f>
        <v>Furniture</v>
      </c>
      <c r="P701" s="3" t="str">
        <f aca="false">PROPER(TRIM(raw_data!K701))</f>
        <v>Bookcases</v>
      </c>
      <c r="Q701" s="3" t="str">
        <f aca="false">TRIM(raw_data!L701)</f>
        <v>Max Bookcases 565</v>
      </c>
      <c r="R701" s="3" t="str">
        <f aca="false">IF(TRIM(raw_data!M701)="","Unknown",PROPER(TRIM(raw_data!M701)))</f>
        <v>Standard Class</v>
      </c>
      <c r="S701" s="3" t="str">
        <f aca="false">IF(TRIM(raw_data!M701)="","Filled - Unknown","OK")</f>
        <v>OK</v>
      </c>
      <c r="T701" s="6" t="n">
        <f aca="false">raw_data!N701</f>
        <v>9</v>
      </c>
      <c r="U701" s="7" t="n">
        <f aca="false">raw_data!O701</f>
        <v>1400.11</v>
      </c>
      <c r="V701" s="8" t="n">
        <f aca="false">raw_data!P701</f>
        <v>0.25</v>
      </c>
      <c r="W701" s="8" t="n">
        <f aca="false">IF(raw_data!P701="",0,IF(ISTEXT(raw_data!P701),IF(RIGHT(raw_data!P701,1)="%",VALUE(LEFT(raw_data!P701,LEN(raw_data!P701)-1))/100,VALUE(raw_data!P701)),raw_data!P701))</f>
        <v>0.25</v>
      </c>
      <c r="X701" s="3" t="str">
        <f aca="false">IF(raw_data!P701="","Missing - Defaulted to 0",IF(W701&lt;0,"Negative - Invalid",IF(W701&gt;0.3,"Above Allowed Range - Invalid","Valid")))</f>
        <v>Valid</v>
      </c>
      <c r="Y701" s="7" t="n">
        <f aca="false">raw_data!Q701</f>
        <v>9450.74</v>
      </c>
      <c r="Z701" s="7" t="n">
        <f aca="false">raw_data!R701</f>
        <v>7798.56</v>
      </c>
      <c r="AA701" s="7" t="n">
        <f aca="false">raw_data!S701</f>
        <v>1652.18</v>
      </c>
      <c r="AB701" s="3" t="str">
        <f aca="false">PROPER(TRIM(raw_data!T701))</f>
        <v>Paid</v>
      </c>
      <c r="AC701" s="3" t="str">
        <f aca="false">PROPER(TRIM(raw_data!U701))</f>
        <v>Completed</v>
      </c>
      <c r="AD701" s="7" t="n">
        <f aca="false">T701*U701*(1-W701)</f>
        <v>9450.7425</v>
      </c>
      <c r="AE701" s="7" t="n">
        <f aca="false">AD701-Z701</f>
        <v>1652.1825</v>
      </c>
      <c r="AF701" s="8" t="n">
        <f aca="false">IF(AD701=0,0,AE701/AD701)</f>
        <v>0.174820391096255</v>
      </c>
      <c r="AG701" s="3" t="str">
        <f aca="false">IF(ABS(Y701-AD701)&gt;1,"Mismatch","OK")</f>
        <v>OK</v>
      </c>
      <c r="AH701" s="3" t="str">
        <f aca="false">IF(ABS(AA701-AE701)&gt;1,"Mismatch","OK")</f>
        <v>OK</v>
      </c>
      <c r="AI701" s="6" t="n">
        <f aca="false">IF(B701="","",MONTH(B701))</f>
        <v>6</v>
      </c>
      <c r="AJ701" s="6" t="n">
        <f aca="false">IF(B701="","",YEAR(B701))</f>
        <v>2024</v>
      </c>
      <c r="AK701" s="3" t="str">
        <f aca="false">IF(COUNTIF(raw_data!$A$2:$A$913,A701)&gt;1,"Conflicting Duplicate - Flagged for Review","Unique")</f>
        <v>Unique</v>
      </c>
      <c r="AL701" s="3" t="str">
        <f aca="false">IF(AB701="Refunded","Yes","No")</f>
        <v>No</v>
      </c>
      <c r="AM701" s="3" t="str">
        <f aca="false">IF(OR(AC701&lt;&gt;"Completed",AB701="Failed"),"Excluded","Included")</f>
        <v>Included</v>
      </c>
      <c r="AN701" s="3" t="str">
        <f aca="false">IF(OR(D701="Invalid/Unrecognized",E701="Invalid/Unrecognized",G701="Invalid - Ship Before Order",X701="Negative - Invalid",X701="Above Allowed Range - Invalid",AG701="Mismatch",AH701="Mismatch",AK701="Conflicting Duplicate - Flagged for Review"),"Invalid",IF(OR(L701="Filled - Unknown",S701="Filled - Unknown",X701="Missing - Defaulted to 0",AL701="Yes",AC701="Cancelled",AC701="Returned"),"Warning","Clean"))</f>
        <v>Clean</v>
      </c>
    </row>
    <row r="702" customFormat="false" ht="15" hidden="false" customHeight="false" outlineLevel="0" collapsed="false">
      <c r="A702" s="3" t="str">
        <f aca="false">raw_data!A702</f>
        <v>ORD-2024-10701</v>
      </c>
      <c r="B702" s="4" t="n">
        <f aca="false">IFERROR(IF(MID(raw_data!B702,3,1)="/",DATE(VALUE(RIGHT(raw_data!B702,4)),VALUE(LEFT(raw_data!B702,2)),VALUE(MID(raw_data!B702,4,2))),IF(MID(raw_data!B702,3,1)="-",DATE(VALUE(RIGHT(raw_data!B702,4)),VALUE(MID(raw_data!B702,4,2)),VALUE(LEFT(raw_data!B702,2))),IF(MID(raw_data!B702,5,1)="-",DATE(VALUE(LEFT(raw_data!B702,4)),VALUE(MID(raw_data!B702,6,2)),VALUE(RIGHT(raw_data!B702,2))),DATE(VALUE(RIGHT(raw_data!B702,4)),MATCH(MID(raw_data!B702,4,3),{"Jan","Feb","Mar","Apr","May","Jun","Jul","Aug","Sep","Oct","Nov","Dec"},0),VALUE(LEFT(raw_data!B702,2)))))),"")</f>
        <v>45553</v>
      </c>
      <c r="C702" s="4" t="n">
        <f aca="false">IFERROR(IF(MID(raw_data!C702,3,1)="/",DATE(VALUE(RIGHT(raw_data!C702,4)),VALUE(LEFT(raw_data!C702,2)),VALUE(MID(raw_data!C702,4,2))),IF(MID(raw_data!C702,3,1)="-",DATE(VALUE(RIGHT(raw_data!C702,4)),VALUE(MID(raw_data!C702,4,2)),VALUE(LEFT(raw_data!C702,2))),IF(MID(raw_data!C702,5,1)="-",DATE(VALUE(LEFT(raw_data!C702,4)),VALUE(MID(raw_data!C702,6,2)),VALUE(RIGHT(raw_data!C702,2))),DATE(VALUE(RIGHT(raw_data!C702,4)),MATCH(MID(raw_data!C702,4,3),{"Jan","Feb","Mar","Apr","May","Jun","Jul","Aug","Sep","Oct","Nov","Dec"},0),VALUE(LEFT(raw_data!C702,2)))))),"")</f>
        <v>45556</v>
      </c>
      <c r="D702" s="3" t="str">
        <f aca="false">IF(TRIM(raw_data!B702)="","Missing",IF(B702="","Invalid/Unrecognized","Valid"))</f>
        <v>Valid</v>
      </c>
      <c r="E702" s="3" t="str">
        <f aca="false">IF(TRIM(raw_data!C702)="","Missing",IF(C702="","Invalid/Unrecognized","Valid"))</f>
        <v>Valid</v>
      </c>
      <c r="F702" s="5" t="n">
        <f aca="false">IF(OR(B702="",C702=""),"",C702-B702)</f>
        <v>3</v>
      </c>
      <c r="G702" s="3" t="str">
        <f aca="false">IF(F702="","N/A",IF(F702&lt;0,"Invalid - Ship Before Order","OK"))</f>
        <v>OK</v>
      </c>
      <c r="H702" s="3" t="str">
        <f aca="false">raw_data!D702</f>
        <v>CUST-5646</v>
      </c>
      <c r="I702" s="3" t="str">
        <f aca="false">PROPER(TRIM(raw_data!E702))</f>
        <v>Neha Gupta</v>
      </c>
      <c r="J702" s="3" t="str">
        <f aca="false">PROPER(TRIM(raw_data!F702))</f>
        <v>Corporate</v>
      </c>
      <c r="K702" s="3" t="str">
        <f aca="false">IF(TRIM(raw_data!G702)="","Unknown",PROPER(TRIM(raw_data!G702)))</f>
        <v>East</v>
      </c>
      <c r="L702" s="3" t="str">
        <f aca="false">IF(TRIM(raw_data!G702)="","Filled - Unknown","OK")</f>
        <v>OK</v>
      </c>
      <c r="M702" s="3" t="str">
        <f aca="false">PROPER(TRIM(raw_data!H702))</f>
        <v>West Bengal</v>
      </c>
      <c r="N702" s="3" t="str">
        <f aca="false">PROPER(TRIM(raw_data!I702))</f>
        <v>Kolkata</v>
      </c>
      <c r="O702" s="3" t="str">
        <f aca="false">PROPER(TRIM(raw_data!J702))</f>
        <v>Technology</v>
      </c>
      <c r="P702" s="3" t="str">
        <f aca="false">PROPER(TRIM(raw_data!K702))</f>
        <v>Machines</v>
      </c>
      <c r="Q702" s="3" t="str">
        <f aca="false">TRIM(raw_data!L702)</f>
        <v>Basic Machines 220</v>
      </c>
      <c r="R702" s="3" t="str">
        <f aca="false">IF(TRIM(raw_data!M702)="","Unknown",PROPER(TRIM(raw_data!M702)))</f>
        <v>Standard Class</v>
      </c>
      <c r="S702" s="3" t="str">
        <f aca="false">IF(TRIM(raw_data!M702)="","Filled - Unknown","OK")</f>
        <v>OK</v>
      </c>
      <c r="T702" s="6" t="n">
        <f aca="false">raw_data!N702</f>
        <v>3</v>
      </c>
      <c r="U702" s="7" t="n">
        <f aca="false">raw_data!O702</f>
        <v>3055.9</v>
      </c>
      <c r="V702" s="8" t="n">
        <f aca="false">raw_data!P702</f>
        <v>0.15</v>
      </c>
      <c r="W702" s="8" t="n">
        <f aca="false">IF(raw_data!P702="",0,IF(ISTEXT(raw_data!P702),IF(RIGHT(raw_data!P702,1)="%",VALUE(LEFT(raw_data!P702,LEN(raw_data!P702)-1))/100,VALUE(raw_data!P702)),raw_data!P702))</f>
        <v>0.15</v>
      </c>
      <c r="X702" s="3" t="str">
        <f aca="false">IF(raw_data!P702="","Missing - Defaulted to 0",IF(W702&lt;0,"Negative - Invalid",IF(W702&gt;0.3,"Above Allowed Range - Invalid","Valid")))</f>
        <v>Valid</v>
      </c>
      <c r="Y702" s="7" t="n">
        <f aca="false">raw_data!Q702</f>
        <v>7792.55</v>
      </c>
      <c r="Z702" s="7" t="n">
        <f aca="false">raw_data!R702</f>
        <v>4691.73</v>
      </c>
      <c r="AA702" s="7" t="n">
        <f aca="false">raw_data!S702</f>
        <v>3100.82</v>
      </c>
      <c r="AB702" s="3" t="str">
        <f aca="false">PROPER(TRIM(raw_data!T702))</f>
        <v>Paid</v>
      </c>
      <c r="AC702" s="3" t="str">
        <f aca="false">PROPER(TRIM(raw_data!U702))</f>
        <v>Completed</v>
      </c>
      <c r="AD702" s="7" t="n">
        <f aca="false">T702*U702*(1-W702)</f>
        <v>7792.545</v>
      </c>
      <c r="AE702" s="7" t="n">
        <f aca="false">AD702-Z702</f>
        <v>3100.815</v>
      </c>
      <c r="AF702" s="8" t="n">
        <f aca="false">IF(AD702=0,0,AE702/AD702)</f>
        <v>0.397920704981492</v>
      </c>
      <c r="AG702" s="3" t="str">
        <f aca="false">IF(ABS(Y702-AD702)&gt;1,"Mismatch","OK")</f>
        <v>OK</v>
      </c>
      <c r="AH702" s="3" t="str">
        <f aca="false">IF(ABS(AA702-AE702)&gt;1,"Mismatch","OK")</f>
        <v>OK</v>
      </c>
      <c r="AI702" s="6" t="n">
        <f aca="false">IF(B702="","",MONTH(B702))</f>
        <v>9</v>
      </c>
      <c r="AJ702" s="6" t="n">
        <f aca="false">IF(B702="","",YEAR(B702))</f>
        <v>2024</v>
      </c>
      <c r="AK702" s="3" t="str">
        <f aca="false">IF(COUNTIF(raw_data!$A$2:$A$913,A702)&gt;1,"Conflicting Duplicate - Flagged for Review","Unique")</f>
        <v>Unique</v>
      </c>
      <c r="AL702" s="3" t="str">
        <f aca="false">IF(AB702="Refunded","Yes","No")</f>
        <v>No</v>
      </c>
      <c r="AM702" s="3" t="str">
        <f aca="false">IF(OR(AC702&lt;&gt;"Completed",AB702="Failed"),"Excluded","Included")</f>
        <v>Included</v>
      </c>
      <c r="AN702" s="3" t="str">
        <f aca="false">IF(OR(D702="Invalid/Unrecognized",E702="Invalid/Unrecognized",G702="Invalid - Ship Before Order",X702="Negative - Invalid",X702="Above Allowed Range - Invalid",AG702="Mismatch",AH702="Mismatch",AK702="Conflicting Duplicate - Flagged for Review"),"Invalid",IF(OR(L702="Filled - Unknown",S702="Filled - Unknown",X702="Missing - Defaulted to 0",AL702="Yes",AC702="Cancelled",AC702="Returned"),"Warning","Clean"))</f>
        <v>Clean</v>
      </c>
    </row>
    <row r="703" customFormat="false" ht="15" hidden="false" customHeight="false" outlineLevel="0" collapsed="false">
      <c r="A703" s="3" t="str">
        <f aca="false">raw_data!A703</f>
        <v>ORD-2024-10702</v>
      </c>
      <c r="B703" s="4" t="n">
        <f aca="false">IFERROR(IF(MID(raw_data!B703,3,1)="/",DATE(VALUE(RIGHT(raw_data!B703,4)),VALUE(LEFT(raw_data!B703,2)),VALUE(MID(raw_data!B703,4,2))),IF(MID(raw_data!B703,3,1)="-",DATE(VALUE(RIGHT(raw_data!B703,4)),VALUE(MID(raw_data!B703,4,2)),VALUE(LEFT(raw_data!B703,2))),IF(MID(raw_data!B703,5,1)="-",DATE(VALUE(LEFT(raw_data!B703,4)),VALUE(MID(raw_data!B703,6,2)),VALUE(RIGHT(raw_data!B703,2))),DATE(VALUE(RIGHT(raw_data!B703,4)),MATCH(MID(raw_data!B703,4,3),{"Jan","Feb","Mar","Apr","May","Jun","Jul","Aug","Sep","Oct","Nov","Dec"},0),VALUE(LEFT(raw_data!B703,2)))))),"")</f>
        <v>45412</v>
      </c>
      <c r="C703" s="4" t="n">
        <f aca="false">IFERROR(IF(MID(raw_data!C703,3,1)="/",DATE(VALUE(RIGHT(raw_data!C703,4)),VALUE(LEFT(raw_data!C703,2)),VALUE(MID(raw_data!C703,4,2))),IF(MID(raw_data!C703,3,1)="-",DATE(VALUE(RIGHT(raw_data!C703,4)),VALUE(MID(raw_data!C703,4,2)),VALUE(LEFT(raw_data!C703,2))),IF(MID(raw_data!C703,5,1)="-",DATE(VALUE(LEFT(raw_data!C703,4)),VALUE(MID(raw_data!C703,6,2)),VALUE(RIGHT(raw_data!C703,2))),DATE(VALUE(RIGHT(raw_data!C703,4)),MATCH(MID(raw_data!C703,4,3),{"Jan","Feb","Mar","Apr","May","Jun","Jul","Aug","Sep","Oct","Nov","Dec"},0),VALUE(LEFT(raw_data!C703,2)))))),"")</f>
        <v>45416</v>
      </c>
      <c r="D703" s="3" t="str">
        <f aca="false">IF(TRIM(raw_data!B703)="","Missing",IF(B703="","Invalid/Unrecognized","Valid"))</f>
        <v>Valid</v>
      </c>
      <c r="E703" s="3" t="str">
        <f aca="false">IF(TRIM(raw_data!C703)="","Missing",IF(C703="","Invalid/Unrecognized","Valid"))</f>
        <v>Valid</v>
      </c>
      <c r="F703" s="5" t="n">
        <f aca="false">IF(OR(B703="",C703=""),"",C703-B703)</f>
        <v>4</v>
      </c>
      <c r="G703" s="3" t="str">
        <f aca="false">IF(F703="","N/A",IF(F703&lt;0,"Invalid - Ship Before Order","OK"))</f>
        <v>OK</v>
      </c>
      <c r="H703" s="3" t="str">
        <f aca="false">raw_data!D703</f>
        <v>CUST-7171</v>
      </c>
      <c r="I703" s="3" t="str">
        <f aca="false">PROPER(TRIM(raw_data!E703))</f>
        <v>Rohan Mehta</v>
      </c>
      <c r="J703" s="3" t="str">
        <f aca="false">PROPER(TRIM(raw_data!F703))</f>
        <v>Small Business</v>
      </c>
      <c r="K703" s="3" t="str">
        <f aca="false">IF(TRIM(raw_data!G703)="","Unknown",PROPER(TRIM(raw_data!G703)))</f>
        <v>West</v>
      </c>
      <c r="L703" s="3" t="str">
        <f aca="false">IF(TRIM(raw_data!G703)="","Filled - Unknown","OK")</f>
        <v>OK</v>
      </c>
      <c r="M703" s="3" t="str">
        <f aca="false">PROPER(TRIM(raw_data!H703))</f>
        <v>Gujarat</v>
      </c>
      <c r="N703" s="3" t="str">
        <f aca="false">PROPER(TRIM(raw_data!I703))</f>
        <v>Ahmedabad</v>
      </c>
      <c r="O703" s="3" t="str">
        <f aca="false">PROPER(TRIM(raw_data!J703))</f>
        <v>Office Supplies</v>
      </c>
      <c r="P703" s="3" t="str">
        <f aca="false">PROPER(TRIM(raw_data!K703))</f>
        <v>Art</v>
      </c>
      <c r="Q703" s="3" t="str">
        <f aca="false">TRIM(raw_data!L703)</f>
        <v>Pro Art 151</v>
      </c>
      <c r="R703" s="3" t="str">
        <f aca="false">IF(TRIM(raw_data!M703)="","Unknown",PROPER(TRIM(raw_data!M703)))</f>
        <v>Same Day</v>
      </c>
      <c r="S703" s="3" t="str">
        <f aca="false">IF(TRIM(raw_data!M703)="","Filled - Unknown","OK")</f>
        <v>OK</v>
      </c>
      <c r="T703" s="6" t="n">
        <f aca="false">raw_data!N703</f>
        <v>7</v>
      </c>
      <c r="U703" s="7" t="n">
        <f aca="false">raw_data!O703</f>
        <v>1224.94</v>
      </c>
      <c r="V703" s="8" t="n">
        <f aca="false">raw_data!P703</f>
        <v>0</v>
      </c>
      <c r="W703" s="8" t="n">
        <f aca="false">IF(raw_data!P703="",0,IF(ISTEXT(raw_data!P703),IF(RIGHT(raw_data!P703,1)="%",VALUE(LEFT(raw_data!P703,LEN(raw_data!P703)-1))/100,VALUE(raw_data!P703)),raw_data!P703))</f>
        <v>0</v>
      </c>
      <c r="X703" s="3" t="str">
        <f aca="false">IF(raw_data!P703="","Missing - Defaulted to 0",IF(W703&lt;0,"Negative - Invalid",IF(W703&gt;0.3,"Above Allowed Range - Invalid","Valid")))</f>
        <v>Valid</v>
      </c>
      <c r="Y703" s="7" t="n">
        <f aca="false">raw_data!Q703</f>
        <v>8574.58</v>
      </c>
      <c r="Z703" s="7" t="n">
        <f aca="false">raw_data!R703</f>
        <v>6685.81</v>
      </c>
      <c r="AA703" s="7" t="n">
        <f aca="false">raw_data!S703</f>
        <v>1888.77</v>
      </c>
      <c r="AB703" s="3" t="str">
        <f aca="false">PROPER(TRIM(raw_data!T703))</f>
        <v>Paid</v>
      </c>
      <c r="AC703" s="3" t="str">
        <f aca="false">PROPER(TRIM(raw_data!U703))</f>
        <v>Returned</v>
      </c>
      <c r="AD703" s="7" t="n">
        <f aca="false">T703*U703*(1-W703)</f>
        <v>8574.58</v>
      </c>
      <c r="AE703" s="7" t="n">
        <f aca="false">AD703-Z703</f>
        <v>1888.77</v>
      </c>
      <c r="AF703" s="8" t="n">
        <f aca="false">IF(AD703=0,0,AE703/AD703)</f>
        <v>0.220275512036741</v>
      </c>
      <c r="AG703" s="3" t="str">
        <f aca="false">IF(ABS(Y703-AD703)&gt;1,"Mismatch","OK")</f>
        <v>OK</v>
      </c>
      <c r="AH703" s="3" t="str">
        <f aca="false">IF(ABS(AA703-AE703)&gt;1,"Mismatch","OK")</f>
        <v>OK</v>
      </c>
      <c r="AI703" s="6" t="n">
        <f aca="false">IF(B703="","",MONTH(B703))</f>
        <v>4</v>
      </c>
      <c r="AJ703" s="6" t="n">
        <f aca="false">IF(B703="","",YEAR(B703))</f>
        <v>2024</v>
      </c>
      <c r="AK703" s="3" t="str">
        <f aca="false">IF(COUNTIF(raw_data!$A$2:$A$913,A703)&gt;1,"Conflicting Duplicate - Flagged for Review","Unique")</f>
        <v>Unique</v>
      </c>
      <c r="AL703" s="3" t="str">
        <f aca="false">IF(AB703="Refunded","Yes","No")</f>
        <v>No</v>
      </c>
      <c r="AM703" s="3" t="str">
        <f aca="false">IF(OR(AC703&lt;&gt;"Completed",AB703="Failed"),"Excluded","Included")</f>
        <v>Excluded</v>
      </c>
      <c r="AN703" s="3" t="str">
        <f aca="false">IF(OR(D703="Invalid/Unrecognized",E703="Invalid/Unrecognized",G703="Invalid - Ship Before Order",X703="Negative - Invalid",X703="Above Allowed Range - Invalid",AG703="Mismatch",AH703="Mismatch",AK703="Conflicting Duplicate - Flagged for Review"),"Invalid",IF(OR(L703="Filled - Unknown",S703="Filled - Unknown",X703="Missing - Defaulted to 0",AL703="Yes",AC703="Cancelled",AC703="Returned"),"Warning","Clean"))</f>
        <v>Warning</v>
      </c>
    </row>
    <row r="704" customFormat="false" ht="15" hidden="false" customHeight="false" outlineLevel="0" collapsed="false">
      <c r="A704" s="3" t="str">
        <f aca="false">raw_data!A704</f>
        <v>ORD-2025-10703</v>
      </c>
      <c r="B704" s="4" t="n">
        <f aca="false">IFERROR(IF(MID(raw_data!B704,3,1)="/",DATE(VALUE(RIGHT(raw_data!B704,4)),VALUE(LEFT(raw_data!B704,2)),VALUE(MID(raw_data!B704,4,2))),IF(MID(raw_data!B704,3,1)="-",DATE(VALUE(RIGHT(raw_data!B704,4)),VALUE(MID(raw_data!B704,4,2)),VALUE(LEFT(raw_data!B704,2))),IF(MID(raw_data!B704,5,1)="-",DATE(VALUE(LEFT(raw_data!B704,4)),VALUE(MID(raw_data!B704,6,2)),VALUE(RIGHT(raw_data!B704,2))),DATE(VALUE(RIGHT(raw_data!B704,4)),MATCH(MID(raw_data!B704,4,3),{"Jan","Feb","Mar","Apr","May","Jun","Jul","Aug","Sep","Oct","Nov","Dec"},0),VALUE(LEFT(raw_data!B704,2)))))),"")</f>
        <v>45690</v>
      </c>
      <c r="C704" s="4" t="n">
        <f aca="false">IFERROR(IF(MID(raw_data!C704,3,1)="/",DATE(VALUE(RIGHT(raw_data!C704,4)),VALUE(LEFT(raw_data!C704,2)),VALUE(MID(raw_data!C704,4,2))),IF(MID(raw_data!C704,3,1)="-",DATE(VALUE(RIGHT(raw_data!C704,4)),VALUE(MID(raw_data!C704,4,2)),VALUE(LEFT(raw_data!C704,2))),IF(MID(raw_data!C704,5,1)="-",DATE(VALUE(LEFT(raw_data!C704,4)),VALUE(MID(raw_data!C704,6,2)),VALUE(RIGHT(raw_data!C704,2))),DATE(VALUE(RIGHT(raw_data!C704,4)),MATCH(MID(raw_data!C704,4,3),{"Jan","Feb","Mar","Apr","May","Jun","Jul","Aug","Sep","Oct","Nov","Dec"},0),VALUE(LEFT(raw_data!C704,2)))))),"")</f>
        <v>45694</v>
      </c>
      <c r="D704" s="3" t="str">
        <f aca="false">IF(TRIM(raw_data!B704)="","Missing",IF(B704="","Invalid/Unrecognized","Valid"))</f>
        <v>Valid</v>
      </c>
      <c r="E704" s="3" t="str">
        <f aca="false">IF(TRIM(raw_data!C704)="","Missing",IF(C704="","Invalid/Unrecognized","Valid"))</f>
        <v>Valid</v>
      </c>
      <c r="F704" s="5" t="n">
        <f aca="false">IF(OR(B704="",C704=""),"",C704-B704)</f>
        <v>4</v>
      </c>
      <c r="G704" s="3" t="str">
        <f aca="false">IF(F704="","N/A",IF(F704&lt;0,"Invalid - Ship Before Order","OK"))</f>
        <v>OK</v>
      </c>
      <c r="H704" s="3" t="str">
        <f aca="false">raw_data!D704</f>
        <v>CUST-5231</v>
      </c>
      <c r="I704" s="3" t="str">
        <f aca="false">PROPER(TRIM(raw_data!E704))</f>
        <v>Karan Malhotra</v>
      </c>
      <c r="J704" s="3" t="str">
        <f aca="false">PROPER(TRIM(raw_data!F704))</f>
        <v>Small Business</v>
      </c>
      <c r="K704" s="3" t="str">
        <f aca="false">IF(TRIM(raw_data!G704)="","Unknown",PROPER(TRIM(raw_data!G704)))</f>
        <v>West</v>
      </c>
      <c r="L704" s="3" t="str">
        <f aca="false">IF(TRIM(raw_data!G704)="","Filled - Unknown","OK")</f>
        <v>OK</v>
      </c>
      <c r="M704" s="3" t="str">
        <f aca="false">PROPER(TRIM(raw_data!H704))</f>
        <v>Rajasthan</v>
      </c>
      <c r="N704" s="3" t="str">
        <f aca="false">PROPER(TRIM(raw_data!I704))</f>
        <v>Udaipur</v>
      </c>
      <c r="O704" s="3" t="str">
        <f aca="false">PROPER(TRIM(raw_data!J704))</f>
        <v>Furniture</v>
      </c>
      <c r="P704" s="3" t="str">
        <f aca="false">PROPER(TRIM(raw_data!K704))</f>
        <v>Tables</v>
      </c>
      <c r="Q704" s="3" t="str">
        <f aca="false">TRIM(raw_data!L704)</f>
        <v>Pro Tables 980</v>
      </c>
      <c r="R704" s="3" t="str">
        <f aca="false">IF(TRIM(raw_data!M704)="","Unknown",PROPER(TRIM(raw_data!M704)))</f>
        <v>Second Class</v>
      </c>
      <c r="S704" s="3" t="str">
        <f aca="false">IF(TRIM(raw_data!M704)="","Filled - Unknown","OK")</f>
        <v>OK</v>
      </c>
      <c r="T704" s="6" t="n">
        <f aca="false">raw_data!N704</f>
        <v>3</v>
      </c>
      <c r="U704" s="7" t="n">
        <f aca="false">raw_data!O704</f>
        <v>997.34</v>
      </c>
      <c r="V704" s="8" t="n">
        <f aca="false">raw_data!P704</f>
        <v>0.1</v>
      </c>
      <c r="W704" s="8" t="n">
        <f aca="false">IF(raw_data!P704="",0,IF(ISTEXT(raw_data!P704),IF(RIGHT(raw_data!P704,1)="%",VALUE(LEFT(raw_data!P704,LEN(raw_data!P704)-1))/100,VALUE(raw_data!P704)),raw_data!P704))</f>
        <v>0.1</v>
      </c>
      <c r="X704" s="3" t="str">
        <f aca="false">IF(raw_data!P704="","Missing - Defaulted to 0",IF(W704&lt;0,"Negative - Invalid",IF(W704&gt;0.3,"Above Allowed Range - Invalid","Valid")))</f>
        <v>Valid</v>
      </c>
      <c r="Y704" s="7" t="n">
        <f aca="false">raw_data!Q704</f>
        <v>2692.82</v>
      </c>
      <c r="Z704" s="7" t="n">
        <f aca="false">raw_data!R704</f>
        <v>1820.08</v>
      </c>
      <c r="AA704" s="7" t="n">
        <f aca="false">raw_data!S704</f>
        <v>872.74</v>
      </c>
      <c r="AB704" s="3" t="str">
        <f aca="false">PROPER(TRIM(raw_data!T704))</f>
        <v>Paid</v>
      </c>
      <c r="AC704" s="3" t="str">
        <f aca="false">PROPER(TRIM(raw_data!U704))</f>
        <v>Completed</v>
      </c>
      <c r="AD704" s="7" t="n">
        <f aca="false">T704*U704*(1-W704)</f>
        <v>2692.818</v>
      </c>
      <c r="AE704" s="7" t="n">
        <f aca="false">AD704-Z704</f>
        <v>872.738</v>
      </c>
      <c r="AF704" s="8" t="n">
        <f aca="false">IF(AD704=0,0,AE704/AD704)</f>
        <v>0.32409839803507</v>
      </c>
      <c r="AG704" s="3" t="str">
        <f aca="false">IF(ABS(Y704-AD704)&gt;1,"Mismatch","OK")</f>
        <v>OK</v>
      </c>
      <c r="AH704" s="3" t="str">
        <f aca="false">IF(ABS(AA704-AE704)&gt;1,"Mismatch","OK")</f>
        <v>OK</v>
      </c>
      <c r="AI704" s="6" t="n">
        <f aca="false">IF(B704="","",MONTH(B704))</f>
        <v>2</v>
      </c>
      <c r="AJ704" s="6" t="n">
        <f aca="false">IF(B704="","",YEAR(B704))</f>
        <v>2025</v>
      </c>
      <c r="AK704" s="3" t="str">
        <f aca="false">IF(COUNTIF(raw_data!$A$2:$A$913,A704)&gt;1,"Conflicting Duplicate - Flagged for Review","Unique")</f>
        <v>Unique</v>
      </c>
      <c r="AL704" s="3" t="str">
        <f aca="false">IF(AB704="Refunded","Yes","No")</f>
        <v>No</v>
      </c>
      <c r="AM704" s="3" t="str">
        <f aca="false">IF(OR(AC704&lt;&gt;"Completed",AB704="Failed"),"Excluded","Included")</f>
        <v>Included</v>
      </c>
      <c r="AN704" s="3" t="str">
        <f aca="false">IF(OR(D704="Invalid/Unrecognized",E704="Invalid/Unrecognized",G704="Invalid - Ship Before Order",X704="Negative - Invalid",X704="Above Allowed Range - Invalid",AG704="Mismatch",AH704="Mismatch",AK704="Conflicting Duplicate - Flagged for Review"),"Invalid",IF(OR(L704="Filled - Unknown",S704="Filled - Unknown",X704="Missing - Defaulted to 0",AL704="Yes",AC704="Cancelled",AC704="Returned"),"Warning","Clean"))</f>
        <v>Clean</v>
      </c>
    </row>
    <row r="705" customFormat="false" ht="15" hidden="false" customHeight="false" outlineLevel="0" collapsed="false">
      <c r="A705" s="3" t="str">
        <f aca="false">raw_data!A705</f>
        <v>ORD-2024-10704</v>
      </c>
      <c r="B705" s="4" t="n">
        <f aca="false">IFERROR(IF(MID(raw_data!B705,3,1)="/",DATE(VALUE(RIGHT(raw_data!B705,4)),VALUE(LEFT(raw_data!B705,2)),VALUE(MID(raw_data!B705,4,2))),IF(MID(raw_data!B705,3,1)="-",DATE(VALUE(RIGHT(raw_data!B705,4)),VALUE(MID(raw_data!B705,4,2)),VALUE(LEFT(raw_data!B705,2))),IF(MID(raw_data!B705,5,1)="-",DATE(VALUE(LEFT(raw_data!B705,4)),VALUE(MID(raw_data!B705,6,2)),VALUE(RIGHT(raw_data!B705,2))),DATE(VALUE(RIGHT(raw_data!B705,4)),MATCH(MID(raw_data!B705,4,3),{"Jan","Feb","Mar","Apr","May","Jun","Jul","Aug","Sep","Oct","Nov","Dec"},0),VALUE(LEFT(raw_data!B705,2)))))),"")</f>
        <v>45584</v>
      </c>
      <c r="C705" s="4" t="n">
        <f aca="false">IFERROR(IF(MID(raw_data!C705,3,1)="/",DATE(VALUE(RIGHT(raw_data!C705,4)),VALUE(LEFT(raw_data!C705,2)),VALUE(MID(raw_data!C705,4,2))),IF(MID(raw_data!C705,3,1)="-",DATE(VALUE(RIGHT(raw_data!C705,4)),VALUE(MID(raw_data!C705,4,2)),VALUE(LEFT(raw_data!C705,2))),IF(MID(raw_data!C705,5,1)="-",DATE(VALUE(LEFT(raw_data!C705,4)),VALUE(MID(raw_data!C705,6,2)),VALUE(RIGHT(raw_data!C705,2))),DATE(VALUE(RIGHT(raw_data!C705,4)),MATCH(MID(raw_data!C705,4,3),{"Jan","Feb","Mar","Apr","May","Jun","Jul","Aug","Sep","Oct","Nov","Dec"},0),VALUE(LEFT(raw_data!C705,2)))))),"")</f>
        <v>45585</v>
      </c>
      <c r="D705" s="3" t="str">
        <f aca="false">IF(TRIM(raw_data!B705)="","Missing",IF(B705="","Invalid/Unrecognized","Valid"))</f>
        <v>Valid</v>
      </c>
      <c r="E705" s="3" t="str">
        <f aca="false">IF(TRIM(raw_data!C705)="","Missing",IF(C705="","Invalid/Unrecognized","Valid"))</f>
        <v>Valid</v>
      </c>
      <c r="F705" s="5" t="n">
        <f aca="false">IF(OR(B705="",C705=""),"",C705-B705)</f>
        <v>1</v>
      </c>
      <c r="G705" s="3" t="str">
        <f aca="false">IF(F705="","N/A",IF(F705&lt;0,"Invalid - Ship Before Order","OK"))</f>
        <v>OK</v>
      </c>
      <c r="H705" s="3" t="str">
        <f aca="false">raw_data!D705</f>
        <v>CUST-8734</v>
      </c>
      <c r="I705" s="3" t="str">
        <f aca="false">PROPER(TRIM(raw_data!E705))</f>
        <v>Aditi Sen</v>
      </c>
      <c r="J705" s="3" t="str">
        <f aca="false">PROPER(TRIM(raw_data!F705))</f>
        <v>Corporate</v>
      </c>
      <c r="K705" s="3" t="str">
        <f aca="false">IF(TRIM(raw_data!G705)="","Unknown",PROPER(TRIM(raw_data!G705)))</f>
        <v>North</v>
      </c>
      <c r="L705" s="3" t="str">
        <f aca="false">IF(TRIM(raw_data!G705)="","Filled - Unknown","OK")</f>
        <v>OK</v>
      </c>
      <c r="M705" s="3" t="str">
        <f aca="false">PROPER(TRIM(raw_data!H705))</f>
        <v>Rajasthan</v>
      </c>
      <c r="N705" s="3" t="str">
        <f aca="false">PROPER(TRIM(raw_data!I705))</f>
        <v>Jaipur</v>
      </c>
      <c r="O705" s="3" t="str">
        <f aca="false">PROPER(TRIM(raw_data!J705))</f>
        <v>Furniture</v>
      </c>
      <c r="P705" s="3" t="str">
        <f aca="false">PROPER(TRIM(raw_data!K705))</f>
        <v>Tables</v>
      </c>
      <c r="Q705" s="3" t="str">
        <f aca="false">TRIM(raw_data!L705)</f>
        <v>Classic Tables 997</v>
      </c>
      <c r="R705" s="3" t="str">
        <f aca="false">IF(TRIM(raw_data!M705)="","Unknown",PROPER(TRIM(raw_data!M705)))</f>
        <v>First Class</v>
      </c>
      <c r="S705" s="3" t="str">
        <f aca="false">IF(TRIM(raw_data!M705)="","Filled - Unknown","OK")</f>
        <v>OK</v>
      </c>
      <c r="T705" s="6" t="n">
        <f aca="false">raw_data!N705</f>
        <v>1</v>
      </c>
      <c r="U705" s="7" t="n">
        <f aca="false">raw_data!O705</f>
        <v>1150.03</v>
      </c>
      <c r="V705" s="8" t="n">
        <f aca="false">raw_data!P705</f>
        <v>0.1</v>
      </c>
      <c r="W705" s="8" t="n">
        <f aca="false">IF(raw_data!P705="",0,IF(ISTEXT(raw_data!P705),IF(RIGHT(raw_data!P705,1)="%",VALUE(LEFT(raw_data!P705,LEN(raw_data!P705)-1))/100,VALUE(raw_data!P705)),raw_data!P705))</f>
        <v>0.1</v>
      </c>
      <c r="X705" s="3" t="str">
        <f aca="false">IF(raw_data!P705="","Missing - Defaulted to 0",IF(W705&lt;0,"Negative - Invalid",IF(W705&gt;0.3,"Above Allowed Range - Invalid","Valid")))</f>
        <v>Valid</v>
      </c>
      <c r="Y705" s="7" t="n">
        <f aca="false">raw_data!Q705</f>
        <v>1035.03</v>
      </c>
      <c r="Z705" s="7" t="n">
        <f aca="false">raw_data!R705</f>
        <v>854.35</v>
      </c>
      <c r="AA705" s="7" t="n">
        <f aca="false">raw_data!S705</f>
        <v>180.68</v>
      </c>
      <c r="AB705" s="3" t="str">
        <f aca="false">PROPER(TRIM(raw_data!T705))</f>
        <v>Paid</v>
      </c>
      <c r="AC705" s="3" t="str">
        <f aca="false">PROPER(TRIM(raw_data!U705))</f>
        <v>Completed</v>
      </c>
      <c r="AD705" s="7" t="n">
        <f aca="false">T705*U705*(1-W705)</f>
        <v>1035.027</v>
      </c>
      <c r="AE705" s="7" t="n">
        <f aca="false">AD705-Z705</f>
        <v>180.677</v>
      </c>
      <c r="AF705" s="8" t="n">
        <f aca="false">IF(AD705=0,0,AE705/AD705)</f>
        <v>0.174562595951603</v>
      </c>
      <c r="AG705" s="3" t="str">
        <f aca="false">IF(ABS(Y705-AD705)&gt;1,"Mismatch","OK")</f>
        <v>OK</v>
      </c>
      <c r="AH705" s="3" t="str">
        <f aca="false">IF(ABS(AA705-AE705)&gt;1,"Mismatch","OK")</f>
        <v>OK</v>
      </c>
      <c r="AI705" s="6" t="n">
        <f aca="false">IF(B705="","",MONTH(B705))</f>
        <v>10</v>
      </c>
      <c r="AJ705" s="6" t="n">
        <f aca="false">IF(B705="","",YEAR(B705))</f>
        <v>2024</v>
      </c>
      <c r="AK705" s="3" t="str">
        <f aca="false">IF(COUNTIF(raw_data!$A$2:$A$913,A705)&gt;1,"Conflicting Duplicate - Flagged for Review","Unique")</f>
        <v>Unique</v>
      </c>
      <c r="AL705" s="3" t="str">
        <f aca="false">IF(AB705="Refunded","Yes","No")</f>
        <v>No</v>
      </c>
      <c r="AM705" s="3" t="str">
        <f aca="false">IF(OR(AC705&lt;&gt;"Completed",AB705="Failed"),"Excluded","Included")</f>
        <v>Included</v>
      </c>
      <c r="AN705" s="3" t="str">
        <f aca="false">IF(OR(D705="Invalid/Unrecognized",E705="Invalid/Unrecognized",G705="Invalid - Ship Before Order",X705="Negative - Invalid",X705="Above Allowed Range - Invalid",AG705="Mismatch",AH705="Mismatch",AK705="Conflicting Duplicate - Flagged for Review"),"Invalid",IF(OR(L705="Filled - Unknown",S705="Filled - Unknown",X705="Missing - Defaulted to 0",AL705="Yes",AC705="Cancelled",AC705="Returned"),"Warning","Clean"))</f>
        <v>Clean</v>
      </c>
    </row>
    <row r="706" customFormat="false" ht="15" hidden="false" customHeight="false" outlineLevel="0" collapsed="false">
      <c r="A706" s="3" t="str">
        <f aca="false">raw_data!A706</f>
        <v>ORD-2024-10705</v>
      </c>
      <c r="B706" s="4" t="n">
        <f aca="false">IFERROR(IF(MID(raw_data!B706,3,1)="/",DATE(VALUE(RIGHT(raw_data!B706,4)),VALUE(LEFT(raw_data!B706,2)),VALUE(MID(raw_data!B706,4,2))),IF(MID(raw_data!B706,3,1)="-",DATE(VALUE(RIGHT(raw_data!B706,4)),VALUE(MID(raw_data!B706,4,2)),VALUE(LEFT(raw_data!B706,2))),IF(MID(raw_data!B706,5,1)="-",DATE(VALUE(LEFT(raw_data!B706,4)),VALUE(MID(raw_data!B706,6,2)),VALUE(RIGHT(raw_data!B706,2))),DATE(VALUE(RIGHT(raw_data!B706,4)),MATCH(MID(raw_data!B706,4,3),{"Jan","Feb","Mar","Apr","May","Jun","Jul","Aug","Sep","Oct","Nov","Dec"},0),VALUE(LEFT(raw_data!B706,2)))))),"")</f>
        <v>45364</v>
      </c>
      <c r="C706" s="4" t="n">
        <f aca="false">IFERROR(IF(MID(raw_data!C706,3,1)="/",DATE(VALUE(RIGHT(raw_data!C706,4)),VALUE(LEFT(raw_data!C706,2)),VALUE(MID(raw_data!C706,4,2))),IF(MID(raw_data!C706,3,1)="-",DATE(VALUE(RIGHT(raw_data!C706,4)),VALUE(MID(raw_data!C706,4,2)),VALUE(LEFT(raw_data!C706,2))),IF(MID(raw_data!C706,5,1)="-",DATE(VALUE(LEFT(raw_data!C706,4)),VALUE(MID(raw_data!C706,6,2)),VALUE(RIGHT(raw_data!C706,2))),DATE(VALUE(RIGHT(raw_data!C706,4)),MATCH(MID(raw_data!C706,4,3),{"Jan","Feb","Mar","Apr","May","Jun","Jul","Aug","Sep","Oct","Nov","Dec"},0),VALUE(LEFT(raw_data!C706,2)))))),"")</f>
        <v>45371</v>
      </c>
      <c r="D706" s="3" t="str">
        <f aca="false">IF(TRIM(raw_data!B706)="","Missing",IF(B706="","Invalid/Unrecognized","Valid"))</f>
        <v>Valid</v>
      </c>
      <c r="E706" s="3" t="str">
        <f aca="false">IF(TRIM(raw_data!C706)="","Missing",IF(C706="","Invalid/Unrecognized","Valid"))</f>
        <v>Valid</v>
      </c>
      <c r="F706" s="5" t="n">
        <f aca="false">IF(OR(B706="",C706=""),"",C706-B706)</f>
        <v>7</v>
      </c>
      <c r="G706" s="3" t="str">
        <f aca="false">IF(F706="","N/A",IF(F706&lt;0,"Invalid - Ship Before Order","OK"))</f>
        <v>OK</v>
      </c>
      <c r="H706" s="3" t="str">
        <f aca="false">raw_data!D706</f>
        <v>CUST-4916</v>
      </c>
      <c r="I706" s="3" t="str">
        <f aca="false">PROPER(TRIM(raw_data!E706))</f>
        <v>Priya Menon</v>
      </c>
      <c r="J706" s="3" t="str">
        <f aca="false">PROPER(TRIM(raw_data!F706))</f>
        <v>Home Office</v>
      </c>
      <c r="K706" s="3" t="str">
        <f aca="false">IF(TRIM(raw_data!G706)="","Unknown",PROPER(TRIM(raw_data!G706)))</f>
        <v>South</v>
      </c>
      <c r="L706" s="3" t="str">
        <f aca="false">IF(TRIM(raw_data!G706)="","Filled - Unknown","OK")</f>
        <v>OK</v>
      </c>
      <c r="M706" s="3" t="str">
        <f aca="false">PROPER(TRIM(raw_data!H706))</f>
        <v>Tamil Nadu</v>
      </c>
      <c r="N706" s="3" t="str">
        <f aca="false">PROPER(TRIM(raw_data!I706))</f>
        <v>Chennai</v>
      </c>
      <c r="O706" s="3" t="str">
        <f aca="false">PROPER(TRIM(raw_data!J706))</f>
        <v>Furniture</v>
      </c>
      <c r="P706" s="3" t="str">
        <f aca="false">PROPER(TRIM(raw_data!K706))</f>
        <v>Bookcases</v>
      </c>
      <c r="Q706" s="3" t="str">
        <f aca="false">TRIM(raw_data!L706)</f>
        <v>Max Bookcases 738</v>
      </c>
      <c r="R706" s="3" t="str">
        <f aca="false">IF(TRIM(raw_data!M706)="","Unknown",PROPER(TRIM(raw_data!M706)))</f>
        <v>Unknown</v>
      </c>
      <c r="S706" s="3" t="str">
        <f aca="false">IF(TRIM(raw_data!M706)="","Filled - Unknown","OK")</f>
        <v>Filled - Unknown</v>
      </c>
      <c r="T706" s="6" t="n">
        <f aca="false">raw_data!N706</f>
        <v>1</v>
      </c>
      <c r="U706" s="7" t="n">
        <f aca="false">raw_data!O706</f>
        <v>2825.63</v>
      </c>
      <c r="V706" s="8" t="n">
        <f aca="false">raw_data!P706</f>
        <v>0.15</v>
      </c>
      <c r="W706" s="8" t="n">
        <f aca="false">IF(raw_data!P706="",0,IF(ISTEXT(raw_data!P706),IF(RIGHT(raw_data!P706,1)="%",VALUE(LEFT(raw_data!P706,LEN(raw_data!P706)-1))/100,VALUE(raw_data!P706)),raw_data!P706))</f>
        <v>0.15</v>
      </c>
      <c r="X706" s="3" t="str">
        <f aca="false">IF(raw_data!P706="","Missing - Defaulted to 0",IF(W706&lt;0,"Negative - Invalid",IF(W706&gt;0.3,"Above Allowed Range - Invalid","Valid")))</f>
        <v>Valid</v>
      </c>
      <c r="Y706" s="7" t="n">
        <f aca="false">raw_data!Q706</f>
        <v>2401.79</v>
      </c>
      <c r="Z706" s="7" t="n">
        <f aca="false">raw_data!R706</f>
        <v>1820.34</v>
      </c>
      <c r="AA706" s="7" t="n">
        <f aca="false">raw_data!S706</f>
        <v>581.45</v>
      </c>
      <c r="AB706" s="3" t="str">
        <f aca="false">PROPER(TRIM(raw_data!T706))</f>
        <v>Paid</v>
      </c>
      <c r="AC706" s="3" t="str">
        <f aca="false">PROPER(TRIM(raw_data!U706))</f>
        <v>Completed</v>
      </c>
      <c r="AD706" s="7" t="n">
        <f aca="false">T706*U706*(1-W706)</f>
        <v>2401.7855</v>
      </c>
      <c r="AE706" s="7" t="n">
        <f aca="false">AD706-Z706</f>
        <v>581.4455</v>
      </c>
      <c r="AF706" s="8" t="n">
        <f aca="false">IF(AD706=0,0,AE706/AD706)</f>
        <v>0.24208885431276</v>
      </c>
      <c r="AG706" s="3" t="str">
        <f aca="false">IF(ABS(Y706-AD706)&gt;1,"Mismatch","OK")</f>
        <v>OK</v>
      </c>
      <c r="AH706" s="3" t="str">
        <f aca="false">IF(ABS(AA706-AE706)&gt;1,"Mismatch","OK")</f>
        <v>OK</v>
      </c>
      <c r="AI706" s="6" t="n">
        <f aca="false">IF(B706="","",MONTH(B706))</f>
        <v>3</v>
      </c>
      <c r="AJ706" s="6" t="n">
        <f aca="false">IF(B706="","",YEAR(B706))</f>
        <v>2024</v>
      </c>
      <c r="AK706" s="3" t="str">
        <f aca="false">IF(COUNTIF(raw_data!$A$2:$A$913,A706)&gt;1,"Conflicting Duplicate - Flagged for Review","Unique")</f>
        <v>Unique</v>
      </c>
      <c r="AL706" s="3" t="str">
        <f aca="false">IF(AB706="Refunded","Yes","No")</f>
        <v>No</v>
      </c>
      <c r="AM706" s="3" t="str">
        <f aca="false">IF(OR(AC706&lt;&gt;"Completed",AB706="Failed"),"Excluded","Included")</f>
        <v>Included</v>
      </c>
      <c r="AN706" s="3" t="str">
        <f aca="false">IF(OR(D706="Invalid/Unrecognized",E706="Invalid/Unrecognized",G706="Invalid - Ship Before Order",X706="Negative - Invalid",X706="Above Allowed Range - Invalid",AG706="Mismatch",AH706="Mismatch",AK706="Conflicting Duplicate - Flagged for Review"),"Invalid",IF(OR(L706="Filled - Unknown",S706="Filled - Unknown",X706="Missing - Defaulted to 0",AL706="Yes",AC706="Cancelled",AC706="Returned"),"Warning","Clean"))</f>
        <v>Warning</v>
      </c>
    </row>
    <row r="707" customFormat="false" ht="15" hidden="false" customHeight="false" outlineLevel="0" collapsed="false">
      <c r="A707" s="3" t="str">
        <f aca="false">raw_data!A707</f>
        <v>ORD-2024-10706</v>
      </c>
      <c r="B707" s="4" t="n">
        <f aca="false">IFERROR(IF(MID(raw_data!B707,3,1)="/",DATE(VALUE(RIGHT(raw_data!B707,4)),VALUE(LEFT(raw_data!B707,2)),VALUE(MID(raw_data!B707,4,2))),IF(MID(raw_data!B707,3,1)="-",DATE(VALUE(RIGHT(raw_data!B707,4)),VALUE(MID(raw_data!B707,4,2)),VALUE(LEFT(raw_data!B707,2))),IF(MID(raw_data!B707,5,1)="-",DATE(VALUE(LEFT(raw_data!B707,4)),VALUE(MID(raw_data!B707,6,2)),VALUE(RIGHT(raw_data!B707,2))),DATE(VALUE(RIGHT(raw_data!B707,4)),MATCH(MID(raw_data!B707,4,3),{"Jan","Feb","Mar","Apr","May","Jun","Jul","Aug","Sep","Oct","Nov","Dec"},0),VALUE(LEFT(raw_data!B707,2)))))),"")</f>
        <v>45543</v>
      </c>
      <c r="C707" s="4" t="n">
        <f aca="false">IFERROR(IF(MID(raw_data!C707,3,1)="/",DATE(VALUE(RIGHT(raw_data!C707,4)),VALUE(LEFT(raw_data!C707,2)),VALUE(MID(raw_data!C707,4,2))),IF(MID(raw_data!C707,3,1)="-",DATE(VALUE(RIGHT(raw_data!C707,4)),VALUE(MID(raw_data!C707,4,2)),VALUE(LEFT(raw_data!C707,2))),IF(MID(raw_data!C707,5,1)="-",DATE(VALUE(LEFT(raw_data!C707,4)),VALUE(MID(raw_data!C707,6,2)),VALUE(RIGHT(raw_data!C707,2))),DATE(VALUE(RIGHT(raw_data!C707,4)),MATCH(MID(raw_data!C707,4,3),{"Jan","Feb","Mar","Apr","May","Jun","Jul","Aug","Sep","Oct","Nov","Dec"},0),VALUE(LEFT(raw_data!C707,2)))))),"")</f>
        <v>45549</v>
      </c>
      <c r="D707" s="3" t="str">
        <f aca="false">IF(TRIM(raw_data!B707)="","Missing",IF(B707="","Invalid/Unrecognized","Valid"))</f>
        <v>Valid</v>
      </c>
      <c r="E707" s="3" t="str">
        <f aca="false">IF(TRIM(raw_data!C707)="","Missing",IF(C707="","Invalid/Unrecognized","Valid"))</f>
        <v>Valid</v>
      </c>
      <c r="F707" s="5" t="n">
        <f aca="false">IF(OR(B707="",C707=""),"",C707-B707)</f>
        <v>6</v>
      </c>
      <c r="G707" s="3" t="str">
        <f aca="false">IF(F707="","N/A",IF(F707&lt;0,"Invalid - Ship Before Order","OK"))</f>
        <v>OK</v>
      </c>
      <c r="H707" s="3" t="str">
        <f aca="false">raw_data!D707</f>
        <v>CUST-3289</v>
      </c>
      <c r="I707" s="3" t="str">
        <f aca="false">PROPER(TRIM(raw_data!E707))</f>
        <v>Rohan Mehta</v>
      </c>
      <c r="J707" s="3" t="str">
        <f aca="false">PROPER(TRIM(raw_data!F707))</f>
        <v>Consumer</v>
      </c>
      <c r="K707" s="3" t="str">
        <f aca="false">IF(TRIM(raw_data!G707)="","Unknown",PROPER(TRIM(raw_data!G707)))</f>
        <v>North</v>
      </c>
      <c r="L707" s="3" t="str">
        <f aca="false">IF(TRIM(raw_data!G707)="","Filled - Unknown","OK")</f>
        <v>OK</v>
      </c>
      <c r="M707" s="3" t="str">
        <f aca="false">PROPER(TRIM(raw_data!H707))</f>
        <v>Rajasthan</v>
      </c>
      <c r="N707" s="3" t="str">
        <f aca="false">PROPER(TRIM(raw_data!I707))</f>
        <v>Jaipur</v>
      </c>
      <c r="O707" s="3" t="str">
        <f aca="false">PROPER(TRIM(raw_data!J707))</f>
        <v>Office Supplies</v>
      </c>
      <c r="P707" s="3" t="str">
        <f aca="false">PROPER(TRIM(raw_data!K707))</f>
        <v>Binders</v>
      </c>
      <c r="Q707" s="3" t="str">
        <f aca="false">TRIM(raw_data!L707)</f>
        <v>Max Binders 411</v>
      </c>
      <c r="R707" s="3" t="str">
        <f aca="false">IF(TRIM(raw_data!M707)="","Unknown",PROPER(TRIM(raw_data!M707)))</f>
        <v>Standard Class</v>
      </c>
      <c r="S707" s="3" t="str">
        <f aca="false">IF(TRIM(raw_data!M707)="","Filled - Unknown","OK")</f>
        <v>OK</v>
      </c>
      <c r="T707" s="6" t="n">
        <f aca="false">raw_data!N707</f>
        <v>5</v>
      </c>
      <c r="U707" s="7" t="n">
        <f aca="false">raw_data!O707</f>
        <v>3371.75</v>
      </c>
      <c r="V707" s="8" t="n">
        <f aca="false">raw_data!P707</f>
        <v>0.05</v>
      </c>
      <c r="W707" s="8" t="n">
        <f aca="false">IF(raw_data!P707="",0,IF(ISTEXT(raw_data!P707),IF(RIGHT(raw_data!P707,1)="%",VALUE(LEFT(raw_data!P707,LEN(raw_data!P707)-1))/100,VALUE(raw_data!P707)),raw_data!P707))</f>
        <v>0.05</v>
      </c>
      <c r="X707" s="3" t="str">
        <f aca="false">IF(raw_data!P707="","Missing - Defaulted to 0",IF(W707&lt;0,"Negative - Invalid",IF(W707&gt;0.3,"Above Allowed Range - Invalid","Valid")))</f>
        <v>Valid</v>
      </c>
      <c r="Y707" s="7" t="n">
        <f aca="false">raw_data!Q707</f>
        <v>16015.81</v>
      </c>
      <c r="Z707" s="7" t="n">
        <f aca="false">raw_data!R707</f>
        <v>11352.38</v>
      </c>
      <c r="AA707" s="7" t="n">
        <f aca="false">raw_data!S707</f>
        <v>4663.43</v>
      </c>
      <c r="AB707" s="3" t="str">
        <f aca="false">PROPER(TRIM(raw_data!T707))</f>
        <v>Paid</v>
      </c>
      <c r="AC707" s="3" t="str">
        <f aca="false">PROPER(TRIM(raw_data!U707))</f>
        <v>Completed</v>
      </c>
      <c r="AD707" s="7" t="n">
        <f aca="false">T707*U707*(1-W707)</f>
        <v>16015.8125</v>
      </c>
      <c r="AE707" s="7" t="n">
        <f aca="false">AD707-Z707</f>
        <v>4663.4325</v>
      </c>
      <c r="AF707" s="8" t="n">
        <f aca="false">IF(AD707=0,0,AE707/AD707)</f>
        <v>0.291176766711024</v>
      </c>
      <c r="AG707" s="3" t="str">
        <f aca="false">IF(ABS(Y707-AD707)&gt;1,"Mismatch","OK")</f>
        <v>OK</v>
      </c>
      <c r="AH707" s="3" t="str">
        <f aca="false">IF(ABS(AA707-AE707)&gt;1,"Mismatch","OK")</f>
        <v>OK</v>
      </c>
      <c r="AI707" s="6" t="n">
        <f aca="false">IF(B707="","",MONTH(B707))</f>
        <v>9</v>
      </c>
      <c r="AJ707" s="6" t="n">
        <f aca="false">IF(B707="","",YEAR(B707))</f>
        <v>2024</v>
      </c>
      <c r="AK707" s="3" t="str">
        <f aca="false">IF(COUNTIF(raw_data!$A$2:$A$913,A707)&gt;1,"Conflicting Duplicate - Flagged for Review","Unique")</f>
        <v>Unique</v>
      </c>
      <c r="AL707" s="3" t="str">
        <f aca="false">IF(AB707="Refunded","Yes","No")</f>
        <v>No</v>
      </c>
      <c r="AM707" s="3" t="str">
        <f aca="false">IF(OR(AC707&lt;&gt;"Completed",AB707="Failed"),"Excluded","Included")</f>
        <v>Included</v>
      </c>
      <c r="AN707" s="3" t="str">
        <f aca="false">IF(OR(D707="Invalid/Unrecognized",E707="Invalid/Unrecognized",G707="Invalid - Ship Before Order",X707="Negative - Invalid",X707="Above Allowed Range - Invalid",AG707="Mismatch",AH707="Mismatch",AK707="Conflicting Duplicate - Flagged for Review"),"Invalid",IF(OR(L707="Filled - Unknown",S707="Filled - Unknown",X707="Missing - Defaulted to 0",AL707="Yes",AC707="Cancelled",AC707="Returned"),"Warning","Clean"))</f>
        <v>Clean</v>
      </c>
    </row>
    <row r="708" customFormat="false" ht="15" hidden="false" customHeight="false" outlineLevel="0" collapsed="false">
      <c r="A708" s="3" t="str">
        <f aca="false">raw_data!A708</f>
        <v>ORD-2024-10707</v>
      </c>
      <c r="B708" s="4" t="n">
        <f aca="false">IFERROR(IF(MID(raw_data!B708,3,1)="/",DATE(VALUE(RIGHT(raw_data!B708,4)),VALUE(LEFT(raw_data!B708,2)),VALUE(MID(raw_data!B708,4,2))),IF(MID(raw_data!B708,3,1)="-",DATE(VALUE(RIGHT(raw_data!B708,4)),VALUE(MID(raw_data!B708,4,2)),VALUE(LEFT(raw_data!B708,2))),IF(MID(raw_data!B708,5,1)="-",DATE(VALUE(LEFT(raw_data!B708,4)),VALUE(MID(raw_data!B708,6,2)),VALUE(RIGHT(raw_data!B708,2))),DATE(VALUE(RIGHT(raw_data!B708,4)),MATCH(MID(raw_data!B708,4,3),{"Jan","Feb","Mar","Apr","May","Jun","Jul","Aug","Sep","Oct","Nov","Dec"},0),VALUE(LEFT(raw_data!B708,2)))))),"")</f>
        <v>45467</v>
      </c>
      <c r="C708" s="4" t="n">
        <f aca="false">IFERROR(IF(MID(raw_data!C708,3,1)="/",DATE(VALUE(RIGHT(raw_data!C708,4)),VALUE(LEFT(raw_data!C708,2)),VALUE(MID(raw_data!C708,4,2))),IF(MID(raw_data!C708,3,1)="-",DATE(VALUE(RIGHT(raw_data!C708,4)),VALUE(MID(raw_data!C708,4,2)),VALUE(LEFT(raw_data!C708,2))),IF(MID(raw_data!C708,5,1)="-",DATE(VALUE(LEFT(raw_data!C708,4)),VALUE(MID(raw_data!C708,6,2)),VALUE(RIGHT(raw_data!C708,2))),DATE(VALUE(RIGHT(raw_data!C708,4)),MATCH(MID(raw_data!C708,4,3),{"Jan","Feb","Mar","Apr","May","Jun","Jul","Aug","Sep","Oct","Nov","Dec"},0),VALUE(LEFT(raw_data!C708,2)))))),"")</f>
        <v>45471</v>
      </c>
      <c r="D708" s="3" t="str">
        <f aca="false">IF(TRIM(raw_data!B708)="","Missing",IF(B708="","Invalid/Unrecognized","Valid"))</f>
        <v>Valid</v>
      </c>
      <c r="E708" s="3" t="str">
        <f aca="false">IF(TRIM(raw_data!C708)="","Missing",IF(C708="","Invalid/Unrecognized","Valid"))</f>
        <v>Valid</v>
      </c>
      <c r="F708" s="5" t="n">
        <f aca="false">IF(OR(B708="",C708=""),"",C708-B708)</f>
        <v>4</v>
      </c>
      <c r="G708" s="3" t="str">
        <f aca="false">IF(F708="","N/A",IF(F708&lt;0,"Invalid - Ship Before Order","OK"))</f>
        <v>OK</v>
      </c>
      <c r="H708" s="3" t="str">
        <f aca="false">raw_data!D708</f>
        <v>CUST-4928</v>
      </c>
      <c r="I708" s="3" t="str">
        <f aca="false">PROPER(TRIM(raw_data!E708))</f>
        <v>Isha Nair</v>
      </c>
      <c r="J708" s="3" t="str">
        <f aca="false">PROPER(TRIM(raw_data!F708))</f>
        <v>Small Business</v>
      </c>
      <c r="K708" s="3" t="str">
        <f aca="false">IF(TRIM(raw_data!G708)="","Unknown",PROPER(TRIM(raw_data!G708)))</f>
        <v>East</v>
      </c>
      <c r="L708" s="3" t="str">
        <f aca="false">IF(TRIM(raw_data!G708)="","Filled - Unknown","OK")</f>
        <v>OK</v>
      </c>
      <c r="M708" s="3" t="str">
        <f aca="false">PROPER(TRIM(raw_data!H708))</f>
        <v>Odisha</v>
      </c>
      <c r="N708" s="3" t="str">
        <f aca="false">PROPER(TRIM(raw_data!I708))</f>
        <v>Bhubaneswar</v>
      </c>
      <c r="O708" s="3" t="str">
        <f aca="false">PROPER(TRIM(raw_data!J708))</f>
        <v>Office Supplies</v>
      </c>
      <c r="P708" s="3" t="str">
        <f aca="false">PROPER(TRIM(raw_data!K708))</f>
        <v>Paper</v>
      </c>
      <c r="Q708" s="3" t="str">
        <f aca="false">TRIM(raw_data!L708)</f>
        <v>Max Paper 343</v>
      </c>
      <c r="R708" s="3" t="str">
        <f aca="false">IF(TRIM(raw_data!M708)="","Unknown",PROPER(TRIM(raw_data!M708)))</f>
        <v>Same Day</v>
      </c>
      <c r="S708" s="3" t="str">
        <f aca="false">IF(TRIM(raw_data!M708)="","Filled - Unknown","OK")</f>
        <v>OK</v>
      </c>
      <c r="T708" s="6" t="n">
        <f aca="false">raw_data!N708</f>
        <v>1</v>
      </c>
      <c r="U708" s="7" t="n">
        <f aca="false">raw_data!O708</f>
        <v>2112.75</v>
      </c>
      <c r="V708" s="8" t="n">
        <f aca="false">raw_data!P708</f>
        <v>0.1</v>
      </c>
      <c r="W708" s="8" t="n">
        <f aca="false">IF(raw_data!P708="",0,IF(ISTEXT(raw_data!P708),IF(RIGHT(raw_data!P708,1)="%",VALUE(LEFT(raw_data!P708,LEN(raw_data!P708)-1))/100,VALUE(raw_data!P708)),raw_data!P708))</f>
        <v>0.1</v>
      </c>
      <c r="X708" s="3" t="str">
        <f aca="false">IF(raw_data!P708="","Missing - Defaulted to 0",IF(W708&lt;0,"Negative - Invalid",IF(W708&gt;0.3,"Above Allowed Range - Invalid","Valid")))</f>
        <v>Valid</v>
      </c>
      <c r="Y708" s="7" t="n">
        <f aca="false">raw_data!Q708</f>
        <v>1901.48</v>
      </c>
      <c r="Z708" s="7" t="n">
        <f aca="false">raw_data!R708</f>
        <v>1354.28</v>
      </c>
      <c r="AA708" s="7" t="n">
        <f aca="false">raw_data!S708</f>
        <v>547.2</v>
      </c>
      <c r="AB708" s="3" t="str">
        <f aca="false">PROPER(TRIM(raw_data!T708))</f>
        <v>Paid</v>
      </c>
      <c r="AC708" s="3" t="str">
        <f aca="false">PROPER(TRIM(raw_data!U708))</f>
        <v>Completed</v>
      </c>
      <c r="AD708" s="7" t="n">
        <f aca="false">T708*U708*(1-W708)</f>
        <v>1901.475</v>
      </c>
      <c r="AE708" s="7" t="n">
        <f aca="false">AD708-Z708</f>
        <v>547.195</v>
      </c>
      <c r="AF708" s="8" t="n">
        <f aca="false">IF(AD708=0,0,AE708/AD708)</f>
        <v>0.287773964948264</v>
      </c>
      <c r="AG708" s="3" t="str">
        <f aca="false">IF(ABS(Y708-AD708)&gt;1,"Mismatch","OK")</f>
        <v>OK</v>
      </c>
      <c r="AH708" s="3" t="str">
        <f aca="false">IF(ABS(AA708-AE708)&gt;1,"Mismatch","OK")</f>
        <v>OK</v>
      </c>
      <c r="AI708" s="6" t="n">
        <f aca="false">IF(B708="","",MONTH(B708))</f>
        <v>6</v>
      </c>
      <c r="AJ708" s="6" t="n">
        <f aca="false">IF(B708="","",YEAR(B708))</f>
        <v>2024</v>
      </c>
      <c r="AK708" s="3" t="str">
        <f aca="false">IF(COUNTIF(raw_data!$A$2:$A$913,A708)&gt;1,"Conflicting Duplicate - Flagged for Review","Unique")</f>
        <v>Unique</v>
      </c>
      <c r="AL708" s="3" t="str">
        <f aca="false">IF(AB708="Refunded","Yes","No")</f>
        <v>No</v>
      </c>
      <c r="AM708" s="3" t="str">
        <f aca="false">IF(OR(AC708&lt;&gt;"Completed",AB708="Failed"),"Excluded","Included")</f>
        <v>Included</v>
      </c>
      <c r="AN708" s="3" t="str">
        <f aca="false">IF(OR(D708="Invalid/Unrecognized",E708="Invalid/Unrecognized",G708="Invalid - Ship Before Order",X708="Negative - Invalid",X708="Above Allowed Range - Invalid",AG708="Mismatch",AH708="Mismatch",AK708="Conflicting Duplicate - Flagged for Review"),"Invalid",IF(OR(L708="Filled - Unknown",S708="Filled - Unknown",X708="Missing - Defaulted to 0",AL708="Yes",AC708="Cancelled",AC708="Returned"),"Warning","Clean"))</f>
        <v>Clean</v>
      </c>
    </row>
    <row r="709" customFormat="false" ht="15" hidden="false" customHeight="false" outlineLevel="0" collapsed="false">
      <c r="A709" s="3" t="str">
        <f aca="false">raw_data!A709</f>
        <v>ORD-2025-10708</v>
      </c>
      <c r="B709" s="4" t="n">
        <f aca="false">IFERROR(IF(MID(raw_data!B709,3,1)="/",DATE(VALUE(RIGHT(raw_data!B709,4)),VALUE(LEFT(raw_data!B709,2)),VALUE(MID(raw_data!B709,4,2))),IF(MID(raw_data!B709,3,1)="-",DATE(VALUE(RIGHT(raw_data!B709,4)),VALUE(MID(raw_data!B709,4,2)),VALUE(LEFT(raw_data!B709,2))),IF(MID(raw_data!B709,5,1)="-",DATE(VALUE(LEFT(raw_data!B709,4)),VALUE(MID(raw_data!B709,6,2)),VALUE(RIGHT(raw_data!B709,2))),DATE(VALUE(RIGHT(raw_data!B709,4)),MATCH(MID(raw_data!B709,4,3),{"Jan","Feb","Mar","Apr","May","Jun","Jul","Aug","Sep","Oct","Nov","Dec"},0),VALUE(LEFT(raw_data!B709,2)))))),"")</f>
        <v>45832</v>
      </c>
      <c r="C709" s="4" t="n">
        <f aca="false">IFERROR(IF(MID(raw_data!C709,3,1)="/",DATE(VALUE(RIGHT(raw_data!C709,4)),VALUE(LEFT(raw_data!C709,2)),VALUE(MID(raw_data!C709,4,2))),IF(MID(raw_data!C709,3,1)="-",DATE(VALUE(RIGHT(raw_data!C709,4)),VALUE(MID(raw_data!C709,4,2)),VALUE(LEFT(raw_data!C709,2))),IF(MID(raw_data!C709,5,1)="-",DATE(VALUE(LEFT(raw_data!C709,4)),VALUE(MID(raw_data!C709,6,2)),VALUE(RIGHT(raw_data!C709,2))),DATE(VALUE(RIGHT(raw_data!C709,4)),MATCH(MID(raw_data!C709,4,3),{"Jan","Feb","Mar","Apr","May","Jun","Jul","Aug","Sep","Oct","Nov","Dec"},0),VALUE(LEFT(raw_data!C709,2)))))),"")</f>
        <v>45834</v>
      </c>
      <c r="D709" s="3" t="str">
        <f aca="false">IF(TRIM(raw_data!B709)="","Missing",IF(B709="","Invalid/Unrecognized","Valid"))</f>
        <v>Valid</v>
      </c>
      <c r="E709" s="3" t="str">
        <f aca="false">IF(TRIM(raw_data!C709)="","Missing",IF(C709="","Invalid/Unrecognized","Valid"))</f>
        <v>Valid</v>
      </c>
      <c r="F709" s="5" t="n">
        <f aca="false">IF(OR(B709="",C709=""),"",C709-B709)</f>
        <v>2</v>
      </c>
      <c r="G709" s="3" t="str">
        <f aca="false">IF(F709="","N/A",IF(F709&lt;0,"Invalid - Ship Before Order","OK"))</f>
        <v>OK</v>
      </c>
      <c r="H709" s="3" t="str">
        <f aca="false">raw_data!D709</f>
        <v>CUST-4902</v>
      </c>
      <c r="I709" s="3" t="str">
        <f aca="false">PROPER(TRIM(raw_data!E709))</f>
        <v>Vikram Iyer</v>
      </c>
      <c r="J709" s="3" t="str">
        <f aca="false">PROPER(TRIM(raw_data!F709))</f>
        <v>Consumer</v>
      </c>
      <c r="K709" s="3" t="str">
        <f aca="false">IF(TRIM(raw_data!G709)="","Unknown",PROPER(TRIM(raw_data!G709)))</f>
        <v>North</v>
      </c>
      <c r="L709" s="3" t="str">
        <f aca="false">IF(TRIM(raw_data!G709)="","Filled - Unknown","OK")</f>
        <v>OK</v>
      </c>
      <c r="M709" s="3" t="str">
        <f aca="false">PROPER(TRIM(raw_data!H709))</f>
        <v>Rajasthan</v>
      </c>
      <c r="N709" s="3" t="str">
        <f aca="false">PROPER(TRIM(raw_data!I709))</f>
        <v>Jaipur</v>
      </c>
      <c r="O709" s="3" t="str">
        <f aca="false">PROPER(TRIM(raw_data!J709))</f>
        <v>Technology</v>
      </c>
      <c r="P709" s="3" t="str">
        <f aca="false">PROPER(TRIM(raw_data!K709))</f>
        <v>Accessories</v>
      </c>
      <c r="Q709" s="3" t="str">
        <f aca="false">TRIM(raw_data!L709)</f>
        <v>Pro Accessories 485</v>
      </c>
      <c r="R709" s="3" t="str">
        <f aca="false">IF(TRIM(raw_data!M709)="","Unknown",PROPER(TRIM(raw_data!M709)))</f>
        <v>Same Day</v>
      </c>
      <c r="S709" s="3" t="str">
        <f aca="false">IF(TRIM(raw_data!M709)="","Filled - Unknown","OK")</f>
        <v>OK</v>
      </c>
      <c r="T709" s="6" t="n">
        <f aca="false">raw_data!N709</f>
        <v>5</v>
      </c>
      <c r="U709" s="7" t="n">
        <f aca="false">raw_data!O709</f>
        <v>3722.66</v>
      </c>
      <c r="V709" s="8" t="n">
        <f aca="false">raw_data!P709</f>
        <v>0.55</v>
      </c>
      <c r="W709" s="8" t="n">
        <f aca="false">IF(raw_data!P709="",0,IF(ISTEXT(raw_data!P709),IF(RIGHT(raw_data!P709,1)="%",VALUE(LEFT(raw_data!P709,LEN(raw_data!P709)-1))/100,VALUE(raw_data!P709)),raw_data!P709))</f>
        <v>0.55</v>
      </c>
      <c r="X709" s="3" t="str">
        <f aca="false">IF(raw_data!P709="","Missing - Defaulted to 0",IF(W709&lt;0,"Negative - Invalid",IF(W709&gt;0.3,"Above Allowed Range - Invalid","Valid")))</f>
        <v>Above Allowed Range - Invalid</v>
      </c>
      <c r="Y709" s="7" t="n">
        <f aca="false">raw_data!Q709</f>
        <v>16751.97</v>
      </c>
      <c r="Z709" s="7" t="n">
        <f aca="false">raw_data!R709</f>
        <v>11678.32</v>
      </c>
      <c r="AA709" s="7" t="n">
        <f aca="false">raw_data!S709</f>
        <v>5073.65</v>
      </c>
      <c r="AB709" s="3" t="str">
        <f aca="false">PROPER(TRIM(raw_data!T709))</f>
        <v>Paid</v>
      </c>
      <c r="AC709" s="3" t="str">
        <f aca="false">PROPER(TRIM(raw_data!U709))</f>
        <v>Completed</v>
      </c>
      <c r="AD709" s="7" t="n">
        <f aca="false">T709*U709*(1-W709)</f>
        <v>8375.985</v>
      </c>
      <c r="AE709" s="7" t="n">
        <f aca="false">AD709-Z709</f>
        <v>-3302.335</v>
      </c>
      <c r="AF709" s="8" t="n">
        <f aca="false">IF(AD709=0,0,AE709/AD709)</f>
        <v>-0.394262286763885</v>
      </c>
      <c r="AG709" s="3" t="str">
        <f aca="false">IF(ABS(Y709-AD709)&gt;1,"Mismatch","OK")</f>
        <v>Mismatch</v>
      </c>
      <c r="AH709" s="3" t="str">
        <f aca="false">IF(ABS(AA709-AE709)&gt;1,"Mismatch","OK")</f>
        <v>Mismatch</v>
      </c>
      <c r="AI709" s="6" t="n">
        <f aca="false">IF(B709="","",MONTH(B709))</f>
        <v>6</v>
      </c>
      <c r="AJ709" s="6" t="n">
        <f aca="false">IF(B709="","",YEAR(B709))</f>
        <v>2025</v>
      </c>
      <c r="AK709" s="3" t="str">
        <f aca="false">IF(COUNTIF(raw_data!$A$2:$A$913,A709)&gt;1,"Conflicting Duplicate - Flagged for Review","Unique")</f>
        <v>Unique</v>
      </c>
      <c r="AL709" s="3" t="str">
        <f aca="false">IF(AB709="Refunded","Yes","No")</f>
        <v>No</v>
      </c>
      <c r="AM709" s="3" t="str">
        <f aca="false">IF(OR(AC709&lt;&gt;"Completed",AB709="Failed"),"Excluded","Included")</f>
        <v>Included</v>
      </c>
      <c r="AN709" s="3" t="str">
        <f aca="false">IF(OR(D709="Invalid/Unrecognized",E709="Invalid/Unrecognized",G709="Invalid - Ship Before Order",X709="Negative - Invalid",X709="Above Allowed Range - Invalid",AG709="Mismatch",AH709="Mismatch",AK709="Conflicting Duplicate - Flagged for Review"),"Invalid",IF(OR(L709="Filled - Unknown",S709="Filled - Unknown",X709="Missing - Defaulted to 0",AL709="Yes",AC709="Cancelled",AC709="Returned"),"Warning","Clean"))</f>
        <v>Invalid</v>
      </c>
    </row>
    <row r="710" customFormat="false" ht="15" hidden="false" customHeight="false" outlineLevel="0" collapsed="false">
      <c r="A710" s="3" t="str">
        <f aca="false">raw_data!A710</f>
        <v>ORD-2025-10709</v>
      </c>
      <c r="B710" s="4" t="n">
        <f aca="false">IFERROR(IF(MID(raw_data!B710,3,1)="/",DATE(VALUE(RIGHT(raw_data!B710,4)),VALUE(LEFT(raw_data!B710,2)),VALUE(MID(raw_data!B710,4,2))),IF(MID(raw_data!B710,3,1)="-",DATE(VALUE(RIGHT(raw_data!B710,4)),VALUE(MID(raw_data!B710,4,2)),VALUE(LEFT(raw_data!B710,2))),IF(MID(raw_data!B710,5,1)="-",DATE(VALUE(LEFT(raw_data!B710,4)),VALUE(MID(raw_data!B710,6,2)),VALUE(RIGHT(raw_data!B710,2))),DATE(VALUE(RIGHT(raw_data!B710,4)),MATCH(MID(raw_data!B710,4,3),{"Jan","Feb","Mar","Apr","May","Jun","Jul","Aug","Sep","Oct","Nov","Dec"},0),VALUE(LEFT(raw_data!B710,2)))))),"")</f>
        <v>45736</v>
      </c>
      <c r="C710" s="4" t="n">
        <f aca="false">IFERROR(IF(MID(raw_data!C710,3,1)="/",DATE(VALUE(RIGHT(raw_data!C710,4)),VALUE(LEFT(raw_data!C710,2)),VALUE(MID(raw_data!C710,4,2))),IF(MID(raw_data!C710,3,1)="-",DATE(VALUE(RIGHT(raw_data!C710,4)),VALUE(MID(raw_data!C710,4,2)),VALUE(LEFT(raw_data!C710,2))),IF(MID(raw_data!C710,5,1)="-",DATE(VALUE(LEFT(raw_data!C710,4)),VALUE(MID(raw_data!C710,6,2)),VALUE(RIGHT(raw_data!C710,2))),DATE(VALUE(RIGHT(raw_data!C710,4)),MATCH(MID(raw_data!C710,4,3),{"Jan","Feb","Mar","Apr","May","Jun","Jul","Aug","Sep","Oct","Nov","Dec"},0),VALUE(LEFT(raw_data!C710,2)))))),"")</f>
        <v>45742</v>
      </c>
      <c r="D710" s="3" t="str">
        <f aca="false">IF(TRIM(raw_data!B710)="","Missing",IF(B710="","Invalid/Unrecognized","Valid"))</f>
        <v>Valid</v>
      </c>
      <c r="E710" s="3" t="str">
        <f aca="false">IF(TRIM(raw_data!C710)="","Missing",IF(C710="","Invalid/Unrecognized","Valid"))</f>
        <v>Valid</v>
      </c>
      <c r="F710" s="5" t="n">
        <f aca="false">IF(OR(B710="",C710=""),"",C710-B710)</f>
        <v>6</v>
      </c>
      <c r="G710" s="3" t="str">
        <f aca="false">IF(F710="","N/A",IF(F710&lt;0,"Invalid - Ship Before Order","OK"))</f>
        <v>OK</v>
      </c>
      <c r="H710" s="3" t="str">
        <f aca="false">raw_data!D710</f>
        <v>CUST-6504</v>
      </c>
      <c r="I710" s="3" t="str">
        <f aca="false">PROPER(TRIM(raw_data!E710))</f>
        <v>Sneha Kapoor</v>
      </c>
      <c r="J710" s="3" t="str">
        <f aca="false">PROPER(TRIM(raw_data!F710))</f>
        <v>Consumer</v>
      </c>
      <c r="K710" s="3" t="str">
        <f aca="false">IF(TRIM(raw_data!G710)="","Unknown",PROPER(TRIM(raw_data!G710)))</f>
        <v>East</v>
      </c>
      <c r="L710" s="3" t="str">
        <f aca="false">IF(TRIM(raw_data!G710)="","Filled - Unknown","OK")</f>
        <v>OK</v>
      </c>
      <c r="M710" s="3" t="str">
        <f aca="false">PROPER(TRIM(raw_data!H710))</f>
        <v>Assam</v>
      </c>
      <c r="N710" s="3" t="str">
        <f aca="false">PROPER(TRIM(raw_data!I710))</f>
        <v>Guwahati</v>
      </c>
      <c r="O710" s="3" t="str">
        <f aca="false">PROPER(TRIM(raw_data!J710))</f>
        <v>Furniture</v>
      </c>
      <c r="P710" s="3" t="str">
        <f aca="false">PROPER(TRIM(raw_data!K710))</f>
        <v>Bookcases</v>
      </c>
      <c r="Q710" s="3" t="str">
        <f aca="false">TRIM(raw_data!L710)</f>
        <v>Elite Bookcases 113</v>
      </c>
      <c r="R710" s="3" t="str">
        <f aca="false">IF(TRIM(raw_data!M710)="","Unknown",PROPER(TRIM(raw_data!M710)))</f>
        <v>First Class</v>
      </c>
      <c r="S710" s="3" t="str">
        <f aca="false">IF(TRIM(raw_data!M710)="","Filled - Unknown","OK")</f>
        <v>OK</v>
      </c>
      <c r="T710" s="6" t="n">
        <f aca="false">raw_data!N710</f>
        <v>4</v>
      </c>
      <c r="U710" s="7" t="n">
        <f aca="false">raw_data!O710</f>
        <v>4357.66</v>
      </c>
      <c r="V710" s="8" t="n">
        <f aca="false">raw_data!P710</f>
        <v>0.05</v>
      </c>
      <c r="W710" s="8" t="n">
        <f aca="false">IF(raw_data!P710="",0,IF(ISTEXT(raw_data!P710),IF(RIGHT(raw_data!P710,1)="%",VALUE(LEFT(raw_data!P710,LEN(raw_data!P710)-1))/100,VALUE(raw_data!P710)),raw_data!P710))</f>
        <v>0.05</v>
      </c>
      <c r="X710" s="3" t="str">
        <f aca="false">IF(raw_data!P710="","Missing - Defaulted to 0",IF(W710&lt;0,"Negative - Invalid",IF(W710&gt;0.3,"Above Allowed Range - Invalid","Valid")))</f>
        <v>Valid</v>
      </c>
      <c r="Y710" s="7" t="n">
        <f aca="false">raw_data!Q710</f>
        <v>16559.11</v>
      </c>
      <c r="Z710" s="7" t="n">
        <f aca="false">raw_data!R710</f>
        <v>13233.79</v>
      </c>
      <c r="AA710" s="7" t="n">
        <f aca="false">raw_data!S710</f>
        <v>3325.32</v>
      </c>
      <c r="AB710" s="3" t="str">
        <f aca="false">PROPER(TRIM(raw_data!T710))</f>
        <v>Paid</v>
      </c>
      <c r="AC710" s="3" t="str">
        <f aca="false">PROPER(TRIM(raw_data!U710))</f>
        <v>Completed</v>
      </c>
      <c r="AD710" s="7" t="n">
        <f aca="false">T710*U710*(1-W710)</f>
        <v>16559.108</v>
      </c>
      <c r="AE710" s="7" t="n">
        <f aca="false">AD710-Z710</f>
        <v>3325.318</v>
      </c>
      <c r="AF710" s="8" t="n">
        <f aca="false">IF(AD710=0,0,AE710/AD710)</f>
        <v>0.200815043902123</v>
      </c>
      <c r="AG710" s="3" t="str">
        <f aca="false">IF(ABS(Y710-AD710)&gt;1,"Mismatch","OK")</f>
        <v>OK</v>
      </c>
      <c r="AH710" s="3" t="str">
        <f aca="false">IF(ABS(AA710-AE710)&gt;1,"Mismatch","OK")</f>
        <v>OK</v>
      </c>
      <c r="AI710" s="6" t="n">
        <f aca="false">IF(B710="","",MONTH(B710))</f>
        <v>3</v>
      </c>
      <c r="AJ710" s="6" t="n">
        <f aca="false">IF(B710="","",YEAR(B710))</f>
        <v>2025</v>
      </c>
      <c r="AK710" s="3" t="str">
        <f aca="false">IF(COUNTIF(raw_data!$A$2:$A$913,A710)&gt;1,"Conflicting Duplicate - Flagged for Review","Unique")</f>
        <v>Unique</v>
      </c>
      <c r="AL710" s="3" t="str">
        <f aca="false">IF(AB710="Refunded","Yes","No")</f>
        <v>No</v>
      </c>
      <c r="AM710" s="3" t="str">
        <f aca="false">IF(OR(AC710&lt;&gt;"Completed",AB710="Failed"),"Excluded","Included")</f>
        <v>Included</v>
      </c>
      <c r="AN710" s="3" t="str">
        <f aca="false">IF(OR(D710="Invalid/Unrecognized",E710="Invalid/Unrecognized",G710="Invalid - Ship Before Order",X710="Negative - Invalid",X710="Above Allowed Range - Invalid",AG710="Mismatch",AH710="Mismatch",AK710="Conflicting Duplicate - Flagged for Review"),"Invalid",IF(OR(L710="Filled - Unknown",S710="Filled - Unknown",X710="Missing - Defaulted to 0",AL710="Yes",AC710="Cancelled",AC710="Returned"),"Warning","Clean"))</f>
        <v>Clean</v>
      </c>
    </row>
    <row r="711" customFormat="false" ht="15" hidden="false" customHeight="false" outlineLevel="0" collapsed="false">
      <c r="A711" s="3" t="str">
        <f aca="false">raw_data!A711</f>
        <v>ORD-2025-10710</v>
      </c>
      <c r="B711" s="4" t="n">
        <f aca="false">IFERROR(IF(MID(raw_data!B711,3,1)="/",DATE(VALUE(RIGHT(raw_data!B711,4)),VALUE(LEFT(raw_data!B711,2)),VALUE(MID(raw_data!B711,4,2))),IF(MID(raw_data!B711,3,1)="-",DATE(VALUE(RIGHT(raw_data!B711,4)),VALUE(MID(raw_data!B711,4,2)),VALUE(LEFT(raw_data!B711,2))),IF(MID(raw_data!B711,5,1)="-",DATE(VALUE(LEFT(raw_data!B711,4)),VALUE(MID(raw_data!B711,6,2)),VALUE(RIGHT(raw_data!B711,2))),DATE(VALUE(RIGHT(raw_data!B711,4)),MATCH(MID(raw_data!B711,4,3),{"Jan","Feb","Mar","Apr","May","Jun","Jul","Aug","Sep","Oct","Nov","Dec"},0),VALUE(LEFT(raw_data!B711,2)))))),"")</f>
        <v>45676</v>
      </c>
      <c r="C711" s="4" t="n">
        <f aca="false">IFERROR(IF(MID(raw_data!C711,3,1)="/",DATE(VALUE(RIGHT(raw_data!C711,4)),VALUE(LEFT(raw_data!C711,2)),VALUE(MID(raw_data!C711,4,2))),IF(MID(raw_data!C711,3,1)="-",DATE(VALUE(RIGHT(raw_data!C711,4)),VALUE(MID(raw_data!C711,4,2)),VALUE(LEFT(raw_data!C711,2))),IF(MID(raw_data!C711,5,1)="-",DATE(VALUE(LEFT(raw_data!C711,4)),VALUE(MID(raw_data!C711,6,2)),VALUE(RIGHT(raw_data!C711,2))),DATE(VALUE(RIGHT(raw_data!C711,4)),MATCH(MID(raw_data!C711,4,3),{"Jan","Feb","Mar","Apr","May","Jun","Jul","Aug","Sep","Oct","Nov","Dec"},0),VALUE(LEFT(raw_data!C711,2)))))),"")</f>
        <v>45680</v>
      </c>
      <c r="D711" s="3" t="str">
        <f aca="false">IF(TRIM(raw_data!B711)="","Missing",IF(B711="","Invalid/Unrecognized","Valid"))</f>
        <v>Valid</v>
      </c>
      <c r="E711" s="3" t="str">
        <f aca="false">IF(TRIM(raw_data!C711)="","Missing",IF(C711="","Invalid/Unrecognized","Valid"))</f>
        <v>Valid</v>
      </c>
      <c r="F711" s="5" t="n">
        <f aca="false">IF(OR(B711="",C711=""),"",C711-B711)</f>
        <v>4</v>
      </c>
      <c r="G711" s="3" t="str">
        <f aca="false">IF(F711="","N/A",IF(F711&lt;0,"Invalid - Ship Before Order","OK"))</f>
        <v>OK</v>
      </c>
      <c r="H711" s="3" t="str">
        <f aca="false">raw_data!D711</f>
        <v>CUST-8036</v>
      </c>
      <c r="I711" s="3" t="str">
        <f aca="false">PROPER(TRIM(raw_data!E711))</f>
        <v>Kabir Singh</v>
      </c>
      <c r="J711" s="3" t="str">
        <f aca="false">PROPER(TRIM(raw_data!F711))</f>
        <v>Home Office</v>
      </c>
      <c r="K711" s="3" t="str">
        <f aca="false">IF(TRIM(raw_data!G711)="","Unknown",PROPER(TRIM(raw_data!G711)))</f>
        <v>North</v>
      </c>
      <c r="L711" s="3" t="str">
        <f aca="false">IF(TRIM(raw_data!G711)="","Filled - Unknown","OK")</f>
        <v>OK</v>
      </c>
      <c r="M711" s="3" t="str">
        <f aca="false">PROPER(TRIM(raw_data!H711))</f>
        <v>Punjab</v>
      </c>
      <c r="N711" s="3" t="str">
        <f aca="false">PROPER(TRIM(raw_data!I711))</f>
        <v>Ludhiana</v>
      </c>
      <c r="O711" s="3" t="str">
        <f aca="false">PROPER(TRIM(raw_data!J711))</f>
        <v>Technology</v>
      </c>
      <c r="P711" s="3" t="str">
        <f aca="false">PROPER(TRIM(raw_data!K711))</f>
        <v>Phones</v>
      </c>
      <c r="Q711" s="3" t="str">
        <f aca="false">TRIM(raw_data!L711)</f>
        <v>Eco Phones 787</v>
      </c>
      <c r="R711" s="3" t="str">
        <f aca="false">IF(TRIM(raw_data!M711)="","Unknown",PROPER(TRIM(raw_data!M711)))</f>
        <v>Same Day</v>
      </c>
      <c r="S711" s="3" t="str">
        <f aca="false">IF(TRIM(raw_data!M711)="","Filled - Unknown","OK")</f>
        <v>OK</v>
      </c>
      <c r="T711" s="6" t="n">
        <f aca="false">raw_data!N711</f>
        <v>7</v>
      </c>
      <c r="U711" s="7" t="n">
        <f aca="false">raw_data!O711</f>
        <v>1363.04</v>
      </c>
      <c r="V711" s="8" t="n">
        <f aca="false">raw_data!P711</f>
        <v>0.15</v>
      </c>
      <c r="W711" s="8" t="n">
        <f aca="false">IF(raw_data!P711="",0,IF(ISTEXT(raw_data!P711),IF(RIGHT(raw_data!P711,1)="%",VALUE(LEFT(raw_data!P711,LEN(raw_data!P711)-1))/100,VALUE(raw_data!P711)),raw_data!P711))</f>
        <v>0.15</v>
      </c>
      <c r="X711" s="3" t="str">
        <f aca="false">IF(raw_data!P711="","Missing - Defaulted to 0",IF(W711&lt;0,"Negative - Invalid",IF(W711&gt;0.3,"Above Allowed Range - Invalid","Valid")))</f>
        <v>Valid</v>
      </c>
      <c r="Y711" s="7" t="n">
        <f aca="false">raw_data!Q711</f>
        <v>8110.09</v>
      </c>
      <c r="Z711" s="7" t="n">
        <f aca="false">raw_data!R711</f>
        <v>6417.32</v>
      </c>
      <c r="AA711" s="7" t="n">
        <f aca="false">raw_data!S711</f>
        <v>1692.77</v>
      </c>
      <c r="AB711" s="3" t="str">
        <f aca="false">PROPER(TRIM(raw_data!T711))</f>
        <v>Paid</v>
      </c>
      <c r="AC711" s="3" t="str">
        <f aca="false">PROPER(TRIM(raw_data!U711))</f>
        <v>Cancelled</v>
      </c>
      <c r="AD711" s="7" t="n">
        <f aca="false">T711*U711*(1-W711)</f>
        <v>8110.088</v>
      </c>
      <c r="AE711" s="7" t="n">
        <f aca="false">AD711-Z711</f>
        <v>1692.768</v>
      </c>
      <c r="AF711" s="8" t="n">
        <f aca="false">IF(AD711=0,0,AE711/AD711)</f>
        <v>0.208723752442637</v>
      </c>
      <c r="AG711" s="3" t="str">
        <f aca="false">IF(ABS(Y711-AD711)&gt;1,"Mismatch","OK")</f>
        <v>OK</v>
      </c>
      <c r="AH711" s="3" t="str">
        <f aca="false">IF(ABS(AA711-AE711)&gt;1,"Mismatch","OK")</f>
        <v>OK</v>
      </c>
      <c r="AI711" s="6" t="n">
        <f aca="false">IF(B711="","",MONTH(B711))</f>
        <v>1</v>
      </c>
      <c r="AJ711" s="6" t="n">
        <f aca="false">IF(B711="","",YEAR(B711))</f>
        <v>2025</v>
      </c>
      <c r="AK711" s="3" t="str">
        <f aca="false">IF(COUNTIF(raw_data!$A$2:$A$913,A711)&gt;1,"Conflicting Duplicate - Flagged for Review","Unique")</f>
        <v>Unique</v>
      </c>
      <c r="AL711" s="3" t="str">
        <f aca="false">IF(AB711="Refunded","Yes","No")</f>
        <v>No</v>
      </c>
      <c r="AM711" s="3" t="str">
        <f aca="false">IF(OR(AC711&lt;&gt;"Completed",AB711="Failed"),"Excluded","Included")</f>
        <v>Excluded</v>
      </c>
      <c r="AN711" s="3" t="str">
        <f aca="false">IF(OR(D711="Invalid/Unrecognized",E711="Invalid/Unrecognized",G711="Invalid - Ship Before Order",X711="Negative - Invalid",X711="Above Allowed Range - Invalid",AG711="Mismatch",AH711="Mismatch",AK711="Conflicting Duplicate - Flagged for Review"),"Invalid",IF(OR(L711="Filled - Unknown",S711="Filled - Unknown",X711="Missing - Defaulted to 0",AL711="Yes",AC711="Cancelled",AC711="Returned"),"Warning","Clean"))</f>
        <v>Warning</v>
      </c>
    </row>
    <row r="712" customFormat="false" ht="15" hidden="false" customHeight="false" outlineLevel="0" collapsed="false">
      <c r="A712" s="3" t="str">
        <f aca="false">raw_data!A712</f>
        <v>ORD-2024-10711</v>
      </c>
      <c r="B712" s="4" t="n">
        <f aca="false">IFERROR(IF(MID(raw_data!B712,3,1)="/",DATE(VALUE(RIGHT(raw_data!B712,4)),VALUE(LEFT(raw_data!B712,2)),VALUE(MID(raw_data!B712,4,2))),IF(MID(raw_data!B712,3,1)="-",DATE(VALUE(RIGHT(raw_data!B712,4)),VALUE(MID(raw_data!B712,4,2)),VALUE(LEFT(raw_data!B712,2))),IF(MID(raw_data!B712,5,1)="-",DATE(VALUE(LEFT(raw_data!B712,4)),VALUE(MID(raw_data!B712,6,2)),VALUE(RIGHT(raw_data!B712,2))),DATE(VALUE(RIGHT(raw_data!B712,4)),MATCH(MID(raw_data!B712,4,3),{"Jan","Feb","Mar","Apr","May","Jun","Jul","Aug","Sep","Oct","Nov","Dec"},0),VALUE(LEFT(raw_data!B712,2)))))),"")</f>
        <v>45485</v>
      </c>
      <c r="C712" s="4" t="n">
        <f aca="false">IFERROR(IF(MID(raw_data!C712,3,1)="/",DATE(VALUE(RIGHT(raw_data!C712,4)),VALUE(LEFT(raw_data!C712,2)),VALUE(MID(raw_data!C712,4,2))),IF(MID(raw_data!C712,3,1)="-",DATE(VALUE(RIGHT(raw_data!C712,4)),VALUE(MID(raw_data!C712,4,2)),VALUE(LEFT(raw_data!C712,2))),IF(MID(raw_data!C712,5,1)="-",DATE(VALUE(LEFT(raw_data!C712,4)),VALUE(MID(raw_data!C712,6,2)),VALUE(RIGHT(raw_data!C712,2))),DATE(VALUE(RIGHT(raw_data!C712,4)),MATCH(MID(raw_data!C712,4,3),{"Jan","Feb","Mar","Apr","May","Jun","Jul","Aug","Sep","Oct","Nov","Dec"},0),VALUE(LEFT(raw_data!C712,2)))))),"")</f>
        <v>45492</v>
      </c>
      <c r="D712" s="3" t="str">
        <f aca="false">IF(TRIM(raw_data!B712)="","Missing",IF(B712="","Invalid/Unrecognized","Valid"))</f>
        <v>Valid</v>
      </c>
      <c r="E712" s="3" t="str">
        <f aca="false">IF(TRIM(raw_data!C712)="","Missing",IF(C712="","Invalid/Unrecognized","Valid"))</f>
        <v>Valid</v>
      </c>
      <c r="F712" s="5" t="n">
        <f aca="false">IF(OR(B712="",C712=""),"",C712-B712)</f>
        <v>7</v>
      </c>
      <c r="G712" s="3" t="str">
        <f aca="false">IF(F712="","N/A",IF(F712&lt;0,"Invalid - Ship Before Order","OK"))</f>
        <v>OK</v>
      </c>
      <c r="H712" s="3" t="str">
        <f aca="false">raw_data!D712</f>
        <v>CUST-7199</v>
      </c>
      <c r="I712" s="3" t="str">
        <f aca="false">PROPER(TRIM(raw_data!E712))</f>
        <v>Vikram Iyer</v>
      </c>
      <c r="J712" s="3" t="str">
        <f aca="false">PROPER(TRIM(raw_data!F712))</f>
        <v>Corporate</v>
      </c>
      <c r="K712" s="3" t="str">
        <f aca="false">IF(TRIM(raw_data!G712)="","Unknown",PROPER(TRIM(raw_data!G712)))</f>
        <v>North</v>
      </c>
      <c r="L712" s="3" t="str">
        <f aca="false">IF(TRIM(raw_data!G712)="","Filled - Unknown","OK")</f>
        <v>OK</v>
      </c>
      <c r="M712" s="3" t="str">
        <f aca="false">PROPER(TRIM(raw_data!H712))</f>
        <v>Punjab</v>
      </c>
      <c r="N712" s="3" t="str">
        <f aca="false">PROPER(TRIM(raw_data!I712))</f>
        <v>Ludhiana</v>
      </c>
      <c r="O712" s="3" t="str">
        <f aca="false">PROPER(TRIM(raw_data!J712))</f>
        <v>Office Supplies</v>
      </c>
      <c r="P712" s="3" t="str">
        <f aca="false">PROPER(TRIM(raw_data!K712))</f>
        <v>Art</v>
      </c>
      <c r="Q712" s="3" t="str">
        <f aca="false">TRIM(raw_data!L712)</f>
        <v>Smart Art 279</v>
      </c>
      <c r="R712" s="3" t="str">
        <f aca="false">IF(TRIM(raw_data!M712)="","Unknown",PROPER(TRIM(raw_data!M712)))</f>
        <v>Second Class</v>
      </c>
      <c r="S712" s="3" t="str">
        <f aca="false">IF(TRIM(raw_data!M712)="","Filled - Unknown","OK")</f>
        <v>OK</v>
      </c>
      <c r="T712" s="6" t="n">
        <f aca="false">raw_data!N712</f>
        <v>5</v>
      </c>
      <c r="U712" s="7" t="n">
        <f aca="false">raw_data!O712</f>
        <v>1559.16</v>
      </c>
      <c r="V712" s="8" t="n">
        <f aca="false">raw_data!P712</f>
        <v>0.05</v>
      </c>
      <c r="W712" s="8" t="n">
        <f aca="false">IF(raw_data!P712="",0,IF(ISTEXT(raw_data!P712),IF(RIGHT(raw_data!P712,1)="%",VALUE(LEFT(raw_data!P712,LEN(raw_data!P712)-1))/100,VALUE(raw_data!P712)),raw_data!P712))</f>
        <v>0.05</v>
      </c>
      <c r="X712" s="3" t="str">
        <f aca="false">IF(raw_data!P712="","Missing - Defaulted to 0",IF(W712&lt;0,"Negative - Invalid",IF(W712&gt;0.3,"Above Allowed Range - Invalid","Valid")))</f>
        <v>Valid</v>
      </c>
      <c r="Y712" s="7" t="n">
        <f aca="false">raw_data!Q712</f>
        <v>7406.01</v>
      </c>
      <c r="Z712" s="7" t="n">
        <f aca="false">raw_data!R712</f>
        <v>5941.74</v>
      </c>
      <c r="AA712" s="7" t="n">
        <f aca="false">raw_data!S712</f>
        <v>1464.27</v>
      </c>
      <c r="AB712" s="3" t="str">
        <f aca="false">PROPER(TRIM(raw_data!T712))</f>
        <v>Paid</v>
      </c>
      <c r="AC712" s="3" t="str">
        <f aca="false">PROPER(TRIM(raw_data!U712))</f>
        <v>Completed</v>
      </c>
      <c r="AD712" s="7" t="n">
        <f aca="false">T712*U712*(1-W712)</f>
        <v>7406.01</v>
      </c>
      <c r="AE712" s="7" t="n">
        <f aca="false">AD712-Z712</f>
        <v>1464.27</v>
      </c>
      <c r="AF712" s="8" t="n">
        <f aca="false">IF(AD712=0,0,AE712/AD712)</f>
        <v>0.197713748698692</v>
      </c>
      <c r="AG712" s="3" t="str">
        <f aca="false">IF(ABS(Y712-AD712)&gt;1,"Mismatch","OK")</f>
        <v>OK</v>
      </c>
      <c r="AH712" s="3" t="str">
        <f aca="false">IF(ABS(AA712-AE712)&gt;1,"Mismatch","OK")</f>
        <v>OK</v>
      </c>
      <c r="AI712" s="6" t="n">
        <f aca="false">IF(B712="","",MONTH(B712))</f>
        <v>7</v>
      </c>
      <c r="AJ712" s="6" t="n">
        <f aca="false">IF(B712="","",YEAR(B712))</f>
        <v>2024</v>
      </c>
      <c r="AK712" s="3" t="str">
        <f aca="false">IF(COUNTIF(raw_data!$A$2:$A$913,A712)&gt;1,"Conflicting Duplicate - Flagged for Review","Unique")</f>
        <v>Unique</v>
      </c>
      <c r="AL712" s="3" t="str">
        <f aca="false">IF(AB712="Refunded","Yes","No")</f>
        <v>No</v>
      </c>
      <c r="AM712" s="3" t="str">
        <f aca="false">IF(OR(AC712&lt;&gt;"Completed",AB712="Failed"),"Excluded","Included")</f>
        <v>Included</v>
      </c>
      <c r="AN712" s="3" t="str">
        <f aca="false">IF(OR(D712="Invalid/Unrecognized",E712="Invalid/Unrecognized",G712="Invalid - Ship Before Order",X712="Negative - Invalid",X712="Above Allowed Range - Invalid",AG712="Mismatch",AH712="Mismatch",AK712="Conflicting Duplicate - Flagged for Review"),"Invalid",IF(OR(L712="Filled - Unknown",S712="Filled - Unknown",X712="Missing - Defaulted to 0",AL712="Yes",AC712="Cancelled",AC712="Returned"),"Warning","Clean"))</f>
        <v>Clean</v>
      </c>
    </row>
    <row r="713" customFormat="false" ht="15" hidden="false" customHeight="false" outlineLevel="0" collapsed="false">
      <c r="A713" s="3" t="str">
        <f aca="false">raw_data!A713</f>
        <v>ORD-2025-10712</v>
      </c>
      <c r="B713" s="4" t="n">
        <f aca="false">IFERROR(IF(MID(raw_data!B713,3,1)="/",DATE(VALUE(RIGHT(raw_data!B713,4)),VALUE(LEFT(raw_data!B713,2)),VALUE(MID(raw_data!B713,4,2))),IF(MID(raw_data!B713,3,1)="-",DATE(VALUE(RIGHT(raw_data!B713,4)),VALUE(MID(raw_data!B713,4,2)),VALUE(LEFT(raw_data!B713,2))),IF(MID(raw_data!B713,5,1)="-",DATE(VALUE(LEFT(raw_data!B713,4)),VALUE(MID(raw_data!B713,6,2)),VALUE(RIGHT(raw_data!B713,2))),DATE(VALUE(RIGHT(raw_data!B713,4)),MATCH(MID(raw_data!B713,4,3),{"Jan","Feb","Mar","Apr","May","Jun","Jul","Aug","Sep","Oct","Nov","Dec"},0),VALUE(LEFT(raw_data!B713,2)))))),"")</f>
        <v>45690</v>
      </c>
      <c r="C713" s="4" t="n">
        <f aca="false">IFERROR(IF(MID(raw_data!C713,3,1)="/",DATE(VALUE(RIGHT(raw_data!C713,4)),VALUE(LEFT(raw_data!C713,2)),VALUE(MID(raw_data!C713,4,2))),IF(MID(raw_data!C713,3,1)="-",DATE(VALUE(RIGHT(raw_data!C713,4)),VALUE(MID(raw_data!C713,4,2)),VALUE(LEFT(raw_data!C713,2))),IF(MID(raw_data!C713,5,1)="-",DATE(VALUE(LEFT(raw_data!C713,4)),VALUE(MID(raw_data!C713,6,2)),VALUE(RIGHT(raw_data!C713,2))),DATE(VALUE(RIGHT(raw_data!C713,4)),MATCH(MID(raw_data!C713,4,3),{"Jan","Feb","Mar","Apr","May","Jun","Jul","Aug","Sep","Oct","Nov","Dec"},0),VALUE(LEFT(raw_data!C713,2)))))),"")</f>
        <v>45690</v>
      </c>
      <c r="D713" s="3" t="str">
        <f aca="false">IF(TRIM(raw_data!B713)="","Missing",IF(B713="","Invalid/Unrecognized","Valid"))</f>
        <v>Valid</v>
      </c>
      <c r="E713" s="3" t="str">
        <f aca="false">IF(TRIM(raw_data!C713)="","Missing",IF(C713="","Invalid/Unrecognized","Valid"))</f>
        <v>Valid</v>
      </c>
      <c r="F713" s="5" t="n">
        <f aca="false">IF(OR(B713="",C713=""),"",C713-B713)</f>
        <v>0</v>
      </c>
      <c r="G713" s="3" t="str">
        <f aca="false">IF(F713="","N/A",IF(F713&lt;0,"Invalid - Ship Before Order","OK"))</f>
        <v>OK</v>
      </c>
      <c r="H713" s="3" t="str">
        <f aca="false">raw_data!D713</f>
        <v>CUST-6176</v>
      </c>
      <c r="I713" s="3" t="str">
        <f aca="false">PROPER(TRIM(raw_data!E713))</f>
        <v>Kabir Singh</v>
      </c>
      <c r="J713" s="3" t="str">
        <f aca="false">PROPER(TRIM(raw_data!F713))</f>
        <v>Corporate</v>
      </c>
      <c r="K713" s="3" t="str">
        <f aca="false">IF(TRIM(raw_data!G713)="","Unknown",PROPER(TRIM(raw_data!G713)))</f>
        <v>East</v>
      </c>
      <c r="L713" s="3" t="str">
        <f aca="false">IF(TRIM(raw_data!G713)="","Filled - Unknown","OK")</f>
        <v>OK</v>
      </c>
      <c r="M713" s="3" t="str">
        <f aca="false">PROPER(TRIM(raw_data!H713))</f>
        <v>West Bengal</v>
      </c>
      <c r="N713" s="3" t="str">
        <f aca="false">PROPER(TRIM(raw_data!I713))</f>
        <v>Kolkata</v>
      </c>
      <c r="O713" s="3" t="str">
        <f aca="false">PROPER(TRIM(raw_data!J713))</f>
        <v>Technology</v>
      </c>
      <c r="P713" s="3" t="str">
        <f aca="false">PROPER(TRIM(raw_data!K713))</f>
        <v>Machines</v>
      </c>
      <c r="Q713" s="3" t="str">
        <f aca="false">TRIM(raw_data!L713)</f>
        <v>Basic Machines 172</v>
      </c>
      <c r="R713" s="3" t="str">
        <f aca="false">IF(TRIM(raw_data!M713)="","Unknown",PROPER(TRIM(raw_data!M713)))</f>
        <v>First Class</v>
      </c>
      <c r="S713" s="3" t="str">
        <f aca="false">IF(TRIM(raw_data!M713)="","Filled - Unknown","OK")</f>
        <v>OK</v>
      </c>
      <c r="T713" s="6" t="n">
        <f aca="false">raw_data!N713</f>
        <v>1</v>
      </c>
      <c r="U713" s="7" t="n">
        <f aca="false">raw_data!O713</f>
        <v>4326.75</v>
      </c>
      <c r="V713" s="8" t="n">
        <f aca="false">raw_data!P713</f>
        <v>0.05</v>
      </c>
      <c r="W713" s="8" t="n">
        <f aca="false">IF(raw_data!P713="",0,IF(ISTEXT(raw_data!P713),IF(RIGHT(raw_data!P713,1)="%",VALUE(LEFT(raw_data!P713,LEN(raw_data!P713)-1))/100,VALUE(raw_data!P713)),raw_data!P713))</f>
        <v>0.05</v>
      </c>
      <c r="X713" s="3" t="str">
        <f aca="false">IF(raw_data!P713="","Missing - Defaulted to 0",IF(W713&lt;0,"Negative - Invalid",IF(W713&gt;0.3,"Above Allowed Range - Invalid","Valid")))</f>
        <v>Valid</v>
      </c>
      <c r="Y713" s="7" t="n">
        <f aca="false">raw_data!Q713</f>
        <v>4110.41</v>
      </c>
      <c r="Z713" s="7" t="n">
        <f aca="false">raw_data!R713</f>
        <v>2394.14</v>
      </c>
      <c r="AA713" s="7" t="n">
        <f aca="false">raw_data!S713</f>
        <v>1716.27</v>
      </c>
      <c r="AB713" s="3" t="str">
        <f aca="false">PROPER(TRIM(raw_data!T713))</f>
        <v>Pending</v>
      </c>
      <c r="AC713" s="3" t="str">
        <f aca="false">PROPER(TRIM(raw_data!U713))</f>
        <v>Returned</v>
      </c>
      <c r="AD713" s="7" t="n">
        <f aca="false">T713*U713*(1-W713)</f>
        <v>4110.4125</v>
      </c>
      <c r="AE713" s="7" t="n">
        <f aca="false">AD713-Z713</f>
        <v>1716.2725</v>
      </c>
      <c r="AF713" s="8" t="n">
        <f aca="false">IF(AD713=0,0,AE713/AD713)</f>
        <v>0.417542643226197</v>
      </c>
      <c r="AG713" s="3" t="str">
        <f aca="false">IF(ABS(Y713-AD713)&gt;1,"Mismatch","OK")</f>
        <v>OK</v>
      </c>
      <c r="AH713" s="3" t="str">
        <f aca="false">IF(ABS(AA713-AE713)&gt;1,"Mismatch","OK")</f>
        <v>OK</v>
      </c>
      <c r="AI713" s="6" t="n">
        <f aca="false">IF(B713="","",MONTH(B713))</f>
        <v>2</v>
      </c>
      <c r="AJ713" s="6" t="n">
        <f aca="false">IF(B713="","",YEAR(B713))</f>
        <v>2025</v>
      </c>
      <c r="AK713" s="3" t="str">
        <f aca="false">IF(COUNTIF(raw_data!$A$2:$A$913,A713)&gt;1,"Conflicting Duplicate - Flagged for Review","Unique")</f>
        <v>Unique</v>
      </c>
      <c r="AL713" s="3" t="str">
        <f aca="false">IF(AB713="Refunded","Yes","No")</f>
        <v>No</v>
      </c>
      <c r="AM713" s="3" t="str">
        <f aca="false">IF(OR(AC713&lt;&gt;"Completed",AB713="Failed"),"Excluded","Included")</f>
        <v>Excluded</v>
      </c>
      <c r="AN713" s="3" t="str">
        <f aca="false">IF(OR(D713="Invalid/Unrecognized",E713="Invalid/Unrecognized",G713="Invalid - Ship Before Order",X713="Negative - Invalid",X713="Above Allowed Range - Invalid",AG713="Mismatch",AH713="Mismatch",AK713="Conflicting Duplicate - Flagged for Review"),"Invalid",IF(OR(L713="Filled - Unknown",S713="Filled - Unknown",X713="Missing - Defaulted to 0",AL713="Yes",AC713="Cancelled",AC713="Returned"),"Warning","Clean"))</f>
        <v>Warning</v>
      </c>
    </row>
    <row r="714" customFormat="false" ht="15" hidden="false" customHeight="false" outlineLevel="0" collapsed="false">
      <c r="A714" s="3" t="str">
        <f aca="false">raw_data!A714</f>
        <v>ORD-2024-10713</v>
      </c>
      <c r="B714" s="4" t="n">
        <f aca="false">IFERROR(IF(MID(raw_data!B714,3,1)="/",DATE(VALUE(RIGHT(raw_data!B714,4)),VALUE(LEFT(raw_data!B714,2)),VALUE(MID(raw_data!B714,4,2))),IF(MID(raw_data!B714,3,1)="-",DATE(VALUE(RIGHT(raw_data!B714,4)),VALUE(MID(raw_data!B714,4,2)),VALUE(LEFT(raw_data!B714,2))),IF(MID(raw_data!B714,5,1)="-",DATE(VALUE(LEFT(raw_data!B714,4)),VALUE(MID(raw_data!B714,6,2)),VALUE(RIGHT(raw_data!B714,2))),DATE(VALUE(RIGHT(raw_data!B714,4)),MATCH(MID(raw_data!B714,4,3),{"Jan","Feb","Mar","Apr","May","Jun","Jul","Aug","Sep","Oct","Nov","Dec"},0),VALUE(LEFT(raw_data!B714,2)))))),"")</f>
        <v>45332</v>
      </c>
      <c r="C714" s="4" t="n">
        <f aca="false">IFERROR(IF(MID(raw_data!C714,3,1)="/",DATE(VALUE(RIGHT(raw_data!C714,4)),VALUE(LEFT(raw_data!C714,2)),VALUE(MID(raw_data!C714,4,2))),IF(MID(raw_data!C714,3,1)="-",DATE(VALUE(RIGHT(raw_data!C714,4)),VALUE(MID(raw_data!C714,4,2)),VALUE(LEFT(raw_data!C714,2))),IF(MID(raw_data!C714,5,1)="-",DATE(VALUE(LEFT(raw_data!C714,4)),VALUE(MID(raw_data!C714,6,2)),VALUE(RIGHT(raw_data!C714,2))),DATE(VALUE(RIGHT(raw_data!C714,4)),MATCH(MID(raw_data!C714,4,3),{"Jan","Feb","Mar","Apr","May","Jun","Jul","Aug","Sep","Oct","Nov","Dec"},0),VALUE(LEFT(raw_data!C714,2)))))),"")</f>
        <v>45340</v>
      </c>
      <c r="D714" s="3" t="str">
        <f aca="false">IF(TRIM(raw_data!B714)="","Missing",IF(B714="","Invalid/Unrecognized","Valid"))</f>
        <v>Valid</v>
      </c>
      <c r="E714" s="3" t="str">
        <f aca="false">IF(TRIM(raw_data!C714)="","Missing",IF(C714="","Invalid/Unrecognized","Valid"))</f>
        <v>Valid</v>
      </c>
      <c r="F714" s="5" t="n">
        <f aca="false">IF(OR(B714="",C714=""),"",C714-B714)</f>
        <v>8</v>
      </c>
      <c r="G714" s="3" t="str">
        <f aca="false">IF(F714="","N/A",IF(F714&lt;0,"Invalid - Ship Before Order","OK"))</f>
        <v>OK</v>
      </c>
      <c r="H714" s="3" t="str">
        <f aca="false">raw_data!D714</f>
        <v>CUST-5127</v>
      </c>
      <c r="I714" s="3" t="str">
        <f aca="false">PROPER(TRIM(raw_data!E714))</f>
        <v>Isha Nair</v>
      </c>
      <c r="J714" s="3" t="str">
        <f aca="false">PROPER(TRIM(raw_data!F714))</f>
        <v>Home Office</v>
      </c>
      <c r="K714" s="3" t="str">
        <f aca="false">IF(TRIM(raw_data!G714)="","Unknown",PROPER(TRIM(raw_data!G714)))</f>
        <v>West</v>
      </c>
      <c r="L714" s="3" t="str">
        <f aca="false">IF(TRIM(raw_data!G714)="","Filled - Unknown","OK")</f>
        <v>OK</v>
      </c>
      <c r="M714" s="3" t="str">
        <f aca="false">PROPER(TRIM(raw_data!H714))</f>
        <v>Madhya Pradesh</v>
      </c>
      <c r="N714" s="3" t="str">
        <f aca="false">PROPER(TRIM(raw_data!I714))</f>
        <v>Indore</v>
      </c>
      <c r="O714" s="3" t="str">
        <f aca="false">PROPER(TRIM(raw_data!J714))</f>
        <v>Furniture</v>
      </c>
      <c r="P714" s="3" t="str">
        <f aca="false">PROPER(TRIM(raw_data!K714))</f>
        <v>Chairs</v>
      </c>
      <c r="Q714" s="3" t="str">
        <f aca="false">TRIM(raw_data!L714)</f>
        <v>Smart Chairs 259</v>
      </c>
      <c r="R714" s="3" t="str">
        <f aca="false">IF(TRIM(raw_data!M714)="","Unknown",PROPER(TRIM(raw_data!M714)))</f>
        <v>First Class</v>
      </c>
      <c r="S714" s="3" t="str">
        <f aca="false">IF(TRIM(raw_data!M714)="","Filled - Unknown","OK")</f>
        <v>OK</v>
      </c>
      <c r="T714" s="6" t="n">
        <f aca="false">raw_data!N714</f>
        <v>7</v>
      </c>
      <c r="U714" s="7" t="n">
        <f aca="false">raw_data!O714</f>
        <v>1382.86</v>
      </c>
      <c r="V714" s="8" t="n">
        <f aca="false">raw_data!P714</f>
        <v>0</v>
      </c>
      <c r="W714" s="8" t="n">
        <f aca="false">IF(raw_data!P714="",0,IF(ISTEXT(raw_data!P714),IF(RIGHT(raw_data!P714,1)="%",VALUE(LEFT(raw_data!P714,LEN(raw_data!P714)-1))/100,VALUE(raw_data!P714)),raw_data!P714))</f>
        <v>0</v>
      </c>
      <c r="X714" s="3" t="str">
        <f aca="false">IF(raw_data!P714="","Missing - Defaulted to 0",IF(W714&lt;0,"Negative - Invalid",IF(W714&gt;0.3,"Above Allowed Range - Invalid","Valid")))</f>
        <v>Valid</v>
      </c>
      <c r="Y714" s="7" t="n">
        <f aca="false">raw_data!Q714</f>
        <v>9680.02</v>
      </c>
      <c r="Z714" s="7" t="n">
        <f aca="false">raw_data!R714</f>
        <v>6876.66</v>
      </c>
      <c r="AA714" s="7" t="n">
        <f aca="false">raw_data!S714</f>
        <v>2803.36</v>
      </c>
      <c r="AB714" s="3" t="str">
        <f aca="false">PROPER(TRIM(raw_data!T714))</f>
        <v>Paid</v>
      </c>
      <c r="AC714" s="3" t="str">
        <f aca="false">PROPER(TRIM(raw_data!U714))</f>
        <v>Completed</v>
      </c>
      <c r="AD714" s="7" t="n">
        <f aca="false">T714*U714*(1-W714)</f>
        <v>9680.02</v>
      </c>
      <c r="AE714" s="7" t="n">
        <f aca="false">AD714-Z714</f>
        <v>2803.36</v>
      </c>
      <c r="AF714" s="8" t="n">
        <f aca="false">IF(AD714=0,0,AE714/AD714)</f>
        <v>0.289602707432423</v>
      </c>
      <c r="AG714" s="3" t="str">
        <f aca="false">IF(ABS(Y714-AD714)&gt;1,"Mismatch","OK")</f>
        <v>OK</v>
      </c>
      <c r="AH714" s="3" t="str">
        <f aca="false">IF(ABS(AA714-AE714)&gt;1,"Mismatch","OK")</f>
        <v>OK</v>
      </c>
      <c r="AI714" s="6" t="n">
        <f aca="false">IF(B714="","",MONTH(B714))</f>
        <v>2</v>
      </c>
      <c r="AJ714" s="6" t="n">
        <f aca="false">IF(B714="","",YEAR(B714))</f>
        <v>2024</v>
      </c>
      <c r="AK714" s="3" t="str">
        <f aca="false">IF(COUNTIF(raw_data!$A$2:$A$913,A714)&gt;1,"Conflicting Duplicate - Flagged for Review","Unique")</f>
        <v>Unique</v>
      </c>
      <c r="AL714" s="3" t="str">
        <f aca="false">IF(AB714="Refunded","Yes","No")</f>
        <v>No</v>
      </c>
      <c r="AM714" s="3" t="str">
        <f aca="false">IF(OR(AC714&lt;&gt;"Completed",AB714="Failed"),"Excluded","Included")</f>
        <v>Included</v>
      </c>
      <c r="AN714" s="3" t="str">
        <f aca="false">IF(OR(D714="Invalid/Unrecognized",E714="Invalid/Unrecognized",G714="Invalid - Ship Before Order",X714="Negative - Invalid",X714="Above Allowed Range - Invalid",AG714="Mismatch",AH714="Mismatch",AK714="Conflicting Duplicate - Flagged for Review"),"Invalid",IF(OR(L714="Filled - Unknown",S714="Filled - Unknown",X714="Missing - Defaulted to 0",AL714="Yes",AC714="Cancelled",AC714="Returned"),"Warning","Clean"))</f>
        <v>Clean</v>
      </c>
    </row>
    <row r="715" customFormat="false" ht="15" hidden="false" customHeight="false" outlineLevel="0" collapsed="false">
      <c r="A715" s="3" t="str">
        <f aca="false">raw_data!A715</f>
        <v>ORD-2025-10714</v>
      </c>
      <c r="B715" s="4" t="n">
        <f aca="false">IFERROR(IF(MID(raw_data!B715,3,1)="/",DATE(VALUE(RIGHT(raw_data!B715,4)),VALUE(LEFT(raw_data!B715,2)),VALUE(MID(raw_data!B715,4,2))),IF(MID(raw_data!B715,3,1)="-",DATE(VALUE(RIGHT(raw_data!B715,4)),VALUE(MID(raw_data!B715,4,2)),VALUE(LEFT(raw_data!B715,2))),IF(MID(raw_data!B715,5,1)="-",DATE(VALUE(LEFT(raw_data!B715,4)),VALUE(MID(raw_data!B715,6,2)),VALUE(RIGHT(raw_data!B715,2))),DATE(VALUE(RIGHT(raw_data!B715,4)),MATCH(MID(raw_data!B715,4,3),{"Jan","Feb","Mar","Apr","May","Jun","Jul","Aug","Sep","Oct","Nov","Dec"},0),VALUE(LEFT(raw_data!B715,2)))))),"")</f>
        <v>45814</v>
      </c>
      <c r="C715" s="4" t="n">
        <f aca="false">IFERROR(IF(MID(raw_data!C715,3,1)="/",DATE(VALUE(RIGHT(raw_data!C715,4)),VALUE(LEFT(raw_data!C715,2)),VALUE(MID(raw_data!C715,4,2))),IF(MID(raw_data!C715,3,1)="-",DATE(VALUE(RIGHT(raw_data!C715,4)),VALUE(MID(raw_data!C715,4,2)),VALUE(LEFT(raw_data!C715,2))),IF(MID(raw_data!C715,5,1)="-",DATE(VALUE(LEFT(raw_data!C715,4)),VALUE(MID(raw_data!C715,6,2)),VALUE(RIGHT(raw_data!C715,2))),DATE(VALUE(RIGHT(raw_data!C715,4)),MATCH(MID(raw_data!C715,4,3),{"Jan","Feb","Mar","Apr","May","Jun","Jul","Aug","Sep","Oct","Nov","Dec"},0),VALUE(LEFT(raw_data!C715,2)))))),"")</f>
        <v>45818</v>
      </c>
      <c r="D715" s="3" t="str">
        <f aca="false">IF(TRIM(raw_data!B715)="","Missing",IF(B715="","Invalid/Unrecognized","Valid"))</f>
        <v>Valid</v>
      </c>
      <c r="E715" s="3" t="str">
        <f aca="false">IF(TRIM(raw_data!C715)="","Missing",IF(C715="","Invalid/Unrecognized","Valid"))</f>
        <v>Valid</v>
      </c>
      <c r="F715" s="5" t="n">
        <f aca="false">IF(OR(B715="",C715=""),"",C715-B715)</f>
        <v>4</v>
      </c>
      <c r="G715" s="3" t="str">
        <f aca="false">IF(F715="","N/A",IF(F715&lt;0,"Invalid - Ship Before Order","OK"))</f>
        <v>OK</v>
      </c>
      <c r="H715" s="3" t="str">
        <f aca="false">raw_data!D715</f>
        <v>CUST-2548</v>
      </c>
      <c r="I715" s="3" t="str">
        <f aca="false">PROPER(TRIM(raw_data!E715))</f>
        <v>Mira Das</v>
      </c>
      <c r="J715" s="3" t="str">
        <f aca="false">PROPER(TRIM(raw_data!F715))</f>
        <v>Consumer</v>
      </c>
      <c r="K715" s="3" t="str">
        <f aca="false">IF(TRIM(raw_data!G715)="","Unknown",PROPER(TRIM(raw_data!G715)))</f>
        <v>West</v>
      </c>
      <c r="L715" s="3" t="str">
        <f aca="false">IF(TRIM(raw_data!G715)="","Filled - Unknown","OK")</f>
        <v>OK</v>
      </c>
      <c r="M715" s="3" t="str">
        <f aca="false">PROPER(TRIM(raw_data!H715))</f>
        <v>Rajasthan</v>
      </c>
      <c r="N715" s="3" t="str">
        <f aca="false">PROPER(TRIM(raw_data!I715))</f>
        <v>Udaipur</v>
      </c>
      <c r="O715" s="3" t="str">
        <f aca="false">PROPER(TRIM(raw_data!J715))</f>
        <v>Technology</v>
      </c>
      <c r="P715" s="3" t="str">
        <f aca="false">PROPER(TRIM(raw_data!K715))</f>
        <v>Machines</v>
      </c>
      <c r="Q715" s="3" t="str">
        <f aca="false">TRIM(raw_data!L715)</f>
        <v>Pro Machines 987</v>
      </c>
      <c r="R715" s="3" t="str">
        <f aca="false">IF(TRIM(raw_data!M715)="","Unknown",PROPER(TRIM(raw_data!M715)))</f>
        <v>Second Class</v>
      </c>
      <c r="S715" s="3" t="str">
        <f aca="false">IF(TRIM(raw_data!M715)="","Filled - Unknown","OK")</f>
        <v>OK</v>
      </c>
      <c r="T715" s="6" t="n">
        <f aca="false">raw_data!N715</f>
        <v>1</v>
      </c>
      <c r="U715" s="7" t="n">
        <f aca="false">raw_data!O715</f>
        <v>289.97</v>
      </c>
      <c r="V715" s="8" t="n">
        <f aca="false">raw_data!P715</f>
        <v>0.25</v>
      </c>
      <c r="W715" s="8" t="n">
        <f aca="false">IF(raw_data!P715="",0,IF(ISTEXT(raw_data!P715),IF(RIGHT(raw_data!P715,1)="%",VALUE(LEFT(raw_data!P715,LEN(raw_data!P715)-1))/100,VALUE(raw_data!P715)),raw_data!P715))</f>
        <v>0.25</v>
      </c>
      <c r="X715" s="3" t="str">
        <f aca="false">IF(raw_data!P715="","Missing - Defaulted to 0",IF(W715&lt;0,"Negative - Invalid",IF(W715&gt;0.3,"Above Allowed Range - Invalid","Valid")))</f>
        <v>Valid</v>
      </c>
      <c r="Y715" s="7" t="n">
        <f aca="false">raw_data!Q715</f>
        <v>217.48</v>
      </c>
      <c r="Z715" s="7" t="n">
        <f aca="false">raw_data!R715</f>
        <v>132.13</v>
      </c>
      <c r="AA715" s="7" t="n">
        <f aca="false">raw_data!S715</f>
        <v>85.35</v>
      </c>
      <c r="AB715" s="3" t="str">
        <f aca="false">PROPER(TRIM(raw_data!T715))</f>
        <v>Paid</v>
      </c>
      <c r="AC715" s="3" t="str">
        <f aca="false">PROPER(TRIM(raw_data!U715))</f>
        <v>Completed</v>
      </c>
      <c r="AD715" s="7" t="n">
        <f aca="false">T715*U715*(1-W715)</f>
        <v>217.4775</v>
      </c>
      <c r="AE715" s="7" t="n">
        <f aca="false">AD715-Z715</f>
        <v>85.3475</v>
      </c>
      <c r="AF715" s="8" t="n">
        <f aca="false">IF(AD715=0,0,AE715/AD715)</f>
        <v>0.392442896391581</v>
      </c>
      <c r="AG715" s="3" t="str">
        <f aca="false">IF(ABS(Y715-AD715)&gt;1,"Mismatch","OK")</f>
        <v>OK</v>
      </c>
      <c r="AH715" s="3" t="str">
        <f aca="false">IF(ABS(AA715-AE715)&gt;1,"Mismatch","OK")</f>
        <v>OK</v>
      </c>
      <c r="AI715" s="6" t="n">
        <f aca="false">IF(B715="","",MONTH(B715))</f>
        <v>6</v>
      </c>
      <c r="AJ715" s="6" t="n">
        <f aca="false">IF(B715="","",YEAR(B715))</f>
        <v>2025</v>
      </c>
      <c r="AK715" s="3" t="str">
        <f aca="false">IF(COUNTIF(raw_data!$A$2:$A$913,A715)&gt;1,"Conflicting Duplicate - Flagged for Review","Unique")</f>
        <v>Unique</v>
      </c>
      <c r="AL715" s="3" t="str">
        <f aca="false">IF(AB715="Refunded","Yes","No")</f>
        <v>No</v>
      </c>
      <c r="AM715" s="3" t="str">
        <f aca="false">IF(OR(AC715&lt;&gt;"Completed",AB715="Failed"),"Excluded","Included")</f>
        <v>Included</v>
      </c>
      <c r="AN715" s="3" t="str">
        <f aca="false">IF(OR(D715="Invalid/Unrecognized",E715="Invalid/Unrecognized",G715="Invalid - Ship Before Order",X715="Negative - Invalid",X715="Above Allowed Range - Invalid",AG715="Mismatch",AH715="Mismatch",AK715="Conflicting Duplicate - Flagged for Review"),"Invalid",IF(OR(L715="Filled - Unknown",S715="Filled - Unknown",X715="Missing - Defaulted to 0",AL715="Yes",AC715="Cancelled",AC715="Returned"),"Warning","Clean"))</f>
        <v>Clean</v>
      </c>
    </row>
    <row r="716" customFormat="false" ht="15" hidden="false" customHeight="false" outlineLevel="0" collapsed="false">
      <c r="A716" s="3" t="str">
        <f aca="false">raw_data!A716</f>
        <v>ORD-2025-10715</v>
      </c>
      <c r="B716" s="4" t="n">
        <f aca="false">IFERROR(IF(MID(raw_data!B716,3,1)="/",DATE(VALUE(RIGHT(raw_data!B716,4)),VALUE(LEFT(raw_data!B716,2)),VALUE(MID(raw_data!B716,4,2))),IF(MID(raw_data!B716,3,1)="-",DATE(VALUE(RIGHT(raw_data!B716,4)),VALUE(MID(raw_data!B716,4,2)),VALUE(LEFT(raw_data!B716,2))),IF(MID(raw_data!B716,5,1)="-",DATE(VALUE(LEFT(raw_data!B716,4)),VALUE(MID(raw_data!B716,6,2)),VALUE(RIGHT(raw_data!B716,2))),DATE(VALUE(RIGHT(raw_data!B716,4)),MATCH(MID(raw_data!B716,4,3),{"Jan","Feb","Mar","Apr","May","Jun","Jul","Aug","Sep","Oct","Nov","Dec"},0),VALUE(LEFT(raw_data!B716,2)))))),"")</f>
        <v>45738</v>
      </c>
      <c r="C716" s="4" t="n">
        <f aca="false">IFERROR(IF(MID(raw_data!C716,3,1)="/",DATE(VALUE(RIGHT(raw_data!C716,4)),VALUE(LEFT(raw_data!C716,2)),VALUE(MID(raw_data!C716,4,2))),IF(MID(raw_data!C716,3,1)="-",DATE(VALUE(RIGHT(raw_data!C716,4)),VALUE(MID(raw_data!C716,4,2)),VALUE(LEFT(raw_data!C716,2))),IF(MID(raw_data!C716,5,1)="-",DATE(VALUE(LEFT(raw_data!C716,4)),VALUE(MID(raw_data!C716,6,2)),VALUE(RIGHT(raw_data!C716,2))),DATE(VALUE(RIGHT(raw_data!C716,4)),MATCH(MID(raw_data!C716,4,3),{"Jan","Feb","Mar","Apr","May","Jun","Jul","Aug","Sep","Oct","Nov","Dec"},0),VALUE(LEFT(raw_data!C716,2)))))),"")</f>
        <v>45739</v>
      </c>
      <c r="D716" s="3" t="str">
        <f aca="false">IF(TRIM(raw_data!B716)="","Missing",IF(B716="","Invalid/Unrecognized","Valid"))</f>
        <v>Valid</v>
      </c>
      <c r="E716" s="3" t="str">
        <f aca="false">IF(TRIM(raw_data!C716)="","Missing",IF(C716="","Invalid/Unrecognized","Valid"))</f>
        <v>Valid</v>
      </c>
      <c r="F716" s="5" t="n">
        <f aca="false">IF(OR(B716="",C716=""),"",C716-B716)</f>
        <v>1</v>
      </c>
      <c r="G716" s="3" t="str">
        <f aca="false">IF(F716="","N/A",IF(F716&lt;0,"Invalid - Ship Before Order","OK"))</f>
        <v>OK</v>
      </c>
      <c r="H716" s="3" t="str">
        <f aca="false">raw_data!D716</f>
        <v>CUST-9902</v>
      </c>
      <c r="I716" s="3" t="str">
        <f aca="false">PROPER(TRIM(raw_data!E716))</f>
        <v>Karan Malhotra</v>
      </c>
      <c r="J716" s="3" t="str">
        <f aca="false">PROPER(TRIM(raw_data!F716))</f>
        <v>Home Office</v>
      </c>
      <c r="K716" s="3" t="str">
        <f aca="false">IF(TRIM(raw_data!G716)="","Unknown",PROPER(TRIM(raw_data!G716)))</f>
        <v>North</v>
      </c>
      <c r="L716" s="3" t="str">
        <f aca="false">IF(TRIM(raw_data!G716)="","Filled - Unknown","OK")</f>
        <v>OK</v>
      </c>
      <c r="M716" s="3" t="str">
        <f aca="false">PROPER(TRIM(raw_data!H716))</f>
        <v>Delhi</v>
      </c>
      <c r="N716" s="3" t="str">
        <f aca="false">PROPER(TRIM(raw_data!I716))</f>
        <v>New Delhi</v>
      </c>
      <c r="O716" s="3" t="str">
        <f aca="false">PROPER(TRIM(raw_data!J716))</f>
        <v>Technology</v>
      </c>
      <c r="P716" s="3" t="str">
        <f aca="false">PROPER(TRIM(raw_data!K716))</f>
        <v>Copiers</v>
      </c>
      <c r="Q716" s="3" t="str">
        <f aca="false">TRIM(raw_data!L716)</f>
        <v>Pro Copiers 206</v>
      </c>
      <c r="R716" s="3" t="str">
        <f aca="false">IF(TRIM(raw_data!M716)="","Unknown",PROPER(TRIM(raw_data!M716)))</f>
        <v>Standard Class</v>
      </c>
      <c r="S716" s="3" t="str">
        <f aca="false">IF(TRIM(raw_data!M716)="","Filled - Unknown","OK")</f>
        <v>OK</v>
      </c>
      <c r="T716" s="6" t="n">
        <f aca="false">raw_data!N716</f>
        <v>9</v>
      </c>
      <c r="U716" s="7" t="n">
        <f aca="false">raw_data!O716</f>
        <v>2075.02</v>
      </c>
      <c r="V716" s="8" t="n">
        <f aca="false">raw_data!P716</f>
        <v>0</v>
      </c>
      <c r="W716" s="8" t="n">
        <f aca="false">IF(raw_data!P716="",0,IF(ISTEXT(raw_data!P716),IF(RIGHT(raw_data!P716,1)="%",VALUE(LEFT(raw_data!P716,LEN(raw_data!P716)-1))/100,VALUE(raw_data!P716)),raw_data!P716))</f>
        <v>0</v>
      </c>
      <c r="X716" s="3" t="str">
        <f aca="false">IF(raw_data!P716="","Missing - Defaulted to 0",IF(W716&lt;0,"Negative - Invalid",IF(W716&gt;0.3,"Above Allowed Range - Invalid","Valid")))</f>
        <v>Valid</v>
      </c>
      <c r="Y716" s="7" t="n">
        <f aca="false">raw_data!Q716</f>
        <v>18675.18</v>
      </c>
      <c r="Z716" s="7" t="n">
        <f aca="false">raw_data!R716</f>
        <v>13974.7</v>
      </c>
      <c r="AA716" s="7" t="n">
        <f aca="false">raw_data!S716</f>
        <v>4700.48</v>
      </c>
      <c r="AB716" s="3" t="str">
        <f aca="false">PROPER(TRIM(raw_data!T716))</f>
        <v>Paid</v>
      </c>
      <c r="AC716" s="3" t="str">
        <f aca="false">PROPER(TRIM(raw_data!U716))</f>
        <v>Completed</v>
      </c>
      <c r="AD716" s="7" t="n">
        <f aca="false">T716*U716*(1-W716)</f>
        <v>18675.18</v>
      </c>
      <c r="AE716" s="7" t="n">
        <f aca="false">AD716-Z716</f>
        <v>4700.48</v>
      </c>
      <c r="AF716" s="8" t="n">
        <f aca="false">IF(AD716=0,0,AE716/AD716)</f>
        <v>0.251696636926659</v>
      </c>
      <c r="AG716" s="3" t="str">
        <f aca="false">IF(ABS(Y716-AD716)&gt;1,"Mismatch","OK")</f>
        <v>OK</v>
      </c>
      <c r="AH716" s="3" t="str">
        <f aca="false">IF(ABS(AA716-AE716)&gt;1,"Mismatch","OK")</f>
        <v>OK</v>
      </c>
      <c r="AI716" s="6" t="n">
        <f aca="false">IF(B716="","",MONTH(B716))</f>
        <v>3</v>
      </c>
      <c r="AJ716" s="6" t="n">
        <f aca="false">IF(B716="","",YEAR(B716))</f>
        <v>2025</v>
      </c>
      <c r="AK716" s="3" t="str">
        <f aca="false">IF(COUNTIF(raw_data!$A$2:$A$913,A716)&gt;1,"Conflicting Duplicate - Flagged for Review","Unique")</f>
        <v>Unique</v>
      </c>
      <c r="AL716" s="3" t="str">
        <f aca="false">IF(AB716="Refunded","Yes","No")</f>
        <v>No</v>
      </c>
      <c r="AM716" s="3" t="str">
        <f aca="false">IF(OR(AC716&lt;&gt;"Completed",AB716="Failed"),"Excluded","Included")</f>
        <v>Included</v>
      </c>
      <c r="AN716" s="3" t="str">
        <f aca="false">IF(OR(D716="Invalid/Unrecognized",E716="Invalid/Unrecognized",G716="Invalid - Ship Before Order",X716="Negative - Invalid",X716="Above Allowed Range - Invalid",AG716="Mismatch",AH716="Mismatch",AK716="Conflicting Duplicate - Flagged for Review"),"Invalid",IF(OR(L716="Filled - Unknown",S716="Filled - Unknown",X716="Missing - Defaulted to 0",AL716="Yes",AC716="Cancelled",AC716="Returned"),"Warning","Clean"))</f>
        <v>Clean</v>
      </c>
    </row>
    <row r="717" customFormat="false" ht="15" hidden="false" customHeight="false" outlineLevel="0" collapsed="false">
      <c r="A717" s="3" t="str">
        <f aca="false">raw_data!A717</f>
        <v>ORD-2025-10716</v>
      </c>
      <c r="B717" s="4" t="n">
        <f aca="false">IFERROR(IF(MID(raw_data!B717,3,1)="/",DATE(VALUE(RIGHT(raw_data!B717,4)),VALUE(LEFT(raw_data!B717,2)),VALUE(MID(raw_data!B717,4,2))),IF(MID(raw_data!B717,3,1)="-",DATE(VALUE(RIGHT(raw_data!B717,4)),VALUE(MID(raw_data!B717,4,2)),VALUE(LEFT(raw_data!B717,2))),IF(MID(raw_data!B717,5,1)="-",DATE(VALUE(LEFT(raw_data!B717,4)),VALUE(MID(raw_data!B717,6,2)),VALUE(RIGHT(raw_data!B717,2))),DATE(VALUE(RIGHT(raw_data!B717,4)),MATCH(MID(raw_data!B717,4,3),{"Jan","Feb","Mar","Apr","May","Jun","Jul","Aug","Sep","Oct","Nov","Dec"},0),VALUE(LEFT(raw_data!B717,2)))))),"")</f>
        <v>45891</v>
      </c>
      <c r="C717" s="4" t="n">
        <f aca="false">IFERROR(IF(MID(raw_data!C717,3,1)="/",DATE(VALUE(RIGHT(raw_data!C717,4)),VALUE(LEFT(raw_data!C717,2)),VALUE(MID(raw_data!C717,4,2))),IF(MID(raw_data!C717,3,1)="-",DATE(VALUE(RIGHT(raw_data!C717,4)),VALUE(MID(raw_data!C717,4,2)),VALUE(LEFT(raw_data!C717,2))),IF(MID(raw_data!C717,5,1)="-",DATE(VALUE(LEFT(raw_data!C717,4)),VALUE(MID(raw_data!C717,6,2)),VALUE(RIGHT(raw_data!C717,2))),DATE(VALUE(RIGHT(raw_data!C717,4)),MATCH(MID(raw_data!C717,4,3),{"Jan","Feb","Mar","Apr","May","Jun","Jul","Aug","Sep","Oct","Nov","Dec"},0),VALUE(LEFT(raw_data!C717,2)))))),"")</f>
        <v>45896</v>
      </c>
      <c r="D717" s="3" t="str">
        <f aca="false">IF(TRIM(raw_data!B717)="","Missing",IF(B717="","Invalid/Unrecognized","Valid"))</f>
        <v>Valid</v>
      </c>
      <c r="E717" s="3" t="str">
        <f aca="false">IF(TRIM(raw_data!C717)="","Missing",IF(C717="","Invalid/Unrecognized","Valid"))</f>
        <v>Valid</v>
      </c>
      <c r="F717" s="5" t="n">
        <f aca="false">IF(OR(B717="",C717=""),"",C717-B717)</f>
        <v>5</v>
      </c>
      <c r="G717" s="3" t="str">
        <f aca="false">IF(F717="","N/A",IF(F717&lt;0,"Invalid - Ship Before Order","OK"))</f>
        <v>OK</v>
      </c>
      <c r="H717" s="3" t="str">
        <f aca="false">raw_data!D717</f>
        <v>CUST-7446</v>
      </c>
      <c r="I717" s="3" t="str">
        <f aca="false">PROPER(TRIM(raw_data!E717))</f>
        <v>Priya Menon</v>
      </c>
      <c r="J717" s="3" t="str">
        <f aca="false">PROPER(TRIM(raw_data!F717))</f>
        <v>Consumer</v>
      </c>
      <c r="K717" s="3" t="str">
        <f aca="false">IF(TRIM(raw_data!G717)="","Unknown",PROPER(TRIM(raw_data!G717)))</f>
        <v>North</v>
      </c>
      <c r="L717" s="3" t="str">
        <f aca="false">IF(TRIM(raw_data!G717)="","Filled - Unknown","OK")</f>
        <v>OK</v>
      </c>
      <c r="M717" s="3" t="str">
        <f aca="false">PROPER(TRIM(raw_data!H717))</f>
        <v>Haryana</v>
      </c>
      <c r="N717" s="3" t="str">
        <f aca="false">PROPER(TRIM(raw_data!I717))</f>
        <v>Gurugram</v>
      </c>
      <c r="O717" s="3" t="str">
        <f aca="false">PROPER(TRIM(raw_data!J717))</f>
        <v>Furniture</v>
      </c>
      <c r="P717" s="3" t="str">
        <f aca="false">PROPER(TRIM(raw_data!K717))</f>
        <v>Chairs</v>
      </c>
      <c r="Q717" s="3" t="str">
        <f aca="false">TRIM(raw_data!L717)</f>
        <v>Max Chairs 372</v>
      </c>
      <c r="R717" s="3" t="str">
        <f aca="false">IF(TRIM(raw_data!M717)="","Unknown",PROPER(TRIM(raw_data!M717)))</f>
        <v>Second Class</v>
      </c>
      <c r="S717" s="3" t="str">
        <f aca="false">IF(TRIM(raw_data!M717)="","Filled - Unknown","OK")</f>
        <v>OK</v>
      </c>
      <c r="T717" s="6" t="n">
        <f aca="false">raw_data!N717</f>
        <v>7</v>
      </c>
      <c r="U717" s="7" t="n">
        <f aca="false">raw_data!O717</f>
        <v>2843.09</v>
      </c>
      <c r="V717" s="8" t="n">
        <f aca="false">raw_data!P717</f>
        <v>0</v>
      </c>
      <c r="W717" s="8" t="n">
        <f aca="false">IF(raw_data!P717="",0,IF(ISTEXT(raw_data!P717),IF(RIGHT(raw_data!P717,1)="%",VALUE(LEFT(raw_data!P717,LEN(raw_data!P717)-1))/100,VALUE(raw_data!P717)),raw_data!P717))</f>
        <v>0</v>
      </c>
      <c r="X717" s="3" t="str">
        <f aca="false">IF(raw_data!P717="","Missing - Defaulted to 0",IF(W717&lt;0,"Negative - Invalid",IF(W717&gt;0.3,"Above Allowed Range - Invalid","Valid")))</f>
        <v>Valid</v>
      </c>
      <c r="Y717" s="7" t="n">
        <f aca="false">raw_data!Q717</f>
        <v>19901.63</v>
      </c>
      <c r="Z717" s="7" t="n">
        <f aca="false">raw_data!R717</f>
        <v>15492.03</v>
      </c>
      <c r="AA717" s="7" t="n">
        <f aca="false">raw_data!S717</f>
        <v>4409.6</v>
      </c>
      <c r="AB717" s="3" t="str">
        <f aca="false">PROPER(TRIM(raw_data!T717))</f>
        <v>Refunded</v>
      </c>
      <c r="AC717" s="3" t="str">
        <f aca="false">PROPER(TRIM(raw_data!U717))</f>
        <v>Cancelled</v>
      </c>
      <c r="AD717" s="7" t="n">
        <f aca="false">T717*U717*(1-W717)</f>
        <v>19901.63</v>
      </c>
      <c r="AE717" s="7" t="n">
        <f aca="false">AD717-Z717</f>
        <v>4409.6</v>
      </c>
      <c r="AF717" s="8" t="n">
        <f aca="false">IF(AD717=0,0,AE717/AD717)</f>
        <v>0.221569791017118</v>
      </c>
      <c r="AG717" s="3" t="str">
        <f aca="false">IF(ABS(Y717-AD717)&gt;1,"Mismatch","OK")</f>
        <v>OK</v>
      </c>
      <c r="AH717" s="3" t="str">
        <f aca="false">IF(ABS(AA717-AE717)&gt;1,"Mismatch","OK")</f>
        <v>OK</v>
      </c>
      <c r="AI717" s="6" t="n">
        <f aca="false">IF(B717="","",MONTH(B717))</f>
        <v>8</v>
      </c>
      <c r="AJ717" s="6" t="n">
        <f aca="false">IF(B717="","",YEAR(B717))</f>
        <v>2025</v>
      </c>
      <c r="AK717" s="3" t="str">
        <f aca="false">IF(COUNTIF(raw_data!$A$2:$A$913,A717)&gt;1,"Conflicting Duplicate - Flagged for Review","Unique")</f>
        <v>Unique</v>
      </c>
      <c r="AL717" s="3" t="str">
        <f aca="false">IF(AB717="Refunded","Yes","No")</f>
        <v>Yes</v>
      </c>
      <c r="AM717" s="3" t="str">
        <f aca="false">IF(OR(AC717&lt;&gt;"Completed",AB717="Failed"),"Excluded","Included")</f>
        <v>Excluded</v>
      </c>
      <c r="AN717" s="3" t="str">
        <f aca="false">IF(OR(D717="Invalid/Unrecognized",E717="Invalid/Unrecognized",G717="Invalid - Ship Before Order",X717="Negative - Invalid",X717="Above Allowed Range - Invalid",AG717="Mismatch",AH717="Mismatch",AK717="Conflicting Duplicate - Flagged for Review"),"Invalid",IF(OR(L717="Filled - Unknown",S717="Filled - Unknown",X717="Missing - Defaulted to 0",AL717="Yes",AC717="Cancelled",AC717="Returned"),"Warning","Clean"))</f>
        <v>Warning</v>
      </c>
    </row>
    <row r="718" customFormat="false" ht="15" hidden="false" customHeight="false" outlineLevel="0" collapsed="false">
      <c r="A718" s="3" t="str">
        <f aca="false">raw_data!A718</f>
        <v>ORD-2025-10717</v>
      </c>
      <c r="B718" s="4" t="n">
        <f aca="false">IFERROR(IF(MID(raw_data!B718,3,1)="/",DATE(VALUE(RIGHT(raw_data!B718,4)),VALUE(LEFT(raw_data!B718,2)),VALUE(MID(raw_data!B718,4,2))),IF(MID(raw_data!B718,3,1)="-",DATE(VALUE(RIGHT(raw_data!B718,4)),VALUE(MID(raw_data!B718,4,2)),VALUE(LEFT(raw_data!B718,2))),IF(MID(raw_data!B718,5,1)="-",DATE(VALUE(LEFT(raw_data!B718,4)),VALUE(MID(raw_data!B718,6,2)),VALUE(RIGHT(raw_data!B718,2))),DATE(VALUE(RIGHT(raw_data!B718,4)),MATCH(MID(raw_data!B718,4,3),{"Jan","Feb","Mar","Apr","May","Jun","Jul","Aug","Sep","Oct","Nov","Dec"},0),VALUE(LEFT(raw_data!B718,2)))))),"")</f>
        <v>45895</v>
      </c>
      <c r="C718" s="4" t="n">
        <f aca="false">IFERROR(IF(MID(raw_data!C718,3,1)="/",DATE(VALUE(RIGHT(raw_data!C718,4)),VALUE(LEFT(raw_data!C718,2)),VALUE(MID(raw_data!C718,4,2))),IF(MID(raw_data!C718,3,1)="-",DATE(VALUE(RIGHT(raw_data!C718,4)),VALUE(MID(raw_data!C718,4,2)),VALUE(LEFT(raw_data!C718,2))),IF(MID(raw_data!C718,5,1)="-",DATE(VALUE(LEFT(raw_data!C718,4)),VALUE(MID(raw_data!C718,6,2)),VALUE(RIGHT(raw_data!C718,2))),DATE(VALUE(RIGHT(raw_data!C718,4)),MATCH(MID(raw_data!C718,4,3),{"Jan","Feb","Mar","Apr","May","Jun","Jul","Aug","Sep","Oct","Nov","Dec"},0),VALUE(LEFT(raw_data!C718,2)))))),"")</f>
        <v>45900</v>
      </c>
      <c r="D718" s="3" t="str">
        <f aca="false">IF(TRIM(raw_data!B718)="","Missing",IF(B718="","Invalid/Unrecognized","Valid"))</f>
        <v>Valid</v>
      </c>
      <c r="E718" s="3" t="str">
        <f aca="false">IF(TRIM(raw_data!C718)="","Missing",IF(C718="","Invalid/Unrecognized","Valid"))</f>
        <v>Valid</v>
      </c>
      <c r="F718" s="5" t="n">
        <f aca="false">IF(OR(B718="",C718=""),"",C718-B718)</f>
        <v>5</v>
      </c>
      <c r="G718" s="3" t="str">
        <f aca="false">IF(F718="","N/A",IF(F718&lt;0,"Invalid - Ship Before Order","OK"))</f>
        <v>OK</v>
      </c>
      <c r="H718" s="3" t="str">
        <f aca="false">raw_data!D718</f>
        <v>CUST-7540</v>
      </c>
      <c r="I718" s="3" t="str">
        <f aca="false">PROPER(TRIM(raw_data!E718))</f>
        <v>Diya Patel</v>
      </c>
      <c r="J718" s="3" t="str">
        <f aca="false">PROPER(TRIM(raw_data!F718))</f>
        <v>Small Business</v>
      </c>
      <c r="K718" s="3" t="str">
        <f aca="false">IF(TRIM(raw_data!G718)="","Unknown",PROPER(TRIM(raw_data!G718)))</f>
        <v>North</v>
      </c>
      <c r="L718" s="3" t="str">
        <f aca="false">IF(TRIM(raw_data!G718)="","Filled - Unknown","OK")</f>
        <v>OK</v>
      </c>
      <c r="M718" s="3" t="str">
        <f aca="false">PROPER(TRIM(raw_data!H718))</f>
        <v>Haryana</v>
      </c>
      <c r="N718" s="3" t="str">
        <f aca="false">PROPER(TRIM(raw_data!I718))</f>
        <v>Gurugram</v>
      </c>
      <c r="O718" s="3" t="str">
        <f aca="false">PROPER(TRIM(raw_data!J718))</f>
        <v>Technology</v>
      </c>
      <c r="P718" s="3" t="str">
        <f aca="false">PROPER(TRIM(raw_data!K718))</f>
        <v>Phones</v>
      </c>
      <c r="Q718" s="3" t="str">
        <f aca="false">TRIM(raw_data!L718)</f>
        <v>Basic Phones 496</v>
      </c>
      <c r="R718" s="3" t="str">
        <f aca="false">IF(TRIM(raw_data!M718)="","Unknown",PROPER(TRIM(raw_data!M718)))</f>
        <v>First Class</v>
      </c>
      <c r="S718" s="3" t="str">
        <f aca="false">IF(TRIM(raw_data!M718)="","Filled - Unknown","OK")</f>
        <v>OK</v>
      </c>
      <c r="T718" s="6" t="n">
        <f aca="false">raw_data!N718</f>
        <v>1</v>
      </c>
      <c r="U718" s="7" t="n">
        <f aca="false">raw_data!O718</f>
        <v>3388.02</v>
      </c>
      <c r="V718" s="8" t="n">
        <f aca="false">raw_data!P718</f>
        <v>0.15</v>
      </c>
      <c r="W718" s="8" t="n">
        <f aca="false">IF(raw_data!P718="",0,IF(ISTEXT(raw_data!P718),IF(RIGHT(raw_data!P718,1)="%",VALUE(LEFT(raw_data!P718,LEN(raw_data!P718)-1))/100,VALUE(raw_data!P718)),raw_data!P718))</f>
        <v>0.15</v>
      </c>
      <c r="X718" s="3" t="str">
        <f aca="false">IF(raw_data!P718="","Missing - Defaulted to 0",IF(W718&lt;0,"Negative - Invalid",IF(W718&gt;0.3,"Above Allowed Range - Invalid","Valid")))</f>
        <v>Valid</v>
      </c>
      <c r="Y718" s="7" t="n">
        <f aca="false">raw_data!Q718</f>
        <v>2879.82</v>
      </c>
      <c r="Z718" s="7" t="n">
        <f aca="false">raw_data!R718</f>
        <v>1824.88</v>
      </c>
      <c r="AA718" s="7" t="n">
        <f aca="false">raw_data!S718</f>
        <v>1054.94</v>
      </c>
      <c r="AB718" s="3" t="str">
        <f aca="false">PROPER(TRIM(raw_data!T718))</f>
        <v>Paid</v>
      </c>
      <c r="AC718" s="3" t="str">
        <f aca="false">PROPER(TRIM(raw_data!U718))</f>
        <v>Completed</v>
      </c>
      <c r="AD718" s="7" t="n">
        <f aca="false">T718*U718*(1-W718)</f>
        <v>2879.817</v>
      </c>
      <c r="AE718" s="7" t="n">
        <f aca="false">AD718-Z718</f>
        <v>1054.937</v>
      </c>
      <c r="AF718" s="8" t="n">
        <f aca="false">IF(AD718=0,0,AE718/AD718)</f>
        <v>0.366320846081539</v>
      </c>
      <c r="AG718" s="3" t="str">
        <f aca="false">IF(ABS(Y718-AD718)&gt;1,"Mismatch","OK")</f>
        <v>OK</v>
      </c>
      <c r="AH718" s="3" t="str">
        <f aca="false">IF(ABS(AA718-AE718)&gt;1,"Mismatch","OK")</f>
        <v>OK</v>
      </c>
      <c r="AI718" s="6" t="n">
        <f aca="false">IF(B718="","",MONTH(B718))</f>
        <v>8</v>
      </c>
      <c r="AJ718" s="6" t="n">
        <f aca="false">IF(B718="","",YEAR(B718))</f>
        <v>2025</v>
      </c>
      <c r="AK718" s="3" t="str">
        <f aca="false">IF(COUNTIF(raw_data!$A$2:$A$913,A718)&gt;1,"Conflicting Duplicate - Flagged for Review","Unique")</f>
        <v>Unique</v>
      </c>
      <c r="AL718" s="3" t="str">
        <f aca="false">IF(AB718="Refunded","Yes","No")</f>
        <v>No</v>
      </c>
      <c r="AM718" s="3" t="str">
        <f aca="false">IF(OR(AC718&lt;&gt;"Completed",AB718="Failed"),"Excluded","Included")</f>
        <v>Included</v>
      </c>
      <c r="AN718" s="3" t="str">
        <f aca="false">IF(OR(D718="Invalid/Unrecognized",E718="Invalid/Unrecognized",G718="Invalid - Ship Before Order",X718="Negative - Invalid",X718="Above Allowed Range - Invalid",AG718="Mismatch",AH718="Mismatch",AK718="Conflicting Duplicate - Flagged for Review"),"Invalid",IF(OR(L718="Filled - Unknown",S718="Filled - Unknown",X718="Missing - Defaulted to 0",AL718="Yes",AC718="Cancelled",AC718="Returned"),"Warning","Clean"))</f>
        <v>Clean</v>
      </c>
    </row>
    <row r="719" customFormat="false" ht="15" hidden="false" customHeight="false" outlineLevel="0" collapsed="false">
      <c r="A719" s="3" t="str">
        <f aca="false">raw_data!A719</f>
        <v>ORD-2025-10718</v>
      </c>
      <c r="B719" s="4" t="n">
        <f aca="false">IFERROR(IF(MID(raw_data!B719,3,1)="/",DATE(VALUE(RIGHT(raw_data!B719,4)),VALUE(LEFT(raw_data!B719,2)),VALUE(MID(raw_data!B719,4,2))),IF(MID(raw_data!B719,3,1)="-",DATE(VALUE(RIGHT(raw_data!B719,4)),VALUE(MID(raw_data!B719,4,2)),VALUE(LEFT(raw_data!B719,2))),IF(MID(raw_data!B719,5,1)="-",DATE(VALUE(LEFT(raw_data!B719,4)),VALUE(MID(raw_data!B719,6,2)),VALUE(RIGHT(raw_data!B719,2))),DATE(VALUE(RIGHT(raw_data!B719,4)),MATCH(MID(raw_data!B719,4,3),{"Jan","Feb","Mar","Apr","May","Jun","Jul","Aug","Sep","Oct","Nov","Dec"},0),VALUE(LEFT(raw_data!B719,2)))))),"")</f>
        <v>45942</v>
      </c>
      <c r="C719" s="4" t="n">
        <f aca="false">IFERROR(IF(MID(raw_data!C719,3,1)="/",DATE(VALUE(RIGHT(raw_data!C719,4)),VALUE(LEFT(raw_data!C719,2)),VALUE(MID(raw_data!C719,4,2))),IF(MID(raw_data!C719,3,1)="-",DATE(VALUE(RIGHT(raw_data!C719,4)),VALUE(MID(raw_data!C719,4,2)),VALUE(LEFT(raw_data!C719,2))),IF(MID(raw_data!C719,5,1)="-",DATE(VALUE(LEFT(raw_data!C719,4)),VALUE(MID(raw_data!C719,6,2)),VALUE(RIGHT(raw_data!C719,2))),DATE(VALUE(RIGHT(raw_data!C719,4)),MATCH(MID(raw_data!C719,4,3),{"Jan","Feb","Mar","Apr","May","Jun","Jul","Aug","Sep","Oct","Nov","Dec"},0),VALUE(LEFT(raw_data!C719,2)))))),"")</f>
        <v>45945</v>
      </c>
      <c r="D719" s="3" t="str">
        <f aca="false">IF(TRIM(raw_data!B719)="","Missing",IF(B719="","Invalid/Unrecognized","Valid"))</f>
        <v>Valid</v>
      </c>
      <c r="E719" s="3" t="str">
        <f aca="false">IF(TRIM(raw_data!C719)="","Missing",IF(C719="","Invalid/Unrecognized","Valid"))</f>
        <v>Valid</v>
      </c>
      <c r="F719" s="5" t="n">
        <f aca="false">IF(OR(B719="",C719=""),"",C719-B719)</f>
        <v>3</v>
      </c>
      <c r="G719" s="3" t="str">
        <f aca="false">IF(F719="","N/A",IF(F719&lt;0,"Invalid - Ship Before Order","OK"))</f>
        <v>OK</v>
      </c>
      <c r="H719" s="3" t="str">
        <f aca="false">raw_data!D719</f>
        <v>CUST-8351</v>
      </c>
      <c r="I719" s="3" t="str">
        <f aca="false">PROPER(TRIM(raw_data!E719))</f>
        <v>Kabir Singh</v>
      </c>
      <c r="J719" s="3" t="str">
        <f aca="false">PROPER(TRIM(raw_data!F719))</f>
        <v>Small Business</v>
      </c>
      <c r="K719" s="3" t="str">
        <f aca="false">IF(TRIM(raw_data!G719)="","Unknown",PROPER(TRIM(raw_data!G719)))</f>
        <v>North</v>
      </c>
      <c r="L719" s="3" t="str">
        <f aca="false">IF(TRIM(raw_data!G719)="","Filled - Unknown","OK")</f>
        <v>OK</v>
      </c>
      <c r="M719" s="3" t="str">
        <f aca="false">PROPER(TRIM(raw_data!H719))</f>
        <v>Haryana</v>
      </c>
      <c r="N719" s="3" t="str">
        <f aca="false">PROPER(TRIM(raw_data!I719))</f>
        <v>Gurugram</v>
      </c>
      <c r="O719" s="3" t="str">
        <f aca="false">PROPER(TRIM(raw_data!J719))</f>
        <v>Technology</v>
      </c>
      <c r="P719" s="3" t="str">
        <f aca="false">PROPER(TRIM(raw_data!K719))</f>
        <v>Machines</v>
      </c>
      <c r="Q719" s="3" t="str">
        <f aca="false">TRIM(raw_data!L719)</f>
        <v>Prime Machines 612</v>
      </c>
      <c r="R719" s="3" t="str">
        <f aca="false">IF(TRIM(raw_data!M719)="","Unknown",PROPER(TRIM(raw_data!M719)))</f>
        <v>Standard Class</v>
      </c>
      <c r="S719" s="3" t="str">
        <f aca="false">IF(TRIM(raw_data!M719)="","Filled - Unknown","OK")</f>
        <v>OK</v>
      </c>
      <c r="T719" s="6" t="n">
        <f aca="false">raw_data!N719</f>
        <v>9</v>
      </c>
      <c r="U719" s="7" t="n">
        <f aca="false">raw_data!O719</f>
        <v>2598.92</v>
      </c>
      <c r="V719" s="8" t="n">
        <f aca="false">raw_data!P719</f>
        <v>0.2</v>
      </c>
      <c r="W719" s="8" t="n">
        <f aca="false">IF(raw_data!P719="",0,IF(ISTEXT(raw_data!P719),IF(RIGHT(raw_data!P719,1)="%",VALUE(LEFT(raw_data!P719,LEN(raw_data!P719)-1))/100,VALUE(raw_data!P719)),raw_data!P719))</f>
        <v>0.2</v>
      </c>
      <c r="X719" s="3" t="str">
        <f aca="false">IF(raw_data!P719="","Missing - Defaulted to 0",IF(W719&lt;0,"Negative - Invalid",IF(W719&gt;0.3,"Above Allowed Range - Invalid","Valid")))</f>
        <v>Valid</v>
      </c>
      <c r="Y719" s="7" t="n">
        <f aca="false">raw_data!Q719</f>
        <v>18712.22</v>
      </c>
      <c r="Z719" s="7" t="n">
        <f aca="false">raw_data!R719</f>
        <v>11852.22</v>
      </c>
      <c r="AA719" s="7" t="n">
        <f aca="false">raw_data!S719</f>
        <v>6860</v>
      </c>
      <c r="AB719" s="3" t="str">
        <f aca="false">PROPER(TRIM(raw_data!T719))</f>
        <v>Pending</v>
      </c>
      <c r="AC719" s="3" t="str">
        <f aca="false">PROPER(TRIM(raw_data!U719))</f>
        <v>Cancelled</v>
      </c>
      <c r="AD719" s="7" t="n">
        <f aca="false">T719*U719*(1-W719)</f>
        <v>18712.224</v>
      </c>
      <c r="AE719" s="7" t="n">
        <f aca="false">AD719-Z719</f>
        <v>6860.004</v>
      </c>
      <c r="AF719" s="8" t="n">
        <f aca="false">IF(AD719=0,0,AE719/AD719)</f>
        <v>0.36660548740759</v>
      </c>
      <c r="AG719" s="3" t="str">
        <f aca="false">IF(ABS(Y719-AD719)&gt;1,"Mismatch","OK")</f>
        <v>OK</v>
      </c>
      <c r="AH719" s="3" t="str">
        <f aca="false">IF(ABS(AA719-AE719)&gt;1,"Mismatch","OK")</f>
        <v>OK</v>
      </c>
      <c r="AI719" s="6" t="n">
        <f aca="false">IF(B719="","",MONTH(B719))</f>
        <v>10</v>
      </c>
      <c r="AJ719" s="6" t="n">
        <f aca="false">IF(B719="","",YEAR(B719))</f>
        <v>2025</v>
      </c>
      <c r="AK719" s="3" t="str">
        <f aca="false">IF(COUNTIF(raw_data!$A$2:$A$913,A719)&gt;1,"Conflicting Duplicate - Flagged for Review","Unique")</f>
        <v>Unique</v>
      </c>
      <c r="AL719" s="3" t="str">
        <f aca="false">IF(AB719="Refunded","Yes","No")</f>
        <v>No</v>
      </c>
      <c r="AM719" s="3" t="str">
        <f aca="false">IF(OR(AC719&lt;&gt;"Completed",AB719="Failed"),"Excluded","Included")</f>
        <v>Excluded</v>
      </c>
      <c r="AN719" s="3" t="str">
        <f aca="false">IF(OR(D719="Invalid/Unrecognized",E719="Invalid/Unrecognized",G719="Invalid - Ship Before Order",X719="Negative - Invalid",X719="Above Allowed Range - Invalid",AG719="Mismatch",AH719="Mismatch",AK719="Conflicting Duplicate - Flagged for Review"),"Invalid",IF(OR(L719="Filled - Unknown",S719="Filled - Unknown",X719="Missing - Defaulted to 0",AL719="Yes",AC719="Cancelled",AC719="Returned"),"Warning","Clean"))</f>
        <v>Warning</v>
      </c>
    </row>
    <row r="720" customFormat="false" ht="15" hidden="false" customHeight="false" outlineLevel="0" collapsed="false">
      <c r="A720" s="3" t="str">
        <f aca="false">raw_data!A720</f>
        <v>ORD-2024-10719</v>
      </c>
      <c r="B720" s="4" t="n">
        <f aca="false">IFERROR(IF(MID(raw_data!B720,3,1)="/",DATE(VALUE(RIGHT(raw_data!B720,4)),VALUE(LEFT(raw_data!B720,2)),VALUE(MID(raw_data!B720,4,2))),IF(MID(raw_data!B720,3,1)="-",DATE(VALUE(RIGHT(raw_data!B720,4)),VALUE(MID(raw_data!B720,4,2)),VALUE(LEFT(raw_data!B720,2))),IF(MID(raw_data!B720,5,1)="-",DATE(VALUE(LEFT(raw_data!B720,4)),VALUE(MID(raw_data!B720,6,2)),VALUE(RIGHT(raw_data!B720,2))),DATE(VALUE(RIGHT(raw_data!B720,4)),MATCH(MID(raw_data!B720,4,3),{"Jan","Feb","Mar","Apr","May","Jun","Jul","Aug","Sep","Oct","Nov","Dec"},0),VALUE(LEFT(raw_data!B720,2)))))),"")</f>
        <v>45541</v>
      </c>
      <c r="C720" s="4" t="n">
        <f aca="false">IFERROR(IF(MID(raw_data!C720,3,1)="/",DATE(VALUE(RIGHT(raw_data!C720,4)),VALUE(LEFT(raw_data!C720,2)),VALUE(MID(raw_data!C720,4,2))),IF(MID(raw_data!C720,3,1)="-",DATE(VALUE(RIGHT(raw_data!C720,4)),VALUE(MID(raw_data!C720,4,2)),VALUE(LEFT(raw_data!C720,2))),IF(MID(raw_data!C720,5,1)="-",DATE(VALUE(LEFT(raw_data!C720,4)),VALUE(MID(raw_data!C720,6,2)),VALUE(RIGHT(raw_data!C720,2))),DATE(VALUE(RIGHT(raw_data!C720,4)),MATCH(MID(raw_data!C720,4,3),{"Jan","Feb","Mar","Apr","May","Jun","Jul","Aug","Sep","Oct","Nov","Dec"},0),VALUE(LEFT(raw_data!C720,2)))))),"")</f>
        <v>45544</v>
      </c>
      <c r="D720" s="3" t="str">
        <f aca="false">IF(TRIM(raw_data!B720)="","Missing",IF(B720="","Invalid/Unrecognized","Valid"))</f>
        <v>Valid</v>
      </c>
      <c r="E720" s="3" t="str">
        <f aca="false">IF(TRIM(raw_data!C720)="","Missing",IF(C720="","Invalid/Unrecognized","Valid"))</f>
        <v>Valid</v>
      </c>
      <c r="F720" s="5" t="n">
        <f aca="false">IF(OR(B720="",C720=""),"",C720-B720)</f>
        <v>3</v>
      </c>
      <c r="G720" s="3" t="str">
        <f aca="false">IF(F720="","N/A",IF(F720&lt;0,"Invalid - Ship Before Order","OK"))</f>
        <v>OK</v>
      </c>
      <c r="H720" s="3" t="str">
        <f aca="false">raw_data!D720</f>
        <v>CUST-3918</v>
      </c>
      <c r="I720" s="3" t="str">
        <f aca="false">PROPER(TRIM(raw_data!E720))</f>
        <v>Mira Das</v>
      </c>
      <c r="J720" s="3" t="str">
        <f aca="false">PROPER(TRIM(raw_data!F720))</f>
        <v>Consumer</v>
      </c>
      <c r="K720" s="3" t="str">
        <f aca="false">IF(TRIM(raw_data!G720)="","Unknown",PROPER(TRIM(raw_data!G720)))</f>
        <v>West</v>
      </c>
      <c r="L720" s="3" t="str">
        <f aca="false">IF(TRIM(raw_data!G720)="","Filled - Unknown","OK")</f>
        <v>OK</v>
      </c>
      <c r="M720" s="3" t="str">
        <f aca="false">PROPER(TRIM(raw_data!H720))</f>
        <v>Maharashtra</v>
      </c>
      <c r="N720" s="3" t="str">
        <f aca="false">PROPER(TRIM(raw_data!I720))</f>
        <v>Mumbai</v>
      </c>
      <c r="O720" s="3" t="str">
        <f aca="false">PROPER(TRIM(raw_data!J720))</f>
        <v>Office Supplies</v>
      </c>
      <c r="P720" s="3" t="str">
        <f aca="false">PROPER(TRIM(raw_data!K720))</f>
        <v>Art</v>
      </c>
      <c r="Q720" s="3" t="str">
        <f aca="false">TRIM(raw_data!L720)</f>
        <v>Smart Art 866</v>
      </c>
      <c r="R720" s="3" t="str">
        <f aca="false">IF(TRIM(raw_data!M720)="","Unknown",PROPER(TRIM(raw_data!M720)))</f>
        <v>Same Day</v>
      </c>
      <c r="S720" s="3" t="str">
        <f aca="false">IF(TRIM(raw_data!M720)="","Filled - Unknown","OK")</f>
        <v>OK</v>
      </c>
      <c r="T720" s="6" t="n">
        <f aca="false">raw_data!N720</f>
        <v>3</v>
      </c>
      <c r="U720" s="7" t="n">
        <f aca="false">raw_data!O720</f>
        <v>1972.27</v>
      </c>
      <c r="V720" s="8" t="n">
        <f aca="false">raw_data!P720</f>
        <v>0.2</v>
      </c>
      <c r="W720" s="8" t="n">
        <f aca="false">IF(raw_data!P720="",0,IF(ISTEXT(raw_data!P720),IF(RIGHT(raw_data!P720,1)="%",VALUE(LEFT(raw_data!P720,LEN(raw_data!P720)-1))/100,VALUE(raw_data!P720)),raw_data!P720))</f>
        <v>0.2</v>
      </c>
      <c r="X720" s="3" t="str">
        <f aca="false">IF(raw_data!P720="","Missing - Defaulted to 0",IF(W720&lt;0,"Negative - Invalid",IF(W720&gt;0.3,"Above Allowed Range - Invalid","Valid")))</f>
        <v>Valid</v>
      </c>
      <c r="Y720" s="7" t="n">
        <f aca="false">raw_data!Q720</f>
        <v>4733.45</v>
      </c>
      <c r="Z720" s="7" t="n">
        <f aca="false">raw_data!R720</f>
        <v>3672.32</v>
      </c>
      <c r="AA720" s="7" t="n">
        <f aca="false">raw_data!S720</f>
        <v>1061.13</v>
      </c>
      <c r="AB720" s="3" t="str">
        <f aca="false">PROPER(TRIM(raw_data!T720))</f>
        <v>Paid</v>
      </c>
      <c r="AC720" s="3" t="str">
        <f aca="false">PROPER(TRIM(raw_data!U720))</f>
        <v>Completed</v>
      </c>
      <c r="AD720" s="7" t="n">
        <f aca="false">T720*U720*(1-W720)</f>
        <v>4733.448</v>
      </c>
      <c r="AE720" s="7" t="n">
        <f aca="false">AD720-Z720</f>
        <v>1061.128</v>
      </c>
      <c r="AF720" s="8" t="n">
        <f aca="false">IF(AD720=0,0,AE720/AD720)</f>
        <v>0.224176541075343</v>
      </c>
      <c r="AG720" s="3" t="str">
        <f aca="false">IF(ABS(Y720-AD720)&gt;1,"Mismatch","OK")</f>
        <v>OK</v>
      </c>
      <c r="AH720" s="3" t="str">
        <f aca="false">IF(ABS(AA720-AE720)&gt;1,"Mismatch","OK")</f>
        <v>OK</v>
      </c>
      <c r="AI720" s="6" t="n">
        <f aca="false">IF(B720="","",MONTH(B720))</f>
        <v>9</v>
      </c>
      <c r="AJ720" s="6" t="n">
        <f aca="false">IF(B720="","",YEAR(B720))</f>
        <v>2024</v>
      </c>
      <c r="AK720" s="3" t="str">
        <f aca="false">IF(COUNTIF(raw_data!$A$2:$A$913,A720)&gt;1,"Conflicting Duplicate - Flagged for Review","Unique")</f>
        <v>Unique</v>
      </c>
      <c r="AL720" s="3" t="str">
        <f aca="false">IF(AB720="Refunded","Yes","No")</f>
        <v>No</v>
      </c>
      <c r="AM720" s="3" t="str">
        <f aca="false">IF(OR(AC720&lt;&gt;"Completed",AB720="Failed"),"Excluded","Included")</f>
        <v>Included</v>
      </c>
      <c r="AN720" s="3" t="str">
        <f aca="false">IF(OR(D720="Invalid/Unrecognized",E720="Invalid/Unrecognized",G720="Invalid - Ship Before Order",X720="Negative - Invalid",X720="Above Allowed Range - Invalid",AG720="Mismatch",AH720="Mismatch",AK720="Conflicting Duplicate - Flagged for Review"),"Invalid",IF(OR(L720="Filled - Unknown",S720="Filled - Unknown",X720="Missing - Defaulted to 0",AL720="Yes",AC720="Cancelled",AC720="Returned"),"Warning","Clean"))</f>
        <v>Clean</v>
      </c>
    </row>
    <row r="721" customFormat="false" ht="15" hidden="false" customHeight="false" outlineLevel="0" collapsed="false">
      <c r="A721" s="3" t="str">
        <f aca="false">raw_data!A721</f>
        <v>ORD-2025-10720</v>
      </c>
      <c r="B721" s="4" t="n">
        <f aca="false">IFERROR(IF(MID(raw_data!B721,3,1)="/",DATE(VALUE(RIGHT(raw_data!B721,4)),VALUE(LEFT(raw_data!B721,2)),VALUE(MID(raw_data!B721,4,2))),IF(MID(raw_data!B721,3,1)="-",DATE(VALUE(RIGHT(raw_data!B721,4)),VALUE(MID(raw_data!B721,4,2)),VALUE(LEFT(raw_data!B721,2))),IF(MID(raw_data!B721,5,1)="-",DATE(VALUE(LEFT(raw_data!B721,4)),VALUE(MID(raw_data!B721,6,2)),VALUE(RIGHT(raw_data!B721,2))),DATE(VALUE(RIGHT(raw_data!B721,4)),MATCH(MID(raw_data!B721,4,3),{"Jan","Feb","Mar","Apr","May","Jun","Jul","Aug","Sep","Oct","Nov","Dec"},0),VALUE(LEFT(raw_data!B721,2)))))),"")</f>
        <v>45908</v>
      </c>
      <c r="C721" s="4" t="n">
        <f aca="false">IFERROR(IF(MID(raw_data!C721,3,1)="/",DATE(VALUE(RIGHT(raw_data!C721,4)),VALUE(LEFT(raw_data!C721,2)),VALUE(MID(raw_data!C721,4,2))),IF(MID(raw_data!C721,3,1)="-",DATE(VALUE(RIGHT(raw_data!C721,4)),VALUE(MID(raw_data!C721,4,2)),VALUE(LEFT(raw_data!C721,2))),IF(MID(raw_data!C721,5,1)="-",DATE(VALUE(LEFT(raw_data!C721,4)),VALUE(MID(raw_data!C721,6,2)),VALUE(RIGHT(raw_data!C721,2))),DATE(VALUE(RIGHT(raw_data!C721,4)),MATCH(MID(raw_data!C721,4,3),{"Jan","Feb","Mar","Apr","May","Jun","Jul","Aug","Sep","Oct","Nov","Dec"},0),VALUE(LEFT(raw_data!C721,2)))))),"")</f>
        <v>45909</v>
      </c>
      <c r="D721" s="3" t="str">
        <f aca="false">IF(TRIM(raw_data!B721)="","Missing",IF(B721="","Invalid/Unrecognized","Valid"))</f>
        <v>Valid</v>
      </c>
      <c r="E721" s="3" t="str">
        <f aca="false">IF(TRIM(raw_data!C721)="","Missing",IF(C721="","Invalid/Unrecognized","Valid"))</f>
        <v>Valid</v>
      </c>
      <c r="F721" s="5" t="n">
        <f aca="false">IF(OR(B721="",C721=""),"",C721-B721)</f>
        <v>1</v>
      </c>
      <c r="G721" s="3" t="str">
        <f aca="false">IF(F721="","N/A",IF(F721&lt;0,"Invalid - Ship Before Order","OK"))</f>
        <v>OK</v>
      </c>
      <c r="H721" s="3" t="str">
        <f aca="false">raw_data!D721</f>
        <v>CUST-3190</v>
      </c>
      <c r="I721" s="3" t="str">
        <f aca="false">PROPER(TRIM(raw_data!E721))</f>
        <v>Kabir Singh</v>
      </c>
      <c r="J721" s="3" t="str">
        <f aca="false">PROPER(TRIM(raw_data!F721))</f>
        <v>Corporate</v>
      </c>
      <c r="K721" s="3" t="str">
        <f aca="false">IF(TRIM(raw_data!G721)="","Unknown",PROPER(TRIM(raw_data!G721)))</f>
        <v>West</v>
      </c>
      <c r="L721" s="3" t="str">
        <f aca="false">IF(TRIM(raw_data!G721)="","Filled - Unknown","OK")</f>
        <v>OK</v>
      </c>
      <c r="M721" s="3" t="str">
        <f aca="false">PROPER(TRIM(raw_data!H721))</f>
        <v>Gujarat</v>
      </c>
      <c r="N721" s="3" t="str">
        <f aca="false">PROPER(TRIM(raw_data!I721))</f>
        <v>Ahmedabad</v>
      </c>
      <c r="O721" s="3" t="str">
        <f aca="false">PROPER(TRIM(raw_data!J721))</f>
        <v>Office Supplies</v>
      </c>
      <c r="P721" s="3" t="str">
        <f aca="false">PROPER(TRIM(raw_data!K721))</f>
        <v>Art</v>
      </c>
      <c r="Q721" s="3" t="str">
        <f aca="false">TRIM(raw_data!L721)</f>
        <v>Pro Art 447</v>
      </c>
      <c r="R721" s="3" t="str">
        <f aca="false">IF(TRIM(raw_data!M721)="","Unknown",PROPER(TRIM(raw_data!M721)))</f>
        <v>Same Day</v>
      </c>
      <c r="S721" s="3" t="str">
        <f aca="false">IF(TRIM(raw_data!M721)="","Filled - Unknown","OK")</f>
        <v>OK</v>
      </c>
      <c r="T721" s="6" t="n">
        <f aca="false">raw_data!N721</f>
        <v>2</v>
      </c>
      <c r="U721" s="7" t="n">
        <f aca="false">raw_data!O721</f>
        <v>2372.41</v>
      </c>
      <c r="V721" s="8" t="n">
        <f aca="false">raw_data!P721</f>
        <v>0.2</v>
      </c>
      <c r="W721" s="8" t="n">
        <f aca="false">IF(raw_data!P721="",0,IF(ISTEXT(raw_data!P721),IF(RIGHT(raw_data!P721,1)="%",VALUE(LEFT(raw_data!P721,LEN(raw_data!P721)-1))/100,VALUE(raw_data!P721)),raw_data!P721))</f>
        <v>0.2</v>
      </c>
      <c r="X721" s="3" t="str">
        <f aca="false">IF(raw_data!P721="","Missing - Defaulted to 0",IF(W721&lt;0,"Negative - Invalid",IF(W721&gt;0.3,"Above Allowed Range - Invalid","Valid")))</f>
        <v>Valid</v>
      </c>
      <c r="Y721" s="7" t="n">
        <f aca="false">raw_data!Q721</f>
        <v>3795.86</v>
      </c>
      <c r="Z721" s="7" t="n">
        <f aca="false">raw_data!R721</f>
        <v>2264.92</v>
      </c>
      <c r="AA721" s="7" t="n">
        <f aca="false">raw_data!S721</f>
        <v>1530.94</v>
      </c>
      <c r="AB721" s="3" t="str">
        <f aca="false">PROPER(TRIM(raw_data!T721))</f>
        <v>Paid</v>
      </c>
      <c r="AC721" s="3" t="str">
        <f aca="false">PROPER(TRIM(raw_data!U721))</f>
        <v>Completed</v>
      </c>
      <c r="AD721" s="7" t="n">
        <f aca="false">T721*U721*(1-W721)</f>
        <v>3795.856</v>
      </c>
      <c r="AE721" s="7" t="n">
        <f aca="false">AD721-Z721</f>
        <v>1530.936</v>
      </c>
      <c r="AF721" s="8" t="n">
        <f aca="false">IF(AD721=0,0,AE721/AD721)</f>
        <v>0.403317723327755</v>
      </c>
      <c r="AG721" s="3" t="str">
        <f aca="false">IF(ABS(Y721-AD721)&gt;1,"Mismatch","OK")</f>
        <v>OK</v>
      </c>
      <c r="AH721" s="3" t="str">
        <f aca="false">IF(ABS(AA721-AE721)&gt;1,"Mismatch","OK")</f>
        <v>OK</v>
      </c>
      <c r="AI721" s="6" t="n">
        <f aca="false">IF(B721="","",MONTH(B721))</f>
        <v>9</v>
      </c>
      <c r="AJ721" s="6" t="n">
        <f aca="false">IF(B721="","",YEAR(B721))</f>
        <v>2025</v>
      </c>
      <c r="AK721" s="3" t="str">
        <f aca="false">IF(COUNTIF(raw_data!$A$2:$A$913,A721)&gt;1,"Conflicting Duplicate - Flagged for Review","Unique")</f>
        <v>Unique</v>
      </c>
      <c r="AL721" s="3" t="str">
        <f aca="false">IF(AB721="Refunded","Yes","No")</f>
        <v>No</v>
      </c>
      <c r="AM721" s="3" t="str">
        <f aca="false">IF(OR(AC721&lt;&gt;"Completed",AB721="Failed"),"Excluded","Included")</f>
        <v>Included</v>
      </c>
      <c r="AN721" s="3" t="str">
        <f aca="false">IF(OR(D721="Invalid/Unrecognized",E721="Invalid/Unrecognized",G721="Invalid - Ship Before Order",X721="Negative - Invalid",X721="Above Allowed Range - Invalid",AG721="Mismatch",AH721="Mismatch",AK721="Conflicting Duplicate - Flagged for Review"),"Invalid",IF(OR(L721="Filled - Unknown",S721="Filled - Unknown",X721="Missing - Defaulted to 0",AL721="Yes",AC721="Cancelled",AC721="Returned"),"Warning","Clean"))</f>
        <v>Clean</v>
      </c>
    </row>
    <row r="722" customFormat="false" ht="15" hidden="false" customHeight="false" outlineLevel="0" collapsed="false">
      <c r="A722" s="3" t="str">
        <f aca="false">raw_data!A722</f>
        <v>ORD-2024-10721</v>
      </c>
      <c r="B722" s="4" t="n">
        <f aca="false">IFERROR(IF(MID(raw_data!B722,3,1)="/",DATE(VALUE(RIGHT(raw_data!B722,4)),VALUE(LEFT(raw_data!B722,2)),VALUE(MID(raw_data!B722,4,2))),IF(MID(raw_data!B722,3,1)="-",DATE(VALUE(RIGHT(raw_data!B722,4)),VALUE(MID(raw_data!B722,4,2)),VALUE(LEFT(raw_data!B722,2))),IF(MID(raw_data!B722,5,1)="-",DATE(VALUE(LEFT(raw_data!B722,4)),VALUE(MID(raw_data!B722,6,2)),VALUE(RIGHT(raw_data!B722,2))),DATE(VALUE(RIGHT(raw_data!B722,4)),MATCH(MID(raw_data!B722,4,3),{"Jan","Feb","Mar","Apr","May","Jun","Jul","Aug","Sep","Oct","Nov","Dec"},0),VALUE(LEFT(raw_data!B722,2)))))),"")</f>
        <v>45489</v>
      </c>
      <c r="C722" s="4" t="n">
        <f aca="false">IFERROR(IF(MID(raw_data!C722,3,1)="/",DATE(VALUE(RIGHT(raw_data!C722,4)),VALUE(LEFT(raw_data!C722,2)),VALUE(MID(raw_data!C722,4,2))),IF(MID(raw_data!C722,3,1)="-",DATE(VALUE(RIGHT(raw_data!C722,4)),VALUE(MID(raw_data!C722,4,2)),VALUE(LEFT(raw_data!C722,2))),IF(MID(raw_data!C722,5,1)="-",DATE(VALUE(LEFT(raw_data!C722,4)),VALUE(MID(raw_data!C722,6,2)),VALUE(RIGHT(raw_data!C722,2))),DATE(VALUE(RIGHT(raw_data!C722,4)),MATCH(MID(raw_data!C722,4,3),{"Jan","Feb","Mar","Apr","May","Jun","Jul","Aug","Sep","Oct","Nov","Dec"},0),VALUE(LEFT(raw_data!C722,2)))))),"")</f>
        <v>45489</v>
      </c>
      <c r="D722" s="3" t="str">
        <f aca="false">IF(TRIM(raw_data!B722)="","Missing",IF(B722="","Invalid/Unrecognized","Valid"))</f>
        <v>Valid</v>
      </c>
      <c r="E722" s="3" t="str">
        <f aca="false">IF(TRIM(raw_data!C722)="","Missing",IF(C722="","Invalid/Unrecognized","Valid"))</f>
        <v>Valid</v>
      </c>
      <c r="F722" s="5" t="n">
        <f aca="false">IF(OR(B722="",C722=""),"",C722-B722)</f>
        <v>0</v>
      </c>
      <c r="G722" s="3" t="str">
        <f aca="false">IF(F722="","N/A",IF(F722&lt;0,"Invalid - Ship Before Order","OK"))</f>
        <v>OK</v>
      </c>
      <c r="H722" s="3" t="str">
        <f aca="false">raw_data!D722</f>
        <v>CUST-1991</v>
      </c>
      <c r="I722" s="3" t="str">
        <f aca="false">PROPER(TRIM(raw_data!E722))</f>
        <v>Aditi Sen</v>
      </c>
      <c r="J722" s="3" t="str">
        <f aca="false">PROPER(TRIM(raw_data!F722))</f>
        <v>Home Office</v>
      </c>
      <c r="K722" s="3" t="str">
        <f aca="false">IF(TRIM(raw_data!G722)="","Unknown",PROPER(TRIM(raw_data!G722)))</f>
        <v>West</v>
      </c>
      <c r="L722" s="3" t="str">
        <f aca="false">IF(TRIM(raw_data!G722)="","Filled - Unknown","OK")</f>
        <v>OK</v>
      </c>
      <c r="M722" s="3" t="str">
        <f aca="false">PROPER(TRIM(raw_data!H722))</f>
        <v>Madhya Pradesh</v>
      </c>
      <c r="N722" s="3" t="str">
        <f aca="false">PROPER(TRIM(raw_data!I722))</f>
        <v>Indore</v>
      </c>
      <c r="O722" s="3" t="str">
        <f aca="false">PROPER(TRIM(raw_data!J722))</f>
        <v>Technology</v>
      </c>
      <c r="P722" s="3" t="str">
        <f aca="false">PROPER(TRIM(raw_data!K722))</f>
        <v>Copiers</v>
      </c>
      <c r="Q722" s="3" t="str">
        <f aca="false">TRIM(raw_data!L722)</f>
        <v>Smart Copiers 196</v>
      </c>
      <c r="R722" s="3" t="str">
        <f aca="false">IF(TRIM(raw_data!M722)="","Unknown",PROPER(TRIM(raw_data!M722)))</f>
        <v>Same Day</v>
      </c>
      <c r="S722" s="3" t="str">
        <f aca="false">IF(TRIM(raw_data!M722)="","Filled - Unknown","OK")</f>
        <v>OK</v>
      </c>
      <c r="T722" s="6" t="n">
        <f aca="false">raw_data!N722</f>
        <v>4</v>
      </c>
      <c r="U722" s="7" t="n">
        <f aca="false">raw_data!O722</f>
        <v>4479.92</v>
      </c>
      <c r="V722" s="8" t="n">
        <f aca="false">raw_data!P722</f>
        <v>0.15</v>
      </c>
      <c r="W722" s="8" t="n">
        <f aca="false">IF(raw_data!P722="",0,IF(ISTEXT(raw_data!P722),IF(RIGHT(raw_data!P722,1)="%",VALUE(LEFT(raw_data!P722,LEN(raw_data!P722)-1))/100,VALUE(raw_data!P722)),raw_data!P722))</f>
        <v>0.15</v>
      </c>
      <c r="X722" s="3" t="str">
        <f aca="false">IF(raw_data!P722="","Missing - Defaulted to 0",IF(W722&lt;0,"Negative - Invalid",IF(W722&gt;0.3,"Above Allowed Range - Invalid","Valid")))</f>
        <v>Valid</v>
      </c>
      <c r="Y722" s="7" t="n">
        <f aca="false">raw_data!Q722</f>
        <v>15231.73</v>
      </c>
      <c r="Z722" s="7" t="n">
        <f aca="false">raw_data!R722</f>
        <v>12451.46</v>
      </c>
      <c r="AA722" s="7" t="n">
        <f aca="false">raw_data!S722</f>
        <v>2780.27</v>
      </c>
      <c r="AB722" s="3" t="str">
        <f aca="false">PROPER(TRIM(raw_data!T722))</f>
        <v>Paid</v>
      </c>
      <c r="AC722" s="3" t="str">
        <f aca="false">PROPER(TRIM(raw_data!U722))</f>
        <v>Completed</v>
      </c>
      <c r="AD722" s="7" t="n">
        <f aca="false">T722*U722*(1-W722)</f>
        <v>15231.728</v>
      </c>
      <c r="AE722" s="7" t="n">
        <f aca="false">AD722-Z722</f>
        <v>2780.268</v>
      </c>
      <c r="AF722" s="8" t="n">
        <f aca="false">IF(AD722=0,0,AE722/AD722)</f>
        <v>0.182531358228036</v>
      </c>
      <c r="AG722" s="3" t="str">
        <f aca="false">IF(ABS(Y722-AD722)&gt;1,"Mismatch","OK")</f>
        <v>OK</v>
      </c>
      <c r="AH722" s="3" t="str">
        <f aca="false">IF(ABS(AA722-AE722)&gt;1,"Mismatch","OK")</f>
        <v>OK</v>
      </c>
      <c r="AI722" s="6" t="n">
        <f aca="false">IF(B722="","",MONTH(B722))</f>
        <v>7</v>
      </c>
      <c r="AJ722" s="6" t="n">
        <f aca="false">IF(B722="","",YEAR(B722))</f>
        <v>2024</v>
      </c>
      <c r="AK722" s="3" t="str">
        <f aca="false">IF(COUNTIF(raw_data!$A$2:$A$913,A722)&gt;1,"Conflicting Duplicate - Flagged for Review","Unique")</f>
        <v>Unique</v>
      </c>
      <c r="AL722" s="3" t="str">
        <f aca="false">IF(AB722="Refunded","Yes","No")</f>
        <v>No</v>
      </c>
      <c r="AM722" s="3" t="str">
        <f aca="false">IF(OR(AC722&lt;&gt;"Completed",AB722="Failed"),"Excluded","Included")</f>
        <v>Included</v>
      </c>
      <c r="AN722" s="3" t="str">
        <f aca="false">IF(OR(D722="Invalid/Unrecognized",E722="Invalid/Unrecognized",G722="Invalid - Ship Before Order",X722="Negative - Invalid",X722="Above Allowed Range - Invalid",AG722="Mismatch",AH722="Mismatch",AK722="Conflicting Duplicate - Flagged for Review"),"Invalid",IF(OR(L722="Filled - Unknown",S722="Filled - Unknown",X722="Missing - Defaulted to 0",AL722="Yes",AC722="Cancelled",AC722="Returned"),"Warning","Clean"))</f>
        <v>Clean</v>
      </c>
    </row>
    <row r="723" customFormat="false" ht="15" hidden="false" customHeight="false" outlineLevel="0" collapsed="false">
      <c r="A723" s="3" t="str">
        <f aca="false">raw_data!A723</f>
        <v>ORD-2025-10722</v>
      </c>
      <c r="B723" s="4" t="n">
        <f aca="false">IFERROR(IF(MID(raw_data!B723,3,1)="/",DATE(VALUE(RIGHT(raw_data!B723,4)),VALUE(LEFT(raw_data!B723,2)),VALUE(MID(raw_data!B723,4,2))),IF(MID(raw_data!B723,3,1)="-",DATE(VALUE(RIGHT(raw_data!B723,4)),VALUE(MID(raw_data!B723,4,2)),VALUE(LEFT(raw_data!B723,2))),IF(MID(raw_data!B723,5,1)="-",DATE(VALUE(LEFT(raw_data!B723,4)),VALUE(MID(raw_data!B723,6,2)),VALUE(RIGHT(raw_data!B723,2))),DATE(VALUE(RIGHT(raw_data!B723,4)),MATCH(MID(raw_data!B723,4,3),{"Jan","Feb","Mar","Apr","May","Jun","Jul","Aug","Sep","Oct","Nov","Dec"},0),VALUE(LEFT(raw_data!B723,2)))))),"")</f>
        <v>45827</v>
      </c>
      <c r="C723" s="4" t="n">
        <f aca="false">IFERROR(IF(MID(raw_data!C723,3,1)="/",DATE(VALUE(RIGHT(raw_data!C723,4)),VALUE(LEFT(raw_data!C723,2)),VALUE(MID(raw_data!C723,4,2))),IF(MID(raw_data!C723,3,1)="-",DATE(VALUE(RIGHT(raw_data!C723,4)),VALUE(MID(raw_data!C723,4,2)),VALUE(LEFT(raw_data!C723,2))),IF(MID(raw_data!C723,5,1)="-",DATE(VALUE(LEFT(raw_data!C723,4)),VALUE(MID(raw_data!C723,6,2)),VALUE(RIGHT(raw_data!C723,2))),DATE(VALUE(RIGHT(raw_data!C723,4)),MATCH(MID(raw_data!C723,4,3),{"Jan","Feb","Mar","Apr","May","Jun","Jul","Aug","Sep","Oct","Nov","Dec"},0),VALUE(LEFT(raw_data!C723,2)))))),"")</f>
        <v>45831</v>
      </c>
      <c r="D723" s="3" t="str">
        <f aca="false">IF(TRIM(raw_data!B723)="","Missing",IF(B723="","Invalid/Unrecognized","Valid"))</f>
        <v>Valid</v>
      </c>
      <c r="E723" s="3" t="str">
        <f aca="false">IF(TRIM(raw_data!C723)="","Missing",IF(C723="","Invalid/Unrecognized","Valid"))</f>
        <v>Valid</v>
      </c>
      <c r="F723" s="5" t="n">
        <f aca="false">IF(OR(B723="",C723=""),"",C723-B723)</f>
        <v>4</v>
      </c>
      <c r="G723" s="3" t="str">
        <f aca="false">IF(F723="","N/A",IF(F723&lt;0,"Invalid - Ship Before Order","OK"))</f>
        <v>OK</v>
      </c>
      <c r="H723" s="3" t="str">
        <f aca="false">raw_data!D723</f>
        <v>CUST-7606</v>
      </c>
      <c r="I723" s="3" t="str">
        <f aca="false">PROPER(TRIM(raw_data!E723))</f>
        <v>Sneha Kapoor</v>
      </c>
      <c r="J723" s="3" t="str">
        <f aca="false">PROPER(TRIM(raw_data!F723))</f>
        <v>Consumer</v>
      </c>
      <c r="K723" s="3" t="str">
        <f aca="false">IF(TRIM(raw_data!G723)="","Unknown",PROPER(TRIM(raw_data!G723)))</f>
        <v>South</v>
      </c>
      <c r="L723" s="3" t="str">
        <f aca="false">IF(TRIM(raw_data!G723)="","Filled - Unknown","OK")</f>
        <v>OK</v>
      </c>
      <c r="M723" s="3" t="str">
        <f aca="false">PROPER(TRIM(raw_data!H723))</f>
        <v>Karnataka</v>
      </c>
      <c r="N723" s="3" t="str">
        <f aca="false">PROPER(TRIM(raw_data!I723))</f>
        <v>Bengaluru</v>
      </c>
      <c r="O723" s="3" t="str">
        <f aca="false">PROPER(TRIM(raw_data!J723))</f>
        <v>Technology</v>
      </c>
      <c r="P723" s="3" t="str">
        <f aca="false">PROPER(TRIM(raw_data!K723))</f>
        <v>Copiers</v>
      </c>
      <c r="Q723" s="3" t="str">
        <f aca="false">TRIM(raw_data!L723)</f>
        <v>Pro Copiers 532</v>
      </c>
      <c r="R723" s="3" t="str">
        <f aca="false">IF(TRIM(raw_data!M723)="","Unknown",PROPER(TRIM(raw_data!M723)))</f>
        <v>First Class</v>
      </c>
      <c r="S723" s="3" t="str">
        <f aca="false">IF(TRIM(raw_data!M723)="","Filled - Unknown","OK")</f>
        <v>OK</v>
      </c>
      <c r="T723" s="6" t="n">
        <f aca="false">raw_data!N723</f>
        <v>5</v>
      </c>
      <c r="U723" s="7" t="n">
        <f aca="false">raw_data!O723</f>
        <v>2729.95</v>
      </c>
      <c r="V723" s="8" t="n">
        <f aca="false">raw_data!P723</f>
        <v>0</v>
      </c>
      <c r="W723" s="8" t="n">
        <f aca="false">IF(raw_data!P723="",0,IF(ISTEXT(raw_data!P723),IF(RIGHT(raw_data!P723,1)="%",VALUE(LEFT(raw_data!P723,LEN(raw_data!P723)-1))/100,VALUE(raw_data!P723)),raw_data!P723))</f>
        <v>0</v>
      </c>
      <c r="X723" s="3" t="str">
        <f aca="false">IF(raw_data!P723="","Missing - Defaulted to 0",IF(W723&lt;0,"Negative - Invalid",IF(W723&gt;0.3,"Above Allowed Range - Invalid","Valid")))</f>
        <v>Valid</v>
      </c>
      <c r="Y723" s="7" t="n">
        <f aca="false">raw_data!Q723</f>
        <v>13649.75</v>
      </c>
      <c r="Z723" s="7" t="n">
        <f aca="false">raw_data!R723</f>
        <v>10288.03</v>
      </c>
      <c r="AA723" s="7" t="n">
        <f aca="false">raw_data!S723</f>
        <v>3361.72</v>
      </c>
      <c r="AB723" s="3" t="str">
        <f aca="false">PROPER(TRIM(raw_data!T723))</f>
        <v>Paid</v>
      </c>
      <c r="AC723" s="3" t="str">
        <f aca="false">PROPER(TRIM(raw_data!U723))</f>
        <v>Completed</v>
      </c>
      <c r="AD723" s="7" t="n">
        <f aca="false">T723*U723*(1-W723)</f>
        <v>13649.75</v>
      </c>
      <c r="AE723" s="7" t="n">
        <f aca="false">AD723-Z723</f>
        <v>3361.72</v>
      </c>
      <c r="AF723" s="8" t="n">
        <f aca="false">IF(AD723=0,0,AE723/AD723)</f>
        <v>0.246284364182494</v>
      </c>
      <c r="AG723" s="3" t="str">
        <f aca="false">IF(ABS(Y723-AD723)&gt;1,"Mismatch","OK")</f>
        <v>OK</v>
      </c>
      <c r="AH723" s="3" t="str">
        <f aca="false">IF(ABS(AA723-AE723)&gt;1,"Mismatch","OK")</f>
        <v>OK</v>
      </c>
      <c r="AI723" s="6" t="n">
        <f aca="false">IF(B723="","",MONTH(B723))</f>
        <v>6</v>
      </c>
      <c r="AJ723" s="6" t="n">
        <f aca="false">IF(B723="","",YEAR(B723))</f>
        <v>2025</v>
      </c>
      <c r="AK723" s="3" t="str">
        <f aca="false">IF(COUNTIF(raw_data!$A$2:$A$913,A723)&gt;1,"Conflicting Duplicate - Flagged for Review","Unique")</f>
        <v>Unique</v>
      </c>
      <c r="AL723" s="3" t="str">
        <f aca="false">IF(AB723="Refunded","Yes","No")</f>
        <v>No</v>
      </c>
      <c r="AM723" s="3" t="str">
        <f aca="false">IF(OR(AC723&lt;&gt;"Completed",AB723="Failed"),"Excluded","Included")</f>
        <v>Included</v>
      </c>
      <c r="AN723" s="3" t="str">
        <f aca="false">IF(OR(D723="Invalid/Unrecognized",E723="Invalid/Unrecognized",G723="Invalid - Ship Before Order",X723="Negative - Invalid",X723="Above Allowed Range - Invalid",AG723="Mismatch",AH723="Mismatch",AK723="Conflicting Duplicate - Flagged for Review"),"Invalid",IF(OR(L723="Filled - Unknown",S723="Filled - Unknown",X723="Missing - Defaulted to 0",AL723="Yes",AC723="Cancelled",AC723="Returned"),"Warning","Clean"))</f>
        <v>Clean</v>
      </c>
    </row>
    <row r="724" customFormat="false" ht="15" hidden="false" customHeight="false" outlineLevel="0" collapsed="false">
      <c r="A724" s="3" t="str">
        <f aca="false">raw_data!A724</f>
        <v>ORD-2024-10723</v>
      </c>
      <c r="B724" s="4" t="n">
        <f aca="false">IFERROR(IF(MID(raw_data!B724,3,1)="/",DATE(VALUE(RIGHT(raw_data!B724,4)),VALUE(LEFT(raw_data!B724,2)),VALUE(MID(raw_data!B724,4,2))),IF(MID(raw_data!B724,3,1)="-",DATE(VALUE(RIGHT(raw_data!B724,4)),VALUE(MID(raw_data!B724,4,2)),VALUE(LEFT(raw_data!B724,2))),IF(MID(raw_data!B724,5,1)="-",DATE(VALUE(LEFT(raw_data!B724,4)),VALUE(MID(raw_data!B724,6,2)),VALUE(RIGHT(raw_data!B724,2))),DATE(VALUE(RIGHT(raw_data!B724,4)),MATCH(MID(raw_data!B724,4,3),{"Jan","Feb","Mar","Apr","May","Jun","Jul","Aug","Sep","Oct","Nov","Dec"},0),VALUE(LEFT(raw_data!B724,2)))))),"")</f>
        <v>45572</v>
      </c>
      <c r="C724" s="4" t="n">
        <f aca="false">IFERROR(IF(MID(raw_data!C724,3,1)="/",DATE(VALUE(RIGHT(raw_data!C724,4)),VALUE(LEFT(raw_data!C724,2)),VALUE(MID(raw_data!C724,4,2))),IF(MID(raw_data!C724,3,1)="-",DATE(VALUE(RIGHT(raw_data!C724,4)),VALUE(MID(raw_data!C724,4,2)),VALUE(LEFT(raw_data!C724,2))),IF(MID(raw_data!C724,5,1)="-",DATE(VALUE(LEFT(raw_data!C724,4)),VALUE(MID(raw_data!C724,6,2)),VALUE(RIGHT(raw_data!C724,2))),DATE(VALUE(RIGHT(raw_data!C724,4)),MATCH(MID(raw_data!C724,4,3),{"Jan","Feb","Mar","Apr","May","Jun","Jul","Aug","Sep","Oct","Nov","Dec"},0),VALUE(LEFT(raw_data!C724,2)))))),"")</f>
        <v>45575</v>
      </c>
      <c r="D724" s="3" t="str">
        <f aca="false">IF(TRIM(raw_data!B724)="","Missing",IF(B724="","Invalid/Unrecognized","Valid"))</f>
        <v>Valid</v>
      </c>
      <c r="E724" s="3" t="str">
        <f aca="false">IF(TRIM(raw_data!C724)="","Missing",IF(C724="","Invalid/Unrecognized","Valid"))</f>
        <v>Valid</v>
      </c>
      <c r="F724" s="5" t="n">
        <f aca="false">IF(OR(B724="",C724=""),"",C724-B724)</f>
        <v>3</v>
      </c>
      <c r="G724" s="3" t="str">
        <f aca="false">IF(F724="","N/A",IF(F724&lt;0,"Invalid - Ship Before Order","OK"))</f>
        <v>OK</v>
      </c>
      <c r="H724" s="3" t="str">
        <f aca="false">raw_data!D724</f>
        <v>CUST-8844</v>
      </c>
      <c r="I724" s="3" t="str">
        <f aca="false">PROPER(TRIM(raw_data!E724))</f>
        <v>Vikram Iyer</v>
      </c>
      <c r="J724" s="3" t="str">
        <f aca="false">PROPER(TRIM(raw_data!F724))</f>
        <v>Consumer</v>
      </c>
      <c r="K724" s="3" t="str">
        <f aca="false">IF(TRIM(raw_data!G724)="","Unknown",PROPER(TRIM(raw_data!G724)))</f>
        <v>East</v>
      </c>
      <c r="L724" s="3" t="str">
        <f aca="false">IF(TRIM(raw_data!G724)="","Filled - Unknown","OK")</f>
        <v>OK</v>
      </c>
      <c r="M724" s="3" t="str">
        <f aca="false">PROPER(TRIM(raw_data!H724))</f>
        <v>West Bengal</v>
      </c>
      <c r="N724" s="3" t="str">
        <f aca="false">PROPER(TRIM(raw_data!I724))</f>
        <v>Kolkata</v>
      </c>
      <c r="O724" s="3" t="str">
        <f aca="false">PROPER(TRIM(raw_data!J724))</f>
        <v>Furniture</v>
      </c>
      <c r="P724" s="3" t="str">
        <f aca="false">PROPER(TRIM(raw_data!K724))</f>
        <v>Chairs</v>
      </c>
      <c r="Q724" s="3" t="str">
        <f aca="false">TRIM(raw_data!L724)</f>
        <v>Eco Chairs 442</v>
      </c>
      <c r="R724" s="3" t="str">
        <f aca="false">IF(TRIM(raw_data!M724)="","Unknown",PROPER(TRIM(raw_data!M724)))</f>
        <v>Second Class</v>
      </c>
      <c r="S724" s="3" t="str">
        <f aca="false">IF(TRIM(raw_data!M724)="","Filled - Unknown","OK")</f>
        <v>OK</v>
      </c>
      <c r="T724" s="6" t="n">
        <f aca="false">raw_data!N724</f>
        <v>9</v>
      </c>
      <c r="U724" s="7" t="n">
        <f aca="false">raw_data!O724</f>
        <v>481.51</v>
      </c>
      <c r="V724" s="8" t="n">
        <f aca="false">raw_data!P724</f>
        <v>0</v>
      </c>
      <c r="W724" s="8" t="n">
        <f aca="false">IF(raw_data!P724="",0,IF(ISTEXT(raw_data!P724),IF(RIGHT(raw_data!P724,1)="%",VALUE(LEFT(raw_data!P724,LEN(raw_data!P724)-1))/100,VALUE(raw_data!P724)),raw_data!P724))</f>
        <v>0</v>
      </c>
      <c r="X724" s="3" t="str">
        <f aca="false">IF(raw_data!P724="","Missing - Defaulted to 0",IF(W724&lt;0,"Negative - Invalid",IF(W724&gt;0.3,"Above Allowed Range - Invalid","Valid")))</f>
        <v>Missing - Defaulted to 0</v>
      </c>
      <c r="Y724" s="7" t="n">
        <f aca="false">raw_data!Q724</f>
        <v>4333.59</v>
      </c>
      <c r="Z724" s="7" t="n">
        <f aca="false">raw_data!R724</f>
        <v>2533.59</v>
      </c>
      <c r="AA724" s="7" t="n">
        <f aca="false">raw_data!S724</f>
        <v>1800</v>
      </c>
      <c r="AB724" s="3" t="str">
        <f aca="false">PROPER(TRIM(raw_data!T724))</f>
        <v>Refunded</v>
      </c>
      <c r="AC724" s="3" t="str">
        <f aca="false">PROPER(TRIM(raw_data!U724))</f>
        <v>Cancelled</v>
      </c>
      <c r="AD724" s="7" t="n">
        <f aca="false">T724*U724*(1-W724)</f>
        <v>4333.59</v>
      </c>
      <c r="AE724" s="7" t="n">
        <f aca="false">AD724-Z724</f>
        <v>1800</v>
      </c>
      <c r="AF724" s="8" t="n">
        <f aca="false">IF(AD724=0,0,AE724/AD724)</f>
        <v>0.41536001329152</v>
      </c>
      <c r="AG724" s="3" t="str">
        <f aca="false">IF(ABS(Y724-AD724)&gt;1,"Mismatch","OK")</f>
        <v>OK</v>
      </c>
      <c r="AH724" s="3" t="str">
        <f aca="false">IF(ABS(AA724-AE724)&gt;1,"Mismatch","OK")</f>
        <v>OK</v>
      </c>
      <c r="AI724" s="6" t="n">
        <f aca="false">IF(B724="","",MONTH(B724))</f>
        <v>10</v>
      </c>
      <c r="AJ724" s="6" t="n">
        <f aca="false">IF(B724="","",YEAR(B724))</f>
        <v>2024</v>
      </c>
      <c r="AK724" s="3" t="str">
        <f aca="false">IF(COUNTIF(raw_data!$A$2:$A$913,A724)&gt;1,"Conflicting Duplicate - Flagged for Review","Unique")</f>
        <v>Unique</v>
      </c>
      <c r="AL724" s="3" t="str">
        <f aca="false">IF(AB724="Refunded","Yes","No")</f>
        <v>Yes</v>
      </c>
      <c r="AM724" s="3" t="str">
        <f aca="false">IF(OR(AC724&lt;&gt;"Completed",AB724="Failed"),"Excluded","Included")</f>
        <v>Excluded</v>
      </c>
      <c r="AN724" s="3" t="str">
        <f aca="false">IF(OR(D724="Invalid/Unrecognized",E724="Invalid/Unrecognized",G724="Invalid - Ship Before Order",X724="Negative - Invalid",X724="Above Allowed Range - Invalid",AG724="Mismatch",AH724="Mismatch",AK724="Conflicting Duplicate - Flagged for Review"),"Invalid",IF(OR(L724="Filled - Unknown",S724="Filled - Unknown",X724="Missing - Defaulted to 0",AL724="Yes",AC724="Cancelled",AC724="Returned"),"Warning","Clean"))</f>
        <v>Warning</v>
      </c>
    </row>
    <row r="725" customFormat="false" ht="15" hidden="false" customHeight="false" outlineLevel="0" collapsed="false">
      <c r="A725" s="3" t="str">
        <f aca="false">raw_data!A725</f>
        <v>ORD-2025-10724</v>
      </c>
      <c r="B725" s="4" t="n">
        <f aca="false">IFERROR(IF(MID(raw_data!B725,3,1)="/",DATE(VALUE(RIGHT(raw_data!B725,4)),VALUE(LEFT(raw_data!B725,2)),VALUE(MID(raw_data!B725,4,2))),IF(MID(raw_data!B725,3,1)="-",DATE(VALUE(RIGHT(raw_data!B725,4)),VALUE(MID(raw_data!B725,4,2)),VALUE(LEFT(raw_data!B725,2))),IF(MID(raw_data!B725,5,1)="-",DATE(VALUE(LEFT(raw_data!B725,4)),VALUE(MID(raw_data!B725,6,2)),VALUE(RIGHT(raw_data!B725,2))),DATE(VALUE(RIGHT(raw_data!B725,4)),MATCH(MID(raw_data!B725,4,3),{"Jan","Feb","Mar","Apr","May","Jun","Jul","Aug","Sep","Oct","Nov","Dec"},0),VALUE(LEFT(raw_data!B725,2)))))),"")</f>
        <v>45936</v>
      </c>
      <c r="C725" s="4" t="n">
        <f aca="false">IFERROR(IF(MID(raw_data!C725,3,1)="/",DATE(VALUE(RIGHT(raw_data!C725,4)),VALUE(LEFT(raw_data!C725,2)),VALUE(MID(raw_data!C725,4,2))),IF(MID(raw_data!C725,3,1)="-",DATE(VALUE(RIGHT(raw_data!C725,4)),VALUE(MID(raw_data!C725,4,2)),VALUE(LEFT(raw_data!C725,2))),IF(MID(raw_data!C725,5,1)="-",DATE(VALUE(LEFT(raw_data!C725,4)),VALUE(MID(raw_data!C725,6,2)),VALUE(RIGHT(raw_data!C725,2))),DATE(VALUE(RIGHT(raw_data!C725,4)),MATCH(MID(raw_data!C725,4,3),{"Jan","Feb","Mar","Apr","May","Jun","Jul","Aug","Sep","Oct","Nov","Dec"},0),VALUE(LEFT(raw_data!C725,2)))))),"")</f>
        <v>45943</v>
      </c>
      <c r="D725" s="3" t="str">
        <f aca="false">IF(TRIM(raw_data!B725)="","Missing",IF(B725="","Invalid/Unrecognized","Valid"))</f>
        <v>Valid</v>
      </c>
      <c r="E725" s="3" t="str">
        <f aca="false">IF(TRIM(raw_data!C725)="","Missing",IF(C725="","Invalid/Unrecognized","Valid"))</f>
        <v>Valid</v>
      </c>
      <c r="F725" s="5" t="n">
        <f aca="false">IF(OR(B725="",C725=""),"",C725-B725)</f>
        <v>7</v>
      </c>
      <c r="G725" s="3" t="str">
        <f aca="false">IF(F725="","N/A",IF(F725&lt;0,"Invalid - Ship Before Order","OK"))</f>
        <v>OK</v>
      </c>
      <c r="H725" s="3" t="str">
        <f aca="false">raw_data!D725</f>
        <v>CUST-4335</v>
      </c>
      <c r="I725" s="3" t="str">
        <f aca="false">PROPER(TRIM(raw_data!E725))</f>
        <v>Kabir Singh</v>
      </c>
      <c r="J725" s="3" t="str">
        <f aca="false">PROPER(TRIM(raw_data!F725))</f>
        <v>Home Office</v>
      </c>
      <c r="K725" s="3" t="str">
        <f aca="false">IF(TRIM(raw_data!G725)="","Unknown",PROPER(TRIM(raw_data!G725)))</f>
        <v>East</v>
      </c>
      <c r="L725" s="3" t="str">
        <f aca="false">IF(TRIM(raw_data!G725)="","Filled - Unknown","OK")</f>
        <v>OK</v>
      </c>
      <c r="M725" s="3" t="str">
        <f aca="false">PROPER(TRIM(raw_data!H725))</f>
        <v>Jharkhand</v>
      </c>
      <c r="N725" s="3" t="str">
        <f aca="false">PROPER(TRIM(raw_data!I725))</f>
        <v>Ranchi</v>
      </c>
      <c r="O725" s="3" t="str">
        <f aca="false">PROPER(TRIM(raw_data!J725))</f>
        <v>Technology</v>
      </c>
      <c r="P725" s="3" t="str">
        <f aca="false">PROPER(TRIM(raw_data!K725))</f>
        <v>Accessories</v>
      </c>
      <c r="Q725" s="3" t="str">
        <f aca="false">TRIM(raw_data!L725)</f>
        <v>Eco Accessories 364</v>
      </c>
      <c r="R725" s="3" t="str">
        <f aca="false">IF(TRIM(raw_data!M725)="","Unknown",PROPER(TRIM(raw_data!M725)))</f>
        <v>Standard Class</v>
      </c>
      <c r="S725" s="3" t="str">
        <f aca="false">IF(TRIM(raw_data!M725)="","Filled - Unknown","OK")</f>
        <v>OK</v>
      </c>
      <c r="T725" s="6" t="n">
        <f aca="false">raw_data!N725</f>
        <v>6</v>
      </c>
      <c r="U725" s="7" t="n">
        <f aca="false">raw_data!O725</f>
        <v>2391.93</v>
      </c>
      <c r="V725" s="8" t="n">
        <f aca="false">raw_data!P725</f>
        <v>0.05</v>
      </c>
      <c r="W725" s="8" t="n">
        <f aca="false">IF(raw_data!P725="",0,IF(ISTEXT(raw_data!P725),IF(RIGHT(raw_data!P725,1)="%",VALUE(LEFT(raw_data!P725,LEN(raw_data!P725)-1))/100,VALUE(raw_data!P725)),raw_data!P725))</f>
        <v>0.05</v>
      </c>
      <c r="X725" s="3" t="str">
        <f aca="false">IF(raw_data!P725="","Missing - Defaulted to 0",IF(W725&lt;0,"Negative - Invalid",IF(W725&gt;0.3,"Above Allowed Range - Invalid","Valid")))</f>
        <v>Valid</v>
      </c>
      <c r="Y725" s="7" t="n">
        <f aca="false">raw_data!Q725</f>
        <v>13634</v>
      </c>
      <c r="Z725" s="7" t="n">
        <f aca="false">raw_data!R725</f>
        <v>9589.81</v>
      </c>
      <c r="AA725" s="7" t="n">
        <f aca="false">raw_data!S725</f>
        <v>4044.19</v>
      </c>
      <c r="AB725" s="3" t="str">
        <f aca="false">PROPER(TRIM(raw_data!T725))</f>
        <v>Failed</v>
      </c>
      <c r="AC725" s="3" t="str">
        <f aca="false">PROPER(TRIM(raw_data!U725))</f>
        <v>Returned</v>
      </c>
      <c r="AD725" s="7" t="n">
        <f aca="false">T725*U725*(1-W725)</f>
        <v>13634.001</v>
      </c>
      <c r="AE725" s="7" t="n">
        <f aca="false">AD725-Z725</f>
        <v>4044.191</v>
      </c>
      <c r="AF725" s="8" t="n">
        <f aca="false">IF(AD725=0,0,AE725/AD725)</f>
        <v>0.296625399983468</v>
      </c>
      <c r="AG725" s="3" t="str">
        <f aca="false">IF(ABS(Y725-AD725)&gt;1,"Mismatch","OK")</f>
        <v>OK</v>
      </c>
      <c r="AH725" s="3" t="str">
        <f aca="false">IF(ABS(AA725-AE725)&gt;1,"Mismatch","OK")</f>
        <v>OK</v>
      </c>
      <c r="AI725" s="6" t="n">
        <f aca="false">IF(B725="","",MONTH(B725))</f>
        <v>10</v>
      </c>
      <c r="AJ725" s="6" t="n">
        <f aca="false">IF(B725="","",YEAR(B725))</f>
        <v>2025</v>
      </c>
      <c r="AK725" s="3" t="str">
        <f aca="false">IF(COUNTIF(raw_data!$A$2:$A$913,A725)&gt;1,"Conflicting Duplicate - Flagged for Review","Unique")</f>
        <v>Unique</v>
      </c>
      <c r="AL725" s="3" t="str">
        <f aca="false">IF(AB725="Refunded","Yes","No")</f>
        <v>No</v>
      </c>
      <c r="AM725" s="3" t="str">
        <f aca="false">IF(OR(AC725&lt;&gt;"Completed",AB725="Failed"),"Excluded","Included")</f>
        <v>Excluded</v>
      </c>
      <c r="AN725" s="3" t="str">
        <f aca="false">IF(OR(D725="Invalid/Unrecognized",E725="Invalid/Unrecognized",G725="Invalid - Ship Before Order",X725="Negative - Invalid",X725="Above Allowed Range - Invalid",AG725="Mismatch",AH725="Mismatch",AK725="Conflicting Duplicate - Flagged for Review"),"Invalid",IF(OR(L725="Filled - Unknown",S725="Filled - Unknown",X725="Missing - Defaulted to 0",AL725="Yes",AC725="Cancelled",AC725="Returned"),"Warning","Clean"))</f>
        <v>Warning</v>
      </c>
    </row>
    <row r="726" customFormat="false" ht="15" hidden="false" customHeight="false" outlineLevel="0" collapsed="false">
      <c r="A726" s="3" t="str">
        <f aca="false">raw_data!A726</f>
        <v>ORD-2024-10725</v>
      </c>
      <c r="B726" s="4" t="n">
        <f aca="false">IFERROR(IF(MID(raw_data!B726,3,1)="/",DATE(VALUE(RIGHT(raw_data!B726,4)),VALUE(LEFT(raw_data!B726,2)),VALUE(MID(raw_data!B726,4,2))),IF(MID(raw_data!B726,3,1)="-",DATE(VALUE(RIGHT(raw_data!B726,4)),VALUE(MID(raw_data!B726,4,2)),VALUE(LEFT(raw_data!B726,2))),IF(MID(raw_data!B726,5,1)="-",DATE(VALUE(LEFT(raw_data!B726,4)),VALUE(MID(raw_data!B726,6,2)),VALUE(RIGHT(raw_data!B726,2))),DATE(VALUE(RIGHT(raw_data!B726,4)),MATCH(MID(raw_data!B726,4,3),{"Jan","Feb","Mar","Apr","May","Jun","Jul","Aug","Sep","Oct","Nov","Dec"},0),VALUE(LEFT(raw_data!B726,2)))))),"")</f>
        <v>45332</v>
      </c>
      <c r="C726" s="4" t="n">
        <f aca="false">IFERROR(IF(MID(raw_data!C726,3,1)="/",DATE(VALUE(RIGHT(raw_data!C726,4)),VALUE(LEFT(raw_data!C726,2)),VALUE(MID(raw_data!C726,4,2))),IF(MID(raw_data!C726,3,1)="-",DATE(VALUE(RIGHT(raw_data!C726,4)),VALUE(MID(raw_data!C726,4,2)),VALUE(LEFT(raw_data!C726,2))),IF(MID(raw_data!C726,5,1)="-",DATE(VALUE(LEFT(raw_data!C726,4)),VALUE(MID(raw_data!C726,6,2)),VALUE(RIGHT(raw_data!C726,2))),DATE(VALUE(RIGHT(raw_data!C726,4)),MATCH(MID(raw_data!C726,4,3),{"Jan","Feb","Mar","Apr","May","Jun","Jul","Aug","Sep","Oct","Nov","Dec"},0),VALUE(LEFT(raw_data!C726,2)))))),"")</f>
        <v>45338</v>
      </c>
      <c r="D726" s="3" t="str">
        <f aca="false">IF(TRIM(raw_data!B726)="","Missing",IF(B726="","Invalid/Unrecognized","Valid"))</f>
        <v>Valid</v>
      </c>
      <c r="E726" s="3" t="str">
        <f aca="false">IF(TRIM(raw_data!C726)="","Missing",IF(C726="","Invalid/Unrecognized","Valid"))</f>
        <v>Valid</v>
      </c>
      <c r="F726" s="5" t="n">
        <f aca="false">IF(OR(B726="",C726=""),"",C726-B726)</f>
        <v>6</v>
      </c>
      <c r="G726" s="3" t="str">
        <f aca="false">IF(F726="","N/A",IF(F726&lt;0,"Invalid - Ship Before Order","OK"))</f>
        <v>OK</v>
      </c>
      <c r="H726" s="3" t="str">
        <f aca="false">raw_data!D726</f>
        <v>CUST-5891</v>
      </c>
      <c r="I726" s="3" t="str">
        <f aca="false">PROPER(TRIM(raw_data!E726))</f>
        <v>Karan Malhotra</v>
      </c>
      <c r="J726" s="3" t="str">
        <f aca="false">PROPER(TRIM(raw_data!F726))</f>
        <v>Consumer</v>
      </c>
      <c r="K726" s="3" t="str">
        <f aca="false">IF(TRIM(raw_data!G726)="","Unknown",PROPER(TRIM(raw_data!G726)))</f>
        <v>West</v>
      </c>
      <c r="L726" s="3" t="str">
        <f aca="false">IF(TRIM(raw_data!G726)="","Filled - Unknown","OK")</f>
        <v>OK</v>
      </c>
      <c r="M726" s="3" t="str">
        <f aca="false">PROPER(TRIM(raw_data!H726))</f>
        <v>Goa</v>
      </c>
      <c r="N726" s="3" t="str">
        <f aca="false">PROPER(TRIM(raw_data!I726))</f>
        <v>Panaji</v>
      </c>
      <c r="O726" s="3" t="str">
        <f aca="false">PROPER(TRIM(raw_data!J726))</f>
        <v>Furniture</v>
      </c>
      <c r="P726" s="3" t="str">
        <f aca="false">PROPER(TRIM(raw_data!K726))</f>
        <v>Furnishings</v>
      </c>
      <c r="Q726" s="3" t="str">
        <f aca="false">TRIM(raw_data!L726)</f>
        <v>Elite Furnishings 921</v>
      </c>
      <c r="R726" s="3" t="str">
        <f aca="false">IF(TRIM(raw_data!M726)="","Unknown",PROPER(TRIM(raw_data!M726)))</f>
        <v>Second Class</v>
      </c>
      <c r="S726" s="3" t="str">
        <f aca="false">IF(TRIM(raw_data!M726)="","Filled - Unknown","OK")</f>
        <v>OK</v>
      </c>
      <c r="T726" s="6" t="n">
        <f aca="false">raw_data!N726</f>
        <v>3</v>
      </c>
      <c r="U726" s="7" t="n">
        <f aca="false">raw_data!O726</f>
        <v>253.43</v>
      </c>
      <c r="V726" s="8" t="n">
        <f aca="false">raw_data!P726</f>
        <v>0</v>
      </c>
      <c r="W726" s="8" t="n">
        <f aca="false">IF(raw_data!P726="",0,IF(ISTEXT(raw_data!P726),IF(RIGHT(raw_data!P726,1)="%",VALUE(LEFT(raw_data!P726,LEN(raw_data!P726)-1))/100,VALUE(raw_data!P726)),raw_data!P726))</f>
        <v>0</v>
      </c>
      <c r="X726" s="3" t="str">
        <f aca="false">IF(raw_data!P726="","Missing - Defaulted to 0",IF(W726&lt;0,"Negative - Invalid",IF(W726&gt;0.3,"Above Allowed Range - Invalid","Valid")))</f>
        <v>Valid</v>
      </c>
      <c r="Y726" s="7" t="n">
        <f aca="false">raw_data!Q726</f>
        <v>760.29</v>
      </c>
      <c r="Z726" s="7" t="n">
        <f aca="false">raw_data!R726</f>
        <v>497.77</v>
      </c>
      <c r="AA726" s="7" t="n">
        <f aca="false">raw_data!S726</f>
        <v>262.52</v>
      </c>
      <c r="AB726" s="3" t="str">
        <f aca="false">PROPER(TRIM(raw_data!T726))</f>
        <v>Paid</v>
      </c>
      <c r="AC726" s="3" t="str">
        <f aca="false">PROPER(TRIM(raw_data!U726))</f>
        <v>Completed</v>
      </c>
      <c r="AD726" s="7" t="n">
        <f aca="false">T726*U726*(1-W726)</f>
        <v>760.29</v>
      </c>
      <c r="AE726" s="7" t="n">
        <f aca="false">AD726-Z726</f>
        <v>262.52</v>
      </c>
      <c r="AF726" s="8" t="n">
        <f aca="false">IF(AD726=0,0,AE726/AD726)</f>
        <v>0.345289297504899</v>
      </c>
      <c r="AG726" s="3" t="str">
        <f aca="false">IF(ABS(Y726-AD726)&gt;1,"Mismatch","OK")</f>
        <v>OK</v>
      </c>
      <c r="AH726" s="3" t="str">
        <f aca="false">IF(ABS(AA726-AE726)&gt;1,"Mismatch","OK")</f>
        <v>OK</v>
      </c>
      <c r="AI726" s="6" t="n">
        <f aca="false">IF(B726="","",MONTH(B726))</f>
        <v>2</v>
      </c>
      <c r="AJ726" s="6" t="n">
        <f aca="false">IF(B726="","",YEAR(B726))</f>
        <v>2024</v>
      </c>
      <c r="AK726" s="3" t="str">
        <f aca="false">IF(COUNTIF(raw_data!$A$2:$A$913,A726)&gt;1,"Conflicting Duplicate - Flagged for Review","Unique")</f>
        <v>Unique</v>
      </c>
      <c r="AL726" s="3" t="str">
        <f aca="false">IF(AB726="Refunded","Yes","No")</f>
        <v>No</v>
      </c>
      <c r="AM726" s="3" t="str">
        <f aca="false">IF(OR(AC726&lt;&gt;"Completed",AB726="Failed"),"Excluded","Included")</f>
        <v>Included</v>
      </c>
      <c r="AN726" s="3" t="str">
        <f aca="false">IF(OR(D726="Invalid/Unrecognized",E726="Invalid/Unrecognized",G726="Invalid - Ship Before Order",X726="Negative - Invalid",X726="Above Allowed Range - Invalid",AG726="Mismatch",AH726="Mismatch",AK726="Conflicting Duplicate - Flagged for Review"),"Invalid",IF(OR(L726="Filled - Unknown",S726="Filled - Unknown",X726="Missing - Defaulted to 0",AL726="Yes",AC726="Cancelled",AC726="Returned"),"Warning","Clean"))</f>
        <v>Clean</v>
      </c>
    </row>
    <row r="727" customFormat="false" ht="15" hidden="false" customHeight="false" outlineLevel="0" collapsed="false">
      <c r="A727" s="3" t="str">
        <f aca="false">raw_data!A727</f>
        <v>ORD-2025-10726</v>
      </c>
      <c r="B727" s="4" t="n">
        <f aca="false">IFERROR(IF(MID(raw_data!B727,3,1)="/",DATE(VALUE(RIGHT(raw_data!B727,4)),VALUE(LEFT(raw_data!B727,2)),VALUE(MID(raw_data!B727,4,2))),IF(MID(raw_data!B727,3,1)="-",DATE(VALUE(RIGHT(raw_data!B727,4)),VALUE(MID(raw_data!B727,4,2)),VALUE(LEFT(raw_data!B727,2))),IF(MID(raw_data!B727,5,1)="-",DATE(VALUE(LEFT(raw_data!B727,4)),VALUE(MID(raw_data!B727,6,2)),VALUE(RIGHT(raw_data!B727,2))),DATE(VALUE(RIGHT(raw_data!B727,4)),MATCH(MID(raw_data!B727,4,3),{"Jan","Feb","Mar","Apr","May","Jun","Jul","Aug","Sep","Oct","Nov","Dec"},0),VALUE(LEFT(raw_data!B727,2)))))),"")</f>
        <v>45935</v>
      </c>
      <c r="C727" s="4" t="n">
        <f aca="false">IFERROR(IF(MID(raw_data!C727,3,1)="/",DATE(VALUE(RIGHT(raw_data!C727,4)),VALUE(LEFT(raw_data!C727,2)),VALUE(MID(raw_data!C727,4,2))),IF(MID(raw_data!C727,3,1)="-",DATE(VALUE(RIGHT(raw_data!C727,4)),VALUE(MID(raw_data!C727,4,2)),VALUE(LEFT(raw_data!C727,2))),IF(MID(raw_data!C727,5,1)="-",DATE(VALUE(LEFT(raw_data!C727,4)),VALUE(MID(raw_data!C727,6,2)),VALUE(RIGHT(raw_data!C727,2))),DATE(VALUE(RIGHT(raw_data!C727,4)),MATCH(MID(raw_data!C727,4,3),{"Jan","Feb","Mar","Apr","May","Jun","Jul","Aug","Sep","Oct","Nov","Dec"},0),VALUE(LEFT(raw_data!C727,2)))))),"")</f>
        <v>45942</v>
      </c>
      <c r="D727" s="3" t="str">
        <f aca="false">IF(TRIM(raw_data!B727)="","Missing",IF(B727="","Invalid/Unrecognized","Valid"))</f>
        <v>Valid</v>
      </c>
      <c r="E727" s="3" t="str">
        <f aca="false">IF(TRIM(raw_data!C727)="","Missing",IF(C727="","Invalid/Unrecognized","Valid"))</f>
        <v>Valid</v>
      </c>
      <c r="F727" s="5" t="n">
        <f aca="false">IF(OR(B727="",C727=""),"",C727-B727)</f>
        <v>7</v>
      </c>
      <c r="G727" s="3" t="str">
        <f aca="false">IF(F727="","N/A",IF(F727&lt;0,"Invalid - Ship Before Order","OK"))</f>
        <v>OK</v>
      </c>
      <c r="H727" s="3" t="str">
        <f aca="false">raw_data!D727</f>
        <v>CUST-6371</v>
      </c>
      <c r="I727" s="3" t="str">
        <f aca="false">PROPER(TRIM(raw_data!E727))</f>
        <v>Priya Menon</v>
      </c>
      <c r="J727" s="3" t="str">
        <f aca="false">PROPER(TRIM(raw_data!F727))</f>
        <v>Corporate</v>
      </c>
      <c r="K727" s="3" t="str">
        <f aca="false">IF(TRIM(raw_data!G727)="","Unknown",PROPER(TRIM(raw_data!G727)))</f>
        <v>South</v>
      </c>
      <c r="L727" s="3" t="str">
        <f aca="false">IF(TRIM(raw_data!G727)="","Filled - Unknown","OK")</f>
        <v>OK</v>
      </c>
      <c r="M727" s="3" t="str">
        <f aca="false">PROPER(TRIM(raw_data!H727))</f>
        <v>Karnataka</v>
      </c>
      <c r="N727" s="3" t="str">
        <f aca="false">PROPER(TRIM(raw_data!I727))</f>
        <v>Bengaluru</v>
      </c>
      <c r="O727" s="3" t="str">
        <f aca="false">PROPER(TRIM(raw_data!J727))</f>
        <v>Furniture</v>
      </c>
      <c r="P727" s="3" t="str">
        <f aca="false">PROPER(TRIM(raw_data!K727))</f>
        <v>Tables</v>
      </c>
      <c r="Q727" s="3" t="str">
        <f aca="false">TRIM(raw_data!L727)</f>
        <v>Max Tables 309</v>
      </c>
      <c r="R727" s="3" t="str">
        <f aca="false">IF(TRIM(raw_data!M727)="","Unknown",PROPER(TRIM(raw_data!M727)))</f>
        <v>Second Class</v>
      </c>
      <c r="S727" s="3" t="str">
        <f aca="false">IF(TRIM(raw_data!M727)="","Filled - Unknown","OK")</f>
        <v>OK</v>
      </c>
      <c r="T727" s="6" t="n">
        <f aca="false">raw_data!N727</f>
        <v>7</v>
      </c>
      <c r="U727" s="7" t="n">
        <f aca="false">raw_data!O727</f>
        <v>2134.73</v>
      </c>
      <c r="V727" s="8" t="n">
        <f aca="false">raw_data!P727</f>
        <v>0</v>
      </c>
      <c r="W727" s="8" t="n">
        <f aca="false">IF(raw_data!P727="",0,IF(ISTEXT(raw_data!P727),IF(RIGHT(raw_data!P727,1)="%",VALUE(LEFT(raw_data!P727,LEN(raw_data!P727)-1))/100,VALUE(raw_data!P727)),raw_data!P727))</f>
        <v>0</v>
      </c>
      <c r="X727" s="3" t="str">
        <f aca="false">IF(raw_data!P727="","Missing - Defaulted to 0",IF(W727&lt;0,"Negative - Invalid",IF(W727&gt;0.3,"Above Allowed Range - Invalid","Valid")))</f>
        <v>Valid</v>
      </c>
      <c r="Y727" s="7" t="n">
        <f aca="false">raw_data!Q727</f>
        <v>14943.11</v>
      </c>
      <c r="Z727" s="7" t="n">
        <f aca="false">raw_data!R727</f>
        <v>8521.5</v>
      </c>
      <c r="AA727" s="7" t="n">
        <f aca="false">raw_data!S727</f>
        <v>6421.61</v>
      </c>
      <c r="AB727" s="3" t="str">
        <f aca="false">PROPER(TRIM(raw_data!T727))</f>
        <v>Paid</v>
      </c>
      <c r="AC727" s="3" t="str">
        <f aca="false">PROPER(TRIM(raw_data!U727))</f>
        <v>Completed</v>
      </c>
      <c r="AD727" s="7" t="n">
        <f aca="false">T727*U727*(1-W727)</f>
        <v>14943.11</v>
      </c>
      <c r="AE727" s="7" t="n">
        <f aca="false">AD727-Z727</f>
        <v>6421.61</v>
      </c>
      <c r="AF727" s="8" t="n">
        <f aca="false">IF(AD727=0,0,AE727/AD727)</f>
        <v>0.429737183223573</v>
      </c>
      <c r="AG727" s="3" t="str">
        <f aca="false">IF(ABS(Y727-AD727)&gt;1,"Mismatch","OK")</f>
        <v>OK</v>
      </c>
      <c r="AH727" s="3" t="str">
        <f aca="false">IF(ABS(AA727-AE727)&gt;1,"Mismatch","OK")</f>
        <v>OK</v>
      </c>
      <c r="AI727" s="6" t="n">
        <f aca="false">IF(B727="","",MONTH(B727))</f>
        <v>10</v>
      </c>
      <c r="AJ727" s="6" t="n">
        <f aca="false">IF(B727="","",YEAR(B727))</f>
        <v>2025</v>
      </c>
      <c r="AK727" s="3" t="str">
        <f aca="false">IF(COUNTIF(raw_data!$A$2:$A$913,A727)&gt;1,"Conflicting Duplicate - Flagged for Review","Unique")</f>
        <v>Unique</v>
      </c>
      <c r="AL727" s="3" t="str">
        <f aca="false">IF(AB727="Refunded","Yes","No")</f>
        <v>No</v>
      </c>
      <c r="AM727" s="3" t="str">
        <f aca="false">IF(OR(AC727&lt;&gt;"Completed",AB727="Failed"),"Excluded","Included")</f>
        <v>Included</v>
      </c>
      <c r="AN727" s="3" t="str">
        <f aca="false">IF(OR(D727="Invalid/Unrecognized",E727="Invalid/Unrecognized",G727="Invalid - Ship Before Order",X727="Negative - Invalid",X727="Above Allowed Range - Invalid",AG727="Mismatch",AH727="Mismatch",AK727="Conflicting Duplicate - Flagged for Review"),"Invalid",IF(OR(L727="Filled - Unknown",S727="Filled - Unknown",X727="Missing - Defaulted to 0",AL727="Yes",AC727="Cancelled",AC727="Returned"),"Warning","Clean"))</f>
        <v>Clean</v>
      </c>
    </row>
    <row r="728" customFormat="false" ht="15" hidden="false" customHeight="false" outlineLevel="0" collapsed="false">
      <c r="A728" s="3" t="str">
        <f aca="false">raw_data!A728</f>
        <v>ORD-2024-10727</v>
      </c>
      <c r="B728" s="4" t="n">
        <f aca="false">IFERROR(IF(MID(raw_data!B728,3,1)="/",DATE(VALUE(RIGHT(raw_data!B728,4)),VALUE(LEFT(raw_data!B728,2)),VALUE(MID(raw_data!B728,4,2))),IF(MID(raw_data!B728,3,1)="-",DATE(VALUE(RIGHT(raw_data!B728,4)),VALUE(MID(raw_data!B728,4,2)),VALUE(LEFT(raw_data!B728,2))),IF(MID(raw_data!B728,5,1)="-",DATE(VALUE(LEFT(raw_data!B728,4)),VALUE(MID(raw_data!B728,6,2)),VALUE(RIGHT(raw_data!B728,2))),DATE(VALUE(RIGHT(raw_data!B728,4)),MATCH(MID(raw_data!B728,4,3),{"Jan","Feb","Mar","Apr","May","Jun","Jul","Aug","Sep","Oct","Nov","Dec"},0),VALUE(LEFT(raw_data!B728,2)))))),"")</f>
        <v>45308</v>
      </c>
      <c r="C728" s="4" t="n">
        <f aca="false">IFERROR(IF(MID(raw_data!C728,3,1)="/",DATE(VALUE(RIGHT(raw_data!C728,4)),VALUE(LEFT(raw_data!C728,2)),VALUE(MID(raw_data!C728,4,2))),IF(MID(raw_data!C728,3,1)="-",DATE(VALUE(RIGHT(raw_data!C728,4)),VALUE(MID(raw_data!C728,4,2)),VALUE(LEFT(raw_data!C728,2))),IF(MID(raw_data!C728,5,1)="-",DATE(VALUE(LEFT(raw_data!C728,4)),VALUE(MID(raw_data!C728,6,2)),VALUE(RIGHT(raw_data!C728,2))),DATE(VALUE(RIGHT(raw_data!C728,4)),MATCH(MID(raw_data!C728,4,3),{"Jan","Feb","Mar","Apr","May","Jun","Jul","Aug","Sep","Oct","Nov","Dec"},0),VALUE(LEFT(raw_data!C728,2)))))),"")</f>
        <v>45314</v>
      </c>
      <c r="D728" s="3" t="str">
        <f aca="false">IF(TRIM(raw_data!B728)="","Missing",IF(B728="","Invalid/Unrecognized","Valid"))</f>
        <v>Valid</v>
      </c>
      <c r="E728" s="3" t="str">
        <f aca="false">IF(TRIM(raw_data!C728)="","Missing",IF(C728="","Invalid/Unrecognized","Valid"))</f>
        <v>Valid</v>
      </c>
      <c r="F728" s="5" t="n">
        <f aca="false">IF(OR(B728="",C728=""),"",C728-B728)</f>
        <v>6</v>
      </c>
      <c r="G728" s="3" t="str">
        <f aca="false">IF(F728="","N/A",IF(F728&lt;0,"Invalid - Ship Before Order","OK"))</f>
        <v>OK</v>
      </c>
      <c r="H728" s="3" t="str">
        <f aca="false">raw_data!D728</f>
        <v>CUST-6655</v>
      </c>
      <c r="I728" s="3" t="str">
        <f aca="false">PROPER(TRIM(raw_data!E728))</f>
        <v>Kabir Singh</v>
      </c>
      <c r="J728" s="3" t="str">
        <f aca="false">PROPER(TRIM(raw_data!F728))</f>
        <v>Home Office</v>
      </c>
      <c r="K728" s="3" t="str">
        <f aca="false">IF(TRIM(raw_data!G728)="","Unknown",PROPER(TRIM(raw_data!G728)))</f>
        <v>West</v>
      </c>
      <c r="L728" s="3" t="str">
        <f aca="false">IF(TRIM(raw_data!G728)="","Filled - Unknown","OK")</f>
        <v>OK</v>
      </c>
      <c r="M728" s="3" t="str">
        <f aca="false">PROPER(TRIM(raw_data!H728))</f>
        <v>Gujarat</v>
      </c>
      <c r="N728" s="3" t="str">
        <f aca="false">PROPER(TRIM(raw_data!I728))</f>
        <v>Ahmedabad</v>
      </c>
      <c r="O728" s="3" t="str">
        <f aca="false">PROPER(TRIM(raw_data!J728))</f>
        <v>Technology</v>
      </c>
      <c r="P728" s="3" t="str">
        <f aca="false">PROPER(TRIM(raw_data!K728))</f>
        <v>Phones</v>
      </c>
      <c r="Q728" s="3" t="str">
        <f aca="false">TRIM(raw_data!L728)</f>
        <v>Pro Phones 857</v>
      </c>
      <c r="R728" s="3" t="str">
        <f aca="false">IF(TRIM(raw_data!M728)="","Unknown",PROPER(TRIM(raw_data!M728)))</f>
        <v>Standard Class</v>
      </c>
      <c r="S728" s="3" t="str">
        <f aca="false">IF(TRIM(raw_data!M728)="","Filled - Unknown","OK")</f>
        <v>OK</v>
      </c>
      <c r="T728" s="6" t="n">
        <f aca="false">raw_data!N728</f>
        <v>5</v>
      </c>
      <c r="U728" s="7" t="n">
        <f aca="false">raw_data!O728</f>
        <v>2018</v>
      </c>
      <c r="V728" s="8" t="n">
        <f aca="false">raw_data!P728</f>
        <v>0.2</v>
      </c>
      <c r="W728" s="8" t="n">
        <f aca="false">IF(raw_data!P728="",0,IF(ISTEXT(raw_data!P728),IF(RIGHT(raw_data!P728,1)="%",VALUE(LEFT(raw_data!P728,LEN(raw_data!P728)-1))/100,VALUE(raw_data!P728)),raw_data!P728))</f>
        <v>0.2</v>
      </c>
      <c r="X728" s="3" t="str">
        <f aca="false">IF(raw_data!P728="","Missing - Defaulted to 0",IF(W728&lt;0,"Negative - Invalid",IF(W728&gt;0.3,"Above Allowed Range - Invalid","Valid")))</f>
        <v>Valid</v>
      </c>
      <c r="Y728" s="7" t="n">
        <f aca="false">raw_data!Q728</f>
        <v>8072</v>
      </c>
      <c r="Z728" s="7" t="n">
        <f aca="false">raw_data!R728</f>
        <v>5379.22</v>
      </c>
      <c r="AA728" s="7" t="n">
        <f aca="false">raw_data!S728</f>
        <v>2692.78</v>
      </c>
      <c r="AB728" s="3" t="str">
        <f aca="false">PROPER(TRIM(raw_data!T728))</f>
        <v>Pending</v>
      </c>
      <c r="AC728" s="3" t="str">
        <f aca="false">PROPER(TRIM(raw_data!U728))</f>
        <v>Returned</v>
      </c>
      <c r="AD728" s="7" t="n">
        <f aca="false">T728*U728*(1-W728)</f>
        <v>8072</v>
      </c>
      <c r="AE728" s="7" t="n">
        <f aca="false">AD728-Z728</f>
        <v>2692.78</v>
      </c>
      <c r="AF728" s="8" t="n">
        <f aca="false">IF(AD728=0,0,AE728/AD728)</f>
        <v>0.33359514370664</v>
      </c>
      <c r="AG728" s="3" t="str">
        <f aca="false">IF(ABS(Y728-AD728)&gt;1,"Mismatch","OK")</f>
        <v>OK</v>
      </c>
      <c r="AH728" s="3" t="str">
        <f aca="false">IF(ABS(AA728-AE728)&gt;1,"Mismatch","OK")</f>
        <v>OK</v>
      </c>
      <c r="AI728" s="6" t="n">
        <f aca="false">IF(B728="","",MONTH(B728))</f>
        <v>1</v>
      </c>
      <c r="AJ728" s="6" t="n">
        <f aca="false">IF(B728="","",YEAR(B728))</f>
        <v>2024</v>
      </c>
      <c r="AK728" s="3" t="str">
        <f aca="false">IF(COUNTIF(raw_data!$A$2:$A$913,A728)&gt;1,"Conflicting Duplicate - Flagged for Review","Unique")</f>
        <v>Unique</v>
      </c>
      <c r="AL728" s="3" t="str">
        <f aca="false">IF(AB728="Refunded","Yes","No")</f>
        <v>No</v>
      </c>
      <c r="AM728" s="3" t="str">
        <f aca="false">IF(OR(AC728&lt;&gt;"Completed",AB728="Failed"),"Excluded","Included")</f>
        <v>Excluded</v>
      </c>
      <c r="AN728" s="3" t="str">
        <f aca="false">IF(OR(D728="Invalid/Unrecognized",E728="Invalid/Unrecognized",G728="Invalid - Ship Before Order",X728="Negative - Invalid",X728="Above Allowed Range - Invalid",AG728="Mismatch",AH728="Mismatch",AK728="Conflicting Duplicate - Flagged for Review"),"Invalid",IF(OR(L728="Filled - Unknown",S728="Filled - Unknown",X728="Missing - Defaulted to 0",AL728="Yes",AC728="Cancelled",AC728="Returned"),"Warning","Clean"))</f>
        <v>Warning</v>
      </c>
    </row>
    <row r="729" customFormat="false" ht="15" hidden="false" customHeight="false" outlineLevel="0" collapsed="false">
      <c r="A729" s="3" t="str">
        <f aca="false">raw_data!A729</f>
        <v>ORD-2024-10728</v>
      </c>
      <c r="B729" s="4" t="n">
        <f aca="false">IFERROR(IF(MID(raw_data!B729,3,1)="/",DATE(VALUE(RIGHT(raw_data!B729,4)),VALUE(LEFT(raw_data!B729,2)),VALUE(MID(raw_data!B729,4,2))),IF(MID(raw_data!B729,3,1)="-",DATE(VALUE(RIGHT(raw_data!B729,4)),VALUE(MID(raw_data!B729,4,2)),VALUE(LEFT(raw_data!B729,2))),IF(MID(raw_data!B729,5,1)="-",DATE(VALUE(LEFT(raw_data!B729,4)),VALUE(MID(raw_data!B729,6,2)),VALUE(RIGHT(raw_data!B729,2))),DATE(VALUE(RIGHT(raw_data!B729,4)),MATCH(MID(raw_data!B729,4,3),{"Jan","Feb","Mar","Apr","May","Jun","Jul","Aug","Sep","Oct","Nov","Dec"},0),VALUE(LEFT(raw_data!B729,2)))))),"")</f>
        <v>45578</v>
      </c>
      <c r="C729" s="4" t="n">
        <f aca="false">IFERROR(IF(MID(raw_data!C729,3,1)="/",DATE(VALUE(RIGHT(raw_data!C729,4)),VALUE(LEFT(raw_data!C729,2)),VALUE(MID(raw_data!C729,4,2))),IF(MID(raw_data!C729,3,1)="-",DATE(VALUE(RIGHT(raw_data!C729,4)),VALUE(MID(raw_data!C729,4,2)),VALUE(LEFT(raw_data!C729,2))),IF(MID(raw_data!C729,5,1)="-",DATE(VALUE(LEFT(raw_data!C729,4)),VALUE(MID(raw_data!C729,6,2)),VALUE(RIGHT(raw_data!C729,2))),DATE(VALUE(RIGHT(raw_data!C729,4)),MATCH(MID(raw_data!C729,4,3),{"Jan","Feb","Mar","Apr","May","Jun","Jul","Aug","Sep","Oct","Nov","Dec"},0),VALUE(LEFT(raw_data!C729,2)))))),"")</f>
        <v>45578</v>
      </c>
      <c r="D729" s="3" t="str">
        <f aca="false">IF(TRIM(raw_data!B729)="","Missing",IF(B729="","Invalid/Unrecognized","Valid"))</f>
        <v>Valid</v>
      </c>
      <c r="E729" s="3" t="str">
        <f aca="false">IF(TRIM(raw_data!C729)="","Missing",IF(C729="","Invalid/Unrecognized","Valid"))</f>
        <v>Valid</v>
      </c>
      <c r="F729" s="5" t="n">
        <f aca="false">IF(OR(B729="",C729=""),"",C729-B729)</f>
        <v>0</v>
      </c>
      <c r="G729" s="3" t="str">
        <f aca="false">IF(F729="","N/A",IF(F729&lt;0,"Invalid - Ship Before Order","OK"))</f>
        <v>OK</v>
      </c>
      <c r="H729" s="3" t="str">
        <f aca="false">raw_data!D729</f>
        <v>CUST-6492</v>
      </c>
      <c r="I729" s="3" t="str">
        <f aca="false">PROPER(TRIM(raw_data!E729))</f>
        <v>Aarav Sharma</v>
      </c>
      <c r="J729" s="3" t="str">
        <f aca="false">PROPER(TRIM(raw_data!F729))</f>
        <v>Small Business</v>
      </c>
      <c r="K729" s="3" t="str">
        <f aca="false">IF(TRIM(raw_data!G729)="","Unknown",PROPER(TRIM(raw_data!G729)))</f>
        <v>East</v>
      </c>
      <c r="L729" s="3" t="str">
        <f aca="false">IF(TRIM(raw_data!G729)="","Filled - Unknown","OK")</f>
        <v>OK</v>
      </c>
      <c r="M729" s="3" t="str">
        <f aca="false">PROPER(TRIM(raw_data!H729))</f>
        <v>Assam</v>
      </c>
      <c r="N729" s="3" t="str">
        <f aca="false">PROPER(TRIM(raw_data!I729))</f>
        <v>Guwahati</v>
      </c>
      <c r="O729" s="3" t="str">
        <f aca="false">PROPER(TRIM(raw_data!J729))</f>
        <v>Technology</v>
      </c>
      <c r="P729" s="3" t="str">
        <f aca="false">PROPER(TRIM(raw_data!K729))</f>
        <v>Accessories</v>
      </c>
      <c r="Q729" s="3" t="str">
        <f aca="false">TRIM(raw_data!L729)</f>
        <v>Max Accessories 567</v>
      </c>
      <c r="R729" s="3" t="str">
        <f aca="false">IF(TRIM(raw_data!M729)="","Unknown",PROPER(TRIM(raw_data!M729)))</f>
        <v>Second Class</v>
      </c>
      <c r="S729" s="3" t="str">
        <f aca="false">IF(TRIM(raw_data!M729)="","Filled - Unknown","OK")</f>
        <v>OK</v>
      </c>
      <c r="T729" s="6" t="n">
        <f aca="false">raw_data!N729</f>
        <v>8</v>
      </c>
      <c r="U729" s="7" t="n">
        <f aca="false">raw_data!O729</f>
        <v>3730.66</v>
      </c>
      <c r="V729" s="8" t="n">
        <f aca="false">raw_data!P729</f>
        <v>0.05</v>
      </c>
      <c r="W729" s="8" t="n">
        <f aca="false">IF(raw_data!P729="",0,IF(ISTEXT(raw_data!P729),IF(RIGHT(raw_data!P729,1)="%",VALUE(LEFT(raw_data!P729,LEN(raw_data!P729)-1))/100,VALUE(raw_data!P729)),raw_data!P729))</f>
        <v>0.05</v>
      </c>
      <c r="X729" s="3" t="str">
        <f aca="false">IF(raw_data!P729="","Missing - Defaulted to 0",IF(W729&lt;0,"Negative - Invalid",IF(W729&gt;0.3,"Above Allowed Range - Invalid","Valid")))</f>
        <v>Valid</v>
      </c>
      <c r="Y729" s="7" t="n">
        <f aca="false">raw_data!Q729</f>
        <v>28353.02</v>
      </c>
      <c r="Z729" s="7" t="n">
        <f aca="false">raw_data!R729</f>
        <v>19257.85</v>
      </c>
      <c r="AA729" s="7" t="n">
        <f aca="false">raw_data!S729</f>
        <v>9095.17</v>
      </c>
      <c r="AB729" s="3" t="str">
        <f aca="false">PROPER(TRIM(raw_data!T729))</f>
        <v>Paid</v>
      </c>
      <c r="AC729" s="3" t="str">
        <f aca="false">PROPER(TRIM(raw_data!U729))</f>
        <v>Completed</v>
      </c>
      <c r="AD729" s="7" t="n">
        <f aca="false">T729*U729*(1-W729)</f>
        <v>28353.016</v>
      </c>
      <c r="AE729" s="7" t="n">
        <f aca="false">AD729-Z729</f>
        <v>9095.166</v>
      </c>
      <c r="AF729" s="8" t="n">
        <f aca="false">IF(AD729=0,0,AE729/AD729)</f>
        <v>0.320783016522828</v>
      </c>
      <c r="AG729" s="3" t="str">
        <f aca="false">IF(ABS(Y729-AD729)&gt;1,"Mismatch","OK")</f>
        <v>OK</v>
      </c>
      <c r="AH729" s="3" t="str">
        <f aca="false">IF(ABS(AA729-AE729)&gt;1,"Mismatch","OK")</f>
        <v>OK</v>
      </c>
      <c r="AI729" s="6" t="n">
        <f aca="false">IF(B729="","",MONTH(B729))</f>
        <v>10</v>
      </c>
      <c r="AJ729" s="6" t="n">
        <f aca="false">IF(B729="","",YEAR(B729))</f>
        <v>2024</v>
      </c>
      <c r="AK729" s="3" t="str">
        <f aca="false">IF(COUNTIF(raw_data!$A$2:$A$913,A729)&gt;1,"Conflicting Duplicate - Flagged for Review","Unique")</f>
        <v>Unique</v>
      </c>
      <c r="AL729" s="3" t="str">
        <f aca="false">IF(AB729="Refunded","Yes","No")</f>
        <v>No</v>
      </c>
      <c r="AM729" s="3" t="str">
        <f aca="false">IF(OR(AC729&lt;&gt;"Completed",AB729="Failed"),"Excluded","Included")</f>
        <v>Included</v>
      </c>
      <c r="AN729" s="3" t="str">
        <f aca="false">IF(OR(D729="Invalid/Unrecognized",E729="Invalid/Unrecognized",G729="Invalid - Ship Before Order",X729="Negative - Invalid",X729="Above Allowed Range - Invalid",AG729="Mismatch",AH729="Mismatch",AK729="Conflicting Duplicate - Flagged for Review"),"Invalid",IF(OR(L729="Filled - Unknown",S729="Filled - Unknown",X729="Missing - Defaulted to 0",AL729="Yes",AC729="Cancelled",AC729="Returned"),"Warning","Clean"))</f>
        <v>Clean</v>
      </c>
    </row>
    <row r="730" customFormat="false" ht="15" hidden="false" customHeight="false" outlineLevel="0" collapsed="false">
      <c r="A730" s="3" t="str">
        <f aca="false">raw_data!A730</f>
        <v>ORD-2024-10729</v>
      </c>
      <c r="B730" s="4" t="n">
        <f aca="false">IFERROR(IF(MID(raw_data!B730,3,1)="/",DATE(VALUE(RIGHT(raw_data!B730,4)),VALUE(LEFT(raw_data!B730,2)),VALUE(MID(raw_data!B730,4,2))),IF(MID(raw_data!B730,3,1)="-",DATE(VALUE(RIGHT(raw_data!B730,4)),VALUE(MID(raw_data!B730,4,2)),VALUE(LEFT(raw_data!B730,2))),IF(MID(raw_data!B730,5,1)="-",DATE(VALUE(LEFT(raw_data!B730,4)),VALUE(MID(raw_data!B730,6,2)),VALUE(RIGHT(raw_data!B730,2))),DATE(VALUE(RIGHT(raw_data!B730,4)),MATCH(MID(raw_data!B730,4,3),{"Jan","Feb","Mar","Apr","May","Jun","Jul","Aug","Sep","Oct","Nov","Dec"},0),VALUE(LEFT(raw_data!B730,2)))))),"")</f>
        <v>45295</v>
      </c>
      <c r="C730" s="4" t="n">
        <f aca="false">IFERROR(IF(MID(raw_data!C730,3,1)="/",DATE(VALUE(RIGHT(raw_data!C730,4)),VALUE(LEFT(raw_data!C730,2)),VALUE(MID(raw_data!C730,4,2))),IF(MID(raw_data!C730,3,1)="-",DATE(VALUE(RIGHT(raw_data!C730,4)),VALUE(MID(raw_data!C730,4,2)),VALUE(LEFT(raw_data!C730,2))),IF(MID(raw_data!C730,5,1)="-",DATE(VALUE(LEFT(raw_data!C730,4)),VALUE(MID(raw_data!C730,6,2)),VALUE(RIGHT(raw_data!C730,2))),DATE(VALUE(RIGHT(raw_data!C730,4)),MATCH(MID(raw_data!C730,4,3),{"Jan","Feb","Mar","Apr","May","Jun","Jul","Aug","Sep","Oct","Nov","Dec"},0),VALUE(LEFT(raw_data!C730,2)))))),"")</f>
        <v>45298</v>
      </c>
      <c r="D730" s="3" t="str">
        <f aca="false">IF(TRIM(raw_data!B730)="","Missing",IF(B730="","Invalid/Unrecognized","Valid"))</f>
        <v>Valid</v>
      </c>
      <c r="E730" s="3" t="str">
        <f aca="false">IF(TRIM(raw_data!C730)="","Missing",IF(C730="","Invalid/Unrecognized","Valid"))</f>
        <v>Valid</v>
      </c>
      <c r="F730" s="5" t="n">
        <f aca="false">IF(OR(B730="",C730=""),"",C730-B730)</f>
        <v>3</v>
      </c>
      <c r="G730" s="3" t="str">
        <f aca="false">IF(F730="","N/A",IF(F730&lt;0,"Invalid - Ship Before Order","OK"))</f>
        <v>OK</v>
      </c>
      <c r="H730" s="3" t="str">
        <f aca="false">raw_data!D730</f>
        <v>CUST-1154</v>
      </c>
      <c r="I730" s="3" t="str">
        <f aca="false">PROPER(TRIM(raw_data!E730))</f>
        <v>Sneha Kapoor</v>
      </c>
      <c r="J730" s="3" t="str">
        <f aca="false">PROPER(TRIM(raw_data!F730))</f>
        <v>Small Business</v>
      </c>
      <c r="K730" s="3" t="str">
        <f aca="false">IF(TRIM(raw_data!G730)="","Unknown",PROPER(TRIM(raw_data!G730)))</f>
        <v>South</v>
      </c>
      <c r="L730" s="3" t="str">
        <f aca="false">IF(TRIM(raw_data!G730)="","Filled - Unknown","OK")</f>
        <v>OK</v>
      </c>
      <c r="M730" s="3" t="str">
        <f aca="false">PROPER(TRIM(raw_data!H730))</f>
        <v>Karnataka</v>
      </c>
      <c r="N730" s="3" t="str">
        <f aca="false">PROPER(TRIM(raw_data!I730))</f>
        <v>Bengaluru</v>
      </c>
      <c r="O730" s="3" t="str">
        <f aca="false">PROPER(TRIM(raw_data!J730))</f>
        <v>Technology</v>
      </c>
      <c r="P730" s="3" t="str">
        <f aca="false">PROPER(TRIM(raw_data!K730))</f>
        <v>Machines</v>
      </c>
      <c r="Q730" s="3" t="str">
        <f aca="false">TRIM(raw_data!L730)</f>
        <v>Max Machines 200</v>
      </c>
      <c r="R730" s="3" t="str">
        <f aca="false">IF(TRIM(raw_data!M730)="","Unknown",PROPER(TRIM(raw_data!M730)))</f>
        <v>First Class</v>
      </c>
      <c r="S730" s="3" t="str">
        <f aca="false">IF(TRIM(raw_data!M730)="","Filled - Unknown","OK")</f>
        <v>OK</v>
      </c>
      <c r="T730" s="6" t="n">
        <f aca="false">raw_data!N730</f>
        <v>1</v>
      </c>
      <c r="U730" s="7" t="n">
        <f aca="false">raw_data!O730</f>
        <v>2363.02</v>
      </c>
      <c r="V730" s="8" t="n">
        <f aca="false">raw_data!P730</f>
        <v>0.15</v>
      </c>
      <c r="W730" s="8" t="n">
        <f aca="false">IF(raw_data!P730="",0,IF(ISTEXT(raw_data!P730),IF(RIGHT(raw_data!P730,1)="%",VALUE(LEFT(raw_data!P730,LEN(raw_data!P730)-1))/100,VALUE(raw_data!P730)),raw_data!P730))</f>
        <v>0.15</v>
      </c>
      <c r="X730" s="3" t="str">
        <f aca="false">IF(raw_data!P730="","Missing - Defaulted to 0",IF(W730&lt;0,"Negative - Invalid",IF(W730&gt;0.3,"Above Allowed Range - Invalid","Valid")))</f>
        <v>Valid</v>
      </c>
      <c r="Y730" s="7" t="n">
        <f aca="false">raw_data!Q730</f>
        <v>2008.57</v>
      </c>
      <c r="Z730" s="7" t="n">
        <f aca="false">raw_data!R730</f>
        <v>1194.83</v>
      </c>
      <c r="AA730" s="7" t="n">
        <f aca="false">raw_data!S730</f>
        <v>813.74</v>
      </c>
      <c r="AB730" s="3" t="str">
        <f aca="false">PROPER(TRIM(raw_data!T730))</f>
        <v>Paid</v>
      </c>
      <c r="AC730" s="3" t="str">
        <f aca="false">PROPER(TRIM(raw_data!U730))</f>
        <v>Completed</v>
      </c>
      <c r="AD730" s="7" t="n">
        <f aca="false">T730*U730*(1-W730)</f>
        <v>2008.567</v>
      </c>
      <c r="AE730" s="7" t="n">
        <f aca="false">AD730-Z730</f>
        <v>813.737</v>
      </c>
      <c r="AF730" s="8" t="n">
        <f aca="false">IF(AD730=0,0,AE730/AD730)</f>
        <v>0.405133112313406</v>
      </c>
      <c r="AG730" s="3" t="str">
        <f aca="false">IF(ABS(Y730-AD730)&gt;1,"Mismatch","OK")</f>
        <v>OK</v>
      </c>
      <c r="AH730" s="3" t="str">
        <f aca="false">IF(ABS(AA730-AE730)&gt;1,"Mismatch","OK")</f>
        <v>OK</v>
      </c>
      <c r="AI730" s="6" t="n">
        <f aca="false">IF(B730="","",MONTH(B730))</f>
        <v>1</v>
      </c>
      <c r="AJ730" s="6" t="n">
        <f aca="false">IF(B730="","",YEAR(B730))</f>
        <v>2024</v>
      </c>
      <c r="AK730" s="3" t="str">
        <f aca="false">IF(COUNTIF(raw_data!$A$2:$A$913,A730)&gt;1,"Conflicting Duplicate - Flagged for Review","Unique")</f>
        <v>Unique</v>
      </c>
      <c r="AL730" s="3" t="str">
        <f aca="false">IF(AB730="Refunded","Yes","No")</f>
        <v>No</v>
      </c>
      <c r="AM730" s="3" t="str">
        <f aca="false">IF(OR(AC730&lt;&gt;"Completed",AB730="Failed"),"Excluded","Included")</f>
        <v>Included</v>
      </c>
      <c r="AN730" s="3" t="str">
        <f aca="false">IF(OR(D730="Invalid/Unrecognized",E730="Invalid/Unrecognized",G730="Invalid - Ship Before Order",X730="Negative - Invalid",X730="Above Allowed Range - Invalid",AG730="Mismatch",AH730="Mismatch",AK730="Conflicting Duplicate - Flagged for Review"),"Invalid",IF(OR(L730="Filled - Unknown",S730="Filled - Unknown",X730="Missing - Defaulted to 0",AL730="Yes",AC730="Cancelled",AC730="Returned"),"Warning","Clean"))</f>
        <v>Clean</v>
      </c>
    </row>
    <row r="731" customFormat="false" ht="15" hidden="false" customHeight="false" outlineLevel="0" collapsed="false">
      <c r="A731" s="3" t="str">
        <f aca="false">raw_data!A731</f>
        <v>ORD-2025-10730</v>
      </c>
      <c r="B731" s="4" t="n">
        <f aca="false">IFERROR(IF(MID(raw_data!B731,3,1)="/",DATE(VALUE(RIGHT(raw_data!B731,4)),VALUE(LEFT(raw_data!B731,2)),VALUE(MID(raw_data!B731,4,2))),IF(MID(raw_data!B731,3,1)="-",DATE(VALUE(RIGHT(raw_data!B731,4)),VALUE(MID(raw_data!B731,4,2)),VALUE(LEFT(raw_data!B731,2))),IF(MID(raw_data!B731,5,1)="-",DATE(VALUE(LEFT(raw_data!B731,4)),VALUE(MID(raw_data!B731,6,2)),VALUE(RIGHT(raw_data!B731,2))),DATE(VALUE(RIGHT(raw_data!B731,4)),MATCH(MID(raw_data!B731,4,3),{"Jan","Feb","Mar","Apr","May","Jun","Jul","Aug","Sep","Oct","Nov","Dec"},0),VALUE(LEFT(raw_data!B731,2)))))),"")</f>
        <v>45794</v>
      </c>
      <c r="C731" s="4" t="n">
        <f aca="false">IFERROR(IF(MID(raw_data!C731,3,1)="/",DATE(VALUE(RIGHT(raw_data!C731,4)),VALUE(LEFT(raw_data!C731,2)),VALUE(MID(raw_data!C731,4,2))),IF(MID(raw_data!C731,3,1)="-",DATE(VALUE(RIGHT(raw_data!C731,4)),VALUE(MID(raw_data!C731,4,2)),VALUE(LEFT(raw_data!C731,2))),IF(MID(raw_data!C731,5,1)="-",DATE(VALUE(LEFT(raw_data!C731,4)),VALUE(MID(raw_data!C731,6,2)),VALUE(RIGHT(raw_data!C731,2))),DATE(VALUE(RIGHT(raw_data!C731,4)),MATCH(MID(raw_data!C731,4,3),{"Jan","Feb","Mar","Apr","May","Jun","Jul","Aug","Sep","Oct","Nov","Dec"},0),VALUE(LEFT(raw_data!C731,2)))))),"")</f>
        <v>45802</v>
      </c>
      <c r="D731" s="3" t="str">
        <f aca="false">IF(TRIM(raw_data!B731)="","Missing",IF(B731="","Invalid/Unrecognized","Valid"))</f>
        <v>Valid</v>
      </c>
      <c r="E731" s="3" t="str">
        <f aca="false">IF(TRIM(raw_data!C731)="","Missing",IF(C731="","Invalid/Unrecognized","Valid"))</f>
        <v>Valid</v>
      </c>
      <c r="F731" s="5" t="n">
        <f aca="false">IF(OR(B731="",C731=""),"",C731-B731)</f>
        <v>8</v>
      </c>
      <c r="G731" s="3" t="str">
        <f aca="false">IF(F731="","N/A",IF(F731&lt;0,"Invalid - Ship Before Order","OK"))</f>
        <v>OK</v>
      </c>
      <c r="H731" s="3" t="str">
        <f aca="false">raw_data!D731</f>
        <v>CUST-8713</v>
      </c>
      <c r="I731" s="3" t="str">
        <f aca="false">PROPER(TRIM(raw_data!E731))</f>
        <v>Ananya Rao</v>
      </c>
      <c r="J731" s="3" t="str">
        <f aca="false">PROPER(TRIM(raw_data!F731))</f>
        <v>Corporate</v>
      </c>
      <c r="K731" s="3" t="str">
        <f aca="false">IF(TRIM(raw_data!G731)="","Unknown",PROPER(TRIM(raw_data!G731)))</f>
        <v>South</v>
      </c>
      <c r="L731" s="3" t="str">
        <f aca="false">IF(TRIM(raw_data!G731)="","Filled - Unknown","OK")</f>
        <v>OK</v>
      </c>
      <c r="M731" s="3" t="str">
        <f aca="false">PROPER(TRIM(raw_data!H731))</f>
        <v>Tamil Nadu</v>
      </c>
      <c r="N731" s="3" t="str">
        <f aca="false">PROPER(TRIM(raw_data!I731))</f>
        <v>Chennai</v>
      </c>
      <c r="O731" s="3" t="str">
        <f aca="false">PROPER(TRIM(raw_data!J731))</f>
        <v>Technology</v>
      </c>
      <c r="P731" s="3" t="str">
        <f aca="false">PROPER(TRIM(raw_data!K731))</f>
        <v>Machines</v>
      </c>
      <c r="Q731" s="3" t="str">
        <f aca="false">TRIM(raw_data!L731)</f>
        <v>Pro Machines 563</v>
      </c>
      <c r="R731" s="3" t="str">
        <f aca="false">IF(TRIM(raw_data!M731)="","Unknown",PROPER(TRIM(raw_data!M731)))</f>
        <v>Same Day</v>
      </c>
      <c r="S731" s="3" t="str">
        <f aca="false">IF(TRIM(raw_data!M731)="","Filled - Unknown","OK")</f>
        <v>OK</v>
      </c>
      <c r="T731" s="6" t="n">
        <f aca="false">raw_data!N731</f>
        <v>6</v>
      </c>
      <c r="U731" s="7" t="n">
        <f aca="false">raw_data!O731</f>
        <v>1810.63</v>
      </c>
      <c r="V731" s="8" t="n">
        <f aca="false">raw_data!P731</f>
        <v>0.15</v>
      </c>
      <c r="W731" s="8" t="n">
        <f aca="false">IF(raw_data!P731="",0,IF(ISTEXT(raw_data!P731),IF(RIGHT(raw_data!P731,1)="%",VALUE(LEFT(raw_data!P731,LEN(raw_data!P731)-1))/100,VALUE(raw_data!P731)),raw_data!P731))</f>
        <v>0.15</v>
      </c>
      <c r="X731" s="3" t="str">
        <f aca="false">IF(raw_data!P731="","Missing - Defaulted to 0",IF(W731&lt;0,"Negative - Invalid",IF(W731&gt;0.3,"Above Allowed Range - Invalid","Valid")))</f>
        <v>Valid</v>
      </c>
      <c r="Y731" s="7" t="n">
        <f aca="false">raw_data!Q731</f>
        <v>9234.21</v>
      </c>
      <c r="Z731" s="7" t="n">
        <f aca="false">raw_data!R731</f>
        <v>5516.52</v>
      </c>
      <c r="AA731" s="7" t="n">
        <f aca="false">raw_data!S731</f>
        <v>3717.69</v>
      </c>
      <c r="AB731" s="3" t="str">
        <f aca="false">PROPER(TRIM(raw_data!T731))</f>
        <v>Paid</v>
      </c>
      <c r="AC731" s="3" t="str">
        <f aca="false">PROPER(TRIM(raw_data!U731))</f>
        <v>Completed</v>
      </c>
      <c r="AD731" s="7" t="n">
        <f aca="false">T731*U731*(1-W731)</f>
        <v>9234.213</v>
      </c>
      <c r="AE731" s="7" t="n">
        <f aca="false">AD731-Z731</f>
        <v>3717.693</v>
      </c>
      <c r="AF731" s="8" t="n">
        <f aca="false">IF(AD731=0,0,AE731/AD731)</f>
        <v>0.402599875051615</v>
      </c>
      <c r="AG731" s="3" t="str">
        <f aca="false">IF(ABS(Y731-AD731)&gt;1,"Mismatch","OK")</f>
        <v>OK</v>
      </c>
      <c r="AH731" s="3" t="str">
        <f aca="false">IF(ABS(AA731-AE731)&gt;1,"Mismatch","OK")</f>
        <v>OK</v>
      </c>
      <c r="AI731" s="6" t="n">
        <f aca="false">IF(B731="","",MONTH(B731))</f>
        <v>5</v>
      </c>
      <c r="AJ731" s="6" t="n">
        <f aca="false">IF(B731="","",YEAR(B731))</f>
        <v>2025</v>
      </c>
      <c r="AK731" s="3" t="str">
        <f aca="false">IF(COUNTIF(raw_data!$A$2:$A$913,A731)&gt;1,"Conflicting Duplicate - Flagged for Review","Unique")</f>
        <v>Unique</v>
      </c>
      <c r="AL731" s="3" t="str">
        <f aca="false">IF(AB731="Refunded","Yes","No")</f>
        <v>No</v>
      </c>
      <c r="AM731" s="3" t="str">
        <f aca="false">IF(OR(AC731&lt;&gt;"Completed",AB731="Failed"),"Excluded","Included")</f>
        <v>Included</v>
      </c>
      <c r="AN731" s="3" t="str">
        <f aca="false">IF(OR(D731="Invalid/Unrecognized",E731="Invalid/Unrecognized",G731="Invalid - Ship Before Order",X731="Negative - Invalid",X731="Above Allowed Range - Invalid",AG731="Mismatch",AH731="Mismatch",AK731="Conflicting Duplicate - Flagged for Review"),"Invalid",IF(OR(L731="Filled - Unknown",S731="Filled - Unknown",X731="Missing - Defaulted to 0",AL731="Yes",AC731="Cancelled",AC731="Returned"),"Warning","Clean"))</f>
        <v>Clean</v>
      </c>
    </row>
    <row r="732" customFormat="false" ht="15" hidden="false" customHeight="false" outlineLevel="0" collapsed="false">
      <c r="A732" s="3" t="str">
        <f aca="false">raw_data!A732</f>
        <v>ORD-2025-10731</v>
      </c>
      <c r="B732" s="4" t="n">
        <f aca="false">IFERROR(IF(MID(raw_data!B732,3,1)="/",DATE(VALUE(RIGHT(raw_data!B732,4)),VALUE(LEFT(raw_data!B732,2)),VALUE(MID(raw_data!B732,4,2))),IF(MID(raw_data!B732,3,1)="-",DATE(VALUE(RIGHT(raw_data!B732,4)),VALUE(MID(raw_data!B732,4,2)),VALUE(LEFT(raw_data!B732,2))),IF(MID(raw_data!B732,5,1)="-",DATE(VALUE(LEFT(raw_data!B732,4)),VALUE(MID(raw_data!B732,6,2)),VALUE(RIGHT(raw_data!B732,2))),DATE(VALUE(RIGHT(raw_data!B732,4)),MATCH(MID(raw_data!B732,4,3),{"Jan","Feb","Mar","Apr","May","Jun","Jul","Aug","Sep","Oct","Nov","Dec"},0),VALUE(LEFT(raw_data!B732,2)))))),"")</f>
        <v>45827</v>
      </c>
      <c r="C732" s="4" t="n">
        <f aca="false">IFERROR(IF(MID(raw_data!C732,3,1)="/",DATE(VALUE(RIGHT(raw_data!C732,4)),VALUE(LEFT(raw_data!C732,2)),VALUE(MID(raw_data!C732,4,2))),IF(MID(raw_data!C732,3,1)="-",DATE(VALUE(RIGHT(raw_data!C732,4)),VALUE(MID(raw_data!C732,4,2)),VALUE(LEFT(raw_data!C732,2))),IF(MID(raw_data!C732,5,1)="-",DATE(VALUE(LEFT(raw_data!C732,4)),VALUE(MID(raw_data!C732,6,2)),VALUE(RIGHT(raw_data!C732,2))),DATE(VALUE(RIGHT(raw_data!C732,4)),MATCH(MID(raw_data!C732,4,3),{"Jan","Feb","Mar","Apr","May","Jun","Jul","Aug","Sep","Oct","Nov","Dec"},0),VALUE(LEFT(raw_data!C732,2)))))),"")</f>
        <v>45832</v>
      </c>
      <c r="D732" s="3" t="str">
        <f aca="false">IF(TRIM(raw_data!B732)="","Missing",IF(B732="","Invalid/Unrecognized","Valid"))</f>
        <v>Valid</v>
      </c>
      <c r="E732" s="3" t="str">
        <f aca="false">IF(TRIM(raw_data!C732)="","Missing",IF(C732="","Invalid/Unrecognized","Valid"))</f>
        <v>Valid</v>
      </c>
      <c r="F732" s="5" t="n">
        <f aca="false">IF(OR(B732="",C732=""),"",C732-B732)</f>
        <v>5</v>
      </c>
      <c r="G732" s="3" t="str">
        <f aca="false">IF(F732="","N/A",IF(F732&lt;0,"Invalid - Ship Before Order","OK"))</f>
        <v>OK</v>
      </c>
      <c r="H732" s="3" t="str">
        <f aca="false">raw_data!D732</f>
        <v>CUST-6765</v>
      </c>
      <c r="I732" s="3" t="str">
        <f aca="false">PROPER(TRIM(raw_data!E732))</f>
        <v>Arjun Bose</v>
      </c>
      <c r="J732" s="3" t="str">
        <f aca="false">PROPER(TRIM(raw_data!F732))</f>
        <v>Consumer</v>
      </c>
      <c r="K732" s="3" t="str">
        <f aca="false">IF(TRIM(raw_data!G732)="","Unknown",PROPER(TRIM(raw_data!G732)))</f>
        <v>East</v>
      </c>
      <c r="L732" s="3" t="str">
        <f aca="false">IF(TRIM(raw_data!G732)="","Filled - Unknown","OK")</f>
        <v>OK</v>
      </c>
      <c r="M732" s="3" t="str">
        <f aca="false">PROPER(TRIM(raw_data!H732))</f>
        <v>West Bengal</v>
      </c>
      <c r="N732" s="3" t="str">
        <f aca="false">PROPER(TRIM(raw_data!I732))</f>
        <v>Kolkata</v>
      </c>
      <c r="O732" s="3" t="str">
        <f aca="false">PROPER(TRIM(raw_data!J732))</f>
        <v>Office Supplies</v>
      </c>
      <c r="P732" s="3" t="str">
        <f aca="false">PROPER(TRIM(raw_data!K732))</f>
        <v>Art</v>
      </c>
      <c r="Q732" s="3" t="str">
        <f aca="false">TRIM(raw_data!L732)</f>
        <v>Elite Art 696</v>
      </c>
      <c r="R732" s="3" t="str">
        <f aca="false">IF(TRIM(raw_data!M732)="","Unknown",PROPER(TRIM(raw_data!M732)))</f>
        <v>Second Class</v>
      </c>
      <c r="S732" s="3" t="str">
        <f aca="false">IF(TRIM(raw_data!M732)="","Filled - Unknown","OK")</f>
        <v>OK</v>
      </c>
      <c r="T732" s="6" t="n">
        <f aca="false">raw_data!N732</f>
        <v>4</v>
      </c>
      <c r="U732" s="7" t="n">
        <f aca="false">raw_data!O732</f>
        <v>782.01</v>
      </c>
      <c r="V732" s="8" t="n">
        <f aca="false">raw_data!P732</f>
        <v>0.15</v>
      </c>
      <c r="W732" s="8" t="n">
        <f aca="false">IF(raw_data!P732="",0,IF(ISTEXT(raw_data!P732),IF(RIGHT(raw_data!P732,1)="%",VALUE(LEFT(raw_data!P732,LEN(raw_data!P732)-1))/100,VALUE(raw_data!P732)),raw_data!P732))</f>
        <v>0.15</v>
      </c>
      <c r="X732" s="3" t="str">
        <f aca="false">IF(raw_data!P732="","Missing - Defaulted to 0",IF(W732&lt;0,"Negative - Invalid",IF(W732&gt;0.3,"Above Allowed Range - Invalid","Valid")))</f>
        <v>Valid</v>
      </c>
      <c r="Y732" s="7" t="n">
        <f aca="false">raw_data!Q732</f>
        <v>2658.83</v>
      </c>
      <c r="Z732" s="7" t="n">
        <f aca="false">raw_data!R732</f>
        <v>2226.97</v>
      </c>
      <c r="AA732" s="7" t="n">
        <f aca="false">raw_data!S732</f>
        <v>431.86</v>
      </c>
      <c r="AB732" s="3" t="str">
        <f aca="false">PROPER(TRIM(raw_data!T732))</f>
        <v>Refunded</v>
      </c>
      <c r="AC732" s="3" t="str">
        <f aca="false">PROPER(TRIM(raw_data!U732))</f>
        <v>Returned</v>
      </c>
      <c r="AD732" s="7" t="n">
        <f aca="false">T732*U732*(1-W732)</f>
        <v>2658.834</v>
      </c>
      <c r="AE732" s="7" t="n">
        <f aca="false">AD732-Z732</f>
        <v>431.864</v>
      </c>
      <c r="AF732" s="8" t="n">
        <f aca="false">IF(AD732=0,0,AE732/AD732)</f>
        <v>0.162426086021166</v>
      </c>
      <c r="AG732" s="3" t="str">
        <f aca="false">IF(ABS(Y732-AD732)&gt;1,"Mismatch","OK")</f>
        <v>OK</v>
      </c>
      <c r="AH732" s="3" t="str">
        <f aca="false">IF(ABS(AA732-AE732)&gt;1,"Mismatch","OK")</f>
        <v>OK</v>
      </c>
      <c r="AI732" s="6" t="n">
        <f aca="false">IF(B732="","",MONTH(B732))</f>
        <v>6</v>
      </c>
      <c r="AJ732" s="6" t="n">
        <f aca="false">IF(B732="","",YEAR(B732))</f>
        <v>2025</v>
      </c>
      <c r="AK732" s="3" t="str">
        <f aca="false">IF(COUNTIF(raw_data!$A$2:$A$913,A732)&gt;1,"Conflicting Duplicate - Flagged for Review","Unique")</f>
        <v>Unique</v>
      </c>
      <c r="AL732" s="3" t="str">
        <f aca="false">IF(AB732="Refunded","Yes","No")</f>
        <v>Yes</v>
      </c>
      <c r="AM732" s="3" t="str">
        <f aca="false">IF(OR(AC732&lt;&gt;"Completed",AB732="Failed"),"Excluded","Included")</f>
        <v>Excluded</v>
      </c>
      <c r="AN732" s="3" t="str">
        <f aca="false">IF(OR(D732="Invalid/Unrecognized",E732="Invalid/Unrecognized",G732="Invalid - Ship Before Order",X732="Negative - Invalid",X732="Above Allowed Range - Invalid",AG732="Mismatch",AH732="Mismatch",AK732="Conflicting Duplicate - Flagged for Review"),"Invalid",IF(OR(L732="Filled - Unknown",S732="Filled - Unknown",X732="Missing - Defaulted to 0",AL732="Yes",AC732="Cancelled",AC732="Returned"),"Warning","Clean"))</f>
        <v>Warning</v>
      </c>
    </row>
    <row r="733" customFormat="false" ht="15" hidden="false" customHeight="false" outlineLevel="0" collapsed="false">
      <c r="A733" s="3" t="str">
        <f aca="false">raw_data!A733</f>
        <v>ORD-2024-10732</v>
      </c>
      <c r="B733" s="4" t="n">
        <f aca="false">IFERROR(IF(MID(raw_data!B733,3,1)="/",DATE(VALUE(RIGHT(raw_data!B733,4)),VALUE(LEFT(raw_data!B733,2)),VALUE(MID(raw_data!B733,4,2))),IF(MID(raw_data!B733,3,1)="-",DATE(VALUE(RIGHT(raw_data!B733,4)),VALUE(MID(raw_data!B733,4,2)),VALUE(LEFT(raw_data!B733,2))),IF(MID(raw_data!B733,5,1)="-",DATE(VALUE(LEFT(raw_data!B733,4)),VALUE(MID(raw_data!B733,6,2)),VALUE(RIGHT(raw_data!B733,2))),DATE(VALUE(RIGHT(raw_data!B733,4)),MATCH(MID(raw_data!B733,4,3),{"Jan","Feb","Mar","Apr","May","Jun","Jul","Aug","Sep","Oct","Nov","Dec"},0),VALUE(LEFT(raw_data!B733,2)))))),"")</f>
        <v>45368</v>
      </c>
      <c r="C733" s="4" t="n">
        <f aca="false">IFERROR(IF(MID(raw_data!C733,3,1)="/",DATE(VALUE(RIGHT(raw_data!C733,4)),VALUE(LEFT(raw_data!C733,2)),VALUE(MID(raw_data!C733,4,2))),IF(MID(raw_data!C733,3,1)="-",DATE(VALUE(RIGHT(raw_data!C733,4)),VALUE(MID(raw_data!C733,4,2)),VALUE(LEFT(raw_data!C733,2))),IF(MID(raw_data!C733,5,1)="-",DATE(VALUE(LEFT(raw_data!C733,4)),VALUE(MID(raw_data!C733,6,2)),VALUE(RIGHT(raw_data!C733,2))),DATE(VALUE(RIGHT(raw_data!C733,4)),MATCH(MID(raw_data!C733,4,3),{"Jan","Feb","Mar","Apr","May","Jun","Jul","Aug","Sep","Oct","Nov","Dec"},0),VALUE(LEFT(raw_data!C733,2)))))),"")</f>
        <v>45370</v>
      </c>
      <c r="D733" s="3" t="str">
        <f aca="false">IF(TRIM(raw_data!B733)="","Missing",IF(B733="","Invalid/Unrecognized","Valid"))</f>
        <v>Valid</v>
      </c>
      <c r="E733" s="3" t="str">
        <f aca="false">IF(TRIM(raw_data!C733)="","Missing",IF(C733="","Invalid/Unrecognized","Valid"))</f>
        <v>Valid</v>
      </c>
      <c r="F733" s="5" t="n">
        <f aca="false">IF(OR(B733="",C733=""),"",C733-B733)</f>
        <v>2</v>
      </c>
      <c r="G733" s="3" t="str">
        <f aca="false">IF(F733="","N/A",IF(F733&lt;0,"Invalid - Ship Before Order","OK"))</f>
        <v>OK</v>
      </c>
      <c r="H733" s="3" t="str">
        <f aca="false">raw_data!D733</f>
        <v>CUST-6849</v>
      </c>
      <c r="I733" s="3" t="str">
        <f aca="false">PROPER(TRIM(raw_data!E733))</f>
        <v>Ananya Rao</v>
      </c>
      <c r="J733" s="3" t="str">
        <f aca="false">PROPER(TRIM(raw_data!F733))</f>
        <v>Corporate</v>
      </c>
      <c r="K733" s="3" t="str">
        <f aca="false">IF(TRIM(raw_data!G733)="","Unknown",PROPER(TRIM(raw_data!G733)))</f>
        <v>East</v>
      </c>
      <c r="L733" s="3" t="str">
        <f aca="false">IF(TRIM(raw_data!G733)="","Filled - Unknown","OK")</f>
        <v>OK</v>
      </c>
      <c r="M733" s="3" t="str">
        <f aca="false">PROPER(TRIM(raw_data!H733))</f>
        <v>Odisha</v>
      </c>
      <c r="N733" s="3" t="str">
        <f aca="false">PROPER(TRIM(raw_data!I733))</f>
        <v>Bhubaneswar</v>
      </c>
      <c r="O733" s="3" t="str">
        <f aca="false">PROPER(TRIM(raw_data!J733))</f>
        <v>Office Supplies</v>
      </c>
      <c r="P733" s="3" t="str">
        <f aca="false">PROPER(TRIM(raw_data!K733))</f>
        <v>Binders</v>
      </c>
      <c r="Q733" s="3" t="str">
        <f aca="false">TRIM(raw_data!L733)</f>
        <v>Eco Binders 178</v>
      </c>
      <c r="R733" s="3" t="str">
        <f aca="false">IF(TRIM(raw_data!M733)="","Unknown",PROPER(TRIM(raw_data!M733)))</f>
        <v>First Class</v>
      </c>
      <c r="S733" s="3" t="str">
        <f aca="false">IF(TRIM(raw_data!M733)="","Filled - Unknown","OK")</f>
        <v>OK</v>
      </c>
      <c r="T733" s="6" t="n">
        <f aca="false">raw_data!N733</f>
        <v>4</v>
      </c>
      <c r="U733" s="7" t="n">
        <f aca="false">raw_data!O733</f>
        <v>4376.68</v>
      </c>
      <c r="V733" s="8" t="n">
        <f aca="false">raw_data!P733</f>
        <v>0.1</v>
      </c>
      <c r="W733" s="8" t="n">
        <f aca="false">IF(raw_data!P733="",0,IF(ISTEXT(raw_data!P733),IF(RIGHT(raw_data!P733,1)="%",VALUE(LEFT(raw_data!P733,LEN(raw_data!P733)-1))/100,VALUE(raw_data!P733)),raw_data!P733))</f>
        <v>0.1</v>
      </c>
      <c r="X733" s="3" t="str">
        <f aca="false">IF(raw_data!P733="","Missing - Defaulted to 0",IF(W733&lt;0,"Negative - Invalid",IF(W733&gt;0.3,"Above Allowed Range - Invalid","Valid")))</f>
        <v>Valid</v>
      </c>
      <c r="Y733" s="7" t="n">
        <f aca="false">raw_data!Q733</f>
        <v>15756.05</v>
      </c>
      <c r="Z733" s="7" t="n">
        <f aca="false">raw_data!R733</f>
        <v>10245.44</v>
      </c>
      <c r="AA733" s="7" t="n">
        <f aca="false">raw_data!S733</f>
        <v>5510.61</v>
      </c>
      <c r="AB733" s="3" t="str">
        <f aca="false">PROPER(TRIM(raw_data!T733))</f>
        <v>Paid</v>
      </c>
      <c r="AC733" s="3" t="str">
        <f aca="false">PROPER(TRIM(raw_data!U733))</f>
        <v>Completed</v>
      </c>
      <c r="AD733" s="7" t="n">
        <f aca="false">T733*U733*(1-W733)</f>
        <v>15756.048</v>
      </c>
      <c r="AE733" s="7" t="n">
        <f aca="false">AD733-Z733</f>
        <v>5510.608</v>
      </c>
      <c r="AF733" s="8" t="n">
        <f aca="false">IF(AD733=0,0,AE733/AD733)</f>
        <v>0.349745570716718</v>
      </c>
      <c r="AG733" s="3" t="str">
        <f aca="false">IF(ABS(Y733-AD733)&gt;1,"Mismatch","OK")</f>
        <v>OK</v>
      </c>
      <c r="AH733" s="3" t="str">
        <f aca="false">IF(ABS(AA733-AE733)&gt;1,"Mismatch","OK")</f>
        <v>OK</v>
      </c>
      <c r="AI733" s="6" t="n">
        <f aca="false">IF(B733="","",MONTH(B733))</f>
        <v>3</v>
      </c>
      <c r="AJ733" s="6" t="n">
        <f aca="false">IF(B733="","",YEAR(B733))</f>
        <v>2024</v>
      </c>
      <c r="AK733" s="3" t="str">
        <f aca="false">IF(COUNTIF(raw_data!$A$2:$A$913,A733)&gt;1,"Conflicting Duplicate - Flagged for Review","Unique")</f>
        <v>Unique</v>
      </c>
      <c r="AL733" s="3" t="str">
        <f aca="false">IF(AB733="Refunded","Yes","No")</f>
        <v>No</v>
      </c>
      <c r="AM733" s="3" t="str">
        <f aca="false">IF(OR(AC733&lt;&gt;"Completed",AB733="Failed"),"Excluded","Included")</f>
        <v>Included</v>
      </c>
      <c r="AN733" s="3" t="str">
        <f aca="false">IF(OR(D733="Invalid/Unrecognized",E733="Invalid/Unrecognized",G733="Invalid - Ship Before Order",X733="Negative - Invalid",X733="Above Allowed Range - Invalid",AG733="Mismatch",AH733="Mismatch",AK733="Conflicting Duplicate - Flagged for Review"),"Invalid",IF(OR(L733="Filled - Unknown",S733="Filled - Unknown",X733="Missing - Defaulted to 0",AL733="Yes",AC733="Cancelled",AC733="Returned"),"Warning","Clean"))</f>
        <v>Clean</v>
      </c>
    </row>
    <row r="734" customFormat="false" ht="15" hidden="false" customHeight="false" outlineLevel="0" collapsed="false">
      <c r="A734" s="3" t="str">
        <f aca="false">raw_data!A734</f>
        <v>ORD-2024-10733</v>
      </c>
      <c r="B734" s="4" t="n">
        <f aca="false">IFERROR(IF(MID(raw_data!B734,3,1)="/",DATE(VALUE(RIGHT(raw_data!B734,4)),VALUE(LEFT(raw_data!B734,2)),VALUE(MID(raw_data!B734,4,2))),IF(MID(raw_data!B734,3,1)="-",DATE(VALUE(RIGHT(raw_data!B734,4)),VALUE(MID(raw_data!B734,4,2)),VALUE(LEFT(raw_data!B734,2))),IF(MID(raw_data!B734,5,1)="-",DATE(VALUE(LEFT(raw_data!B734,4)),VALUE(MID(raw_data!B734,6,2)),VALUE(RIGHT(raw_data!B734,2))),DATE(VALUE(RIGHT(raw_data!B734,4)),MATCH(MID(raw_data!B734,4,3),{"Jan","Feb","Mar","Apr","May","Jun","Jul","Aug","Sep","Oct","Nov","Dec"},0),VALUE(LEFT(raw_data!B734,2)))))),"")</f>
        <v>45624</v>
      </c>
      <c r="C734" s="4" t="n">
        <f aca="false">IFERROR(IF(MID(raw_data!C734,3,1)="/",DATE(VALUE(RIGHT(raw_data!C734,4)),VALUE(LEFT(raw_data!C734,2)),VALUE(MID(raw_data!C734,4,2))),IF(MID(raw_data!C734,3,1)="-",DATE(VALUE(RIGHT(raw_data!C734,4)),VALUE(MID(raw_data!C734,4,2)),VALUE(LEFT(raw_data!C734,2))),IF(MID(raw_data!C734,5,1)="-",DATE(VALUE(LEFT(raw_data!C734,4)),VALUE(MID(raw_data!C734,6,2)),VALUE(RIGHT(raw_data!C734,2))),DATE(VALUE(RIGHT(raw_data!C734,4)),MATCH(MID(raw_data!C734,4,3),{"Jan","Feb","Mar","Apr","May","Jun","Jul","Aug","Sep","Oct","Nov","Dec"},0),VALUE(LEFT(raw_data!C734,2)))))),"")</f>
        <v>45632</v>
      </c>
      <c r="D734" s="3" t="str">
        <f aca="false">IF(TRIM(raw_data!B734)="","Missing",IF(B734="","Invalid/Unrecognized","Valid"))</f>
        <v>Valid</v>
      </c>
      <c r="E734" s="3" t="str">
        <f aca="false">IF(TRIM(raw_data!C734)="","Missing",IF(C734="","Invalid/Unrecognized","Valid"))</f>
        <v>Valid</v>
      </c>
      <c r="F734" s="5" t="n">
        <f aca="false">IF(OR(B734="",C734=""),"",C734-B734)</f>
        <v>8</v>
      </c>
      <c r="G734" s="3" t="str">
        <f aca="false">IF(F734="","N/A",IF(F734&lt;0,"Invalid - Ship Before Order","OK"))</f>
        <v>OK</v>
      </c>
      <c r="H734" s="3" t="str">
        <f aca="false">raw_data!D734</f>
        <v>CUST-4973</v>
      </c>
      <c r="I734" s="3" t="str">
        <f aca="false">PROPER(TRIM(raw_data!E734))</f>
        <v>Arjun Bose</v>
      </c>
      <c r="J734" s="3" t="str">
        <f aca="false">PROPER(TRIM(raw_data!F734))</f>
        <v>Small Business</v>
      </c>
      <c r="K734" s="3" t="str">
        <f aca="false">IF(TRIM(raw_data!G734)="","Unknown",PROPER(TRIM(raw_data!G734)))</f>
        <v>North</v>
      </c>
      <c r="L734" s="3" t="str">
        <f aca="false">IF(TRIM(raw_data!G734)="","Filled - Unknown","OK")</f>
        <v>OK</v>
      </c>
      <c r="M734" s="3" t="str">
        <f aca="false">PROPER(TRIM(raw_data!H734))</f>
        <v>Punjab</v>
      </c>
      <c r="N734" s="3" t="str">
        <f aca="false">PROPER(TRIM(raw_data!I734))</f>
        <v>Ludhiana</v>
      </c>
      <c r="O734" s="3" t="str">
        <f aca="false">PROPER(TRIM(raw_data!J734))</f>
        <v>Technology</v>
      </c>
      <c r="P734" s="3" t="str">
        <f aca="false">PROPER(TRIM(raw_data!K734))</f>
        <v>Phones</v>
      </c>
      <c r="Q734" s="3" t="str">
        <f aca="false">TRIM(raw_data!L734)</f>
        <v>Max Phones 678</v>
      </c>
      <c r="R734" s="3" t="str">
        <f aca="false">IF(TRIM(raw_data!M734)="","Unknown",PROPER(TRIM(raw_data!M734)))</f>
        <v>Standard Class</v>
      </c>
      <c r="S734" s="3" t="str">
        <f aca="false">IF(TRIM(raw_data!M734)="","Filled - Unknown","OK")</f>
        <v>OK</v>
      </c>
      <c r="T734" s="6" t="n">
        <f aca="false">raw_data!N734</f>
        <v>6</v>
      </c>
      <c r="U734" s="7" t="n">
        <f aca="false">raw_data!O734</f>
        <v>2464.63</v>
      </c>
      <c r="V734" s="8" t="n">
        <f aca="false">raw_data!P734</f>
        <v>0</v>
      </c>
      <c r="W734" s="8" t="n">
        <f aca="false">IF(raw_data!P734="",0,IF(ISTEXT(raw_data!P734),IF(RIGHT(raw_data!P734,1)="%",VALUE(LEFT(raw_data!P734,LEN(raw_data!P734)-1))/100,VALUE(raw_data!P734)),raw_data!P734))</f>
        <v>0</v>
      </c>
      <c r="X734" s="3" t="str">
        <f aca="false">IF(raw_data!P734="","Missing - Defaulted to 0",IF(W734&lt;0,"Negative - Invalid",IF(W734&gt;0.3,"Above Allowed Range - Invalid","Valid")))</f>
        <v>Valid</v>
      </c>
      <c r="Y734" s="7" t="n">
        <f aca="false">raw_data!Q734</f>
        <v>14787.78</v>
      </c>
      <c r="Z734" s="7" t="n">
        <f aca="false">raw_data!R734</f>
        <v>8596.65</v>
      </c>
      <c r="AA734" s="7" t="n">
        <f aca="false">raw_data!S734</f>
        <v>6191.13</v>
      </c>
      <c r="AB734" s="3" t="str">
        <f aca="false">PROPER(TRIM(raw_data!T734))</f>
        <v>Paid</v>
      </c>
      <c r="AC734" s="3" t="str">
        <f aca="false">PROPER(TRIM(raw_data!U734))</f>
        <v>Completed</v>
      </c>
      <c r="AD734" s="7" t="n">
        <f aca="false">T734*U734*(1-W734)</f>
        <v>14787.78</v>
      </c>
      <c r="AE734" s="7" t="n">
        <f aca="false">AD734-Z734</f>
        <v>6191.13</v>
      </c>
      <c r="AF734" s="8" t="n">
        <f aca="false">IF(AD734=0,0,AE734/AD734)</f>
        <v>0.41866527632951</v>
      </c>
      <c r="AG734" s="3" t="str">
        <f aca="false">IF(ABS(Y734-AD734)&gt;1,"Mismatch","OK")</f>
        <v>OK</v>
      </c>
      <c r="AH734" s="3" t="str">
        <f aca="false">IF(ABS(AA734-AE734)&gt;1,"Mismatch","OK")</f>
        <v>OK</v>
      </c>
      <c r="AI734" s="6" t="n">
        <f aca="false">IF(B734="","",MONTH(B734))</f>
        <v>11</v>
      </c>
      <c r="AJ734" s="6" t="n">
        <f aca="false">IF(B734="","",YEAR(B734))</f>
        <v>2024</v>
      </c>
      <c r="AK734" s="3" t="str">
        <f aca="false">IF(COUNTIF(raw_data!$A$2:$A$913,A734)&gt;1,"Conflicting Duplicate - Flagged for Review","Unique")</f>
        <v>Unique</v>
      </c>
      <c r="AL734" s="3" t="str">
        <f aca="false">IF(AB734="Refunded","Yes","No")</f>
        <v>No</v>
      </c>
      <c r="AM734" s="3" t="str">
        <f aca="false">IF(OR(AC734&lt;&gt;"Completed",AB734="Failed"),"Excluded","Included")</f>
        <v>Included</v>
      </c>
      <c r="AN734" s="3" t="str">
        <f aca="false">IF(OR(D734="Invalid/Unrecognized",E734="Invalid/Unrecognized",G734="Invalid - Ship Before Order",X734="Negative - Invalid",X734="Above Allowed Range - Invalid",AG734="Mismatch",AH734="Mismatch",AK734="Conflicting Duplicate - Flagged for Review"),"Invalid",IF(OR(L734="Filled - Unknown",S734="Filled - Unknown",X734="Missing - Defaulted to 0",AL734="Yes",AC734="Cancelled",AC734="Returned"),"Warning","Clean"))</f>
        <v>Clean</v>
      </c>
    </row>
    <row r="735" customFormat="false" ht="15" hidden="false" customHeight="false" outlineLevel="0" collapsed="false">
      <c r="A735" s="3" t="str">
        <f aca="false">raw_data!A735</f>
        <v>ORD-2024-10734</v>
      </c>
      <c r="B735" s="4" t="n">
        <f aca="false">IFERROR(IF(MID(raw_data!B735,3,1)="/",DATE(VALUE(RIGHT(raw_data!B735,4)),VALUE(LEFT(raw_data!B735,2)),VALUE(MID(raw_data!B735,4,2))),IF(MID(raw_data!B735,3,1)="-",DATE(VALUE(RIGHT(raw_data!B735,4)),VALUE(MID(raw_data!B735,4,2)),VALUE(LEFT(raw_data!B735,2))),IF(MID(raw_data!B735,5,1)="-",DATE(VALUE(LEFT(raw_data!B735,4)),VALUE(MID(raw_data!B735,6,2)),VALUE(RIGHT(raw_data!B735,2))),DATE(VALUE(RIGHT(raw_data!B735,4)),MATCH(MID(raw_data!B735,4,3),{"Jan","Feb","Mar","Apr","May","Jun","Jul","Aug","Sep","Oct","Nov","Dec"},0),VALUE(LEFT(raw_data!B735,2)))))),"")</f>
        <v>45464</v>
      </c>
      <c r="C735" s="4" t="n">
        <f aca="false">IFERROR(IF(MID(raw_data!C735,3,1)="/",DATE(VALUE(RIGHT(raw_data!C735,4)),VALUE(LEFT(raw_data!C735,2)),VALUE(MID(raw_data!C735,4,2))),IF(MID(raw_data!C735,3,1)="-",DATE(VALUE(RIGHT(raw_data!C735,4)),VALUE(MID(raw_data!C735,4,2)),VALUE(LEFT(raw_data!C735,2))),IF(MID(raw_data!C735,5,1)="-",DATE(VALUE(LEFT(raw_data!C735,4)),VALUE(MID(raw_data!C735,6,2)),VALUE(RIGHT(raw_data!C735,2))),DATE(VALUE(RIGHT(raw_data!C735,4)),MATCH(MID(raw_data!C735,4,3),{"Jan","Feb","Mar","Apr","May","Jun","Jul","Aug","Sep","Oct","Nov","Dec"},0),VALUE(LEFT(raw_data!C735,2)))))),"")</f>
        <v>45471</v>
      </c>
      <c r="D735" s="3" t="str">
        <f aca="false">IF(TRIM(raw_data!B735)="","Missing",IF(B735="","Invalid/Unrecognized","Valid"))</f>
        <v>Valid</v>
      </c>
      <c r="E735" s="3" t="str">
        <f aca="false">IF(TRIM(raw_data!C735)="","Missing",IF(C735="","Invalid/Unrecognized","Valid"))</f>
        <v>Valid</v>
      </c>
      <c r="F735" s="5" t="n">
        <f aca="false">IF(OR(B735="",C735=""),"",C735-B735)</f>
        <v>7</v>
      </c>
      <c r="G735" s="3" t="str">
        <f aca="false">IF(F735="","N/A",IF(F735&lt;0,"Invalid - Ship Before Order","OK"))</f>
        <v>OK</v>
      </c>
      <c r="H735" s="3" t="str">
        <f aca="false">raw_data!D735</f>
        <v>CUST-2394</v>
      </c>
      <c r="I735" s="3" t="str">
        <f aca="false">PROPER(TRIM(raw_data!E735))</f>
        <v>Aarav Sharma</v>
      </c>
      <c r="J735" s="3" t="str">
        <f aca="false">PROPER(TRIM(raw_data!F735))</f>
        <v>Home Office</v>
      </c>
      <c r="K735" s="3" t="str">
        <f aca="false">IF(TRIM(raw_data!G735)="","Unknown",PROPER(TRIM(raw_data!G735)))</f>
        <v>North</v>
      </c>
      <c r="L735" s="3" t="str">
        <f aca="false">IF(TRIM(raw_data!G735)="","Filled - Unknown","OK")</f>
        <v>OK</v>
      </c>
      <c r="M735" s="3" t="str">
        <f aca="false">PROPER(TRIM(raw_data!H735))</f>
        <v>Rajasthan</v>
      </c>
      <c r="N735" s="3" t="str">
        <f aca="false">PROPER(TRIM(raw_data!I735))</f>
        <v>Jaipur</v>
      </c>
      <c r="O735" s="3" t="str">
        <f aca="false">PROPER(TRIM(raw_data!J735))</f>
        <v>Furniture</v>
      </c>
      <c r="P735" s="3" t="str">
        <f aca="false">PROPER(TRIM(raw_data!K735))</f>
        <v>Furnishings</v>
      </c>
      <c r="Q735" s="3" t="str">
        <f aca="false">TRIM(raw_data!L735)</f>
        <v>Classic Furnishings 582</v>
      </c>
      <c r="R735" s="3" t="str">
        <f aca="false">IF(TRIM(raw_data!M735)="","Unknown",PROPER(TRIM(raw_data!M735)))</f>
        <v>First Class</v>
      </c>
      <c r="S735" s="3" t="str">
        <f aca="false">IF(TRIM(raw_data!M735)="","Filled - Unknown","OK")</f>
        <v>OK</v>
      </c>
      <c r="T735" s="6" t="n">
        <f aca="false">raw_data!N735</f>
        <v>9</v>
      </c>
      <c r="U735" s="7" t="n">
        <f aca="false">raw_data!O735</f>
        <v>2797.96</v>
      </c>
      <c r="V735" s="8" t="n">
        <f aca="false">raw_data!P735</f>
        <v>0</v>
      </c>
      <c r="W735" s="8" t="n">
        <f aca="false">IF(raw_data!P735="",0,IF(ISTEXT(raw_data!P735),IF(RIGHT(raw_data!P735,1)="%",VALUE(LEFT(raw_data!P735,LEN(raw_data!P735)-1))/100,VALUE(raw_data!P735)),raw_data!P735))</f>
        <v>0</v>
      </c>
      <c r="X735" s="3" t="str">
        <f aca="false">IF(raw_data!P735="","Missing - Defaulted to 0",IF(W735&lt;0,"Negative - Invalid",IF(W735&gt;0.3,"Above Allowed Range - Invalid","Valid")))</f>
        <v>Valid</v>
      </c>
      <c r="Y735" s="7" t="n">
        <f aca="false">raw_data!Q735</f>
        <v>25181.64</v>
      </c>
      <c r="Z735" s="7" t="n">
        <f aca="false">raw_data!R735</f>
        <v>15337.9</v>
      </c>
      <c r="AA735" s="7" t="n">
        <f aca="false">raw_data!S735</f>
        <v>9843.74</v>
      </c>
      <c r="AB735" s="3" t="str">
        <f aca="false">PROPER(TRIM(raw_data!T735))</f>
        <v>Paid</v>
      </c>
      <c r="AC735" s="3" t="str">
        <f aca="false">PROPER(TRIM(raw_data!U735))</f>
        <v>Completed</v>
      </c>
      <c r="AD735" s="7" t="n">
        <f aca="false">T735*U735*(1-W735)</f>
        <v>25181.64</v>
      </c>
      <c r="AE735" s="7" t="n">
        <f aca="false">AD735-Z735</f>
        <v>9843.74</v>
      </c>
      <c r="AF735" s="8" t="n">
        <f aca="false">IF(AD735=0,0,AE735/AD735)</f>
        <v>0.39090940860087</v>
      </c>
      <c r="AG735" s="3" t="str">
        <f aca="false">IF(ABS(Y735-AD735)&gt;1,"Mismatch","OK")</f>
        <v>OK</v>
      </c>
      <c r="AH735" s="3" t="str">
        <f aca="false">IF(ABS(AA735-AE735)&gt;1,"Mismatch","OK")</f>
        <v>OK</v>
      </c>
      <c r="AI735" s="6" t="n">
        <f aca="false">IF(B735="","",MONTH(B735))</f>
        <v>6</v>
      </c>
      <c r="AJ735" s="6" t="n">
        <f aca="false">IF(B735="","",YEAR(B735))</f>
        <v>2024</v>
      </c>
      <c r="AK735" s="3" t="str">
        <f aca="false">IF(COUNTIF(raw_data!$A$2:$A$913,A735)&gt;1,"Conflicting Duplicate - Flagged for Review","Unique")</f>
        <v>Unique</v>
      </c>
      <c r="AL735" s="3" t="str">
        <f aca="false">IF(AB735="Refunded","Yes","No")</f>
        <v>No</v>
      </c>
      <c r="AM735" s="3" t="str">
        <f aca="false">IF(OR(AC735&lt;&gt;"Completed",AB735="Failed"),"Excluded","Included")</f>
        <v>Included</v>
      </c>
      <c r="AN735" s="3" t="str">
        <f aca="false">IF(OR(D735="Invalid/Unrecognized",E735="Invalid/Unrecognized",G735="Invalid - Ship Before Order",X735="Negative - Invalid",X735="Above Allowed Range - Invalid",AG735="Mismatch",AH735="Mismatch",AK735="Conflicting Duplicate - Flagged for Review"),"Invalid",IF(OR(L735="Filled - Unknown",S735="Filled - Unknown",X735="Missing - Defaulted to 0",AL735="Yes",AC735="Cancelled",AC735="Returned"),"Warning","Clean"))</f>
        <v>Clean</v>
      </c>
    </row>
    <row r="736" customFormat="false" ht="15" hidden="false" customHeight="false" outlineLevel="0" collapsed="false">
      <c r="A736" s="3" t="str">
        <f aca="false">raw_data!A736</f>
        <v>ORD-2024-10735</v>
      </c>
      <c r="B736" s="4" t="n">
        <f aca="false">IFERROR(IF(MID(raw_data!B736,3,1)="/",DATE(VALUE(RIGHT(raw_data!B736,4)),VALUE(LEFT(raw_data!B736,2)),VALUE(MID(raw_data!B736,4,2))),IF(MID(raw_data!B736,3,1)="-",DATE(VALUE(RIGHT(raw_data!B736,4)),VALUE(MID(raw_data!B736,4,2)),VALUE(LEFT(raw_data!B736,2))),IF(MID(raw_data!B736,5,1)="-",DATE(VALUE(LEFT(raw_data!B736,4)),VALUE(MID(raw_data!B736,6,2)),VALUE(RIGHT(raw_data!B736,2))),DATE(VALUE(RIGHT(raw_data!B736,4)),MATCH(MID(raw_data!B736,4,3),{"Jan","Feb","Mar","Apr","May","Jun","Jul","Aug","Sep","Oct","Nov","Dec"},0),VALUE(LEFT(raw_data!B736,2)))))),"")</f>
        <v>45528</v>
      </c>
      <c r="C736" s="4" t="n">
        <f aca="false">IFERROR(IF(MID(raw_data!C736,3,1)="/",DATE(VALUE(RIGHT(raw_data!C736,4)),VALUE(LEFT(raw_data!C736,2)),VALUE(MID(raw_data!C736,4,2))),IF(MID(raw_data!C736,3,1)="-",DATE(VALUE(RIGHT(raw_data!C736,4)),VALUE(MID(raw_data!C736,4,2)),VALUE(LEFT(raw_data!C736,2))),IF(MID(raw_data!C736,5,1)="-",DATE(VALUE(LEFT(raw_data!C736,4)),VALUE(MID(raw_data!C736,6,2)),VALUE(RIGHT(raw_data!C736,2))),DATE(VALUE(RIGHT(raw_data!C736,4)),MATCH(MID(raw_data!C736,4,3),{"Jan","Feb","Mar","Apr","May","Jun","Jul","Aug","Sep","Oct","Nov","Dec"},0),VALUE(LEFT(raw_data!C736,2)))))),"")</f>
        <v>45528</v>
      </c>
      <c r="D736" s="3" t="str">
        <f aca="false">IF(TRIM(raw_data!B736)="","Missing",IF(B736="","Invalid/Unrecognized","Valid"))</f>
        <v>Valid</v>
      </c>
      <c r="E736" s="3" t="str">
        <f aca="false">IF(TRIM(raw_data!C736)="","Missing",IF(C736="","Invalid/Unrecognized","Valid"))</f>
        <v>Valid</v>
      </c>
      <c r="F736" s="5" t="n">
        <f aca="false">IF(OR(B736="",C736=""),"",C736-B736)</f>
        <v>0</v>
      </c>
      <c r="G736" s="3" t="str">
        <f aca="false">IF(F736="","N/A",IF(F736&lt;0,"Invalid - Ship Before Order","OK"))</f>
        <v>OK</v>
      </c>
      <c r="H736" s="3" t="str">
        <f aca="false">raw_data!D736</f>
        <v>CUST-5406</v>
      </c>
      <c r="I736" s="3" t="str">
        <f aca="false">PROPER(TRIM(raw_data!E736))</f>
        <v>Ananya Rao</v>
      </c>
      <c r="J736" s="3" t="str">
        <f aca="false">PROPER(TRIM(raw_data!F736))</f>
        <v>Small Business</v>
      </c>
      <c r="K736" s="3" t="str">
        <f aca="false">IF(TRIM(raw_data!G736)="","Unknown",PROPER(TRIM(raw_data!G736)))</f>
        <v>North</v>
      </c>
      <c r="L736" s="3" t="str">
        <f aca="false">IF(TRIM(raw_data!G736)="","Filled - Unknown","OK")</f>
        <v>OK</v>
      </c>
      <c r="M736" s="3" t="str">
        <f aca="false">PROPER(TRIM(raw_data!H736))</f>
        <v>Rajasthan</v>
      </c>
      <c r="N736" s="3" t="str">
        <f aca="false">PROPER(TRIM(raw_data!I736))</f>
        <v>Jaipur</v>
      </c>
      <c r="O736" s="3" t="str">
        <f aca="false">PROPER(TRIM(raw_data!J736))</f>
        <v>Technology</v>
      </c>
      <c r="P736" s="3" t="str">
        <f aca="false">PROPER(TRIM(raw_data!K736))</f>
        <v>Accessories</v>
      </c>
      <c r="Q736" s="3" t="str">
        <f aca="false">TRIM(raw_data!L736)</f>
        <v>Classic Accessories 981</v>
      </c>
      <c r="R736" s="3" t="str">
        <f aca="false">IF(TRIM(raw_data!M736)="","Unknown",PROPER(TRIM(raw_data!M736)))</f>
        <v>First Class</v>
      </c>
      <c r="S736" s="3" t="str">
        <f aca="false">IF(TRIM(raw_data!M736)="","Filled - Unknown","OK")</f>
        <v>OK</v>
      </c>
      <c r="T736" s="6" t="n">
        <f aca="false">raw_data!N736</f>
        <v>4</v>
      </c>
      <c r="U736" s="7" t="n">
        <f aca="false">raw_data!O736</f>
        <v>2761.86</v>
      </c>
      <c r="V736" s="8" t="n">
        <f aca="false">raw_data!P736</f>
        <v>0.2</v>
      </c>
      <c r="W736" s="8" t="n">
        <f aca="false">IF(raw_data!P736="",0,IF(ISTEXT(raw_data!P736),IF(RIGHT(raw_data!P736,1)="%",VALUE(LEFT(raw_data!P736,LEN(raw_data!P736)-1))/100,VALUE(raw_data!P736)),raw_data!P736))</f>
        <v>0.2</v>
      </c>
      <c r="X736" s="3" t="str">
        <f aca="false">IF(raw_data!P736="","Missing - Defaulted to 0",IF(W736&lt;0,"Negative - Invalid",IF(W736&gt;0.3,"Above Allowed Range - Invalid","Valid")))</f>
        <v>Valid</v>
      </c>
      <c r="Y736" s="7" t="n">
        <f aca="false">raw_data!Q736</f>
        <v>8837.95</v>
      </c>
      <c r="Z736" s="7" t="n">
        <f aca="false">raw_data!R736</f>
        <v>6157.27</v>
      </c>
      <c r="AA736" s="7" t="n">
        <f aca="false">raw_data!S736</f>
        <v>2680.68</v>
      </c>
      <c r="AB736" s="3" t="str">
        <f aca="false">PROPER(TRIM(raw_data!T736))</f>
        <v>Paid</v>
      </c>
      <c r="AC736" s="3" t="str">
        <f aca="false">PROPER(TRIM(raw_data!U736))</f>
        <v>Completed</v>
      </c>
      <c r="AD736" s="7" t="n">
        <f aca="false">T736*U736*(1-W736)</f>
        <v>8837.952</v>
      </c>
      <c r="AE736" s="7" t="n">
        <f aca="false">AD736-Z736</f>
        <v>2680.682</v>
      </c>
      <c r="AF736" s="8" t="n">
        <f aca="false">IF(AD736=0,0,AE736/AD736)</f>
        <v>0.303314840361206</v>
      </c>
      <c r="AG736" s="3" t="str">
        <f aca="false">IF(ABS(Y736-AD736)&gt;1,"Mismatch","OK")</f>
        <v>OK</v>
      </c>
      <c r="AH736" s="3" t="str">
        <f aca="false">IF(ABS(AA736-AE736)&gt;1,"Mismatch","OK")</f>
        <v>OK</v>
      </c>
      <c r="AI736" s="6" t="n">
        <f aca="false">IF(B736="","",MONTH(B736))</f>
        <v>8</v>
      </c>
      <c r="AJ736" s="6" t="n">
        <f aca="false">IF(B736="","",YEAR(B736))</f>
        <v>2024</v>
      </c>
      <c r="AK736" s="3" t="str">
        <f aca="false">IF(COUNTIF(raw_data!$A$2:$A$913,A736)&gt;1,"Conflicting Duplicate - Flagged for Review","Unique")</f>
        <v>Unique</v>
      </c>
      <c r="AL736" s="3" t="str">
        <f aca="false">IF(AB736="Refunded","Yes","No")</f>
        <v>No</v>
      </c>
      <c r="AM736" s="3" t="str">
        <f aca="false">IF(OR(AC736&lt;&gt;"Completed",AB736="Failed"),"Excluded","Included")</f>
        <v>Included</v>
      </c>
      <c r="AN736" s="3" t="str">
        <f aca="false">IF(OR(D736="Invalid/Unrecognized",E736="Invalid/Unrecognized",G736="Invalid - Ship Before Order",X736="Negative - Invalid",X736="Above Allowed Range - Invalid",AG736="Mismatch",AH736="Mismatch",AK736="Conflicting Duplicate - Flagged for Review"),"Invalid",IF(OR(L736="Filled - Unknown",S736="Filled - Unknown",X736="Missing - Defaulted to 0",AL736="Yes",AC736="Cancelled",AC736="Returned"),"Warning","Clean"))</f>
        <v>Clean</v>
      </c>
    </row>
    <row r="737" customFormat="false" ht="15" hidden="false" customHeight="false" outlineLevel="0" collapsed="false">
      <c r="A737" s="3" t="str">
        <f aca="false">raw_data!A737</f>
        <v>ORD-2024-10736</v>
      </c>
      <c r="B737" s="4" t="n">
        <f aca="false">IFERROR(IF(MID(raw_data!B737,3,1)="/",DATE(VALUE(RIGHT(raw_data!B737,4)),VALUE(LEFT(raw_data!B737,2)),VALUE(MID(raw_data!B737,4,2))),IF(MID(raw_data!B737,3,1)="-",DATE(VALUE(RIGHT(raw_data!B737,4)),VALUE(MID(raw_data!B737,4,2)),VALUE(LEFT(raw_data!B737,2))),IF(MID(raw_data!B737,5,1)="-",DATE(VALUE(LEFT(raw_data!B737,4)),VALUE(MID(raw_data!B737,6,2)),VALUE(RIGHT(raw_data!B737,2))),DATE(VALUE(RIGHT(raw_data!B737,4)),MATCH(MID(raw_data!B737,4,3),{"Jan","Feb","Mar","Apr","May","Jun","Jul","Aug","Sep","Oct","Nov","Dec"},0),VALUE(LEFT(raw_data!B737,2)))))),"")</f>
        <v>45515</v>
      </c>
      <c r="C737" s="4" t="n">
        <f aca="false">IFERROR(IF(MID(raw_data!C737,3,1)="/",DATE(VALUE(RIGHT(raw_data!C737,4)),VALUE(LEFT(raw_data!C737,2)),VALUE(MID(raw_data!C737,4,2))),IF(MID(raw_data!C737,3,1)="-",DATE(VALUE(RIGHT(raw_data!C737,4)),VALUE(MID(raw_data!C737,4,2)),VALUE(LEFT(raw_data!C737,2))),IF(MID(raw_data!C737,5,1)="-",DATE(VALUE(LEFT(raw_data!C737,4)),VALUE(MID(raw_data!C737,6,2)),VALUE(RIGHT(raw_data!C737,2))),DATE(VALUE(RIGHT(raw_data!C737,4)),MATCH(MID(raw_data!C737,4,3),{"Jan","Feb","Mar","Apr","May","Jun","Jul","Aug","Sep","Oct","Nov","Dec"},0),VALUE(LEFT(raw_data!C737,2)))))),"")</f>
        <v>45523</v>
      </c>
      <c r="D737" s="3" t="str">
        <f aca="false">IF(TRIM(raw_data!B737)="","Missing",IF(B737="","Invalid/Unrecognized","Valid"))</f>
        <v>Valid</v>
      </c>
      <c r="E737" s="3" t="str">
        <f aca="false">IF(TRIM(raw_data!C737)="","Missing",IF(C737="","Invalid/Unrecognized","Valid"))</f>
        <v>Valid</v>
      </c>
      <c r="F737" s="5" t="n">
        <f aca="false">IF(OR(B737="",C737=""),"",C737-B737)</f>
        <v>8</v>
      </c>
      <c r="G737" s="3" t="str">
        <f aca="false">IF(F737="","N/A",IF(F737&lt;0,"Invalid - Ship Before Order","OK"))</f>
        <v>OK</v>
      </c>
      <c r="H737" s="3" t="str">
        <f aca="false">raw_data!D737</f>
        <v>CUST-1963</v>
      </c>
      <c r="I737" s="3" t="str">
        <f aca="false">PROPER(TRIM(raw_data!E737))</f>
        <v>Mira Das</v>
      </c>
      <c r="J737" s="3" t="str">
        <f aca="false">PROPER(TRIM(raw_data!F737))</f>
        <v>Consumer</v>
      </c>
      <c r="K737" s="3" t="str">
        <f aca="false">IF(TRIM(raw_data!G737)="","Unknown",PROPER(TRIM(raw_data!G737)))</f>
        <v>West</v>
      </c>
      <c r="L737" s="3" t="str">
        <f aca="false">IF(TRIM(raw_data!G737)="","Filled - Unknown","OK")</f>
        <v>OK</v>
      </c>
      <c r="M737" s="3" t="str">
        <f aca="false">PROPER(TRIM(raw_data!H737))</f>
        <v>Maharashtra</v>
      </c>
      <c r="N737" s="3" t="str">
        <f aca="false">PROPER(TRIM(raw_data!I737))</f>
        <v>Mumbai</v>
      </c>
      <c r="O737" s="3" t="str">
        <f aca="false">PROPER(TRIM(raw_data!J737))</f>
        <v>Furniture</v>
      </c>
      <c r="P737" s="3" t="str">
        <f aca="false">PROPER(TRIM(raw_data!K737))</f>
        <v>Tables</v>
      </c>
      <c r="Q737" s="3" t="str">
        <f aca="false">TRIM(raw_data!L737)</f>
        <v>Classic Tables 534</v>
      </c>
      <c r="R737" s="3" t="str">
        <f aca="false">IF(TRIM(raw_data!M737)="","Unknown",PROPER(TRIM(raw_data!M737)))</f>
        <v>Standard Class</v>
      </c>
      <c r="S737" s="3" t="str">
        <f aca="false">IF(TRIM(raw_data!M737)="","Filled - Unknown","OK")</f>
        <v>OK</v>
      </c>
      <c r="T737" s="6" t="n">
        <f aca="false">raw_data!N737</f>
        <v>6</v>
      </c>
      <c r="U737" s="7" t="n">
        <f aca="false">raw_data!O737</f>
        <v>1515.79</v>
      </c>
      <c r="V737" s="8" t="n">
        <f aca="false">raw_data!P737</f>
        <v>0.2</v>
      </c>
      <c r="W737" s="8" t="n">
        <f aca="false">IF(raw_data!P737="",0,IF(ISTEXT(raw_data!P737),IF(RIGHT(raw_data!P737,1)="%",VALUE(LEFT(raw_data!P737,LEN(raw_data!P737)-1))/100,VALUE(raw_data!P737)),raw_data!P737))</f>
        <v>0.2</v>
      </c>
      <c r="X737" s="3" t="str">
        <f aca="false">IF(raw_data!P737="","Missing - Defaulted to 0",IF(W737&lt;0,"Negative - Invalid",IF(W737&gt;0.3,"Above Allowed Range - Invalid","Valid")))</f>
        <v>Valid</v>
      </c>
      <c r="Y737" s="7" t="n">
        <f aca="false">raw_data!Q737</f>
        <v>7275.79</v>
      </c>
      <c r="Z737" s="7" t="n">
        <f aca="false">raw_data!R737</f>
        <v>6152.87</v>
      </c>
      <c r="AA737" s="7" t="n">
        <f aca="false">raw_data!S737</f>
        <v>1122.92</v>
      </c>
      <c r="AB737" s="3" t="str">
        <f aca="false">PROPER(TRIM(raw_data!T737))</f>
        <v>Paid</v>
      </c>
      <c r="AC737" s="3" t="str">
        <f aca="false">PROPER(TRIM(raw_data!U737))</f>
        <v>Completed</v>
      </c>
      <c r="AD737" s="7" t="n">
        <f aca="false">T737*U737*(1-W737)</f>
        <v>7275.792</v>
      </c>
      <c r="AE737" s="7" t="n">
        <f aca="false">AD737-Z737</f>
        <v>1122.922</v>
      </c>
      <c r="AF737" s="8" t="n">
        <f aca="false">IF(AD737=0,0,AE737/AD737)</f>
        <v>0.154336737498818</v>
      </c>
      <c r="AG737" s="3" t="str">
        <f aca="false">IF(ABS(Y737-AD737)&gt;1,"Mismatch","OK")</f>
        <v>OK</v>
      </c>
      <c r="AH737" s="3" t="str">
        <f aca="false">IF(ABS(AA737-AE737)&gt;1,"Mismatch","OK")</f>
        <v>OK</v>
      </c>
      <c r="AI737" s="6" t="n">
        <f aca="false">IF(B737="","",MONTH(B737))</f>
        <v>8</v>
      </c>
      <c r="AJ737" s="6" t="n">
        <f aca="false">IF(B737="","",YEAR(B737))</f>
        <v>2024</v>
      </c>
      <c r="AK737" s="3" t="str">
        <f aca="false">IF(COUNTIF(raw_data!$A$2:$A$913,A737)&gt;1,"Conflicting Duplicate - Flagged for Review","Unique")</f>
        <v>Unique</v>
      </c>
      <c r="AL737" s="3" t="str">
        <f aca="false">IF(AB737="Refunded","Yes","No")</f>
        <v>No</v>
      </c>
      <c r="AM737" s="3" t="str">
        <f aca="false">IF(OR(AC737&lt;&gt;"Completed",AB737="Failed"),"Excluded","Included")</f>
        <v>Included</v>
      </c>
      <c r="AN737" s="3" t="str">
        <f aca="false">IF(OR(D737="Invalid/Unrecognized",E737="Invalid/Unrecognized",G737="Invalid - Ship Before Order",X737="Negative - Invalid",X737="Above Allowed Range - Invalid",AG737="Mismatch",AH737="Mismatch",AK737="Conflicting Duplicate - Flagged for Review"),"Invalid",IF(OR(L737="Filled - Unknown",S737="Filled - Unknown",X737="Missing - Defaulted to 0",AL737="Yes",AC737="Cancelled",AC737="Returned"),"Warning","Clean"))</f>
        <v>Clean</v>
      </c>
    </row>
    <row r="738" customFormat="false" ht="15" hidden="false" customHeight="false" outlineLevel="0" collapsed="false">
      <c r="A738" s="3" t="str">
        <f aca="false">raw_data!A738</f>
        <v>ORD-2024-10737</v>
      </c>
      <c r="B738" s="4" t="n">
        <f aca="false">IFERROR(IF(MID(raw_data!B738,3,1)="/",DATE(VALUE(RIGHT(raw_data!B738,4)),VALUE(LEFT(raw_data!B738,2)),VALUE(MID(raw_data!B738,4,2))),IF(MID(raw_data!B738,3,1)="-",DATE(VALUE(RIGHT(raw_data!B738,4)),VALUE(MID(raw_data!B738,4,2)),VALUE(LEFT(raw_data!B738,2))),IF(MID(raw_data!B738,5,1)="-",DATE(VALUE(LEFT(raw_data!B738,4)),VALUE(MID(raw_data!B738,6,2)),VALUE(RIGHT(raw_data!B738,2))),DATE(VALUE(RIGHT(raw_data!B738,4)),MATCH(MID(raw_data!B738,4,3),{"Jan","Feb","Mar","Apr","May","Jun","Jul","Aug","Sep","Oct","Nov","Dec"},0),VALUE(LEFT(raw_data!B738,2)))))),"")</f>
        <v>45632</v>
      </c>
      <c r="C738" s="4" t="n">
        <f aca="false">IFERROR(IF(MID(raw_data!C738,3,1)="/",DATE(VALUE(RIGHT(raw_data!C738,4)),VALUE(LEFT(raw_data!C738,2)),VALUE(MID(raw_data!C738,4,2))),IF(MID(raw_data!C738,3,1)="-",DATE(VALUE(RIGHT(raw_data!C738,4)),VALUE(MID(raw_data!C738,4,2)),VALUE(LEFT(raw_data!C738,2))),IF(MID(raw_data!C738,5,1)="-",DATE(VALUE(LEFT(raw_data!C738,4)),VALUE(MID(raw_data!C738,6,2)),VALUE(RIGHT(raw_data!C738,2))),DATE(VALUE(RIGHT(raw_data!C738,4)),MATCH(MID(raw_data!C738,4,3),{"Jan","Feb","Mar","Apr","May","Jun","Jul","Aug","Sep","Oct","Nov","Dec"},0),VALUE(LEFT(raw_data!C738,2)))))),"")</f>
        <v>45635</v>
      </c>
      <c r="D738" s="3" t="str">
        <f aca="false">IF(TRIM(raw_data!B738)="","Missing",IF(B738="","Invalid/Unrecognized","Valid"))</f>
        <v>Valid</v>
      </c>
      <c r="E738" s="3" t="str">
        <f aca="false">IF(TRIM(raw_data!C738)="","Missing",IF(C738="","Invalid/Unrecognized","Valid"))</f>
        <v>Valid</v>
      </c>
      <c r="F738" s="5" t="n">
        <f aca="false">IF(OR(B738="",C738=""),"",C738-B738)</f>
        <v>3</v>
      </c>
      <c r="G738" s="3" t="str">
        <f aca="false">IF(F738="","N/A",IF(F738&lt;0,"Invalid - Ship Before Order","OK"))</f>
        <v>OK</v>
      </c>
      <c r="H738" s="3" t="str">
        <f aca="false">raw_data!D738</f>
        <v>CUST-9017</v>
      </c>
      <c r="I738" s="3" t="str">
        <f aca="false">PROPER(TRIM(raw_data!E738))</f>
        <v>Aditi Sen</v>
      </c>
      <c r="J738" s="3" t="str">
        <f aca="false">PROPER(TRIM(raw_data!F738))</f>
        <v>Consumer</v>
      </c>
      <c r="K738" s="3" t="str">
        <f aca="false">IF(TRIM(raw_data!G738)="","Unknown",PROPER(TRIM(raw_data!G738)))</f>
        <v>West</v>
      </c>
      <c r="L738" s="3" t="str">
        <f aca="false">IF(TRIM(raw_data!G738)="","Filled - Unknown","OK")</f>
        <v>OK</v>
      </c>
      <c r="M738" s="3" t="str">
        <f aca="false">PROPER(TRIM(raw_data!H738))</f>
        <v>Maharashtra</v>
      </c>
      <c r="N738" s="3" t="str">
        <f aca="false">PROPER(TRIM(raw_data!I738))</f>
        <v>Mumbai</v>
      </c>
      <c r="O738" s="3" t="str">
        <f aca="false">PROPER(TRIM(raw_data!J738))</f>
        <v>Furniture</v>
      </c>
      <c r="P738" s="3" t="str">
        <f aca="false">PROPER(TRIM(raw_data!K738))</f>
        <v>Chairs</v>
      </c>
      <c r="Q738" s="3" t="str">
        <f aca="false">TRIM(raw_data!L738)</f>
        <v>Pro Chairs 383</v>
      </c>
      <c r="R738" s="3" t="str">
        <f aca="false">IF(TRIM(raw_data!M738)="","Unknown",PROPER(TRIM(raw_data!M738)))</f>
        <v>Second Class</v>
      </c>
      <c r="S738" s="3" t="str">
        <f aca="false">IF(TRIM(raw_data!M738)="","Filled - Unknown","OK")</f>
        <v>OK</v>
      </c>
      <c r="T738" s="6" t="n">
        <f aca="false">raw_data!N738</f>
        <v>9</v>
      </c>
      <c r="U738" s="7" t="n">
        <f aca="false">raw_data!O738</f>
        <v>290.75</v>
      </c>
      <c r="V738" s="8" t="n">
        <f aca="false">raw_data!P738</f>
        <v>0.1</v>
      </c>
      <c r="W738" s="8" t="n">
        <f aca="false">IF(raw_data!P738="",0,IF(ISTEXT(raw_data!P738),IF(RIGHT(raw_data!P738,1)="%",VALUE(LEFT(raw_data!P738,LEN(raw_data!P738)-1))/100,VALUE(raw_data!P738)),raw_data!P738))</f>
        <v>0.1</v>
      </c>
      <c r="X738" s="3" t="str">
        <f aca="false">IF(raw_data!P738="","Missing - Defaulted to 0",IF(W738&lt;0,"Negative - Invalid",IF(W738&gt;0.3,"Above Allowed Range - Invalid","Valid")))</f>
        <v>Valid</v>
      </c>
      <c r="Y738" s="7" t="n">
        <f aca="false">raw_data!Q738</f>
        <v>2355.08</v>
      </c>
      <c r="Z738" s="7" t="n">
        <f aca="false">raw_data!R738</f>
        <v>1350.03</v>
      </c>
      <c r="AA738" s="7" t="n">
        <f aca="false">raw_data!S738</f>
        <v>1005.05</v>
      </c>
      <c r="AB738" s="3" t="str">
        <f aca="false">PROPER(TRIM(raw_data!T738))</f>
        <v>Paid</v>
      </c>
      <c r="AC738" s="3" t="str">
        <f aca="false">PROPER(TRIM(raw_data!U738))</f>
        <v>Completed</v>
      </c>
      <c r="AD738" s="7" t="n">
        <f aca="false">T738*U738*(1-W738)</f>
        <v>2355.075</v>
      </c>
      <c r="AE738" s="7" t="n">
        <f aca="false">AD738-Z738</f>
        <v>1005.045</v>
      </c>
      <c r="AF738" s="8" t="n">
        <f aca="false">IF(AD738=0,0,AE738/AD738)</f>
        <v>0.42675710964619</v>
      </c>
      <c r="AG738" s="3" t="str">
        <f aca="false">IF(ABS(Y738-AD738)&gt;1,"Mismatch","OK")</f>
        <v>OK</v>
      </c>
      <c r="AH738" s="3" t="str">
        <f aca="false">IF(ABS(AA738-AE738)&gt;1,"Mismatch","OK")</f>
        <v>OK</v>
      </c>
      <c r="AI738" s="6" t="n">
        <f aca="false">IF(B738="","",MONTH(B738))</f>
        <v>12</v>
      </c>
      <c r="AJ738" s="6" t="n">
        <f aca="false">IF(B738="","",YEAR(B738))</f>
        <v>2024</v>
      </c>
      <c r="AK738" s="3" t="str">
        <f aca="false">IF(COUNTIF(raw_data!$A$2:$A$913,A738)&gt;1,"Conflicting Duplicate - Flagged for Review","Unique")</f>
        <v>Unique</v>
      </c>
      <c r="AL738" s="3" t="str">
        <f aca="false">IF(AB738="Refunded","Yes","No")</f>
        <v>No</v>
      </c>
      <c r="AM738" s="3" t="str">
        <f aca="false">IF(OR(AC738&lt;&gt;"Completed",AB738="Failed"),"Excluded","Included")</f>
        <v>Included</v>
      </c>
      <c r="AN738" s="3" t="str">
        <f aca="false">IF(OR(D738="Invalid/Unrecognized",E738="Invalid/Unrecognized",G738="Invalid - Ship Before Order",X738="Negative - Invalid",X738="Above Allowed Range - Invalid",AG738="Mismatch",AH738="Mismatch",AK738="Conflicting Duplicate - Flagged for Review"),"Invalid",IF(OR(L738="Filled - Unknown",S738="Filled - Unknown",X738="Missing - Defaulted to 0",AL738="Yes",AC738="Cancelled",AC738="Returned"),"Warning","Clean"))</f>
        <v>Clean</v>
      </c>
    </row>
    <row r="739" customFormat="false" ht="15" hidden="false" customHeight="false" outlineLevel="0" collapsed="false">
      <c r="A739" s="3" t="str">
        <f aca="false">raw_data!A739</f>
        <v>ORD-2024-10738</v>
      </c>
      <c r="B739" s="4" t="n">
        <f aca="false">IFERROR(IF(MID(raw_data!B739,3,1)="/",DATE(VALUE(RIGHT(raw_data!B739,4)),VALUE(LEFT(raw_data!B739,2)),VALUE(MID(raw_data!B739,4,2))),IF(MID(raw_data!B739,3,1)="-",DATE(VALUE(RIGHT(raw_data!B739,4)),VALUE(MID(raw_data!B739,4,2)),VALUE(LEFT(raw_data!B739,2))),IF(MID(raw_data!B739,5,1)="-",DATE(VALUE(LEFT(raw_data!B739,4)),VALUE(MID(raw_data!B739,6,2)),VALUE(RIGHT(raw_data!B739,2))),DATE(VALUE(RIGHT(raw_data!B739,4)),MATCH(MID(raw_data!B739,4,3),{"Jan","Feb","Mar","Apr","May","Jun","Jul","Aug","Sep","Oct","Nov","Dec"},0),VALUE(LEFT(raw_data!B739,2)))))),"")</f>
        <v>45332</v>
      </c>
      <c r="C739" s="4" t="n">
        <f aca="false">IFERROR(IF(MID(raw_data!C739,3,1)="/",DATE(VALUE(RIGHT(raw_data!C739,4)),VALUE(LEFT(raw_data!C739,2)),VALUE(MID(raw_data!C739,4,2))),IF(MID(raw_data!C739,3,1)="-",DATE(VALUE(RIGHT(raw_data!C739,4)),VALUE(MID(raw_data!C739,4,2)),VALUE(LEFT(raw_data!C739,2))),IF(MID(raw_data!C739,5,1)="-",DATE(VALUE(LEFT(raw_data!C739,4)),VALUE(MID(raw_data!C739,6,2)),VALUE(RIGHT(raw_data!C739,2))),DATE(VALUE(RIGHT(raw_data!C739,4)),MATCH(MID(raw_data!C739,4,3),{"Jan","Feb","Mar","Apr","May","Jun","Jul","Aug","Sep","Oct","Nov","Dec"},0),VALUE(LEFT(raw_data!C739,2)))))),"")</f>
        <v>45332</v>
      </c>
      <c r="D739" s="3" t="str">
        <f aca="false">IF(TRIM(raw_data!B739)="","Missing",IF(B739="","Invalid/Unrecognized","Valid"))</f>
        <v>Valid</v>
      </c>
      <c r="E739" s="3" t="str">
        <f aca="false">IF(TRIM(raw_data!C739)="","Missing",IF(C739="","Invalid/Unrecognized","Valid"))</f>
        <v>Valid</v>
      </c>
      <c r="F739" s="5" t="n">
        <f aca="false">IF(OR(B739="",C739=""),"",C739-B739)</f>
        <v>0</v>
      </c>
      <c r="G739" s="3" t="str">
        <f aca="false">IF(F739="","N/A",IF(F739&lt;0,"Invalid - Ship Before Order","OK"))</f>
        <v>OK</v>
      </c>
      <c r="H739" s="3" t="str">
        <f aca="false">raw_data!D739</f>
        <v>CUST-7967</v>
      </c>
      <c r="I739" s="3" t="str">
        <f aca="false">PROPER(TRIM(raw_data!E739))</f>
        <v>Isha Nair</v>
      </c>
      <c r="J739" s="3" t="str">
        <f aca="false">PROPER(TRIM(raw_data!F739))</f>
        <v>Home Office</v>
      </c>
      <c r="K739" s="3" t="str">
        <f aca="false">IF(TRIM(raw_data!G739)="","Unknown",PROPER(TRIM(raw_data!G739)))</f>
        <v>West</v>
      </c>
      <c r="L739" s="3" t="str">
        <f aca="false">IF(TRIM(raw_data!G739)="","Filled - Unknown","OK")</f>
        <v>OK</v>
      </c>
      <c r="M739" s="3" t="str">
        <f aca="false">PROPER(TRIM(raw_data!H739))</f>
        <v>Maharashtra</v>
      </c>
      <c r="N739" s="3" t="str">
        <f aca="false">PROPER(TRIM(raw_data!I739))</f>
        <v>Mumbai</v>
      </c>
      <c r="O739" s="3" t="str">
        <f aca="false">PROPER(TRIM(raw_data!J739))</f>
        <v>Furniture</v>
      </c>
      <c r="P739" s="3" t="str">
        <f aca="false">PROPER(TRIM(raw_data!K739))</f>
        <v>Chairs</v>
      </c>
      <c r="Q739" s="3" t="str">
        <f aca="false">TRIM(raw_data!L739)</f>
        <v>Max Chairs 845</v>
      </c>
      <c r="R739" s="3" t="str">
        <f aca="false">IF(TRIM(raw_data!M739)="","Unknown",PROPER(TRIM(raw_data!M739)))</f>
        <v>Same Day</v>
      </c>
      <c r="S739" s="3" t="str">
        <f aca="false">IF(TRIM(raw_data!M739)="","Filled - Unknown","OK")</f>
        <v>OK</v>
      </c>
      <c r="T739" s="6" t="n">
        <f aca="false">raw_data!N739</f>
        <v>6</v>
      </c>
      <c r="U739" s="7" t="n">
        <f aca="false">raw_data!O739</f>
        <v>601.52</v>
      </c>
      <c r="V739" s="8" t="n">
        <f aca="false">raw_data!P739</f>
        <v>0</v>
      </c>
      <c r="W739" s="8" t="n">
        <f aca="false">IF(raw_data!P739="",0,IF(ISTEXT(raw_data!P739),IF(RIGHT(raw_data!P739,1)="%",VALUE(LEFT(raw_data!P739,LEN(raw_data!P739)-1))/100,VALUE(raw_data!P739)),raw_data!P739))</f>
        <v>0</v>
      </c>
      <c r="X739" s="3" t="str">
        <f aca="false">IF(raw_data!P739="","Missing - Defaulted to 0",IF(W739&lt;0,"Negative - Invalid",IF(W739&gt;0.3,"Above Allowed Range - Invalid","Valid")))</f>
        <v>Valid</v>
      </c>
      <c r="Y739" s="7" t="n">
        <f aca="false">raw_data!Q739</f>
        <v>3609.12</v>
      </c>
      <c r="Z739" s="7" t="n">
        <f aca="false">raw_data!R739</f>
        <v>2645.5</v>
      </c>
      <c r="AA739" s="7" t="n">
        <f aca="false">raw_data!S739</f>
        <v>963.62</v>
      </c>
      <c r="AB739" s="3" t="str">
        <f aca="false">PROPER(TRIM(raw_data!T739))</f>
        <v>Paid</v>
      </c>
      <c r="AC739" s="3" t="str">
        <f aca="false">PROPER(TRIM(raw_data!U739))</f>
        <v>Completed</v>
      </c>
      <c r="AD739" s="7" t="n">
        <f aca="false">T739*U739*(1-W739)</f>
        <v>3609.12</v>
      </c>
      <c r="AE739" s="7" t="n">
        <f aca="false">AD739-Z739</f>
        <v>963.62</v>
      </c>
      <c r="AF739" s="8" t="n">
        <f aca="false">IF(AD739=0,0,AE739/AD739)</f>
        <v>0.266995832779182</v>
      </c>
      <c r="AG739" s="3" t="str">
        <f aca="false">IF(ABS(Y739-AD739)&gt;1,"Mismatch","OK")</f>
        <v>OK</v>
      </c>
      <c r="AH739" s="3" t="str">
        <f aca="false">IF(ABS(AA739-AE739)&gt;1,"Mismatch","OK")</f>
        <v>OK</v>
      </c>
      <c r="AI739" s="6" t="n">
        <f aca="false">IF(B739="","",MONTH(B739))</f>
        <v>2</v>
      </c>
      <c r="AJ739" s="6" t="n">
        <f aca="false">IF(B739="","",YEAR(B739))</f>
        <v>2024</v>
      </c>
      <c r="AK739" s="3" t="str">
        <f aca="false">IF(COUNTIF(raw_data!$A$2:$A$913,A739)&gt;1,"Conflicting Duplicate - Flagged for Review","Unique")</f>
        <v>Unique</v>
      </c>
      <c r="AL739" s="3" t="str">
        <f aca="false">IF(AB739="Refunded","Yes","No")</f>
        <v>No</v>
      </c>
      <c r="AM739" s="3" t="str">
        <f aca="false">IF(OR(AC739&lt;&gt;"Completed",AB739="Failed"),"Excluded","Included")</f>
        <v>Included</v>
      </c>
      <c r="AN739" s="3" t="str">
        <f aca="false">IF(OR(D739="Invalid/Unrecognized",E739="Invalid/Unrecognized",G739="Invalid - Ship Before Order",X739="Negative - Invalid",X739="Above Allowed Range - Invalid",AG739="Mismatch",AH739="Mismatch",AK739="Conflicting Duplicate - Flagged for Review"),"Invalid",IF(OR(L739="Filled - Unknown",S739="Filled - Unknown",X739="Missing - Defaulted to 0",AL739="Yes",AC739="Cancelled",AC739="Returned"),"Warning","Clean"))</f>
        <v>Clean</v>
      </c>
    </row>
    <row r="740" customFormat="false" ht="15" hidden="false" customHeight="false" outlineLevel="0" collapsed="false">
      <c r="A740" s="3" t="str">
        <f aca="false">raw_data!A740</f>
        <v>ORD-2025-10739</v>
      </c>
      <c r="B740" s="4" t="n">
        <f aca="false">IFERROR(IF(MID(raw_data!B740,3,1)="/",DATE(VALUE(RIGHT(raw_data!B740,4)),VALUE(LEFT(raw_data!B740,2)),VALUE(MID(raw_data!B740,4,2))),IF(MID(raw_data!B740,3,1)="-",DATE(VALUE(RIGHT(raw_data!B740,4)),VALUE(MID(raw_data!B740,4,2)),VALUE(LEFT(raw_data!B740,2))),IF(MID(raw_data!B740,5,1)="-",DATE(VALUE(LEFT(raw_data!B740,4)),VALUE(MID(raw_data!B740,6,2)),VALUE(RIGHT(raw_data!B740,2))),DATE(VALUE(RIGHT(raw_data!B740,4)),MATCH(MID(raw_data!B740,4,3),{"Jan","Feb","Mar","Apr","May","Jun","Jul","Aug","Sep","Oct","Nov","Dec"},0),VALUE(LEFT(raw_data!B740,2)))))),"")</f>
        <v>45708</v>
      </c>
      <c r="C740" s="4" t="n">
        <f aca="false">IFERROR(IF(MID(raw_data!C740,3,1)="/",DATE(VALUE(RIGHT(raw_data!C740,4)),VALUE(LEFT(raw_data!C740,2)),VALUE(MID(raw_data!C740,4,2))),IF(MID(raw_data!C740,3,1)="-",DATE(VALUE(RIGHT(raw_data!C740,4)),VALUE(MID(raw_data!C740,4,2)),VALUE(LEFT(raw_data!C740,2))),IF(MID(raw_data!C740,5,1)="-",DATE(VALUE(LEFT(raw_data!C740,4)),VALUE(MID(raw_data!C740,6,2)),VALUE(RIGHT(raw_data!C740,2))),DATE(VALUE(RIGHT(raw_data!C740,4)),MATCH(MID(raw_data!C740,4,3),{"Jan","Feb","Mar","Apr","May","Jun","Jul","Aug","Sep","Oct","Nov","Dec"},0),VALUE(LEFT(raw_data!C740,2)))))),"")</f>
        <v>45710</v>
      </c>
      <c r="D740" s="3" t="str">
        <f aca="false">IF(TRIM(raw_data!B740)="","Missing",IF(B740="","Invalid/Unrecognized","Valid"))</f>
        <v>Valid</v>
      </c>
      <c r="E740" s="3" t="str">
        <f aca="false">IF(TRIM(raw_data!C740)="","Missing",IF(C740="","Invalid/Unrecognized","Valid"))</f>
        <v>Valid</v>
      </c>
      <c r="F740" s="5" t="n">
        <f aca="false">IF(OR(B740="",C740=""),"",C740-B740)</f>
        <v>2</v>
      </c>
      <c r="G740" s="3" t="str">
        <f aca="false">IF(F740="","N/A",IF(F740&lt;0,"Invalid - Ship Before Order","OK"))</f>
        <v>OK</v>
      </c>
      <c r="H740" s="3" t="str">
        <f aca="false">raw_data!D740</f>
        <v>CUST-5334</v>
      </c>
      <c r="I740" s="3" t="str">
        <f aca="false">PROPER(TRIM(raw_data!E740))</f>
        <v>Priya Menon</v>
      </c>
      <c r="J740" s="3" t="str">
        <f aca="false">PROPER(TRIM(raw_data!F740))</f>
        <v>Corporate</v>
      </c>
      <c r="K740" s="3" t="str">
        <f aca="false">IF(TRIM(raw_data!G740)="","Unknown",PROPER(TRIM(raw_data!G740)))</f>
        <v>South</v>
      </c>
      <c r="L740" s="3" t="str">
        <f aca="false">IF(TRIM(raw_data!G740)="","Filled - Unknown","OK")</f>
        <v>OK</v>
      </c>
      <c r="M740" s="3" t="str">
        <f aca="false">PROPER(TRIM(raw_data!H740))</f>
        <v>Kerala</v>
      </c>
      <c r="N740" s="3" t="str">
        <f aca="false">PROPER(TRIM(raw_data!I740))</f>
        <v>Kochi</v>
      </c>
      <c r="O740" s="3" t="str">
        <f aca="false">PROPER(TRIM(raw_data!J740))</f>
        <v>Office Supplies</v>
      </c>
      <c r="P740" s="3" t="str">
        <f aca="false">PROPER(TRIM(raw_data!K740))</f>
        <v>Paper</v>
      </c>
      <c r="Q740" s="3" t="str">
        <f aca="false">TRIM(raw_data!L740)</f>
        <v>Prime Paper 307</v>
      </c>
      <c r="R740" s="3" t="str">
        <f aca="false">IF(TRIM(raw_data!M740)="","Unknown",PROPER(TRIM(raw_data!M740)))</f>
        <v>First Class</v>
      </c>
      <c r="S740" s="3" t="str">
        <f aca="false">IF(TRIM(raw_data!M740)="","Filled - Unknown","OK")</f>
        <v>OK</v>
      </c>
      <c r="T740" s="6" t="n">
        <f aca="false">raw_data!N740</f>
        <v>1</v>
      </c>
      <c r="U740" s="7" t="n">
        <f aca="false">raw_data!O740</f>
        <v>2188.19</v>
      </c>
      <c r="V740" s="8" t="n">
        <f aca="false">raw_data!P740</f>
        <v>0</v>
      </c>
      <c r="W740" s="8" t="n">
        <f aca="false">IF(raw_data!P740="",0,IF(ISTEXT(raw_data!P740),IF(RIGHT(raw_data!P740,1)="%",VALUE(LEFT(raw_data!P740,LEN(raw_data!P740)-1))/100,VALUE(raw_data!P740)),raw_data!P740))</f>
        <v>0</v>
      </c>
      <c r="X740" s="3" t="str">
        <f aca="false">IF(raw_data!P740="","Missing - Defaulted to 0",IF(W740&lt;0,"Negative - Invalid",IF(W740&gt;0.3,"Above Allowed Range - Invalid","Valid")))</f>
        <v>Valid</v>
      </c>
      <c r="Y740" s="7" t="n">
        <f aca="false">raw_data!Q740</f>
        <v>2188.19</v>
      </c>
      <c r="Z740" s="7" t="n">
        <f aca="false">raw_data!R740</f>
        <v>1298.84</v>
      </c>
      <c r="AA740" s="7" t="n">
        <f aca="false">raw_data!S740</f>
        <v>889.35</v>
      </c>
      <c r="AB740" s="3" t="str">
        <f aca="false">PROPER(TRIM(raw_data!T740))</f>
        <v>Paid</v>
      </c>
      <c r="AC740" s="3" t="str">
        <f aca="false">PROPER(TRIM(raw_data!U740))</f>
        <v>Completed</v>
      </c>
      <c r="AD740" s="7" t="n">
        <f aca="false">T740*U740*(1-W740)</f>
        <v>2188.19</v>
      </c>
      <c r="AE740" s="7" t="n">
        <f aca="false">AD740-Z740</f>
        <v>889.35</v>
      </c>
      <c r="AF740" s="8" t="n">
        <f aca="false">IF(AD740=0,0,AE740/AD740)</f>
        <v>0.406431799798007</v>
      </c>
      <c r="AG740" s="3" t="str">
        <f aca="false">IF(ABS(Y740-AD740)&gt;1,"Mismatch","OK")</f>
        <v>OK</v>
      </c>
      <c r="AH740" s="3" t="str">
        <f aca="false">IF(ABS(AA740-AE740)&gt;1,"Mismatch","OK")</f>
        <v>OK</v>
      </c>
      <c r="AI740" s="6" t="n">
        <f aca="false">IF(B740="","",MONTH(B740))</f>
        <v>2</v>
      </c>
      <c r="AJ740" s="6" t="n">
        <f aca="false">IF(B740="","",YEAR(B740))</f>
        <v>2025</v>
      </c>
      <c r="AK740" s="3" t="str">
        <f aca="false">IF(COUNTIF(raw_data!$A$2:$A$913,A740)&gt;1,"Conflicting Duplicate - Flagged for Review","Unique")</f>
        <v>Unique</v>
      </c>
      <c r="AL740" s="3" t="str">
        <f aca="false">IF(AB740="Refunded","Yes","No")</f>
        <v>No</v>
      </c>
      <c r="AM740" s="3" t="str">
        <f aca="false">IF(OR(AC740&lt;&gt;"Completed",AB740="Failed"),"Excluded","Included")</f>
        <v>Included</v>
      </c>
      <c r="AN740" s="3" t="str">
        <f aca="false">IF(OR(D740="Invalid/Unrecognized",E740="Invalid/Unrecognized",G740="Invalid - Ship Before Order",X740="Negative - Invalid",X740="Above Allowed Range - Invalid",AG740="Mismatch",AH740="Mismatch",AK740="Conflicting Duplicate - Flagged for Review"),"Invalid",IF(OR(L740="Filled - Unknown",S740="Filled - Unknown",X740="Missing - Defaulted to 0",AL740="Yes",AC740="Cancelled",AC740="Returned"),"Warning","Clean"))</f>
        <v>Clean</v>
      </c>
    </row>
    <row r="741" customFormat="false" ht="15" hidden="false" customHeight="false" outlineLevel="0" collapsed="false">
      <c r="A741" s="3" t="str">
        <f aca="false">raw_data!A741</f>
        <v>ORD-2024-10740</v>
      </c>
      <c r="B741" s="4" t="n">
        <f aca="false">IFERROR(IF(MID(raw_data!B741,3,1)="/",DATE(VALUE(RIGHT(raw_data!B741,4)),VALUE(LEFT(raw_data!B741,2)),VALUE(MID(raw_data!B741,4,2))),IF(MID(raw_data!B741,3,1)="-",DATE(VALUE(RIGHT(raw_data!B741,4)),VALUE(MID(raw_data!B741,4,2)),VALUE(LEFT(raw_data!B741,2))),IF(MID(raw_data!B741,5,1)="-",DATE(VALUE(LEFT(raw_data!B741,4)),VALUE(MID(raw_data!B741,6,2)),VALUE(RIGHT(raw_data!B741,2))),DATE(VALUE(RIGHT(raw_data!B741,4)),MATCH(MID(raw_data!B741,4,3),{"Jan","Feb","Mar","Apr","May","Jun","Jul","Aug","Sep","Oct","Nov","Dec"},0),VALUE(LEFT(raw_data!B741,2)))))),"")</f>
        <v>45629</v>
      </c>
      <c r="C741" s="4" t="n">
        <f aca="false">IFERROR(IF(MID(raw_data!C741,3,1)="/",DATE(VALUE(RIGHT(raw_data!C741,4)),VALUE(LEFT(raw_data!C741,2)),VALUE(MID(raw_data!C741,4,2))),IF(MID(raw_data!C741,3,1)="-",DATE(VALUE(RIGHT(raw_data!C741,4)),VALUE(MID(raw_data!C741,4,2)),VALUE(LEFT(raw_data!C741,2))),IF(MID(raw_data!C741,5,1)="-",DATE(VALUE(LEFT(raw_data!C741,4)),VALUE(MID(raw_data!C741,6,2)),VALUE(RIGHT(raw_data!C741,2))),DATE(VALUE(RIGHT(raw_data!C741,4)),MATCH(MID(raw_data!C741,4,3),{"Jan","Feb","Mar","Apr","May","Jun","Jul","Aug","Sep","Oct","Nov","Dec"},0),VALUE(LEFT(raw_data!C741,2)))))),"")</f>
        <v>45636</v>
      </c>
      <c r="D741" s="3" t="str">
        <f aca="false">IF(TRIM(raw_data!B741)="","Missing",IF(B741="","Invalid/Unrecognized","Valid"))</f>
        <v>Valid</v>
      </c>
      <c r="E741" s="3" t="str">
        <f aca="false">IF(TRIM(raw_data!C741)="","Missing",IF(C741="","Invalid/Unrecognized","Valid"))</f>
        <v>Valid</v>
      </c>
      <c r="F741" s="5" t="n">
        <f aca="false">IF(OR(B741="",C741=""),"",C741-B741)</f>
        <v>7</v>
      </c>
      <c r="G741" s="3" t="str">
        <f aca="false">IF(F741="","N/A",IF(F741&lt;0,"Invalid - Ship Before Order","OK"))</f>
        <v>OK</v>
      </c>
      <c r="H741" s="3" t="str">
        <f aca="false">raw_data!D741</f>
        <v>CUST-5846</v>
      </c>
      <c r="I741" s="3" t="str">
        <f aca="false">PROPER(TRIM(raw_data!E741))</f>
        <v>Neha Gupta</v>
      </c>
      <c r="J741" s="3" t="str">
        <f aca="false">PROPER(TRIM(raw_data!F741))</f>
        <v>Corporate</v>
      </c>
      <c r="K741" s="3" t="str">
        <f aca="false">IF(TRIM(raw_data!G741)="","Unknown",PROPER(TRIM(raw_data!G741)))</f>
        <v>North</v>
      </c>
      <c r="L741" s="3" t="str">
        <f aca="false">IF(TRIM(raw_data!G741)="","Filled - Unknown","OK")</f>
        <v>OK</v>
      </c>
      <c r="M741" s="3" t="str">
        <f aca="false">PROPER(TRIM(raw_data!H741))</f>
        <v>Rajasthan</v>
      </c>
      <c r="N741" s="3" t="str">
        <f aca="false">PROPER(TRIM(raw_data!I741))</f>
        <v>Jaipur</v>
      </c>
      <c r="O741" s="3" t="str">
        <f aca="false">PROPER(TRIM(raw_data!J741))</f>
        <v>Technology</v>
      </c>
      <c r="P741" s="3" t="str">
        <f aca="false">PROPER(TRIM(raw_data!K741))</f>
        <v>Phones</v>
      </c>
      <c r="Q741" s="3" t="str">
        <f aca="false">TRIM(raw_data!L741)</f>
        <v>Basic Phones 859</v>
      </c>
      <c r="R741" s="3" t="str">
        <f aca="false">IF(TRIM(raw_data!M741)="","Unknown",PROPER(TRIM(raw_data!M741)))</f>
        <v>Standard Class</v>
      </c>
      <c r="S741" s="3" t="str">
        <f aca="false">IF(TRIM(raw_data!M741)="","Filled - Unknown","OK")</f>
        <v>OK</v>
      </c>
      <c r="T741" s="6" t="n">
        <f aca="false">raw_data!N741</f>
        <v>5</v>
      </c>
      <c r="U741" s="7" t="n">
        <f aca="false">raw_data!O741</f>
        <v>2393.86</v>
      </c>
      <c r="V741" s="8" t="n">
        <f aca="false">raw_data!P741</f>
        <v>0.05</v>
      </c>
      <c r="W741" s="8" t="n">
        <f aca="false">IF(raw_data!P741="",0,IF(ISTEXT(raw_data!P741),IF(RIGHT(raw_data!P741,1)="%",VALUE(LEFT(raw_data!P741,LEN(raw_data!P741)-1))/100,VALUE(raw_data!P741)),raw_data!P741))</f>
        <v>0.05</v>
      </c>
      <c r="X741" s="3" t="str">
        <f aca="false">IF(raw_data!P741="","Missing - Defaulted to 0",IF(W741&lt;0,"Negative - Invalid",IF(W741&gt;0.3,"Above Allowed Range - Invalid","Valid")))</f>
        <v>Valid</v>
      </c>
      <c r="Y741" s="7" t="n">
        <f aca="false">raw_data!Q741</f>
        <v>11370.84</v>
      </c>
      <c r="Z741" s="7" t="n">
        <f aca="false">raw_data!R741</f>
        <v>7469.58</v>
      </c>
      <c r="AA741" s="7" t="n">
        <f aca="false">raw_data!S741</f>
        <v>3901.26</v>
      </c>
      <c r="AB741" s="3" t="str">
        <f aca="false">PROPER(TRIM(raw_data!T741))</f>
        <v>Paid</v>
      </c>
      <c r="AC741" s="3" t="str">
        <f aca="false">PROPER(TRIM(raw_data!U741))</f>
        <v>Completed</v>
      </c>
      <c r="AD741" s="7" t="n">
        <f aca="false">T741*U741*(1-W741)</f>
        <v>11370.835</v>
      </c>
      <c r="AE741" s="7" t="n">
        <f aca="false">AD741-Z741</f>
        <v>3901.255</v>
      </c>
      <c r="AF741" s="8" t="n">
        <f aca="false">IF(AD741=0,0,AE741/AD741)</f>
        <v>0.343093097384669</v>
      </c>
      <c r="AG741" s="3" t="str">
        <f aca="false">IF(ABS(Y741-AD741)&gt;1,"Mismatch","OK")</f>
        <v>OK</v>
      </c>
      <c r="AH741" s="3" t="str">
        <f aca="false">IF(ABS(AA741-AE741)&gt;1,"Mismatch","OK")</f>
        <v>OK</v>
      </c>
      <c r="AI741" s="6" t="n">
        <f aca="false">IF(B741="","",MONTH(B741))</f>
        <v>12</v>
      </c>
      <c r="AJ741" s="6" t="n">
        <f aca="false">IF(B741="","",YEAR(B741))</f>
        <v>2024</v>
      </c>
      <c r="AK741" s="3" t="str">
        <f aca="false">IF(COUNTIF(raw_data!$A$2:$A$913,A741)&gt;1,"Conflicting Duplicate - Flagged for Review","Unique")</f>
        <v>Unique</v>
      </c>
      <c r="AL741" s="3" t="str">
        <f aca="false">IF(AB741="Refunded","Yes","No")</f>
        <v>No</v>
      </c>
      <c r="AM741" s="3" t="str">
        <f aca="false">IF(OR(AC741&lt;&gt;"Completed",AB741="Failed"),"Excluded","Included")</f>
        <v>Included</v>
      </c>
      <c r="AN741" s="3" t="str">
        <f aca="false">IF(OR(D741="Invalid/Unrecognized",E741="Invalid/Unrecognized",G741="Invalid - Ship Before Order",X741="Negative - Invalid",X741="Above Allowed Range - Invalid",AG741="Mismatch",AH741="Mismatch",AK741="Conflicting Duplicate - Flagged for Review"),"Invalid",IF(OR(L741="Filled - Unknown",S741="Filled - Unknown",X741="Missing - Defaulted to 0",AL741="Yes",AC741="Cancelled",AC741="Returned"),"Warning","Clean"))</f>
        <v>Clean</v>
      </c>
    </row>
    <row r="742" customFormat="false" ht="15" hidden="false" customHeight="false" outlineLevel="0" collapsed="false">
      <c r="A742" s="3" t="str">
        <f aca="false">raw_data!A742</f>
        <v>ORD-2024-10741</v>
      </c>
      <c r="B742" s="4" t="n">
        <f aca="false">IFERROR(IF(MID(raw_data!B742,3,1)="/",DATE(VALUE(RIGHT(raw_data!B742,4)),VALUE(LEFT(raw_data!B742,2)),VALUE(MID(raw_data!B742,4,2))),IF(MID(raw_data!B742,3,1)="-",DATE(VALUE(RIGHT(raw_data!B742,4)),VALUE(MID(raw_data!B742,4,2)),VALUE(LEFT(raw_data!B742,2))),IF(MID(raw_data!B742,5,1)="-",DATE(VALUE(LEFT(raw_data!B742,4)),VALUE(MID(raw_data!B742,6,2)),VALUE(RIGHT(raw_data!B742,2))),DATE(VALUE(RIGHT(raw_data!B742,4)),MATCH(MID(raw_data!B742,4,3),{"Jan","Feb","Mar","Apr","May","Jun","Jul","Aug","Sep","Oct","Nov","Dec"},0),VALUE(LEFT(raw_data!B742,2)))))),"")</f>
        <v>45384</v>
      </c>
      <c r="C742" s="4" t="n">
        <f aca="false">IFERROR(IF(MID(raw_data!C742,3,1)="/",DATE(VALUE(RIGHT(raw_data!C742,4)),VALUE(LEFT(raw_data!C742,2)),VALUE(MID(raw_data!C742,4,2))),IF(MID(raw_data!C742,3,1)="-",DATE(VALUE(RIGHT(raw_data!C742,4)),VALUE(MID(raw_data!C742,4,2)),VALUE(LEFT(raw_data!C742,2))),IF(MID(raw_data!C742,5,1)="-",DATE(VALUE(LEFT(raw_data!C742,4)),VALUE(MID(raw_data!C742,6,2)),VALUE(RIGHT(raw_data!C742,2))),DATE(VALUE(RIGHT(raw_data!C742,4)),MATCH(MID(raw_data!C742,4,3),{"Jan","Feb","Mar","Apr","May","Jun","Jul","Aug","Sep","Oct","Nov","Dec"},0),VALUE(LEFT(raw_data!C742,2)))))),"")</f>
        <v>45384</v>
      </c>
      <c r="D742" s="3" t="str">
        <f aca="false">IF(TRIM(raw_data!B742)="","Missing",IF(B742="","Invalid/Unrecognized","Valid"))</f>
        <v>Valid</v>
      </c>
      <c r="E742" s="3" t="str">
        <f aca="false">IF(TRIM(raw_data!C742)="","Missing",IF(C742="","Invalid/Unrecognized","Valid"))</f>
        <v>Valid</v>
      </c>
      <c r="F742" s="5" t="n">
        <f aca="false">IF(OR(B742="",C742=""),"",C742-B742)</f>
        <v>0</v>
      </c>
      <c r="G742" s="3" t="str">
        <f aca="false">IF(F742="","N/A",IF(F742&lt;0,"Invalid - Ship Before Order","OK"))</f>
        <v>OK</v>
      </c>
      <c r="H742" s="3" t="str">
        <f aca="false">raw_data!D742</f>
        <v>CUST-7932</v>
      </c>
      <c r="I742" s="3" t="str">
        <f aca="false">PROPER(TRIM(raw_data!E742))</f>
        <v>Sneha Kapoor</v>
      </c>
      <c r="J742" s="3" t="str">
        <f aca="false">PROPER(TRIM(raw_data!F742))</f>
        <v>Small Business</v>
      </c>
      <c r="K742" s="3" t="str">
        <f aca="false">IF(TRIM(raw_data!G742)="","Unknown",PROPER(TRIM(raw_data!G742)))</f>
        <v>West</v>
      </c>
      <c r="L742" s="3" t="str">
        <f aca="false">IF(TRIM(raw_data!G742)="","Filled - Unknown","OK")</f>
        <v>OK</v>
      </c>
      <c r="M742" s="3" t="str">
        <f aca="false">PROPER(TRIM(raw_data!H742))</f>
        <v>Maharashtra</v>
      </c>
      <c r="N742" s="3" t="str">
        <f aca="false">PROPER(TRIM(raw_data!I742))</f>
        <v>Mumbai</v>
      </c>
      <c r="O742" s="3" t="str">
        <f aca="false">PROPER(TRIM(raw_data!J742))</f>
        <v>Furniture</v>
      </c>
      <c r="P742" s="3" t="str">
        <f aca="false">PROPER(TRIM(raw_data!K742))</f>
        <v>Chairs</v>
      </c>
      <c r="Q742" s="3" t="str">
        <f aca="false">TRIM(raw_data!L742)</f>
        <v>Eco Chairs 883</v>
      </c>
      <c r="R742" s="3" t="str">
        <f aca="false">IF(TRIM(raw_data!M742)="","Unknown",PROPER(TRIM(raw_data!M742)))</f>
        <v>First Class</v>
      </c>
      <c r="S742" s="3" t="str">
        <f aca="false">IF(TRIM(raw_data!M742)="","Filled - Unknown","OK")</f>
        <v>OK</v>
      </c>
      <c r="T742" s="6" t="n">
        <f aca="false">raw_data!N742</f>
        <v>4</v>
      </c>
      <c r="U742" s="7" t="n">
        <f aca="false">raw_data!O742</f>
        <v>2583</v>
      </c>
      <c r="V742" s="8" t="n">
        <f aca="false">raw_data!P742</f>
        <v>0.1</v>
      </c>
      <c r="W742" s="8" t="n">
        <f aca="false">IF(raw_data!P742="",0,IF(ISTEXT(raw_data!P742),IF(RIGHT(raw_data!P742,1)="%",VALUE(LEFT(raw_data!P742,LEN(raw_data!P742)-1))/100,VALUE(raw_data!P742)),raw_data!P742))</f>
        <v>0.1</v>
      </c>
      <c r="X742" s="3" t="str">
        <f aca="false">IF(raw_data!P742="","Missing - Defaulted to 0",IF(W742&lt;0,"Negative - Invalid",IF(W742&gt;0.3,"Above Allowed Range - Invalid","Valid")))</f>
        <v>Valid</v>
      </c>
      <c r="Y742" s="7" t="n">
        <f aca="false">raw_data!Q742</f>
        <v>9298.8</v>
      </c>
      <c r="Z742" s="7" t="n">
        <f aca="false">raw_data!R742</f>
        <v>6548.5</v>
      </c>
      <c r="AA742" s="7" t="n">
        <f aca="false">raw_data!S742</f>
        <v>2750.3</v>
      </c>
      <c r="AB742" s="3" t="str">
        <f aca="false">PROPER(TRIM(raw_data!T742))</f>
        <v>Paid</v>
      </c>
      <c r="AC742" s="3" t="str">
        <f aca="false">PROPER(TRIM(raw_data!U742))</f>
        <v>Completed</v>
      </c>
      <c r="AD742" s="7" t="n">
        <f aca="false">T742*U742*(1-W742)</f>
        <v>9298.8</v>
      </c>
      <c r="AE742" s="7" t="n">
        <f aca="false">AD742-Z742</f>
        <v>2750.3</v>
      </c>
      <c r="AF742" s="8" t="n">
        <f aca="false">IF(AD742=0,0,AE742/AD742)</f>
        <v>0.295769346582355</v>
      </c>
      <c r="AG742" s="3" t="str">
        <f aca="false">IF(ABS(Y742-AD742)&gt;1,"Mismatch","OK")</f>
        <v>OK</v>
      </c>
      <c r="AH742" s="3" t="str">
        <f aca="false">IF(ABS(AA742-AE742)&gt;1,"Mismatch","OK")</f>
        <v>OK</v>
      </c>
      <c r="AI742" s="6" t="n">
        <f aca="false">IF(B742="","",MONTH(B742))</f>
        <v>4</v>
      </c>
      <c r="AJ742" s="6" t="n">
        <f aca="false">IF(B742="","",YEAR(B742))</f>
        <v>2024</v>
      </c>
      <c r="AK742" s="3" t="str">
        <f aca="false">IF(COUNTIF(raw_data!$A$2:$A$913,A742)&gt;1,"Conflicting Duplicate - Flagged for Review","Unique")</f>
        <v>Unique</v>
      </c>
      <c r="AL742" s="3" t="str">
        <f aca="false">IF(AB742="Refunded","Yes","No")</f>
        <v>No</v>
      </c>
      <c r="AM742" s="3" t="str">
        <f aca="false">IF(OR(AC742&lt;&gt;"Completed",AB742="Failed"),"Excluded","Included")</f>
        <v>Included</v>
      </c>
      <c r="AN742" s="3" t="str">
        <f aca="false">IF(OR(D742="Invalid/Unrecognized",E742="Invalid/Unrecognized",G742="Invalid - Ship Before Order",X742="Negative - Invalid",X742="Above Allowed Range - Invalid",AG742="Mismatch",AH742="Mismatch",AK742="Conflicting Duplicate - Flagged for Review"),"Invalid",IF(OR(L742="Filled - Unknown",S742="Filled - Unknown",X742="Missing - Defaulted to 0",AL742="Yes",AC742="Cancelled",AC742="Returned"),"Warning","Clean"))</f>
        <v>Clean</v>
      </c>
    </row>
    <row r="743" customFormat="false" ht="15" hidden="false" customHeight="false" outlineLevel="0" collapsed="false">
      <c r="A743" s="3" t="str">
        <f aca="false">raw_data!A743</f>
        <v>ORD-2025-10742</v>
      </c>
      <c r="B743" s="4" t="n">
        <f aca="false">IFERROR(IF(MID(raw_data!B743,3,1)="/",DATE(VALUE(RIGHT(raw_data!B743,4)),VALUE(LEFT(raw_data!B743,2)),VALUE(MID(raw_data!B743,4,2))),IF(MID(raw_data!B743,3,1)="-",DATE(VALUE(RIGHT(raw_data!B743,4)),VALUE(MID(raw_data!B743,4,2)),VALUE(LEFT(raw_data!B743,2))),IF(MID(raw_data!B743,5,1)="-",DATE(VALUE(LEFT(raw_data!B743,4)),VALUE(MID(raw_data!B743,6,2)),VALUE(RIGHT(raw_data!B743,2))),DATE(VALUE(RIGHT(raw_data!B743,4)),MATCH(MID(raw_data!B743,4,3),{"Jan","Feb","Mar","Apr","May","Jun","Jul","Aug","Sep","Oct","Nov","Dec"},0),VALUE(LEFT(raw_data!B743,2)))))),"")</f>
        <v>45770</v>
      </c>
      <c r="C743" s="4" t="n">
        <f aca="false">IFERROR(IF(MID(raw_data!C743,3,1)="/",DATE(VALUE(RIGHT(raw_data!C743,4)),VALUE(LEFT(raw_data!C743,2)),VALUE(MID(raw_data!C743,4,2))),IF(MID(raw_data!C743,3,1)="-",DATE(VALUE(RIGHT(raw_data!C743,4)),VALUE(MID(raw_data!C743,4,2)),VALUE(LEFT(raw_data!C743,2))),IF(MID(raw_data!C743,5,1)="-",DATE(VALUE(LEFT(raw_data!C743,4)),VALUE(MID(raw_data!C743,6,2)),VALUE(RIGHT(raw_data!C743,2))),DATE(VALUE(RIGHT(raw_data!C743,4)),MATCH(MID(raw_data!C743,4,3),{"Jan","Feb","Mar","Apr","May","Jun","Jul","Aug","Sep","Oct","Nov","Dec"},0),VALUE(LEFT(raw_data!C743,2)))))),"")</f>
        <v>45772</v>
      </c>
      <c r="D743" s="3" t="str">
        <f aca="false">IF(TRIM(raw_data!B743)="","Missing",IF(B743="","Invalid/Unrecognized","Valid"))</f>
        <v>Valid</v>
      </c>
      <c r="E743" s="3" t="str">
        <f aca="false">IF(TRIM(raw_data!C743)="","Missing",IF(C743="","Invalid/Unrecognized","Valid"))</f>
        <v>Valid</v>
      </c>
      <c r="F743" s="5" t="n">
        <f aca="false">IF(OR(B743="",C743=""),"",C743-B743)</f>
        <v>2</v>
      </c>
      <c r="G743" s="3" t="str">
        <f aca="false">IF(F743="","N/A",IF(F743&lt;0,"Invalid - Ship Before Order","OK"))</f>
        <v>OK</v>
      </c>
      <c r="H743" s="3" t="str">
        <f aca="false">raw_data!D743</f>
        <v>CUST-3285</v>
      </c>
      <c r="I743" s="3" t="str">
        <f aca="false">PROPER(TRIM(raw_data!E743))</f>
        <v>Isha Nair</v>
      </c>
      <c r="J743" s="3" t="str">
        <f aca="false">PROPER(TRIM(raw_data!F743))</f>
        <v>Home Office</v>
      </c>
      <c r="K743" s="3" t="str">
        <f aca="false">IF(TRIM(raw_data!G743)="","Unknown",PROPER(TRIM(raw_data!G743)))</f>
        <v>South</v>
      </c>
      <c r="L743" s="3" t="str">
        <f aca="false">IF(TRIM(raw_data!G743)="","Filled - Unknown","OK")</f>
        <v>OK</v>
      </c>
      <c r="M743" s="3" t="str">
        <f aca="false">PROPER(TRIM(raw_data!H743))</f>
        <v>Tamil Nadu</v>
      </c>
      <c r="N743" s="3" t="str">
        <f aca="false">PROPER(TRIM(raw_data!I743))</f>
        <v>Chennai</v>
      </c>
      <c r="O743" s="3" t="str">
        <f aca="false">PROPER(TRIM(raw_data!J743))</f>
        <v>Furniture</v>
      </c>
      <c r="P743" s="3" t="str">
        <f aca="false">PROPER(TRIM(raw_data!K743))</f>
        <v>Chairs</v>
      </c>
      <c r="Q743" s="3" t="str">
        <f aca="false">TRIM(raw_data!L743)</f>
        <v>Max Chairs 706</v>
      </c>
      <c r="R743" s="3" t="str">
        <f aca="false">IF(TRIM(raw_data!M743)="","Unknown",PROPER(TRIM(raw_data!M743)))</f>
        <v>Second Class</v>
      </c>
      <c r="S743" s="3" t="str">
        <f aca="false">IF(TRIM(raw_data!M743)="","Filled - Unknown","OK")</f>
        <v>OK</v>
      </c>
      <c r="T743" s="6" t="n">
        <f aca="false">raw_data!N743</f>
        <v>3</v>
      </c>
      <c r="U743" s="7" t="n">
        <f aca="false">raw_data!O743</f>
        <v>2951.12</v>
      </c>
      <c r="V743" s="8" t="n">
        <f aca="false">raw_data!P743</f>
        <v>0</v>
      </c>
      <c r="W743" s="8" t="n">
        <f aca="false">IF(raw_data!P743="",0,IF(ISTEXT(raw_data!P743),IF(RIGHT(raw_data!P743,1)="%",VALUE(LEFT(raw_data!P743,LEN(raw_data!P743)-1))/100,VALUE(raw_data!P743)),raw_data!P743))</f>
        <v>0</v>
      </c>
      <c r="X743" s="3" t="str">
        <f aca="false">IF(raw_data!P743="","Missing - Defaulted to 0",IF(W743&lt;0,"Negative - Invalid",IF(W743&gt;0.3,"Above Allowed Range - Invalid","Valid")))</f>
        <v>Missing - Defaulted to 0</v>
      </c>
      <c r="Y743" s="7" t="n">
        <f aca="false">raw_data!Q743</f>
        <v>7082.69</v>
      </c>
      <c r="Z743" s="7" t="n">
        <f aca="false">raw_data!R743</f>
        <v>5596.34</v>
      </c>
      <c r="AA743" s="7" t="n">
        <f aca="false">raw_data!S743</f>
        <v>1486.35</v>
      </c>
      <c r="AB743" s="3" t="str">
        <f aca="false">PROPER(TRIM(raw_data!T743))</f>
        <v>Paid</v>
      </c>
      <c r="AC743" s="3" t="str">
        <f aca="false">PROPER(TRIM(raw_data!U743))</f>
        <v>Cancelled</v>
      </c>
      <c r="AD743" s="7" t="n">
        <f aca="false">T743*U743*(1-W743)</f>
        <v>8853.36</v>
      </c>
      <c r="AE743" s="7" t="n">
        <f aca="false">AD743-Z743</f>
        <v>3257.02</v>
      </c>
      <c r="AF743" s="8" t="n">
        <f aca="false">IF(AD743=0,0,AE743/AD743)</f>
        <v>0.36788518709281</v>
      </c>
      <c r="AG743" s="3" t="str">
        <f aca="false">IF(ABS(Y743-AD743)&gt;1,"Mismatch","OK")</f>
        <v>Mismatch</v>
      </c>
      <c r="AH743" s="3" t="str">
        <f aca="false">IF(ABS(AA743-AE743)&gt;1,"Mismatch","OK")</f>
        <v>Mismatch</v>
      </c>
      <c r="AI743" s="6" t="n">
        <f aca="false">IF(B743="","",MONTH(B743))</f>
        <v>4</v>
      </c>
      <c r="AJ743" s="6" t="n">
        <f aca="false">IF(B743="","",YEAR(B743))</f>
        <v>2025</v>
      </c>
      <c r="AK743" s="3" t="str">
        <f aca="false">IF(COUNTIF(raw_data!$A$2:$A$913,A743)&gt;1,"Conflicting Duplicate - Flagged for Review","Unique")</f>
        <v>Unique</v>
      </c>
      <c r="AL743" s="3" t="str">
        <f aca="false">IF(AB743="Refunded","Yes","No")</f>
        <v>No</v>
      </c>
      <c r="AM743" s="3" t="str">
        <f aca="false">IF(OR(AC743&lt;&gt;"Completed",AB743="Failed"),"Excluded","Included")</f>
        <v>Excluded</v>
      </c>
      <c r="AN743" s="3" t="str">
        <f aca="false">IF(OR(D743="Invalid/Unrecognized",E743="Invalid/Unrecognized",G743="Invalid - Ship Before Order",X743="Negative - Invalid",X743="Above Allowed Range - Invalid",AG743="Mismatch",AH743="Mismatch",AK743="Conflicting Duplicate - Flagged for Review"),"Invalid",IF(OR(L743="Filled - Unknown",S743="Filled - Unknown",X743="Missing - Defaulted to 0",AL743="Yes",AC743="Cancelled",AC743="Returned"),"Warning","Clean"))</f>
        <v>Invalid</v>
      </c>
    </row>
    <row r="744" customFormat="false" ht="15" hidden="false" customHeight="false" outlineLevel="0" collapsed="false">
      <c r="A744" s="3" t="str">
        <f aca="false">raw_data!A744</f>
        <v>ORD-2024-10743</v>
      </c>
      <c r="B744" s="4" t="n">
        <f aca="false">IFERROR(IF(MID(raw_data!B744,3,1)="/",DATE(VALUE(RIGHT(raw_data!B744,4)),VALUE(LEFT(raw_data!B744,2)),VALUE(MID(raw_data!B744,4,2))),IF(MID(raw_data!B744,3,1)="-",DATE(VALUE(RIGHT(raw_data!B744,4)),VALUE(MID(raw_data!B744,4,2)),VALUE(LEFT(raw_data!B744,2))),IF(MID(raw_data!B744,5,1)="-",DATE(VALUE(LEFT(raw_data!B744,4)),VALUE(MID(raw_data!B744,6,2)),VALUE(RIGHT(raw_data!B744,2))),DATE(VALUE(RIGHT(raw_data!B744,4)),MATCH(MID(raw_data!B744,4,3),{"Jan","Feb","Mar","Apr","May","Jun","Jul","Aug","Sep","Oct","Nov","Dec"},0),VALUE(LEFT(raw_data!B744,2)))))),"")</f>
        <v>45580</v>
      </c>
      <c r="C744" s="4" t="n">
        <f aca="false">IFERROR(IF(MID(raw_data!C744,3,1)="/",DATE(VALUE(RIGHT(raw_data!C744,4)),VALUE(LEFT(raw_data!C744,2)),VALUE(MID(raw_data!C744,4,2))),IF(MID(raw_data!C744,3,1)="-",DATE(VALUE(RIGHT(raw_data!C744,4)),VALUE(MID(raw_data!C744,4,2)),VALUE(LEFT(raw_data!C744,2))),IF(MID(raw_data!C744,5,1)="-",DATE(VALUE(LEFT(raw_data!C744,4)),VALUE(MID(raw_data!C744,6,2)),VALUE(RIGHT(raw_data!C744,2))),DATE(VALUE(RIGHT(raw_data!C744,4)),MATCH(MID(raw_data!C744,4,3),{"Jan","Feb","Mar","Apr","May","Jun","Jul","Aug","Sep","Oct","Nov","Dec"},0),VALUE(LEFT(raw_data!C744,2)))))),"")</f>
        <v>45587</v>
      </c>
      <c r="D744" s="3" t="str">
        <f aca="false">IF(TRIM(raw_data!B744)="","Missing",IF(B744="","Invalid/Unrecognized","Valid"))</f>
        <v>Valid</v>
      </c>
      <c r="E744" s="3" t="str">
        <f aca="false">IF(TRIM(raw_data!C744)="","Missing",IF(C744="","Invalid/Unrecognized","Valid"))</f>
        <v>Valid</v>
      </c>
      <c r="F744" s="5" t="n">
        <f aca="false">IF(OR(B744="",C744=""),"",C744-B744)</f>
        <v>7</v>
      </c>
      <c r="G744" s="3" t="str">
        <f aca="false">IF(F744="","N/A",IF(F744&lt;0,"Invalid - Ship Before Order","OK"))</f>
        <v>OK</v>
      </c>
      <c r="H744" s="3" t="str">
        <f aca="false">raw_data!D744</f>
        <v>CUST-6368</v>
      </c>
      <c r="I744" s="3" t="str">
        <f aca="false">PROPER(TRIM(raw_data!E744))</f>
        <v>Karan Malhotra</v>
      </c>
      <c r="J744" s="3" t="str">
        <f aca="false">PROPER(TRIM(raw_data!F744))</f>
        <v>Corporate</v>
      </c>
      <c r="K744" s="3" t="str">
        <f aca="false">IF(TRIM(raw_data!G744)="","Unknown",PROPER(TRIM(raw_data!G744)))</f>
        <v>East</v>
      </c>
      <c r="L744" s="3" t="str">
        <f aca="false">IF(TRIM(raw_data!G744)="","Filled - Unknown","OK")</f>
        <v>OK</v>
      </c>
      <c r="M744" s="3" t="str">
        <f aca="false">PROPER(TRIM(raw_data!H744))</f>
        <v>Odisha</v>
      </c>
      <c r="N744" s="3" t="str">
        <f aca="false">PROPER(TRIM(raw_data!I744))</f>
        <v>Bhubaneswar</v>
      </c>
      <c r="O744" s="3" t="str">
        <f aca="false">PROPER(TRIM(raw_data!J744))</f>
        <v>Office Supplies</v>
      </c>
      <c r="P744" s="3" t="str">
        <f aca="false">PROPER(TRIM(raw_data!K744))</f>
        <v>Paper</v>
      </c>
      <c r="Q744" s="3" t="str">
        <f aca="false">TRIM(raw_data!L744)</f>
        <v>Prime Paper 768</v>
      </c>
      <c r="R744" s="3" t="str">
        <f aca="false">IF(TRIM(raw_data!M744)="","Unknown",PROPER(TRIM(raw_data!M744)))</f>
        <v>Standard Class</v>
      </c>
      <c r="S744" s="3" t="str">
        <f aca="false">IF(TRIM(raw_data!M744)="","Filled - Unknown","OK")</f>
        <v>OK</v>
      </c>
      <c r="T744" s="6" t="n">
        <f aca="false">raw_data!N744</f>
        <v>4</v>
      </c>
      <c r="U744" s="7" t="n">
        <f aca="false">raw_data!O744</f>
        <v>2260.95</v>
      </c>
      <c r="V744" s="8" t="n">
        <f aca="false">raw_data!P744</f>
        <v>0</v>
      </c>
      <c r="W744" s="8" t="n">
        <f aca="false">IF(raw_data!P744="",0,IF(ISTEXT(raw_data!P744),IF(RIGHT(raw_data!P744,1)="%",VALUE(LEFT(raw_data!P744,LEN(raw_data!P744)-1))/100,VALUE(raw_data!P744)),raw_data!P744))</f>
        <v>0</v>
      </c>
      <c r="X744" s="3" t="str">
        <f aca="false">IF(raw_data!P744="","Missing - Defaulted to 0",IF(W744&lt;0,"Negative - Invalid",IF(W744&gt;0.3,"Above Allowed Range - Invalid","Valid")))</f>
        <v>Valid</v>
      </c>
      <c r="Y744" s="7" t="n">
        <f aca="false">raw_data!Q744</f>
        <v>9043.8</v>
      </c>
      <c r="Z744" s="7" t="n">
        <f aca="false">raw_data!R744</f>
        <v>5913.38</v>
      </c>
      <c r="AA744" s="7" t="n">
        <f aca="false">raw_data!S744</f>
        <v>3130.42</v>
      </c>
      <c r="AB744" s="3" t="str">
        <f aca="false">PROPER(TRIM(raw_data!T744))</f>
        <v>Paid</v>
      </c>
      <c r="AC744" s="3" t="str">
        <f aca="false">PROPER(TRIM(raw_data!U744))</f>
        <v>Completed</v>
      </c>
      <c r="AD744" s="7" t="n">
        <f aca="false">T744*U744*(1-W744)</f>
        <v>9043.8</v>
      </c>
      <c r="AE744" s="7" t="n">
        <f aca="false">AD744-Z744</f>
        <v>3130.42</v>
      </c>
      <c r="AF744" s="8" t="n">
        <f aca="false">IF(AD744=0,0,AE744/AD744)</f>
        <v>0.346139896945974</v>
      </c>
      <c r="AG744" s="3" t="str">
        <f aca="false">IF(ABS(Y744-AD744)&gt;1,"Mismatch","OK")</f>
        <v>OK</v>
      </c>
      <c r="AH744" s="3" t="str">
        <f aca="false">IF(ABS(AA744-AE744)&gt;1,"Mismatch","OK")</f>
        <v>OK</v>
      </c>
      <c r="AI744" s="6" t="n">
        <f aca="false">IF(B744="","",MONTH(B744))</f>
        <v>10</v>
      </c>
      <c r="AJ744" s="6" t="n">
        <f aca="false">IF(B744="","",YEAR(B744))</f>
        <v>2024</v>
      </c>
      <c r="AK744" s="3" t="str">
        <f aca="false">IF(COUNTIF(raw_data!$A$2:$A$913,A744)&gt;1,"Conflicting Duplicate - Flagged for Review","Unique")</f>
        <v>Unique</v>
      </c>
      <c r="AL744" s="3" t="str">
        <f aca="false">IF(AB744="Refunded","Yes","No")</f>
        <v>No</v>
      </c>
      <c r="AM744" s="3" t="str">
        <f aca="false">IF(OR(AC744&lt;&gt;"Completed",AB744="Failed"),"Excluded","Included")</f>
        <v>Included</v>
      </c>
      <c r="AN744" s="3" t="str">
        <f aca="false">IF(OR(D744="Invalid/Unrecognized",E744="Invalid/Unrecognized",G744="Invalid - Ship Before Order",X744="Negative - Invalid",X744="Above Allowed Range - Invalid",AG744="Mismatch",AH744="Mismatch",AK744="Conflicting Duplicate - Flagged for Review"),"Invalid",IF(OR(L744="Filled - Unknown",S744="Filled - Unknown",X744="Missing - Defaulted to 0",AL744="Yes",AC744="Cancelled",AC744="Returned"),"Warning","Clean"))</f>
        <v>Clean</v>
      </c>
    </row>
    <row r="745" customFormat="false" ht="15" hidden="false" customHeight="false" outlineLevel="0" collapsed="false">
      <c r="A745" s="3" t="str">
        <f aca="false">raw_data!A745</f>
        <v>ORD-2025-10744</v>
      </c>
      <c r="B745" s="4" t="n">
        <f aca="false">IFERROR(IF(MID(raw_data!B745,3,1)="/",DATE(VALUE(RIGHT(raw_data!B745,4)),VALUE(LEFT(raw_data!B745,2)),VALUE(MID(raw_data!B745,4,2))),IF(MID(raw_data!B745,3,1)="-",DATE(VALUE(RIGHT(raw_data!B745,4)),VALUE(MID(raw_data!B745,4,2)),VALUE(LEFT(raw_data!B745,2))),IF(MID(raw_data!B745,5,1)="-",DATE(VALUE(LEFT(raw_data!B745,4)),VALUE(MID(raw_data!B745,6,2)),VALUE(RIGHT(raw_data!B745,2))),DATE(VALUE(RIGHT(raw_data!B745,4)),MATCH(MID(raw_data!B745,4,3),{"Jan","Feb","Mar","Apr","May","Jun","Jul","Aug","Sep","Oct","Nov","Dec"},0),VALUE(LEFT(raw_data!B745,2)))))),"")</f>
        <v>45700</v>
      </c>
      <c r="C745" s="4" t="n">
        <f aca="false">IFERROR(IF(MID(raw_data!C745,3,1)="/",DATE(VALUE(RIGHT(raw_data!C745,4)),VALUE(LEFT(raw_data!C745,2)),VALUE(MID(raw_data!C745,4,2))),IF(MID(raw_data!C745,3,1)="-",DATE(VALUE(RIGHT(raw_data!C745,4)),VALUE(MID(raw_data!C745,4,2)),VALUE(LEFT(raw_data!C745,2))),IF(MID(raw_data!C745,5,1)="-",DATE(VALUE(LEFT(raw_data!C745,4)),VALUE(MID(raw_data!C745,6,2)),VALUE(RIGHT(raw_data!C745,2))),DATE(VALUE(RIGHT(raw_data!C745,4)),MATCH(MID(raw_data!C745,4,3),{"Jan","Feb","Mar","Apr","May","Jun","Jul","Aug","Sep","Oct","Nov","Dec"},0),VALUE(LEFT(raw_data!C745,2)))))),"")</f>
        <v>45702</v>
      </c>
      <c r="D745" s="3" t="str">
        <f aca="false">IF(TRIM(raw_data!B745)="","Missing",IF(B745="","Invalid/Unrecognized","Valid"))</f>
        <v>Valid</v>
      </c>
      <c r="E745" s="3" t="str">
        <f aca="false">IF(TRIM(raw_data!C745)="","Missing",IF(C745="","Invalid/Unrecognized","Valid"))</f>
        <v>Valid</v>
      </c>
      <c r="F745" s="5" t="n">
        <f aca="false">IF(OR(B745="",C745=""),"",C745-B745)</f>
        <v>2</v>
      </c>
      <c r="G745" s="3" t="str">
        <f aca="false">IF(F745="","N/A",IF(F745&lt;0,"Invalid - Ship Before Order","OK"))</f>
        <v>OK</v>
      </c>
      <c r="H745" s="3" t="str">
        <f aca="false">raw_data!D745</f>
        <v>CUST-6231</v>
      </c>
      <c r="I745" s="3" t="str">
        <f aca="false">PROPER(TRIM(raw_data!E745))</f>
        <v>Sneha Kapoor</v>
      </c>
      <c r="J745" s="3" t="str">
        <f aca="false">PROPER(TRIM(raw_data!F745))</f>
        <v>Consumer</v>
      </c>
      <c r="K745" s="3" t="str">
        <f aca="false">IF(TRIM(raw_data!G745)="","Unknown",PROPER(TRIM(raw_data!G745)))</f>
        <v>North</v>
      </c>
      <c r="L745" s="3" t="str">
        <f aca="false">IF(TRIM(raw_data!G745)="","Filled - Unknown","OK")</f>
        <v>OK</v>
      </c>
      <c r="M745" s="3" t="str">
        <f aca="false">PROPER(TRIM(raw_data!H745))</f>
        <v>Uttar Pradesh</v>
      </c>
      <c r="N745" s="3" t="str">
        <f aca="false">PROPER(TRIM(raw_data!I745))</f>
        <v>Noida</v>
      </c>
      <c r="O745" s="3" t="str">
        <f aca="false">PROPER(TRIM(raw_data!J745))</f>
        <v>Office Supplies</v>
      </c>
      <c r="P745" s="3" t="str">
        <f aca="false">PROPER(TRIM(raw_data!K745))</f>
        <v>Art</v>
      </c>
      <c r="Q745" s="3" t="str">
        <f aca="false">TRIM(raw_data!L745)</f>
        <v>Basic Art 764</v>
      </c>
      <c r="R745" s="3" t="str">
        <f aca="false">IF(TRIM(raw_data!M745)="","Unknown",PROPER(TRIM(raw_data!M745)))</f>
        <v>Standard Class</v>
      </c>
      <c r="S745" s="3" t="str">
        <f aca="false">IF(TRIM(raw_data!M745)="","Filled - Unknown","OK")</f>
        <v>OK</v>
      </c>
      <c r="T745" s="6" t="n">
        <f aca="false">raw_data!N745</f>
        <v>6</v>
      </c>
      <c r="U745" s="7" t="n">
        <f aca="false">raw_data!O745</f>
        <v>491.4</v>
      </c>
      <c r="V745" s="8" t="n">
        <f aca="false">raw_data!P745</f>
        <v>0.25</v>
      </c>
      <c r="W745" s="8" t="n">
        <f aca="false">IF(raw_data!P745="",0,IF(ISTEXT(raw_data!P745),IF(RIGHT(raw_data!P745,1)="%",VALUE(LEFT(raw_data!P745,LEN(raw_data!P745)-1))/100,VALUE(raw_data!P745)),raw_data!P745))</f>
        <v>0.25</v>
      </c>
      <c r="X745" s="3" t="str">
        <f aca="false">IF(raw_data!P745="","Missing - Defaulted to 0",IF(W745&lt;0,"Negative - Invalid",IF(W745&gt;0.3,"Above Allowed Range - Invalid","Valid")))</f>
        <v>Valid</v>
      </c>
      <c r="Y745" s="7" t="n">
        <f aca="false">raw_data!Q745</f>
        <v>2211.3</v>
      </c>
      <c r="Z745" s="7" t="n">
        <f aca="false">raw_data!R745</f>
        <v>1735.64</v>
      </c>
      <c r="AA745" s="7" t="n">
        <f aca="false">raw_data!S745</f>
        <v>475.66</v>
      </c>
      <c r="AB745" s="3" t="str">
        <f aca="false">PROPER(TRIM(raw_data!T745))</f>
        <v>Paid</v>
      </c>
      <c r="AC745" s="3" t="str">
        <f aca="false">PROPER(TRIM(raw_data!U745))</f>
        <v>Completed</v>
      </c>
      <c r="AD745" s="7" t="n">
        <f aca="false">T745*U745*(1-W745)</f>
        <v>2211.3</v>
      </c>
      <c r="AE745" s="7" t="n">
        <f aca="false">AD745-Z745</f>
        <v>475.66</v>
      </c>
      <c r="AF745" s="8" t="n">
        <f aca="false">IF(AD745=0,0,AE745/AD745)</f>
        <v>0.215104237326459</v>
      </c>
      <c r="AG745" s="3" t="str">
        <f aca="false">IF(ABS(Y745-AD745)&gt;1,"Mismatch","OK")</f>
        <v>OK</v>
      </c>
      <c r="AH745" s="3" t="str">
        <f aca="false">IF(ABS(AA745-AE745)&gt;1,"Mismatch","OK")</f>
        <v>OK</v>
      </c>
      <c r="AI745" s="6" t="n">
        <f aca="false">IF(B745="","",MONTH(B745))</f>
        <v>2</v>
      </c>
      <c r="AJ745" s="6" t="n">
        <f aca="false">IF(B745="","",YEAR(B745))</f>
        <v>2025</v>
      </c>
      <c r="AK745" s="3" t="str">
        <f aca="false">IF(COUNTIF(raw_data!$A$2:$A$913,A745)&gt;1,"Conflicting Duplicate - Flagged for Review","Unique")</f>
        <v>Unique</v>
      </c>
      <c r="AL745" s="3" t="str">
        <f aca="false">IF(AB745="Refunded","Yes","No")</f>
        <v>No</v>
      </c>
      <c r="AM745" s="3" t="str">
        <f aca="false">IF(OR(AC745&lt;&gt;"Completed",AB745="Failed"),"Excluded","Included")</f>
        <v>Included</v>
      </c>
      <c r="AN745" s="3" t="str">
        <f aca="false">IF(OR(D745="Invalid/Unrecognized",E745="Invalid/Unrecognized",G745="Invalid - Ship Before Order",X745="Negative - Invalid",X745="Above Allowed Range - Invalid",AG745="Mismatch",AH745="Mismatch",AK745="Conflicting Duplicate - Flagged for Review"),"Invalid",IF(OR(L745="Filled - Unknown",S745="Filled - Unknown",X745="Missing - Defaulted to 0",AL745="Yes",AC745="Cancelled",AC745="Returned"),"Warning","Clean"))</f>
        <v>Clean</v>
      </c>
    </row>
    <row r="746" customFormat="false" ht="15" hidden="false" customHeight="false" outlineLevel="0" collapsed="false">
      <c r="A746" s="3" t="str">
        <f aca="false">raw_data!A746</f>
        <v>ORD-2025-10745</v>
      </c>
      <c r="B746" s="4" t="n">
        <f aca="false">IFERROR(IF(MID(raw_data!B746,3,1)="/",DATE(VALUE(RIGHT(raw_data!B746,4)),VALUE(LEFT(raw_data!B746,2)),VALUE(MID(raw_data!B746,4,2))),IF(MID(raw_data!B746,3,1)="-",DATE(VALUE(RIGHT(raw_data!B746,4)),VALUE(MID(raw_data!B746,4,2)),VALUE(LEFT(raw_data!B746,2))),IF(MID(raw_data!B746,5,1)="-",DATE(VALUE(LEFT(raw_data!B746,4)),VALUE(MID(raw_data!B746,6,2)),VALUE(RIGHT(raw_data!B746,2))),DATE(VALUE(RIGHT(raw_data!B746,4)),MATCH(MID(raw_data!B746,4,3),{"Jan","Feb","Mar","Apr","May","Jun","Jul","Aug","Sep","Oct","Nov","Dec"},0),VALUE(LEFT(raw_data!B746,2)))))),"")</f>
        <v>45886</v>
      </c>
      <c r="C746" s="4" t="n">
        <f aca="false">IFERROR(IF(MID(raw_data!C746,3,1)="/",DATE(VALUE(RIGHT(raw_data!C746,4)),VALUE(LEFT(raw_data!C746,2)),VALUE(MID(raw_data!C746,4,2))),IF(MID(raw_data!C746,3,1)="-",DATE(VALUE(RIGHT(raw_data!C746,4)),VALUE(MID(raw_data!C746,4,2)),VALUE(LEFT(raw_data!C746,2))),IF(MID(raw_data!C746,5,1)="-",DATE(VALUE(LEFT(raw_data!C746,4)),VALUE(MID(raw_data!C746,6,2)),VALUE(RIGHT(raw_data!C746,2))),DATE(VALUE(RIGHT(raw_data!C746,4)),MATCH(MID(raw_data!C746,4,3),{"Jan","Feb","Mar","Apr","May","Jun","Jul","Aug","Sep","Oct","Nov","Dec"},0),VALUE(LEFT(raw_data!C746,2)))))),"")</f>
        <v>45889</v>
      </c>
      <c r="D746" s="3" t="str">
        <f aca="false">IF(TRIM(raw_data!B746)="","Missing",IF(B746="","Invalid/Unrecognized","Valid"))</f>
        <v>Valid</v>
      </c>
      <c r="E746" s="3" t="str">
        <f aca="false">IF(TRIM(raw_data!C746)="","Missing",IF(C746="","Invalid/Unrecognized","Valid"))</f>
        <v>Valid</v>
      </c>
      <c r="F746" s="5" t="n">
        <f aca="false">IF(OR(B746="",C746=""),"",C746-B746)</f>
        <v>3</v>
      </c>
      <c r="G746" s="3" t="str">
        <f aca="false">IF(F746="","N/A",IF(F746&lt;0,"Invalid - Ship Before Order","OK"))</f>
        <v>OK</v>
      </c>
      <c r="H746" s="3" t="str">
        <f aca="false">raw_data!D746</f>
        <v>CUST-2021</v>
      </c>
      <c r="I746" s="3" t="str">
        <f aca="false">PROPER(TRIM(raw_data!E746))</f>
        <v>Mira Das</v>
      </c>
      <c r="J746" s="3" t="str">
        <f aca="false">PROPER(TRIM(raw_data!F746))</f>
        <v>Home Office</v>
      </c>
      <c r="K746" s="3" t="str">
        <f aca="false">IF(TRIM(raw_data!G746)="","Unknown",PROPER(TRIM(raw_data!G746)))</f>
        <v>North</v>
      </c>
      <c r="L746" s="3" t="str">
        <f aca="false">IF(TRIM(raw_data!G746)="","Filled - Unknown","OK")</f>
        <v>OK</v>
      </c>
      <c r="M746" s="3" t="str">
        <f aca="false">PROPER(TRIM(raw_data!H746))</f>
        <v>Punjab</v>
      </c>
      <c r="N746" s="3" t="str">
        <f aca="false">PROPER(TRIM(raw_data!I746))</f>
        <v>Ludhiana</v>
      </c>
      <c r="O746" s="3" t="str">
        <f aca="false">PROPER(TRIM(raw_data!J746))</f>
        <v>Office Supplies</v>
      </c>
      <c r="P746" s="3" t="str">
        <f aca="false">PROPER(TRIM(raw_data!K746))</f>
        <v>Binders</v>
      </c>
      <c r="Q746" s="3" t="str">
        <f aca="false">TRIM(raw_data!L746)</f>
        <v>Prime Binders 181</v>
      </c>
      <c r="R746" s="3" t="str">
        <f aca="false">IF(TRIM(raw_data!M746)="","Unknown",PROPER(TRIM(raw_data!M746)))</f>
        <v>First Class</v>
      </c>
      <c r="S746" s="3" t="str">
        <f aca="false">IF(TRIM(raw_data!M746)="","Filled - Unknown","OK")</f>
        <v>OK</v>
      </c>
      <c r="T746" s="6" t="n">
        <f aca="false">raw_data!N746</f>
        <v>5</v>
      </c>
      <c r="U746" s="7" t="n">
        <f aca="false">raw_data!O746</f>
        <v>2701.89</v>
      </c>
      <c r="V746" s="8" t="n">
        <f aca="false">raw_data!P746</f>
        <v>0.1</v>
      </c>
      <c r="W746" s="8" t="n">
        <f aca="false">IF(raw_data!P746="",0,IF(ISTEXT(raw_data!P746),IF(RIGHT(raw_data!P746,1)="%",VALUE(LEFT(raw_data!P746,LEN(raw_data!P746)-1))/100,VALUE(raw_data!P746)),raw_data!P746))</f>
        <v>0.1</v>
      </c>
      <c r="X746" s="3" t="str">
        <f aca="false">IF(raw_data!P746="","Missing - Defaulted to 0",IF(W746&lt;0,"Negative - Invalid",IF(W746&gt;0.3,"Above Allowed Range - Invalid","Valid")))</f>
        <v>Valid</v>
      </c>
      <c r="Y746" s="7" t="n">
        <f aca="false">raw_data!Q746</f>
        <v>12158.5</v>
      </c>
      <c r="Z746" s="7" t="n">
        <f aca="false">raw_data!R746</f>
        <v>10260.07</v>
      </c>
      <c r="AA746" s="7" t="n">
        <f aca="false">raw_data!S746</f>
        <v>1898.43</v>
      </c>
      <c r="AB746" s="3" t="str">
        <f aca="false">PROPER(TRIM(raw_data!T746))</f>
        <v>Paid</v>
      </c>
      <c r="AC746" s="3" t="str">
        <f aca="false">PROPER(TRIM(raw_data!U746))</f>
        <v>Cancelled</v>
      </c>
      <c r="AD746" s="7" t="n">
        <f aca="false">T746*U746*(1-W746)</f>
        <v>12158.505</v>
      </c>
      <c r="AE746" s="7" t="n">
        <f aca="false">AD746-Z746</f>
        <v>1898.435</v>
      </c>
      <c r="AF746" s="8" t="n">
        <f aca="false">IF(AD746=0,0,AE746/AD746)</f>
        <v>0.156140495891559</v>
      </c>
      <c r="AG746" s="3" t="str">
        <f aca="false">IF(ABS(Y746-AD746)&gt;1,"Mismatch","OK")</f>
        <v>OK</v>
      </c>
      <c r="AH746" s="3" t="str">
        <f aca="false">IF(ABS(AA746-AE746)&gt;1,"Mismatch","OK")</f>
        <v>OK</v>
      </c>
      <c r="AI746" s="6" t="n">
        <f aca="false">IF(B746="","",MONTH(B746))</f>
        <v>8</v>
      </c>
      <c r="AJ746" s="6" t="n">
        <f aca="false">IF(B746="","",YEAR(B746))</f>
        <v>2025</v>
      </c>
      <c r="AK746" s="3" t="str">
        <f aca="false">IF(COUNTIF(raw_data!$A$2:$A$913,A746)&gt;1,"Conflicting Duplicate - Flagged for Review","Unique")</f>
        <v>Unique</v>
      </c>
      <c r="AL746" s="3" t="str">
        <f aca="false">IF(AB746="Refunded","Yes","No")</f>
        <v>No</v>
      </c>
      <c r="AM746" s="3" t="str">
        <f aca="false">IF(OR(AC746&lt;&gt;"Completed",AB746="Failed"),"Excluded","Included")</f>
        <v>Excluded</v>
      </c>
      <c r="AN746" s="3" t="str">
        <f aca="false">IF(OR(D746="Invalid/Unrecognized",E746="Invalid/Unrecognized",G746="Invalid - Ship Before Order",X746="Negative - Invalid",X746="Above Allowed Range - Invalid",AG746="Mismatch",AH746="Mismatch",AK746="Conflicting Duplicate - Flagged for Review"),"Invalid",IF(OR(L746="Filled - Unknown",S746="Filled - Unknown",X746="Missing - Defaulted to 0",AL746="Yes",AC746="Cancelled",AC746="Returned"),"Warning","Clean"))</f>
        <v>Warning</v>
      </c>
    </row>
    <row r="747" customFormat="false" ht="15" hidden="false" customHeight="false" outlineLevel="0" collapsed="false">
      <c r="A747" s="3" t="str">
        <f aca="false">raw_data!A747</f>
        <v>ORD-2024-10746</v>
      </c>
      <c r="B747" s="4" t="n">
        <f aca="false">IFERROR(IF(MID(raw_data!B747,3,1)="/",DATE(VALUE(RIGHT(raw_data!B747,4)),VALUE(LEFT(raw_data!B747,2)),VALUE(MID(raw_data!B747,4,2))),IF(MID(raw_data!B747,3,1)="-",DATE(VALUE(RIGHT(raw_data!B747,4)),VALUE(MID(raw_data!B747,4,2)),VALUE(LEFT(raw_data!B747,2))),IF(MID(raw_data!B747,5,1)="-",DATE(VALUE(LEFT(raw_data!B747,4)),VALUE(MID(raw_data!B747,6,2)),VALUE(RIGHT(raw_data!B747,2))),DATE(VALUE(RIGHT(raw_data!B747,4)),MATCH(MID(raw_data!B747,4,3),{"Jan","Feb","Mar","Apr","May","Jun","Jul","Aug","Sep","Oct","Nov","Dec"},0),VALUE(LEFT(raw_data!B747,2)))))),"")</f>
        <v>45589</v>
      </c>
      <c r="C747" s="4" t="n">
        <f aca="false">IFERROR(IF(MID(raw_data!C747,3,1)="/",DATE(VALUE(RIGHT(raw_data!C747,4)),VALUE(LEFT(raw_data!C747,2)),VALUE(MID(raw_data!C747,4,2))),IF(MID(raw_data!C747,3,1)="-",DATE(VALUE(RIGHT(raw_data!C747,4)),VALUE(MID(raw_data!C747,4,2)),VALUE(LEFT(raw_data!C747,2))),IF(MID(raw_data!C747,5,1)="-",DATE(VALUE(LEFT(raw_data!C747,4)),VALUE(MID(raw_data!C747,6,2)),VALUE(RIGHT(raw_data!C747,2))),DATE(VALUE(RIGHT(raw_data!C747,4)),MATCH(MID(raw_data!C747,4,3),{"Jan","Feb","Mar","Apr","May","Jun","Jul","Aug","Sep","Oct","Nov","Dec"},0),VALUE(LEFT(raw_data!C747,2)))))),"")</f>
        <v>45593</v>
      </c>
      <c r="D747" s="3" t="str">
        <f aca="false">IF(TRIM(raw_data!B747)="","Missing",IF(B747="","Invalid/Unrecognized","Valid"))</f>
        <v>Valid</v>
      </c>
      <c r="E747" s="3" t="str">
        <f aca="false">IF(TRIM(raw_data!C747)="","Missing",IF(C747="","Invalid/Unrecognized","Valid"))</f>
        <v>Valid</v>
      </c>
      <c r="F747" s="5" t="n">
        <f aca="false">IF(OR(B747="",C747=""),"",C747-B747)</f>
        <v>4</v>
      </c>
      <c r="G747" s="3" t="str">
        <f aca="false">IF(F747="","N/A",IF(F747&lt;0,"Invalid - Ship Before Order","OK"))</f>
        <v>OK</v>
      </c>
      <c r="H747" s="3" t="str">
        <f aca="false">raw_data!D747</f>
        <v>CUST-1493</v>
      </c>
      <c r="I747" s="3" t="str">
        <f aca="false">PROPER(TRIM(raw_data!E747))</f>
        <v>Mira Das</v>
      </c>
      <c r="J747" s="3" t="str">
        <f aca="false">PROPER(TRIM(raw_data!F747))</f>
        <v>Small Business</v>
      </c>
      <c r="K747" s="3" t="str">
        <f aca="false">IF(TRIM(raw_data!G747)="","Unknown",PROPER(TRIM(raw_data!G747)))</f>
        <v>East</v>
      </c>
      <c r="L747" s="3" t="str">
        <f aca="false">IF(TRIM(raw_data!G747)="","Filled - Unknown","OK")</f>
        <v>OK</v>
      </c>
      <c r="M747" s="3" t="str">
        <f aca="false">PROPER(TRIM(raw_data!H747))</f>
        <v>Assam</v>
      </c>
      <c r="N747" s="3" t="str">
        <f aca="false">PROPER(TRIM(raw_data!I747))</f>
        <v>Guwahati</v>
      </c>
      <c r="O747" s="3" t="str">
        <f aca="false">PROPER(TRIM(raw_data!J747))</f>
        <v>Technology</v>
      </c>
      <c r="P747" s="3" t="str">
        <f aca="false">PROPER(TRIM(raw_data!K747))</f>
        <v>Copiers</v>
      </c>
      <c r="Q747" s="3" t="str">
        <f aca="false">TRIM(raw_data!L747)</f>
        <v>Max Copiers 866</v>
      </c>
      <c r="R747" s="3" t="str">
        <f aca="false">IF(TRIM(raw_data!M747)="","Unknown",PROPER(TRIM(raw_data!M747)))</f>
        <v>Standard Class</v>
      </c>
      <c r="S747" s="3" t="str">
        <f aca="false">IF(TRIM(raw_data!M747)="","Filled - Unknown","OK")</f>
        <v>OK</v>
      </c>
      <c r="T747" s="6" t="n">
        <f aca="false">raw_data!N747</f>
        <v>3</v>
      </c>
      <c r="U747" s="7" t="n">
        <f aca="false">raw_data!O747</f>
        <v>723.59</v>
      </c>
      <c r="V747" s="8" t="n">
        <f aca="false">raw_data!P747</f>
        <v>0.2</v>
      </c>
      <c r="W747" s="8" t="n">
        <f aca="false">IF(raw_data!P747="",0,IF(ISTEXT(raw_data!P747),IF(RIGHT(raw_data!P747,1)="%",VALUE(LEFT(raw_data!P747,LEN(raw_data!P747)-1))/100,VALUE(raw_data!P747)),raw_data!P747))</f>
        <v>0.2</v>
      </c>
      <c r="X747" s="3" t="str">
        <f aca="false">IF(raw_data!P747="","Missing - Defaulted to 0",IF(W747&lt;0,"Negative - Invalid",IF(W747&gt;0.3,"Above Allowed Range - Invalid","Valid")))</f>
        <v>Valid</v>
      </c>
      <c r="Y747" s="7" t="n">
        <f aca="false">raw_data!Q747</f>
        <v>1736.62</v>
      </c>
      <c r="Z747" s="7" t="n">
        <f aca="false">raw_data!R747</f>
        <v>1059.52</v>
      </c>
      <c r="AA747" s="7" t="n">
        <f aca="false">raw_data!S747</f>
        <v>677.1</v>
      </c>
      <c r="AB747" s="3" t="str">
        <f aca="false">PROPER(TRIM(raw_data!T747))</f>
        <v>Paid</v>
      </c>
      <c r="AC747" s="3" t="str">
        <f aca="false">PROPER(TRIM(raw_data!U747))</f>
        <v>Completed</v>
      </c>
      <c r="AD747" s="7" t="n">
        <f aca="false">T747*U747*(1-W747)</f>
        <v>1736.616</v>
      </c>
      <c r="AE747" s="7" t="n">
        <f aca="false">AD747-Z747</f>
        <v>677.096</v>
      </c>
      <c r="AF747" s="8" t="n">
        <f aca="false">IF(AD747=0,0,AE747/AD747)</f>
        <v>0.389893908613073</v>
      </c>
      <c r="AG747" s="3" t="str">
        <f aca="false">IF(ABS(Y747-AD747)&gt;1,"Mismatch","OK")</f>
        <v>OK</v>
      </c>
      <c r="AH747" s="3" t="str">
        <f aca="false">IF(ABS(AA747-AE747)&gt;1,"Mismatch","OK")</f>
        <v>OK</v>
      </c>
      <c r="AI747" s="6" t="n">
        <f aca="false">IF(B747="","",MONTH(B747))</f>
        <v>10</v>
      </c>
      <c r="AJ747" s="6" t="n">
        <f aca="false">IF(B747="","",YEAR(B747))</f>
        <v>2024</v>
      </c>
      <c r="AK747" s="3" t="str">
        <f aca="false">IF(COUNTIF(raw_data!$A$2:$A$913,A747)&gt;1,"Conflicting Duplicate - Flagged for Review","Unique")</f>
        <v>Unique</v>
      </c>
      <c r="AL747" s="3" t="str">
        <f aca="false">IF(AB747="Refunded","Yes","No")</f>
        <v>No</v>
      </c>
      <c r="AM747" s="3" t="str">
        <f aca="false">IF(OR(AC747&lt;&gt;"Completed",AB747="Failed"),"Excluded","Included")</f>
        <v>Included</v>
      </c>
      <c r="AN747" s="3" t="str">
        <f aca="false">IF(OR(D747="Invalid/Unrecognized",E747="Invalid/Unrecognized",G747="Invalid - Ship Before Order",X747="Negative - Invalid",X747="Above Allowed Range - Invalid",AG747="Mismatch",AH747="Mismatch",AK747="Conflicting Duplicate - Flagged for Review"),"Invalid",IF(OR(L747="Filled - Unknown",S747="Filled - Unknown",X747="Missing - Defaulted to 0",AL747="Yes",AC747="Cancelled",AC747="Returned"),"Warning","Clean"))</f>
        <v>Clean</v>
      </c>
    </row>
    <row r="748" customFormat="false" ht="15" hidden="false" customHeight="false" outlineLevel="0" collapsed="false">
      <c r="A748" s="3" t="str">
        <f aca="false">raw_data!A748</f>
        <v>ORD-2025-10747</v>
      </c>
      <c r="B748" s="4" t="n">
        <f aca="false">IFERROR(IF(MID(raw_data!B748,3,1)="/",DATE(VALUE(RIGHT(raw_data!B748,4)),VALUE(LEFT(raw_data!B748,2)),VALUE(MID(raw_data!B748,4,2))),IF(MID(raw_data!B748,3,1)="-",DATE(VALUE(RIGHT(raw_data!B748,4)),VALUE(MID(raw_data!B748,4,2)),VALUE(LEFT(raw_data!B748,2))),IF(MID(raw_data!B748,5,1)="-",DATE(VALUE(LEFT(raw_data!B748,4)),VALUE(MID(raw_data!B748,6,2)),VALUE(RIGHT(raw_data!B748,2))),DATE(VALUE(RIGHT(raw_data!B748,4)),MATCH(MID(raw_data!B748,4,3),{"Jan","Feb","Mar","Apr","May","Jun","Jul","Aug","Sep","Oct","Nov","Dec"},0),VALUE(LEFT(raw_data!B748,2)))))),"")</f>
        <v>45661</v>
      </c>
      <c r="C748" s="4" t="n">
        <f aca="false">IFERROR(IF(MID(raw_data!C748,3,1)="/",DATE(VALUE(RIGHT(raw_data!C748,4)),VALUE(LEFT(raw_data!C748,2)),VALUE(MID(raw_data!C748,4,2))),IF(MID(raw_data!C748,3,1)="-",DATE(VALUE(RIGHT(raw_data!C748,4)),VALUE(MID(raw_data!C748,4,2)),VALUE(LEFT(raw_data!C748,2))),IF(MID(raw_data!C748,5,1)="-",DATE(VALUE(LEFT(raw_data!C748,4)),VALUE(MID(raw_data!C748,6,2)),VALUE(RIGHT(raw_data!C748,2))),DATE(VALUE(RIGHT(raw_data!C748,4)),MATCH(MID(raw_data!C748,4,3),{"Jan","Feb","Mar","Apr","May","Jun","Jul","Aug","Sep","Oct","Nov","Dec"},0),VALUE(LEFT(raw_data!C748,2)))))),"")</f>
        <v>45667</v>
      </c>
      <c r="D748" s="3" t="str">
        <f aca="false">IF(TRIM(raw_data!B748)="","Missing",IF(B748="","Invalid/Unrecognized","Valid"))</f>
        <v>Valid</v>
      </c>
      <c r="E748" s="3" t="str">
        <f aca="false">IF(TRIM(raw_data!C748)="","Missing",IF(C748="","Invalid/Unrecognized","Valid"))</f>
        <v>Valid</v>
      </c>
      <c r="F748" s="5" t="n">
        <f aca="false">IF(OR(B748="",C748=""),"",C748-B748)</f>
        <v>6</v>
      </c>
      <c r="G748" s="3" t="str">
        <f aca="false">IF(F748="","N/A",IF(F748&lt;0,"Invalid - Ship Before Order","OK"))</f>
        <v>OK</v>
      </c>
      <c r="H748" s="3" t="str">
        <f aca="false">raw_data!D748</f>
        <v>CUST-2314</v>
      </c>
      <c r="I748" s="3" t="str">
        <f aca="false">PROPER(TRIM(raw_data!E748))</f>
        <v>Aarav Sharma</v>
      </c>
      <c r="J748" s="3" t="str">
        <f aca="false">PROPER(TRIM(raw_data!F748))</f>
        <v>Home Office</v>
      </c>
      <c r="K748" s="3" t="str">
        <f aca="false">IF(TRIM(raw_data!G748)="","Unknown",PROPER(TRIM(raw_data!G748)))</f>
        <v>East</v>
      </c>
      <c r="L748" s="3" t="str">
        <f aca="false">IF(TRIM(raw_data!G748)="","Filled - Unknown","OK")</f>
        <v>OK</v>
      </c>
      <c r="M748" s="3" t="str">
        <f aca="false">PROPER(TRIM(raw_data!H748))</f>
        <v>West Bengal</v>
      </c>
      <c r="N748" s="3" t="str">
        <f aca="false">PROPER(TRIM(raw_data!I748))</f>
        <v>Kolkata</v>
      </c>
      <c r="O748" s="3" t="str">
        <f aca="false">PROPER(TRIM(raw_data!J748))</f>
        <v>Office Supplies</v>
      </c>
      <c r="P748" s="3" t="str">
        <f aca="false">PROPER(TRIM(raw_data!K748))</f>
        <v>Paper</v>
      </c>
      <c r="Q748" s="3" t="str">
        <f aca="false">TRIM(raw_data!L748)</f>
        <v>Pro Paper 662</v>
      </c>
      <c r="R748" s="3" t="str">
        <f aca="false">IF(TRIM(raw_data!M748)="","Unknown",PROPER(TRIM(raw_data!M748)))</f>
        <v>Standard Class</v>
      </c>
      <c r="S748" s="3" t="str">
        <f aca="false">IF(TRIM(raw_data!M748)="","Filled - Unknown","OK")</f>
        <v>OK</v>
      </c>
      <c r="T748" s="6" t="n">
        <f aca="false">raw_data!N748</f>
        <v>4</v>
      </c>
      <c r="U748" s="7" t="n">
        <f aca="false">raw_data!O748</f>
        <v>2583.19</v>
      </c>
      <c r="V748" s="8" t="n">
        <f aca="false">raw_data!P748</f>
        <v>0.2</v>
      </c>
      <c r="W748" s="8" t="n">
        <f aca="false">IF(raw_data!P748="",0,IF(ISTEXT(raw_data!P748),IF(RIGHT(raw_data!P748,1)="%",VALUE(LEFT(raw_data!P748,LEN(raw_data!P748)-1))/100,VALUE(raw_data!P748)),raw_data!P748))</f>
        <v>0.2</v>
      </c>
      <c r="X748" s="3" t="str">
        <f aca="false">IF(raw_data!P748="","Missing - Defaulted to 0",IF(W748&lt;0,"Negative - Invalid",IF(W748&gt;0.3,"Above Allowed Range - Invalid","Valid")))</f>
        <v>Valid</v>
      </c>
      <c r="Y748" s="7" t="n">
        <f aca="false">raw_data!Q748</f>
        <v>8266.21</v>
      </c>
      <c r="Z748" s="7" t="n">
        <f aca="false">raw_data!R748</f>
        <v>6236.32</v>
      </c>
      <c r="AA748" s="7" t="n">
        <f aca="false">raw_data!S748</f>
        <v>2029.89</v>
      </c>
      <c r="AB748" s="3" t="str">
        <f aca="false">PROPER(TRIM(raw_data!T748))</f>
        <v>Paid</v>
      </c>
      <c r="AC748" s="3" t="str">
        <f aca="false">PROPER(TRIM(raw_data!U748))</f>
        <v>Completed</v>
      </c>
      <c r="AD748" s="7" t="n">
        <f aca="false">T748*U748*(1-W748)</f>
        <v>8266.208</v>
      </c>
      <c r="AE748" s="7" t="n">
        <f aca="false">AD748-Z748</f>
        <v>2029.888</v>
      </c>
      <c r="AF748" s="8" t="n">
        <f aca="false">IF(AD748=0,0,AE748/AD748)</f>
        <v>0.245564592616107</v>
      </c>
      <c r="AG748" s="3" t="str">
        <f aca="false">IF(ABS(Y748-AD748)&gt;1,"Mismatch","OK")</f>
        <v>OK</v>
      </c>
      <c r="AH748" s="3" t="str">
        <f aca="false">IF(ABS(AA748-AE748)&gt;1,"Mismatch","OK")</f>
        <v>OK</v>
      </c>
      <c r="AI748" s="6" t="n">
        <f aca="false">IF(B748="","",MONTH(B748))</f>
        <v>1</v>
      </c>
      <c r="AJ748" s="6" t="n">
        <f aca="false">IF(B748="","",YEAR(B748))</f>
        <v>2025</v>
      </c>
      <c r="AK748" s="3" t="str">
        <f aca="false">IF(COUNTIF(raw_data!$A$2:$A$913,A748)&gt;1,"Conflicting Duplicate - Flagged for Review","Unique")</f>
        <v>Unique</v>
      </c>
      <c r="AL748" s="3" t="str">
        <f aca="false">IF(AB748="Refunded","Yes","No")</f>
        <v>No</v>
      </c>
      <c r="AM748" s="3" t="str">
        <f aca="false">IF(OR(AC748&lt;&gt;"Completed",AB748="Failed"),"Excluded","Included")</f>
        <v>Included</v>
      </c>
      <c r="AN748" s="3" t="str">
        <f aca="false">IF(OR(D748="Invalid/Unrecognized",E748="Invalid/Unrecognized",G748="Invalid - Ship Before Order",X748="Negative - Invalid",X748="Above Allowed Range - Invalid",AG748="Mismatch",AH748="Mismatch",AK748="Conflicting Duplicate - Flagged for Review"),"Invalid",IF(OR(L748="Filled - Unknown",S748="Filled - Unknown",X748="Missing - Defaulted to 0",AL748="Yes",AC748="Cancelled",AC748="Returned"),"Warning","Clean"))</f>
        <v>Clean</v>
      </c>
    </row>
    <row r="749" customFormat="false" ht="15" hidden="false" customHeight="false" outlineLevel="0" collapsed="false">
      <c r="A749" s="3" t="str">
        <f aca="false">raw_data!A749</f>
        <v>ORD-2024-10748</v>
      </c>
      <c r="B749" s="4" t="n">
        <f aca="false">IFERROR(IF(MID(raw_data!B749,3,1)="/",DATE(VALUE(RIGHT(raw_data!B749,4)),VALUE(LEFT(raw_data!B749,2)),VALUE(MID(raw_data!B749,4,2))),IF(MID(raw_data!B749,3,1)="-",DATE(VALUE(RIGHT(raw_data!B749,4)),VALUE(MID(raw_data!B749,4,2)),VALUE(LEFT(raw_data!B749,2))),IF(MID(raw_data!B749,5,1)="-",DATE(VALUE(LEFT(raw_data!B749,4)),VALUE(MID(raw_data!B749,6,2)),VALUE(RIGHT(raw_data!B749,2))),DATE(VALUE(RIGHT(raw_data!B749,4)),MATCH(MID(raw_data!B749,4,3),{"Jan","Feb","Mar","Apr","May","Jun","Jul","Aug","Sep","Oct","Nov","Dec"},0),VALUE(LEFT(raw_data!B749,2)))))),"")</f>
        <v>45413</v>
      </c>
      <c r="C749" s="4" t="n">
        <f aca="false">IFERROR(IF(MID(raw_data!C749,3,1)="/",DATE(VALUE(RIGHT(raw_data!C749,4)),VALUE(LEFT(raw_data!C749,2)),VALUE(MID(raw_data!C749,4,2))),IF(MID(raw_data!C749,3,1)="-",DATE(VALUE(RIGHT(raw_data!C749,4)),VALUE(MID(raw_data!C749,4,2)),VALUE(LEFT(raw_data!C749,2))),IF(MID(raw_data!C749,5,1)="-",DATE(VALUE(LEFT(raw_data!C749,4)),VALUE(MID(raw_data!C749,6,2)),VALUE(RIGHT(raw_data!C749,2))),DATE(VALUE(RIGHT(raw_data!C749,4)),MATCH(MID(raw_data!C749,4,3),{"Jan","Feb","Mar","Apr","May","Jun","Jul","Aug","Sep","Oct","Nov","Dec"},0),VALUE(LEFT(raw_data!C749,2)))))),"")</f>
        <v>45419</v>
      </c>
      <c r="D749" s="3" t="str">
        <f aca="false">IF(TRIM(raw_data!B749)="","Missing",IF(B749="","Invalid/Unrecognized","Valid"))</f>
        <v>Valid</v>
      </c>
      <c r="E749" s="3" t="str">
        <f aca="false">IF(TRIM(raw_data!C749)="","Missing",IF(C749="","Invalid/Unrecognized","Valid"))</f>
        <v>Valid</v>
      </c>
      <c r="F749" s="5" t="n">
        <f aca="false">IF(OR(B749="",C749=""),"",C749-B749)</f>
        <v>6</v>
      </c>
      <c r="G749" s="3" t="str">
        <f aca="false">IF(F749="","N/A",IF(F749&lt;0,"Invalid - Ship Before Order","OK"))</f>
        <v>OK</v>
      </c>
      <c r="H749" s="3" t="str">
        <f aca="false">raw_data!D749</f>
        <v>CUST-8416</v>
      </c>
      <c r="I749" s="3" t="str">
        <f aca="false">PROPER(TRIM(raw_data!E749))</f>
        <v>Isha Nair</v>
      </c>
      <c r="J749" s="3" t="str">
        <f aca="false">PROPER(TRIM(raw_data!F749))</f>
        <v>Home Office</v>
      </c>
      <c r="K749" s="3" t="str">
        <f aca="false">IF(TRIM(raw_data!G749)="","Unknown",PROPER(TRIM(raw_data!G749)))</f>
        <v>East</v>
      </c>
      <c r="L749" s="3" t="str">
        <f aca="false">IF(TRIM(raw_data!G749)="","Filled - Unknown","OK")</f>
        <v>OK</v>
      </c>
      <c r="M749" s="3" t="str">
        <f aca="false">PROPER(TRIM(raw_data!H749))</f>
        <v>Odisha</v>
      </c>
      <c r="N749" s="3" t="str">
        <f aca="false">PROPER(TRIM(raw_data!I749))</f>
        <v>Bhubaneswar</v>
      </c>
      <c r="O749" s="3" t="str">
        <f aca="false">PROPER(TRIM(raw_data!J749))</f>
        <v>Office Supplies</v>
      </c>
      <c r="P749" s="3" t="str">
        <f aca="false">PROPER(TRIM(raw_data!K749))</f>
        <v>Paper</v>
      </c>
      <c r="Q749" s="3" t="str">
        <f aca="false">TRIM(raw_data!L749)</f>
        <v>Classic Paper 388</v>
      </c>
      <c r="R749" s="3" t="str">
        <f aca="false">IF(TRIM(raw_data!M749)="","Unknown",PROPER(TRIM(raw_data!M749)))</f>
        <v>Same Day</v>
      </c>
      <c r="S749" s="3" t="str">
        <f aca="false">IF(TRIM(raw_data!M749)="","Filled - Unknown","OK")</f>
        <v>OK</v>
      </c>
      <c r="T749" s="6" t="n">
        <f aca="false">raw_data!N749</f>
        <v>8</v>
      </c>
      <c r="U749" s="7" t="n">
        <f aca="false">raw_data!O749</f>
        <v>1473.83</v>
      </c>
      <c r="V749" s="8" t="n">
        <f aca="false">raw_data!P749</f>
        <v>0.15</v>
      </c>
      <c r="W749" s="8" t="n">
        <f aca="false">IF(raw_data!P749="",0,IF(ISTEXT(raw_data!P749),IF(RIGHT(raw_data!P749,1)="%",VALUE(LEFT(raw_data!P749,LEN(raw_data!P749)-1))/100,VALUE(raw_data!P749)),raw_data!P749))</f>
        <v>0.15</v>
      </c>
      <c r="X749" s="3" t="str">
        <f aca="false">IF(raw_data!P749="","Missing - Defaulted to 0",IF(W749&lt;0,"Negative - Invalid",IF(W749&gt;0.3,"Above Allowed Range - Invalid","Valid")))</f>
        <v>Valid</v>
      </c>
      <c r="Y749" s="7" t="n">
        <f aca="false">raw_data!Q749</f>
        <v>10022.04</v>
      </c>
      <c r="Z749" s="7" t="n">
        <f aca="false">raw_data!R749</f>
        <v>5576.98</v>
      </c>
      <c r="AA749" s="7" t="n">
        <f aca="false">raw_data!S749</f>
        <v>4445.06</v>
      </c>
      <c r="AB749" s="3" t="str">
        <f aca="false">PROPER(TRIM(raw_data!T749))</f>
        <v>Paid</v>
      </c>
      <c r="AC749" s="3" t="str">
        <f aca="false">PROPER(TRIM(raw_data!U749))</f>
        <v>Completed</v>
      </c>
      <c r="AD749" s="7" t="n">
        <f aca="false">T749*U749*(1-W749)</f>
        <v>10022.044</v>
      </c>
      <c r="AE749" s="7" t="n">
        <f aca="false">AD749-Z749</f>
        <v>4445.064</v>
      </c>
      <c r="AF749" s="8" t="n">
        <f aca="false">IF(AD749=0,0,AE749/AD749)</f>
        <v>0.443528685365979</v>
      </c>
      <c r="AG749" s="3" t="str">
        <f aca="false">IF(ABS(Y749-AD749)&gt;1,"Mismatch","OK")</f>
        <v>OK</v>
      </c>
      <c r="AH749" s="3" t="str">
        <f aca="false">IF(ABS(AA749-AE749)&gt;1,"Mismatch","OK")</f>
        <v>OK</v>
      </c>
      <c r="AI749" s="6" t="n">
        <f aca="false">IF(B749="","",MONTH(B749))</f>
        <v>5</v>
      </c>
      <c r="AJ749" s="6" t="n">
        <f aca="false">IF(B749="","",YEAR(B749))</f>
        <v>2024</v>
      </c>
      <c r="AK749" s="3" t="str">
        <f aca="false">IF(COUNTIF(raw_data!$A$2:$A$913,A749)&gt;1,"Conflicting Duplicate - Flagged for Review","Unique")</f>
        <v>Unique</v>
      </c>
      <c r="AL749" s="3" t="str">
        <f aca="false">IF(AB749="Refunded","Yes","No")</f>
        <v>No</v>
      </c>
      <c r="AM749" s="3" t="str">
        <f aca="false">IF(OR(AC749&lt;&gt;"Completed",AB749="Failed"),"Excluded","Included")</f>
        <v>Included</v>
      </c>
      <c r="AN749" s="3" t="str">
        <f aca="false">IF(OR(D749="Invalid/Unrecognized",E749="Invalid/Unrecognized",G749="Invalid - Ship Before Order",X749="Negative - Invalid",X749="Above Allowed Range - Invalid",AG749="Mismatch",AH749="Mismatch",AK749="Conflicting Duplicate - Flagged for Review"),"Invalid",IF(OR(L749="Filled - Unknown",S749="Filled - Unknown",X749="Missing - Defaulted to 0",AL749="Yes",AC749="Cancelled",AC749="Returned"),"Warning","Clean"))</f>
        <v>Clean</v>
      </c>
    </row>
    <row r="750" customFormat="false" ht="15" hidden="false" customHeight="false" outlineLevel="0" collapsed="false">
      <c r="A750" s="3" t="str">
        <f aca="false">raw_data!A750</f>
        <v>ORD-2024-10749</v>
      </c>
      <c r="B750" s="4" t="n">
        <f aca="false">IFERROR(IF(MID(raw_data!B750,3,1)="/",DATE(VALUE(RIGHT(raw_data!B750,4)),VALUE(LEFT(raw_data!B750,2)),VALUE(MID(raw_data!B750,4,2))),IF(MID(raw_data!B750,3,1)="-",DATE(VALUE(RIGHT(raw_data!B750,4)),VALUE(MID(raw_data!B750,4,2)),VALUE(LEFT(raw_data!B750,2))),IF(MID(raw_data!B750,5,1)="-",DATE(VALUE(LEFT(raw_data!B750,4)),VALUE(MID(raw_data!B750,6,2)),VALUE(RIGHT(raw_data!B750,2))),DATE(VALUE(RIGHT(raw_data!B750,4)),MATCH(MID(raw_data!B750,4,3),{"Jan","Feb","Mar","Apr","May","Jun","Jul","Aug","Sep","Oct","Nov","Dec"},0),VALUE(LEFT(raw_data!B750,2)))))),"")</f>
        <v>45442</v>
      </c>
      <c r="C750" s="4" t="n">
        <f aca="false">IFERROR(IF(MID(raw_data!C750,3,1)="/",DATE(VALUE(RIGHT(raw_data!C750,4)),VALUE(LEFT(raw_data!C750,2)),VALUE(MID(raw_data!C750,4,2))),IF(MID(raw_data!C750,3,1)="-",DATE(VALUE(RIGHT(raw_data!C750,4)),VALUE(MID(raw_data!C750,4,2)),VALUE(LEFT(raw_data!C750,2))),IF(MID(raw_data!C750,5,1)="-",DATE(VALUE(LEFT(raw_data!C750,4)),VALUE(MID(raw_data!C750,6,2)),VALUE(RIGHT(raw_data!C750,2))),DATE(VALUE(RIGHT(raw_data!C750,4)),MATCH(MID(raw_data!C750,4,3),{"Jan","Feb","Mar","Apr","May","Jun","Jul","Aug","Sep","Oct","Nov","Dec"},0),VALUE(LEFT(raw_data!C750,2)))))),"")</f>
        <v>45442</v>
      </c>
      <c r="D750" s="3" t="str">
        <f aca="false">IF(TRIM(raw_data!B750)="","Missing",IF(B750="","Invalid/Unrecognized","Valid"))</f>
        <v>Valid</v>
      </c>
      <c r="E750" s="3" t="str">
        <f aca="false">IF(TRIM(raw_data!C750)="","Missing",IF(C750="","Invalid/Unrecognized","Valid"))</f>
        <v>Valid</v>
      </c>
      <c r="F750" s="5" t="n">
        <f aca="false">IF(OR(B750="",C750=""),"",C750-B750)</f>
        <v>0</v>
      </c>
      <c r="G750" s="3" t="str">
        <f aca="false">IF(F750="","N/A",IF(F750&lt;0,"Invalid - Ship Before Order","OK"))</f>
        <v>OK</v>
      </c>
      <c r="H750" s="3" t="str">
        <f aca="false">raw_data!D750</f>
        <v>CUST-3103</v>
      </c>
      <c r="I750" s="3" t="str">
        <f aca="false">PROPER(TRIM(raw_data!E750))</f>
        <v>Diya Patel</v>
      </c>
      <c r="J750" s="3" t="str">
        <f aca="false">PROPER(TRIM(raw_data!F750))</f>
        <v>Home Office</v>
      </c>
      <c r="K750" s="3" t="str">
        <f aca="false">IF(TRIM(raw_data!G750)="","Unknown",PROPER(TRIM(raw_data!G750)))</f>
        <v>North</v>
      </c>
      <c r="L750" s="3" t="str">
        <f aca="false">IF(TRIM(raw_data!G750)="","Filled - Unknown","OK")</f>
        <v>OK</v>
      </c>
      <c r="M750" s="3" t="str">
        <f aca="false">PROPER(TRIM(raw_data!H750))</f>
        <v>Haryana</v>
      </c>
      <c r="N750" s="3" t="str">
        <f aca="false">PROPER(TRIM(raw_data!I750))</f>
        <v>Gurugram</v>
      </c>
      <c r="O750" s="3" t="str">
        <f aca="false">PROPER(TRIM(raw_data!J750))</f>
        <v>Technology</v>
      </c>
      <c r="P750" s="3" t="str">
        <f aca="false">PROPER(TRIM(raw_data!K750))</f>
        <v>Phones</v>
      </c>
      <c r="Q750" s="3" t="str">
        <f aca="false">TRIM(raw_data!L750)</f>
        <v>Pro Phones 765</v>
      </c>
      <c r="R750" s="3" t="str">
        <f aca="false">IF(TRIM(raw_data!M750)="","Unknown",PROPER(TRIM(raw_data!M750)))</f>
        <v>Second Class</v>
      </c>
      <c r="S750" s="3" t="str">
        <f aca="false">IF(TRIM(raw_data!M750)="","Filled - Unknown","OK")</f>
        <v>OK</v>
      </c>
      <c r="T750" s="6" t="n">
        <f aca="false">raw_data!N750</f>
        <v>1</v>
      </c>
      <c r="U750" s="7" t="n">
        <f aca="false">raw_data!O750</f>
        <v>3848.04</v>
      </c>
      <c r="V750" s="8" t="n">
        <f aca="false">raw_data!P750</f>
        <v>0.25</v>
      </c>
      <c r="W750" s="8" t="n">
        <f aca="false">IF(raw_data!P750="",0,IF(ISTEXT(raw_data!P750),IF(RIGHT(raw_data!P750,1)="%",VALUE(LEFT(raw_data!P750,LEN(raw_data!P750)-1))/100,VALUE(raw_data!P750)),raw_data!P750))</f>
        <v>0.25</v>
      </c>
      <c r="X750" s="3" t="str">
        <f aca="false">IF(raw_data!P750="","Missing - Defaulted to 0",IF(W750&lt;0,"Negative - Invalid",IF(W750&gt;0.3,"Above Allowed Range - Invalid","Valid")))</f>
        <v>Valid</v>
      </c>
      <c r="Y750" s="7" t="n">
        <f aca="false">raw_data!Q750</f>
        <v>2886.03</v>
      </c>
      <c r="Z750" s="7" t="n">
        <f aca="false">raw_data!R750</f>
        <v>2064.83</v>
      </c>
      <c r="AA750" s="7" t="n">
        <f aca="false">raw_data!S750</f>
        <v>821.2</v>
      </c>
      <c r="AB750" s="3" t="str">
        <f aca="false">PROPER(TRIM(raw_data!T750))</f>
        <v>Paid</v>
      </c>
      <c r="AC750" s="3" t="str">
        <f aca="false">PROPER(TRIM(raw_data!U750))</f>
        <v>Completed</v>
      </c>
      <c r="AD750" s="7" t="n">
        <f aca="false">T750*U750*(1-W750)</f>
        <v>2886.03</v>
      </c>
      <c r="AE750" s="7" t="n">
        <f aca="false">AD750-Z750</f>
        <v>821.2</v>
      </c>
      <c r="AF750" s="8" t="n">
        <f aca="false">IF(AD750=0,0,AE750/AD750)</f>
        <v>0.284543126717324</v>
      </c>
      <c r="AG750" s="3" t="str">
        <f aca="false">IF(ABS(Y750-AD750)&gt;1,"Mismatch","OK")</f>
        <v>OK</v>
      </c>
      <c r="AH750" s="3" t="str">
        <f aca="false">IF(ABS(AA750-AE750)&gt;1,"Mismatch","OK")</f>
        <v>OK</v>
      </c>
      <c r="AI750" s="6" t="n">
        <f aca="false">IF(B750="","",MONTH(B750))</f>
        <v>5</v>
      </c>
      <c r="AJ750" s="6" t="n">
        <f aca="false">IF(B750="","",YEAR(B750))</f>
        <v>2024</v>
      </c>
      <c r="AK750" s="3" t="str">
        <f aca="false">IF(COUNTIF(raw_data!$A$2:$A$913,A750)&gt;1,"Conflicting Duplicate - Flagged for Review","Unique")</f>
        <v>Unique</v>
      </c>
      <c r="AL750" s="3" t="str">
        <f aca="false">IF(AB750="Refunded","Yes","No")</f>
        <v>No</v>
      </c>
      <c r="AM750" s="3" t="str">
        <f aca="false">IF(OR(AC750&lt;&gt;"Completed",AB750="Failed"),"Excluded","Included")</f>
        <v>Included</v>
      </c>
      <c r="AN750" s="3" t="str">
        <f aca="false">IF(OR(D750="Invalid/Unrecognized",E750="Invalid/Unrecognized",G750="Invalid - Ship Before Order",X750="Negative - Invalid",X750="Above Allowed Range - Invalid",AG750="Mismatch",AH750="Mismatch",AK750="Conflicting Duplicate - Flagged for Review"),"Invalid",IF(OR(L750="Filled - Unknown",S750="Filled - Unknown",X750="Missing - Defaulted to 0",AL750="Yes",AC750="Cancelled",AC750="Returned"),"Warning","Clean"))</f>
        <v>Clean</v>
      </c>
    </row>
    <row r="751" customFormat="false" ht="15" hidden="false" customHeight="false" outlineLevel="0" collapsed="false">
      <c r="A751" s="3" t="str">
        <f aca="false">raw_data!A751</f>
        <v>ORD-2024-10750</v>
      </c>
      <c r="B751" s="4" t="n">
        <f aca="false">IFERROR(IF(MID(raw_data!B751,3,1)="/",DATE(VALUE(RIGHT(raw_data!B751,4)),VALUE(LEFT(raw_data!B751,2)),VALUE(MID(raw_data!B751,4,2))),IF(MID(raw_data!B751,3,1)="-",DATE(VALUE(RIGHT(raw_data!B751,4)),VALUE(MID(raw_data!B751,4,2)),VALUE(LEFT(raw_data!B751,2))),IF(MID(raw_data!B751,5,1)="-",DATE(VALUE(LEFT(raw_data!B751,4)),VALUE(MID(raw_data!B751,6,2)),VALUE(RIGHT(raw_data!B751,2))),DATE(VALUE(RIGHT(raw_data!B751,4)),MATCH(MID(raw_data!B751,4,3),{"Jan","Feb","Mar","Apr","May","Jun","Jul","Aug","Sep","Oct","Nov","Dec"},0),VALUE(LEFT(raw_data!B751,2)))))),"")</f>
        <v>45372</v>
      </c>
      <c r="C751" s="4" t="n">
        <f aca="false">IFERROR(IF(MID(raw_data!C751,3,1)="/",DATE(VALUE(RIGHT(raw_data!C751,4)),VALUE(LEFT(raw_data!C751,2)),VALUE(MID(raw_data!C751,4,2))),IF(MID(raw_data!C751,3,1)="-",DATE(VALUE(RIGHT(raw_data!C751,4)),VALUE(MID(raw_data!C751,4,2)),VALUE(LEFT(raw_data!C751,2))),IF(MID(raw_data!C751,5,1)="-",DATE(VALUE(LEFT(raw_data!C751,4)),VALUE(MID(raw_data!C751,6,2)),VALUE(RIGHT(raw_data!C751,2))),DATE(VALUE(RIGHT(raw_data!C751,4)),MATCH(MID(raw_data!C751,4,3),{"Jan","Feb","Mar","Apr","May","Jun","Jul","Aug","Sep","Oct","Nov","Dec"},0),VALUE(LEFT(raw_data!C751,2)))))),"")</f>
        <v>45376</v>
      </c>
      <c r="D751" s="3" t="str">
        <f aca="false">IF(TRIM(raw_data!B751)="","Missing",IF(B751="","Invalid/Unrecognized","Valid"))</f>
        <v>Valid</v>
      </c>
      <c r="E751" s="3" t="str">
        <f aca="false">IF(TRIM(raw_data!C751)="","Missing",IF(C751="","Invalid/Unrecognized","Valid"))</f>
        <v>Valid</v>
      </c>
      <c r="F751" s="5" t="n">
        <f aca="false">IF(OR(B751="",C751=""),"",C751-B751)</f>
        <v>4</v>
      </c>
      <c r="G751" s="3" t="str">
        <f aca="false">IF(F751="","N/A",IF(F751&lt;0,"Invalid - Ship Before Order","OK"))</f>
        <v>OK</v>
      </c>
      <c r="H751" s="3" t="str">
        <f aca="false">raw_data!D751</f>
        <v>CUST-4457</v>
      </c>
      <c r="I751" s="3" t="str">
        <f aca="false">PROPER(TRIM(raw_data!E751))</f>
        <v>Aditi Sen</v>
      </c>
      <c r="J751" s="3" t="str">
        <f aca="false">PROPER(TRIM(raw_data!F751))</f>
        <v>Home Office</v>
      </c>
      <c r="K751" s="3" t="str">
        <f aca="false">IF(TRIM(raw_data!G751)="","Unknown",PROPER(TRIM(raw_data!G751)))</f>
        <v>East</v>
      </c>
      <c r="L751" s="3" t="str">
        <f aca="false">IF(TRIM(raw_data!G751)="","Filled - Unknown","OK")</f>
        <v>OK</v>
      </c>
      <c r="M751" s="3" t="str">
        <f aca="false">PROPER(TRIM(raw_data!H751))</f>
        <v>Assam</v>
      </c>
      <c r="N751" s="3" t="str">
        <f aca="false">PROPER(TRIM(raw_data!I751))</f>
        <v>Guwahati</v>
      </c>
      <c r="O751" s="3" t="str">
        <f aca="false">PROPER(TRIM(raw_data!J751))</f>
        <v>Technology</v>
      </c>
      <c r="P751" s="3" t="str">
        <f aca="false">PROPER(TRIM(raw_data!K751))</f>
        <v>Machines</v>
      </c>
      <c r="Q751" s="3" t="str">
        <f aca="false">TRIM(raw_data!L751)</f>
        <v>Classic Machines 543</v>
      </c>
      <c r="R751" s="3" t="str">
        <f aca="false">IF(TRIM(raw_data!M751)="","Unknown",PROPER(TRIM(raw_data!M751)))</f>
        <v>Standard Class</v>
      </c>
      <c r="S751" s="3" t="str">
        <f aca="false">IF(TRIM(raw_data!M751)="","Filled - Unknown","OK")</f>
        <v>OK</v>
      </c>
      <c r="T751" s="6" t="n">
        <f aca="false">raw_data!N751</f>
        <v>1</v>
      </c>
      <c r="U751" s="7" t="n">
        <f aca="false">raw_data!O751</f>
        <v>1716.7</v>
      </c>
      <c r="V751" s="8" t="n">
        <f aca="false">raw_data!P751</f>
        <v>0.15</v>
      </c>
      <c r="W751" s="8" t="n">
        <f aca="false">IF(raw_data!P751="",0,IF(ISTEXT(raw_data!P751),IF(RIGHT(raw_data!P751,1)="%",VALUE(LEFT(raw_data!P751,LEN(raw_data!P751)-1))/100,VALUE(raw_data!P751)),raw_data!P751))</f>
        <v>0.15</v>
      </c>
      <c r="X751" s="3" t="str">
        <f aca="false">IF(raw_data!P751="","Missing - Defaulted to 0",IF(W751&lt;0,"Negative - Invalid",IF(W751&gt;0.3,"Above Allowed Range - Invalid","Valid")))</f>
        <v>Valid</v>
      </c>
      <c r="Y751" s="7" t="n">
        <f aca="false">raw_data!Q751</f>
        <v>1459.19</v>
      </c>
      <c r="Z751" s="7" t="n">
        <f aca="false">raw_data!R751</f>
        <v>1055.79</v>
      </c>
      <c r="AA751" s="7" t="n">
        <f aca="false">raw_data!S751</f>
        <v>403.4</v>
      </c>
      <c r="AB751" s="3" t="str">
        <f aca="false">PROPER(TRIM(raw_data!T751))</f>
        <v>Paid</v>
      </c>
      <c r="AC751" s="3" t="str">
        <f aca="false">PROPER(TRIM(raw_data!U751))</f>
        <v>Completed</v>
      </c>
      <c r="AD751" s="7" t="n">
        <f aca="false">T751*U751*(1-W751)</f>
        <v>1459.195</v>
      </c>
      <c r="AE751" s="7" t="n">
        <f aca="false">AD751-Z751</f>
        <v>403.405</v>
      </c>
      <c r="AF751" s="8" t="n">
        <f aca="false">IF(AD751=0,0,AE751/AD751)</f>
        <v>0.276457224702661</v>
      </c>
      <c r="AG751" s="3" t="str">
        <f aca="false">IF(ABS(Y751-AD751)&gt;1,"Mismatch","OK")</f>
        <v>OK</v>
      </c>
      <c r="AH751" s="3" t="str">
        <f aca="false">IF(ABS(AA751-AE751)&gt;1,"Mismatch","OK")</f>
        <v>OK</v>
      </c>
      <c r="AI751" s="6" t="n">
        <f aca="false">IF(B751="","",MONTH(B751))</f>
        <v>3</v>
      </c>
      <c r="AJ751" s="6" t="n">
        <f aca="false">IF(B751="","",YEAR(B751))</f>
        <v>2024</v>
      </c>
      <c r="AK751" s="3" t="str">
        <f aca="false">IF(COUNTIF(raw_data!$A$2:$A$913,A751)&gt;1,"Conflicting Duplicate - Flagged for Review","Unique")</f>
        <v>Unique</v>
      </c>
      <c r="AL751" s="3" t="str">
        <f aca="false">IF(AB751="Refunded","Yes","No")</f>
        <v>No</v>
      </c>
      <c r="AM751" s="3" t="str">
        <f aca="false">IF(OR(AC751&lt;&gt;"Completed",AB751="Failed"),"Excluded","Included")</f>
        <v>Included</v>
      </c>
      <c r="AN751" s="3" t="str">
        <f aca="false">IF(OR(D751="Invalid/Unrecognized",E751="Invalid/Unrecognized",G751="Invalid - Ship Before Order",X751="Negative - Invalid",X751="Above Allowed Range - Invalid",AG751="Mismatch",AH751="Mismatch",AK751="Conflicting Duplicate - Flagged for Review"),"Invalid",IF(OR(L751="Filled - Unknown",S751="Filled - Unknown",X751="Missing - Defaulted to 0",AL751="Yes",AC751="Cancelled",AC751="Returned"),"Warning","Clean"))</f>
        <v>Clean</v>
      </c>
    </row>
    <row r="752" customFormat="false" ht="15" hidden="false" customHeight="false" outlineLevel="0" collapsed="false">
      <c r="A752" s="3" t="str">
        <f aca="false">raw_data!A752</f>
        <v>ORD-2025-10751</v>
      </c>
      <c r="B752" s="4" t="n">
        <f aca="false">IFERROR(IF(MID(raw_data!B752,3,1)="/",DATE(VALUE(RIGHT(raw_data!B752,4)),VALUE(LEFT(raw_data!B752,2)),VALUE(MID(raw_data!B752,4,2))),IF(MID(raw_data!B752,3,1)="-",DATE(VALUE(RIGHT(raw_data!B752,4)),VALUE(MID(raw_data!B752,4,2)),VALUE(LEFT(raw_data!B752,2))),IF(MID(raw_data!B752,5,1)="-",DATE(VALUE(LEFT(raw_data!B752,4)),VALUE(MID(raw_data!B752,6,2)),VALUE(RIGHT(raw_data!B752,2))),DATE(VALUE(RIGHT(raw_data!B752,4)),MATCH(MID(raw_data!B752,4,3),{"Jan","Feb","Mar","Apr","May","Jun","Jul","Aug","Sep","Oct","Nov","Dec"},0),VALUE(LEFT(raw_data!B752,2)))))),"")</f>
        <v>45810</v>
      </c>
      <c r="C752" s="4" t="n">
        <f aca="false">IFERROR(IF(MID(raw_data!C752,3,1)="/",DATE(VALUE(RIGHT(raw_data!C752,4)),VALUE(LEFT(raw_data!C752,2)),VALUE(MID(raw_data!C752,4,2))),IF(MID(raw_data!C752,3,1)="-",DATE(VALUE(RIGHT(raw_data!C752,4)),VALUE(MID(raw_data!C752,4,2)),VALUE(LEFT(raw_data!C752,2))),IF(MID(raw_data!C752,5,1)="-",DATE(VALUE(LEFT(raw_data!C752,4)),VALUE(MID(raw_data!C752,6,2)),VALUE(RIGHT(raw_data!C752,2))),DATE(VALUE(RIGHT(raw_data!C752,4)),MATCH(MID(raw_data!C752,4,3),{"Jan","Feb","Mar","Apr","May","Jun","Jul","Aug","Sep","Oct","Nov","Dec"},0),VALUE(LEFT(raw_data!C752,2)))))),"")</f>
        <v>45810</v>
      </c>
      <c r="D752" s="3" t="str">
        <f aca="false">IF(TRIM(raw_data!B752)="","Missing",IF(B752="","Invalid/Unrecognized","Valid"))</f>
        <v>Valid</v>
      </c>
      <c r="E752" s="3" t="str">
        <f aca="false">IF(TRIM(raw_data!C752)="","Missing",IF(C752="","Invalid/Unrecognized","Valid"))</f>
        <v>Valid</v>
      </c>
      <c r="F752" s="5" t="n">
        <f aca="false">IF(OR(B752="",C752=""),"",C752-B752)</f>
        <v>0</v>
      </c>
      <c r="G752" s="3" t="str">
        <f aca="false">IF(F752="","N/A",IF(F752&lt;0,"Invalid - Ship Before Order","OK"))</f>
        <v>OK</v>
      </c>
      <c r="H752" s="3" t="str">
        <f aca="false">raw_data!D752</f>
        <v>CUST-7036</v>
      </c>
      <c r="I752" s="3" t="str">
        <f aca="false">PROPER(TRIM(raw_data!E752))</f>
        <v>Aarav Sharma</v>
      </c>
      <c r="J752" s="3" t="str">
        <f aca="false">PROPER(TRIM(raw_data!F752))</f>
        <v>Home Office</v>
      </c>
      <c r="K752" s="3" t="str">
        <f aca="false">IF(TRIM(raw_data!G752)="","Unknown",PROPER(TRIM(raw_data!G752)))</f>
        <v>South</v>
      </c>
      <c r="L752" s="3" t="str">
        <f aca="false">IF(TRIM(raw_data!G752)="","Filled - Unknown","OK")</f>
        <v>OK</v>
      </c>
      <c r="M752" s="3" t="str">
        <f aca="false">PROPER(TRIM(raw_data!H752))</f>
        <v>Telangana</v>
      </c>
      <c r="N752" s="3" t="str">
        <f aca="false">PROPER(TRIM(raw_data!I752))</f>
        <v>Hyderabad</v>
      </c>
      <c r="O752" s="3" t="str">
        <f aca="false">PROPER(TRIM(raw_data!J752))</f>
        <v>Technology</v>
      </c>
      <c r="P752" s="3" t="str">
        <f aca="false">PROPER(TRIM(raw_data!K752))</f>
        <v>Accessories</v>
      </c>
      <c r="Q752" s="3" t="str">
        <f aca="false">TRIM(raw_data!L752)</f>
        <v>Max Accessories 291</v>
      </c>
      <c r="R752" s="3" t="str">
        <f aca="false">IF(TRIM(raw_data!M752)="","Unknown",PROPER(TRIM(raw_data!M752)))</f>
        <v>First Class</v>
      </c>
      <c r="S752" s="3" t="str">
        <f aca="false">IF(TRIM(raw_data!M752)="","Filled - Unknown","OK")</f>
        <v>OK</v>
      </c>
      <c r="T752" s="6" t="n">
        <f aca="false">raw_data!N752</f>
        <v>8</v>
      </c>
      <c r="U752" s="7" t="n">
        <f aca="false">raw_data!O752</f>
        <v>3925.93</v>
      </c>
      <c r="V752" s="8" t="n">
        <f aca="false">raw_data!P752</f>
        <v>0.15</v>
      </c>
      <c r="W752" s="8" t="n">
        <f aca="false">IF(raw_data!P752="",0,IF(ISTEXT(raw_data!P752),IF(RIGHT(raw_data!P752,1)="%",VALUE(LEFT(raw_data!P752,LEN(raw_data!P752)-1))/100,VALUE(raw_data!P752)),raw_data!P752))</f>
        <v>0.15</v>
      </c>
      <c r="X752" s="3" t="str">
        <f aca="false">IF(raw_data!P752="","Missing - Defaulted to 0",IF(W752&lt;0,"Negative - Invalid",IF(W752&gt;0.3,"Above Allowed Range - Invalid","Valid")))</f>
        <v>Valid</v>
      </c>
      <c r="Y752" s="7" t="n">
        <f aca="false">raw_data!Q752</f>
        <v>26696.32</v>
      </c>
      <c r="Z752" s="7" t="n">
        <f aca="false">raw_data!R752</f>
        <v>22724.52</v>
      </c>
      <c r="AA752" s="7" t="n">
        <f aca="false">raw_data!S752</f>
        <v>3971.8</v>
      </c>
      <c r="AB752" s="3" t="str">
        <f aca="false">PROPER(TRIM(raw_data!T752))</f>
        <v>Paid</v>
      </c>
      <c r="AC752" s="3" t="str">
        <f aca="false">PROPER(TRIM(raw_data!U752))</f>
        <v>Completed</v>
      </c>
      <c r="AD752" s="7" t="n">
        <f aca="false">T752*U752*(1-W752)</f>
        <v>26696.324</v>
      </c>
      <c r="AE752" s="7" t="n">
        <f aca="false">AD752-Z752</f>
        <v>3971.804</v>
      </c>
      <c r="AF752" s="8" t="n">
        <f aca="false">IF(AD752=0,0,AE752/AD752)</f>
        <v>0.148777187450976</v>
      </c>
      <c r="AG752" s="3" t="str">
        <f aca="false">IF(ABS(Y752-AD752)&gt;1,"Mismatch","OK")</f>
        <v>OK</v>
      </c>
      <c r="AH752" s="3" t="str">
        <f aca="false">IF(ABS(AA752-AE752)&gt;1,"Mismatch","OK")</f>
        <v>OK</v>
      </c>
      <c r="AI752" s="6" t="n">
        <f aca="false">IF(B752="","",MONTH(B752))</f>
        <v>6</v>
      </c>
      <c r="AJ752" s="6" t="n">
        <f aca="false">IF(B752="","",YEAR(B752))</f>
        <v>2025</v>
      </c>
      <c r="AK752" s="3" t="str">
        <f aca="false">IF(COUNTIF(raw_data!$A$2:$A$913,A752)&gt;1,"Conflicting Duplicate - Flagged for Review","Unique")</f>
        <v>Unique</v>
      </c>
      <c r="AL752" s="3" t="str">
        <f aca="false">IF(AB752="Refunded","Yes","No")</f>
        <v>No</v>
      </c>
      <c r="AM752" s="3" t="str">
        <f aca="false">IF(OR(AC752&lt;&gt;"Completed",AB752="Failed"),"Excluded","Included")</f>
        <v>Included</v>
      </c>
      <c r="AN752" s="3" t="str">
        <f aca="false">IF(OR(D752="Invalid/Unrecognized",E752="Invalid/Unrecognized",G752="Invalid - Ship Before Order",X752="Negative - Invalid",X752="Above Allowed Range - Invalid",AG752="Mismatch",AH752="Mismatch",AK752="Conflicting Duplicate - Flagged for Review"),"Invalid",IF(OR(L752="Filled - Unknown",S752="Filled - Unknown",X752="Missing - Defaulted to 0",AL752="Yes",AC752="Cancelled",AC752="Returned"),"Warning","Clean"))</f>
        <v>Clean</v>
      </c>
    </row>
    <row r="753" customFormat="false" ht="15" hidden="false" customHeight="false" outlineLevel="0" collapsed="false">
      <c r="A753" s="3" t="str">
        <f aca="false">raw_data!A753</f>
        <v>ORD-2025-10752</v>
      </c>
      <c r="B753" s="4" t="n">
        <f aca="false">IFERROR(IF(MID(raw_data!B753,3,1)="/",DATE(VALUE(RIGHT(raw_data!B753,4)),VALUE(LEFT(raw_data!B753,2)),VALUE(MID(raw_data!B753,4,2))),IF(MID(raw_data!B753,3,1)="-",DATE(VALUE(RIGHT(raw_data!B753,4)),VALUE(MID(raw_data!B753,4,2)),VALUE(LEFT(raw_data!B753,2))),IF(MID(raw_data!B753,5,1)="-",DATE(VALUE(LEFT(raw_data!B753,4)),VALUE(MID(raw_data!B753,6,2)),VALUE(RIGHT(raw_data!B753,2))),DATE(VALUE(RIGHT(raw_data!B753,4)),MATCH(MID(raw_data!B753,4,3),{"Jan","Feb","Mar","Apr","May","Jun","Jul","Aug","Sep","Oct","Nov","Dec"},0),VALUE(LEFT(raw_data!B753,2)))))),"")</f>
        <v>45856</v>
      </c>
      <c r="C753" s="4" t="n">
        <f aca="false">IFERROR(IF(MID(raw_data!C753,3,1)="/",DATE(VALUE(RIGHT(raw_data!C753,4)),VALUE(LEFT(raw_data!C753,2)),VALUE(MID(raw_data!C753,4,2))),IF(MID(raw_data!C753,3,1)="-",DATE(VALUE(RIGHT(raw_data!C753,4)),VALUE(MID(raw_data!C753,4,2)),VALUE(LEFT(raw_data!C753,2))),IF(MID(raw_data!C753,5,1)="-",DATE(VALUE(LEFT(raw_data!C753,4)),VALUE(MID(raw_data!C753,6,2)),VALUE(RIGHT(raw_data!C753,2))),DATE(VALUE(RIGHT(raw_data!C753,4)),MATCH(MID(raw_data!C753,4,3),{"Jan","Feb","Mar","Apr","May","Jun","Jul","Aug","Sep","Oct","Nov","Dec"},0),VALUE(LEFT(raw_data!C753,2)))))),"")</f>
        <v>45857</v>
      </c>
      <c r="D753" s="3" t="str">
        <f aca="false">IF(TRIM(raw_data!B753)="","Missing",IF(B753="","Invalid/Unrecognized","Valid"))</f>
        <v>Valid</v>
      </c>
      <c r="E753" s="3" t="str">
        <f aca="false">IF(TRIM(raw_data!C753)="","Missing",IF(C753="","Invalid/Unrecognized","Valid"))</f>
        <v>Valid</v>
      </c>
      <c r="F753" s="5" t="n">
        <f aca="false">IF(OR(B753="",C753=""),"",C753-B753)</f>
        <v>1</v>
      </c>
      <c r="G753" s="3" t="str">
        <f aca="false">IF(F753="","N/A",IF(F753&lt;0,"Invalid - Ship Before Order","OK"))</f>
        <v>OK</v>
      </c>
      <c r="H753" s="3" t="str">
        <f aca="false">raw_data!D753</f>
        <v>CUST-8512</v>
      </c>
      <c r="I753" s="3" t="str">
        <f aca="false">PROPER(TRIM(raw_data!E753))</f>
        <v>Priya Menon</v>
      </c>
      <c r="J753" s="3" t="str">
        <f aca="false">PROPER(TRIM(raw_data!F753))</f>
        <v>Home Office</v>
      </c>
      <c r="K753" s="3" t="str">
        <f aca="false">IF(TRIM(raw_data!G753)="","Unknown",PROPER(TRIM(raw_data!G753)))</f>
        <v>Unknown</v>
      </c>
      <c r="L753" s="3" t="str">
        <f aca="false">IF(TRIM(raw_data!G753)="","Filled - Unknown","OK")</f>
        <v>Filled - Unknown</v>
      </c>
      <c r="M753" s="3" t="str">
        <f aca="false">PROPER(TRIM(raw_data!H753))</f>
        <v>Uttar Pradesh</v>
      </c>
      <c r="N753" s="3" t="str">
        <f aca="false">PROPER(TRIM(raw_data!I753))</f>
        <v>Noida</v>
      </c>
      <c r="O753" s="3" t="str">
        <f aca="false">PROPER(TRIM(raw_data!J753))</f>
        <v>Technology</v>
      </c>
      <c r="P753" s="3" t="str">
        <f aca="false">PROPER(TRIM(raw_data!K753))</f>
        <v>Machines</v>
      </c>
      <c r="Q753" s="3" t="str">
        <f aca="false">TRIM(raw_data!L753)</f>
        <v>Eco Machines 414</v>
      </c>
      <c r="R753" s="3" t="str">
        <f aca="false">IF(TRIM(raw_data!M753)="","Unknown",PROPER(TRIM(raw_data!M753)))</f>
        <v>Unknown</v>
      </c>
      <c r="S753" s="3" t="str">
        <f aca="false">IF(TRIM(raw_data!M753)="","Filled - Unknown","OK")</f>
        <v>Filled - Unknown</v>
      </c>
      <c r="T753" s="6" t="n">
        <f aca="false">raw_data!N753</f>
        <v>3</v>
      </c>
      <c r="U753" s="7" t="n">
        <f aca="false">raw_data!O753</f>
        <v>2963.25</v>
      </c>
      <c r="V753" s="8" t="n">
        <f aca="false">raw_data!P753</f>
        <v>0.05</v>
      </c>
      <c r="W753" s="8" t="n">
        <f aca="false">IF(raw_data!P753="",0,IF(ISTEXT(raw_data!P753),IF(RIGHT(raw_data!P753,1)="%",VALUE(LEFT(raw_data!P753,LEN(raw_data!P753)-1))/100,VALUE(raw_data!P753)),raw_data!P753))</f>
        <v>0.05</v>
      </c>
      <c r="X753" s="3" t="str">
        <f aca="false">IF(raw_data!P753="","Missing - Defaulted to 0",IF(W753&lt;0,"Negative - Invalid",IF(W753&gt;0.3,"Above Allowed Range - Invalid","Valid")))</f>
        <v>Valid</v>
      </c>
      <c r="Y753" s="7" t="n">
        <f aca="false">raw_data!Q753</f>
        <v>8445.26</v>
      </c>
      <c r="Z753" s="7" t="n">
        <f aca="false">raw_data!R753</f>
        <v>6937.6</v>
      </c>
      <c r="AA753" s="7" t="n">
        <f aca="false">raw_data!S753</f>
        <v>1507.66</v>
      </c>
      <c r="AB753" s="3" t="str">
        <f aca="false">PROPER(TRIM(raw_data!T753))</f>
        <v>Paid</v>
      </c>
      <c r="AC753" s="3" t="str">
        <f aca="false">PROPER(TRIM(raw_data!U753))</f>
        <v>Completed</v>
      </c>
      <c r="AD753" s="7" t="n">
        <f aca="false">T753*U753*(1-W753)</f>
        <v>8445.2625</v>
      </c>
      <c r="AE753" s="7" t="n">
        <f aca="false">AD753-Z753</f>
        <v>1507.6625</v>
      </c>
      <c r="AF753" s="8" t="n">
        <f aca="false">IF(AD753=0,0,AE753/AD753)</f>
        <v>0.178521685974829</v>
      </c>
      <c r="AG753" s="3" t="str">
        <f aca="false">IF(ABS(Y753-AD753)&gt;1,"Mismatch","OK")</f>
        <v>OK</v>
      </c>
      <c r="AH753" s="3" t="str">
        <f aca="false">IF(ABS(AA753-AE753)&gt;1,"Mismatch","OK")</f>
        <v>OK</v>
      </c>
      <c r="AI753" s="6" t="n">
        <f aca="false">IF(B753="","",MONTH(B753))</f>
        <v>7</v>
      </c>
      <c r="AJ753" s="6" t="n">
        <f aca="false">IF(B753="","",YEAR(B753))</f>
        <v>2025</v>
      </c>
      <c r="AK753" s="3" t="str">
        <f aca="false">IF(COUNTIF(raw_data!$A$2:$A$913,A753)&gt;1,"Conflicting Duplicate - Flagged for Review","Unique")</f>
        <v>Unique</v>
      </c>
      <c r="AL753" s="3" t="str">
        <f aca="false">IF(AB753="Refunded","Yes","No")</f>
        <v>No</v>
      </c>
      <c r="AM753" s="3" t="str">
        <f aca="false">IF(OR(AC753&lt;&gt;"Completed",AB753="Failed"),"Excluded","Included")</f>
        <v>Included</v>
      </c>
      <c r="AN753" s="3" t="str">
        <f aca="false">IF(OR(D753="Invalid/Unrecognized",E753="Invalid/Unrecognized",G753="Invalid - Ship Before Order",X753="Negative - Invalid",X753="Above Allowed Range - Invalid",AG753="Mismatch",AH753="Mismatch",AK753="Conflicting Duplicate - Flagged for Review"),"Invalid",IF(OR(L753="Filled - Unknown",S753="Filled - Unknown",X753="Missing - Defaulted to 0",AL753="Yes",AC753="Cancelled",AC753="Returned"),"Warning","Clean"))</f>
        <v>Warning</v>
      </c>
    </row>
    <row r="754" customFormat="false" ht="15" hidden="false" customHeight="false" outlineLevel="0" collapsed="false">
      <c r="A754" s="3" t="str">
        <f aca="false">raw_data!A754</f>
        <v>ORD-2024-10753</v>
      </c>
      <c r="B754" s="4" t="n">
        <f aca="false">IFERROR(IF(MID(raw_data!B754,3,1)="/",DATE(VALUE(RIGHT(raw_data!B754,4)),VALUE(LEFT(raw_data!B754,2)),VALUE(MID(raw_data!B754,4,2))),IF(MID(raw_data!B754,3,1)="-",DATE(VALUE(RIGHT(raw_data!B754,4)),VALUE(MID(raw_data!B754,4,2)),VALUE(LEFT(raw_data!B754,2))),IF(MID(raw_data!B754,5,1)="-",DATE(VALUE(LEFT(raw_data!B754,4)),VALUE(MID(raw_data!B754,6,2)),VALUE(RIGHT(raw_data!B754,2))),DATE(VALUE(RIGHT(raw_data!B754,4)),MATCH(MID(raw_data!B754,4,3),{"Jan","Feb","Mar","Apr","May","Jun","Jul","Aug","Sep","Oct","Nov","Dec"},0),VALUE(LEFT(raw_data!B754,2)))))),"")</f>
        <v>45375</v>
      </c>
      <c r="C754" s="4" t="n">
        <f aca="false">IFERROR(IF(MID(raw_data!C754,3,1)="/",DATE(VALUE(RIGHT(raw_data!C754,4)),VALUE(LEFT(raw_data!C754,2)),VALUE(MID(raw_data!C754,4,2))),IF(MID(raw_data!C754,3,1)="-",DATE(VALUE(RIGHT(raw_data!C754,4)),VALUE(MID(raw_data!C754,4,2)),VALUE(LEFT(raw_data!C754,2))),IF(MID(raw_data!C754,5,1)="-",DATE(VALUE(LEFT(raw_data!C754,4)),VALUE(MID(raw_data!C754,6,2)),VALUE(RIGHT(raw_data!C754,2))),DATE(VALUE(RIGHT(raw_data!C754,4)),MATCH(MID(raw_data!C754,4,3),{"Jan","Feb","Mar","Apr","May","Jun","Jul","Aug","Sep","Oct","Nov","Dec"},0),VALUE(LEFT(raw_data!C754,2)))))),"")</f>
        <v>45378</v>
      </c>
      <c r="D754" s="3" t="str">
        <f aca="false">IF(TRIM(raw_data!B754)="","Missing",IF(B754="","Invalid/Unrecognized","Valid"))</f>
        <v>Valid</v>
      </c>
      <c r="E754" s="3" t="str">
        <f aca="false">IF(TRIM(raw_data!C754)="","Missing",IF(C754="","Invalid/Unrecognized","Valid"))</f>
        <v>Valid</v>
      </c>
      <c r="F754" s="5" t="n">
        <f aca="false">IF(OR(B754="",C754=""),"",C754-B754)</f>
        <v>3</v>
      </c>
      <c r="G754" s="3" t="str">
        <f aca="false">IF(F754="","N/A",IF(F754&lt;0,"Invalid - Ship Before Order","OK"))</f>
        <v>OK</v>
      </c>
      <c r="H754" s="3" t="str">
        <f aca="false">raw_data!D754</f>
        <v>CUST-6345</v>
      </c>
      <c r="I754" s="3" t="str">
        <f aca="false">PROPER(TRIM(raw_data!E754))</f>
        <v>Aditi Sen</v>
      </c>
      <c r="J754" s="3" t="str">
        <f aca="false">PROPER(TRIM(raw_data!F754))</f>
        <v>Corporate</v>
      </c>
      <c r="K754" s="3" t="str">
        <f aca="false">IF(TRIM(raw_data!G754)="","Unknown",PROPER(TRIM(raw_data!G754)))</f>
        <v>West</v>
      </c>
      <c r="L754" s="3" t="str">
        <f aca="false">IF(TRIM(raw_data!G754)="","Filled - Unknown","OK")</f>
        <v>OK</v>
      </c>
      <c r="M754" s="3" t="str">
        <f aca="false">PROPER(TRIM(raw_data!H754))</f>
        <v>Gujarat</v>
      </c>
      <c r="N754" s="3" t="str">
        <f aca="false">PROPER(TRIM(raw_data!I754))</f>
        <v>Ahmedabad</v>
      </c>
      <c r="O754" s="3" t="str">
        <f aca="false">PROPER(TRIM(raw_data!J754))</f>
        <v>Office Supplies</v>
      </c>
      <c r="P754" s="3" t="str">
        <f aca="false">PROPER(TRIM(raw_data!K754))</f>
        <v>Storage</v>
      </c>
      <c r="Q754" s="3" t="str">
        <f aca="false">TRIM(raw_data!L754)</f>
        <v>Basic Storage 273</v>
      </c>
      <c r="R754" s="3" t="str">
        <f aca="false">IF(TRIM(raw_data!M754)="","Unknown",PROPER(TRIM(raw_data!M754)))</f>
        <v>First Class</v>
      </c>
      <c r="S754" s="3" t="str">
        <f aca="false">IF(TRIM(raw_data!M754)="","Filled - Unknown","OK")</f>
        <v>OK</v>
      </c>
      <c r="T754" s="6" t="n">
        <f aca="false">raw_data!N754</f>
        <v>5</v>
      </c>
      <c r="U754" s="7" t="n">
        <f aca="false">raw_data!O754</f>
        <v>2465.22</v>
      </c>
      <c r="V754" s="8" t="n">
        <f aca="false">raw_data!P754</f>
        <v>0.05</v>
      </c>
      <c r="W754" s="8" t="n">
        <f aca="false">IF(raw_data!P754="",0,IF(ISTEXT(raw_data!P754),IF(RIGHT(raw_data!P754,1)="%",VALUE(LEFT(raw_data!P754,LEN(raw_data!P754)-1))/100,VALUE(raw_data!P754)),raw_data!P754))</f>
        <v>0.05</v>
      </c>
      <c r="X754" s="3" t="str">
        <f aca="false">IF(raw_data!P754="","Missing - Defaulted to 0",IF(W754&lt;0,"Negative - Invalid",IF(W754&gt;0.3,"Above Allowed Range - Invalid","Valid")))</f>
        <v>Valid</v>
      </c>
      <c r="Y754" s="7" t="n">
        <f aca="false">raw_data!Q754</f>
        <v>11709.79</v>
      </c>
      <c r="Z754" s="7" t="n">
        <f aca="false">raw_data!R754</f>
        <v>8372.29</v>
      </c>
      <c r="AA754" s="7" t="n">
        <f aca="false">raw_data!S754</f>
        <v>3337.5</v>
      </c>
      <c r="AB754" s="3" t="str">
        <f aca="false">PROPER(TRIM(raw_data!T754))</f>
        <v>Paid</v>
      </c>
      <c r="AC754" s="3" t="str">
        <f aca="false">PROPER(TRIM(raw_data!U754))</f>
        <v>Completed</v>
      </c>
      <c r="AD754" s="7" t="n">
        <f aca="false">T754*U754*(1-W754)</f>
        <v>11709.795</v>
      </c>
      <c r="AE754" s="7" t="n">
        <f aca="false">AD754-Z754</f>
        <v>3337.505</v>
      </c>
      <c r="AF754" s="8" t="n">
        <f aca="false">IF(AD754=0,0,AE754/AD754)</f>
        <v>0.285018226194395</v>
      </c>
      <c r="AG754" s="3" t="str">
        <f aca="false">IF(ABS(Y754-AD754)&gt;1,"Mismatch","OK")</f>
        <v>OK</v>
      </c>
      <c r="AH754" s="3" t="str">
        <f aca="false">IF(ABS(AA754-AE754)&gt;1,"Mismatch","OK")</f>
        <v>OK</v>
      </c>
      <c r="AI754" s="6" t="n">
        <f aca="false">IF(B754="","",MONTH(B754))</f>
        <v>3</v>
      </c>
      <c r="AJ754" s="6" t="n">
        <f aca="false">IF(B754="","",YEAR(B754))</f>
        <v>2024</v>
      </c>
      <c r="AK754" s="3" t="str">
        <f aca="false">IF(COUNTIF(raw_data!$A$2:$A$913,A754)&gt;1,"Conflicting Duplicate - Flagged for Review","Unique")</f>
        <v>Unique</v>
      </c>
      <c r="AL754" s="3" t="str">
        <f aca="false">IF(AB754="Refunded","Yes","No")</f>
        <v>No</v>
      </c>
      <c r="AM754" s="3" t="str">
        <f aca="false">IF(OR(AC754&lt;&gt;"Completed",AB754="Failed"),"Excluded","Included")</f>
        <v>Included</v>
      </c>
      <c r="AN754" s="3" t="str">
        <f aca="false">IF(OR(D754="Invalid/Unrecognized",E754="Invalid/Unrecognized",G754="Invalid - Ship Before Order",X754="Negative - Invalid",X754="Above Allowed Range - Invalid",AG754="Mismatch",AH754="Mismatch",AK754="Conflicting Duplicate - Flagged for Review"),"Invalid",IF(OR(L754="Filled - Unknown",S754="Filled - Unknown",X754="Missing - Defaulted to 0",AL754="Yes",AC754="Cancelled",AC754="Returned"),"Warning","Clean"))</f>
        <v>Clean</v>
      </c>
    </row>
    <row r="755" customFormat="false" ht="15" hidden="false" customHeight="false" outlineLevel="0" collapsed="false">
      <c r="A755" s="3" t="str">
        <f aca="false">raw_data!A755</f>
        <v>ORD-2024-10754</v>
      </c>
      <c r="B755" s="4" t="n">
        <f aca="false">IFERROR(IF(MID(raw_data!B755,3,1)="/",DATE(VALUE(RIGHT(raw_data!B755,4)),VALUE(LEFT(raw_data!B755,2)),VALUE(MID(raw_data!B755,4,2))),IF(MID(raw_data!B755,3,1)="-",DATE(VALUE(RIGHT(raw_data!B755,4)),VALUE(MID(raw_data!B755,4,2)),VALUE(LEFT(raw_data!B755,2))),IF(MID(raw_data!B755,5,1)="-",DATE(VALUE(LEFT(raw_data!B755,4)),VALUE(MID(raw_data!B755,6,2)),VALUE(RIGHT(raw_data!B755,2))),DATE(VALUE(RIGHT(raw_data!B755,4)),MATCH(MID(raw_data!B755,4,3),{"Jan","Feb","Mar","Apr","May","Jun","Jul","Aug","Sep","Oct","Nov","Dec"},0),VALUE(LEFT(raw_data!B755,2)))))),"")</f>
        <v>45515</v>
      </c>
      <c r="C755" s="4" t="n">
        <f aca="false">IFERROR(IF(MID(raw_data!C755,3,1)="/",DATE(VALUE(RIGHT(raw_data!C755,4)),VALUE(LEFT(raw_data!C755,2)),VALUE(MID(raw_data!C755,4,2))),IF(MID(raw_data!C755,3,1)="-",DATE(VALUE(RIGHT(raw_data!C755,4)),VALUE(MID(raw_data!C755,4,2)),VALUE(LEFT(raw_data!C755,2))),IF(MID(raw_data!C755,5,1)="-",DATE(VALUE(LEFT(raw_data!C755,4)),VALUE(MID(raw_data!C755,6,2)),VALUE(RIGHT(raw_data!C755,2))),DATE(VALUE(RIGHT(raw_data!C755,4)),MATCH(MID(raw_data!C755,4,3),{"Jan","Feb","Mar","Apr","May","Jun","Jul","Aug","Sep","Oct","Nov","Dec"},0),VALUE(LEFT(raw_data!C755,2)))))),"")</f>
        <v>45514</v>
      </c>
      <c r="D755" s="3" t="str">
        <f aca="false">IF(TRIM(raw_data!B755)="","Missing",IF(B755="","Invalid/Unrecognized","Valid"))</f>
        <v>Valid</v>
      </c>
      <c r="E755" s="3" t="str">
        <f aca="false">IF(TRIM(raw_data!C755)="","Missing",IF(C755="","Invalid/Unrecognized","Valid"))</f>
        <v>Valid</v>
      </c>
      <c r="F755" s="5" t="n">
        <f aca="false">IF(OR(B755="",C755=""),"",C755-B755)</f>
        <v>-1</v>
      </c>
      <c r="G755" s="3" t="str">
        <f aca="false">IF(F755="","N/A",IF(F755&lt;0,"Invalid - Ship Before Order","OK"))</f>
        <v>Invalid - Ship Before Order</v>
      </c>
      <c r="H755" s="3" t="str">
        <f aca="false">raw_data!D755</f>
        <v>CUST-4505</v>
      </c>
      <c r="I755" s="3" t="str">
        <f aca="false">PROPER(TRIM(raw_data!E755))</f>
        <v>Aditi Sen</v>
      </c>
      <c r="J755" s="3" t="str">
        <f aca="false">PROPER(TRIM(raw_data!F755))</f>
        <v>Corporate</v>
      </c>
      <c r="K755" s="3" t="str">
        <f aca="false">IF(TRIM(raw_data!G755)="","Unknown",PROPER(TRIM(raw_data!G755)))</f>
        <v>North</v>
      </c>
      <c r="L755" s="3" t="str">
        <f aca="false">IF(TRIM(raw_data!G755)="","Filled - Unknown","OK")</f>
        <v>OK</v>
      </c>
      <c r="M755" s="3" t="str">
        <f aca="false">PROPER(TRIM(raw_data!H755))</f>
        <v>Delhi</v>
      </c>
      <c r="N755" s="3" t="str">
        <f aca="false">PROPER(TRIM(raw_data!I755))</f>
        <v>New Delhi</v>
      </c>
      <c r="O755" s="3" t="str">
        <f aca="false">PROPER(TRIM(raw_data!J755))</f>
        <v>Furniture</v>
      </c>
      <c r="P755" s="3" t="str">
        <f aca="false">PROPER(TRIM(raw_data!K755))</f>
        <v>Furnishings</v>
      </c>
      <c r="Q755" s="3" t="str">
        <f aca="false">TRIM(raw_data!L755)</f>
        <v>Elite Furnishings 588</v>
      </c>
      <c r="R755" s="3" t="str">
        <f aca="false">IF(TRIM(raw_data!M755)="","Unknown",PROPER(TRIM(raw_data!M755)))</f>
        <v>Second Class</v>
      </c>
      <c r="S755" s="3" t="str">
        <f aca="false">IF(TRIM(raw_data!M755)="","Filled - Unknown","OK")</f>
        <v>OK</v>
      </c>
      <c r="T755" s="6" t="n">
        <f aca="false">raw_data!N755</f>
        <v>3</v>
      </c>
      <c r="U755" s="7" t="n">
        <f aca="false">raw_data!O755</f>
        <v>1017.22</v>
      </c>
      <c r="V755" s="8" t="n">
        <f aca="false">raw_data!P755</f>
        <v>0.15</v>
      </c>
      <c r="W755" s="8" t="n">
        <f aca="false">IF(raw_data!P755="",0,IF(ISTEXT(raw_data!P755),IF(RIGHT(raw_data!P755,1)="%",VALUE(LEFT(raw_data!P755,LEN(raw_data!P755)-1))/100,VALUE(raw_data!P755)),raw_data!P755))</f>
        <v>0.15</v>
      </c>
      <c r="X755" s="3" t="str">
        <f aca="false">IF(raw_data!P755="","Missing - Defaulted to 0",IF(W755&lt;0,"Negative - Invalid",IF(W755&gt;0.3,"Above Allowed Range - Invalid","Valid")))</f>
        <v>Valid</v>
      </c>
      <c r="Y755" s="7" t="n">
        <f aca="false">raw_data!Q755</f>
        <v>2593.91</v>
      </c>
      <c r="Z755" s="7" t="n">
        <f aca="false">raw_data!R755</f>
        <v>1848.48</v>
      </c>
      <c r="AA755" s="7" t="n">
        <f aca="false">raw_data!S755</f>
        <v>745.43</v>
      </c>
      <c r="AB755" s="3" t="str">
        <f aca="false">PROPER(TRIM(raw_data!T755))</f>
        <v>Failed</v>
      </c>
      <c r="AC755" s="3" t="str">
        <f aca="false">PROPER(TRIM(raw_data!U755))</f>
        <v>Returned</v>
      </c>
      <c r="AD755" s="7" t="n">
        <f aca="false">T755*U755*(1-W755)</f>
        <v>2593.911</v>
      </c>
      <c r="AE755" s="7" t="n">
        <f aca="false">AD755-Z755</f>
        <v>745.431</v>
      </c>
      <c r="AF755" s="8" t="n">
        <f aca="false">IF(AD755=0,0,AE755/AD755)</f>
        <v>0.287377246173828</v>
      </c>
      <c r="AG755" s="3" t="str">
        <f aca="false">IF(ABS(Y755-AD755)&gt;1,"Mismatch","OK")</f>
        <v>OK</v>
      </c>
      <c r="AH755" s="3" t="str">
        <f aca="false">IF(ABS(AA755-AE755)&gt;1,"Mismatch","OK")</f>
        <v>OK</v>
      </c>
      <c r="AI755" s="6" t="n">
        <f aca="false">IF(B755="","",MONTH(B755))</f>
        <v>8</v>
      </c>
      <c r="AJ755" s="6" t="n">
        <f aca="false">IF(B755="","",YEAR(B755))</f>
        <v>2024</v>
      </c>
      <c r="AK755" s="3" t="str">
        <f aca="false">IF(COUNTIF(raw_data!$A$2:$A$913,A755)&gt;1,"Conflicting Duplicate - Flagged for Review","Unique")</f>
        <v>Unique</v>
      </c>
      <c r="AL755" s="3" t="str">
        <f aca="false">IF(AB755="Refunded","Yes","No")</f>
        <v>No</v>
      </c>
      <c r="AM755" s="3" t="str">
        <f aca="false">IF(OR(AC755&lt;&gt;"Completed",AB755="Failed"),"Excluded","Included")</f>
        <v>Excluded</v>
      </c>
      <c r="AN755" s="3" t="str">
        <f aca="false">IF(OR(D755="Invalid/Unrecognized",E755="Invalid/Unrecognized",G755="Invalid - Ship Before Order",X755="Negative - Invalid",X755="Above Allowed Range - Invalid",AG755="Mismatch",AH755="Mismatch",AK755="Conflicting Duplicate - Flagged for Review"),"Invalid",IF(OR(L755="Filled - Unknown",S755="Filled - Unknown",X755="Missing - Defaulted to 0",AL755="Yes",AC755="Cancelled",AC755="Returned"),"Warning","Clean"))</f>
        <v>Invalid</v>
      </c>
    </row>
    <row r="756" customFormat="false" ht="15" hidden="false" customHeight="false" outlineLevel="0" collapsed="false">
      <c r="A756" s="3" t="str">
        <f aca="false">raw_data!A756</f>
        <v>ORD-2025-10755</v>
      </c>
      <c r="B756" s="4" t="n">
        <f aca="false">IFERROR(IF(MID(raw_data!B756,3,1)="/",DATE(VALUE(RIGHT(raw_data!B756,4)),VALUE(LEFT(raw_data!B756,2)),VALUE(MID(raw_data!B756,4,2))),IF(MID(raw_data!B756,3,1)="-",DATE(VALUE(RIGHT(raw_data!B756,4)),VALUE(MID(raw_data!B756,4,2)),VALUE(LEFT(raw_data!B756,2))),IF(MID(raw_data!B756,5,1)="-",DATE(VALUE(LEFT(raw_data!B756,4)),VALUE(MID(raw_data!B756,6,2)),VALUE(RIGHT(raw_data!B756,2))),DATE(VALUE(RIGHT(raw_data!B756,4)),MATCH(MID(raw_data!B756,4,3),{"Jan","Feb","Mar","Apr","May","Jun","Jul","Aug","Sep","Oct","Nov","Dec"},0),VALUE(LEFT(raw_data!B756,2)))))),"")</f>
        <v>45812</v>
      </c>
      <c r="C756" s="4" t="n">
        <f aca="false">IFERROR(IF(MID(raw_data!C756,3,1)="/",DATE(VALUE(RIGHT(raw_data!C756,4)),VALUE(LEFT(raw_data!C756,2)),VALUE(MID(raw_data!C756,4,2))),IF(MID(raw_data!C756,3,1)="-",DATE(VALUE(RIGHT(raw_data!C756,4)),VALUE(MID(raw_data!C756,4,2)),VALUE(LEFT(raw_data!C756,2))),IF(MID(raw_data!C756,5,1)="-",DATE(VALUE(LEFT(raw_data!C756,4)),VALUE(MID(raw_data!C756,6,2)),VALUE(RIGHT(raw_data!C756,2))),DATE(VALUE(RIGHT(raw_data!C756,4)),MATCH(MID(raw_data!C756,4,3),{"Jan","Feb","Mar","Apr","May","Jun","Jul","Aug","Sep","Oct","Nov","Dec"},0),VALUE(LEFT(raw_data!C756,2)))))),"")</f>
        <v>45812</v>
      </c>
      <c r="D756" s="3" t="str">
        <f aca="false">IF(TRIM(raw_data!B756)="","Missing",IF(B756="","Invalid/Unrecognized","Valid"))</f>
        <v>Valid</v>
      </c>
      <c r="E756" s="3" t="str">
        <f aca="false">IF(TRIM(raw_data!C756)="","Missing",IF(C756="","Invalid/Unrecognized","Valid"))</f>
        <v>Valid</v>
      </c>
      <c r="F756" s="5" t="n">
        <f aca="false">IF(OR(B756="",C756=""),"",C756-B756)</f>
        <v>0</v>
      </c>
      <c r="G756" s="3" t="str">
        <f aca="false">IF(F756="","N/A",IF(F756&lt;0,"Invalid - Ship Before Order","OK"))</f>
        <v>OK</v>
      </c>
      <c r="H756" s="3" t="str">
        <f aca="false">raw_data!D756</f>
        <v>CUST-7960</v>
      </c>
      <c r="I756" s="3" t="str">
        <f aca="false">PROPER(TRIM(raw_data!E756))</f>
        <v>Neha Gupta</v>
      </c>
      <c r="J756" s="3" t="str">
        <f aca="false">PROPER(TRIM(raw_data!F756))</f>
        <v>Corporate</v>
      </c>
      <c r="K756" s="3" t="str">
        <f aca="false">IF(TRIM(raw_data!G756)="","Unknown",PROPER(TRIM(raw_data!G756)))</f>
        <v>South</v>
      </c>
      <c r="L756" s="3" t="str">
        <f aca="false">IF(TRIM(raw_data!G756)="","Filled - Unknown","OK")</f>
        <v>OK</v>
      </c>
      <c r="M756" s="3" t="str">
        <f aca="false">PROPER(TRIM(raw_data!H756))</f>
        <v>Kerala</v>
      </c>
      <c r="N756" s="3" t="str">
        <f aca="false">PROPER(TRIM(raw_data!I756))</f>
        <v>Kochi</v>
      </c>
      <c r="O756" s="3" t="str">
        <f aca="false">PROPER(TRIM(raw_data!J756))</f>
        <v>Office Supplies</v>
      </c>
      <c r="P756" s="3" t="str">
        <f aca="false">PROPER(TRIM(raw_data!K756))</f>
        <v>Storage</v>
      </c>
      <c r="Q756" s="3" t="str">
        <f aca="false">TRIM(raw_data!L756)</f>
        <v>Elite Storage 857</v>
      </c>
      <c r="R756" s="3" t="str">
        <f aca="false">IF(TRIM(raw_data!M756)="","Unknown",PROPER(TRIM(raw_data!M756)))</f>
        <v>Standard Class</v>
      </c>
      <c r="S756" s="3" t="str">
        <f aca="false">IF(TRIM(raw_data!M756)="","Filled - Unknown","OK")</f>
        <v>OK</v>
      </c>
      <c r="T756" s="6" t="n">
        <f aca="false">raw_data!N756</f>
        <v>4</v>
      </c>
      <c r="U756" s="7" t="n">
        <f aca="false">raw_data!O756</f>
        <v>891.34</v>
      </c>
      <c r="V756" s="8" t="n">
        <f aca="false">raw_data!P756</f>
        <v>0.25</v>
      </c>
      <c r="W756" s="8" t="n">
        <f aca="false">IF(raw_data!P756="",0,IF(ISTEXT(raw_data!P756),IF(RIGHT(raw_data!P756,1)="%",VALUE(LEFT(raw_data!P756,LEN(raw_data!P756)-1))/100,VALUE(raw_data!P756)),raw_data!P756))</f>
        <v>0.25</v>
      </c>
      <c r="X756" s="3" t="str">
        <f aca="false">IF(raw_data!P756="","Missing - Defaulted to 0",IF(W756&lt;0,"Negative - Invalid",IF(W756&gt;0.3,"Above Allowed Range - Invalid","Valid")))</f>
        <v>Valid</v>
      </c>
      <c r="Y756" s="7" t="n">
        <f aca="false">raw_data!Q756</f>
        <v>2674.02</v>
      </c>
      <c r="Z756" s="7" t="n">
        <f aca="false">raw_data!R756</f>
        <v>2207.57</v>
      </c>
      <c r="AA756" s="7" t="n">
        <f aca="false">raw_data!S756</f>
        <v>466.45</v>
      </c>
      <c r="AB756" s="3" t="str">
        <f aca="false">PROPER(TRIM(raw_data!T756))</f>
        <v>Paid</v>
      </c>
      <c r="AC756" s="3" t="str">
        <f aca="false">PROPER(TRIM(raw_data!U756))</f>
        <v>Completed</v>
      </c>
      <c r="AD756" s="7" t="n">
        <f aca="false">T756*U756*(1-W756)</f>
        <v>2674.02</v>
      </c>
      <c r="AE756" s="7" t="n">
        <f aca="false">AD756-Z756</f>
        <v>466.45</v>
      </c>
      <c r="AF756" s="8" t="n">
        <f aca="false">IF(AD756=0,0,AE756/AD756)</f>
        <v>0.174437737937637</v>
      </c>
      <c r="AG756" s="3" t="str">
        <f aca="false">IF(ABS(Y756-AD756)&gt;1,"Mismatch","OK")</f>
        <v>OK</v>
      </c>
      <c r="AH756" s="3" t="str">
        <f aca="false">IF(ABS(AA756-AE756)&gt;1,"Mismatch","OK")</f>
        <v>OK</v>
      </c>
      <c r="AI756" s="6" t="n">
        <f aca="false">IF(B756="","",MONTH(B756))</f>
        <v>6</v>
      </c>
      <c r="AJ756" s="6" t="n">
        <f aca="false">IF(B756="","",YEAR(B756))</f>
        <v>2025</v>
      </c>
      <c r="AK756" s="3" t="str">
        <f aca="false">IF(COUNTIF(raw_data!$A$2:$A$913,A756)&gt;1,"Conflicting Duplicate - Flagged for Review","Unique")</f>
        <v>Unique</v>
      </c>
      <c r="AL756" s="3" t="str">
        <f aca="false">IF(AB756="Refunded","Yes","No")</f>
        <v>No</v>
      </c>
      <c r="AM756" s="3" t="str">
        <f aca="false">IF(OR(AC756&lt;&gt;"Completed",AB756="Failed"),"Excluded","Included")</f>
        <v>Included</v>
      </c>
      <c r="AN756" s="3" t="str">
        <f aca="false">IF(OR(D756="Invalid/Unrecognized",E756="Invalid/Unrecognized",G756="Invalid - Ship Before Order",X756="Negative - Invalid",X756="Above Allowed Range - Invalid",AG756="Mismatch",AH756="Mismatch",AK756="Conflicting Duplicate - Flagged for Review"),"Invalid",IF(OR(L756="Filled - Unknown",S756="Filled - Unknown",X756="Missing - Defaulted to 0",AL756="Yes",AC756="Cancelled",AC756="Returned"),"Warning","Clean"))</f>
        <v>Clean</v>
      </c>
    </row>
    <row r="757" customFormat="false" ht="15" hidden="false" customHeight="false" outlineLevel="0" collapsed="false">
      <c r="A757" s="3" t="str">
        <f aca="false">raw_data!A757</f>
        <v>ORD-2025-10756</v>
      </c>
      <c r="B757" s="4" t="n">
        <f aca="false">IFERROR(IF(MID(raw_data!B757,3,1)="/",DATE(VALUE(RIGHT(raw_data!B757,4)),VALUE(LEFT(raw_data!B757,2)),VALUE(MID(raw_data!B757,4,2))),IF(MID(raw_data!B757,3,1)="-",DATE(VALUE(RIGHT(raw_data!B757,4)),VALUE(MID(raw_data!B757,4,2)),VALUE(LEFT(raw_data!B757,2))),IF(MID(raw_data!B757,5,1)="-",DATE(VALUE(LEFT(raw_data!B757,4)),VALUE(MID(raw_data!B757,6,2)),VALUE(RIGHT(raw_data!B757,2))),DATE(VALUE(RIGHT(raw_data!B757,4)),MATCH(MID(raw_data!B757,4,3),{"Jan","Feb","Mar","Apr","May","Jun","Jul","Aug","Sep","Oct","Nov","Dec"},0),VALUE(LEFT(raw_data!B757,2)))))),"")</f>
        <v>45858</v>
      </c>
      <c r="C757" s="4" t="n">
        <f aca="false">IFERROR(IF(MID(raw_data!C757,3,1)="/",DATE(VALUE(RIGHT(raw_data!C757,4)),VALUE(LEFT(raw_data!C757,2)),VALUE(MID(raw_data!C757,4,2))),IF(MID(raw_data!C757,3,1)="-",DATE(VALUE(RIGHT(raw_data!C757,4)),VALUE(MID(raw_data!C757,4,2)),VALUE(LEFT(raw_data!C757,2))),IF(MID(raw_data!C757,5,1)="-",DATE(VALUE(LEFT(raw_data!C757,4)),VALUE(MID(raw_data!C757,6,2)),VALUE(RIGHT(raw_data!C757,2))),DATE(VALUE(RIGHT(raw_data!C757,4)),MATCH(MID(raw_data!C757,4,3),{"Jan","Feb","Mar","Apr","May","Jun","Jul","Aug","Sep","Oct","Nov","Dec"},0),VALUE(LEFT(raw_data!C757,2)))))),"")</f>
        <v>45862</v>
      </c>
      <c r="D757" s="3" t="str">
        <f aca="false">IF(TRIM(raw_data!B757)="","Missing",IF(B757="","Invalid/Unrecognized","Valid"))</f>
        <v>Valid</v>
      </c>
      <c r="E757" s="3" t="str">
        <f aca="false">IF(TRIM(raw_data!C757)="","Missing",IF(C757="","Invalid/Unrecognized","Valid"))</f>
        <v>Valid</v>
      </c>
      <c r="F757" s="5" t="n">
        <f aca="false">IF(OR(B757="",C757=""),"",C757-B757)</f>
        <v>4</v>
      </c>
      <c r="G757" s="3" t="str">
        <f aca="false">IF(F757="","N/A",IF(F757&lt;0,"Invalid - Ship Before Order","OK"))</f>
        <v>OK</v>
      </c>
      <c r="H757" s="3" t="str">
        <f aca="false">raw_data!D757</f>
        <v>CUST-3365</v>
      </c>
      <c r="I757" s="3" t="str">
        <f aca="false">PROPER(TRIM(raw_data!E757))</f>
        <v>Priya Menon</v>
      </c>
      <c r="J757" s="3" t="str">
        <f aca="false">PROPER(TRIM(raw_data!F757))</f>
        <v>Home Office</v>
      </c>
      <c r="K757" s="3" t="str">
        <f aca="false">IF(TRIM(raw_data!G757)="","Unknown",PROPER(TRIM(raw_data!G757)))</f>
        <v>West</v>
      </c>
      <c r="L757" s="3" t="str">
        <f aca="false">IF(TRIM(raw_data!G757)="","Filled - Unknown","OK")</f>
        <v>OK</v>
      </c>
      <c r="M757" s="3" t="str">
        <f aca="false">PROPER(TRIM(raw_data!H757))</f>
        <v>Madhya Pradesh</v>
      </c>
      <c r="N757" s="3" t="str">
        <f aca="false">PROPER(TRIM(raw_data!I757))</f>
        <v>Indore</v>
      </c>
      <c r="O757" s="3" t="str">
        <f aca="false">PROPER(TRIM(raw_data!J757))</f>
        <v>Office Supplies</v>
      </c>
      <c r="P757" s="3" t="str">
        <f aca="false">PROPER(TRIM(raw_data!K757))</f>
        <v>Storage</v>
      </c>
      <c r="Q757" s="3" t="str">
        <f aca="false">TRIM(raw_data!L757)</f>
        <v>Prime Storage 183</v>
      </c>
      <c r="R757" s="3" t="str">
        <f aca="false">IF(TRIM(raw_data!M757)="","Unknown",PROPER(TRIM(raw_data!M757)))</f>
        <v>Second Class</v>
      </c>
      <c r="S757" s="3" t="str">
        <f aca="false">IF(TRIM(raw_data!M757)="","Filled - Unknown","OK")</f>
        <v>OK</v>
      </c>
      <c r="T757" s="6" t="n">
        <f aca="false">raw_data!N757</f>
        <v>5</v>
      </c>
      <c r="U757" s="7" t="n">
        <f aca="false">raw_data!O757</f>
        <v>2481.74</v>
      </c>
      <c r="V757" s="8" t="n">
        <f aca="false">raw_data!P757</f>
        <v>0.2</v>
      </c>
      <c r="W757" s="8" t="n">
        <f aca="false">IF(raw_data!P757="",0,IF(ISTEXT(raw_data!P757),IF(RIGHT(raw_data!P757,1)="%",VALUE(LEFT(raw_data!P757,LEN(raw_data!P757)-1))/100,VALUE(raw_data!P757)),raw_data!P757))</f>
        <v>0.2</v>
      </c>
      <c r="X757" s="3" t="str">
        <f aca="false">IF(raw_data!P757="","Missing - Defaulted to 0",IF(W757&lt;0,"Negative - Invalid",IF(W757&gt;0.3,"Above Allowed Range - Invalid","Valid")))</f>
        <v>Valid</v>
      </c>
      <c r="Y757" s="7" t="n">
        <f aca="false">raw_data!Q757</f>
        <v>9926.96</v>
      </c>
      <c r="Z757" s="7" t="n">
        <f aca="false">raw_data!R757</f>
        <v>7994.98</v>
      </c>
      <c r="AA757" s="7" t="n">
        <f aca="false">raw_data!S757</f>
        <v>1931.98</v>
      </c>
      <c r="AB757" s="3" t="str">
        <f aca="false">PROPER(TRIM(raw_data!T757))</f>
        <v>Paid</v>
      </c>
      <c r="AC757" s="3" t="str">
        <f aca="false">PROPER(TRIM(raw_data!U757))</f>
        <v>Completed</v>
      </c>
      <c r="AD757" s="7" t="n">
        <f aca="false">T757*U757*(1-W757)</f>
        <v>9926.96</v>
      </c>
      <c r="AE757" s="7" t="n">
        <f aca="false">AD757-Z757</f>
        <v>1931.98</v>
      </c>
      <c r="AF757" s="8" t="n">
        <f aca="false">IF(AD757=0,0,AE757/AD757)</f>
        <v>0.194619500834092</v>
      </c>
      <c r="AG757" s="3" t="str">
        <f aca="false">IF(ABS(Y757-AD757)&gt;1,"Mismatch","OK")</f>
        <v>OK</v>
      </c>
      <c r="AH757" s="3" t="str">
        <f aca="false">IF(ABS(AA757-AE757)&gt;1,"Mismatch","OK")</f>
        <v>OK</v>
      </c>
      <c r="AI757" s="6" t="n">
        <f aca="false">IF(B757="","",MONTH(B757))</f>
        <v>7</v>
      </c>
      <c r="AJ757" s="6" t="n">
        <f aca="false">IF(B757="","",YEAR(B757))</f>
        <v>2025</v>
      </c>
      <c r="AK757" s="3" t="str">
        <f aca="false">IF(COUNTIF(raw_data!$A$2:$A$913,A757)&gt;1,"Conflicting Duplicate - Flagged for Review","Unique")</f>
        <v>Unique</v>
      </c>
      <c r="AL757" s="3" t="str">
        <f aca="false">IF(AB757="Refunded","Yes","No")</f>
        <v>No</v>
      </c>
      <c r="AM757" s="3" t="str">
        <f aca="false">IF(OR(AC757&lt;&gt;"Completed",AB757="Failed"),"Excluded","Included")</f>
        <v>Included</v>
      </c>
      <c r="AN757" s="3" t="str">
        <f aca="false">IF(OR(D757="Invalid/Unrecognized",E757="Invalid/Unrecognized",G757="Invalid - Ship Before Order",X757="Negative - Invalid",X757="Above Allowed Range - Invalid",AG757="Mismatch",AH757="Mismatch",AK757="Conflicting Duplicate - Flagged for Review"),"Invalid",IF(OR(L757="Filled - Unknown",S757="Filled - Unknown",X757="Missing - Defaulted to 0",AL757="Yes",AC757="Cancelled",AC757="Returned"),"Warning","Clean"))</f>
        <v>Clean</v>
      </c>
    </row>
    <row r="758" customFormat="false" ht="15" hidden="false" customHeight="false" outlineLevel="0" collapsed="false">
      <c r="A758" s="3" t="str">
        <f aca="false">raw_data!A758</f>
        <v>ORD-2024-10757</v>
      </c>
      <c r="B758" s="4" t="n">
        <f aca="false">IFERROR(IF(MID(raw_data!B758,3,1)="/",DATE(VALUE(RIGHT(raw_data!B758,4)),VALUE(LEFT(raw_data!B758,2)),VALUE(MID(raw_data!B758,4,2))),IF(MID(raw_data!B758,3,1)="-",DATE(VALUE(RIGHT(raw_data!B758,4)),VALUE(MID(raw_data!B758,4,2)),VALUE(LEFT(raw_data!B758,2))),IF(MID(raw_data!B758,5,1)="-",DATE(VALUE(LEFT(raw_data!B758,4)),VALUE(MID(raw_data!B758,6,2)),VALUE(RIGHT(raw_data!B758,2))),DATE(VALUE(RIGHT(raw_data!B758,4)),MATCH(MID(raw_data!B758,4,3),{"Jan","Feb","Mar","Apr","May","Jun","Jul","Aug","Sep","Oct","Nov","Dec"},0),VALUE(LEFT(raw_data!B758,2)))))),"")</f>
        <v>45592</v>
      </c>
      <c r="C758" s="4" t="n">
        <f aca="false">IFERROR(IF(MID(raw_data!C758,3,1)="/",DATE(VALUE(RIGHT(raw_data!C758,4)),VALUE(LEFT(raw_data!C758,2)),VALUE(MID(raw_data!C758,4,2))),IF(MID(raw_data!C758,3,1)="-",DATE(VALUE(RIGHT(raw_data!C758,4)),VALUE(MID(raw_data!C758,4,2)),VALUE(LEFT(raw_data!C758,2))),IF(MID(raw_data!C758,5,1)="-",DATE(VALUE(LEFT(raw_data!C758,4)),VALUE(MID(raw_data!C758,6,2)),VALUE(RIGHT(raw_data!C758,2))),DATE(VALUE(RIGHT(raw_data!C758,4)),MATCH(MID(raw_data!C758,4,3),{"Jan","Feb","Mar","Apr","May","Jun","Jul","Aug","Sep","Oct","Nov","Dec"},0),VALUE(LEFT(raw_data!C758,2)))))),"")</f>
        <v>45597</v>
      </c>
      <c r="D758" s="3" t="str">
        <f aca="false">IF(TRIM(raw_data!B758)="","Missing",IF(B758="","Invalid/Unrecognized","Valid"))</f>
        <v>Valid</v>
      </c>
      <c r="E758" s="3" t="str">
        <f aca="false">IF(TRIM(raw_data!C758)="","Missing",IF(C758="","Invalid/Unrecognized","Valid"))</f>
        <v>Valid</v>
      </c>
      <c r="F758" s="5" t="n">
        <f aca="false">IF(OR(B758="",C758=""),"",C758-B758)</f>
        <v>5</v>
      </c>
      <c r="G758" s="3" t="str">
        <f aca="false">IF(F758="","N/A",IF(F758&lt;0,"Invalid - Ship Before Order","OK"))</f>
        <v>OK</v>
      </c>
      <c r="H758" s="3" t="str">
        <f aca="false">raw_data!D758</f>
        <v>CUST-1557</v>
      </c>
      <c r="I758" s="3" t="str">
        <f aca="false">PROPER(TRIM(raw_data!E758))</f>
        <v>Rohan Mehta</v>
      </c>
      <c r="J758" s="3" t="str">
        <f aca="false">PROPER(TRIM(raw_data!F758))</f>
        <v>Consumer</v>
      </c>
      <c r="K758" s="3" t="str">
        <f aca="false">IF(TRIM(raw_data!G758)="","Unknown",PROPER(TRIM(raw_data!G758)))</f>
        <v>North</v>
      </c>
      <c r="L758" s="3" t="str">
        <f aca="false">IF(TRIM(raw_data!G758)="","Filled - Unknown","OK")</f>
        <v>OK</v>
      </c>
      <c r="M758" s="3" t="str">
        <f aca="false">PROPER(TRIM(raw_data!H758))</f>
        <v>Rajasthan</v>
      </c>
      <c r="N758" s="3" t="str">
        <f aca="false">PROPER(TRIM(raw_data!I758))</f>
        <v>Jaipur</v>
      </c>
      <c r="O758" s="3" t="str">
        <f aca="false">PROPER(TRIM(raw_data!J758))</f>
        <v>Technology</v>
      </c>
      <c r="P758" s="3" t="str">
        <f aca="false">PROPER(TRIM(raw_data!K758))</f>
        <v>Accessories</v>
      </c>
      <c r="Q758" s="3" t="str">
        <f aca="false">TRIM(raw_data!L758)</f>
        <v>Smart Accessories 362</v>
      </c>
      <c r="R758" s="3" t="str">
        <f aca="false">IF(TRIM(raw_data!M758)="","Unknown",PROPER(TRIM(raw_data!M758)))</f>
        <v>Same Day</v>
      </c>
      <c r="S758" s="3" t="str">
        <f aca="false">IF(TRIM(raw_data!M758)="","Filled - Unknown","OK")</f>
        <v>OK</v>
      </c>
      <c r="T758" s="6" t="n">
        <f aca="false">raw_data!N758</f>
        <v>7</v>
      </c>
      <c r="U758" s="7" t="n">
        <f aca="false">raw_data!O758</f>
        <v>2177.1</v>
      </c>
      <c r="V758" s="8" t="n">
        <f aca="false">raw_data!P758</f>
        <v>0.2</v>
      </c>
      <c r="W758" s="8" t="n">
        <f aca="false">IF(raw_data!P758="",0,IF(ISTEXT(raw_data!P758),IF(RIGHT(raw_data!P758,1)="%",VALUE(LEFT(raw_data!P758,LEN(raw_data!P758)-1))/100,VALUE(raw_data!P758)),raw_data!P758))</f>
        <v>0.2</v>
      </c>
      <c r="X758" s="3" t="str">
        <f aca="false">IF(raw_data!P758="","Missing - Defaulted to 0",IF(W758&lt;0,"Negative - Invalid",IF(W758&gt;0.3,"Above Allowed Range - Invalid","Valid")))</f>
        <v>Valid</v>
      </c>
      <c r="Y758" s="7" t="n">
        <f aca="false">raw_data!Q758</f>
        <v>12191.76</v>
      </c>
      <c r="Z758" s="7" t="n">
        <f aca="false">raw_data!R758</f>
        <v>10457.49</v>
      </c>
      <c r="AA758" s="7" t="n">
        <f aca="false">raw_data!S758</f>
        <v>1734.27</v>
      </c>
      <c r="AB758" s="3" t="str">
        <f aca="false">PROPER(TRIM(raw_data!T758))</f>
        <v>Paid</v>
      </c>
      <c r="AC758" s="3" t="str">
        <f aca="false">PROPER(TRIM(raw_data!U758))</f>
        <v>Returned</v>
      </c>
      <c r="AD758" s="7" t="n">
        <f aca="false">T758*U758*(1-W758)</f>
        <v>12191.76</v>
      </c>
      <c r="AE758" s="7" t="n">
        <f aca="false">AD758-Z758</f>
        <v>1734.27</v>
      </c>
      <c r="AF758" s="8" t="n">
        <f aca="false">IF(AD758=0,0,AE758/AD758)</f>
        <v>0.14224935530227</v>
      </c>
      <c r="AG758" s="3" t="str">
        <f aca="false">IF(ABS(Y758-AD758)&gt;1,"Mismatch","OK")</f>
        <v>OK</v>
      </c>
      <c r="AH758" s="3" t="str">
        <f aca="false">IF(ABS(AA758-AE758)&gt;1,"Mismatch","OK")</f>
        <v>OK</v>
      </c>
      <c r="AI758" s="6" t="n">
        <f aca="false">IF(B758="","",MONTH(B758))</f>
        <v>10</v>
      </c>
      <c r="AJ758" s="6" t="n">
        <f aca="false">IF(B758="","",YEAR(B758))</f>
        <v>2024</v>
      </c>
      <c r="AK758" s="3" t="str">
        <f aca="false">IF(COUNTIF(raw_data!$A$2:$A$913,A758)&gt;1,"Conflicting Duplicate - Flagged for Review","Unique")</f>
        <v>Unique</v>
      </c>
      <c r="AL758" s="3" t="str">
        <f aca="false">IF(AB758="Refunded","Yes","No")</f>
        <v>No</v>
      </c>
      <c r="AM758" s="3" t="str">
        <f aca="false">IF(OR(AC758&lt;&gt;"Completed",AB758="Failed"),"Excluded","Included")</f>
        <v>Excluded</v>
      </c>
      <c r="AN758" s="3" t="str">
        <f aca="false">IF(OR(D758="Invalid/Unrecognized",E758="Invalid/Unrecognized",G758="Invalid - Ship Before Order",X758="Negative - Invalid",X758="Above Allowed Range - Invalid",AG758="Mismatch",AH758="Mismatch",AK758="Conflicting Duplicate - Flagged for Review"),"Invalid",IF(OR(L758="Filled - Unknown",S758="Filled - Unknown",X758="Missing - Defaulted to 0",AL758="Yes",AC758="Cancelled",AC758="Returned"),"Warning","Clean"))</f>
        <v>Warning</v>
      </c>
    </row>
    <row r="759" customFormat="false" ht="15" hidden="false" customHeight="false" outlineLevel="0" collapsed="false">
      <c r="A759" s="3" t="str">
        <f aca="false">raw_data!A759</f>
        <v>ORD-2025-10758</v>
      </c>
      <c r="B759" s="4" t="n">
        <f aca="false">IFERROR(IF(MID(raw_data!B759,3,1)="/",DATE(VALUE(RIGHT(raw_data!B759,4)),VALUE(LEFT(raw_data!B759,2)),VALUE(MID(raw_data!B759,4,2))),IF(MID(raw_data!B759,3,1)="-",DATE(VALUE(RIGHT(raw_data!B759,4)),VALUE(MID(raw_data!B759,4,2)),VALUE(LEFT(raw_data!B759,2))),IF(MID(raw_data!B759,5,1)="-",DATE(VALUE(LEFT(raw_data!B759,4)),VALUE(MID(raw_data!B759,6,2)),VALUE(RIGHT(raw_data!B759,2))),DATE(VALUE(RIGHT(raw_data!B759,4)),MATCH(MID(raw_data!B759,4,3),{"Jan","Feb","Mar","Apr","May","Jun","Jul","Aug","Sep","Oct","Nov","Dec"},0),VALUE(LEFT(raw_data!B759,2)))))),"")</f>
        <v>45870</v>
      </c>
      <c r="C759" s="4" t="n">
        <f aca="false">IFERROR(IF(MID(raw_data!C759,3,1)="/",DATE(VALUE(RIGHT(raw_data!C759,4)),VALUE(LEFT(raw_data!C759,2)),VALUE(MID(raw_data!C759,4,2))),IF(MID(raw_data!C759,3,1)="-",DATE(VALUE(RIGHT(raw_data!C759,4)),VALUE(MID(raw_data!C759,4,2)),VALUE(LEFT(raw_data!C759,2))),IF(MID(raw_data!C759,5,1)="-",DATE(VALUE(LEFT(raw_data!C759,4)),VALUE(MID(raw_data!C759,6,2)),VALUE(RIGHT(raw_data!C759,2))),DATE(VALUE(RIGHT(raw_data!C759,4)),MATCH(MID(raw_data!C759,4,3),{"Jan","Feb","Mar","Apr","May","Jun","Jul","Aug","Sep","Oct","Nov","Dec"},0),VALUE(LEFT(raw_data!C759,2)))))),"")</f>
        <v>45872</v>
      </c>
      <c r="D759" s="3" t="str">
        <f aca="false">IF(TRIM(raw_data!B759)="","Missing",IF(B759="","Invalid/Unrecognized","Valid"))</f>
        <v>Valid</v>
      </c>
      <c r="E759" s="3" t="str">
        <f aca="false">IF(TRIM(raw_data!C759)="","Missing",IF(C759="","Invalid/Unrecognized","Valid"))</f>
        <v>Valid</v>
      </c>
      <c r="F759" s="5" t="n">
        <f aca="false">IF(OR(B759="",C759=""),"",C759-B759)</f>
        <v>2</v>
      </c>
      <c r="G759" s="3" t="str">
        <f aca="false">IF(F759="","N/A",IF(F759&lt;0,"Invalid - Ship Before Order","OK"))</f>
        <v>OK</v>
      </c>
      <c r="H759" s="3" t="str">
        <f aca="false">raw_data!D759</f>
        <v>CUST-3058</v>
      </c>
      <c r="I759" s="3" t="str">
        <f aca="false">PROPER(TRIM(raw_data!E759))</f>
        <v>Aditi Sen</v>
      </c>
      <c r="J759" s="3" t="str">
        <f aca="false">PROPER(TRIM(raw_data!F759))</f>
        <v>Small Business</v>
      </c>
      <c r="K759" s="3" t="str">
        <f aca="false">IF(TRIM(raw_data!G759)="","Unknown",PROPER(TRIM(raw_data!G759)))</f>
        <v>South</v>
      </c>
      <c r="L759" s="3" t="str">
        <f aca="false">IF(TRIM(raw_data!G759)="","Filled - Unknown","OK")</f>
        <v>OK</v>
      </c>
      <c r="M759" s="3" t="str">
        <f aca="false">PROPER(TRIM(raw_data!H759))</f>
        <v>Kerala</v>
      </c>
      <c r="N759" s="3" t="str">
        <f aca="false">PROPER(TRIM(raw_data!I759))</f>
        <v>Kochi</v>
      </c>
      <c r="O759" s="3" t="str">
        <f aca="false">PROPER(TRIM(raw_data!J759))</f>
        <v>Furniture</v>
      </c>
      <c r="P759" s="3" t="str">
        <f aca="false">PROPER(TRIM(raw_data!K759))</f>
        <v>Bookcases</v>
      </c>
      <c r="Q759" s="3" t="str">
        <f aca="false">TRIM(raw_data!L759)</f>
        <v>Classic Bookcases 310</v>
      </c>
      <c r="R759" s="3" t="str">
        <f aca="false">IF(TRIM(raw_data!M759)="","Unknown",PROPER(TRIM(raw_data!M759)))</f>
        <v>Standard Class</v>
      </c>
      <c r="S759" s="3" t="str">
        <f aca="false">IF(TRIM(raw_data!M759)="","Filled - Unknown","OK")</f>
        <v>OK</v>
      </c>
      <c r="T759" s="6" t="n">
        <f aca="false">raw_data!N759</f>
        <v>3</v>
      </c>
      <c r="U759" s="7" t="n">
        <f aca="false">raw_data!O759</f>
        <v>1904.78</v>
      </c>
      <c r="V759" s="8" t="n">
        <f aca="false">raw_data!P759</f>
        <v>0.25</v>
      </c>
      <c r="W759" s="8" t="n">
        <f aca="false">IF(raw_data!P759="",0,IF(ISTEXT(raw_data!P759),IF(RIGHT(raw_data!P759,1)="%",VALUE(LEFT(raw_data!P759,LEN(raw_data!P759)-1))/100,VALUE(raw_data!P759)),raw_data!P759))</f>
        <v>0.25</v>
      </c>
      <c r="X759" s="3" t="str">
        <f aca="false">IF(raw_data!P759="","Missing - Defaulted to 0",IF(W759&lt;0,"Negative - Invalid",IF(W759&gt;0.3,"Above Allowed Range - Invalid","Valid")))</f>
        <v>Valid</v>
      </c>
      <c r="Y759" s="7" t="n">
        <f aca="false">raw_data!Q759</f>
        <v>4285.76</v>
      </c>
      <c r="Z759" s="7" t="n">
        <f aca="false">raw_data!R759</f>
        <v>2386.33</v>
      </c>
      <c r="AA759" s="7" t="n">
        <f aca="false">raw_data!S759</f>
        <v>1899.43</v>
      </c>
      <c r="AB759" s="3" t="str">
        <f aca="false">PROPER(TRIM(raw_data!T759))</f>
        <v>Failed</v>
      </c>
      <c r="AC759" s="3" t="str">
        <f aca="false">PROPER(TRIM(raw_data!U759))</f>
        <v>Cancelled</v>
      </c>
      <c r="AD759" s="7" t="n">
        <f aca="false">T759*U759*(1-W759)</f>
        <v>4285.755</v>
      </c>
      <c r="AE759" s="7" t="n">
        <f aca="false">AD759-Z759</f>
        <v>1899.425</v>
      </c>
      <c r="AF759" s="8" t="n">
        <f aca="false">IF(AD759=0,0,AE759/AD759)</f>
        <v>0.443194956314582</v>
      </c>
      <c r="AG759" s="3" t="str">
        <f aca="false">IF(ABS(Y759-AD759)&gt;1,"Mismatch","OK")</f>
        <v>OK</v>
      </c>
      <c r="AH759" s="3" t="str">
        <f aca="false">IF(ABS(AA759-AE759)&gt;1,"Mismatch","OK")</f>
        <v>OK</v>
      </c>
      <c r="AI759" s="6" t="n">
        <f aca="false">IF(B759="","",MONTH(B759))</f>
        <v>8</v>
      </c>
      <c r="AJ759" s="6" t="n">
        <f aca="false">IF(B759="","",YEAR(B759))</f>
        <v>2025</v>
      </c>
      <c r="AK759" s="3" t="str">
        <f aca="false">IF(COUNTIF(raw_data!$A$2:$A$913,A759)&gt;1,"Conflicting Duplicate - Flagged for Review","Unique")</f>
        <v>Unique</v>
      </c>
      <c r="AL759" s="3" t="str">
        <f aca="false">IF(AB759="Refunded","Yes","No")</f>
        <v>No</v>
      </c>
      <c r="AM759" s="3" t="str">
        <f aca="false">IF(OR(AC759&lt;&gt;"Completed",AB759="Failed"),"Excluded","Included")</f>
        <v>Excluded</v>
      </c>
      <c r="AN759" s="3" t="str">
        <f aca="false">IF(OR(D759="Invalid/Unrecognized",E759="Invalid/Unrecognized",G759="Invalid - Ship Before Order",X759="Negative - Invalid",X759="Above Allowed Range - Invalid",AG759="Mismatch",AH759="Mismatch",AK759="Conflicting Duplicate - Flagged for Review"),"Invalid",IF(OR(L759="Filled - Unknown",S759="Filled - Unknown",X759="Missing - Defaulted to 0",AL759="Yes",AC759="Cancelled",AC759="Returned"),"Warning","Clean"))</f>
        <v>Warning</v>
      </c>
    </row>
    <row r="760" customFormat="false" ht="15" hidden="false" customHeight="false" outlineLevel="0" collapsed="false">
      <c r="A760" s="3" t="str">
        <f aca="false">raw_data!A760</f>
        <v>ORD-2024-10759</v>
      </c>
      <c r="B760" s="4" t="n">
        <f aca="false">IFERROR(IF(MID(raw_data!B760,3,1)="/",DATE(VALUE(RIGHT(raw_data!B760,4)),VALUE(LEFT(raw_data!B760,2)),VALUE(MID(raw_data!B760,4,2))),IF(MID(raw_data!B760,3,1)="-",DATE(VALUE(RIGHT(raw_data!B760,4)),VALUE(MID(raw_data!B760,4,2)),VALUE(LEFT(raw_data!B760,2))),IF(MID(raw_data!B760,5,1)="-",DATE(VALUE(LEFT(raw_data!B760,4)),VALUE(MID(raw_data!B760,6,2)),VALUE(RIGHT(raw_data!B760,2))),DATE(VALUE(RIGHT(raw_data!B760,4)),MATCH(MID(raw_data!B760,4,3),{"Jan","Feb","Mar","Apr","May","Jun","Jul","Aug","Sep","Oct","Nov","Dec"},0),VALUE(LEFT(raw_data!B760,2)))))),"")</f>
        <v>45414</v>
      </c>
      <c r="C760" s="4" t="n">
        <f aca="false">IFERROR(IF(MID(raw_data!C760,3,1)="/",DATE(VALUE(RIGHT(raw_data!C760,4)),VALUE(LEFT(raw_data!C760,2)),VALUE(MID(raw_data!C760,4,2))),IF(MID(raw_data!C760,3,1)="-",DATE(VALUE(RIGHT(raw_data!C760,4)),VALUE(MID(raw_data!C760,4,2)),VALUE(LEFT(raw_data!C760,2))),IF(MID(raw_data!C760,5,1)="-",DATE(VALUE(LEFT(raw_data!C760,4)),VALUE(MID(raw_data!C760,6,2)),VALUE(RIGHT(raw_data!C760,2))),DATE(VALUE(RIGHT(raw_data!C760,4)),MATCH(MID(raw_data!C760,4,3),{"Jan","Feb","Mar","Apr","May","Jun","Jul","Aug","Sep","Oct","Nov","Dec"},0),VALUE(LEFT(raw_data!C760,2)))))),"")</f>
        <v>45422</v>
      </c>
      <c r="D760" s="3" t="str">
        <f aca="false">IF(TRIM(raw_data!B760)="","Missing",IF(B760="","Invalid/Unrecognized","Valid"))</f>
        <v>Valid</v>
      </c>
      <c r="E760" s="3" t="str">
        <f aca="false">IF(TRIM(raw_data!C760)="","Missing",IF(C760="","Invalid/Unrecognized","Valid"))</f>
        <v>Valid</v>
      </c>
      <c r="F760" s="5" t="n">
        <f aca="false">IF(OR(B760="",C760=""),"",C760-B760)</f>
        <v>8</v>
      </c>
      <c r="G760" s="3" t="str">
        <f aca="false">IF(F760="","N/A",IF(F760&lt;0,"Invalid - Ship Before Order","OK"))</f>
        <v>OK</v>
      </c>
      <c r="H760" s="3" t="str">
        <f aca="false">raw_data!D760</f>
        <v>CUST-6076</v>
      </c>
      <c r="I760" s="3" t="str">
        <f aca="false">PROPER(TRIM(raw_data!E760))</f>
        <v>Aarav Sharma</v>
      </c>
      <c r="J760" s="3" t="str">
        <f aca="false">PROPER(TRIM(raw_data!F760))</f>
        <v>Small Business</v>
      </c>
      <c r="K760" s="3" t="str">
        <f aca="false">IF(TRIM(raw_data!G760)="","Unknown",PROPER(TRIM(raw_data!G760)))</f>
        <v>South</v>
      </c>
      <c r="L760" s="3" t="str">
        <f aca="false">IF(TRIM(raw_data!G760)="","Filled - Unknown","OK")</f>
        <v>OK</v>
      </c>
      <c r="M760" s="3" t="str">
        <f aca="false">PROPER(TRIM(raw_data!H760))</f>
        <v>Karnataka</v>
      </c>
      <c r="N760" s="3" t="str">
        <f aca="false">PROPER(TRIM(raw_data!I760))</f>
        <v>Bengaluru</v>
      </c>
      <c r="O760" s="3" t="str">
        <f aca="false">PROPER(TRIM(raw_data!J760))</f>
        <v>Furniture</v>
      </c>
      <c r="P760" s="3" t="str">
        <f aca="false">PROPER(TRIM(raw_data!K760))</f>
        <v>Chairs</v>
      </c>
      <c r="Q760" s="3" t="str">
        <f aca="false">TRIM(raw_data!L760)</f>
        <v>Prime Chairs 721</v>
      </c>
      <c r="R760" s="3" t="str">
        <f aca="false">IF(TRIM(raw_data!M760)="","Unknown",PROPER(TRIM(raw_data!M760)))</f>
        <v>Standard Class</v>
      </c>
      <c r="S760" s="3" t="str">
        <f aca="false">IF(TRIM(raw_data!M760)="","Filled - Unknown","OK")</f>
        <v>OK</v>
      </c>
      <c r="T760" s="6" t="n">
        <f aca="false">raw_data!N760</f>
        <v>1</v>
      </c>
      <c r="U760" s="7" t="n">
        <f aca="false">raw_data!O760</f>
        <v>4166.91</v>
      </c>
      <c r="V760" s="8" t="n">
        <f aca="false">raw_data!P760</f>
        <v>0</v>
      </c>
      <c r="W760" s="8" t="n">
        <f aca="false">IF(raw_data!P760="",0,IF(ISTEXT(raw_data!P760),IF(RIGHT(raw_data!P760,1)="%",VALUE(LEFT(raw_data!P760,LEN(raw_data!P760)-1))/100,VALUE(raw_data!P760)),raw_data!P760))</f>
        <v>0</v>
      </c>
      <c r="X760" s="3" t="str">
        <f aca="false">IF(raw_data!P760="","Missing - Defaulted to 0",IF(W760&lt;0,"Negative - Invalid",IF(W760&gt;0.3,"Above Allowed Range - Invalid","Valid")))</f>
        <v>Valid</v>
      </c>
      <c r="Y760" s="7" t="n">
        <f aca="false">raw_data!Q760</f>
        <v>4166.91</v>
      </c>
      <c r="Z760" s="7" t="n">
        <f aca="false">raw_data!R760</f>
        <v>3412.63</v>
      </c>
      <c r="AA760" s="7" t="n">
        <f aca="false">raw_data!S760</f>
        <v>754.28</v>
      </c>
      <c r="AB760" s="3" t="str">
        <f aca="false">PROPER(TRIM(raw_data!T760))</f>
        <v>Paid</v>
      </c>
      <c r="AC760" s="3" t="str">
        <f aca="false">PROPER(TRIM(raw_data!U760))</f>
        <v>Completed</v>
      </c>
      <c r="AD760" s="7" t="n">
        <f aca="false">T760*U760*(1-W760)</f>
        <v>4166.91</v>
      </c>
      <c r="AE760" s="7" t="n">
        <f aca="false">AD760-Z760</f>
        <v>754.28</v>
      </c>
      <c r="AF760" s="8" t="n">
        <f aca="false">IF(AD760=0,0,AE760/AD760)</f>
        <v>0.181016628628888</v>
      </c>
      <c r="AG760" s="3" t="str">
        <f aca="false">IF(ABS(Y760-AD760)&gt;1,"Mismatch","OK")</f>
        <v>OK</v>
      </c>
      <c r="AH760" s="3" t="str">
        <f aca="false">IF(ABS(AA760-AE760)&gt;1,"Mismatch","OK")</f>
        <v>OK</v>
      </c>
      <c r="AI760" s="6" t="n">
        <f aca="false">IF(B760="","",MONTH(B760))</f>
        <v>5</v>
      </c>
      <c r="AJ760" s="6" t="n">
        <f aca="false">IF(B760="","",YEAR(B760))</f>
        <v>2024</v>
      </c>
      <c r="AK760" s="3" t="str">
        <f aca="false">IF(COUNTIF(raw_data!$A$2:$A$913,A760)&gt;1,"Conflicting Duplicate - Flagged for Review","Unique")</f>
        <v>Unique</v>
      </c>
      <c r="AL760" s="3" t="str">
        <f aca="false">IF(AB760="Refunded","Yes","No")</f>
        <v>No</v>
      </c>
      <c r="AM760" s="3" t="str">
        <f aca="false">IF(OR(AC760&lt;&gt;"Completed",AB760="Failed"),"Excluded","Included")</f>
        <v>Included</v>
      </c>
      <c r="AN760" s="3" t="str">
        <f aca="false">IF(OR(D760="Invalid/Unrecognized",E760="Invalid/Unrecognized",G760="Invalid - Ship Before Order",X760="Negative - Invalid",X760="Above Allowed Range - Invalid",AG760="Mismatch",AH760="Mismatch",AK760="Conflicting Duplicate - Flagged for Review"),"Invalid",IF(OR(L760="Filled - Unknown",S760="Filled - Unknown",X760="Missing - Defaulted to 0",AL760="Yes",AC760="Cancelled",AC760="Returned"),"Warning","Clean"))</f>
        <v>Clean</v>
      </c>
    </row>
    <row r="761" customFormat="false" ht="15" hidden="false" customHeight="false" outlineLevel="0" collapsed="false">
      <c r="A761" s="3" t="str">
        <f aca="false">raw_data!A761</f>
        <v>ORD-2024-10760</v>
      </c>
      <c r="B761" s="4" t="n">
        <f aca="false">IFERROR(IF(MID(raw_data!B761,3,1)="/",DATE(VALUE(RIGHT(raw_data!B761,4)),VALUE(LEFT(raw_data!B761,2)),VALUE(MID(raw_data!B761,4,2))),IF(MID(raw_data!B761,3,1)="-",DATE(VALUE(RIGHT(raw_data!B761,4)),VALUE(MID(raw_data!B761,4,2)),VALUE(LEFT(raw_data!B761,2))),IF(MID(raw_data!B761,5,1)="-",DATE(VALUE(LEFT(raw_data!B761,4)),VALUE(MID(raw_data!B761,6,2)),VALUE(RIGHT(raw_data!B761,2))),DATE(VALUE(RIGHT(raw_data!B761,4)),MATCH(MID(raw_data!B761,4,3),{"Jan","Feb","Mar","Apr","May","Jun","Jul","Aug","Sep","Oct","Nov","Dec"},0),VALUE(LEFT(raw_data!B761,2)))))),"")</f>
        <v>45492</v>
      </c>
      <c r="C761" s="4" t="n">
        <f aca="false">IFERROR(IF(MID(raw_data!C761,3,1)="/",DATE(VALUE(RIGHT(raw_data!C761,4)),VALUE(LEFT(raw_data!C761,2)),VALUE(MID(raw_data!C761,4,2))),IF(MID(raw_data!C761,3,1)="-",DATE(VALUE(RIGHT(raw_data!C761,4)),VALUE(MID(raw_data!C761,4,2)),VALUE(LEFT(raw_data!C761,2))),IF(MID(raw_data!C761,5,1)="-",DATE(VALUE(LEFT(raw_data!C761,4)),VALUE(MID(raw_data!C761,6,2)),VALUE(RIGHT(raw_data!C761,2))),DATE(VALUE(RIGHT(raw_data!C761,4)),MATCH(MID(raw_data!C761,4,3),{"Jan","Feb","Mar","Apr","May","Jun","Jul","Aug","Sep","Oct","Nov","Dec"},0),VALUE(LEFT(raw_data!C761,2)))))),"")</f>
        <v>45499</v>
      </c>
      <c r="D761" s="3" t="str">
        <f aca="false">IF(TRIM(raw_data!B761)="","Missing",IF(B761="","Invalid/Unrecognized","Valid"))</f>
        <v>Valid</v>
      </c>
      <c r="E761" s="3" t="str">
        <f aca="false">IF(TRIM(raw_data!C761)="","Missing",IF(C761="","Invalid/Unrecognized","Valid"))</f>
        <v>Valid</v>
      </c>
      <c r="F761" s="5" t="n">
        <f aca="false">IF(OR(B761="",C761=""),"",C761-B761)</f>
        <v>7</v>
      </c>
      <c r="G761" s="3" t="str">
        <f aca="false">IF(F761="","N/A",IF(F761&lt;0,"Invalid - Ship Before Order","OK"))</f>
        <v>OK</v>
      </c>
      <c r="H761" s="3" t="str">
        <f aca="false">raw_data!D761</f>
        <v>CUST-2098</v>
      </c>
      <c r="I761" s="3" t="str">
        <f aca="false">PROPER(TRIM(raw_data!E761))</f>
        <v>Arjun Bose</v>
      </c>
      <c r="J761" s="3" t="str">
        <f aca="false">PROPER(TRIM(raw_data!F761))</f>
        <v>Home Office</v>
      </c>
      <c r="K761" s="3" t="str">
        <f aca="false">IF(TRIM(raw_data!G761)="","Unknown",PROPER(TRIM(raw_data!G761)))</f>
        <v>South</v>
      </c>
      <c r="L761" s="3" t="str">
        <f aca="false">IF(TRIM(raw_data!G761)="","Filled - Unknown","OK")</f>
        <v>OK</v>
      </c>
      <c r="M761" s="3" t="str">
        <f aca="false">PROPER(TRIM(raw_data!H761))</f>
        <v>Karnataka</v>
      </c>
      <c r="N761" s="3" t="str">
        <f aca="false">PROPER(TRIM(raw_data!I761))</f>
        <v>Bengaluru</v>
      </c>
      <c r="O761" s="3" t="str">
        <f aca="false">PROPER(TRIM(raw_data!J761))</f>
        <v>Furniture</v>
      </c>
      <c r="P761" s="3" t="str">
        <f aca="false">PROPER(TRIM(raw_data!K761))</f>
        <v>Tables</v>
      </c>
      <c r="Q761" s="3" t="str">
        <f aca="false">TRIM(raw_data!L761)</f>
        <v>Prime Tables 797</v>
      </c>
      <c r="R761" s="3" t="str">
        <f aca="false">IF(TRIM(raw_data!M761)="","Unknown",PROPER(TRIM(raw_data!M761)))</f>
        <v>Second Class</v>
      </c>
      <c r="S761" s="3" t="str">
        <f aca="false">IF(TRIM(raw_data!M761)="","Filled - Unknown","OK")</f>
        <v>OK</v>
      </c>
      <c r="T761" s="6" t="n">
        <f aca="false">raw_data!N761</f>
        <v>5</v>
      </c>
      <c r="U761" s="7" t="n">
        <f aca="false">raw_data!O761</f>
        <v>3986.01</v>
      </c>
      <c r="V761" s="8" t="n">
        <f aca="false">raw_data!P761</f>
        <v>0.25</v>
      </c>
      <c r="W761" s="8" t="n">
        <f aca="false">IF(raw_data!P761="",0,IF(ISTEXT(raw_data!P761),IF(RIGHT(raw_data!P761,1)="%",VALUE(LEFT(raw_data!P761,LEN(raw_data!P761)-1))/100,VALUE(raw_data!P761)),raw_data!P761))</f>
        <v>0.25</v>
      </c>
      <c r="X761" s="3" t="str">
        <f aca="false">IF(raw_data!P761="","Missing - Defaulted to 0",IF(W761&lt;0,"Negative - Invalid",IF(W761&gt;0.3,"Above Allowed Range - Invalid","Valid")))</f>
        <v>Valid</v>
      </c>
      <c r="Y761" s="7" t="n">
        <f aca="false">raw_data!Q761</f>
        <v>14947.54</v>
      </c>
      <c r="Z761" s="7" t="n">
        <f aca="false">raw_data!R761</f>
        <v>9438.46</v>
      </c>
      <c r="AA761" s="7" t="n">
        <f aca="false">raw_data!S761</f>
        <v>5509.08</v>
      </c>
      <c r="AB761" s="3" t="str">
        <f aca="false">PROPER(TRIM(raw_data!T761))</f>
        <v>Paid</v>
      </c>
      <c r="AC761" s="3" t="str">
        <f aca="false">PROPER(TRIM(raw_data!U761))</f>
        <v>Completed</v>
      </c>
      <c r="AD761" s="7" t="n">
        <f aca="false">T761*U761*(1-W761)</f>
        <v>14947.5375</v>
      </c>
      <c r="AE761" s="7" t="n">
        <f aca="false">AD761-Z761</f>
        <v>5509.0775</v>
      </c>
      <c r="AF761" s="8" t="n">
        <f aca="false">IF(AD761=0,0,AE761/AD761)</f>
        <v>0.368560874993624</v>
      </c>
      <c r="AG761" s="3" t="str">
        <f aca="false">IF(ABS(Y761-AD761)&gt;1,"Mismatch","OK")</f>
        <v>OK</v>
      </c>
      <c r="AH761" s="3" t="str">
        <f aca="false">IF(ABS(AA761-AE761)&gt;1,"Mismatch","OK")</f>
        <v>OK</v>
      </c>
      <c r="AI761" s="6" t="n">
        <f aca="false">IF(B761="","",MONTH(B761))</f>
        <v>7</v>
      </c>
      <c r="AJ761" s="6" t="n">
        <f aca="false">IF(B761="","",YEAR(B761))</f>
        <v>2024</v>
      </c>
      <c r="AK761" s="3" t="str">
        <f aca="false">IF(COUNTIF(raw_data!$A$2:$A$913,A761)&gt;1,"Conflicting Duplicate - Flagged for Review","Unique")</f>
        <v>Unique</v>
      </c>
      <c r="AL761" s="3" t="str">
        <f aca="false">IF(AB761="Refunded","Yes","No")</f>
        <v>No</v>
      </c>
      <c r="AM761" s="3" t="str">
        <f aca="false">IF(OR(AC761&lt;&gt;"Completed",AB761="Failed"),"Excluded","Included")</f>
        <v>Included</v>
      </c>
      <c r="AN761" s="3" t="str">
        <f aca="false">IF(OR(D761="Invalid/Unrecognized",E761="Invalid/Unrecognized",G761="Invalid - Ship Before Order",X761="Negative - Invalid",X761="Above Allowed Range - Invalid",AG761="Mismatch",AH761="Mismatch",AK761="Conflicting Duplicate - Flagged for Review"),"Invalid",IF(OR(L761="Filled - Unknown",S761="Filled - Unknown",X761="Missing - Defaulted to 0",AL761="Yes",AC761="Cancelled",AC761="Returned"),"Warning","Clean"))</f>
        <v>Clean</v>
      </c>
    </row>
    <row r="762" customFormat="false" ht="15" hidden="false" customHeight="false" outlineLevel="0" collapsed="false">
      <c r="A762" s="3" t="str">
        <f aca="false">raw_data!A762</f>
        <v>ORD-2024-10761</v>
      </c>
      <c r="B762" s="4" t="n">
        <f aca="false">IFERROR(IF(MID(raw_data!B762,3,1)="/",DATE(VALUE(RIGHT(raw_data!B762,4)),VALUE(LEFT(raw_data!B762,2)),VALUE(MID(raw_data!B762,4,2))),IF(MID(raw_data!B762,3,1)="-",DATE(VALUE(RIGHT(raw_data!B762,4)),VALUE(MID(raw_data!B762,4,2)),VALUE(LEFT(raw_data!B762,2))),IF(MID(raw_data!B762,5,1)="-",DATE(VALUE(LEFT(raw_data!B762,4)),VALUE(MID(raw_data!B762,6,2)),VALUE(RIGHT(raw_data!B762,2))),DATE(VALUE(RIGHT(raw_data!B762,4)),MATCH(MID(raw_data!B762,4,3),{"Jan","Feb","Mar","Apr","May","Jun","Jul","Aug","Sep","Oct","Nov","Dec"},0),VALUE(LEFT(raw_data!B762,2)))))),"")</f>
        <v>45532</v>
      </c>
      <c r="C762" s="4" t="n">
        <f aca="false">IFERROR(IF(MID(raw_data!C762,3,1)="/",DATE(VALUE(RIGHT(raw_data!C762,4)),VALUE(LEFT(raw_data!C762,2)),VALUE(MID(raw_data!C762,4,2))),IF(MID(raw_data!C762,3,1)="-",DATE(VALUE(RIGHT(raw_data!C762,4)),VALUE(MID(raw_data!C762,4,2)),VALUE(LEFT(raw_data!C762,2))),IF(MID(raw_data!C762,5,1)="-",DATE(VALUE(LEFT(raw_data!C762,4)),VALUE(MID(raw_data!C762,6,2)),VALUE(RIGHT(raw_data!C762,2))),DATE(VALUE(RIGHT(raw_data!C762,4)),MATCH(MID(raw_data!C762,4,3),{"Jan","Feb","Mar","Apr","May","Jun","Jul","Aug","Sep","Oct","Nov","Dec"},0),VALUE(LEFT(raw_data!C762,2)))))),"")</f>
        <v>45537</v>
      </c>
      <c r="D762" s="3" t="str">
        <f aca="false">IF(TRIM(raw_data!B762)="","Missing",IF(B762="","Invalid/Unrecognized","Valid"))</f>
        <v>Valid</v>
      </c>
      <c r="E762" s="3" t="str">
        <f aca="false">IF(TRIM(raw_data!C762)="","Missing",IF(C762="","Invalid/Unrecognized","Valid"))</f>
        <v>Valid</v>
      </c>
      <c r="F762" s="5" t="n">
        <f aca="false">IF(OR(B762="",C762=""),"",C762-B762)</f>
        <v>5</v>
      </c>
      <c r="G762" s="3" t="str">
        <f aca="false">IF(F762="","N/A",IF(F762&lt;0,"Invalid - Ship Before Order","OK"))</f>
        <v>OK</v>
      </c>
      <c r="H762" s="3" t="str">
        <f aca="false">raw_data!D762</f>
        <v>CUST-7193</v>
      </c>
      <c r="I762" s="3" t="str">
        <f aca="false">PROPER(TRIM(raw_data!E762))</f>
        <v>Aditi Sen</v>
      </c>
      <c r="J762" s="3" t="str">
        <f aca="false">PROPER(TRIM(raw_data!F762))</f>
        <v>Home Office</v>
      </c>
      <c r="K762" s="3" t="str">
        <f aca="false">IF(TRIM(raw_data!G762)="","Unknown",PROPER(TRIM(raw_data!G762)))</f>
        <v>East</v>
      </c>
      <c r="L762" s="3" t="str">
        <f aca="false">IF(TRIM(raw_data!G762)="","Filled - Unknown","OK")</f>
        <v>OK</v>
      </c>
      <c r="M762" s="3" t="str">
        <f aca="false">PROPER(TRIM(raw_data!H762))</f>
        <v>Assam</v>
      </c>
      <c r="N762" s="3" t="str">
        <f aca="false">PROPER(TRIM(raw_data!I762))</f>
        <v>Guwahati</v>
      </c>
      <c r="O762" s="3" t="str">
        <f aca="false">PROPER(TRIM(raw_data!J762))</f>
        <v>Office Supplies</v>
      </c>
      <c r="P762" s="3" t="str">
        <f aca="false">PROPER(TRIM(raw_data!K762))</f>
        <v>Art</v>
      </c>
      <c r="Q762" s="3" t="str">
        <f aca="false">TRIM(raw_data!L762)</f>
        <v>Max Art 926</v>
      </c>
      <c r="R762" s="3" t="str">
        <f aca="false">IF(TRIM(raw_data!M762)="","Unknown",PROPER(TRIM(raw_data!M762)))</f>
        <v>Second Class</v>
      </c>
      <c r="S762" s="3" t="str">
        <f aca="false">IF(TRIM(raw_data!M762)="","Filled - Unknown","OK")</f>
        <v>OK</v>
      </c>
      <c r="T762" s="6" t="n">
        <f aca="false">raw_data!N762</f>
        <v>4</v>
      </c>
      <c r="U762" s="7" t="n">
        <f aca="false">raw_data!O762</f>
        <v>3365.53</v>
      </c>
      <c r="V762" s="8" t="n">
        <f aca="false">raw_data!P762</f>
        <v>0</v>
      </c>
      <c r="W762" s="8" t="n">
        <f aca="false">IF(raw_data!P762="",0,IF(ISTEXT(raw_data!P762),IF(RIGHT(raw_data!P762,1)="%",VALUE(LEFT(raw_data!P762,LEN(raw_data!P762)-1))/100,VALUE(raw_data!P762)),raw_data!P762))</f>
        <v>0</v>
      </c>
      <c r="X762" s="3" t="str">
        <f aca="false">IF(raw_data!P762="","Missing - Defaulted to 0",IF(W762&lt;0,"Negative - Invalid",IF(W762&gt;0.3,"Above Allowed Range - Invalid","Valid")))</f>
        <v>Valid</v>
      </c>
      <c r="Y762" s="7" t="n">
        <f aca="false">raw_data!Q762</f>
        <v>13462.12</v>
      </c>
      <c r="Z762" s="7" t="n">
        <f aca="false">raw_data!R762</f>
        <v>7600.63</v>
      </c>
      <c r="AA762" s="7" t="n">
        <f aca="false">raw_data!S762</f>
        <v>5861.49</v>
      </c>
      <c r="AB762" s="3" t="str">
        <f aca="false">PROPER(TRIM(raw_data!T762))</f>
        <v>Pending</v>
      </c>
      <c r="AC762" s="3" t="str">
        <f aca="false">PROPER(TRIM(raw_data!U762))</f>
        <v>Returned</v>
      </c>
      <c r="AD762" s="7" t="n">
        <f aca="false">T762*U762*(1-W762)</f>
        <v>13462.12</v>
      </c>
      <c r="AE762" s="7" t="n">
        <f aca="false">AD762-Z762</f>
        <v>5861.49</v>
      </c>
      <c r="AF762" s="8" t="n">
        <f aca="false">IF(AD762=0,0,AE762/AD762)</f>
        <v>0.435406161882378</v>
      </c>
      <c r="AG762" s="3" t="str">
        <f aca="false">IF(ABS(Y762-AD762)&gt;1,"Mismatch","OK")</f>
        <v>OK</v>
      </c>
      <c r="AH762" s="3" t="str">
        <f aca="false">IF(ABS(AA762-AE762)&gt;1,"Mismatch","OK")</f>
        <v>OK</v>
      </c>
      <c r="AI762" s="6" t="n">
        <f aca="false">IF(B762="","",MONTH(B762))</f>
        <v>8</v>
      </c>
      <c r="AJ762" s="6" t="n">
        <f aca="false">IF(B762="","",YEAR(B762))</f>
        <v>2024</v>
      </c>
      <c r="AK762" s="3" t="str">
        <f aca="false">IF(COUNTIF(raw_data!$A$2:$A$913,A762)&gt;1,"Conflicting Duplicate - Flagged for Review","Unique")</f>
        <v>Unique</v>
      </c>
      <c r="AL762" s="3" t="str">
        <f aca="false">IF(AB762="Refunded","Yes","No")</f>
        <v>No</v>
      </c>
      <c r="AM762" s="3" t="str">
        <f aca="false">IF(OR(AC762&lt;&gt;"Completed",AB762="Failed"),"Excluded","Included")</f>
        <v>Excluded</v>
      </c>
      <c r="AN762" s="3" t="str">
        <f aca="false">IF(OR(D762="Invalid/Unrecognized",E762="Invalid/Unrecognized",G762="Invalid - Ship Before Order",X762="Negative - Invalid",X762="Above Allowed Range - Invalid",AG762="Mismatch",AH762="Mismatch",AK762="Conflicting Duplicate - Flagged for Review"),"Invalid",IF(OR(L762="Filled - Unknown",S762="Filled - Unknown",X762="Missing - Defaulted to 0",AL762="Yes",AC762="Cancelled",AC762="Returned"),"Warning","Clean"))</f>
        <v>Warning</v>
      </c>
    </row>
    <row r="763" customFormat="false" ht="15" hidden="false" customHeight="false" outlineLevel="0" collapsed="false">
      <c r="A763" s="3" t="str">
        <f aca="false">raw_data!A763</f>
        <v>ORD-2025-10762</v>
      </c>
      <c r="B763" s="4" t="n">
        <f aca="false">IFERROR(IF(MID(raw_data!B763,3,1)="/",DATE(VALUE(RIGHT(raw_data!B763,4)),VALUE(LEFT(raw_data!B763,2)),VALUE(MID(raw_data!B763,4,2))),IF(MID(raw_data!B763,3,1)="-",DATE(VALUE(RIGHT(raw_data!B763,4)),VALUE(MID(raw_data!B763,4,2)),VALUE(LEFT(raw_data!B763,2))),IF(MID(raw_data!B763,5,1)="-",DATE(VALUE(LEFT(raw_data!B763,4)),VALUE(MID(raw_data!B763,6,2)),VALUE(RIGHT(raw_data!B763,2))),DATE(VALUE(RIGHT(raw_data!B763,4)),MATCH(MID(raw_data!B763,4,3),{"Jan","Feb","Mar","Apr","May","Jun","Jul","Aug","Sep","Oct","Nov","Dec"},0),VALUE(LEFT(raw_data!B763,2)))))),"")</f>
        <v>45896</v>
      </c>
      <c r="C763" s="4" t="n">
        <f aca="false">IFERROR(IF(MID(raw_data!C763,3,1)="/",DATE(VALUE(RIGHT(raw_data!C763,4)),VALUE(LEFT(raw_data!C763,2)),VALUE(MID(raw_data!C763,4,2))),IF(MID(raw_data!C763,3,1)="-",DATE(VALUE(RIGHT(raw_data!C763,4)),VALUE(MID(raw_data!C763,4,2)),VALUE(LEFT(raw_data!C763,2))),IF(MID(raw_data!C763,5,1)="-",DATE(VALUE(LEFT(raw_data!C763,4)),VALUE(MID(raw_data!C763,6,2)),VALUE(RIGHT(raw_data!C763,2))),DATE(VALUE(RIGHT(raw_data!C763,4)),MATCH(MID(raw_data!C763,4,3),{"Jan","Feb","Mar","Apr","May","Jun","Jul","Aug","Sep","Oct","Nov","Dec"},0),VALUE(LEFT(raw_data!C763,2)))))),"")</f>
        <v>45900</v>
      </c>
      <c r="D763" s="3" t="str">
        <f aca="false">IF(TRIM(raw_data!B763)="","Missing",IF(B763="","Invalid/Unrecognized","Valid"))</f>
        <v>Valid</v>
      </c>
      <c r="E763" s="3" t="str">
        <f aca="false">IF(TRIM(raw_data!C763)="","Missing",IF(C763="","Invalid/Unrecognized","Valid"))</f>
        <v>Valid</v>
      </c>
      <c r="F763" s="5" t="n">
        <f aca="false">IF(OR(B763="",C763=""),"",C763-B763)</f>
        <v>4</v>
      </c>
      <c r="G763" s="3" t="str">
        <f aca="false">IF(F763="","N/A",IF(F763&lt;0,"Invalid - Ship Before Order","OK"))</f>
        <v>OK</v>
      </c>
      <c r="H763" s="3" t="str">
        <f aca="false">raw_data!D763</f>
        <v>CUST-8948</v>
      </c>
      <c r="I763" s="3" t="str">
        <f aca="false">PROPER(TRIM(raw_data!E763))</f>
        <v>Isha Nair</v>
      </c>
      <c r="J763" s="3" t="str">
        <f aca="false">PROPER(TRIM(raw_data!F763))</f>
        <v>Consumer</v>
      </c>
      <c r="K763" s="3" t="str">
        <f aca="false">IF(TRIM(raw_data!G763)="","Unknown",PROPER(TRIM(raw_data!G763)))</f>
        <v>South</v>
      </c>
      <c r="L763" s="3" t="str">
        <f aca="false">IF(TRIM(raw_data!G763)="","Filled - Unknown","OK")</f>
        <v>OK</v>
      </c>
      <c r="M763" s="3" t="str">
        <f aca="false">PROPER(TRIM(raw_data!H763))</f>
        <v>Karnataka</v>
      </c>
      <c r="N763" s="3" t="str">
        <f aca="false">PROPER(TRIM(raw_data!I763))</f>
        <v>Bengaluru</v>
      </c>
      <c r="O763" s="3" t="str">
        <f aca="false">PROPER(TRIM(raw_data!J763))</f>
        <v>Technology</v>
      </c>
      <c r="P763" s="3" t="str">
        <f aca="false">PROPER(TRIM(raw_data!K763))</f>
        <v>Machines</v>
      </c>
      <c r="Q763" s="3" t="str">
        <f aca="false">TRIM(raw_data!L763)</f>
        <v>Max Machines 364</v>
      </c>
      <c r="R763" s="3" t="str">
        <f aca="false">IF(TRIM(raw_data!M763)="","Unknown",PROPER(TRIM(raw_data!M763)))</f>
        <v>First Class</v>
      </c>
      <c r="S763" s="3" t="str">
        <f aca="false">IF(TRIM(raw_data!M763)="","Filled - Unknown","OK")</f>
        <v>OK</v>
      </c>
      <c r="T763" s="6" t="n">
        <f aca="false">raw_data!N763</f>
        <v>3</v>
      </c>
      <c r="U763" s="7" t="n">
        <f aca="false">raw_data!O763</f>
        <v>2489.12</v>
      </c>
      <c r="V763" s="8" t="n">
        <f aca="false">raw_data!P763</f>
        <v>0</v>
      </c>
      <c r="W763" s="8" t="n">
        <f aca="false">IF(raw_data!P763="",0,IF(ISTEXT(raw_data!P763),IF(RIGHT(raw_data!P763,1)="%",VALUE(LEFT(raw_data!P763,LEN(raw_data!P763)-1))/100,VALUE(raw_data!P763)),raw_data!P763))</f>
        <v>0</v>
      </c>
      <c r="X763" s="3" t="str">
        <f aca="false">IF(raw_data!P763="","Missing - Defaulted to 0",IF(W763&lt;0,"Negative - Invalid",IF(W763&gt;0.3,"Above Allowed Range - Invalid","Valid")))</f>
        <v>Valid</v>
      </c>
      <c r="Y763" s="7" t="n">
        <f aca="false">raw_data!Q763</f>
        <v>7467.36</v>
      </c>
      <c r="Z763" s="7" t="n">
        <f aca="false">raw_data!R763</f>
        <v>5010.61</v>
      </c>
      <c r="AA763" s="7" t="n">
        <f aca="false">raw_data!S763</f>
        <v>2456.75</v>
      </c>
      <c r="AB763" s="3" t="str">
        <f aca="false">PROPER(TRIM(raw_data!T763))</f>
        <v>Paid</v>
      </c>
      <c r="AC763" s="3" t="str">
        <f aca="false">PROPER(TRIM(raw_data!U763))</f>
        <v>Completed</v>
      </c>
      <c r="AD763" s="7" t="n">
        <f aca="false">T763*U763*(1-W763)</f>
        <v>7467.36</v>
      </c>
      <c r="AE763" s="7" t="n">
        <f aca="false">AD763-Z763</f>
        <v>2456.75</v>
      </c>
      <c r="AF763" s="8" t="n">
        <f aca="false">IF(AD763=0,0,AE763/AD763)</f>
        <v>0.3289984679994</v>
      </c>
      <c r="AG763" s="3" t="str">
        <f aca="false">IF(ABS(Y763-AD763)&gt;1,"Mismatch","OK")</f>
        <v>OK</v>
      </c>
      <c r="AH763" s="3" t="str">
        <f aca="false">IF(ABS(AA763-AE763)&gt;1,"Mismatch","OK")</f>
        <v>OK</v>
      </c>
      <c r="AI763" s="6" t="n">
        <f aca="false">IF(B763="","",MONTH(B763))</f>
        <v>8</v>
      </c>
      <c r="AJ763" s="6" t="n">
        <f aca="false">IF(B763="","",YEAR(B763))</f>
        <v>2025</v>
      </c>
      <c r="AK763" s="3" t="str">
        <f aca="false">IF(COUNTIF(raw_data!$A$2:$A$913,A763)&gt;1,"Conflicting Duplicate - Flagged for Review","Unique")</f>
        <v>Unique</v>
      </c>
      <c r="AL763" s="3" t="str">
        <f aca="false">IF(AB763="Refunded","Yes","No")</f>
        <v>No</v>
      </c>
      <c r="AM763" s="3" t="str">
        <f aca="false">IF(OR(AC763&lt;&gt;"Completed",AB763="Failed"),"Excluded","Included")</f>
        <v>Included</v>
      </c>
      <c r="AN763" s="3" t="str">
        <f aca="false">IF(OR(D763="Invalid/Unrecognized",E763="Invalid/Unrecognized",G763="Invalid - Ship Before Order",X763="Negative - Invalid",X763="Above Allowed Range - Invalid",AG763="Mismatch",AH763="Mismatch",AK763="Conflicting Duplicate - Flagged for Review"),"Invalid",IF(OR(L763="Filled - Unknown",S763="Filled - Unknown",X763="Missing - Defaulted to 0",AL763="Yes",AC763="Cancelled",AC763="Returned"),"Warning","Clean"))</f>
        <v>Clean</v>
      </c>
    </row>
    <row r="764" customFormat="false" ht="15" hidden="false" customHeight="false" outlineLevel="0" collapsed="false">
      <c r="A764" s="3" t="str">
        <f aca="false">raw_data!A764</f>
        <v>ORD-2024-10763</v>
      </c>
      <c r="B764" s="4" t="n">
        <f aca="false">IFERROR(IF(MID(raw_data!B764,3,1)="/",DATE(VALUE(RIGHT(raw_data!B764,4)),VALUE(LEFT(raw_data!B764,2)),VALUE(MID(raw_data!B764,4,2))),IF(MID(raw_data!B764,3,1)="-",DATE(VALUE(RIGHT(raw_data!B764,4)),VALUE(MID(raw_data!B764,4,2)),VALUE(LEFT(raw_data!B764,2))),IF(MID(raw_data!B764,5,1)="-",DATE(VALUE(LEFT(raw_data!B764,4)),VALUE(MID(raw_data!B764,6,2)),VALUE(RIGHT(raw_data!B764,2))),DATE(VALUE(RIGHT(raw_data!B764,4)),MATCH(MID(raw_data!B764,4,3),{"Jan","Feb","Mar","Apr","May","Jun","Jul","Aug","Sep","Oct","Nov","Dec"},0),VALUE(LEFT(raw_data!B764,2)))))),"")</f>
        <v>45292</v>
      </c>
      <c r="C764" s="4" t="n">
        <f aca="false">IFERROR(IF(MID(raw_data!C764,3,1)="/",DATE(VALUE(RIGHT(raw_data!C764,4)),VALUE(LEFT(raw_data!C764,2)),VALUE(MID(raw_data!C764,4,2))),IF(MID(raw_data!C764,3,1)="-",DATE(VALUE(RIGHT(raw_data!C764,4)),VALUE(MID(raw_data!C764,4,2)),VALUE(LEFT(raw_data!C764,2))),IF(MID(raw_data!C764,5,1)="-",DATE(VALUE(LEFT(raw_data!C764,4)),VALUE(MID(raw_data!C764,6,2)),VALUE(RIGHT(raw_data!C764,2))),DATE(VALUE(RIGHT(raw_data!C764,4)),MATCH(MID(raw_data!C764,4,3),{"Jan","Feb","Mar","Apr","May","Jun","Jul","Aug","Sep","Oct","Nov","Dec"},0),VALUE(LEFT(raw_data!C764,2)))))),"")</f>
        <v>45296</v>
      </c>
      <c r="D764" s="3" t="str">
        <f aca="false">IF(TRIM(raw_data!B764)="","Missing",IF(B764="","Invalid/Unrecognized","Valid"))</f>
        <v>Valid</v>
      </c>
      <c r="E764" s="3" t="str">
        <f aca="false">IF(TRIM(raw_data!C764)="","Missing",IF(C764="","Invalid/Unrecognized","Valid"))</f>
        <v>Valid</v>
      </c>
      <c r="F764" s="5" t="n">
        <f aca="false">IF(OR(B764="",C764=""),"",C764-B764)</f>
        <v>4</v>
      </c>
      <c r="G764" s="3" t="str">
        <f aca="false">IF(F764="","N/A",IF(F764&lt;0,"Invalid - Ship Before Order","OK"))</f>
        <v>OK</v>
      </c>
      <c r="H764" s="3" t="str">
        <f aca="false">raw_data!D764</f>
        <v>CUST-6921</v>
      </c>
      <c r="I764" s="3" t="str">
        <f aca="false">PROPER(TRIM(raw_data!E764))</f>
        <v>Diya Patel</v>
      </c>
      <c r="J764" s="3" t="str">
        <f aca="false">PROPER(TRIM(raw_data!F764))</f>
        <v>Corporate</v>
      </c>
      <c r="K764" s="3" t="str">
        <f aca="false">IF(TRIM(raw_data!G764)="","Unknown",PROPER(TRIM(raw_data!G764)))</f>
        <v>West</v>
      </c>
      <c r="L764" s="3" t="str">
        <f aca="false">IF(TRIM(raw_data!G764)="","Filled - Unknown","OK")</f>
        <v>OK</v>
      </c>
      <c r="M764" s="3" t="str">
        <f aca="false">PROPER(TRIM(raw_data!H764))</f>
        <v>Madhya Pradesh</v>
      </c>
      <c r="N764" s="3" t="str">
        <f aca="false">PROPER(TRIM(raw_data!I764))</f>
        <v>Indore</v>
      </c>
      <c r="O764" s="3" t="str">
        <f aca="false">PROPER(TRIM(raw_data!J764))</f>
        <v>Technology</v>
      </c>
      <c r="P764" s="3" t="str">
        <f aca="false">PROPER(TRIM(raw_data!K764))</f>
        <v>Machines</v>
      </c>
      <c r="Q764" s="3" t="str">
        <f aca="false">TRIM(raw_data!L764)</f>
        <v>Classic Machines 122</v>
      </c>
      <c r="R764" s="3" t="str">
        <f aca="false">IF(TRIM(raw_data!M764)="","Unknown",PROPER(TRIM(raw_data!M764)))</f>
        <v>Second Class</v>
      </c>
      <c r="S764" s="3" t="str">
        <f aca="false">IF(TRIM(raw_data!M764)="","Filled - Unknown","OK")</f>
        <v>OK</v>
      </c>
      <c r="T764" s="6" t="n">
        <f aca="false">raw_data!N764</f>
        <v>2</v>
      </c>
      <c r="U764" s="7" t="n">
        <f aca="false">raw_data!O764</f>
        <v>3694.12</v>
      </c>
      <c r="V764" s="8" t="n">
        <f aca="false">raw_data!P764</f>
        <v>0.2</v>
      </c>
      <c r="W764" s="8" t="n">
        <f aca="false">IF(raw_data!P764="",0,IF(ISTEXT(raw_data!P764),IF(RIGHT(raw_data!P764,1)="%",VALUE(LEFT(raw_data!P764,LEN(raw_data!P764)-1))/100,VALUE(raw_data!P764)),raw_data!P764))</f>
        <v>0.2</v>
      </c>
      <c r="X764" s="3" t="str">
        <f aca="false">IF(raw_data!P764="","Missing - Defaulted to 0",IF(W764&lt;0,"Negative - Invalid",IF(W764&gt;0.3,"Above Allowed Range - Invalid","Valid")))</f>
        <v>Valid</v>
      </c>
      <c r="Y764" s="7" t="n">
        <f aca="false">raw_data!Q764</f>
        <v>5910.59</v>
      </c>
      <c r="Z764" s="7" t="n">
        <f aca="false">raw_data!R764</f>
        <v>4775.44</v>
      </c>
      <c r="AA764" s="7" t="n">
        <f aca="false">raw_data!S764</f>
        <v>1135.15</v>
      </c>
      <c r="AB764" s="3" t="str">
        <f aca="false">PROPER(TRIM(raw_data!T764))</f>
        <v>Refunded</v>
      </c>
      <c r="AC764" s="3" t="str">
        <f aca="false">PROPER(TRIM(raw_data!U764))</f>
        <v>Returned</v>
      </c>
      <c r="AD764" s="7" t="n">
        <f aca="false">T764*U764*(1-W764)</f>
        <v>5910.592</v>
      </c>
      <c r="AE764" s="7" t="n">
        <f aca="false">AD764-Z764</f>
        <v>1135.152</v>
      </c>
      <c r="AF764" s="8" t="n">
        <f aca="false">IF(AD764=0,0,AE764/AD764)</f>
        <v>0.192053858564421</v>
      </c>
      <c r="AG764" s="3" t="str">
        <f aca="false">IF(ABS(Y764-AD764)&gt;1,"Mismatch","OK")</f>
        <v>OK</v>
      </c>
      <c r="AH764" s="3" t="str">
        <f aca="false">IF(ABS(AA764-AE764)&gt;1,"Mismatch","OK")</f>
        <v>OK</v>
      </c>
      <c r="AI764" s="6" t="n">
        <f aca="false">IF(B764="","",MONTH(B764))</f>
        <v>1</v>
      </c>
      <c r="AJ764" s="6" t="n">
        <f aca="false">IF(B764="","",YEAR(B764))</f>
        <v>2024</v>
      </c>
      <c r="AK764" s="3" t="str">
        <f aca="false">IF(COUNTIF(raw_data!$A$2:$A$913,A764)&gt;1,"Conflicting Duplicate - Flagged for Review","Unique")</f>
        <v>Unique</v>
      </c>
      <c r="AL764" s="3" t="str">
        <f aca="false">IF(AB764="Refunded","Yes","No")</f>
        <v>Yes</v>
      </c>
      <c r="AM764" s="3" t="str">
        <f aca="false">IF(OR(AC764&lt;&gt;"Completed",AB764="Failed"),"Excluded","Included")</f>
        <v>Excluded</v>
      </c>
      <c r="AN764" s="3" t="str">
        <f aca="false">IF(OR(D764="Invalid/Unrecognized",E764="Invalid/Unrecognized",G764="Invalid - Ship Before Order",X764="Negative - Invalid",X764="Above Allowed Range - Invalid",AG764="Mismatch",AH764="Mismatch",AK764="Conflicting Duplicate - Flagged for Review"),"Invalid",IF(OR(L764="Filled - Unknown",S764="Filled - Unknown",X764="Missing - Defaulted to 0",AL764="Yes",AC764="Cancelled",AC764="Returned"),"Warning","Clean"))</f>
        <v>Warning</v>
      </c>
    </row>
    <row r="765" customFormat="false" ht="15" hidden="false" customHeight="false" outlineLevel="0" collapsed="false">
      <c r="A765" s="3" t="str">
        <f aca="false">raw_data!A765</f>
        <v>ORD-2025-10764</v>
      </c>
      <c r="B765" s="4" t="n">
        <f aca="false">IFERROR(IF(MID(raw_data!B765,3,1)="/",DATE(VALUE(RIGHT(raw_data!B765,4)),VALUE(LEFT(raw_data!B765,2)),VALUE(MID(raw_data!B765,4,2))),IF(MID(raw_data!B765,3,1)="-",DATE(VALUE(RIGHT(raw_data!B765,4)),VALUE(MID(raw_data!B765,4,2)),VALUE(LEFT(raw_data!B765,2))),IF(MID(raw_data!B765,5,1)="-",DATE(VALUE(LEFT(raw_data!B765,4)),VALUE(MID(raw_data!B765,6,2)),VALUE(RIGHT(raw_data!B765,2))),DATE(VALUE(RIGHT(raw_data!B765,4)),MATCH(MID(raw_data!B765,4,3),{"Jan","Feb","Mar","Apr","May","Jun","Jul","Aug","Sep","Oct","Nov","Dec"},0),VALUE(LEFT(raw_data!B765,2)))))),"")</f>
        <v>45892</v>
      </c>
      <c r="C765" s="4" t="n">
        <f aca="false">IFERROR(IF(MID(raw_data!C765,3,1)="/",DATE(VALUE(RIGHT(raw_data!C765,4)),VALUE(LEFT(raw_data!C765,2)),VALUE(MID(raw_data!C765,4,2))),IF(MID(raw_data!C765,3,1)="-",DATE(VALUE(RIGHT(raw_data!C765,4)),VALUE(MID(raw_data!C765,4,2)),VALUE(LEFT(raw_data!C765,2))),IF(MID(raw_data!C765,5,1)="-",DATE(VALUE(LEFT(raw_data!C765,4)),VALUE(MID(raw_data!C765,6,2)),VALUE(RIGHT(raw_data!C765,2))),DATE(VALUE(RIGHT(raw_data!C765,4)),MATCH(MID(raw_data!C765,4,3),{"Jan","Feb","Mar","Apr","May","Jun","Jul","Aug","Sep","Oct","Nov","Dec"},0),VALUE(LEFT(raw_data!C765,2)))))),"")</f>
        <v>45894</v>
      </c>
      <c r="D765" s="3" t="str">
        <f aca="false">IF(TRIM(raw_data!B765)="","Missing",IF(B765="","Invalid/Unrecognized","Valid"))</f>
        <v>Valid</v>
      </c>
      <c r="E765" s="3" t="str">
        <f aca="false">IF(TRIM(raw_data!C765)="","Missing",IF(C765="","Invalid/Unrecognized","Valid"))</f>
        <v>Valid</v>
      </c>
      <c r="F765" s="5" t="n">
        <f aca="false">IF(OR(B765="",C765=""),"",C765-B765)</f>
        <v>2</v>
      </c>
      <c r="G765" s="3" t="str">
        <f aca="false">IF(F765="","N/A",IF(F765&lt;0,"Invalid - Ship Before Order","OK"))</f>
        <v>OK</v>
      </c>
      <c r="H765" s="3" t="str">
        <f aca="false">raw_data!D765</f>
        <v>CUST-4086</v>
      </c>
      <c r="I765" s="3" t="str">
        <f aca="false">PROPER(TRIM(raw_data!E765))</f>
        <v>Diya Patel</v>
      </c>
      <c r="J765" s="3" t="str">
        <f aca="false">PROPER(TRIM(raw_data!F765))</f>
        <v>Consumer</v>
      </c>
      <c r="K765" s="3" t="str">
        <f aca="false">IF(TRIM(raw_data!G765)="","Unknown",PROPER(TRIM(raw_data!G765)))</f>
        <v>North</v>
      </c>
      <c r="L765" s="3" t="str">
        <f aca="false">IF(TRIM(raw_data!G765)="","Filled - Unknown","OK")</f>
        <v>OK</v>
      </c>
      <c r="M765" s="3" t="str">
        <f aca="false">PROPER(TRIM(raw_data!H765))</f>
        <v>Rajasthan</v>
      </c>
      <c r="N765" s="3" t="str">
        <f aca="false">PROPER(TRIM(raw_data!I765))</f>
        <v>Jaipur</v>
      </c>
      <c r="O765" s="3" t="str">
        <f aca="false">PROPER(TRIM(raw_data!J765))</f>
        <v>Furniture</v>
      </c>
      <c r="P765" s="3" t="str">
        <f aca="false">PROPER(TRIM(raw_data!K765))</f>
        <v>Furnishings</v>
      </c>
      <c r="Q765" s="3" t="str">
        <f aca="false">TRIM(raw_data!L765)</f>
        <v>Elite Furnishings 169</v>
      </c>
      <c r="R765" s="3" t="str">
        <f aca="false">IF(TRIM(raw_data!M765)="","Unknown",PROPER(TRIM(raw_data!M765)))</f>
        <v>Same Day</v>
      </c>
      <c r="S765" s="3" t="str">
        <f aca="false">IF(TRIM(raw_data!M765)="","Filled - Unknown","OK")</f>
        <v>OK</v>
      </c>
      <c r="T765" s="6" t="n">
        <f aca="false">raw_data!N765</f>
        <v>6</v>
      </c>
      <c r="U765" s="7" t="n">
        <f aca="false">raw_data!O765</f>
        <v>2742.48</v>
      </c>
      <c r="V765" s="8" t="n">
        <f aca="false">raw_data!P765</f>
        <v>0</v>
      </c>
      <c r="W765" s="8" t="n">
        <f aca="false">IF(raw_data!P765="",0,IF(ISTEXT(raw_data!P765),IF(RIGHT(raw_data!P765,1)="%",VALUE(LEFT(raw_data!P765,LEN(raw_data!P765)-1))/100,VALUE(raw_data!P765)),raw_data!P765))</f>
        <v>0</v>
      </c>
      <c r="X765" s="3" t="str">
        <f aca="false">IF(raw_data!P765="","Missing - Defaulted to 0",IF(W765&lt;0,"Negative - Invalid",IF(W765&gt;0.3,"Above Allowed Range - Invalid","Valid")))</f>
        <v>Valid</v>
      </c>
      <c r="Y765" s="7" t="n">
        <f aca="false">raw_data!Q765</f>
        <v>16454.88</v>
      </c>
      <c r="Z765" s="7" t="n">
        <f aca="false">raw_data!R765</f>
        <v>12081.54</v>
      </c>
      <c r="AA765" s="7" t="n">
        <f aca="false">raw_data!S765</f>
        <v>4373.34</v>
      </c>
      <c r="AB765" s="3" t="str">
        <f aca="false">PROPER(TRIM(raw_data!T765))</f>
        <v>Paid</v>
      </c>
      <c r="AC765" s="3" t="str">
        <f aca="false">PROPER(TRIM(raw_data!U765))</f>
        <v>Completed</v>
      </c>
      <c r="AD765" s="7" t="n">
        <f aca="false">T765*U765*(1-W765)</f>
        <v>16454.88</v>
      </c>
      <c r="AE765" s="7" t="n">
        <f aca="false">AD765-Z765</f>
        <v>4373.34</v>
      </c>
      <c r="AF765" s="8" t="n">
        <f aca="false">IF(AD765=0,0,AE765/AD765)</f>
        <v>0.265777690265745</v>
      </c>
      <c r="AG765" s="3" t="str">
        <f aca="false">IF(ABS(Y765-AD765)&gt;1,"Mismatch","OK")</f>
        <v>OK</v>
      </c>
      <c r="AH765" s="3" t="str">
        <f aca="false">IF(ABS(AA765-AE765)&gt;1,"Mismatch","OK")</f>
        <v>OK</v>
      </c>
      <c r="AI765" s="6" t="n">
        <f aca="false">IF(B765="","",MONTH(B765))</f>
        <v>8</v>
      </c>
      <c r="AJ765" s="6" t="n">
        <f aca="false">IF(B765="","",YEAR(B765))</f>
        <v>2025</v>
      </c>
      <c r="AK765" s="3" t="str">
        <f aca="false">IF(COUNTIF(raw_data!$A$2:$A$913,A765)&gt;1,"Conflicting Duplicate - Flagged for Review","Unique")</f>
        <v>Unique</v>
      </c>
      <c r="AL765" s="3" t="str">
        <f aca="false">IF(AB765="Refunded","Yes","No")</f>
        <v>No</v>
      </c>
      <c r="AM765" s="3" t="str">
        <f aca="false">IF(OR(AC765&lt;&gt;"Completed",AB765="Failed"),"Excluded","Included")</f>
        <v>Included</v>
      </c>
      <c r="AN765" s="3" t="str">
        <f aca="false">IF(OR(D765="Invalid/Unrecognized",E765="Invalid/Unrecognized",G765="Invalid - Ship Before Order",X765="Negative - Invalid",X765="Above Allowed Range - Invalid",AG765="Mismatch",AH765="Mismatch",AK765="Conflicting Duplicate - Flagged for Review"),"Invalid",IF(OR(L765="Filled - Unknown",S765="Filled - Unknown",X765="Missing - Defaulted to 0",AL765="Yes",AC765="Cancelled",AC765="Returned"),"Warning","Clean"))</f>
        <v>Clean</v>
      </c>
    </row>
    <row r="766" customFormat="false" ht="15" hidden="false" customHeight="false" outlineLevel="0" collapsed="false">
      <c r="A766" s="3" t="str">
        <f aca="false">raw_data!A766</f>
        <v>ORD-2025-10765</v>
      </c>
      <c r="B766" s="4" t="n">
        <f aca="false">IFERROR(IF(MID(raw_data!B766,3,1)="/",DATE(VALUE(RIGHT(raw_data!B766,4)),VALUE(LEFT(raw_data!B766,2)),VALUE(MID(raw_data!B766,4,2))),IF(MID(raw_data!B766,3,1)="-",DATE(VALUE(RIGHT(raw_data!B766,4)),VALUE(MID(raw_data!B766,4,2)),VALUE(LEFT(raw_data!B766,2))),IF(MID(raw_data!B766,5,1)="-",DATE(VALUE(LEFT(raw_data!B766,4)),VALUE(MID(raw_data!B766,6,2)),VALUE(RIGHT(raw_data!B766,2))),DATE(VALUE(RIGHT(raw_data!B766,4)),MATCH(MID(raw_data!B766,4,3),{"Jan","Feb","Mar","Apr","May","Jun","Jul","Aug","Sep","Oct","Nov","Dec"},0),VALUE(LEFT(raw_data!B766,2)))))),"")</f>
        <v>45760</v>
      </c>
      <c r="C766" s="4" t="n">
        <f aca="false">IFERROR(IF(MID(raw_data!C766,3,1)="/",DATE(VALUE(RIGHT(raw_data!C766,4)),VALUE(LEFT(raw_data!C766,2)),VALUE(MID(raw_data!C766,4,2))),IF(MID(raw_data!C766,3,1)="-",DATE(VALUE(RIGHT(raw_data!C766,4)),VALUE(MID(raw_data!C766,4,2)),VALUE(LEFT(raw_data!C766,2))),IF(MID(raw_data!C766,5,1)="-",DATE(VALUE(LEFT(raw_data!C766,4)),VALUE(MID(raw_data!C766,6,2)),VALUE(RIGHT(raw_data!C766,2))),DATE(VALUE(RIGHT(raw_data!C766,4)),MATCH(MID(raw_data!C766,4,3),{"Jan","Feb","Mar","Apr","May","Jun","Jul","Aug","Sep","Oct","Nov","Dec"},0),VALUE(LEFT(raw_data!C766,2)))))),"")</f>
        <v>45760</v>
      </c>
      <c r="D766" s="3" t="str">
        <f aca="false">IF(TRIM(raw_data!B766)="","Missing",IF(B766="","Invalid/Unrecognized","Valid"))</f>
        <v>Valid</v>
      </c>
      <c r="E766" s="3" t="str">
        <f aca="false">IF(TRIM(raw_data!C766)="","Missing",IF(C766="","Invalid/Unrecognized","Valid"))</f>
        <v>Valid</v>
      </c>
      <c r="F766" s="5" t="n">
        <f aca="false">IF(OR(B766="",C766=""),"",C766-B766)</f>
        <v>0</v>
      </c>
      <c r="G766" s="3" t="str">
        <f aca="false">IF(F766="","N/A",IF(F766&lt;0,"Invalid - Ship Before Order","OK"))</f>
        <v>OK</v>
      </c>
      <c r="H766" s="3" t="str">
        <f aca="false">raw_data!D766</f>
        <v>CUST-5174</v>
      </c>
      <c r="I766" s="3" t="str">
        <f aca="false">PROPER(TRIM(raw_data!E766))</f>
        <v>Priya Menon</v>
      </c>
      <c r="J766" s="3" t="str">
        <f aca="false">PROPER(TRIM(raw_data!F766))</f>
        <v>Corporate</v>
      </c>
      <c r="K766" s="3" t="str">
        <f aca="false">IF(TRIM(raw_data!G766)="","Unknown",PROPER(TRIM(raw_data!G766)))</f>
        <v>South</v>
      </c>
      <c r="L766" s="3" t="str">
        <f aca="false">IF(TRIM(raw_data!G766)="","Filled - Unknown","OK")</f>
        <v>OK</v>
      </c>
      <c r="M766" s="3" t="str">
        <f aca="false">PROPER(TRIM(raw_data!H766))</f>
        <v>Kerala</v>
      </c>
      <c r="N766" s="3" t="str">
        <f aca="false">PROPER(TRIM(raw_data!I766))</f>
        <v>Kochi</v>
      </c>
      <c r="O766" s="3" t="str">
        <f aca="false">PROPER(TRIM(raw_data!J766))</f>
        <v>Furniture</v>
      </c>
      <c r="P766" s="3" t="str">
        <f aca="false">PROPER(TRIM(raw_data!K766))</f>
        <v>Bookcases</v>
      </c>
      <c r="Q766" s="3" t="str">
        <f aca="false">TRIM(raw_data!L766)</f>
        <v>Pro Bookcases 615</v>
      </c>
      <c r="R766" s="3" t="str">
        <f aca="false">IF(TRIM(raw_data!M766)="","Unknown",PROPER(TRIM(raw_data!M766)))</f>
        <v>First Class</v>
      </c>
      <c r="S766" s="3" t="str">
        <f aca="false">IF(TRIM(raw_data!M766)="","Filled - Unknown","OK")</f>
        <v>OK</v>
      </c>
      <c r="T766" s="6" t="n">
        <f aca="false">raw_data!N766</f>
        <v>6</v>
      </c>
      <c r="U766" s="7" t="n">
        <f aca="false">raw_data!O766</f>
        <v>4414</v>
      </c>
      <c r="V766" s="8" t="n">
        <f aca="false">raw_data!P766</f>
        <v>0.05</v>
      </c>
      <c r="W766" s="8" t="n">
        <f aca="false">IF(raw_data!P766="",0,IF(ISTEXT(raw_data!P766),IF(RIGHT(raw_data!P766,1)="%",VALUE(LEFT(raw_data!P766,LEN(raw_data!P766)-1))/100,VALUE(raw_data!P766)),raw_data!P766))</f>
        <v>0.05</v>
      </c>
      <c r="X766" s="3" t="str">
        <f aca="false">IF(raw_data!P766="","Missing - Defaulted to 0",IF(W766&lt;0,"Negative - Invalid",IF(W766&gt;0.3,"Above Allowed Range - Invalid","Valid")))</f>
        <v>Valid</v>
      </c>
      <c r="Y766" s="7" t="n">
        <f aca="false">raw_data!Q766</f>
        <v>25159.8</v>
      </c>
      <c r="Z766" s="7" t="n">
        <f aca="false">raw_data!R766</f>
        <v>21606.83</v>
      </c>
      <c r="AA766" s="7" t="n">
        <f aca="false">raw_data!S766</f>
        <v>3552.97</v>
      </c>
      <c r="AB766" s="3" t="str">
        <f aca="false">PROPER(TRIM(raw_data!T766))</f>
        <v>Paid</v>
      </c>
      <c r="AC766" s="3" t="str">
        <f aca="false">PROPER(TRIM(raw_data!U766))</f>
        <v>Completed</v>
      </c>
      <c r="AD766" s="7" t="n">
        <f aca="false">T766*U766*(1-W766)</f>
        <v>25159.8</v>
      </c>
      <c r="AE766" s="7" t="n">
        <f aca="false">AD766-Z766</f>
        <v>3552.97</v>
      </c>
      <c r="AF766" s="8" t="n">
        <f aca="false">IF(AD766=0,0,AE766/AD766)</f>
        <v>0.141216146392261</v>
      </c>
      <c r="AG766" s="3" t="str">
        <f aca="false">IF(ABS(Y766-AD766)&gt;1,"Mismatch","OK")</f>
        <v>OK</v>
      </c>
      <c r="AH766" s="3" t="str">
        <f aca="false">IF(ABS(AA766-AE766)&gt;1,"Mismatch","OK")</f>
        <v>OK</v>
      </c>
      <c r="AI766" s="6" t="n">
        <f aca="false">IF(B766="","",MONTH(B766))</f>
        <v>4</v>
      </c>
      <c r="AJ766" s="6" t="n">
        <f aca="false">IF(B766="","",YEAR(B766))</f>
        <v>2025</v>
      </c>
      <c r="AK766" s="3" t="str">
        <f aca="false">IF(COUNTIF(raw_data!$A$2:$A$913,A766)&gt;1,"Conflicting Duplicate - Flagged for Review","Unique")</f>
        <v>Unique</v>
      </c>
      <c r="AL766" s="3" t="str">
        <f aca="false">IF(AB766="Refunded","Yes","No")</f>
        <v>No</v>
      </c>
      <c r="AM766" s="3" t="str">
        <f aca="false">IF(OR(AC766&lt;&gt;"Completed",AB766="Failed"),"Excluded","Included")</f>
        <v>Included</v>
      </c>
      <c r="AN766" s="3" t="str">
        <f aca="false">IF(OR(D766="Invalid/Unrecognized",E766="Invalid/Unrecognized",G766="Invalid - Ship Before Order",X766="Negative - Invalid",X766="Above Allowed Range - Invalid",AG766="Mismatch",AH766="Mismatch",AK766="Conflicting Duplicate - Flagged for Review"),"Invalid",IF(OR(L766="Filled - Unknown",S766="Filled - Unknown",X766="Missing - Defaulted to 0",AL766="Yes",AC766="Cancelled",AC766="Returned"),"Warning","Clean"))</f>
        <v>Clean</v>
      </c>
    </row>
    <row r="767" customFormat="false" ht="15" hidden="false" customHeight="false" outlineLevel="0" collapsed="false">
      <c r="A767" s="3" t="str">
        <f aca="false">raw_data!A767</f>
        <v>ORD-2025-10766</v>
      </c>
      <c r="B767" s="4" t="n">
        <f aca="false">IFERROR(IF(MID(raw_data!B767,3,1)="/",DATE(VALUE(RIGHT(raw_data!B767,4)),VALUE(LEFT(raw_data!B767,2)),VALUE(MID(raw_data!B767,4,2))),IF(MID(raw_data!B767,3,1)="-",DATE(VALUE(RIGHT(raw_data!B767,4)),VALUE(MID(raw_data!B767,4,2)),VALUE(LEFT(raw_data!B767,2))),IF(MID(raw_data!B767,5,1)="-",DATE(VALUE(LEFT(raw_data!B767,4)),VALUE(MID(raw_data!B767,6,2)),VALUE(RIGHT(raw_data!B767,2))),DATE(VALUE(RIGHT(raw_data!B767,4)),MATCH(MID(raw_data!B767,4,3),{"Jan","Feb","Mar","Apr","May","Jun","Jul","Aug","Sep","Oct","Nov","Dec"},0),VALUE(LEFT(raw_data!B767,2)))))),"")</f>
        <v>45837</v>
      </c>
      <c r="C767" s="4" t="n">
        <f aca="false">IFERROR(IF(MID(raw_data!C767,3,1)="/",DATE(VALUE(RIGHT(raw_data!C767,4)),VALUE(LEFT(raw_data!C767,2)),VALUE(MID(raw_data!C767,4,2))),IF(MID(raw_data!C767,3,1)="-",DATE(VALUE(RIGHT(raw_data!C767,4)),VALUE(MID(raw_data!C767,4,2)),VALUE(LEFT(raw_data!C767,2))),IF(MID(raw_data!C767,5,1)="-",DATE(VALUE(LEFT(raw_data!C767,4)),VALUE(MID(raw_data!C767,6,2)),VALUE(RIGHT(raw_data!C767,2))),DATE(VALUE(RIGHT(raw_data!C767,4)),MATCH(MID(raw_data!C767,4,3),{"Jan","Feb","Mar","Apr","May","Jun","Jul","Aug","Sep","Oct","Nov","Dec"},0),VALUE(LEFT(raw_data!C767,2)))))),"")</f>
        <v>45841</v>
      </c>
      <c r="D767" s="3" t="str">
        <f aca="false">IF(TRIM(raw_data!B767)="","Missing",IF(B767="","Invalid/Unrecognized","Valid"))</f>
        <v>Valid</v>
      </c>
      <c r="E767" s="3" t="str">
        <f aca="false">IF(TRIM(raw_data!C767)="","Missing",IF(C767="","Invalid/Unrecognized","Valid"))</f>
        <v>Valid</v>
      </c>
      <c r="F767" s="5" t="n">
        <f aca="false">IF(OR(B767="",C767=""),"",C767-B767)</f>
        <v>4</v>
      </c>
      <c r="G767" s="3" t="str">
        <f aca="false">IF(F767="","N/A",IF(F767&lt;0,"Invalid - Ship Before Order","OK"))</f>
        <v>OK</v>
      </c>
      <c r="H767" s="3" t="str">
        <f aca="false">raw_data!D767</f>
        <v>CUST-8747</v>
      </c>
      <c r="I767" s="3" t="str">
        <f aca="false">PROPER(TRIM(raw_data!E767))</f>
        <v>Vikram Iyer</v>
      </c>
      <c r="J767" s="3" t="str">
        <f aca="false">PROPER(TRIM(raw_data!F767))</f>
        <v>Corporate</v>
      </c>
      <c r="K767" s="3" t="str">
        <f aca="false">IF(TRIM(raw_data!G767)="","Unknown",PROPER(TRIM(raw_data!G767)))</f>
        <v>East</v>
      </c>
      <c r="L767" s="3" t="str">
        <f aca="false">IF(TRIM(raw_data!G767)="","Filled - Unknown","OK")</f>
        <v>OK</v>
      </c>
      <c r="M767" s="3" t="str">
        <f aca="false">PROPER(TRIM(raw_data!H767))</f>
        <v>Jharkhand</v>
      </c>
      <c r="N767" s="3" t="str">
        <f aca="false">PROPER(TRIM(raw_data!I767))</f>
        <v>Ranchi</v>
      </c>
      <c r="O767" s="3" t="str">
        <f aca="false">PROPER(TRIM(raw_data!J767))</f>
        <v>Office Supplies</v>
      </c>
      <c r="P767" s="3" t="str">
        <f aca="false">PROPER(TRIM(raw_data!K767))</f>
        <v>Labels</v>
      </c>
      <c r="Q767" s="3" t="str">
        <f aca="false">TRIM(raw_data!L767)</f>
        <v>Max Labels 136</v>
      </c>
      <c r="R767" s="3" t="str">
        <f aca="false">IF(TRIM(raw_data!M767)="","Unknown",PROPER(TRIM(raw_data!M767)))</f>
        <v>First Class</v>
      </c>
      <c r="S767" s="3" t="str">
        <f aca="false">IF(TRIM(raw_data!M767)="","Filled - Unknown","OK")</f>
        <v>OK</v>
      </c>
      <c r="T767" s="6" t="n">
        <f aca="false">raw_data!N767</f>
        <v>3</v>
      </c>
      <c r="U767" s="7" t="n">
        <f aca="false">raw_data!O767</f>
        <v>608.14</v>
      </c>
      <c r="V767" s="8" t="n">
        <f aca="false">raw_data!P767</f>
        <v>0</v>
      </c>
      <c r="W767" s="8" t="n">
        <f aca="false">IF(raw_data!P767="",0,IF(ISTEXT(raw_data!P767),IF(RIGHT(raw_data!P767,1)="%",VALUE(LEFT(raw_data!P767,LEN(raw_data!P767)-1))/100,VALUE(raw_data!P767)),raw_data!P767))</f>
        <v>0</v>
      </c>
      <c r="X767" s="3" t="str">
        <f aca="false">IF(raw_data!P767="","Missing - Defaulted to 0",IF(W767&lt;0,"Negative - Invalid",IF(W767&gt;0.3,"Above Allowed Range - Invalid","Valid")))</f>
        <v>Valid</v>
      </c>
      <c r="Y767" s="7" t="n">
        <f aca="false">raw_data!Q767</f>
        <v>1824.42</v>
      </c>
      <c r="Z767" s="7" t="n">
        <f aca="false">raw_data!R767</f>
        <v>1214.87</v>
      </c>
      <c r="AA767" s="7" t="n">
        <f aca="false">raw_data!S767</f>
        <v>609.55</v>
      </c>
      <c r="AB767" s="3" t="str">
        <f aca="false">PROPER(TRIM(raw_data!T767))</f>
        <v>Paid</v>
      </c>
      <c r="AC767" s="3" t="str">
        <f aca="false">PROPER(TRIM(raw_data!U767))</f>
        <v>Completed</v>
      </c>
      <c r="AD767" s="7" t="n">
        <f aca="false">T767*U767*(1-W767)</f>
        <v>1824.42</v>
      </c>
      <c r="AE767" s="7" t="n">
        <f aca="false">AD767-Z767</f>
        <v>609.55</v>
      </c>
      <c r="AF767" s="8" t="n">
        <f aca="false">IF(AD767=0,0,AE767/AD767)</f>
        <v>0.33410618169062</v>
      </c>
      <c r="AG767" s="3" t="str">
        <f aca="false">IF(ABS(Y767-AD767)&gt;1,"Mismatch","OK")</f>
        <v>OK</v>
      </c>
      <c r="AH767" s="3" t="str">
        <f aca="false">IF(ABS(AA767-AE767)&gt;1,"Mismatch","OK")</f>
        <v>OK</v>
      </c>
      <c r="AI767" s="6" t="n">
        <f aca="false">IF(B767="","",MONTH(B767))</f>
        <v>6</v>
      </c>
      <c r="AJ767" s="6" t="n">
        <f aca="false">IF(B767="","",YEAR(B767))</f>
        <v>2025</v>
      </c>
      <c r="AK767" s="3" t="str">
        <f aca="false">IF(COUNTIF(raw_data!$A$2:$A$913,A767)&gt;1,"Conflicting Duplicate - Flagged for Review","Unique")</f>
        <v>Unique</v>
      </c>
      <c r="AL767" s="3" t="str">
        <f aca="false">IF(AB767="Refunded","Yes","No")</f>
        <v>No</v>
      </c>
      <c r="AM767" s="3" t="str">
        <f aca="false">IF(OR(AC767&lt;&gt;"Completed",AB767="Failed"),"Excluded","Included")</f>
        <v>Included</v>
      </c>
      <c r="AN767" s="3" t="str">
        <f aca="false">IF(OR(D767="Invalid/Unrecognized",E767="Invalid/Unrecognized",G767="Invalid - Ship Before Order",X767="Negative - Invalid",X767="Above Allowed Range - Invalid",AG767="Mismatch",AH767="Mismatch",AK767="Conflicting Duplicate - Flagged for Review"),"Invalid",IF(OR(L767="Filled - Unknown",S767="Filled - Unknown",X767="Missing - Defaulted to 0",AL767="Yes",AC767="Cancelled",AC767="Returned"),"Warning","Clean"))</f>
        <v>Clean</v>
      </c>
    </row>
    <row r="768" customFormat="false" ht="15" hidden="false" customHeight="false" outlineLevel="0" collapsed="false">
      <c r="A768" s="3" t="str">
        <f aca="false">raw_data!A768</f>
        <v>ORD-2024-10767</v>
      </c>
      <c r="B768" s="4" t="n">
        <f aca="false">IFERROR(IF(MID(raw_data!B768,3,1)="/",DATE(VALUE(RIGHT(raw_data!B768,4)),VALUE(LEFT(raw_data!B768,2)),VALUE(MID(raw_data!B768,4,2))),IF(MID(raw_data!B768,3,1)="-",DATE(VALUE(RIGHT(raw_data!B768,4)),VALUE(MID(raw_data!B768,4,2)),VALUE(LEFT(raw_data!B768,2))),IF(MID(raw_data!B768,5,1)="-",DATE(VALUE(LEFT(raw_data!B768,4)),VALUE(MID(raw_data!B768,6,2)),VALUE(RIGHT(raw_data!B768,2))),DATE(VALUE(RIGHT(raw_data!B768,4)),MATCH(MID(raw_data!B768,4,3),{"Jan","Feb","Mar","Apr","May","Jun","Jul","Aug","Sep","Oct","Nov","Dec"},0),VALUE(LEFT(raw_data!B768,2)))))),"")</f>
        <v>45552</v>
      </c>
      <c r="C768" s="4" t="n">
        <f aca="false">IFERROR(IF(MID(raw_data!C768,3,1)="/",DATE(VALUE(RIGHT(raw_data!C768,4)),VALUE(LEFT(raw_data!C768,2)),VALUE(MID(raw_data!C768,4,2))),IF(MID(raw_data!C768,3,1)="-",DATE(VALUE(RIGHT(raw_data!C768,4)),VALUE(MID(raw_data!C768,4,2)),VALUE(LEFT(raw_data!C768,2))),IF(MID(raw_data!C768,5,1)="-",DATE(VALUE(LEFT(raw_data!C768,4)),VALUE(MID(raw_data!C768,6,2)),VALUE(RIGHT(raw_data!C768,2))),DATE(VALUE(RIGHT(raw_data!C768,4)),MATCH(MID(raw_data!C768,4,3),{"Jan","Feb","Mar","Apr","May","Jun","Jul","Aug","Sep","Oct","Nov","Dec"},0),VALUE(LEFT(raw_data!C768,2)))))),"")</f>
        <v>45559</v>
      </c>
      <c r="D768" s="3" t="str">
        <f aca="false">IF(TRIM(raw_data!B768)="","Missing",IF(B768="","Invalid/Unrecognized","Valid"))</f>
        <v>Valid</v>
      </c>
      <c r="E768" s="3" t="str">
        <f aca="false">IF(TRIM(raw_data!C768)="","Missing",IF(C768="","Invalid/Unrecognized","Valid"))</f>
        <v>Valid</v>
      </c>
      <c r="F768" s="5" t="n">
        <f aca="false">IF(OR(B768="",C768=""),"",C768-B768)</f>
        <v>7</v>
      </c>
      <c r="G768" s="3" t="str">
        <f aca="false">IF(F768="","N/A",IF(F768&lt;0,"Invalid - Ship Before Order","OK"))</f>
        <v>OK</v>
      </c>
      <c r="H768" s="3" t="str">
        <f aca="false">raw_data!D768</f>
        <v>CUST-3156</v>
      </c>
      <c r="I768" s="3" t="str">
        <f aca="false">PROPER(TRIM(raw_data!E768))</f>
        <v>Mira Das</v>
      </c>
      <c r="J768" s="3" t="str">
        <f aca="false">PROPER(TRIM(raw_data!F768))</f>
        <v>Corporate</v>
      </c>
      <c r="K768" s="3" t="str">
        <f aca="false">IF(TRIM(raw_data!G768)="","Unknown",PROPER(TRIM(raw_data!G768)))</f>
        <v>West</v>
      </c>
      <c r="L768" s="3" t="str">
        <f aca="false">IF(TRIM(raw_data!G768)="","Filled - Unknown","OK")</f>
        <v>OK</v>
      </c>
      <c r="M768" s="3" t="str">
        <f aca="false">PROPER(TRIM(raw_data!H768))</f>
        <v>Gujarat</v>
      </c>
      <c r="N768" s="3" t="str">
        <f aca="false">PROPER(TRIM(raw_data!I768))</f>
        <v>Ahmedabad</v>
      </c>
      <c r="O768" s="3" t="str">
        <f aca="false">PROPER(TRIM(raw_data!J768))</f>
        <v>Office Supplies</v>
      </c>
      <c r="P768" s="3" t="str">
        <f aca="false">PROPER(TRIM(raw_data!K768))</f>
        <v>Art</v>
      </c>
      <c r="Q768" s="3" t="str">
        <f aca="false">TRIM(raw_data!L768)</f>
        <v>Prime Art 380</v>
      </c>
      <c r="R768" s="3" t="str">
        <f aca="false">IF(TRIM(raw_data!M768)="","Unknown",PROPER(TRIM(raw_data!M768)))</f>
        <v>Second Class</v>
      </c>
      <c r="S768" s="3" t="str">
        <f aca="false">IF(TRIM(raw_data!M768)="","Filled - Unknown","OK")</f>
        <v>OK</v>
      </c>
      <c r="T768" s="6" t="n">
        <f aca="false">raw_data!N768</f>
        <v>9</v>
      </c>
      <c r="U768" s="7" t="n">
        <f aca="false">raw_data!O768</f>
        <v>2307.96</v>
      </c>
      <c r="V768" s="8" t="n">
        <f aca="false">raw_data!P768</f>
        <v>0.2</v>
      </c>
      <c r="W768" s="8" t="n">
        <f aca="false">IF(raw_data!P768="",0,IF(ISTEXT(raw_data!P768),IF(RIGHT(raw_data!P768,1)="%",VALUE(LEFT(raw_data!P768,LEN(raw_data!P768)-1))/100,VALUE(raw_data!P768)),raw_data!P768))</f>
        <v>0.2</v>
      </c>
      <c r="X768" s="3" t="str">
        <f aca="false">IF(raw_data!P768="","Missing - Defaulted to 0",IF(W768&lt;0,"Negative - Invalid",IF(W768&gt;0.3,"Above Allowed Range - Invalid","Valid")))</f>
        <v>Valid</v>
      </c>
      <c r="Y768" s="7" t="n">
        <f aca="false">raw_data!Q768</f>
        <v>16617.31</v>
      </c>
      <c r="Z768" s="7" t="n">
        <f aca="false">raw_data!R768</f>
        <v>9195.73</v>
      </c>
      <c r="AA768" s="7" t="n">
        <f aca="false">raw_data!S768</f>
        <v>7421.58</v>
      </c>
      <c r="AB768" s="3" t="str">
        <f aca="false">PROPER(TRIM(raw_data!T768))</f>
        <v>Paid</v>
      </c>
      <c r="AC768" s="3" t="str">
        <f aca="false">PROPER(TRIM(raw_data!U768))</f>
        <v>Cancelled</v>
      </c>
      <c r="AD768" s="7" t="n">
        <f aca="false">T768*U768*(1-W768)</f>
        <v>16617.312</v>
      </c>
      <c r="AE768" s="7" t="n">
        <f aca="false">AD768-Z768</f>
        <v>7421.582</v>
      </c>
      <c r="AF768" s="8" t="n">
        <f aca="false">IF(AD768=0,0,AE768/AD768)</f>
        <v>0.446617479409426</v>
      </c>
      <c r="AG768" s="3" t="str">
        <f aca="false">IF(ABS(Y768-AD768)&gt;1,"Mismatch","OK")</f>
        <v>OK</v>
      </c>
      <c r="AH768" s="3" t="str">
        <f aca="false">IF(ABS(AA768-AE768)&gt;1,"Mismatch","OK")</f>
        <v>OK</v>
      </c>
      <c r="AI768" s="6" t="n">
        <f aca="false">IF(B768="","",MONTH(B768))</f>
        <v>9</v>
      </c>
      <c r="AJ768" s="6" t="n">
        <f aca="false">IF(B768="","",YEAR(B768))</f>
        <v>2024</v>
      </c>
      <c r="AK768" s="3" t="str">
        <f aca="false">IF(COUNTIF(raw_data!$A$2:$A$913,A768)&gt;1,"Conflicting Duplicate - Flagged for Review","Unique")</f>
        <v>Unique</v>
      </c>
      <c r="AL768" s="3" t="str">
        <f aca="false">IF(AB768="Refunded","Yes","No")</f>
        <v>No</v>
      </c>
      <c r="AM768" s="3" t="str">
        <f aca="false">IF(OR(AC768&lt;&gt;"Completed",AB768="Failed"),"Excluded","Included")</f>
        <v>Excluded</v>
      </c>
      <c r="AN768" s="3" t="str">
        <f aca="false">IF(OR(D768="Invalid/Unrecognized",E768="Invalid/Unrecognized",G768="Invalid - Ship Before Order",X768="Negative - Invalid",X768="Above Allowed Range - Invalid",AG768="Mismatch",AH768="Mismatch",AK768="Conflicting Duplicate - Flagged for Review"),"Invalid",IF(OR(L768="Filled - Unknown",S768="Filled - Unknown",X768="Missing - Defaulted to 0",AL768="Yes",AC768="Cancelled",AC768="Returned"),"Warning","Clean"))</f>
        <v>Warning</v>
      </c>
    </row>
    <row r="769" customFormat="false" ht="15" hidden="false" customHeight="false" outlineLevel="0" collapsed="false">
      <c r="A769" s="3" t="str">
        <f aca="false">raw_data!A769</f>
        <v>ORD-2024-10768</v>
      </c>
      <c r="B769" s="4" t="n">
        <f aca="false">IFERROR(IF(MID(raw_data!B769,3,1)="/",DATE(VALUE(RIGHT(raw_data!B769,4)),VALUE(LEFT(raw_data!B769,2)),VALUE(MID(raw_data!B769,4,2))),IF(MID(raw_data!B769,3,1)="-",DATE(VALUE(RIGHT(raw_data!B769,4)),VALUE(MID(raw_data!B769,4,2)),VALUE(LEFT(raw_data!B769,2))),IF(MID(raw_data!B769,5,1)="-",DATE(VALUE(LEFT(raw_data!B769,4)),VALUE(MID(raw_data!B769,6,2)),VALUE(RIGHT(raw_data!B769,2))),DATE(VALUE(RIGHT(raw_data!B769,4)),MATCH(MID(raw_data!B769,4,3),{"Jan","Feb","Mar","Apr","May","Jun","Jul","Aug","Sep","Oct","Nov","Dec"},0),VALUE(LEFT(raw_data!B769,2)))))),"")</f>
        <v>45415</v>
      </c>
      <c r="C769" s="4" t="n">
        <f aca="false">IFERROR(IF(MID(raw_data!C769,3,1)="/",DATE(VALUE(RIGHT(raw_data!C769,4)),VALUE(LEFT(raw_data!C769,2)),VALUE(MID(raw_data!C769,4,2))),IF(MID(raw_data!C769,3,1)="-",DATE(VALUE(RIGHT(raw_data!C769,4)),VALUE(MID(raw_data!C769,4,2)),VALUE(LEFT(raw_data!C769,2))),IF(MID(raw_data!C769,5,1)="-",DATE(VALUE(LEFT(raw_data!C769,4)),VALUE(MID(raw_data!C769,6,2)),VALUE(RIGHT(raw_data!C769,2))),DATE(VALUE(RIGHT(raw_data!C769,4)),MATCH(MID(raw_data!C769,4,3),{"Jan","Feb","Mar","Apr","May","Jun","Jul","Aug","Sep","Oct","Nov","Dec"},0),VALUE(LEFT(raw_data!C769,2)))))),"")</f>
        <v>45418</v>
      </c>
      <c r="D769" s="3" t="str">
        <f aca="false">IF(TRIM(raw_data!B769)="","Missing",IF(B769="","Invalid/Unrecognized","Valid"))</f>
        <v>Valid</v>
      </c>
      <c r="E769" s="3" t="str">
        <f aca="false">IF(TRIM(raw_data!C769)="","Missing",IF(C769="","Invalid/Unrecognized","Valid"))</f>
        <v>Valid</v>
      </c>
      <c r="F769" s="5" t="n">
        <f aca="false">IF(OR(B769="",C769=""),"",C769-B769)</f>
        <v>3</v>
      </c>
      <c r="G769" s="3" t="str">
        <f aca="false">IF(F769="","N/A",IF(F769&lt;0,"Invalid - Ship Before Order","OK"))</f>
        <v>OK</v>
      </c>
      <c r="H769" s="3" t="str">
        <f aca="false">raw_data!D769</f>
        <v>CUST-2043</v>
      </c>
      <c r="I769" s="3" t="str">
        <f aca="false">PROPER(TRIM(raw_data!E769))</f>
        <v>Ananya Rao</v>
      </c>
      <c r="J769" s="3" t="str">
        <f aca="false">PROPER(TRIM(raw_data!F769))</f>
        <v>Home Office</v>
      </c>
      <c r="K769" s="3" t="str">
        <f aca="false">IF(TRIM(raw_data!G769)="","Unknown",PROPER(TRIM(raw_data!G769)))</f>
        <v>North</v>
      </c>
      <c r="L769" s="3" t="str">
        <f aca="false">IF(TRIM(raw_data!G769)="","Filled - Unknown","OK")</f>
        <v>OK</v>
      </c>
      <c r="M769" s="3" t="str">
        <f aca="false">PROPER(TRIM(raw_data!H769))</f>
        <v>Uttar Pradesh</v>
      </c>
      <c r="N769" s="3" t="str">
        <f aca="false">PROPER(TRIM(raw_data!I769))</f>
        <v>Noida</v>
      </c>
      <c r="O769" s="3" t="str">
        <f aca="false">PROPER(TRIM(raw_data!J769))</f>
        <v>Office Supplies</v>
      </c>
      <c r="P769" s="3" t="str">
        <f aca="false">PROPER(TRIM(raw_data!K769))</f>
        <v>Binders</v>
      </c>
      <c r="Q769" s="3" t="str">
        <f aca="false">TRIM(raw_data!L769)</f>
        <v>Classic Binders 234</v>
      </c>
      <c r="R769" s="3" t="str">
        <f aca="false">IF(TRIM(raw_data!M769)="","Unknown",PROPER(TRIM(raw_data!M769)))</f>
        <v>Standard Class</v>
      </c>
      <c r="S769" s="3" t="str">
        <f aca="false">IF(TRIM(raw_data!M769)="","Filled - Unknown","OK")</f>
        <v>OK</v>
      </c>
      <c r="T769" s="6" t="n">
        <f aca="false">raw_data!N769</f>
        <v>1</v>
      </c>
      <c r="U769" s="7" t="n">
        <f aca="false">raw_data!O769</f>
        <v>1244.58</v>
      </c>
      <c r="V769" s="8" t="n">
        <f aca="false">raw_data!P769</f>
        <v>0.25</v>
      </c>
      <c r="W769" s="8" t="n">
        <f aca="false">IF(raw_data!P769="",0,IF(ISTEXT(raw_data!P769),IF(RIGHT(raw_data!P769,1)="%",VALUE(LEFT(raw_data!P769,LEN(raw_data!P769)-1))/100,VALUE(raw_data!P769)),raw_data!P769))</f>
        <v>0.25</v>
      </c>
      <c r="X769" s="3" t="str">
        <f aca="false">IF(raw_data!P769="","Missing - Defaulted to 0",IF(W769&lt;0,"Negative - Invalid",IF(W769&gt;0.3,"Above Allowed Range - Invalid","Valid")))</f>
        <v>Valid</v>
      </c>
      <c r="Y769" s="7" t="n">
        <f aca="false">raw_data!Q769</f>
        <v>933.43</v>
      </c>
      <c r="Z769" s="7" t="n">
        <f aca="false">raw_data!R769</f>
        <v>583.09</v>
      </c>
      <c r="AA769" s="7" t="n">
        <f aca="false">raw_data!S769</f>
        <v>350.34</v>
      </c>
      <c r="AB769" s="3" t="str">
        <f aca="false">PROPER(TRIM(raw_data!T769))</f>
        <v>Paid</v>
      </c>
      <c r="AC769" s="3" t="str">
        <f aca="false">PROPER(TRIM(raw_data!U769))</f>
        <v>Completed</v>
      </c>
      <c r="AD769" s="7" t="n">
        <f aca="false">T769*U769*(1-W769)</f>
        <v>933.435</v>
      </c>
      <c r="AE769" s="7" t="n">
        <f aca="false">AD769-Z769</f>
        <v>350.345</v>
      </c>
      <c r="AF769" s="8" t="n">
        <f aca="false">IF(AD769=0,0,AE769/AD769)</f>
        <v>0.375328758831627</v>
      </c>
      <c r="AG769" s="3" t="str">
        <f aca="false">IF(ABS(Y769-AD769)&gt;1,"Mismatch","OK")</f>
        <v>OK</v>
      </c>
      <c r="AH769" s="3" t="str">
        <f aca="false">IF(ABS(AA769-AE769)&gt;1,"Mismatch","OK")</f>
        <v>OK</v>
      </c>
      <c r="AI769" s="6" t="n">
        <f aca="false">IF(B769="","",MONTH(B769))</f>
        <v>5</v>
      </c>
      <c r="AJ769" s="6" t="n">
        <f aca="false">IF(B769="","",YEAR(B769))</f>
        <v>2024</v>
      </c>
      <c r="AK769" s="3" t="str">
        <f aca="false">IF(COUNTIF(raw_data!$A$2:$A$913,A769)&gt;1,"Conflicting Duplicate - Flagged for Review","Unique")</f>
        <v>Unique</v>
      </c>
      <c r="AL769" s="3" t="str">
        <f aca="false">IF(AB769="Refunded","Yes","No")</f>
        <v>No</v>
      </c>
      <c r="AM769" s="3" t="str">
        <f aca="false">IF(OR(AC769&lt;&gt;"Completed",AB769="Failed"),"Excluded","Included")</f>
        <v>Included</v>
      </c>
      <c r="AN769" s="3" t="str">
        <f aca="false">IF(OR(D769="Invalid/Unrecognized",E769="Invalid/Unrecognized",G769="Invalid - Ship Before Order",X769="Negative - Invalid",X769="Above Allowed Range - Invalid",AG769="Mismatch",AH769="Mismatch",AK769="Conflicting Duplicate - Flagged for Review"),"Invalid",IF(OR(L769="Filled - Unknown",S769="Filled - Unknown",X769="Missing - Defaulted to 0",AL769="Yes",AC769="Cancelled",AC769="Returned"),"Warning","Clean"))</f>
        <v>Clean</v>
      </c>
    </row>
    <row r="770" customFormat="false" ht="15" hidden="false" customHeight="false" outlineLevel="0" collapsed="false">
      <c r="A770" s="3" t="str">
        <f aca="false">raw_data!A770</f>
        <v>ORD-2025-10769</v>
      </c>
      <c r="B770" s="4" t="n">
        <f aca="false">IFERROR(IF(MID(raw_data!B770,3,1)="/",DATE(VALUE(RIGHT(raw_data!B770,4)),VALUE(LEFT(raw_data!B770,2)),VALUE(MID(raw_data!B770,4,2))),IF(MID(raw_data!B770,3,1)="-",DATE(VALUE(RIGHT(raw_data!B770,4)),VALUE(MID(raw_data!B770,4,2)),VALUE(LEFT(raw_data!B770,2))),IF(MID(raw_data!B770,5,1)="-",DATE(VALUE(LEFT(raw_data!B770,4)),VALUE(MID(raw_data!B770,6,2)),VALUE(RIGHT(raw_data!B770,2))),DATE(VALUE(RIGHT(raw_data!B770,4)),MATCH(MID(raw_data!B770,4,3),{"Jan","Feb","Mar","Apr","May","Jun","Jul","Aug","Sep","Oct","Nov","Dec"},0),VALUE(LEFT(raw_data!B770,2)))))),"")</f>
        <v>45749</v>
      </c>
      <c r="C770" s="4" t="n">
        <f aca="false">IFERROR(IF(MID(raw_data!C770,3,1)="/",DATE(VALUE(RIGHT(raw_data!C770,4)),VALUE(LEFT(raw_data!C770,2)),VALUE(MID(raw_data!C770,4,2))),IF(MID(raw_data!C770,3,1)="-",DATE(VALUE(RIGHT(raw_data!C770,4)),VALUE(MID(raw_data!C770,4,2)),VALUE(LEFT(raw_data!C770,2))),IF(MID(raw_data!C770,5,1)="-",DATE(VALUE(LEFT(raw_data!C770,4)),VALUE(MID(raw_data!C770,6,2)),VALUE(RIGHT(raw_data!C770,2))),DATE(VALUE(RIGHT(raw_data!C770,4)),MATCH(MID(raw_data!C770,4,3),{"Jan","Feb","Mar","Apr","May","Jun","Jul","Aug","Sep","Oct","Nov","Dec"},0),VALUE(LEFT(raw_data!C770,2)))))),"")</f>
        <v>45751</v>
      </c>
      <c r="D770" s="3" t="str">
        <f aca="false">IF(TRIM(raw_data!B770)="","Missing",IF(B770="","Invalid/Unrecognized","Valid"))</f>
        <v>Valid</v>
      </c>
      <c r="E770" s="3" t="str">
        <f aca="false">IF(TRIM(raw_data!C770)="","Missing",IF(C770="","Invalid/Unrecognized","Valid"))</f>
        <v>Valid</v>
      </c>
      <c r="F770" s="5" t="n">
        <f aca="false">IF(OR(B770="",C770=""),"",C770-B770)</f>
        <v>2</v>
      </c>
      <c r="G770" s="3" t="str">
        <f aca="false">IF(F770="","N/A",IF(F770&lt;0,"Invalid - Ship Before Order","OK"))</f>
        <v>OK</v>
      </c>
      <c r="H770" s="3" t="str">
        <f aca="false">raw_data!D770</f>
        <v>CUST-8808</v>
      </c>
      <c r="I770" s="3" t="str">
        <f aca="false">PROPER(TRIM(raw_data!E770))</f>
        <v>Sneha Kapoor</v>
      </c>
      <c r="J770" s="3" t="str">
        <f aca="false">PROPER(TRIM(raw_data!F770))</f>
        <v>Home Office</v>
      </c>
      <c r="K770" s="3" t="str">
        <f aca="false">IF(TRIM(raw_data!G770)="","Unknown",PROPER(TRIM(raw_data!G770)))</f>
        <v>East</v>
      </c>
      <c r="L770" s="3" t="str">
        <f aca="false">IF(TRIM(raw_data!G770)="","Filled - Unknown","OK")</f>
        <v>OK</v>
      </c>
      <c r="M770" s="3" t="str">
        <f aca="false">PROPER(TRIM(raw_data!H770))</f>
        <v>Jharkhand</v>
      </c>
      <c r="N770" s="3" t="str">
        <f aca="false">PROPER(TRIM(raw_data!I770))</f>
        <v>Ranchi</v>
      </c>
      <c r="O770" s="3" t="str">
        <f aca="false">PROPER(TRIM(raw_data!J770))</f>
        <v>Office Supplies</v>
      </c>
      <c r="P770" s="3" t="str">
        <f aca="false">PROPER(TRIM(raw_data!K770))</f>
        <v>Paper</v>
      </c>
      <c r="Q770" s="3" t="str">
        <f aca="false">TRIM(raw_data!L770)</f>
        <v>Classic Paper 280</v>
      </c>
      <c r="R770" s="3" t="str">
        <f aca="false">IF(TRIM(raw_data!M770)="","Unknown",PROPER(TRIM(raw_data!M770)))</f>
        <v>Same Day</v>
      </c>
      <c r="S770" s="3" t="str">
        <f aca="false">IF(TRIM(raw_data!M770)="","Filled - Unknown","OK")</f>
        <v>OK</v>
      </c>
      <c r="T770" s="6" t="n">
        <f aca="false">raw_data!N770</f>
        <v>5</v>
      </c>
      <c r="U770" s="7" t="n">
        <f aca="false">raw_data!O770</f>
        <v>3234.24</v>
      </c>
      <c r="V770" s="8" t="n">
        <f aca="false">raw_data!P770</f>
        <v>0.1</v>
      </c>
      <c r="W770" s="8" t="n">
        <f aca="false">IF(raw_data!P770="",0,IF(ISTEXT(raw_data!P770),IF(RIGHT(raw_data!P770,1)="%",VALUE(LEFT(raw_data!P770,LEN(raw_data!P770)-1))/100,VALUE(raw_data!P770)),raw_data!P770))</f>
        <v>0.1</v>
      </c>
      <c r="X770" s="3" t="str">
        <f aca="false">IF(raw_data!P770="","Missing - Defaulted to 0",IF(W770&lt;0,"Negative - Invalid",IF(W770&gt;0.3,"Above Allowed Range - Invalid","Valid")))</f>
        <v>Valid</v>
      </c>
      <c r="Y770" s="7" t="n">
        <f aca="false">raw_data!Q770</f>
        <v>14554.08</v>
      </c>
      <c r="Z770" s="7" t="n">
        <f aca="false">raw_data!R770</f>
        <v>11166.84</v>
      </c>
      <c r="AA770" s="7" t="n">
        <f aca="false">raw_data!S770</f>
        <v>3387.24</v>
      </c>
      <c r="AB770" s="3" t="str">
        <f aca="false">PROPER(TRIM(raw_data!T770))</f>
        <v>Paid</v>
      </c>
      <c r="AC770" s="3" t="str">
        <f aca="false">PROPER(TRIM(raw_data!U770))</f>
        <v>Completed</v>
      </c>
      <c r="AD770" s="7" t="n">
        <f aca="false">T770*U770*(1-W770)</f>
        <v>14554.08</v>
      </c>
      <c r="AE770" s="7" t="n">
        <f aca="false">AD770-Z770</f>
        <v>3387.24</v>
      </c>
      <c r="AF770" s="8" t="n">
        <f aca="false">IF(AD770=0,0,AE770/AD770)</f>
        <v>0.232734738300188</v>
      </c>
      <c r="AG770" s="3" t="str">
        <f aca="false">IF(ABS(Y770-AD770)&gt;1,"Mismatch","OK")</f>
        <v>OK</v>
      </c>
      <c r="AH770" s="3" t="str">
        <f aca="false">IF(ABS(AA770-AE770)&gt;1,"Mismatch","OK")</f>
        <v>OK</v>
      </c>
      <c r="AI770" s="6" t="n">
        <f aca="false">IF(B770="","",MONTH(B770))</f>
        <v>4</v>
      </c>
      <c r="AJ770" s="6" t="n">
        <f aca="false">IF(B770="","",YEAR(B770))</f>
        <v>2025</v>
      </c>
      <c r="AK770" s="3" t="str">
        <f aca="false">IF(COUNTIF(raw_data!$A$2:$A$913,A770)&gt;1,"Conflicting Duplicate - Flagged for Review","Unique")</f>
        <v>Unique</v>
      </c>
      <c r="AL770" s="3" t="str">
        <f aca="false">IF(AB770="Refunded","Yes","No")</f>
        <v>No</v>
      </c>
      <c r="AM770" s="3" t="str">
        <f aca="false">IF(OR(AC770&lt;&gt;"Completed",AB770="Failed"),"Excluded","Included")</f>
        <v>Included</v>
      </c>
      <c r="AN770" s="3" t="str">
        <f aca="false">IF(OR(D770="Invalid/Unrecognized",E770="Invalid/Unrecognized",G770="Invalid - Ship Before Order",X770="Negative - Invalid",X770="Above Allowed Range - Invalid",AG770="Mismatch",AH770="Mismatch",AK770="Conflicting Duplicate - Flagged for Review"),"Invalid",IF(OR(L770="Filled - Unknown",S770="Filled - Unknown",X770="Missing - Defaulted to 0",AL770="Yes",AC770="Cancelled",AC770="Returned"),"Warning","Clean"))</f>
        <v>Clean</v>
      </c>
    </row>
    <row r="771" customFormat="false" ht="15" hidden="false" customHeight="false" outlineLevel="0" collapsed="false">
      <c r="A771" s="3" t="str">
        <f aca="false">raw_data!A771</f>
        <v>ORD-2024-10770</v>
      </c>
      <c r="B771" s="4" t="n">
        <f aca="false">IFERROR(IF(MID(raw_data!B771,3,1)="/",DATE(VALUE(RIGHT(raw_data!B771,4)),VALUE(LEFT(raw_data!B771,2)),VALUE(MID(raw_data!B771,4,2))),IF(MID(raw_data!B771,3,1)="-",DATE(VALUE(RIGHT(raw_data!B771,4)),VALUE(MID(raw_data!B771,4,2)),VALUE(LEFT(raw_data!B771,2))),IF(MID(raw_data!B771,5,1)="-",DATE(VALUE(LEFT(raw_data!B771,4)),VALUE(MID(raw_data!B771,6,2)),VALUE(RIGHT(raw_data!B771,2))),DATE(VALUE(RIGHT(raw_data!B771,4)),MATCH(MID(raw_data!B771,4,3),{"Jan","Feb","Mar","Apr","May","Jun","Jul","Aug","Sep","Oct","Nov","Dec"},0),VALUE(LEFT(raw_data!B771,2)))))),"")</f>
        <v>45423</v>
      </c>
      <c r="C771" s="4" t="n">
        <f aca="false">IFERROR(IF(MID(raw_data!C771,3,1)="/",DATE(VALUE(RIGHT(raw_data!C771,4)),VALUE(LEFT(raw_data!C771,2)),VALUE(MID(raw_data!C771,4,2))),IF(MID(raw_data!C771,3,1)="-",DATE(VALUE(RIGHT(raw_data!C771,4)),VALUE(MID(raw_data!C771,4,2)),VALUE(LEFT(raw_data!C771,2))),IF(MID(raw_data!C771,5,1)="-",DATE(VALUE(LEFT(raw_data!C771,4)),VALUE(MID(raw_data!C771,6,2)),VALUE(RIGHT(raw_data!C771,2))),DATE(VALUE(RIGHT(raw_data!C771,4)),MATCH(MID(raw_data!C771,4,3),{"Jan","Feb","Mar","Apr","May","Jun","Jul","Aug","Sep","Oct","Nov","Dec"},0),VALUE(LEFT(raw_data!C771,2)))))),"")</f>
        <v>45425</v>
      </c>
      <c r="D771" s="3" t="str">
        <f aca="false">IF(TRIM(raw_data!B771)="","Missing",IF(B771="","Invalid/Unrecognized","Valid"))</f>
        <v>Valid</v>
      </c>
      <c r="E771" s="3" t="str">
        <f aca="false">IF(TRIM(raw_data!C771)="","Missing",IF(C771="","Invalid/Unrecognized","Valid"))</f>
        <v>Valid</v>
      </c>
      <c r="F771" s="5" t="n">
        <f aca="false">IF(OR(B771="",C771=""),"",C771-B771)</f>
        <v>2</v>
      </c>
      <c r="G771" s="3" t="str">
        <f aca="false">IF(F771="","N/A",IF(F771&lt;0,"Invalid - Ship Before Order","OK"))</f>
        <v>OK</v>
      </c>
      <c r="H771" s="3" t="str">
        <f aca="false">raw_data!D771</f>
        <v>CUST-1293</v>
      </c>
      <c r="I771" s="3" t="str">
        <f aca="false">PROPER(TRIM(raw_data!E771))</f>
        <v>Priya Menon</v>
      </c>
      <c r="J771" s="3" t="str">
        <f aca="false">PROPER(TRIM(raw_data!F771))</f>
        <v>Home Office</v>
      </c>
      <c r="K771" s="3" t="str">
        <f aca="false">IF(TRIM(raw_data!G771)="","Unknown",PROPER(TRIM(raw_data!G771)))</f>
        <v>West</v>
      </c>
      <c r="L771" s="3" t="str">
        <f aca="false">IF(TRIM(raw_data!G771)="","Filled - Unknown","OK")</f>
        <v>OK</v>
      </c>
      <c r="M771" s="3" t="str">
        <f aca="false">PROPER(TRIM(raw_data!H771))</f>
        <v>Goa</v>
      </c>
      <c r="N771" s="3" t="str">
        <f aca="false">PROPER(TRIM(raw_data!I771))</f>
        <v>Panaji</v>
      </c>
      <c r="O771" s="3" t="str">
        <f aca="false">PROPER(TRIM(raw_data!J771))</f>
        <v>Furniture</v>
      </c>
      <c r="P771" s="3" t="str">
        <f aca="false">PROPER(TRIM(raw_data!K771))</f>
        <v>Bookcases</v>
      </c>
      <c r="Q771" s="3" t="str">
        <f aca="false">TRIM(raw_data!L771)</f>
        <v>Classic Bookcases 922</v>
      </c>
      <c r="R771" s="3" t="str">
        <f aca="false">IF(TRIM(raw_data!M771)="","Unknown",PROPER(TRIM(raw_data!M771)))</f>
        <v>Same Day</v>
      </c>
      <c r="S771" s="3" t="str">
        <f aca="false">IF(TRIM(raw_data!M771)="","Filled - Unknown","OK")</f>
        <v>OK</v>
      </c>
      <c r="T771" s="6" t="n">
        <f aca="false">raw_data!N771</f>
        <v>3</v>
      </c>
      <c r="U771" s="7" t="n">
        <f aca="false">raw_data!O771</f>
        <v>3612.75</v>
      </c>
      <c r="V771" s="8" t="n">
        <f aca="false">raw_data!P771</f>
        <v>0.25</v>
      </c>
      <c r="W771" s="8" t="n">
        <f aca="false">IF(raw_data!P771="",0,IF(ISTEXT(raw_data!P771),IF(RIGHT(raw_data!P771,1)="%",VALUE(LEFT(raw_data!P771,LEN(raw_data!P771)-1))/100,VALUE(raw_data!P771)),raw_data!P771))</f>
        <v>0.25</v>
      </c>
      <c r="X771" s="3" t="str">
        <f aca="false">IF(raw_data!P771="","Missing - Defaulted to 0",IF(W771&lt;0,"Negative - Invalid",IF(W771&gt;0.3,"Above Allowed Range - Invalid","Valid")))</f>
        <v>Valid</v>
      </c>
      <c r="Y771" s="7" t="n">
        <f aca="false">raw_data!Q771</f>
        <v>8128.69</v>
      </c>
      <c r="Z771" s="7" t="n">
        <f aca="false">raw_data!R771</f>
        <v>5071.66</v>
      </c>
      <c r="AA771" s="7" t="n">
        <f aca="false">raw_data!S771</f>
        <v>3057.03</v>
      </c>
      <c r="AB771" s="3" t="str">
        <f aca="false">PROPER(TRIM(raw_data!T771))</f>
        <v>Paid</v>
      </c>
      <c r="AC771" s="3" t="str">
        <f aca="false">PROPER(TRIM(raw_data!U771))</f>
        <v>Completed</v>
      </c>
      <c r="AD771" s="7" t="n">
        <f aca="false">T771*U771*(1-W771)</f>
        <v>8128.6875</v>
      </c>
      <c r="AE771" s="7" t="n">
        <f aca="false">AD771-Z771</f>
        <v>3057.0275</v>
      </c>
      <c r="AF771" s="8" t="n">
        <f aca="false">IF(AD771=0,0,AE771/AD771)</f>
        <v>0.376078856518965</v>
      </c>
      <c r="AG771" s="3" t="str">
        <f aca="false">IF(ABS(Y771-AD771)&gt;1,"Mismatch","OK")</f>
        <v>OK</v>
      </c>
      <c r="AH771" s="3" t="str">
        <f aca="false">IF(ABS(AA771-AE771)&gt;1,"Mismatch","OK")</f>
        <v>OK</v>
      </c>
      <c r="AI771" s="6" t="n">
        <f aca="false">IF(B771="","",MONTH(B771))</f>
        <v>5</v>
      </c>
      <c r="AJ771" s="6" t="n">
        <f aca="false">IF(B771="","",YEAR(B771))</f>
        <v>2024</v>
      </c>
      <c r="AK771" s="3" t="str">
        <f aca="false">IF(COUNTIF(raw_data!$A$2:$A$913,A771)&gt;1,"Conflicting Duplicate - Flagged for Review","Unique")</f>
        <v>Unique</v>
      </c>
      <c r="AL771" s="3" t="str">
        <f aca="false">IF(AB771="Refunded","Yes","No")</f>
        <v>No</v>
      </c>
      <c r="AM771" s="3" t="str">
        <f aca="false">IF(OR(AC771&lt;&gt;"Completed",AB771="Failed"),"Excluded","Included")</f>
        <v>Included</v>
      </c>
      <c r="AN771" s="3" t="str">
        <f aca="false">IF(OR(D771="Invalid/Unrecognized",E771="Invalid/Unrecognized",G771="Invalid - Ship Before Order",X771="Negative - Invalid",X771="Above Allowed Range - Invalid",AG771="Mismatch",AH771="Mismatch",AK771="Conflicting Duplicate - Flagged for Review"),"Invalid",IF(OR(L771="Filled - Unknown",S771="Filled - Unknown",X771="Missing - Defaulted to 0",AL771="Yes",AC771="Cancelled",AC771="Returned"),"Warning","Clean"))</f>
        <v>Clean</v>
      </c>
    </row>
    <row r="772" customFormat="false" ht="15" hidden="false" customHeight="false" outlineLevel="0" collapsed="false">
      <c r="A772" s="3" t="str">
        <f aca="false">raw_data!A772</f>
        <v>ORD-2024-10771</v>
      </c>
      <c r="B772" s="4" t="n">
        <f aca="false">IFERROR(IF(MID(raw_data!B772,3,1)="/",DATE(VALUE(RIGHT(raw_data!B772,4)),VALUE(LEFT(raw_data!B772,2)),VALUE(MID(raw_data!B772,4,2))),IF(MID(raw_data!B772,3,1)="-",DATE(VALUE(RIGHT(raw_data!B772,4)),VALUE(MID(raw_data!B772,4,2)),VALUE(LEFT(raw_data!B772,2))),IF(MID(raw_data!B772,5,1)="-",DATE(VALUE(LEFT(raw_data!B772,4)),VALUE(MID(raw_data!B772,6,2)),VALUE(RIGHT(raw_data!B772,2))),DATE(VALUE(RIGHT(raw_data!B772,4)),MATCH(MID(raw_data!B772,4,3),{"Jan","Feb","Mar","Apr","May","Jun","Jul","Aug","Sep","Oct","Nov","Dec"},0),VALUE(LEFT(raw_data!B772,2)))))),"")</f>
        <v>45337</v>
      </c>
      <c r="C772" s="4" t="n">
        <f aca="false">IFERROR(IF(MID(raw_data!C772,3,1)="/",DATE(VALUE(RIGHT(raw_data!C772,4)),VALUE(LEFT(raw_data!C772,2)),VALUE(MID(raw_data!C772,4,2))),IF(MID(raw_data!C772,3,1)="-",DATE(VALUE(RIGHT(raw_data!C772,4)),VALUE(MID(raw_data!C772,4,2)),VALUE(LEFT(raw_data!C772,2))),IF(MID(raw_data!C772,5,1)="-",DATE(VALUE(LEFT(raw_data!C772,4)),VALUE(MID(raw_data!C772,6,2)),VALUE(RIGHT(raw_data!C772,2))),DATE(VALUE(RIGHT(raw_data!C772,4)),MATCH(MID(raw_data!C772,4,3),{"Jan","Feb","Mar","Apr","May","Jun","Jul","Aug","Sep","Oct","Nov","Dec"},0),VALUE(LEFT(raw_data!C772,2)))))),"")</f>
        <v>45339</v>
      </c>
      <c r="D772" s="3" t="str">
        <f aca="false">IF(TRIM(raw_data!B772)="","Missing",IF(B772="","Invalid/Unrecognized","Valid"))</f>
        <v>Valid</v>
      </c>
      <c r="E772" s="3" t="str">
        <f aca="false">IF(TRIM(raw_data!C772)="","Missing",IF(C772="","Invalid/Unrecognized","Valid"))</f>
        <v>Valid</v>
      </c>
      <c r="F772" s="5" t="n">
        <f aca="false">IF(OR(B772="",C772=""),"",C772-B772)</f>
        <v>2</v>
      </c>
      <c r="G772" s="3" t="str">
        <f aca="false">IF(F772="","N/A",IF(F772&lt;0,"Invalid - Ship Before Order","OK"))</f>
        <v>OK</v>
      </c>
      <c r="H772" s="3" t="str">
        <f aca="false">raw_data!D772</f>
        <v>CUST-8384</v>
      </c>
      <c r="I772" s="3" t="str">
        <f aca="false">PROPER(TRIM(raw_data!E772))</f>
        <v>Neha Gupta</v>
      </c>
      <c r="J772" s="3" t="str">
        <f aca="false">PROPER(TRIM(raw_data!F772))</f>
        <v>Consumer</v>
      </c>
      <c r="K772" s="3" t="str">
        <f aca="false">IF(TRIM(raw_data!G772)="","Unknown",PROPER(TRIM(raw_data!G772)))</f>
        <v>North</v>
      </c>
      <c r="L772" s="3" t="str">
        <f aca="false">IF(TRIM(raw_data!G772)="","Filled - Unknown","OK")</f>
        <v>OK</v>
      </c>
      <c r="M772" s="3" t="str">
        <f aca="false">PROPER(TRIM(raw_data!H772))</f>
        <v>Uttar Pradesh</v>
      </c>
      <c r="N772" s="3" t="str">
        <f aca="false">PROPER(TRIM(raw_data!I772))</f>
        <v>Noida</v>
      </c>
      <c r="O772" s="3" t="str">
        <f aca="false">PROPER(TRIM(raw_data!J772))</f>
        <v>Technology</v>
      </c>
      <c r="P772" s="3" t="str">
        <f aca="false">PROPER(TRIM(raw_data!K772))</f>
        <v>Copiers</v>
      </c>
      <c r="Q772" s="3" t="str">
        <f aca="false">TRIM(raw_data!L772)</f>
        <v>Eco Copiers 396</v>
      </c>
      <c r="R772" s="3" t="str">
        <f aca="false">IF(TRIM(raw_data!M772)="","Unknown",PROPER(TRIM(raw_data!M772)))</f>
        <v>First Class</v>
      </c>
      <c r="S772" s="3" t="str">
        <f aca="false">IF(TRIM(raw_data!M772)="","Filled - Unknown","OK")</f>
        <v>OK</v>
      </c>
      <c r="T772" s="6" t="n">
        <f aca="false">raw_data!N772</f>
        <v>4</v>
      </c>
      <c r="U772" s="7" t="n">
        <f aca="false">raw_data!O772</f>
        <v>863</v>
      </c>
      <c r="V772" s="8" t="n">
        <f aca="false">raw_data!P772</f>
        <v>0</v>
      </c>
      <c r="W772" s="8" t="n">
        <f aca="false">IF(raw_data!P772="",0,IF(ISTEXT(raw_data!P772),IF(RIGHT(raw_data!P772,1)="%",VALUE(LEFT(raw_data!P772,LEN(raw_data!P772)-1))/100,VALUE(raw_data!P772)),raw_data!P772))</f>
        <v>0</v>
      </c>
      <c r="X772" s="3" t="str">
        <f aca="false">IF(raw_data!P772="","Missing - Defaulted to 0",IF(W772&lt;0,"Negative - Invalid",IF(W772&gt;0.3,"Above Allowed Range - Invalid","Valid")))</f>
        <v>Missing - Defaulted to 0</v>
      </c>
      <c r="Y772" s="7" t="n">
        <f aca="false">raw_data!Q772</f>
        <v>3106.8</v>
      </c>
      <c r="Z772" s="7" t="n">
        <f aca="false">raw_data!R772</f>
        <v>2376.62</v>
      </c>
      <c r="AA772" s="7" t="n">
        <f aca="false">raw_data!S772</f>
        <v>730.18</v>
      </c>
      <c r="AB772" s="3" t="str">
        <f aca="false">PROPER(TRIM(raw_data!T772))</f>
        <v>Paid</v>
      </c>
      <c r="AC772" s="3" t="str">
        <f aca="false">PROPER(TRIM(raw_data!U772))</f>
        <v>Completed</v>
      </c>
      <c r="AD772" s="7" t="n">
        <f aca="false">T772*U772*(1-W772)</f>
        <v>3452</v>
      </c>
      <c r="AE772" s="7" t="n">
        <f aca="false">AD772-Z772</f>
        <v>1075.38</v>
      </c>
      <c r="AF772" s="8" t="n">
        <f aca="false">IF(AD772=0,0,AE772/AD772)</f>
        <v>0.311523754345307</v>
      </c>
      <c r="AG772" s="3" t="str">
        <f aca="false">IF(ABS(Y772-AD772)&gt;1,"Mismatch","OK")</f>
        <v>Mismatch</v>
      </c>
      <c r="AH772" s="3" t="str">
        <f aca="false">IF(ABS(AA772-AE772)&gt;1,"Mismatch","OK")</f>
        <v>Mismatch</v>
      </c>
      <c r="AI772" s="6" t="n">
        <f aca="false">IF(B772="","",MONTH(B772))</f>
        <v>2</v>
      </c>
      <c r="AJ772" s="6" t="n">
        <f aca="false">IF(B772="","",YEAR(B772))</f>
        <v>2024</v>
      </c>
      <c r="AK772" s="3" t="str">
        <f aca="false">IF(COUNTIF(raw_data!$A$2:$A$913,A772)&gt;1,"Conflicting Duplicate - Flagged for Review","Unique")</f>
        <v>Unique</v>
      </c>
      <c r="AL772" s="3" t="str">
        <f aca="false">IF(AB772="Refunded","Yes","No")</f>
        <v>No</v>
      </c>
      <c r="AM772" s="3" t="str">
        <f aca="false">IF(OR(AC772&lt;&gt;"Completed",AB772="Failed"),"Excluded","Included")</f>
        <v>Included</v>
      </c>
      <c r="AN772" s="3" t="str">
        <f aca="false">IF(OR(D772="Invalid/Unrecognized",E772="Invalid/Unrecognized",G772="Invalid - Ship Before Order",X772="Negative - Invalid",X772="Above Allowed Range - Invalid",AG772="Mismatch",AH772="Mismatch",AK772="Conflicting Duplicate - Flagged for Review"),"Invalid",IF(OR(L772="Filled - Unknown",S772="Filled - Unknown",X772="Missing - Defaulted to 0",AL772="Yes",AC772="Cancelled",AC772="Returned"),"Warning","Clean"))</f>
        <v>Invalid</v>
      </c>
    </row>
    <row r="773" customFormat="false" ht="15" hidden="false" customHeight="false" outlineLevel="0" collapsed="false">
      <c r="A773" s="3" t="str">
        <f aca="false">raw_data!A773</f>
        <v>ORD-2024-10772</v>
      </c>
      <c r="B773" s="4" t="n">
        <f aca="false">IFERROR(IF(MID(raw_data!B773,3,1)="/",DATE(VALUE(RIGHT(raw_data!B773,4)),VALUE(LEFT(raw_data!B773,2)),VALUE(MID(raw_data!B773,4,2))),IF(MID(raw_data!B773,3,1)="-",DATE(VALUE(RIGHT(raw_data!B773,4)),VALUE(MID(raw_data!B773,4,2)),VALUE(LEFT(raw_data!B773,2))),IF(MID(raw_data!B773,5,1)="-",DATE(VALUE(LEFT(raw_data!B773,4)),VALUE(MID(raw_data!B773,6,2)),VALUE(RIGHT(raw_data!B773,2))),DATE(VALUE(RIGHT(raw_data!B773,4)),MATCH(MID(raw_data!B773,4,3),{"Jan","Feb","Mar","Apr","May","Jun","Jul","Aug","Sep","Oct","Nov","Dec"},0),VALUE(LEFT(raw_data!B773,2)))))),"")</f>
        <v>45485</v>
      </c>
      <c r="C773" s="4" t="n">
        <f aca="false">IFERROR(IF(MID(raw_data!C773,3,1)="/",DATE(VALUE(RIGHT(raw_data!C773,4)),VALUE(LEFT(raw_data!C773,2)),VALUE(MID(raw_data!C773,4,2))),IF(MID(raw_data!C773,3,1)="-",DATE(VALUE(RIGHT(raw_data!C773,4)),VALUE(MID(raw_data!C773,4,2)),VALUE(LEFT(raw_data!C773,2))),IF(MID(raw_data!C773,5,1)="-",DATE(VALUE(LEFT(raw_data!C773,4)),VALUE(MID(raw_data!C773,6,2)),VALUE(RIGHT(raw_data!C773,2))),DATE(VALUE(RIGHT(raw_data!C773,4)),MATCH(MID(raw_data!C773,4,3),{"Jan","Feb","Mar","Apr","May","Jun","Jul","Aug","Sep","Oct","Nov","Dec"},0),VALUE(LEFT(raw_data!C773,2)))))),"")</f>
        <v>45487</v>
      </c>
      <c r="D773" s="3" t="str">
        <f aca="false">IF(TRIM(raw_data!B773)="","Missing",IF(B773="","Invalid/Unrecognized","Valid"))</f>
        <v>Valid</v>
      </c>
      <c r="E773" s="3" t="str">
        <f aca="false">IF(TRIM(raw_data!C773)="","Missing",IF(C773="","Invalid/Unrecognized","Valid"))</f>
        <v>Valid</v>
      </c>
      <c r="F773" s="5" t="n">
        <f aca="false">IF(OR(B773="",C773=""),"",C773-B773)</f>
        <v>2</v>
      </c>
      <c r="G773" s="3" t="str">
        <f aca="false">IF(F773="","N/A",IF(F773&lt;0,"Invalid - Ship Before Order","OK"))</f>
        <v>OK</v>
      </c>
      <c r="H773" s="3" t="str">
        <f aca="false">raw_data!D773</f>
        <v>CUST-7861</v>
      </c>
      <c r="I773" s="3" t="str">
        <f aca="false">PROPER(TRIM(raw_data!E773))</f>
        <v>Ananya Rao</v>
      </c>
      <c r="J773" s="3" t="str">
        <f aca="false">PROPER(TRIM(raw_data!F773))</f>
        <v>Consumer</v>
      </c>
      <c r="K773" s="3" t="str">
        <f aca="false">IF(TRIM(raw_data!G773)="","Unknown",PROPER(TRIM(raw_data!G773)))</f>
        <v>North</v>
      </c>
      <c r="L773" s="3" t="str">
        <f aca="false">IF(TRIM(raw_data!G773)="","Filled - Unknown","OK")</f>
        <v>OK</v>
      </c>
      <c r="M773" s="3" t="str">
        <f aca="false">PROPER(TRIM(raw_data!H773))</f>
        <v>Haryana</v>
      </c>
      <c r="N773" s="3" t="str">
        <f aca="false">PROPER(TRIM(raw_data!I773))</f>
        <v>Gurugram</v>
      </c>
      <c r="O773" s="3" t="str">
        <f aca="false">PROPER(TRIM(raw_data!J773))</f>
        <v>Technology</v>
      </c>
      <c r="P773" s="3" t="str">
        <f aca="false">PROPER(TRIM(raw_data!K773))</f>
        <v>Machines</v>
      </c>
      <c r="Q773" s="3" t="str">
        <f aca="false">TRIM(raw_data!L773)</f>
        <v>Basic Machines 401</v>
      </c>
      <c r="R773" s="3" t="str">
        <f aca="false">IF(TRIM(raw_data!M773)="","Unknown",PROPER(TRIM(raw_data!M773)))</f>
        <v>Second Class</v>
      </c>
      <c r="S773" s="3" t="str">
        <f aca="false">IF(TRIM(raw_data!M773)="","Filled - Unknown","OK")</f>
        <v>OK</v>
      </c>
      <c r="T773" s="6" t="n">
        <f aca="false">raw_data!N773</f>
        <v>4</v>
      </c>
      <c r="U773" s="7" t="n">
        <f aca="false">raw_data!O773</f>
        <v>2131.41</v>
      </c>
      <c r="V773" s="8" t="n">
        <f aca="false">raw_data!P773</f>
        <v>0</v>
      </c>
      <c r="W773" s="8" t="n">
        <f aca="false">IF(raw_data!P773="",0,IF(ISTEXT(raw_data!P773),IF(RIGHT(raw_data!P773,1)="%",VALUE(LEFT(raw_data!P773,LEN(raw_data!P773)-1))/100,VALUE(raw_data!P773)),raw_data!P773))</f>
        <v>0</v>
      </c>
      <c r="X773" s="3" t="str">
        <f aca="false">IF(raw_data!P773="","Missing - Defaulted to 0",IF(W773&lt;0,"Negative - Invalid",IF(W773&gt;0.3,"Above Allowed Range - Invalid","Valid")))</f>
        <v>Missing - Defaulted to 0</v>
      </c>
      <c r="Y773" s="7" t="n">
        <f aca="false">raw_data!Q773</f>
        <v>6394.23</v>
      </c>
      <c r="Z773" s="7" t="n">
        <f aca="false">raw_data!R773</f>
        <v>3520.69</v>
      </c>
      <c r="AA773" s="7" t="n">
        <f aca="false">raw_data!S773</f>
        <v>2873.54</v>
      </c>
      <c r="AB773" s="3" t="str">
        <f aca="false">PROPER(TRIM(raw_data!T773))</f>
        <v>Paid</v>
      </c>
      <c r="AC773" s="3" t="str">
        <f aca="false">PROPER(TRIM(raw_data!U773))</f>
        <v>Completed</v>
      </c>
      <c r="AD773" s="7" t="n">
        <f aca="false">T773*U773*(1-W773)</f>
        <v>8525.64</v>
      </c>
      <c r="AE773" s="7" t="n">
        <f aca="false">AD773-Z773</f>
        <v>5004.95</v>
      </c>
      <c r="AF773" s="8" t="n">
        <f aca="false">IF(AD773=0,0,AE773/AD773)</f>
        <v>0.587046837539469</v>
      </c>
      <c r="AG773" s="3" t="str">
        <f aca="false">IF(ABS(Y773-AD773)&gt;1,"Mismatch","OK")</f>
        <v>Mismatch</v>
      </c>
      <c r="AH773" s="3" t="str">
        <f aca="false">IF(ABS(AA773-AE773)&gt;1,"Mismatch","OK")</f>
        <v>Mismatch</v>
      </c>
      <c r="AI773" s="6" t="n">
        <f aca="false">IF(B773="","",MONTH(B773))</f>
        <v>7</v>
      </c>
      <c r="AJ773" s="6" t="n">
        <f aca="false">IF(B773="","",YEAR(B773))</f>
        <v>2024</v>
      </c>
      <c r="AK773" s="3" t="str">
        <f aca="false">IF(COUNTIF(raw_data!$A$2:$A$913,A773)&gt;1,"Conflicting Duplicate - Flagged for Review","Unique")</f>
        <v>Unique</v>
      </c>
      <c r="AL773" s="3" t="str">
        <f aca="false">IF(AB773="Refunded","Yes","No")</f>
        <v>No</v>
      </c>
      <c r="AM773" s="3" t="str">
        <f aca="false">IF(OR(AC773&lt;&gt;"Completed",AB773="Failed"),"Excluded","Included")</f>
        <v>Included</v>
      </c>
      <c r="AN773" s="3" t="str">
        <f aca="false">IF(OR(D773="Invalid/Unrecognized",E773="Invalid/Unrecognized",G773="Invalid - Ship Before Order",X773="Negative - Invalid",X773="Above Allowed Range - Invalid",AG773="Mismatch",AH773="Mismatch",AK773="Conflicting Duplicate - Flagged for Review"),"Invalid",IF(OR(L773="Filled - Unknown",S773="Filled - Unknown",X773="Missing - Defaulted to 0",AL773="Yes",AC773="Cancelled",AC773="Returned"),"Warning","Clean"))</f>
        <v>Invalid</v>
      </c>
    </row>
    <row r="774" customFormat="false" ht="15" hidden="false" customHeight="false" outlineLevel="0" collapsed="false">
      <c r="A774" s="3" t="str">
        <f aca="false">raw_data!A774</f>
        <v>ORD-2025-10773</v>
      </c>
      <c r="B774" s="4" t="n">
        <f aca="false">IFERROR(IF(MID(raw_data!B774,3,1)="/",DATE(VALUE(RIGHT(raw_data!B774,4)),VALUE(LEFT(raw_data!B774,2)),VALUE(MID(raw_data!B774,4,2))),IF(MID(raw_data!B774,3,1)="-",DATE(VALUE(RIGHT(raw_data!B774,4)),VALUE(MID(raw_data!B774,4,2)),VALUE(LEFT(raw_data!B774,2))),IF(MID(raw_data!B774,5,1)="-",DATE(VALUE(LEFT(raw_data!B774,4)),VALUE(MID(raw_data!B774,6,2)),VALUE(RIGHT(raw_data!B774,2))),DATE(VALUE(RIGHT(raw_data!B774,4)),MATCH(MID(raw_data!B774,4,3),{"Jan","Feb","Mar","Apr","May","Jun","Jul","Aug","Sep","Oct","Nov","Dec"},0),VALUE(LEFT(raw_data!B774,2)))))),"")</f>
        <v>45853</v>
      </c>
      <c r="C774" s="4" t="n">
        <f aca="false">IFERROR(IF(MID(raw_data!C774,3,1)="/",DATE(VALUE(RIGHT(raw_data!C774,4)),VALUE(LEFT(raw_data!C774,2)),VALUE(MID(raw_data!C774,4,2))),IF(MID(raw_data!C774,3,1)="-",DATE(VALUE(RIGHT(raw_data!C774,4)),VALUE(MID(raw_data!C774,4,2)),VALUE(LEFT(raw_data!C774,2))),IF(MID(raw_data!C774,5,1)="-",DATE(VALUE(LEFT(raw_data!C774,4)),VALUE(MID(raw_data!C774,6,2)),VALUE(RIGHT(raw_data!C774,2))),DATE(VALUE(RIGHT(raw_data!C774,4)),MATCH(MID(raw_data!C774,4,3),{"Jan","Feb","Mar","Apr","May","Jun","Jul","Aug","Sep","Oct","Nov","Dec"},0),VALUE(LEFT(raw_data!C774,2)))))),"")</f>
        <v>45857</v>
      </c>
      <c r="D774" s="3" t="str">
        <f aca="false">IF(TRIM(raw_data!B774)="","Missing",IF(B774="","Invalid/Unrecognized","Valid"))</f>
        <v>Valid</v>
      </c>
      <c r="E774" s="3" t="str">
        <f aca="false">IF(TRIM(raw_data!C774)="","Missing",IF(C774="","Invalid/Unrecognized","Valid"))</f>
        <v>Valid</v>
      </c>
      <c r="F774" s="5" t="n">
        <f aca="false">IF(OR(B774="",C774=""),"",C774-B774)</f>
        <v>4</v>
      </c>
      <c r="G774" s="3" t="str">
        <f aca="false">IF(F774="","N/A",IF(F774&lt;0,"Invalid - Ship Before Order","OK"))</f>
        <v>OK</v>
      </c>
      <c r="H774" s="3" t="str">
        <f aca="false">raw_data!D774</f>
        <v>CUST-8422</v>
      </c>
      <c r="I774" s="3" t="str">
        <f aca="false">PROPER(TRIM(raw_data!E774))</f>
        <v>Diya Patel</v>
      </c>
      <c r="J774" s="3" t="str">
        <f aca="false">PROPER(TRIM(raw_data!F774))</f>
        <v>Consumer</v>
      </c>
      <c r="K774" s="3" t="str">
        <f aca="false">IF(TRIM(raw_data!G774)="","Unknown",PROPER(TRIM(raw_data!G774)))</f>
        <v>South</v>
      </c>
      <c r="L774" s="3" t="str">
        <f aca="false">IF(TRIM(raw_data!G774)="","Filled - Unknown","OK")</f>
        <v>OK</v>
      </c>
      <c r="M774" s="3" t="str">
        <f aca="false">PROPER(TRIM(raw_data!H774))</f>
        <v>Tamil Nadu</v>
      </c>
      <c r="N774" s="3" t="str">
        <f aca="false">PROPER(TRIM(raw_data!I774))</f>
        <v>Chennai</v>
      </c>
      <c r="O774" s="3" t="str">
        <f aca="false">PROPER(TRIM(raw_data!J774))</f>
        <v>Furniture</v>
      </c>
      <c r="P774" s="3" t="str">
        <f aca="false">PROPER(TRIM(raw_data!K774))</f>
        <v>Chairs</v>
      </c>
      <c r="Q774" s="3" t="str">
        <f aca="false">TRIM(raw_data!L774)</f>
        <v>Basic Chairs 279</v>
      </c>
      <c r="R774" s="3" t="str">
        <f aca="false">IF(TRIM(raw_data!M774)="","Unknown",PROPER(TRIM(raw_data!M774)))</f>
        <v>Same Day</v>
      </c>
      <c r="S774" s="3" t="str">
        <f aca="false">IF(TRIM(raw_data!M774)="","Filled - Unknown","OK")</f>
        <v>OK</v>
      </c>
      <c r="T774" s="6" t="n">
        <f aca="false">raw_data!N774</f>
        <v>1</v>
      </c>
      <c r="U774" s="7" t="n">
        <f aca="false">raw_data!O774</f>
        <v>3903.22</v>
      </c>
      <c r="V774" s="8" t="n">
        <f aca="false">raw_data!P774</f>
        <v>0.05</v>
      </c>
      <c r="W774" s="8" t="n">
        <f aca="false">IF(raw_data!P774="",0,IF(ISTEXT(raw_data!P774),IF(RIGHT(raw_data!P774,1)="%",VALUE(LEFT(raw_data!P774,LEN(raw_data!P774)-1))/100,VALUE(raw_data!P774)),raw_data!P774))</f>
        <v>0.05</v>
      </c>
      <c r="X774" s="3" t="str">
        <f aca="false">IF(raw_data!P774="","Missing - Defaulted to 0",IF(W774&lt;0,"Negative - Invalid",IF(W774&gt;0.3,"Above Allowed Range - Invalid","Valid")))</f>
        <v>Valid</v>
      </c>
      <c r="Y774" s="7" t="n">
        <f aca="false">raw_data!Q774</f>
        <v>3708.06</v>
      </c>
      <c r="Z774" s="7" t="n">
        <f aca="false">raw_data!R774</f>
        <v>2760.29</v>
      </c>
      <c r="AA774" s="7" t="n">
        <f aca="false">raw_data!S774</f>
        <v>947.77</v>
      </c>
      <c r="AB774" s="3" t="str">
        <f aca="false">PROPER(TRIM(raw_data!T774))</f>
        <v>Pending</v>
      </c>
      <c r="AC774" s="3" t="str">
        <f aca="false">PROPER(TRIM(raw_data!U774))</f>
        <v>Cancelled</v>
      </c>
      <c r="AD774" s="7" t="n">
        <f aca="false">T774*U774*(1-W774)</f>
        <v>3708.059</v>
      </c>
      <c r="AE774" s="7" t="n">
        <f aca="false">AD774-Z774</f>
        <v>947.769</v>
      </c>
      <c r="AF774" s="8" t="n">
        <f aca="false">IF(AD774=0,0,AE774/AD774)</f>
        <v>0.255597065742481</v>
      </c>
      <c r="AG774" s="3" t="str">
        <f aca="false">IF(ABS(Y774-AD774)&gt;1,"Mismatch","OK")</f>
        <v>OK</v>
      </c>
      <c r="AH774" s="3" t="str">
        <f aca="false">IF(ABS(AA774-AE774)&gt;1,"Mismatch","OK")</f>
        <v>OK</v>
      </c>
      <c r="AI774" s="6" t="n">
        <f aca="false">IF(B774="","",MONTH(B774))</f>
        <v>7</v>
      </c>
      <c r="AJ774" s="6" t="n">
        <f aca="false">IF(B774="","",YEAR(B774))</f>
        <v>2025</v>
      </c>
      <c r="AK774" s="3" t="str">
        <f aca="false">IF(COUNTIF(raw_data!$A$2:$A$913,A774)&gt;1,"Conflicting Duplicate - Flagged for Review","Unique")</f>
        <v>Unique</v>
      </c>
      <c r="AL774" s="3" t="str">
        <f aca="false">IF(AB774="Refunded","Yes","No")</f>
        <v>No</v>
      </c>
      <c r="AM774" s="3" t="str">
        <f aca="false">IF(OR(AC774&lt;&gt;"Completed",AB774="Failed"),"Excluded","Included")</f>
        <v>Excluded</v>
      </c>
      <c r="AN774" s="3" t="str">
        <f aca="false">IF(OR(D774="Invalid/Unrecognized",E774="Invalid/Unrecognized",G774="Invalid - Ship Before Order",X774="Negative - Invalid",X774="Above Allowed Range - Invalid",AG774="Mismatch",AH774="Mismatch",AK774="Conflicting Duplicate - Flagged for Review"),"Invalid",IF(OR(L774="Filled - Unknown",S774="Filled - Unknown",X774="Missing - Defaulted to 0",AL774="Yes",AC774="Cancelled",AC774="Returned"),"Warning","Clean"))</f>
        <v>Warning</v>
      </c>
    </row>
    <row r="775" customFormat="false" ht="15" hidden="false" customHeight="false" outlineLevel="0" collapsed="false">
      <c r="A775" s="3" t="str">
        <f aca="false">raw_data!A775</f>
        <v>ORD-2025-10774</v>
      </c>
      <c r="B775" s="4" t="n">
        <f aca="false">IFERROR(IF(MID(raw_data!B775,3,1)="/",DATE(VALUE(RIGHT(raw_data!B775,4)),VALUE(LEFT(raw_data!B775,2)),VALUE(MID(raw_data!B775,4,2))),IF(MID(raw_data!B775,3,1)="-",DATE(VALUE(RIGHT(raw_data!B775,4)),VALUE(MID(raw_data!B775,4,2)),VALUE(LEFT(raw_data!B775,2))),IF(MID(raw_data!B775,5,1)="-",DATE(VALUE(LEFT(raw_data!B775,4)),VALUE(MID(raw_data!B775,6,2)),VALUE(RIGHT(raw_data!B775,2))),DATE(VALUE(RIGHT(raw_data!B775,4)),MATCH(MID(raw_data!B775,4,3),{"Jan","Feb","Mar","Apr","May","Jun","Jul","Aug","Sep","Oct","Nov","Dec"},0),VALUE(LEFT(raw_data!B775,2)))))),"")</f>
        <v>45709</v>
      </c>
      <c r="C775" s="4" t="n">
        <f aca="false">IFERROR(IF(MID(raw_data!C775,3,1)="/",DATE(VALUE(RIGHT(raw_data!C775,4)),VALUE(LEFT(raw_data!C775,2)),VALUE(MID(raw_data!C775,4,2))),IF(MID(raw_data!C775,3,1)="-",DATE(VALUE(RIGHT(raw_data!C775,4)),VALUE(MID(raw_data!C775,4,2)),VALUE(LEFT(raw_data!C775,2))),IF(MID(raw_data!C775,5,1)="-",DATE(VALUE(LEFT(raw_data!C775,4)),VALUE(MID(raw_data!C775,6,2)),VALUE(RIGHT(raw_data!C775,2))),DATE(VALUE(RIGHT(raw_data!C775,4)),MATCH(MID(raw_data!C775,4,3),{"Jan","Feb","Mar","Apr","May","Jun","Jul","Aug","Sep","Oct","Nov","Dec"},0),VALUE(LEFT(raw_data!C775,2)))))),"")</f>
        <v>45709</v>
      </c>
      <c r="D775" s="3" t="str">
        <f aca="false">IF(TRIM(raw_data!B775)="","Missing",IF(B775="","Invalid/Unrecognized","Valid"))</f>
        <v>Valid</v>
      </c>
      <c r="E775" s="3" t="str">
        <f aca="false">IF(TRIM(raw_data!C775)="","Missing",IF(C775="","Invalid/Unrecognized","Valid"))</f>
        <v>Valid</v>
      </c>
      <c r="F775" s="5" t="n">
        <f aca="false">IF(OR(B775="",C775=""),"",C775-B775)</f>
        <v>0</v>
      </c>
      <c r="G775" s="3" t="str">
        <f aca="false">IF(F775="","N/A",IF(F775&lt;0,"Invalid - Ship Before Order","OK"))</f>
        <v>OK</v>
      </c>
      <c r="H775" s="3" t="str">
        <f aca="false">raw_data!D775</f>
        <v>CUST-4766</v>
      </c>
      <c r="I775" s="3" t="str">
        <f aca="false">PROPER(TRIM(raw_data!E775))</f>
        <v>Karan Malhotra</v>
      </c>
      <c r="J775" s="3" t="str">
        <f aca="false">PROPER(TRIM(raw_data!F775))</f>
        <v>Home Office</v>
      </c>
      <c r="K775" s="3" t="str">
        <f aca="false">IF(TRIM(raw_data!G775)="","Unknown",PROPER(TRIM(raw_data!G775)))</f>
        <v>West</v>
      </c>
      <c r="L775" s="3" t="str">
        <f aca="false">IF(TRIM(raw_data!G775)="","Filled - Unknown","OK")</f>
        <v>OK</v>
      </c>
      <c r="M775" s="3" t="str">
        <f aca="false">PROPER(TRIM(raw_data!H775))</f>
        <v>Gujarat</v>
      </c>
      <c r="N775" s="3" t="str">
        <f aca="false">PROPER(TRIM(raw_data!I775))</f>
        <v>Ahmedabad</v>
      </c>
      <c r="O775" s="3" t="str">
        <f aca="false">PROPER(TRIM(raw_data!J775))</f>
        <v>Technology</v>
      </c>
      <c r="P775" s="3" t="str">
        <f aca="false">PROPER(TRIM(raw_data!K775))</f>
        <v>Phones</v>
      </c>
      <c r="Q775" s="3" t="str">
        <f aca="false">TRIM(raw_data!L775)</f>
        <v>Basic Phones 753</v>
      </c>
      <c r="R775" s="3" t="str">
        <f aca="false">IF(TRIM(raw_data!M775)="","Unknown",PROPER(TRIM(raw_data!M775)))</f>
        <v>Unknown</v>
      </c>
      <c r="S775" s="3" t="str">
        <f aca="false">IF(TRIM(raw_data!M775)="","Filled - Unknown","OK")</f>
        <v>Filled - Unknown</v>
      </c>
      <c r="T775" s="6" t="n">
        <f aca="false">raw_data!N775</f>
        <v>4</v>
      </c>
      <c r="U775" s="7" t="n">
        <f aca="false">raw_data!O775</f>
        <v>2945.07</v>
      </c>
      <c r="V775" s="8" t="n">
        <f aca="false">raw_data!P775</f>
        <v>0.2</v>
      </c>
      <c r="W775" s="8" t="n">
        <f aca="false">IF(raw_data!P775="",0,IF(ISTEXT(raw_data!P775),IF(RIGHT(raw_data!P775,1)="%",VALUE(LEFT(raw_data!P775,LEN(raw_data!P775)-1))/100,VALUE(raw_data!P775)),raw_data!P775))</f>
        <v>0.2</v>
      </c>
      <c r="X775" s="3" t="str">
        <f aca="false">IF(raw_data!P775="","Missing - Defaulted to 0",IF(W775&lt;0,"Negative - Invalid",IF(W775&gt;0.3,"Above Allowed Range - Invalid","Valid")))</f>
        <v>Valid</v>
      </c>
      <c r="Y775" s="7" t="n">
        <f aca="false">raw_data!Q775</f>
        <v>9424.22</v>
      </c>
      <c r="Z775" s="7" t="n">
        <f aca="false">raw_data!R775</f>
        <v>6178.92</v>
      </c>
      <c r="AA775" s="7" t="n">
        <f aca="false">raw_data!S775</f>
        <v>3245.3</v>
      </c>
      <c r="AB775" s="3" t="str">
        <f aca="false">PROPER(TRIM(raw_data!T775))</f>
        <v>Paid</v>
      </c>
      <c r="AC775" s="3" t="str">
        <f aca="false">PROPER(TRIM(raw_data!U775))</f>
        <v>Completed</v>
      </c>
      <c r="AD775" s="7" t="n">
        <f aca="false">T775*U775*(1-W775)</f>
        <v>9424.224</v>
      </c>
      <c r="AE775" s="7" t="n">
        <f aca="false">AD775-Z775</f>
        <v>3245.304</v>
      </c>
      <c r="AF775" s="8" t="n">
        <f aca="false">IF(AD775=0,0,AE775/AD775)</f>
        <v>0.344357689290917</v>
      </c>
      <c r="AG775" s="3" t="str">
        <f aca="false">IF(ABS(Y775-AD775)&gt;1,"Mismatch","OK")</f>
        <v>OK</v>
      </c>
      <c r="AH775" s="3" t="str">
        <f aca="false">IF(ABS(AA775-AE775)&gt;1,"Mismatch","OK")</f>
        <v>OK</v>
      </c>
      <c r="AI775" s="6" t="n">
        <f aca="false">IF(B775="","",MONTH(B775))</f>
        <v>2</v>
      </c>
      <c r="AJ775" s="6" t="n">
        <f aca="false">IF(B775="","",YEAR(B775))</f>
        <v>2025</v>
      </c>
      <c r="AK775" s="3" t="str">
        <f aca="false">IF(COUNTIF(raw_data!$A$2:$A$913,A775)&gt;1,"Conflicting Duplicate - Flagged for Review","Unique")</f>
        <v>Unique</v>
      </c>
      <c r="AL775" s="3" t="str">
        <f aca="false">IF(AB775="Refunded","Yes","No")</f>
        <v>No</v>
      </c>
      <c r="AM775" s="3" t="str">
        <f aca="false">IF(OR(AC775&lt;&gt;"Completed",AB775="Failed"),"Excluded","Included")</f>
        <v>Included</v>
      </c>
      <c r="AN775" s="3" t="str">
        <f aca="false">IF(OR(D775="Invalid/Unrecognized",E775="Invalid/Unrecognized",G775="Invalid - Ship Before Order",X775="Negative - Invalid",X775="Above Allowed Range - Invalid",AG775="Mismatch",AH775="Mismatch",AK775="Conflicting Duplicate - Flagged for Review"),"Invalid",IF(OR(L775="Filled - Unknown",S775="Filled - Unknown",X775="Missing - Defaulted to 0",AL775="Yes",AC775="Cancelled",AC775="Returned"),"Warning","Clean"))</f>
        <v>Warning</v>
      </c>
    </row>
    <row r="776" customFormat="false" ht="15" hidden="false" customHeight="false" outlineLevel="0" collapsed="false">
      <c r="A776" s="3" t="str">
        <f aca="false">raw_data!A776</f>
        <v>ORD-2025-10775</v>
      </c>
      <c r="B776" s="4" t="n">
        <f aca="false">IFERROR(IF(MID(raw_data!B776,3,1)="/",DATE(VALUE(RIGHT(raw_data!B776,4)),VALUE(LEFT(raw_data!B776,2)),VALUE(MID(raw_data!B776,4,2))),IF(MID(raw_data!B776,3,1)="-",DATE(VALUE(RIGHT(raw_data!B776,4)),VALUE(MID(raw_data!B776,4,2)),VALUE(LEFT(raw_data!B776,2))),IF(MID(raw_data!B776,5,1)="-",DATE(VALUE(LEFT(raw_data!B776,4)),VALUE(MID(raw_data!B776,6,2)),VALUE(RIGHT(raw_data!B776,2))),DATE(VALUE(RIGHT(raw_data!B776,4)),MATCH(MID(raw_data!B776,4,3),{"Jan","Feb","Mar","Apr","May","Jun","Jul","Aug","Sep","Oct","Nov","Dec"},0),VALUE(LEFT(raw_data!B776,2)))))),"")</f>
        <v>45876</v>
      </c>
      <c r="C776" s="4" t="n">
        <f aca="false">IFERROR(IF(MID(raw_data!C776,3,1)="/",DATE(VALUE(RIGHT(raw_data!C776,4)),VALUE(LEFT(raw_data!C776,2)),VALUE(MID(raw_data!C776,4,2))),IF(MID(raw_data!C776,3,1)="-",DATE(VALUE(RIGHT(raw_data!C776,4)),VALUE(MID(raw_data!C776,4,2)),VALUE(LEFT(raw_data!C776,2))),IF(MID(raw_data!C776,5,1)="-",DATE(VALUE(LEFT(raw_data!C776,4)),VALUE(MID(raw_data!C776,6,2)),VALUE(RIGHT(raw_data!C776,2))),DATE(VALUE(RIGHT(raw_data!C776,4)),MATCH(MID(raw_data!C776,4,3),{"Jan","Feb","Mar","Apr","May","Jun","Jul","Aug","Sep","Oct","Nov","Dec"},0),VALUE(LEFT(raw_data!C776,2)))))),"")</f>
        <v>45876</v>
      </c>
      <c r="D776" s="3" t="str">
        <f aca="false">IF(TRIM(raw_data!B776)="","Missing",IF(B776="","Invalid/Unrecognized","Valid"))</f>
        <v>Valid</v>
      </c>
      <c r="E776" s="3" t="str">
        <f aca="false">IF(TRIM(raw_data!C776)="","Missing",IF(C776="","Invalid/Unrecognized","Valid"))</f>
        <v>Valid</v>
      </c>
      <c r="F776" s="5" t="n">
        <f aca="false">IF(OR(B776="",C776=""),"",C776-B776)</f>
        <v>0</v>
      </c>
      <c r="G776" s="3" t="str">
        <f aca="false">IF(F776="","N/A",IF(F776&lt;0,"Invalid - Ship Before Order","OK"))</f>
        <v>OK</v>
      </c>
      <c r="H776" s="3" t="str">
        <f aca="false">raw_data!D776</f>
        <v>CUST-1182</v>
      </c>
      <c r="I776" s="3" t="str">
        <f aca="false">PROPER(TRIM(raw_data!E776))</f>
        <v>Kabir Singh</v>
      </c>
      <c r="J776" s="3" t="str">
        <f aca="false">PROPER(TRIM(raw_data!F776))</f>
        <v>Consumer</v>
      </c>
      <c r="K776" s="3" t="str">
        <f aca="false">IF(TRIM(raw_data!G776)="","Unknown",PROPER(TRIM(raw_data!G776)))</f>
        <v>West</v>
      </c>
      <c r="L776" s="3" t="str">
        <f aca="false">IF(TRIM(raw_data!G776)="","Filled - Unknown","OK")</f>
        <v>OK</v>
      </c>
      <c r="M776" s="3" t="str">
        <f aca="false">PROPER(TRIM(raw_data!H776))</f>
        <v>Rajasthan</v>
      </c>
      <c r="N776" s="3" t="str">
        <f aca="false">PROPER(TRIM(raw_data!I776))</f>
        <v>Udaipur</v>
      </c>
      <c r="O776" s="3" t="str">
        <f aca="false">PROPER(TRIM(raw_data!J776))</f>
        <v>Technology</v>
      </c>
      <c r="P776" s="3" t="str">
        <f aca="false">PROPER(TRIM(raw_data!K776))</f>
        <v>Machines</v>
      </c>
      <c r="Q776" s="3" t="str">
        <f aca="false">TRIM(raw_data!L776)</f>
        <v>Smart Machines 789</v>
      </c>
      <c r="R776" s="3" t="str">
        <f aca="false">IF(TRIM(raw_data!M776)="","Unknown",PROPER(TRIM(raw_data!M776)))</f>
        <v>Unknown</v>
      </c>
      <c r="S776" s="3" t="str">
        <f aca="false">IF(TRIM(raw_data!M776)="","Filled - Unknown","OK")</f>
        <v>Filled - Unknown</v>
      </c>
      <c r="T776" s="6" t="n">
        <f aca="false">raw_data!N776</f>
        <v>9</v>
      </c>
      <c r="U776" s="7" t="n">
        <f aca="false">raw_data!O776</f>
        <v>1076.75</v>
      </c>
      <c r="V776" s="8" t="n">
        <f aca="false">raw_data!P776</f>
        <v>0.2</v>
      </c>
      <c r="W776" s="8" t="n">
        <f aca="false">IF(raw_data!P776="",0,IF(ISTEXT(raw_data!P776),IF(RIGHT(raw_data!P776,1)="%",VALUE(LEFT(raw_data!P776,LEN(raw_data!P776)-1))/100,VALUE(raw_data!P776)),raw_data!P776))</f>
        <v>0.2</v>
      </c>
      <c r="X776" s="3" t="str">
        <f aca="false">IF(raw_data!P776="","Missing - Defaulted to 0",IF(W776&lt;0,"Negative - Invalid",IF(W776&gt;0.3,"Above Allowed Range - Invalid","Valid")))</f>
        <v>Valid</v>
      </c>
      <c r="Y776" s="7" t="n">
        <f aca="false">raw_data!Q776</f>
        <v>7752.6</v>
      </c>
      <c r="Z776" s="7" t="n">
        <f aca="false">raw_data!R776</f>
        <v>4689.3</v>
      </c>
      <c r="AA776" s="7" t="n">
        <f aca="false">raw_data!S776</f>
        <v>3063.3</v>
      </c>
      <c r="AB776" s="3" t="str">
        <f aca="false">PROPER(TRIM(raw_data!T776))</f>
        <v>Paid</v>
      </c>
      <c r="AC776" s="3" t="str">
        <f aca="false">PROPER(TRIM(raw_data!U776))</f>
        <v>Completed</v>
      </c>
      <c r="AD776" s="7" t="n">
        <f aca="false">T776*U776*(1-W776)</f>
        <v>7752.6</v>
      </c>
      <c r="AE776" s="7" t="n">
        <f aca="false">AD776-Z776</f>
        <v>3063.3</v>
      </c>
      <c r="AF776" s="8" t="n">
        <f aca="false">IF(AD776=0,0,AE776/AD776)</f>
        <v>0.395131955730981</v>
      </c>
      <c r="AG776" s="3" t="str">
        <f aca="false">IF(ABS(Y776-AD776)&gt;1,"Mismatch","OK")</f>
        <v>OK</v>
      </c>
      <c r="AH776" s="3" t="str">
        <f aca="false">IF(ABS(AA776-AE776)&gt;1,"Mismatch","OK")</f>
        <v>OK</v>
      </c>
      <c r="AI776" s="6" t="n">
        <f aca="false">IF(B776="","",MONTH(B776))</f>
        <v>8</v>
      </c>
      <c r="AJ776" s="6" t="n">
        <f aca="false">IF(B776="","",YEAR(B776))</f>
        <v>2025</v>
      </c>
      <c r="AK776" s="3" t="str">
        <f aca="false">IF(COUNTIF(raw_data!$A$2:$A$913,A776)&gt;1,"Conflicting Duplicate - Flagged for Review","Unique")</f>
        <v>Unique</v>
      </c>
      <c r="AL776" s="3" t="str">
        <f aca="false">IF(AB776="Refunded","Yes","No")</f>
        <v>No</v>
      </c>
      <c r="AM776" s="3" t="str">
        <f aca="false">IF(OR(AC776&lt;&gt;"Completed",AB776="Failed"),"Excluded","Included")</f>
        <v>Included</v>
      </c>
      <c r="AN776" s="3" t="str">
        <f aca="false">IF(OR(D776="Invalid/Unrecognized",E776="Invalid/Unrecognized",G776="Invalid - Ship Before Order",X776="Negative - Invalid",X776="Above Allowed Range - Invalid",AG776="Mismatch",AH776="Mismatch",AK776="Conflicting Duplicate - Flagged for Review"),"Invalid",IF(OR(L776="Filled - Unknown",S776="Filled - Unknown",X776="Missing - Defaulted to 0",AL776="Yes",AC776="Cancelled",AC776="Returned"),"Warning","Clean"))</f>
        <v>Warning</v>
      </c>
    </row>
    <row r="777" customFormat="false" ht="15" hidden="false" customHeight="false" outlineLevel="0" collapsed="false">
      <c r="A777" s="3" t="str">
        <f aca="false">raw_data!A777</f>
        <v>ORD-2024-10776</v>
      </c>
      <c r="B777" s="4" t="n">
        <f aca="false">IFERROR(IF(MID(raw_data!B777,3,1)="/",DATE(VALUE(RIGHT(raw_data!B777,4)),VALUE(LEFT(raw_data!B777,2)),VALUE(MID(raw_data!B777,4,2))),IF(MID(raw_data!B777,3,1)="-",DATE(VALUE(RIGHT(raw_data!B777,4)),VALUE(MID(raw_data!B777,4,2)),VALUE(LEFT(raw_data!B777,2))),IF(MID(raw_data!B777,5,1)="-",DATE(VALUE(LEFT(raw_data!B777,4)),VALUE(MID(raw_data!B777,6,2)),VALUE(RIGHT(raw_data!B777,2))),DATE(VALUE(RIGHT(raw_data!B777,4)),MATCH(MID(raw_data!B777,4,3),{"Jan","Feb","Mar","Apr","May","Jun","Jul","Aug","Sep","Oct","Nov","Dec"},0),VALUE(LEFT(raw_data!B777,2)))))),"")</f>
        <v>45396</v>
      </c>
      <c r="C777" s="4" t="n">
        <f aca="false">IFERROR(IF(MID(raw_data!C777,3,1)="/",DATE(VALUE(RIGHT(raw_data!C777,4)),VALUE(LEFT(raw_data!C777,2)),VALUE(MID(raw_data!C777,4,2))),IF(MID(raw_data!C777,3,1)="-",DATE(VALUE(RIGHT(raw_data!C777,4)),VALUE(MID(raw_data!C777,4,2)),VALUE(LEFT(raw_data!C777,2))),IF(MID(raw_data!C777,5,1)="-",DATE(VALUE(LEFT(raw_data!C777,4)),VALUE(MID(raw_data!C777,6,2)),VALUE(RIGHT(raw_data!C777,2))),DATE(VALUE(RIGHT(raw_data!C777,4)),MATCH(MID(raw_data!C777,4,3),{"Jan","Feb","Mar","Apr","May","Jun","Jul","Aug","Sep","Oct","Nov","Dec"},0),VALUE(LEFT(raw_data!C777,2)))))),"")</f>
        <v>45404</v>
      </c>
      <c r="D777" s="3" t="str">
        <f aca="false">IF(TRIM(raw_data!B777)="","Missing",IF(B777="","Invalid/Unrecognized","Valid"))</f>
        <v>Valid</v>
      </c>
      <c r="E777" s="3" t="str">
        <f aca="false">IF(TRIM(raw_data!C777)="","Missing",IF(C777="","Invalid/Unrecognized","Valid"))</f>
        <v>Valid</v>
      </c>
      <c r="F777" s="5" t="n">
        <f aca="false">IF(OR(B777="",C777=""),"",C777-B777)</f>
        <v>8</v>
      </c>
      <c r="G777" s="3" t="str">
        <f aca="false">IF(F777="","N/A",IF(F777&lt;0,"Invalid - Ship Before Order","OK"))</f>
        <v>OK</v>
      </c>
      <c r="H777" s="3" t="str">
        <f aca="false">raw_data!D777</f>
        <v>CUST-4461</v>
      </c>
      <c r="I777" s="3" t="str">
        <f aca="false">PROPER(TRIM(raw_data!E777))</f>
        <v>Arjun Bose</v>
      </c>
      <c r="J777" s="3" t="str">
        <f aca="false">PROPER(TRIM(raw_data!F777))</f>
        <v>Consumer</v>
      </c>
      <c r="K777" s="3" t="str">
        <f aca="false">IF(TRIM(raw_data!G777)="","Unknown",PROPER(TRIM(raw_data!G777)))</f>
        <v>North</v>
      </c>
      <c r="L777" s="3" t="str">
        <f aca="false">IF(TRIM(raw_data!G777)="","Filled - Unknown","OK")</f>
        <v>OK</v>
      </c>
      <c r="M777" s="3" t="str">
        <f aca="false">PROPER(TRIM(raw_data!H777))</f>
        <v>Haryana</v>
      </c>
      <c r="N777" s="3" t="str">
        <f aca="false">PROPER(TRIM(raw_data!I777))</f>
        <v>Gurugram</v>
      </c>
      <c r="O777" s="3" t="str">
        <f aca="false">PROPER(TRIM(raw_data!J777))</f>
        <v>Technology</v>
      </c>
      <c r="P777" s="3" t="str">
        <f aca="false">PROPER(TRIM(raw_data!K777))</f>
        <v>Accessories</v>
      </c>
      <c r="Q777" s="3" t="str">
        <f aca="false">TRIM(raw_data!L777)</f>
        <v>Elite Accessories 312</v>
      </c>
      <c r="R777" s="3" t="str">
        <f aca="false">IF(TRIM(raw_data!M777)="","Unknown",PROPER(TRIM(raw_data!M777)))</f>
        <v>Standard Class</v>
      </c>
      <c r="S777" s="3" t="str">
        <f aca="false">IF(TRIM(raw_data!M777)="","Filled - Unknown","OK")</f>
        <v>OK</v>
      </c>
      <c r="T777" s="6" t="n">
        <f aca="false">raw_data!N777</f>
        <v>8</v>
      </c>
      <c r="U777" s="7" t="n">
        <f aca="false">raw_data!O777</f>
        <v>3956.12</v>
      </c>
      <c r="V777" s="8" t="n">
        <f aca="false">raw_data!P777</f>
        <v>0.25</v>
      </c>
      <c r="W777" s="8" t="n">
        <f aca="false">IF(raw_data!P777="",0,IF(ISTEXT(raw_data!P777),IF(RIGHT(raw_data!P777,1)="%",VALUE(LEFT(raw_data!P777,LEN(raw_data!P777)-1))/100,VALUE(raw_data!P777)),raw_data!P777))</f>
        <v>0.25</v>
      </c>
      <c r="X777" s="3" t="str">
        <f aca="false">IF(raw_data!P777="","Missing - Defaulted to 0",IF(W777&lt;0,"Negative - Invalid",IF(W777&gt;0.3,"Above Allowed Range - Invalid","Valid")))</f>
        <v>Valid</v>
      </c>
      <c r="Y777" s="7" t="n">
        <f aca="false">raw_data!Q777</f>
        <v>23736.72</v>
      </c>
      <c r="Z777" s="7" t="n">
        <f aca="false">raw_data!R777</f>
        <v>13890.9</v>
      </c>
      <c r="AA777" s="7" t="n">
        <f aca="false">raw_data!S777</f>
        <v>9845.82</v>
      </c>
      <c r="AB777" s="3" t="str">
        <f aca="false">PROPER(TRIM(raw_data!T777))</f>
        <v>Paid</v>
      </c>
      <c r="AC777" s="3" t="str">
        <f aca="false">PROPER(TRIM(raw_data!U777))</f>
        <v>Completed</v>
      </c>
      <c r="AD777" s="7" t="n">
        <f aca="false">T777*U777*(1-W777)</f>
        <v>23736.72</v>
      </c>
      <c r="AE777" s="7" t="n">
        <f aca="false">AD777-Z777</f>
        <v>9845.82</v>
      </c>
      <c r="AF777" s="8" t="n">
        <f aca="false">IF(AD777=0,0,AE777/AD777)</f>
        <v>0.414792776761069</v>
      </c>
      <c r="AG777" s="3" t="str">
        <f aca="false">IF(ABS(Y777-AD777)&gt;1,"Mismatch","OK")</f>
        <v>OK</v>
      </c>
      <c r="AH777" s="3" t="str">
        <f aca="false">IF(ABS(AA777-AE777)&gt;1,"Mismatch","OK")</f>
        <v>OK</v>
      </c>
      <c r="AI777" s="6" t="n">
        <f aca="false">IF(B777="","",MONTH(B777))</f>
        <v>4</v>
      </c>
      <c r="AJ777" s="6" t="n">
        <f aca="false">IF(B777="","",YEAR(B777))</f>
        <v>2024</v>
      </c>
      <c r="AK777" s="3" t="str">
        <f aca="false">IF(COUNTIF(raw_data!$A$2:$A$913,A777)&gt;1,"Conflicting Duplicate - Flagged for Review","Unique")</f>
        <v>Unique</v>
      </c>
      <c r="AL777" s="3" t="str">
        <f aca="false">IF(AB777="Refunded","Yes","No")</f>
        <v>No</v>
      </c>
      <c r="AM777" s="3" t="str">
        <f aca="false">IF(OR(AC777&lt;&gt;"Completed",AB777="Failed"),"Excluded","Included")</f>
        <v>Included</v>
      </c>
      <c r="AN777" s="3" t="str">
        <f aca="false">IF(OR(D777="Invalid/Unrecognized",E777="Invalid/Unrecognized",G777="Invalid - Ship Before Order",X777="Negative - Invalid",X777="Above Allowed Range - Invalid",AG777="Mismatch",AH777="Mismatch",AK777="Conflicting Duplicate - Flagged for Review"),"Invalid",IF(OR(L777="Filled - Unknown",S777="Filled - Unknown",X777="Missing - Defaulted to 0",AL777="Yes",AC777="Cancelled",AC777="Returned"),"Warning","Clean"))</f>
        <v>Clean</v>
      </c>
    </row>
    <row r="778" customFormat="false" ht="15" hidden="false" customHeight="false" outlineLevel="0" collapsed="false">
      <c r="A778" s="3" t="str">
        <f aca="false">raw_data!A778</f>
        <v>ORD-2025-10777</v>
      </c>
      <c r="B778" s="4" t="n">
        <f aca="false">IFERROR(IF(MID(raw_data!B778,3,1)="/",DATE(VALUE(RIGHT(raw_data!B778,4)),VALUE(LEFT(raw_data!B778,2)),VALUE(MID(raw_data!B778,4,2))),IF(MID(raw_data!B778,3,1)="-",DATE(VALUE(RIGHT(raw_data!B778,4)),VALUE(MID(raw_data!B778,4,2)),VALUE(LEFT(raw_data!B778,2))),IF(MID(raw_data!B778,5,1)="-",DATE(VALUE(LEFT(raw_data!B778,4)),VALUE(MID(raw_data!B778,6,2)),VALUE(RIGHT(raw_data!B778,2))),DATE(VALUE(RIGHT(raw_data!B778,4)),MATCH(MID(raw_data!B778,4,3),{"Jan","Feb","Mar","Apr","May","Jun","Jul","Aug","Sep","Oct","Nov","Dec"},0),VALUE(LEFT(raw_data!B778,2)))))),"")</f>
        <v>45816</v>
      </c>
      <c r="C778" s="4" t="n">
        <f aca="false">IFERROR(IF(MID(raw_data!C778,3,1)="/",DATE(VALUE(RIGHT(raw_data!C778,4)),VALUE(LEFT(raw_data!C778,2)),VALUE(MID(raw_data!C778,4,2))),IF(MID(raw_data!C778,3,1)="-",DATE(VALUE(RIGHT(raw_data!C778,4)),VALUE(MID(raw_data!C778,4,2)),VALUE(LEFT(raw_data!C778,2))),IF(MID(raw_data!C778,5,1)="-",DATE(VALUE(LEFT(raw_data!C778,4)),VALUE(MID(raw_data!C778,6,2)),VALUE(RIGHT(raw_data!C778,2))),DATE(VALUE(RIGHT(raw_data!C778,4)),MATCH(MID(raw_data!C778,4,3),{"Jan","Feb","Mar","Apr","May","Jun","Jul","Aug","Sep","Oct","Nov","Dec"},0),VALUE(LEFT(raw_data!C778,2)))))),"")</f>
        <v>45821</v>
      </c>
      <c r="D778" s="3" t="str">
        <f aca="false">IF(TRIM(raw_data!B778)="","Missing",IF(B778="","Invalid/Unrecognized","Valid"))</f>
        <v>Valid</v>
      </c>
      <c r="E778" s="3" t="str">
        <f aca="false">IF(TRIM(raw_data!C778)="","Missing",IF(C778="","Invalid/Unrecognized","Valid"))</f>
        <v>Valid</v>
      </c>
      <c r="F778" s="5" t="n">
        <f aca="false">IF(OR(B778="",C778=""),"",C778-B778)</f>
        <v>5</v>
      </c>
      <c r="G778" s="3" t="str">
        <f aca="false">IF(F778="","N/A",IF(F778&lt;0,"Invalid - Ship Before Order","OK"))</f>
        <v>OK</v>
      </c>
      <c r="H778" s="3" t="str">
        <f aca="false">raw_data!D778</f>
        <v>CUST-9690</v>
      </c>
      <c r="I778" s="3" t="str">
        <f aca="false">PROPER(TRIM(raw_data!E778))</f>
        <v>Aditi Sen</v>
      </c>
      <c r="J778" s="3" t="str">
        <f aca="false">PROPER(TRIM(raw_data!F778))</f>
        <v>Small Business</v>
      </c>
      <c r="K778" s="3" t="str">
        <f aca="false">IF(TRIM(raw_data!G778)="","Unknown",PROPER(TRIM(raw_data!G778)))</f>
        <v>North</v>
      </c>
      <c r="L778" s="3" t="str">
        <f aca="false">IF(TRIM(raw_data!G778)="","Filled - Unknown","OK")</f>
        <v>OK</v>
      </c>
      <c r="M778" s="3" t="str">
        <f aca="false">PROPER(TRIM(raw_data!H778))</f>
        <v>Rajasthan</v>
      </c>
      <c r="N778" s="3" t="str">
        <f aca="false">PROPER(TRIM(raw_data!I778))</f>
        <v>Jaipur</v>
      </c>
      <c r="O778" s="3" t="str">
        <f aca="false">PROPER(TRIM(raw_data!J778))</f>
        <v>Technology</v>
      </c>
      <c r="P778" s="3" t="str">
        <f aca="false">PROPER(TRIM(raw_data!K778))</f>
        <v>Copiers</v>
      </c>
      <c r="Q778" s="3" t="str">
        <f aca="false">TRIM(raw_data!L778)</f>
        <v>Eco Copiers 528</v>
      </c>
      <c r="R778" s="3" t="str">
        <f aca="false">IF(TRIM(raw_data!M778)="","Unknown",PROPER(TRIM(raw_data!M778)))</f>
        <v>Second Class</v>
      </c>
      <c r="S778" s="3" t="str">
        <f aca="false">IF(TRIM(raw_data!M778)="","Filled - Unknown","OK")</f>
        <v>OK</v>
      </c>
      <c r="T778" s="6" t="n">
        <f aca="false">raw_data!N778</f>
        <v>7</v>
      </c>
      <c r="U778" s="7" t="n">
        <f aca="false">raw_data!O778</f>
        <v>3857.13</v>
      </c>
      <c r="V778" s="8" t="n">
        <f aca="false">raw_data!P778</f>
        <v>0</v>
      </c>
      <c r="W778" s="8" t="n">
        <f aca="false">IF(raw_data!P778="",0,IF(ISTEXT(raw_data!P778),IF(RIGHT(raw_data!P778,1)="%",VALUE(LEFT(raw_data!P778,LEN(raw_data!P778)-1))/100,VALUE(raw_data!P778)),raw_data!P778))</f>
        <v>0</v>
      </c>
      <c r="X778" s="3" t="str">
        <f aca="false">IF(raw_data!P778="","Missing - Defaulted to 0",IF(W778&lt;0,"Negative - Invalid",IF(W778&gt;0.3,"Above Allowed Range - Invalid","Valid")))</f>
        <v>Valid</v>
      </c>
      <c r="Y778" s="7" t="n">
        <f aca="false">raw_data!Q778</f>
        <v>26999.91</v>
      </c>
      <c r="Z778" s="7" t="n">
        <f aca="false">raw_data!R778</f>
        <v>17815.98</v>
      </c>
      <c r="AA778" s="7" t="n">
        <f aca="false">raw_data!S778</f>
        <v>9183.93</v>
      </c>
      <c r="AB778" s="3" t="str">
        <f aca="false">PROPER(TRIM(raw_data!T778))</f>
        <v>Paid</v>
      </c>
      <c r="AC778" s="3" t="str">
        <f aca="false">PROPER(TRIM(raw_data!U778))</f>
        <v>Completed</v>
      </c>
      <c r="AD778" s="7" t="n">
        <f aca="false">T778*U778*(1-W778)</f>
        <v>26999.91</v>
      </c>
      <c r="AE778" s="7" t="n">
        <f aca="false">AD778-Z778</f>
        <v>9183.93</v>
      </c>
      <c r="AF778" s="8" t="n">
        <f aca="false">IF(AD778=0,0,AE778/AD778)</f>
        <v>0.340146689377854</v>
      </c>
      <c r="AG778" s="3" t="str">
        <f aca="false">IF(ABS(Y778-AD778)&gt;1,"Mismatch","OK")</f>
        <v>OK</v>
      </c>
      <c r="AH778" s="3" t="str">
        <f aca="false">IF(ABS(AA778-AE778)&gt;1,"Mismatch","OK")</f>
        <v>OK</v>
      </c>
      <c r="AI778" s="6" t="n">
        <f aca="false">IF(B778="","",MONTH(B778))</f>
        <v>6</v>
      </c>
      <c r="AJ778" s="6" t="n">
        <f aca="false">IF(B778="","",YEAR(B778))</f>
        <v>2025</v>
      </c>
      <c r="AK778" s="3" t="str">
        <f aca="false">IF(COUNTIF(raw_data!$A$2:$A$913,A778)&gt;1,"Conflicting Duplicate - Flagged for Review","Unique")</f>
        <v>Unique</v>
      </c>
      <c r="AL778" s="3" t="str">
        <f aca="false">IF(AB778="Refunded","Yes","No")</f>
        <v>No</v>
      </c>
      <c r="AM778" s="3" t="str">
        <f aca="false">IF(OR(AC778&lt;&gt;"Completed",AB778="Failed"),"Excluded","Included")</f>
        <v>Included</v>
      </c>
      <c r="AN778" s="3" t="str">
        <f aca="false">IF(OR(D778="Invalid/Unrecognized",E778="Invalid/Unrecognized",G778="Invalid - Ship Before Order",X778="Negative - Invalid",X778="Above Allowed Range - Invalid",AG778="Mismatch",AH778="Mismatch",AK778="Conflicting Duplicate - Flagged for Review"),"Invalid",IF(OR(L778="Filled - Unknown",S778="Filled - Unknown",X778="Missing - Defaulted to 0",AL778="Yes",AC778="Cancelled",AC778="Returned"),"Warning","Clean"))</f>
        <v>Clean</v>
      </c>
    </row>
    <row r="779" customFormat="false" ht="15" hidden="false" customHeight="false" outlineLevel="0" collapsed="false">
      <c r="A779" s="3" t="str">
        <f aca="false">raw_data!A779</f>
        <v>ORD-2024-10778</v>
      </c>
      <c r="B779" s="4" t="n">
        <f aca="false">IFERROR(IF(MID(raw_data!B779,3,1)="/",DATE(VALUE(RIGHT(raw_data!B779,4)),VALUE(LEFT(raw_data!B779,2)),VALUE(MID(raw_data!B779,4,2))),IF(MID(raw_data!B779,3,1)="-",DATE(VALUE(RIGHT(raw_data!B779,4)),VALUE(MID(raw_data!B779,4,2)),VALUE(LEFT(raw_data!B779,2))),IF(MID(raw_data!B779,5,1)="-",DATE(VALUE(LEFT(raw_data!B779,4)),VALUE(MID(raw_data!B779,6,2)),VALUE(RIGHT(raw_data!B779,2))),DATE(VALUE(RIGHT(raw_data!B779,4)),MATCH(MID(raw_data!B779,4,3),{"Jan","Feb","Mar","Apr","May","Jun","Jul","Aug","Sep","Oct","Nov","Dec"},0),VALUE(LEFT(raw_data!B779,2)))))),"")</f>
        <v>45326</v>
      </c>
      <c r="C779" s="4" t="n">
        <f aca="false">IFERROR(IF(MID(raw_data!C779,3,1)="/",DATE(VALUE(RIGHT(raw_data!C779,4)),VALUE(LEFT(raw_data!C779,2)),VALUE(MID(raw_data!C779,4,2))),IF(MID(raw_data!C779,3,1)="-",DATE(VALUE(RIGHT(raw_data!C779,4)),VALUE(MID(raw_data!C779,4,2)),VALUE(LEFT(raw_data!C779,2))),IF(MID(raw_data!C779,5,1)="-",DATE(VALUE(LEFT(raw_data!C779,4)),VALUE(MID(raw_data!C779,6,2)),VALUE(RIGHT(raw_data!C779,2))),DATE(VALUE(RIGHT(raw_data!C779,4)),MATCH(MID(raw_data!C779,4,3),{"Jan","Feb","Mar","Apr","May","Jun","Jul","Aug","Sep","Oct","Nov","Dec"},0),VALUE(LEFT(raw_data!C779,2)))))),"")</f>
        <v>45328</v>
      </c>
      <c r="D779" s="3" t="str">
        <f aca="false">IF(TRIM(raw_data!B779)="","Missing",IF(B779="","Invalid/Unrecognized","Valid"))</f>
        <v>Valid</v>
      </c>
      <c r="E779" s="3" t="str">
        <f aca="false">IF(TRIM(raw_data!C779)="","Missing",IF(C779="","Invalid/Unrecognized","Valid"))</f>
        <v>Valid</v>
      </c>
      <c r="F779" s="5" t="n">
        <f aca="false">IF(OR(B779="",C779=""),"",C779-B779)</f>
        <v>2</v>
      </c>
      <c r="G779" s="3" t="str">
        <f aca="false">IF(F779="","N/A",IF(F779&lt;0,"Invalid - Ship Before Order","OK"))</f>
        <v>OK</v>
      </c>
      <c r="H779" s="3" t="str">
        <f aca="false">raw_data!D779</f>
        <v>CUST-6879</v>
      </c>
      <c r="I779" s="3" t="str">
        <f aca="false">PROPER(TRIM(raw_data!E779))</f>
        <v>Kabir Singh</v>
      </c>
      <c r="J779" s="3" t="str">
        <f aca="false">PROPER(TRIM(raw_data!F779))</f>
        <v>Small Business</v>
      </c>
      <c r="K779" s="3" t="str">
        <f aca="false">IF(TRIM(raw_data!G779)="","Unknown",PROPER(TRIM(raw_data!G779)))</f>
        <v>West</v>
      </c>
      <c r="L779" s="3" t="str">
        <f aca="false">IF(TRIM(raw_data!G779)="","Filled - Unknown","OK")</f>
        <v>OK</v>
      </c>
      <c r="M779" s="3" t="str">
        <f aca="false">PROPER(TRIM(raw_data!H779))</f>
        <v>Madhya Pradesh</v>
      </c>
      <c r="N779" s="3" t="str">
        <f aca="false">PROPER(TRIM(raw_data!I779))</f>
        <v>Indore</v>
      </c>
      <c r="O779" s="3" t="str">
        <f aca="false">PROPER(TRIM(raw_data!J779))</f>
        <v>Technology</v>
      </c>
      <c r="P779" s="3" t="str">
        <f aca="false">PROPER(TRIM(raw_data!K779))</f>
        <v>Accessories</v>
      </c>
      <c r="Q779" s="3" t="str">
        <f aca="false">TRIM(raw_data!L779)</f>
        <v>Elite Accessories 226</v>
      </c>
      <c r="R779" s="3" t="str">
        <f aca="false">IF(TRIM(raw_data!M779)="","Unknown",PROPER(TRIM(raw_data!M779)))</f>
        <v>Second Class</v>
      </c>
      <c r="S779" s="3" t="str">
        <f aca="false">IF(TRIM(raw_data!M779)="","Filled - Unknown","OK")</f>
        <v>OK</v>
      </c>
      <c r="T779" s="6" t="n">
        <f aca="false">raw_data!N779</f>
        <v>4</v>
      </c>
      <c r="U779" s="7" t="n">
        <f aca="false">raw_data!O779</f>
        <v>1489.74</v>
      </c>
      <c r="V779" s="8" t="n">
        <f aca="false">raw_data!P779</f>
        <v>0.15</v>
      </c>
      <c r="W779" s="8" t="n">
        <f aca="false">IF(raw_data!P779="",0,IF(ISTEXT(raw_data!P779),IF(RIGHT(raw_data!P779,1)="%",VALUE(LEFT(raw_data!P779,LEN(raw_data!P779)-1))/100,VALUE(raw_data!P779)),raw_data!P779))</f>
        <v>0.15</v>
      </c>
      <c r="X779" s="3" t="str">
        <f aca="false">IF(raw_data!P779="","Missing - Defaulted to 0",IF(W779&lt;0,"Negative - Invalid",IF(W779&gt;0.3,"Above Allowed Range - Invalid","Valid")))</f>
        <v>Valid</v>
      </c>
      <c r="Y779" s="7" t="n">
        <f aca="false">raw_data!Q779</f>
        <v>5065.12</v>
      </c>
      <c r="Z779" s="7" t="n">
        <f aca="false">raw_data!R779</f>
        <v>3530.12</v>
      </c>
      <c r="AA779" s="7" t="n">
        <f aca="false">raw_data!S779</f>
        <v>1535</v>
      </c>
      <c r="AB779" s="3" t="str">
        <f aca="false">PROPER(TRIM(raw_data!T779))</f>
        <v>Failed</v>
      </c>
      <c r="AC779" s="3" t="str">
        <f aca="false">PROPER(TRIM(raw_data!U779))</f>
        <v>Cancelled</v>
      </c>
      <c r="AD779" s="7" t="n">
        <f aca="false">T779*U779*(1-W779)</f>
        <v>5065.116</v>
      </c>
      <c r="AE779" s="7" t="n">
        <f aca="false">AD779-Z779</f>
        <v>1534.996</v>
      </c>
      <c r="AF779" s="8" t="n">
        <f aca="false">IF(AD779=0,0,AE779/AD779)</f>
        <v>0.303052486853213</v>
      </c>
      <c r="AG779" s="3" t="str">
        <f aca="false">IF(ABS(Y779-AD779)&gt;1,"Mismatch","OK")</f>
        <v>OK</v>
      </c>
      <c r="AH779" s="3" t="str">
        <f aca="false">IF(ABS(AA779-AE779)&gt;1,"Mismatch","OK")</f>
        <v>OK</v>
      </c>
      <c r="AI779" s="6" t="n">
        <f aca="false">IF(B779="","",MONTH(B779))</f>
        <v>2</v>
      </c>
      <c r="AJ779" s="6" t="n">
        <f aca="false">IF(B779="","",YEAR(B779))</f>
        <v>2024</v>
      </c>
      <c r="AK779" s="3" t="str">
        <f aca="false">IF(COUNTIF(raw_data!$A$2:$A$913,A779)&gt;1,"Conflicting Duplicate - Flagged for Review","Unique")</f>
        <v>Unique</v>
      </c>
      <c r="AL779" s="3" t="str">
        <f aca="false">IF(AB779="Refunded","Yes","No")</f>
        <v>No</v>
      </c>
      <c r="AM779" s="3" t="str">
        <f aca="false">IF(OR(AC779&lt;&gt;"Completed",AB779="Failed"),"Excluded","Included")</f>
        <v>Excluded</v>
      </c>
      <c r="AN779" s="3" t="str">
        <f aca="false">IF(OR(D779="Invalid/Unrecognized",E779="Invalid/Unrecognized",G779="Invalid - Ship Before Order",X779="Negative - Invalid",X779="Above Allowed Range - Invalid",AG779="Mismatch",AH779="Mismatch",AK779="Conflicting Duplicate - Flagged for Review"),"Invalid",IF(OR(L779="Filled - Unknown",S779="Filled - Unknown",X779="Missing - Defaulted to 0",AL779="Yes",AC779="Cancelled",AC779="Returned"),"Warning","Clean"))</f>
        <v>Warning</v>
      </c>
    </row>
    <row r="780" customFormat="false" ht="15" hidden="false" customHeight="false" outlineLevel="0" collapsed="false">
      <c r="A780" s="3" t="str">
        <f aca="false">raw_data!A780</f>
        <v>ORD-2024-10779</v>
      </c>
      <c r="B780" s="4" t="n">
        <f aca="false">IFERROR(IF(MID(raw_data!B780,3,1)="/",DATE(VALUE(RIGHT(raw_data!B780,4)),VALUE(LEFT(raw_data!B780,2)),VALUE(MID(raw_data!B780,4,2))),IF(MID(raw_data!B780,3,1)="-",DATE(VALUE(RIGHT(raw_data!B780,4)),VALUE(MID(raw_data!B780,4,2)),VALUE(LEFT(raw_data!B780,2))),IF(MID(raw_data!B780,5,1)="-",DATE(VALUE(LEFT(raw_data!B780,4)),VALUE(MID(raw_data!B780,6,2)),VALUE(RIGHT(raw_data!B780,2))),DATE(VALUE(RIGHT(raw_data!B780,4)),MATCH(MID(raw_data!B780,4,3),{"Jan","Feb","Mar","Apr","May","Jun","Jul","Aug","Sep","Oct","Nov","Dec"},0),VALUE(LEFT(raw_data!B780,2)))))),"")</f>
        <v>45497</v>
      </c>
      <c r="C780" s="4" t="n">
        <f aca="false">IFERROR(IF(MID(raw_data!C780,3,1)="/",DATE(VALUE(RIGHT(raw_data!C780,4)),VALUE(LEFT(raw_data!C780,2)),VALUE(MID(raw_data!C780,4,2))),IF(MID(raw_data!C780,3,1)="-",DATE(VALUE(RIGHT(raw_data!C780,4)),VALUE(MID(raw_data!C780,4,2)),VALUE(LEFT(raw_data!C780,2))),IF(MID(raw_data!C780,5,1)="-",DATE(VALUE(LEFT(raw_data!C780,4)),VALUE(MID(raw_data!C780,6,2)),VALUE(RIGHT(raw_data!C780,2))),DATE(VALUE(RIGHT(raw_data!C780,4)),MATCH(MID(raw_data!C780,4,3),{"Jan","Feb","Mar","Apr","May","Jun","Jul","Aug","Sep","Oct","Nov","Dec"},0),VALUE(LEFT(raw_data!C780,2)))))),"")</f>
        <v>45497</v>
      </c>
      <c r="D780" s="3" t="str">
        <f aca="false">IF(TRIM(raw_data!B780)="","Missing",IF(B780="","Invalid/Unrecognized","Valid"))</f>
        <v>Valid</v>
      </c>
      <c r="E780" s="3" t="str">
        <f aca="false">IF(TRIM(raw_data!C780)="","Missing",IF(C780="","Invalid/Unrecognized","Valid"))</f>
        <v>Valid</v>
      </c>
      <c r="F780" s="5" t="n">
        <f aca="false">IF(OR(B780="",C780=""),"",C780-B780)</f>
        <v>0</v>
      </c>
      <c r="G780" s="3" t="str">
        <f aca="false">IF(F780="","N/A",IF(F780&lt;0,"Invalid - Ship Before Order","OK"))</f>
        <v>OK</v>
      </c>
      <c r="H780" s="3" t="str">
        <f aca="false">raw_data!D780</f>
        <v>CUST-4714</v>
      </c>
      <c r="I780" s="3" t="str">
        <f aca="false">PROPER(TRIM(raw_data!E780))</f>
        <v>Karan Malhotra</v>
      </c>
      <c r="J780" s="3" t="str">
        <f aca="false">PROPER(TRIM(raw_data!F780))</f>
        <v>Small Business</v>
      </c>
      <c r="K780" s="3" t="str">
        <f aca="false">IF(TRIM(raw_data!G780)="","Unknown",PROPER(TRIM(raw_data!G780)))</f>
        <v>North</v>
      </c>
      <c r="L780" s="3" t="str">
        <f aca="false">IF(TRIM(raw_data!G780)="","Filled - Unknown","OK")</f>
        <v>OK</v>
      </c>
      <c r="M780" s="3" t="str">
        <f aca="false">PROPER(TRIM(raw_data!H780))</f>
        <v>Haryana</v>
      </c>
      <c r="N780" s="3" t="str">
        <f aca="false">PROPER(TRIM(raw_data!I780))</f>
        <v>Gurugram</v>
      </c>
      <c r="O780" s="3" t="str">
        <f aca="false">PROPER(TRIM(raw_data!J780))</f>
        <v>Technology</v>
      </c>
      <c r="P780" s="3" t="str">
        <f aca="false">PROPER(TRIM(raw_data!K780))</f>
        <v>Copiers</v>
      </c>
      <c r="Q780" s="3" t="str">
        <f aca="false">TRIM(raw_data!L780)</f>
        <v>Pro Copiers 298</v>
      </c>
      <c r="R780" s="3" t="str">
        <f aca="false">IF(TRIM(raw_data!M780)="","Unknown",PROPER(TRIM(raw_data!M780)))</f>
        <v>Second Class</v>
      </c>
      <c r="S780" s="3" t="str">
        <f aca="false">IF(TRIM(raw_data!M780)="","Filled - Unknown","OK")</f>
        <v>OK</v>
      </c>
      <c r="T780" s="6" t="n">
        <f aca="false">raw_data!N780</f>
        <v>4</v>
      </c>
      <c r="U780" s="7" t="n">
        <f aca="false">raw_data!O780</f>
        <v>1676.88</v>
      </c>
      <c r="V780" s="8" t="n">
        <f aca="false">raw_data!P780</f>
        <v>0</v>
      </c>
      <c r="W780" s="8" t="n">
        <f aca="false">IF(raw_data!P780="",0,IF(ISTEXT(raw_data!P780),IF(RIGHT(raw_data!P780,1)="%",VALUE(LEFT(raw_data!P780,LEN(raw_data!P780)-1))/100,VALUE(raw_data!P780)),raw_data!P780))</f>
        <v>0</v>
      </c>
      <c r="X780" s="3" t="str">
        <f aca="false">IF(raw_data!P780="","Missing - Defaulted to 0",IF(W780&lt;0,"Negative - Invalid",IF(W780&gt;0.3,"Above Allowed Range - Invalid","Valid")))</f>
        <v>Valid</v>
      </c>
      <c r="Y780" s="7" t="n">
        <f aca="false">raw_data!Q780</f>
        <v>6707.52</v>
      </c>
      <c r="Z780" s="7" t="n">
        <f aca="false">raw_data!R780</f>
        <v>5672.57</v>
      </c>
      <c r="AA780" s="7" t="n">
        <f aca="false">raw_data!S780</f>
        <v>1034.95</v>
      </c>
      <c r="AB780" s="3" t="str">
        <f aca="false">PROPER(TRIM(raw_data!T780))</f>
        <v>Paid</v>
      </c>
      <c r="AC780" s="3" t="str">
        <f aca="false">PROPER(TRIM(raw_data!U780))</f>
        <v>Completed</v>
      </c>
      <c r="AD780" s="7" t="n">
        <f aca="false">T780*U780*(1-W780)</f>
        <v>6707.52</v>
      </c>
      <c r="AE780" s="7" t="n">
        <f aca="false">AD780-Z780</f>
        <v>1034.95</v>
      </c>
      <c r="AF780" s="8" t="n">
        <f aca="false">IF(AD780=0,0,AE780/AD780)</f>
        <v>0.154296968178999</v>
      </c>
      <c r="AG780" s="3" t="str">
        <f aca="false">IF(ABS(Y780-AD780)&gt;1,"Mismatch","OK")</f>
        <v>OK</v>
      </c>
      <c r="AH780" s="3" t="str">
        <f aca="false">IF(ABS(AA780-AE780)&gt;1,"Mismatch","OK")</f>
        <v>OK</v>
      </c>
      <c r="AI780" s="6" t="n">
        <f aca="false">IF(B780="","",MONTH(B780))</f>
        <v>7</v>
      </c>
      <c r="AJ780" s="6" t="n">
        <f aca="false">IF(B780="","",YEAR(B780))</f>
        <v>2024</v>
      </c>
      <c r="AK780" s="3" t="str">
        <f aca="false">IF(COUNTIF(raw_data!$A$2:$A$913,A780)&gt;1,"Conflicting Duplicate - Flagged for Review","Unique")</f>
        <v>Unique</v>
      </c>
      <c r="AL780" s="3" t="str">
        <f aca="false">IF(AB780="Refunded","Yes","No")</f>
        <v>No</v>
      </c>
      <c r="AM780" s="3" t="str">
        <f aca="false">IF(OR(AC780&lt;&gt;"Completed",AB780="Failed"),"Excluded","Included")</f>
        <v>Included</v>
      </c>
      <c r="AN780" s="3" t="str">
        <f aca="false">IF(OR(D780="Invalid/Unrecognized",E780="Invalid/Unrecognized",G780="Invalid - Ship Before Order",X780="Negative - Invalid",X780="Above Allowed Range - Invalid",AG780="Mismatch",AH780="Mismatch",AK780="Conflicting Duplicate - Flagged for Review"),"Invalid",IF(OR(L780="Filled - Unknown",S780="Filled - Unknown",X780="Missing - Defaulted to 0",AL780="Yes",AC780="Cancelled",AC780="Returned"),"Warning","Clean"))</f>
        <v>Clean</v>
      </c>
    </row>
    <row r="781" customFormat="false" ht="15" hidden="false" customHeight="false" outlineLevel="0" collapsed="false">
      <c r="A781" s="3" t="str">
        <f aca="false">raw_data!A781</f>
        <v>ORD-2024-10780</v>
      </c>
      <c r="B781" s="4" t="n">
        <f aca="false">IFERROR(IF(MID(raw_data!B781,3,1)="/",DATE(VALUE(RIGHT(raw_data!B781,4)),VALUE(LEFT(raw_data!B781,2)),VALUE(MID(raw_data!B781,4,2))),IF(MID(raw_data!B781,3,1)="-",DATE(VALUE(RIGHT(raw_data!B781,4)),VALUE(MID(raw_data!B781,4,2)),VALUE(LEFT(raw_data!B781,2))),IF(MID(raw_data!B781,5,1)="-",DATE(VALUE(LEFT(raw_data!B781,4)),VALUE(MID(raw_data!B781,6,2)),VALUE(RIGHT(raw_data!B781,2))),DATE(VALUE(RIGHT(raw_data!B781,4)),MATCH(MID(raw_data!B781,4,3),{"Jan","Feb","Mar","Apr","May","Jun","Jul","Aug","Sep","Oct","Nov","Dec"},0),VALUE(LEFT(raw_data!B781,2)))))),"")</f>
        <v>45306</v>
      </c>
      <c r="C781" s="4" t="n">
        <f aca="false">IFERROR(IF(MID(raw_data!C781,3,1)="/",DATE(VALUE(RIGHT(raw_data!C781,4)),VALUE(LEFT(raw_data!C781,2)),VALUE(MID(raw_data!C781,4,2))),IF(MID(raw_data!C781,3,1)="-",DATE(VALUE(RIGHT(raw_data!C781,4)),VALUE(MID(raw_data!C781,4,2)),VALUE(LEFT(raw_data!C781,2))),IF(MID(raw_data!C781,5,1)="-",DATE(VALUE(LEFT(raw_data!C781,4)),VALUE(MID(raw_data!C781,6,2)),VALUE(RIGHT(raw_data!C781,2))),DATE(VALUE(RIGHT(raw_data!C781,4)),MATCH(MID(raw_data!C781,4,3),{"Jan","Feb","Mar","Apr","May","Jun","Jul","Aug","Sep","Oct","Nov","Dec"},0),VALUE(LEFT(raw_data!C781,2)))))),"")</f>
        <v>45311</v>
      </c>
      <c r="D781" s="3" t="str">
        <f aca="false">IF(TRIM(raw_data!B781)="","Missing",IF(B781="","Invalid/Unrecognized","Valid"))</f>
        <v>Valid</v>
      </c>
      <c r="E781" s="3" t="str">
        <f aca="false">IF(TRIM(raw_data!C781)="","Missing",IF(C781="","Invalid/Unrecognized","Valid"))</f>
        <v>Valid</v>
      </c>
      <c r="F781" s="5" t="n">
        <f aca="false">IF(OR(B781="",C781=""),"",C781-B781)</f>
        <v>5</v>
      </c>
      <c r="G781" s="3" t="str">
        <f aca="false">IF(F781="","N/A",IF(F781&lt;0,"Invalid - Ship Before Order","OK"))</f>
        <v>OK</v>
      </c>
      <c r="H781" s="3" t="str">
        <f aca="false">raw_data!D781</f>
        <v>CUST-7547</v>
      </c>
      <c r="I781" s="3" t="str">
        <f aca="false">PROPER(TRIM(raw_data!E781))</f>
        <v>Priya Menon</v>
      </c>
      <c r="J781" s="3" t="str">
        <f aca="false">PROPER(TRIM(raw_data!F781))</f>
        <v>Small Business</v>
      </c>
      <c r="K781" s="3" t="str">
        <f aca="false">IF(TRIM(raw_data!G781)="","Unknown",PROPER(TRIM(raw_data!G781)))</f>
        <v>South</v>
      </c>
      <c r="L781" s="3" t="str">
        <f aca="false">IF(TRIM(raw_data!G781)="","Filled - Unknown","OK")</f>
        <v>OK</v>
      </c>
      <c r="M781" s="3" t="str">
        <f aca="false">PROPER(TRIM(raw_data!H781))</f>
        <v>Andhra Pradesh</v>
      </c>
      <c r="N781" s="3" t="str">
        <f aca="false">PROPER(TRIM(raw_data!I781))</f>
        <v>Vijayawada</v>
      </c>
      <c r="O781" s="3" t="str">
        <f aca="false">PROPER(TRIM(raw_data!J781))</f>
        <v>Furniture</v>
      </c>
      <c r="P781" s="3" t="str">
        <f aca="false">PROPER(TRIM(raw_data!K781))</f>
        <v>Chairs</v>
      </c>
      <c r="Q781" s="3" t="str">
        <f aca="false">TRIM(raw_data!L781)</f>
        <v>Prime Chairs 331</v>
      </c>
      <c r="R781" s="3" t="str">
        <f aca="false">IF(TRIM(raw_data!M781)="","Unknown",PROPER(TRIM(raw_data!M781)))</f>
        <v>Standard Class</v>
      </c>
      <c r="S781" s="3" t="str">
        <f aca="false">IF(TRIM(raw_data!M781)="","Filled - Unknown","OK")</f>
        <v>OK</v>
      </c>
      <c r="T781" s="6" t="n">
        <f aca="false">raw_data!N781</f>
        <v>4</v>
      </c>
      <c r="U781" s="7" t="n">
        <f aca="false">raw_data!O781</f>
        <v>3153.54</v>
      </c>
      <c r="V781" s="8" t="n">
        <f aca="false">raw_data!P781</f>
        <v>0.05</v>
      </c>
      <c r="W781" s="8" t="n">
        <f aca="false">IF(raw_data!P781="",0,IF(ISTEXT(raw_data!P781),IF(RIGHT(raw_data!P781,1)="%",VALUE(LEFT(raw_data!P781,LEN(raw_data!P781)-1))/100,VALUE(raw_data!P781)),raw_data!P781))</f>
        <v>0.05</v>
      </c>
      <c r="X781" s="3" t="str">
        <f aca="false">IF(raw_data!P781="","Missing - Defaulted to 0",IF(W781&lt;0,"Negative - Invalid",IF(W781&gt;0.3,"Above Allowed Range - Invalid","Valid")))</f>
        <v>Valid</v>
      </c>
      <c r="Y781" s="7" t="n">
        <f aca="false">raw_data!Q781</f>
        <v>11983.45</v>
      </c>
      <c r="Z781" s="7" t="n">
        <f aca="false">raw_data!R781</f>
        <v>8572.9</v>
      </c>
      <c r="AA781" s="7" t="n">
        <f aca="false">raw_data!S781</f>
        <v>3410.55</v>
      </c>
      <c r="AB781" s="3" t="str">
        <f aca="false">PROPER(TRIM(raw_data!T781))</f>
        <v>Paid</v>
      </c>
      <c r="AC781" s="3" t="str">
        <f aca="false">PROPER(TRIM(raw_data!U781))</f>
        <v>Completed</v>
      </c>
      <c r="AD781" s="7" t="n">
        <f aca="false">T781*U781*(1-W781)</f>
        <v>11983.452</v>
      </c>
      <c r="AE781" s="7" t="n">
        <f aca="false">AD781-Z781</f>
        <v>3410.552</v>
      </c>
      <c r="AF781" s="8" t="n">
        <f aca="false">IF(AD781=0,0,AE781/AD781)</f>
        <v>0.284605137150798</v>
      </c>
      <c r="AG781" s="3" t="str">
        <f aca="false">IF(ABS(Y781-AD781)&gt;1,"Mismatch","OK")</f>
        <v>OK</v>
      </c>
      <c r="AH781" s="3" t="str">
        <f aca="false">IF(ABS(AA781-AE781)&gt;1,"Mismatch","OK")</f>
        <v>OK</v>
      </c>
      <c r="AI781" s="6" t="n">
        <f aca="false">IF(B781="","",MONTH(B781))</f>
        <v>1</v>
      </c>
      <c r="AJ781" s="6" t="n">
        <f aca="false">IF(B781="","",YEAR(B781))</f>
        <v>2024</v>
      </c>
      <c r="AK781" s="3" t="str">
        <f aca="false">IF(COUNTIF(raw_data!$A$2:$A$913,A781)&gt;1,"Conflicting Duplicate - Flagged for Review","Unique")</f>
        <v>Unique</v>
      </c>
      <c r="AL781" s="3" t="str">
        <f aca="false">IF(AB781="Refunded","Yes","No")</f>
        <v>No</v>
      </c>
      <c r="AM781" s="3" t="str">
        <f aca="false">IF(OR(AC781&lt;&gt;"Completed",AB781="Failed"),"Excluded","Included")</f>
        <v>Included</v>
      </c>
      <c r="AN781" s="3" t="str">
        <f aca="false">IF(OR(D781="Invalid/Unrecognized",E781="Invalid/Unrecognized",G781="Invalid - Ship Before Order",X781="Negative - Invalid",X781="Above Allowed Range - Invalid",AG781="Mismatch",AH781="Mismatch",AK781="Conflicting Duplicate - Flagged for Review"),"Invalid",IF(OR(L781="Filled - Unknown",S781="Filled - Unknown",X781="Missing - Defaulted to 0",AL781="Yes",AC781="Cancelled",AC781="Returned"),"Warning","Clean"))</f>
        <v>Clean</v>
      </c>
    </row>
    <row r="782" customFormat="false" ht="15" hidden="false" customHeight="false" outlineLevel="0" collapsed="false">
      <c r="A782" s="3" t="str">
        <f aca="false">raw_data!A782</f>
        <v>ORD-2024-10781</v>
      </c>
      <c r="B782" s="4" t="n">
        <f aca="false">IFERROR(IF(MID(raw_data!B782,3,1)="/",DATE(VALUE(RIGHT(raw_data!B782,4)),VALUE(LEFT(raw_data!B782,2)),VALUE(MID(raw_data!B782,4,2))),IF(MID(raw_data!B782,3,1)="-",DATE(VALUE(RIGHT(raw_data!B782,4)),VALUE(MID(raw_data!B782,4,2)),VALUE(LEFT(raw_data!B782,2))),IF(MID(raw_data!B782,5,1)="-",DATE(VALUE(LEFT(raw_data!B782,4)),VALUE(MID(raw_data!B782,6,2)),VALUE(RIGHT(raw_data!B782,2))),DATE(VALUE(RIGHT(raw_data!B782,4)),MATCH(MID(raw_data!B782,4,3),{"Jan","Feb","Mar","Apr","May","Jun","Jul","Aug","Sep","Oct","Nov","Dec"},0),VALUE(LEFT(raw_data!B782,2)))))),"")</f>
        <v>45508</v>
      </c>
      <c r="C782" s="4" t="n">
        <f aca="false">IFERROR(IF(MID(raw_data!C782,3,1)="/",DATE(VALUE(RIGHT(raw_data!C782,4)),VALUE(LEFT(raw_data!C782,2)),VALUE(MID(raw_data!C782,4,2))),IF(MID(raw_data!C782,3,1)="-",DATE(VALUE(RIGHT(raw_data!C782,4)),VALUE(MID(raw_data!C782,4,2)),VALUE(LEFT(raw_data!C782,2))),IF(MID(raw_data!C782,5,1)="-",DATE(VALUE(LEFT(raw_data!C782,4)),VALUE(MID(raw_data!C782,6,2)),VALUE(RIGHT(raw_data!C782,2))),DATE(VALUE(RIGHT(raw_data!C782,4)),MATCH(MID(raw_data!C782,4,3),{"Jan","Feb","Mar","Apr","May","Jun","Jul","Aug","Sep","Oct","Nov","Dec"},0),VALUE(LEFT(raw_data!C782,2)))))),"")</f>
        <v>45514</v>
      </c>
      <c r="D782" s="3" t="str">
        <f aca="false">IF(TRIM(raw_data!B782)="","Missing",IF(B782="","Invalid/Unrecognized","Valid"))</f>
        <v>Valid</v>
      </c>
      <c r="E782" s="3" t="str">
        <f aca="false">IF(TRIM(raw_data!C782)="","Missing",IF(C782="","Invalid/Unrecognized","Valid"))</f>
        <v>Valid</v>
      </c>
      <c r="F782" s="5" t="n">
        <f aca="false">IF(OR(B782="",C782=""),"",C782-B782)</f>
        <v>6</v>
      </c>
      <c r="G782" s="3" t="str">
        <f aca="false">IF(F782="","N/A",IF(F782&lt;0,"Invalid - Ship Before Order","OK"))</f>
        <v>OK</v>
      </c>
      <c r="H782" s="3" t="str">
        <f aca="false">raw_data!D782</f>
        <v>CUST-3288</v>
      </c>
      <c r="I782" s="3" t="str">
        <f aca="false">PROPER(TRIM(raw_data!E782))</f>
        <v>Diya Patel</v>
      </c>
      <c r="J782" s="3" t="str">
        <f aca="false">PROPER(TRIM(raw_data!F782))</f>
        <v>Small Business</v>
      </c>
      <c r="K782" s="3" t="str">
        <f aca="false">IF(TRIM(raw_data!G782)="","Unknown",PROPER(TRIM(raw_data!G782)))</f>
        <v>West</v>
      </c>
      <c r="L782" s="3" t="str">
        <f aca="false">IF(TRIM(raw_data!G782)="","Filled - Unknown","OK")</f>
        <v>OK</v>
      </c>
      <c r="M782" s="3" t="str">
        <f aca="false">PROPER(TRIM(raw_data!H782))</f>
        <v>Rajasthan</v>
      </c>
      <c r="N782" s="3" t="str">
        <f aca="false">PROPER(TRIM(raw_data!I782))</f>
        <v>Udaipur</v>
      </c>
      <c r="O782" s="3" t="str">
        <f aca="false">PROPER(TRIM(raw_data!J782))</f>
        <v>Furniture</v>
      </c>
      <c r="P782" s="3" t="str">
        <f aca="false">PROPER(TRIM(raw_data!K782))</f>
        <v>Chairs</v>
      </c>
      <c r="Q782" s="3" t="str">
        <f aca="false">TRIM(raw_data!L782)</f>
        <v>Classic Chairs 798</v>
      </c>
      <c r="R782" s="3" t="str">
        <f aca="false">IF(TRIM(raw_data!M782)="","Unknown",PROPER(TRIM(raw_data!M782)))</f>
        <v>Same Day</v>
      </c>
      <c r="S782" s="3" t="str">
        <f aca="false">IF(TRIM(raw_data!M782)="","Filled - Unknown","OK")</f>
        <v>OK</v>
      </c>
      <c r="T782" s="6" t="n">
        <f aca="false">raw_data!N782</f>
        <v>4</v>
      </c>
      <c r="U782" s="7" t="n">
        <f aca="false">raw_data!O782</f>
        <v>426.43</v>
      </c>
      <c r="V782" s="8" t="n">
        <f aca="false">raw_data!P782</f>
        <v>0.2</v>
      </c>
      <c r="W782" s="8" t="n">
        <f aca="false">IF(raw_data!P782="",0,IF(ISTEXT(raw_data!P782),IF(RIGHT(raw_data!P782,1)="%",VALUE(LEFT(raw_data!P782,LEN(raw_data!P782)-1))/100,VALUE(raw_data!P782)),raw_data!P782))</f>
        <v>0.2</v>
      </c>
      <c r="X782" s="3" t="str">
        <f aca="false">IF(raw_data!P782="","Missing - Defaulted to 0",IF(W782&lt;0,"Negative - Invalid",IF(W782&gt;0.3,"Above Allowed Range - Invalid","Valid")))</f>
        <v>Valid</v>
      </c>
      <c r="Y782" s="7" t="n">
        <f aca="false">raw_data!Q782</f>
        <v>1364.58</v>
      </c>
      <c r="Z782" s="7" t="n">
        <f aca="false">raw_data!R782</f>
        <v>978.16</v>
      </c>
      <c r="AA782" s="7" t="n">
        <f aca="false">raw_data!S782</f>
        <v>386.42</v>
      </c>
      <c r="AB782" s="3" t="str">
        <f aca="false">PROPER(TRIM(raw_data!T782))</f>
        <v>Paid</v>
      </c>
      <c r="AC782" s="3" t="str">
        <f aca="false">PROPER(TRIM(raw_data!U782))</f>
        <v>Completed</v>
      </c>
      <c r="AD782" s="7" t="n">
        <f aca="false">T782*U782*(1-W782)</f>
        <v>1364.576</v>
      </c>
      <c r="AE782" s="7" t="n">
        <f aca="false">AD782-Z782</f>
        <v>386.416</v>
      </c>
      <c r="AF782" s="8" t="n">
        <f aca="false">IF(AD782=0,0,AE782/AD782)</f>
        <v>0.283176605773515</v>
      </c>
      <c r="AG782" s="3" t="str">
        <f aca="false">IF(ABS(Y782-AD782)&gt;1,"Mismatch","OK")</f>
        <v>OK</v>
      </c>
      <c r="AH782" s="3" t="str">
        <f aca="false">IF(ABS(AA782-AE782)&gt;1,"Mismatch","OK")</f>
        <v>OK</v>
      </c>
      <c r="AI782" s="6" t="n">
        <f aca="false">IF(B782="","",MONTH(B782))</f>
        <v>8</v>
      </c>
      <c r="AJ782" s="6" t="n">
        <f aca="false">IF(B782="","",YEAR(B782))</f>
        <v>2024</v>
      </c>
      <c r="AK782" s="3" t="str">
        <f aca="false">IF(COUNTIF(raw_data!$A$2:$A$913,A782)&gt;1,"Conflicting Duplicate - Flagged for Review","Unique")</f>
        <v>Unique</v>
      </c>
      <c r="AL782" s="3" t="str">
        <f aca="false">IF(AB782="Refunded","Yes","No")</f>
        <v>No</v>
      </c>
      <c r="AM782" s="3" t="str">
        <f aca="false">IF(OR(AC782&lt;&gt;"Completed",AB782="Failed"),"Excluded","Included")</f>
        <v>Included</v>
      </c>
      <c r="AN782" s="3" t="str">
        <f aca="false">IF(OR(D782="Invalid/Unrecognized",E782="Invalid/Unrecognized",G782="Invalid - Ship Before Order",X782="Negative - Invalid",X782="Above Allowed Range - Invalid",AG782="Mismatch",AH782="Mismatch",AK782="Conflicting Duplicate - Flagged for Review"),"Invalid",IF(OR(L782="Filled - Unknown",S782="Filled - Unknown",X782="Missing - Defaulted to 0",AL782="Yes",AC782="Cancelled",AC782="Returned"),"Warning","Clean"))</f>
        <v>Clean</v>
      </c>
    </row>
    <row r="783" customFormat="false" ht="15" hidden="false" customHeight="false" outlineLevel="0" collapsed="false">
      <c r="A783" s="3" t="str">
        <f aca="false">raw_data!A783</f>
        <v>ORD-2024-10782</v>
      </c>
      <c r="B783" s="4" t="n">
        <f aca="false">IFERROR(IF(MID(raw_data!B783,3,1)="/",DATE(VALUE(RIGHT(raw_data!B783,4)),VALUE(LEFT(raw_data!B783,2)),VALUE(MID(raw_data!B783,4,2))),IF(MID(raw_data!B783,3,1)="-",DATE(VALUE(RIGHT(raw_data!B783,4)),VALUE(MID(raw_data!B783,4,2)),VALUE(LEFT(raw_data!B783,2))),IF(MID(raw_data!B783,5,1)="-",DATE(VALUE(LEFT(raw_data!B783,4)),VALUE(MID(raw_data!B783,6,2)),VALUE(RIGHT(raw_data!B783,2))),DATE(VALUE(RIGHT(raw_data!B783,4)),MATCH(MID(raw_data!B783,4,3),{"Jan","Feb","Mar","Apr","May","Jun","Jul","Aug","Sep","Oct","Nov","Dec"},0),VALUE(LEFT(raw_data!B783,2)))))),"")</f>
        <v>45324</v>
      </c>
      <c r="C783" s="4" t="n">
        <f aca="false">IFERROR(IF(MID(raw_data!C783,3,1)="/",DATE(VALUE(RIGHT(raw_data!C783,4)),VALUE(LEFT(raw_data!C783,2)),VALUE(MID(raw_data!C783,4,2))),IF(MID(raw_data!C783,3,1)="-",DATE(VALUE(RIGHT(raw_data!C783,4)),VALUE(MID(raw_data!C783,4,2)),VALUE(LEFT(raw_data!C783,2))),IF(MID(raw_data!C783,5,1)="-",DATE(VALUE(LEFT(raw_data!C783,4)),VALUE(MID(raw_data!C783,6,2)),VALUE(RIGHT(raw_data!C783,2))),DATE(VALUE(RIGHT(raw_data!C783,4)),MATCH(MID(raw_data!C783,4,3),{"Jan","Feb","Mar","Apr","May","Jun","Jul","Aug","Sep","Oct","Nov","Dec"},0),VALUE(LEFT(raw_data!C783,2)))))),"")</f>
        <v>45332</v>
      </c>
      <c r="D783" s="3" t="str">
        <f aca="false">IF(TRIM(raw_data!B783)="","Missing",IF(B783="","Invalid/Unrecognized","Valid"))</f>
        <v>Valid</v>
      </c>
      <c r="E783" s="3" t="str">
        <f aca="false">IF(TRIM(raw_data!C783)="","Missing",IF(C783="","Invalid/Unrecognized","Valid"))</f>
        <v>Valid</v>
      </c>
      <c r="F783" s="5" t="n">
        <f aca="false">IF(OR(B783="",C783=""),"",C783-B783)</f>
        <v>8</v>
      </c>
      <c r="G783" s="3" t="str">
        <f aca="false">IF(F783="","N/A",IF(F783&lt;0,"Invalid - Ship Before Order","OK"))</f>
        <v>OK</v>
      </c>
      <c r="H783" s="3" t="str">
        <f aca="false">raw_data!D783</f>
        <v>CUST-8597</v>
      </c>
      <c r="I783" s="3" t="str">
        <f aca="false">PROPER(TRIM(raw_data!E783))</f>
        <v>Karan Malhotra</v>
      </c>
      <c r="J783" s="3" t="str">
        <f aca="false">PROPER(TRIM(raw_data!F783))</f>
        <v>Home Office</v>
      </c>
      <c r="K783" s="3" t="str">
        <f aca="false">IF(TRIM(raw_data!G783)="","Unknown",PROPER(TRIM(raw_data!G783)))</f>
        <v>West</v>
      </c>
      <c r="L783" s="3" t="str">
        <f aca="false">IF(TRIM(raw_data!G783)="","Filled - Unknown","OK")</f>
        <v>OK</v>
      </c>
      <c r="M783" s="3" t="str">
        <f aca="false">PROPER(TRIM(raw_data!H783))</f>
        <v>Rajasthan</v>
      </c>
      <c r="N783" s="3" t="str">
        <f aca="false">PROPER(TRIM(raw_data!I783))</f>
        <v>Udaipur</v>
      </c>
      <c r="O783" s="3" t="str">
        <f aca="false">PROPER(TRIM(raw_data!J783))</f>
        <v>Office Supplies</v>
      </c>
      <c r="P783" s="3" t="str">
        <f aca="false">PROPER(TRIM(raw_data!K783))</f>
        <v>Labels</v>
      </c>
      <c r="Q783" s="3" t="str">
        <f aca="false">TRIM(raw_data!L783)</f>
        <v>Classic Labels 204</v>
      </c>
      <c r="R783" s="3" t="str">
        <f aca="false">IF(TRIM(raw_data!M783)="","Unknown",PROPER(TRIM(raw_data!M783)))</f>
        <v>First Class</v>
      </c>
      <c r="S783" s="3" t="str">
        <f aca="false">IF(TRIM(raw_data!M783)="","Filled - Unknown","OK")</f>
        <v>OK</v>
      </c>
      <c r="T783" s="6" t="n">
        <f aca="false">raw_data!N783</f>
        <v>3</v>
      </c>
      <c r="U783" s="7" t="n">
        <f aca="false">raw_data!O783</f>
        <v>383.4</v>
      </c>
      <c r="V783" s="8" t="n">
        <f aca="false">raw_data!P783</f>
        <v>0.25</v>
      </c>
      <c r="W783" s="8" t="n">
        <f aca="false">IF(raw_data!P783="",0,IF(ISTEXT(raw_data!P783),IF(RIGHT(raw_data!P783,1)="%",VALUE(LEFT(raw_data!P783,LEN(raw_data!P783)-1))/100,VALUE(raw_data!P783)),raw_data!P783))</f>
        <v>0.25</v>
      </c>
      <c r="X783" s="3" t="str">
        <f aca="false">IF(raw_data!P783="","Missing - Defaulted to 0",IF(W783&lt;0,"Negative - Invalid",IF(W783&gt;0.3,"Above Allowed Range - Invalid","Valid")))</f>
        <v>Valid</v>
      </c>
      <c r="Y783" s="7" t="n">
        <f aca="false">raw_data!Q783</f>
        <v>862.65</v>
      </c>
      <c r="Z783" s="7" t="n">
        <f aca="false">raw_data!R783</f>
        <v>603.73</v>
      </c>
      <c r="AA783" s="7" t="n">
        <f aca="false">raw_data!S783</f>
        <v>258.92</v>
      </c>
      <c r="AB783" s="3" t="str">
        <f aca="false">PROPER(TRIM(raw_data!T783))</f>
        <v>Pending</v>
      </c>
      <c r="AC783" s="3" t="str">
        <f aca="false">PROPER(TRIM(raw_data!U783))</f>
        <v>Returned</v>
      </c>
      <c r="AD783" s="7" t="n">
        <f aca="false">T783*U783*(1-W783)</f>
        <v>862.65</v>
      </c>
      <c r="AE783" s="7" t="n">
        <f aca="false">AD783-Z783</f>
        <v>258.92</v>
      </c>
      <c r="AF783" s="8" t="n">
        <f aca="false">IF(AD783=0,0,AE783/AD783)</f>
        <v>0.300144902335826</v>
      </c>
      <c r="AG783" s="3" t="str">
        <f aca="false">IF(ABS(Y783-AD783)&gt;1,"Mismatch","OK")</f>
        <v>OK</v>
      </c>
      <c r="AH783" s="3" t="str">
        <f aca="false">IF(ABS(AA783-AE783)&gt;1,"Mismatch","OK")</f>
        <v>OK</v>
      </c>
      <c r="AI783" s="6" t="n">
        <f aca="false">IF(B783="","",MONTH(B783))</f>
        <v>2</v>
      </c>
      <c r="AJ783" s="6" t="n">
        <f aca="false">IF(B783="","",YEAR(B783))</f>
        <v>2024</v>
      </c>
      <c r="AK783" s="3" t="str">
        <f aca="false">IF(COUNTIF(raw_data!$A$2:$A$913,A783)&gt;1,"Conflicting Duplicate - Flagged for Review","Unique")</f>
        <v>Unique</v>
      </c>
      <c r="AL783" s="3" t="str">
        <f aca="false">IF(AB783="Refunded","Yes","No")</f>
        <v>No</v>
      </c>
      <c r="AM783" s="3" t="str">
        <f aca="false">IF(OR(AC783&lt;&gt;"Completed",AB783="Failed"),"Excluded","Included")</f>
        <v>Excluded</v>
      </c>
      <c r="AN783" s="3" t="str">
        <f aca="false">IF(OR(D783="Invalid/Unrecognized",E783="Invalid/Unrecognized",G783="Invalid - Ship Before Order",X783="Negative - Invalid",X783="Above Allowed Range - Invalid",AG783="Mismatch",AH783="Mismatch",AK783="Conflicting Duplicate - Flagged for Review"),"Invalid",IF(OR(L783="Filled - Unknown",S783="Filled - Unknown",X783="Missing - Defaulted to 0",AL783="Yes",AC783="Cancelled",AC783="Returned"),"Warning","Clean"))</f>
        <v>Warning</v>
      </c>
    </row>
    <row r="784" customFormat="false" ht="15" hidden="false" customHeight="false" outlineLevel="0" collapsed="false">
      <c r="A784" s="3" t="str">
        <f aca="false">raw_data!A784</f>
        <v>ORD-2025-10783</v>
      </c>
      <c r="B784" s="4" t="n">
        <f aca="false">IFERROR(IF(MID(raw_data!B784,3,1)="/",DATE(VALUE(RIGHT(raw_data!B784,4)),VALUE(LEFT(raw_data!B784,2)),VALUE(MID(raw_data!B784,4,2))),IF(MID(raw_data!B784,3,1)="-",DATE(VALUE(RIGHT(raw_data!B784,4)),VALUE(MID(raw_data!B784,4,2)),VALUE(LEFT(raw_data!B784,2))),IF(MID(raw_data!B784,5,1)="-",DATE(VALUE(LEFT(raw_data!B784,4)),VALUE(MID(raw_data!B784,6,2)),VALUE(RIGHT(raw_data!B784,2))),DATE(VALUE(RIGHT(raw_data!B784,4)),MATCH(MID(raw_data!B784,4,3),{"Jan","Feb","Mar","Apr","May","Jun","Jul","Aug","Sep","Oct","Nov","Dec"},0),VALUE(LEFT(raw_data!B784,2)))))),"")</f>
        <v>45730</v>
      </c>
      <c r="C784" s="4" t="n">
        <f aca="false">IFERROR(IF(MID(raw_data!C784,3,1)="/",DATE(VALUE(RIGHT(raw_data!C784,4)),VALUE(LEFT(raw_data!C784,2)),VALUE(MID(raw_data!C784,4,2))),IF(MID(raw_data!C784,3,1)="-",DATE(VALUE(RIGHT(raw_data!C784,4)),VALUE(MID(raw_data!C784,4,2)),VALUE(LEFT(raw_data!C784,2))),IF(MID(raw_data!C784,5,1)="-",DATE(VALUE(LEFT(raw_data!C784,4)),VALUE(MID(raw_data!C784,6,2)),VALUE(RIGHT(raw_data!C784,2))),DATE(VALUE(RIGHT(raw_data!C784,4)),MATCH(MID(raw_data!C784,4,3),{"Jan","Feb","Mar","Apr","May","Jun","Jul","Aug","Sep","Oct","Nov","Dec"},0),VALUE(LEFT(raw_data!C784,2)))))),"")</f>
        <v>45738</v>
      </c>
      <c r="D784" s="3" t="str">
        <f aca="false">IF(TRIM(raw_data!B784)="","Missing",IF(B784="","Invalid/Unrecognized","Valid"))</f>
        <v>Valid</v>
      </c>
      <c r="E784" s="3" t="str">
        <f aca="false">IF(TRIM(raw_data!C784)="","Missing",IF(C784="","Invalid/Unrecognized","Valid"))</f>
        <v>Valid</v>
      </c>
      <c r="F784" s="5" t="n">
        <f aca="false">IF(OR(B784="",C784=""),"",C784-B784)</f>
        <v>8</v>
      </c>
      <c r="G784" s="3" t="str">
        <f aca="false">IF(F784="","N/A",IF(F784&lt;0,"Invalid - Ship Before Order","OK"))</f>
        <v>OK</v>
      </c>
      <c r="H784" s="3" t="str">
        <f aca="false">raw_data!D784</f>
        <v>CUST-9085</v>
      </c>
      <c r="I784" s="3" t="str">
        <f aca="false">PROPER(TRIM(raw_data!E784))</f>
        <v>Mira Das</v>
      </c>
      <c r="J784" s="3" t="str">
        <f aca="false">PROPER(TRIM(raw_data!F784))</f>
        <v>Corporate</v>
      </c>
      <c r="K784" s="3" t="str">
        <f aca="false">IF(TRIM(raw_data!G784)="","Unknown",PROPER(TRIM(raw_data!G784)))</f>
        <v>East</v>
      </c>
      <c r="L784" s="3" t="str">
        <f aca="false">IF(TRIM(raw_data!G784)="","Filled - Unknown","OK")</f>
        <v>OK</v>
      </c>
      <c r="M784" s="3" t="str">
        <f aca="false">PROPER(TRIM(raw_data!H784))</f>
        <v>West Bengal</v>
      </c>
      <c r="N784" s="3" t="str">
        <f aca="false">PROPER(TRIM(raw_data!I784))</f>
        <v>Kolkata</v>
      </c>
      <c r="O784" s="3" t="str">
        <f aca="false">PROPER(TRIM(raw_data!J784))</f>
        <v>Technology</v>
      </c>
      <c r="P784" s="3" t="str">
        <f aca="false">PROPER(TRIM(raw_data!K784))</f>
        <v>Copiers</v>
      </c>
      <c r="Q784" s="3" t="str">
        <f aca="false">TRIM(raw_data!L784)</f>
        <v>Basic Copiers 254</v>
      </c>
      <c r="R784" s="3" t="str">
        <f aca="false">IF(TRIM(raw_data!M784)="","Unknown",PROPER(TRIM(raw_data!M784)))</f>
        <v>Standard Class</v>
      </c>
      <c r="S784" s="3" t="str">
        <f aca="false">IF(TRIM(raw_data!M784)="","Filled - Unknown","OK")</f>
        <v>OK</v>
      </c>
      <c r="T784" s="6" t="n">
        <f aca="false">raw_data!N784</f>
        <v>2</v>
      </c>
      <c r="U784" s="7" t="n">
        <f aca="false">raw_data!O784</f>
        <v>669.63</v>
      </c>
      <c r="V784" s="8" t="n">
        <f aca="false">raw_data!P784</f>
        <v>0.15</v>
      </c>
      <c r="W784" s="8" t="n">
        <f aca="false">IF(raw_data!P784="",0,IF(ISTEXT(raw_data!P784),IF(RIGHT(raw_data!P784,1)="%",VALUE(LEFT(raw_data!P784,LEN(raw_data!P784)-1))/100,VALUE(raw_data!P784)),raw_data!P784))</f>
        <v>0.15</v>
      </c>
      <c r="X784" s="3" t="str">
        <f aca="false">IF(raw_data!P784="","Missing - Defaulted to 0",IF(W784&lt;0,"Negative - Invalid",IF(W784&gt;0.3,"Above Allowed Range - Invalid","Valid")))</f>
        <v>Valid</v>
      </c>
      <c r="Y784" s="7" t="n">
        <f aca="false">raw_data!Q784</f>
        <v>1138.37</v>
      </c>
      <c r="Z784" s="7" t="n">
        <f aca="false">raw_data!R784</f>
        <v>797.34</v>
      </c>
      <c r="AA784" s="7" t="n">
        <f aca="false">raw_data!S784</f>
        <v>341.03</v>
      </c>
      <c r="AB784" s="3" t="str">
        <f aca="false">PROPER(TRIM(raw_data!T784))</f>
        <v>Paid</v>
      </c>
      <c r="AC784" s="3" t="str">
        <f aca="false">PROPER(TRIM(raw_data!U784))</f>
        <v>Completed</v>
      </c>
      <c r="AD784" s="7" t="n">
        <f aca="false">T784*U784*(1-W784)</f>
        <v>1138.371</v>
      </c>
      <c r="AE784" s="7" t="n">
        <f aca="false">AD784-Z784</f>
        <v>341.031</v>
      </c>
      <c r="AF784" s="8" t="n">
        <f aca="false">IF(AD784=0,0,AE784/AD784)</f>
        <v>0.299578081310926</v>
      </c>
      <c r="AG784" s="3" t="str">
        <f aca="false">IF(ABS(Y784-AD784)&gt;1,"Mismatch","OK")</f>
        <v>OK</v>
      </c>
      <c r="AH784" s="3" t="str">
        <f aca="false">IF(ABS(AA784-AE784)&gt;1,"Mismatch","OK")</f>
        <v>OK</v>
      </c>
      <c r="AI784" s="6" t="n">
        <f aca="false">IF(B784="","",MONTH(B784))</f>
        <v>3</v>
      </c>
      <c r="AJ784" s="6" t="n">
        <f aca="false">IF(B784="","",YEAR(B784))</f>
        <v>2025</v>
      </c>
      <c r="AK784" s="3" t="str">
        <f aca="false">IF(COUNTIF(raw_data!$A$2:$A$913,A784)&gt;1,"Conflicting Duplicate - Flagged for Review","Unique")</f>
        <v>Unique</v>
      </c>
      <c r="AL784" s="3" t="str">
        <f aca="false">IF(AB784="Refunded","Yes","No")</f>
        <v>No</v>
      </c>
      <c r="AM784" s="3" t="str">
        <f aca="false">IF(OR(AC784&lt;&gt;"Completed",AB784="Failed"),"Excluded","Included")</f>
        <v>Included</v>
      </c>
      <c r="AN784" s="3" t="str">
        <f aca="false">IF(OR(D784="Invalid/Unrecognized",E784="Invalid/Unrecognized",G784="Invalid - Ship Before Order",X784="Negative - Invalid",X784="Above Allowed Range - Invalid",AG784="Mismatch",AH784="Mismatch",AK784="Conflicting Duplicate - Flagged for Review"),"Invalid",IF(OR(L784="Filled - Unknown",S784="Filled - Unknown",X784="Missing - Defaulted to 0",AL784="Yes",AC784="Cancelled",AC784="Returned"),"Warning","Clean"))</f>
        <v>Clean</v>
      </c>
    </row>
    <row r="785" customFormat="false" ht="15" hidden="false" customHeight="false" outlineLevel="0" collapsed="false">
      <c r="A785" s="3" t="str">
        <f aca="false">raw_data!A785</f>
        <v>ORD-2024-10784</v>
      </c>
      <c r="B785" s="4" t="n">
        <f aca="false">IFERROR(IF(MID(raw_data!B785,3,1)="/",DATE(VALUE(RIGHT(raw_data!B785,4)),VALUE(LEFT(raw_data!B785,2)),VALUE(MID(raw_data!B785,4,2))),IF(MID(raw_data!B785,3,1)="-",DATE(VALUE(RIGHT(raw_data!B785,4)),VALUE(MID(raw_data!B785,4,2)),VALUE(LEFT(raw_data!B785,2))),IF(MID(raw_data!B785,5,1)="-",DATE(VALUE(LEFT(raw_data!B785,4)),VALUE(MID(raw_data!B785,6,2)),VALUE(RIGHT(raw_data!B785,2))),DATE(VALUE(RIGHT(raw_data!B785,4)),MATCH(MID(raw_data!B785,4,3),{"Jan","Feb","Mar","Apr","May","Jun","Jul","Aug","Sep","Oct","Nov","Dec"},0),VALUE(LEFT(raw_data!B785,2)))))),"")</f>
        <v>45450</v>
      </c>
      <c r="C785" s="4" t="n">
        <f aca="false">IFERROR(IF(MID(raw_data!C785,3,1)="/",DATE(VALUE(RIGHT(raw_data!C785,4)),VALUE(LEFT(raw_data!C785,2)),VALUE(MID(raw_data!C785,4,2))),IF(MID(raw_data!C785,3,1)="-",DATE(VALUE(RIGHT(raw_data!C785,4)),VALUE(MID(raw_data!C785,4,2)),VALUE(LEFT(raw_data!C785,2))),IF(MID(raw_data!C785,5,1)="-",DATE(VALUE(LEFT(raw_data!C785,4)),VALUE(MID(raw_data!C785,6,2)),VALUE(RIGHT(raw_data!C785,2))),DATE(VALUE(RIGHT(raw_data!C785,4)),MATCH(MID(raw_data!C785,4,3),{"Jan","Feb","Mar","Apr","May","Jun","Jul","Aug","Sep","Oct","Nov","Dec"},0),VALUE(LEFT(raw_data!C785,2)))))),"")</f>
        <v>45450</v>
      </c>
      <c r="D785" s="3" t="str">
        <f aca="false">IF(TRIM(raw_data!B785)="","Missing",IF(B785="","Invalid/Unrecognized","Valid"))</f>
        <v>Valid</v>
      </c>
      <c r="E785" s="3" t="str">
        <f aca="false">IF(TRIM(raw_data!C785)="","Missing",IF(C785="","Invalid/Unrecognized","Valid"))</f>
        <v>Valid</v>
      </c>
      <c r="F785" s="5" t="n">
        <f aca="false">IF(OR(B785="",C785=""),"",C785-B785)</f>
        <v>0</v>
      </c>
      <c r="G785" s="3" t="str">
        <f aca="false">IF(F785="","N/A",IF(F785&lt;0,"Invalid - Ship Before Order","OK"))</f>
        <v>OK</v>
      </c>
      <c r="H785" s="3" t="str">
        <f aca="false">raw_data!D785</f>
        <v>CUST-7746</v>
      </c>
      <c r="I785" s="3" t="str">
        <f aca="false">PROPER(TRIM(raw_data!E785))</f>
        <v>Aarav Sharma</v>
      </c>
      <c r="J785" s="3" t="str">
        <f aca="false">PROPER(TRIM(raw_data!F785))</f>
        <v>Small Business</v>
      </c>
      <c r="K785" s="3" t="str">
        <f aca="false">IF(TRIM(raw_data!G785)="","Unknown",PROPER(TRIM(raw_data!G785)))</f>
        <v>East</v>
      </c>
      <c r="L785" s="3" t="str">
        <f aca="false">IF(TRIM(raw_data!G785)="","Filled - Unknown","OK")</f>
        <v>OK</v>
      </c>
      <c r="M785" s="3" t="str">
        <f aca="false">PROPER(TRIM(raw_data!H785))</f>
        <v>Bihar</v>
      </c>
      <c r="N785" s="3" t="str">
        <f aca="false">PROPER(TRIM(raw_data!I785))</f>
        <v>Patna</v>
      </c>
      <c r="O785" s="3" t="str">
        <f aca="false">PROPER(TRIM(raw_data!J785))</f>
        <v>Office Supplies</v>
      </c>
      <c r="P785" s="3" t="str">
        <f aca="false">PROPER(TRIM(raw_data!K785))</f>
        <v>Art</v>
      </c>
      <c r="Q785" s="3" t="str">
        <f aca="false">TRIM(raw_data!L785)</f>
        <v>Basic Art 709</v>
      </c>
      <c r="R785" s="3" t="str">
        <f aca="false">IF(TRIM(raw_data!M785)="","Unknown",PROPER(TRIM(raw_data!M785)))</f>
        <v>Second Class</v>
      </c>
      <c r="S785" s="3" t="str">
        <f aca="false">IF(TRIM(raw_data!M785)="","Filled - Unknown","OK")</f>
        <v>OK</v>
      </c>
      <c r="T785" s="6" t="n">
        <f aca="false">raw_data!N785</f>
        <v>1</v>
      </c>
      <c r="U785" s="7" t="n">
        <f aca="false">raw_data!O785</f>
        <v>2581.93</v>
      </c>
      <c r="V785" s="8" t="n">
        <f aca="false">raw_data!P785</f>
        <v>0.05</v>
      </c>
      <c r="W785" s="8" t="n">
        <f aca="false">IF(raw_data!P785="",0,IF(ISTEXT(raw_data!P785),IF(RIGHT(raw_data!P785,1)="%",VALUE(LEFT(raw_data!P785,LEN(raw_data!P785)-1))/100,VALUE(raw_data!P785)),raw_data!P785))</f>
        <v>0.05</v>
      </c>
      <c r="X785" s="3" t="str">
        <f aca="false">IF(raw_data!P785="","Missing - Defaulted to 0",IF(W785&lt;0,"Negative - Invalid",IF(W785&gt;0.3,"Above Allowed Range - Invalid","Valid")))</f>
        <v>Valid</v>
      </c>
      <c r="Y785" s="7" t="n">
        <f aca="false">raw_data!Q785</f>
        <v>2452.83</v>
      </c>
      <c r="Z785" s="7" t="n">
        <f aca="false">raw_data!R785</f>
        <v>1906.7</v>
      </c>
      <c r="AA785" s="7" t="n">
        <f aca="false">raw_data!S785</f>
        <v>546.13</v>
      </c>
      <c r="AB785" s="3" t="str">
        <f aca="false">PROPER(TRIM(raw_data!T785))</f>
        <v>Paid</v>
      </c>
      <c r="AC785" s="3" t="str">
        <f aca="false">PROPER(TRIM(raw_data!U785))</f>
        <v>Completed</v>
      </c>
      <c r="AD785" s="7" t="n">
        <f aca="false">T785*U785*(1-W785)</f>
        <v>2452.8335</v>
      </c>
      <c r="AE785" s="7" t="n">
        <f aca="false">AD785-Z785</f>
        <v>546.1335</v>
      </c>
      <c r="AF785" s="8" t="n">
        <f aca="false">IF(AD785=0,0,AE785/AD785)</f>
        <v>0.222654126340006</v>
      </c>
      <c r="AG785" s="3" t="str">
        <f aca="false">IF(ABS(Y785-AD785)&gt;1,"Mismatch","OK")</f>
        <v>OK</v>
      </c>
      <c r="AH785" s="3" t="str">
        <f aca="false">IF(ABS(AA785-AE785)&gt;1,"Mismatch","OK")</f>
        <v>OK</v>
      </c>
      <c r="AI785" s="6" t="n">
        <f aca="false">IF(B785="","",MONTH(B785))</f>
        <v>6</v>
      </c>
      <c r="AJ785" s="6" t="n">
        <f aca="false">IF(B785="","",YEAR(B785))</f>
        <v>2024</v>
      </c>
      <c r="AK785" s="3" t="str">
        <f aca="false">IF(COUNTIF(raw_data!$A$2:$A$913,A785)&gt;1,"Conflicting Duplicate - Flagged for Review","Unique")</f>
        <v>Unique</v>
      </c>
      <c r="AL785" s="3" t="str">
        <f aca="false">IF(AB785="Refunded","Yes","No")</f>
        <v>No</v>
      </c>
      <c r="AM785" s="3" t="str">
        <f aca="false">IF(OR(AC785&lt;&gt;"Completed",AB785="Failed"),"Excluded","Included")</f>
        <v>Included</v>
      </c>
      <c r="AN785" s="3" t="str">
        <f aca="false">IF(OR(D785="Invalid/Unrecognized",E785="Invalid/Unrecognized",G785="Invalid - Ship Before Order",X785="Negative - Invalid",X785="Above Allowed Range - Invalid",AG785="Mismatch",AH785="Mismatch",AK785="Conflicting Duplicate - Flagged for Review"),"Invalid",IF(OR(L785="Filled - Unknown",S785="Filled - Unknown",X785="Missing - Defaulted to 0",AL785="Yes",AC785="Cancelled",AC785="Returned"),"Warning","Clean"))</f>
        <v>Clean</v>
      </c>
    </row>
    <row r="786" customFormat="false" ht="15" hidden="false" customHeight="false" outlineLevel="0" collapsed="false">
      <c r="A786" s="3" t="str">
        <f aca="false">raw_data!A786</f>
        <v>ORD-2025-10785</v>
      </c>
      <c r="B786" s="4" t="n">
        <f aca="false">IFERROR(IF(MID(raw_data!B786,3,1)="/",DATE(VALUE(RIGHT(raw_data!B786,4)),VALUE(LEFT(raw_data!B786,2)),VALUE(MID(raw_data!B786,4,2))),IF(MID(raw_data!B786,3,1)="-",DATE(VALUE(RIGHT(raw_data!B786,4)),VALUE(MID(raw_data!B786,4,2)),VALUE(LEFT(raw_data!B786,2))),IF(MID(raw_data!B786,5,1)="-",DATE(VALUE(LEFT(raw_data!B786,4)),VALUE(MID(raw_data!B786,6,2)),VALUE(RIGHT(raw_data!B786,2))),DATE(VALUE(RIGHT(raw_data!B786,4)),MATCH(MID(raw_data!B786,4,3),{"Jan","Feb","Mar","Apr","May","Jun","Jul","Aug","Sep","Oct","Nov","Dec"},0),VALUE(LEFT(raw_data!B786,2)))))),"")</f>
        <v>45934</v>
      </c>
      <c r="C786" s="4" t="n">
        <f aca="false">IFERROR(IF(MID(raw_data!C786,3,1)="/",DATE(VALUE(RIGHT(raw_data!C786,4)),VALUE(LEFT(raw_data!C786,2)),VALUE(MID(raw_data!C786,4,2))),IF(MID(raw_data!C786,3,1)="-",DATE(VALUE(RIGHT(raw_data!C786,4)),VALUE(MID(raw_data!C786,4,2)),VALUE(LEFT(raw_data!C786,2))),IF(MID(raw_data!C786,5,1)="-",DATE(VALUE(LEFT(raw_data!C786,4)),VALUE(MID(raw_data!C786,6,2)),VALUE(RIGHT(raw_data!C786,2))),DATE(VALUE(RIGHT(raw_data!C786,4)),MATCH(MID(raw_data!C786,4,3),{"Jan","Feb","Mar","Apr","May","Jun","Jul","Aug","Sep","Oct","Nov","Dec"},0),VALUE(LEFT(raw_data!C786,2)))))),"")</f>
        <v>45935</v>
      </c>
      <c r="D786" s="3" t="str">
        <f aca="false">IF(TRIM(raw_data!B786)="","Missing",IF(B786="","Invalid/Unrecognized","Valid"))</f>
        <v>Valid</v>
      </c>
      <c r="E786" s="3" t="str">
        <f aca="false">IF(TRIM(raw_data!C786)="","Missing",IF(C786="","Invalid/Unrecognized","Valid"))</f>
        <v>Valid</v>
      </c>
      <c r="F786" s="5" t="n">
        <f aca="false">IF(OR(B786="",C786=""),"",C786-B786)</f>
        <v>1</v>
      </c>
      <c r="G786" s="3" t="str">
        <f aca="false">IF(F786="","N/A",IF(F786&lt;0,"Invalid - Ship Before Order","OK"))</f>
        <v>OK</v>
      </c>
      <c r="H786" s="3" t="str">
        <f aca="false">raw_data!D786</f>
        <v>CUST-3119</v>
      </c>
      <c r="I786" s="3" t="str">
        <f aca="false">PROPER(TRIM(raw_data!E786))</f>
        <v>Priya Menon</v>
      </c>
      <c r="J786" s="3" t="str">
        <f aca="false">PROPER(TRIM(raw_data!F786))</f>
        <v>Corporate</v>
      </c>
      <c r="K786" s="3" t="str">
        <f aca="false">IF(TRIM(raw_data!G786)="","Unknown",PROPER(TRIM(raw_data!G786)))</f>
        <v>North</v>
      </c>
      <c r="L786" s="3" t="str">
        <f aca="false">IF(TRIM(raw_data!G786)="","Filled - Unknown","OK")</f>
        <v>OK</v>
      </c>
      <c r="M786" s="3" t="str">
        <f aca="false">PROPER(TRIM(raw_data!H786))</f>
        <v>Punjab</v>
      </c>
      <c r="N786" s="3" t="str">
        <f aca="false">PROPER(TRIM(raw_data!I786))</f>
        <v>Ludhiana</v>
      </c>
      <c r="O786" s="3" t="str">
        <f aca="false">PROPER(TRIM(raw_data!J786))</f>
        <v>Technology</v>
      </c>
      <c r="P786" s="3" t="str">
        <f aca="false">PROPER(TRIM(raw_data!K786))</f>
        <v>Copiers</v>
      </c>
      <c r="Q786" s="3" t="str">
        <f aca="false">TRIM(raw_data!L786)</f>
        <v>Max Copiers 551</v>
      </c>
      <c r="R786" s="3" t="str">
        <f aca="false">IF(TRIM(raw_data!M786)="","Unknown",PROPER(TRIM(raw_data!M786)))</f>
        <v>First Class</v>
      </c>
      <c r="S786" s="3" t="str">
        <f aca="false">IF(TRIM(raw_data!M786)="","Filled - Unknown","OK")</f>
        <v>OK</v>
      </c>
      <c r="T786" s="6" t="n">
        <f aca="false">raw_data!N786</f>
        <v>4</v>
      </c>
      <c r="U786" s="7" t="n">
        <f aca="false">raw_data!O786</f>
        <v>418.18</v>
      </c>
      <c r="V786" s="8" t="n">
        <f aca="false">raw_data!P786</f>
        <v>0.05</v>
      </c>
      <c r="W786" s="8" t="n">
        <f aca="false">IF(raw_data!P786="",0,IF(ISTEXT(raw_data!P786),IF(RIGHT(raw_data!P786,1)="%",VALUE(LEFT(raw_data!P786,LEN(raw_data!P786)-1))/100,VALUE(raw_data!P786)),raw_data!P786))</f>
        <v>0.05</v>
      </c>
      <c r="X786" s="3" t="str">
        <f aca="false">IF(raw_data!P786="","Missing - Defaulted to 0",IF(W786&lt;0,"Negative - Invalid",IF(W786&gt;0.3,"Above Allowed Range - Invalid","Valid")))</f>
        <v>Valid</v>
      </c>
      <c r="Y786" s="7" t="n">
        <f aca="false">raw_data!Q786</f>
        <v>1589.08</v>
      </c>
      <c r="Z786" s="7" t="n">
        <f aca="false">raw_data!R786</f>
        <v>1084.66</v>
      </c>
      <c r="AA786" s="7" t="n">
        <f aca="false">raw_data!S786</f>
        <v>504.42</v>
      </c>
      <c r="AB786" s="3" t="str">
        <f aca="false">PROPER(TRIM(raw_data!T786))</f>
        <v>Paid</v>
      </c>
      <c r="AC786" s="3" t="str">
        <f aca="false">PROPER(TRIM(raw_data!U786))</f>
        <v>Completed</v>
      </c>
      <c r="AD786" s="7" t="n">
        <f aca="false">T786*U786*(1-W786)</f>
        <v>1589.084</v>
      </c>
      <c r="AE786" s="7" t="n">
        <f aca="false">AD786-Z786</f>
        <v>504.424</v>
      </c>
      <c r="AF786" s="8" t="n">
        <f aca="false">IF(AD786=0,0,AE786/AD786)</f>
        <v>0.3174306707512</v>
      </c>
      <c r="AG786" s="3" t="str">
        <f aca="false">IF(ABS(Y786-AD786)&gt;1,"Mismatch","OK")</f>
        <v>OK</v>
      </c>
      <c r="AH786" s="3" t="str">
        <f aca="false">IF(ABS(AA786-AE786)&gt;1,"Mismatch","OK")</f>
        <v>OK</v>
      </c>
      <c r="AI786" s="6" t="n">
        <f aca="false">IF(B786="","",MONTH(B786))</f>
        <v>10</v>
      </c>
      <c r="AJ786" s="6" t="n">
        <f aca="false">IF(B786="","",YEAR(B786))</f>
        <v>2025</v>
      </c>
      <c r="AK786" s="3" t="str">
        <f aca="false">IF(COUNTIF(raw_data!$A$2:$A$913,A786)&gt;1,"Conflicting Duplicate - Flagged for Review","Unique")</f>
        <v>Unique</v>
      </c>
      <c r="AL786" s="3" t="str">
        <f aca="false">IF(AB786="Refunded","Yes","No")</f>
        <v>No</v>
      </c>
      <c r="AM786" s="3" t="str">
        <f aca="false">IF(OR(AC786&lt;&gt;"Completed",AB786="Failed"),"Excluded","Included")</f>
        <v>Included</v>
      </c>
      <c r="AN786" s="3" t="str">
        <f aca="false">IF(OR(D786="Invalid/Unrecognized",E786="Invalid/Unrecognized",G786="Invalid - Ship Before Order",X786="Negative - Invalid",X786="Above Allowed Range - Invalid",AG786="Mismatch",AH786="Mismatch",AK786="Conflicting Duplicate - Flagged for Review"),"Invalid",IF(OR(L786="Filled - Unknown",S786="Filled - Unknown",X786="Missing - Defaulted to 0",AL786="Yes",AC786="Cancelled",AC786="Returned"),"Warning","Clean"))</f>
        <v>Clean</v>
      </c>
    </row>
    <row r="787" customFormat="false" ht="15" hidden="false" customHeight="false" outlineLevel="0" collapsed="false">
      <c r="A787" s="3" t="str">
        <f aca="false">raw_data!A787</f>
        <v>ORD-2024-10786</v>
      </c>
      <c r="B787" s="4" t="n">
        <f aca="false">IFERROR(IF(MID(raw_data!B787,3,1)="/",DATE(VALUE(RIGHT(raw_data!B787,4)),VALUE(LEFT(raw_data!B787,2)),VALUE(MID(raw_data!B787,4,2))),IF(MID(raw_data!B787,3,1)="-",DATE(VALUE(RIGHT(raw_data!B787,4)),VALUE(MID(raw_data!B787,4,2)),VALUE(LEFT(raw_data!B787,2))),IF(MID(raw_data!B787,5,1)="-",DATE(VALUE(LEFT(raw_data!B787,4)),VALUE(MID(raw_data!B787,6,2)),VALUE(RIGHT(raw_data!B787,2))),DATE(VALUE(RIGHT(raw_data!B787,4)),MATCH(MID(raw_data!B787,4,3),{"Jan","Feb","Mar","Apr","May","Jun","Jul","Aug","Sep","Oct","Nov","Dec"},0),VALUE(LEFT(raw_data!B787,2)))))),"")</f>
        <v>45435</v>
      </c>
      <c r="C787" s="4" t="n">
        <f aca="false">IFERROR(IF(MID(raw_data!C787,3,1)="/",DATE(VALUE(RIGHT(raw_data!C787,4)),VALUE(LEFT(raw_data!C787,2)),VALUE(MID(raw_data!C787,4,2))),IF(MID(raw_data!C787,3,1)="-",DATE(VALUE(RIGHT(raw_data!C787,4)),VALUE(MID(raw_data!C787,4,2)),VALUE(LEFT(raw_data!C787,2))),IF(MID(raw_data!C787,5,1)="-",DATE(VALUE(LEFT(raw_data!C787,4)),VALUE(MID(raw_data!C787,6,2)),VALUE(RIGHT(raw_data!C787,2))),DATE(VALUE(RIGHT(raw_data!C787,4)),MATCH(MID(raw_data!C787,4,3),{"Jan","Feb","Mar","Apr","May","Jun","Jul","Aug","Sep","Oct","Nov","Dec"},0),VALUE(LEFT(raw_data!C787,2)))))),"")</f>
        <v>45441</v>
      </c>
      <c r="D787" s="3" t="str">
        <f aca="false">IF(TRIM(raw_data!B787)="","Missing",IF(B787="","Invalid/Unrecognized","Valid"))</f>
        <v>Valid</v>
      </c>
      <c r="E787" s="3" t="str">
        <f aca="false">IF(TRIM(raw_data!C787)="","Missing",IF(C787="","Invalid/Unrecognized","Valid"))</f>
        <v>Valid</v>
      </c>
      <c r="F787" s="5" t="n">
        <f aca="false">IF(OR(B787="",C787=""),"",C787-B787)</f>
        <v>6</v>
      </c>
      <c r="G787" s="3" t="str">
        <f aca="false">IF(F787="","N/A",IF(F787&lt;0,"Invalid - Ship Before Order","OK"))</f>
        <v>OK</v>
      </c>
      <c r="H787" s="3" t="str">
        <f aca="false">raw_data!D787</f>
        <v>CUST-7518</v>
      </c>
      <c r="I787" s="3" t="str">
        <f aca="false">PROPER(TRIM(raw_data!E787))</f>
        <v>Diya Patel</v>
      </c>
      <c r="J787" s="3" t="str">
        <f aca="false">PROPER(TRIM(raw_data!F787))</f>
        <v>Small Business</v>
      </c>
      <c r="K787" s="3" t="str">
        <f aca="false">IF(TRIM(raw_data!G787)="","Unknown",PROPER(TRIM(raw_data!G787)))</f>
        <v>North</v>
      </c>
      <c r="L787" s="3" t="str">
        <f aca="false">IF(TRIM(raw_data!G787)="","Filled - Unknown","OK")</f>
        <v>OK</v>
      </c>
      <c r="M787" s="3" t="str">
        <f aca="false">PROPER(TRIM(raw_data!H787))</f>
        <v>Haryana</v>
      </c>
      <c r="N787" s="3" t="str">
        <f aca="false">PROPER(TRIM(raw_data!I787))</f>
        <v>Gurugram</v>
      </c>
      <c r="O787" s="3" t="str">
        <f aca="false">PROPER(TRIM(raw_data!J787))</f>
        <v>Office Supplies</v>
      </c>
      <c r="P787" s="3" t="str">
        <f aca="false">PROPER(TRIM(raw_data!K787))</f>
        <v>Storage</v>
      </c>
      <c r="Q787" s="3" t="str">
        <f aca="false">TRIM(raw_data!L787)</f>
        <v>Eco Storage 183</v>
      </c>
      <c r="R787" s="3" t="str">
        <f aca="false">IF(TRIM(raw_data!M787)="","Unknown",PROPER(TRIM(raw_data!M787)))</f>
        <v>Same Day</v>
      </c>
      <c r="S787" s="3" t="str">
        <f aca="false">IF(TRIM(raw_data!M787)="","Filled - Unknown","OK")</f>
        <v>OK</v>
      </c>
      <c r="T787" s="6" t="n">
        <f aca="false">raw_data!N787</f>
        <v>2</v>
      </c>
      <c r="U787" s="7" t="n">
        <f aca="false">raw_data!O787</f>
        <v>3012.94</v>
      </c>
      <c r="V787" s="8" t="n">
        <f aca="false">raw_data!P787</f>
        <v>0.25</v>
      </c>
      <c r="W787" s="8" t="n">
        <f aca="false">IF(raw_data!P787="",0,IF(ISTEXT(raw_data!P787),IF(RIGHT(raw_data!P787,1)="%",VALUE(LEFT(raw_data!P787,LEN(raw_data!P787)-1))/100,VALUE(raw_data!P787)),raw_data!P787))</f>
        <v>0.25</v>
      </c>
      <c r="X787" s="3" t="str">
        <f aca="false">IF(raw_data!P787="","Missing - Defaulted to 0",IF(W787&lt;0,"Negative - Invalid",IF(W787&gt;0.3,"Above Allowed Range - Invalid","Valid")))</f>
        <v>Valid</v>
      </c>
      <c r="Y787" s="7" t="n">
        <f aca="false">raw_data!Q787</f>
        <v>4519.41</v>
      </c>
      <c r="Z787" s="7" t="n">
        <f aca="false">raw_data!R787</f>
        <v>3504.16</v>
      </c>
      <c r="AA787" s="7" t="n">
        <f aca="false">raw_data!S787</f>
        <v>1275.55</v>
      </c>
      <c r="AB787" s="3" t="str">
        <f aca="false">PROPER(TRIM(raw_data!T787))</f>
        <v>Failed</v>
      </c>
      <c r="AC787" s="3" t="str">
        <f aca="false">PROPER(TRIM(raw_data!U787))</f>
        <v>Cancelled</v>
      </c>
      <c r="AD787" s="7" t="n">
        <f aca="false">T787*U787*(1-W787)</f>
        <v>4519.41</v>
      </c>
      <c r="AE787" s="7" t="n">
        <f aca="false">AD787-Z787</f>
        <v>1015.25</v>
      </c>
      <c r="AF787" s="8" t="n">
        <f aca="false">IF(AD787=0,0,AE787/AD787)</f>
        <v>0.224642154617528</v>
      </c>
      <c r="AG787" s="3" t="str">
        <f aca="false">IF(ABS(Y787-AD787)&gt;1,"Mismatch","OK")</f>
        <v>OK</v>
      </c>
      <c r="AH787" s="3" t="str">
        <f aca="false">IF(ABS(AA787-AE787)&gt;1,"Mismatch","OK")</f>
        <v>Mismatch</v>
      </c>
      <c r="AI787" s="6" t="n">
        <f aca="false">IF(B787="","",MONTH(B787))</f>
        <v>5</v>
      </c>
      <c r="AJ787" s="6" t="n">
        <f aca="false">IF(B787="","",YEAR(B787))</f>
        <v>2024</v>
      </c>
      <c r="AK787" s="3" t="str">
        <f aca="false">IF(COUNTIF(raw_data!$A$2:$A$913,A787)&gt;1,"Conflicting Duplicate - Flagged for Review","Unique")</f>
        <v>Unique</v>
      </c>
      <c r="AL787" s="3" t="str">
        <f aca="false">IF(AB787="Refunded","Yes","No")</f>
        <v>No</v>
      </c>
      <c r="AM787" s="3" t="str">
        <f aca="false">IF(OR(AC787&lt;&gt;"Completed",AB787="Failed"),"Excluded","Included")</f>
        <v>Excluded</v>
      </c>
      <c r="AN787" s="3" t="str">
        <f aca="false">IF(OR(D787="Invalid/Unrecognized",E787="Invalid/Unrecognized",G787="Invalid - Ship Before Order",X787="Negative - Invalid",X787="Above Allowed Range - Invalid",AG787="Mismatch",AH787="Mismatch",AK787="Conflicting Duplicate - Flagged for Review"),"Invalid",IF(OR(L787="Filled - Unknown",S787="Filled - Unknown",X787="Missing - Defaulted to 0",AL787="Yes",AC787="Cancelled",AC787="Returned"),"Warning","Clean"))</f>
        <v>Invalid</v>
      </c>
    </row>
    <row r="788" customFormat="false" ht="15" hidden="false" customHeight="false" outlineLevel="0" collapsed="false">
      <c r="A788" s="3" t="str">
        <f aca="false">raw_data!A788</f>
        <v>ORD-2025-10787</v>
      </c>
      <c r="B788" s="4" t="n">
        <f aca="false">IFERROR(IF(MID(raw_data!B788,3,1)="/",DATE(VALUE(RIGHT(raw_data!B788,4)),VALUE(LEFT(raw_data!B788,2)),VALUE(MID(raw_data!B788,4,2))),IF(MID(raw_data!B788,3,1)="-",DATE(VALUE(RIGHT(raw_data!B788,4)),VALUE(MID(raw_data!B788,4,2)),VALUE(LEFT(raw_data!B788,2))),IF(MID(raw_data!B788,5,1)="-",DATE(VALUE(LEFT(raw_data!B788,4)),VALUE(MID(raw_data!B788,6,2)),VALUE(RIGHT(raw_data!B788,2))),DATE(VALUE(RIGHT(raw_data!B788,4)),MATCH(MID(raw_data!B788,4,3),{"Jan","Feb","Mar","Apr","May","Jun","Jul","Aug","Sep","Oct","Nov","Dec"},0),VALUE(LEFT(raw_data!B788,2)))))),"")</f>
        <v>45844</v>
      </c>
      <c r="C788" s="4" t="n">
        <f aca="false">IFERROR(IF(MID(raw_data!C788,3,1)="/",DATE(VALUE(RIGHT(raw_data!C788,4)),VALUE(LEFT(raw_data!C788,2)),VALUE(MID(raw_data!C788,4,2))),IF(MID(raw_data!C788,3,1)="-",DATE(VALUE(RIGHT(raw_data!C788,4)),VALUE(MID(raw_data!C788,4,2)),VALUE(LEFT(raw_data!C788,2))),IF(MID(raw_data!C788,5,1)="-",DATE(VALUE(LEFT(raw_data!C788,4)),VALUE(MID(raw_data!C788,6,2)),VALUE(RIGHT(raw_data!C788,2))),DATE(VALUE(RIGHT(raw_data!C788,4)),MATCH(MID(raw_data!C788,4,3),{"Jan","Feb","Mar","Apr","May","Jun","Jul","Aug","Sep","Oct","Nov","Dec"},0),VALUE(LEFT(raw_data!C788,2)))))),"")</f>
        <v>45846</v>
      </c>
      <c r="D788" s="3" t="str">
        <f aca="false">IF(TRIM(raw_data!B788)="","Missing",IF(B788="","Invalid/Unrecognized","Valid"))</f>
        <v>Valid</v>
      </c>
      <c r="E788" s="3" t="str">
        <f aca="false">IF(TRIM(raw_data!C788)="","Missing",IF(C788="","Invalid/Unrecognized","Valid"))</f>
        <v>Valid</v>
      </c>
      <c r="F788" s="5" t="n">
        <f aca="false">IF(OR(B788="",C788=""),"",C788-B788)</f>
        <v>2</v>
      </c>
      <c r="G788" s="3" t="str">
        <f aca="false">IF(F788="","N/A",IF(F788&lt;0,"Invalid - Ship Before Order","OK"))</f>
        <v>OK</v>
      </c>
      <c r="H788" s="3" t="str">
        <f aca="false">raw_data!D788</f>
        <v>CUST-1343</v>
      </c>
      <c r="I788" s="3" t="str">
        <f aca="false">PROPER(TRIM(raw_data!E788))</f>
        <v>Ananya Rao</v>
      </c>
      <c r="J788" s="3" t="str">
        <f aca="false">PROPER(TRIM(raw_data!F788))</f>
        <v>Corporate</v>
      </c>
      <c r="K788" s="3" t="str">
        <f aca="false">IF(TRIM(raw_data!G788)="","Unknown",PROPER(TRIM(raw_data!G788)))</f>
        <v>North</v>
      </c>
      <c r="L788" s="3" t="str">
        <f aca="false">IF(TRIM(raw_data!G788)="","Filled - Unknown","OK")</f>
        <v>OK</v>
      </c>
      <c r="M788" s="3" t="str">
        <f aca="false">PROPER(TRIM(raw_data!H788))</f>
        <v>Rajasthan</v>
      </c>
      <c r="N788" s="3" t="str">
        <f aca="false">PROPER(TRIM(raw_data!I788))</f>
        <v>Jaipur</v>
      </c>
      <c r="O788" s="3" t="str">
        <f aca="false">PROPER(TRIM(raw_data!J788))</f>
        <v>Furniture</v>
      </c>
      <c r="P788" s="3" t="str">
        <f aca="false">PROPER(TRIM(raw_data!K788))</f>
        <v>Furnishings</v>
      </c>
      <c r="Q788" s="3" t="str">
        <f aca="false">TRIM(raw_data!L788)</f>
        <v>Pro Furnishings 233</v>
      </c>
      <c r="R788" s="3" t="str">
        <f aca="false">IF(TRIM(raw_data!M788)="","Unknown",PROPER(TRIM(raw_data!M788)))</f>
        <v>Unknown</v>
      </c>
      <c r="S788" s="3" t="str">
        <f aca="false">IF(TRIM(raw_data!M788)="","Filled - Unknown","OK")</f>
        <v>Filled - Unknown</v>
      </c>
      <c r="T788" s="6" t="n">
        <f aca="false">raw_data!N788</f>
        <v>4</v>
      </c>
      <c r="U788" s="7" t="n">
        <f aca="false">raw_data!O788</f>
        <v>715.45</v>
      </c>
      <c r="V788" s="8" t="n">
        <f aca="false">raw_data!P788</f>
        <v>0.05</v>
      </c>
      <c r="W788" s="8" t="n">
        <f aca="false">IF(raw_data!P788="",0,IF(ISTEXT(raw_data!P788),IF(RIGHT(raw_data!P788,1)="%",VALUE(LEFT(raw_data!P788,LEN(raw_data!P788)-1))/100,VALUE(raw_data!P788)),raw_data!P788))</f>
        <v>0.05</v>
      </c>
      <c r="X788" s="3" t="str">
        <f aca="false">IF(raw_data!P788="","Missing - Defaulted to 0",IF(W788&lt;0,"Negative - Invalid",IF(W788&gt;0.3,"Above Allowed Range - Invalid","Valid")))</f>
        <v>Valid</v>
      </c>
      <c r="Y788" s="7" t="n">
        <f aca="false">raw_data!Q788</f>
        <v>2718.71</v>
      </c>
      <c r="Z788" s="7" t="n">
        <f aca="false">raw_data!R788</f>
        <v>2065.05</v>
      </c>
      <c r="AA788" s="7" t="n">
        <f aca="false">raw_data!S788</f>
        <v>653.66</v>
      </c>
      <c r="AB788" s="3" t="str">
        <f aca="false">PROPER(TRIM(raw_data!T788))</f>
        <v>Refunded</v>
      </c>
      <c r="AC788" s="3" t="str">
        <f aca="false">PROPER(TRIM(raw_data!U788))</f>
        <v>Returned</v>
      </c>
      <c r="AD788" s="7" t="n">
        <f aca="false">T788*U788*(1-W788)</f>
        <v>2718.71</v>
      </c>
      <c r="AE788" s="7" t="n">
        <f aca="false">AD788-Z788</f>
        <v>653.66</v>
      </c>
      <c r="AF788" s="8" t="n">
        <f aca="false">IF(AD788=0,0,AE788/AD788)</f>
        <v>0.240430204030588</v>
      </c>
      <c r="AG788" s="3" t="str">
        <f aca="false">IF(ABS(Y788-AD788)&gt;1,"Mismatch","OK")</f>
        <v>OK</v>
      </c>
      <c r="AH788" s="3" t="str">
        <f aca="false">IF(ABS(AA788-AE788)&gt;1,"Mismatch","OK")</f>
        <v>OK</v>
      </c>
      <c r="AI788" s="6" t="n">
        <f aca="false">IF(B788="","",MONTH(B788))</f>
        <v>7</v>
      </c>
      <c r="AJ788" s="6" t="n">
        <f aca="false">IF(B788="","",YEAR(B788))</f>
        <v>2025</v>
      </c>
      <c r="AK788" s="3" t="str">
        <f aca="false">IF(COUNTIF(raw_data!$A$2:$A$913,A788)&gt;1,"Conflicting Duplicate - Flagged for Review","Unique")</f>
        <v>Unique</v>
      </c>
      <c r="AL788" s="3" t="str">
        <f aca="false">IF(AB788="Refunded","Yes","No")</f>
        <v>Yes</v>
      </c>
      <c r="AM788" s="3" t="str">
        <f aca="false">IF(OR(AC788&lt;&gt;"Completed",AB788="Failed"),"Excluded","Included")</f>
        <v>Excluded</v>
      </c>
      <c r="AN788" s="3" t="str">
        <f aca="false">IF(OR(D788="Invalid/Unrecognized",E788="Invalid/Unrecognized",G788="Invalid - Ship Before Order",X788="Negative - Invalid",X788="Above Allowed Range - Invalid",AG788="Mismatch",AH788="Mismatch",AK788="Conflicting Duplicate - Flagged for Review"),"Invalid",IF(OR(L788="Filled - Unknown",S788="Filled - Unknown",X788="Missing - Defaulted to 0",AL788="Yes",AC788="Cancelled",AC788="Returned"),"Warning","Clean"))</f>
        <v>Warning</v>
      </c>
    </row>
    <row r="789" customFormat="false" ht="15" hidden="false" customHeight="false" outlineLevel="0" collapsed="false">
      <c r="A789" s="3" t="str">
        <f aca="false">raw_data!A789</f>
        <v>ORD-2024-10788</v>
      </c>
      <c r="B789" s="4" t="n">
        <f aca="false">IFERROR(IF(MID(raw_data!B789,3,1)="/",DATE(VALUE(RIGHT(raw_data!B789,4)),VALUE(LEFT(raw_data!B789,2)),VALUE(MID(raw_data!B789,4,2))),IF(MID(raw_data!B789,3,1)="-",DATE(VALUE(RIGHT(raw_data!B789,4)),VALUE(MID(raw_data!B789,4,2)),VALUE(LEFT(raw_data!B789,2))),IF(MID(raw_data!B789,5,1)="-",DATE(VALUE(LEFT(raw_data!B789,4)),VALUE(MID(raw_data!B789,6,2)),VALUE(RIGHT(raw_data!B789,2))),DATE(VALUE(RIGHT(raw_data!B789,4)),MATCH(MID(raw_data!B789,4,3),{"Jan","Feb","Mar","Apr","May","Jun","Jul","Aug","Sep","Oct","Nov","Dec"},0),VALUE(LEFT(raw_data!B789,2)))))),"")</f>
        <v>45547</v>
      </c>
      <c r="C789" s="4" t="n">
        <f aca="false">IFERROR(IF(MID(raw_data!C789,3,1)="/",DATE(VALUE(RIGHT(raw_data!C789,4)),VALUE(LEFT(raw_data!C789,2)),VALUE(MID(raw_data!C789,4,2))),IF(MID(raw_data!C789,3,1)="-",DATE(VALUE(RIGHT(raw_data!C789,4)),VALUE(MID(raw_data!C789,4,2)),VALUE(LEFT(raw_data!C789,2))),IF(MID(raw_data!C789,5,1)="-",DATE(VALUE(LEFT(raw_data!C789,4)),VALUE(MID(raw_data!C789,6,2)),VALUE(RIGHT(raw_data!C789,2))),DATE(VALUE(RIGHT(raw_data!C789,4)),MATCH(MID(raw_data!C789,4,3),{"Jan","Feb","Mar","Apr","May","Jun","Jul","Aug","Sep","Oct","Nov","Dec"},0),VALUE(LEFT(raw_data!C789,2)))))),"")</f>
        <v>45553</v>
      </c>
      <c r="D789" s="3" t="str">
        <f aca="false">IF(TRIM(raw_data!B789)="","Missing",IF(B789="","Invalid/Unrecognized","Valid"))</f>
        <v>Valid</v>
      </c>
      <c r="E789" s="3" t="str">
        <f aca="false">IF(TRIM(raw_data!C789)="","Missing",IF(C789="","Invalid/Unrecognized","Valid"))</f>
        <v>Valid</v>
      </c>
      <c r="F789" s="5" t="n">
        <f aca="false">IF(OR(B789="",C789=""),"",C789-B789)</f>
        <v>6</v>
      </c>
      <c r="G789" s="3" t="str">
        <f aca="false">IF(F789="","N/A",IF(F789&lt;0,"Invalid - Ship Before Order","OK"))</f>
        <v>OK</v>
      </c>
      <c r="H789" s="3" t="str">
        <f aca="false">raw_data!D789</f>
        <v>CUST-7548</v>
      </c>
      <c r="I789" s="3" t="str">
        <f aca="false">PROPER(TRIM(raw_data!E789))</f>
        <v>Ananya Rao</v>
      </c>
      <c r="J789" s="3" t="str">
        <f aca="false">PROPER(TRIM(raw_data!F789))</f>
        <v>Home Office</v>
      </c>
      <c r="K789" s="3" t="str">
        <f aca="false">IF(TRIM(raw_data!G789)="","Unknown",PROPER(TRIM(raw_data!G789)))</f>
        <v>East</v>
      </c>
      <c r="L789" s="3" t="str">
        <f aca="false">IF(TRIM(raw_data!G789)="","Filled - Unknown","OK")</f>
        <v>OK</v>
      </c>
      <c r="M789" s="3" t="str">
        <f aca="false">PROPER(TRIM(raw_data!H789))</f>
        <v>Bihar</v>
      </c>
      <c r="N789" s="3" t="str">
        <f aca="false">PROPER(TRIM(raw_data!I789))</f>
        <v>Patna</v>
      </c>
      <c r="O789" s="3" t="str">
        <f aca="false">PROPER(TRIM(raw_data!J789))</f>
        <v>Office Supplies</v>
      </c>
      <c r="P789" s="3" t="str">
        <f aca="false">PROPER(TRIM(raw_data!K789))</f>
        <v>Paper</v>
      </c>
      <c r="Q789" s="3" t="str">
        <f aca="false">TRIM(raw_data!L789)</f>
        <v>Prime Paper 878</v>
      </c>
      <c r="R789" s="3" t="str">
        <f aca="false">IF(TRIM(raw_data!M789)="","Unknown",PROPER(TRIM(raw_data!M789)))</f>
        <v>Second Class</v>
      </c>
      <c r="S789" s="3" t="str">
        <f aca="false">IF(TRIM(raw_data!M789)="","Filled - Unknown","OK")</f>
        <v>OK</v>
      </c>
      <c r="T789" s="6" t="n">
        <f aca="false">raw_data!N789</f>
        <v>2</v>
      </c>
      <c r="U789" s="7" t="n">
        <f aca="false">raw_data!O789</f>
        <v>3718.77</v>
      </c>
      <c r="V789" s="8" t="n">
        <f aca="false">raw_data!P789</f>
        <v>0.05</v>
      </c>
      <c r="W789" s="8" t="n">
        <f aca="false">IF(raw_data!P789="",0,IF(ISTEXT(raw_data!P789),IF(RIGHT(raw_data!P789,1)="%",VALUE(LEFT(raw_data!P789,LEN(raw_data!P789)-1))/100,VALUE(raw_data!P789)),raw_data!P789))</f>
        <v>0.05</v>
      </c>
      <c r="X789" s="3" t="str">
        <f aca="false">IF(raw_data!P789="","Missing - Defaulted to 0",IF(W789&lt;0,"Negative - Invalid",IF(W789&gt;0.3,"Above Allowed Range - Invalid","Valid")))</f>
        <v>Valid</v>
      </c>
      <c r="Y789" s="7" t="n">
        <f aca="false">raw_data!Q789</f>
        <v>7065.66</v>
      </c>
      <c r="Z789" s="7" t="n">
        <f aca="false">raw_data!R789</f>
        <v>4915.27</v>
      </c>
      <c r="AA789" s="7" t="n">
        <f aca="false">raw_data!S789</f>
        <v>2150.39</v>
      </c>
      <c r="AB789" s="3" t="str">
        <f aca="false">PROPER(TRIM(raw_data!T789))</f>
        <v>Paid</v>
      </c>
      <c r="AC789" s="3" t="str">
        <f aca="false">PROPER(TRIM(raw_data!U789))</f>
        <v>Completed</v>
      </c>
      <c r="AD789" s="7" t="n">
        <f aca="false">T789*U789*(1-W789)</f>
        <v>7065.663</v>
      </c>
      <c r="AE789" s="7" t="n">
        <f aca="false">AD789-Z789</f>
        <v>2150.393</v>
      </c>
      <c r="AF789" s="8" t="n">
        <f aca="false">IF(AD789=0,0,AE789/AD789)</f>
        <v>0.30434412170521</v>
      </c>
      <c r="AG789" s="3" t="str">
        <f aca="false">IF(ABS(Y789-AD789)&gt;1,"Mismatch","OK")</f>
        <v>OK</v>
      </c>
      <c r="AH789" s="3" t="str">
        <f aca="false">IF(ABS(AA789-AE789)&gt;1,"Mismatch","OK")</f>
        <v>OK</v>
      </c>
      <c r="AI789" s="6" t="n">
        <f aca="false">IF(B789="","",MONTH(B789))</f>
        <v>9</v>
      </c>
      <c r="AJ789" s="6" t="n">
        <f aca="false">IF(B789="","",YEAR(B789))</f>
        <v>2024</v>
      </c>
      <c r="AK789" s="3" t="str">
        <f aca="false">IF(COUNTIF(raw_data!$A$2:$A$913,A789)&gt;1,"Conflicting Duplicate - Flagged for Review","Unique")</f>
        <v>Unique</v>
      </c>
      <c r="AL789" s="3" t="str">
        <f aca="false">IF(AB789="Refunded","Yes","No")</f>
        <v>No</v>
      </c>
      <c r="AM789" s="3" t="str">
        <f aca="false">IF(OR(AC789&lt;&gt;"Completed",AB789="Failed"),"Excluded","Included")</f>
        <v>Included</v>
      </c>
      <c r="AN789" s="3" t="str">
        <f aca="false">IF(OR(D789="Invalid/Unrecognized",E789="Invalid/Unrecognized",G789="Invalid - Ship Before Order",X789="Negative - Invalid",X789="Above Allowed Range - Invalid",AG789="Mismatch",AH789="Mismatch",AK789="Conflicting Duplicate - Flagged for Review"),"Invalid",IF(OR(L789="Filled - Unknown",S789="Filled - Unknown",X789="Missing - Defaulted to 0",AL789="Yes",AC789="Cancelled",AC789="Returned"),"Warning","Clean"))</f>
        <v>Clean</v>
      </c>
    </row>
    <row r="790" customFormat="false" ht="15" hidden="false" customHeight="false" outlineLevel="0" collapsed="false">
      <c r="A790" s="3" t="str">
        <f aca="false">raw_data!A790</f>
        <v>ORD-2024-10789</v>
      </c>
      <c r="B790" s="4" t="n">
        <f aca="false">IFERROR(IF(MID(raw_data!B790,3,1)="/",DATE(VALUE(RIGHT(raw_data!B790,4)),VALUE(LEFT(raw_data!B790,2)),VALUE(MID(raw_data!B790,4,2))),IF(MID(raw_data!B790,3,1)="-",DATE(VALUE(RIGHT(raw_data!B790,4)),VALUE(MID(raw_data!B790,4,2)),VALUE(LEFT(raw_data!B790,2))),IF(MID(raw_data!B790,5,1)="-",DATE(VALUE(LEFT(raw_data!B790,4)),VALUE(MID(raw_data!B790,6,2)),VALUE(RIGHT(raw_data!B790,2))),DATE(VALUE(RIGHT(raw_data!B790,4)),MATCH(MID(raw_data!B790,4,3),{"Jan","Feb","Mar","Apr","May","Jun","Jul","Aug","Sep","Oct","Nov","Dec"},0),VALUE(LEFT(raw_data!B790,2)))))),"")</f>
        <v>45505</v>
      </c>
      <c r="C790" s="4" t="n">
        <f aca="false">IFERROR(IF(MID(raw_data!C790,3,1)="/",DATE(VALUE(RIGHT(raw_data!C790,4)),VALUE(LEFT(raw_data!C790,2)),VALUE(MID(raw_data!C790,4,2))),IF(MID(raw_data!C790,3,1)="-",DATE(VALUE(RIGHT(raw_data!C790,4)),VALUE(MID(raw_data!C790,4,2)),VALUE(LEFT(raw_data!C790,2))),IF(MID(raw_data!C790,5,1)="-",DATE(VALUE(LEFT(raw_data!C790,4)),VALUE(MID(raw_data!C790,6,2)),VALUE(RIGHT(raw_data!C790,2))),DATE(VALUE(RIGHT(raw_data!C790,4)),MATCH(MID(raw_data!C790,4,3),{"Jan","Feb","Mar","Apr","May","Jun","Jul","Aug","Sep","Oct","Nov","Dec"},0),VALUE(LEFT(raw_data!C790,2)))))),"")</f>
        <v>45506</v>
      </c>
      <c r="D790" s="3" t="str">
        <f aca="false">IF(TRIM(raw_data!B790)="","Missing",IF(B790="","Invalid/Unrecognized","Valid"))</f>
        <v>Valid</v>
      </c>
      <c r="E790" s="3" t="str">
        <f aca="false">IF(TRIM(raw_data!C790)="","Missing",IF(C790="","Invalid/Unrecognized","Valid"))</f>
        <v>Valid</v>
      </c>
      <c r="F790" s="5" t="n">
        <f aca="false">IF(OR(B790="",C790=""),"",C790-B790)</f>
        <v>1</v>
      </c>
      <c r="G790" s="3" t="str">
        <f aca="false">IF(F790="","N/A",IF(F790&lt;0,"Invalid - Ship Before Order","OK"))</f>
        <v>OK</v>
      </c>
      <c r="H790" s="3" t="str">
        <f aca="false">raw_data!D790</f>
        <v>CUST-3631</v>
      </c>
      <c r="I790" s="3" t="str">
        <f aca="false">PROPER(TRIM(raw_data!E790))</f>
        <v>Isha Nair</v>
      </c>
      <c r="J790" s="3" t="str">
        <f aca="false">PROPER(TRIM(raw_data!F790))</f>
        <v>Corporate</v>
      </c>
      <c r="K790" s="3" t="str">
        <f aca="false">IF(TRIM(raw_data!G790)="","Unknown",PROPER(TRIM(raw_data!G790)))</f>
        <v>North</v>
      </c>
      <c r="L790" s="3" t="str">
        <f aca="false">IF(TRIM(raw_data!G790)="","Filled - Unknown","OK")</f>
        <v>OK</v>
      </c>
      <c r="M790" s="3" t="str">
        <f aca="false">PROPER(TRIM(raw_data!H790))</f>
        <v>Uttar Pradesh</v>
      </c>
      <c r="N790" s="3" t="str">
        <f aca="false">PROPER(TRIM(raw_data!I790))</f>
        <v>Noida</v>
      </c>
      <c r="O790" s="3" t="str">
        <f aca="false">PROPER(TRIM(raw_data!J790))</f>
        <v>Furniture</v>
      </c>
      <c r="P790" s="3" t="str">
        <f aca="false">PROPER(TRIM(raw_data!K790))</f>
        <v>Chairs</v>
      </c>
      <c r="Q790" s="3" t="str">
        <f aca="false">TRIM(raw_data!L790)</f>
        <v>Smart Chairs 353</v>
      </c>
      <c r="R790" s="3" t="str">
        <f aca="false">IF(TRIM(raw_data!M790)="","Unknown",PROPER(TRIM(raw_data!M790)))</f>
        <v>Standard Class</v>
      </c>
      <c r="S790" s="3" t="str">
        <f aca="false">IF(TRIM(raw_data!M790)="","Filled - Unknown","OK")</f>
        <v>OK</v>
      </c>
      <c r="T790" s="6" t="n">
        <f aca="false">raw_data!N790</f>
        <v>8</v>
      </c>
      <c r="U790" s="7" t="n">
        <f aca="false">raw_data!O790</f>
        <v>2487.64</v>
      </c>
      <c r="V790" s="8" t="n">
        <f aca="false">raw_data!P790</f>
        <v>0.1</v>
      </c>
      <c r="W790" s="8" t="n">
        <f aca="false">IF(raw_data!P790="",0,IF(ISTEXT(raw_data!P790),IF(RIGHT(raw_data!P790,1)="%",VALUE(LEFT(raw_data!P790,LEN(raw_data!P790)-1))/100,VALUE(raw_data!P790)),raw_data!P790))</f>
        <v>0.1</v>
      </c>
      <c r="X790" s="3" t="str">
        <f aca="false">IF(raw_data!P790="","Missing - Defaulted to 0",IF(W790&lt;0,"Negative - Invalid",IF(W790&gt;0.3,"Above Allowed Range - Invalid","Valid")))</f>
        <v>Valid</v>
      </c>
      <c r="Y790" s="7" t="n">
        <f aca="false">raw_data!Q790</f>
        <v>17911.01</v>
      </c>
      <c r="Z790" s="7" t="n">
        <f aca="false">raw_data!R790</f>
        <v>11546.05</v>
      </c>
      <c r="AA790" s="7" t="n">
        <f aca="false">raw_data!S790</f>
        <v>6364.96</v>
      </c>
      <c r="AB790" s="3" t="str">
        <f aca="false">PROPER(TRIM(raw_data!T790))</f>
        <v>Failed</v>
      </c>
      <c r="AC790" s="3" t="str">
        <f aca="false">PROPER(TRIM(raw_data!U790))</f>
        <v>Returned</v>
      </c>
      <c r="AD790" s="7" t="n">
        <f aca="false">T790*U790*(1-W790)</f>
        <v>17911.008</v>
      </c>
      <c r="AE790" s="7" t="n">
        <f aca="false">AD790-Z790</f>
        <v>6364.958</v>
      </c>
      <c r="AF790" s="8" t="n">
        <f aca="false">IF(AD790=0,0,AE790/AD790)</f>
        <v>0.355365705827388</v>
      </c>
      <c r="AG790" s="3" t="str">
        <f aca="false">IF(ABS(Y790-AD790)&gt;1,"Mismatch","OK")</f>
        <v>OK</v>
      </c>
      <c r="AH790" s="3" t="str">
        <f aca="false">IF(ABS(AA790-AE790)&gt;1,"Mismatch","OK")</f>
        <v>OK</v>
      </c>
      <c r="AI790" s="6" t="n">
        <f aca="false">IF(B790="","",MONTH(B790))</f>
        <v>8</v>
      </c>
      <c r="AJ790" s="6" t="n">
        <f aca="false">IF(B790="","",YEAR(B790))</f>
        <v>2024</v>
      </c>
      <c r="AK790" s="3" t="str">
        <f aca="false">IF(COUNTIF(raw_data!$A$2:$A$913,A790)&gt;1,"Conflicting Duplicate - Flagged for Review","Unique")</f>
        <v>Unique</v>
      </c>
      <c r="AL790" s="3" t="str">
        <f aca="false">IF(AB790="Refunded","Yes","No")</f>
        <v>No</v>
      </c>
      <c r="AM790" s="3" t="str">
        <f aca="false">IF(OR(AC790&lt;&gt;"Completed",AB790="Failed"),"Excluded","Included")</f>
        <v>Excluded</v>
      </c>
      <c r="AN790" s="3" t="str">
        <f aca="false">IF(OR(D790="Invalid/Unrecognized",E790="Invalid/Unrecognized",G790="Invalid - Ship Before Order",X790="Negative - Invalid",X790="Above Allowed Range - Invalid",AG790="Mismatch",AH790="Mismatch",AK790="Conflicting Duplicate - Flagged for Review"),"Invalid",IF(OR(L790="Filled - Unknown",S790="Filled - Unknown",X790="Missing - Defaulted to 0",AL790="Yes",AC790="Cancelled",AC790="Returned"),"Warning","Clean"))</f>
        <v>Warning</v>
      </c>
    </row>
    <row r="791" customFormat="false" ht="15" hidden="false" customHeight="false" outlineLevel="0" collapsed="false">
      <c r="A791" s="3" t="str">
        <f aca="false">raw_data!A791</f>
        <v>ORD-2025-10790</v>
      </c>
      <c r="B791" s="4" t="n">
        <f aca="false">IFERROR(IF(MID(raw_data!B791,3,1)="/",DATE(VALUE(RIGHT(raw_data!B791,4)),VALUE(LEFT(raw_data!B791,2)),VALUE(MID(raw_data!B791,4,2))),IF(MID(raw_data!B791,3,1)="-",DATE(VALUE(RIGHT(raw_data!B791,4)),VALUE(MID(raw_data!B791,4,2)),VALUE(LEFT(raw_data!B791,2))),IF(MID(raw_data!B791,5,1)="-",DATE(VALUE(LEFT(raw_data!B791,4)),VALUE(MID(raw_data!B791,6,2)),VALUE(RIGHT(raw_data!B791,2))),DATE(VALUE(RIGHT(raw_data!B791,4)),MATCH(MID(raw_data!B791,4,3),{"Jan","Feb","Mar","Apr","May","Jun","Jul","Aug","Sep","Oct","Nov","Dec"},0),VALUE(LEFT(raw_data!B791,2)))))),"")</f>
        <v>45723</v>
      </c>
      <c r="C791" s="4" t="n">
        <f aca="false">IFERROR(IF(MID(raw_data!C791,3,1)="/",DATE(VALUE(RIGHT(raw_data!C791,4)),VALUE(LEFT(raw_data!C791,2)),VALUE(MID(raw_data!C791,4,2))),IF(MID(raw_data!C791,3,1)="-",DATE(VALUE(RIGHT(raw_data!C791,4)),VALUE(MID(raw_data!C791,4,2)),VALUE(LEFT(raw_data!C791,2))),IF(MID(raw_data!C791,5,1)="-",DATE(VALUE(LEFT(raw_data!C791,4)),VALUE(MID(raw_data!C791,6,2)),VALUE(RIGHT(raw_data!C791,2))),DATE(VALUE(RIGHT(raw_data!C791,4)),MATCH(MID(raw_data!C791,4,3),{"Jan","Feb","Mar","Apr","May","Jun","Jul","Aug","Sep","Oct","Nov","Dec"},0),VALUE(LEFT(raw_data!C791,2)))))),"")</f>
        <v>45724</v>
      </c>
      <c r="D791" s="3" t="str">
        <f aca="false">IF(TRIM(raw_data!B791)="","Missing",IF(B791="","Invalid/Unrecognized","Valid"))</f>
        <v>Valid</v>
      </c>
      <c r="E791" s="3" t="str">
        <f aca="false">IF(TRIM(raw_data!C791)="","Missing",IF(C791="","Invalid/Unrecognized","Valid"))</f>
        <v>Valid</v>
      </c>
      <c r="F791" s="5" t="n">
        <f aca="false">IF(OR(B791="",C791=""),"",C791-B791)</f>
        <v>1</v>
      </c>
      <c r="G791" s="3" t="str">
        <f aca="false">IF(F791="","N/A",IF(F791&lt;0,"Invalid - Ship Before Order","OK"))</f>
        <v>OK</v>
      </c>
      <c r="H791" s="3" t="str">
        <f aca="false">raw_data!D791</f>
        <v>CUST-1453</v>
      </c>
      <c r="I791" s="3" t="str">
        <f aca="false">PROPER(TRIM(raw_data!E791))</f>
        <v>Priya Menon</v>
      </c>
      <c r="J791" s="3" t="str">
        <f aca="false">PROPER(TRIM(raw_data!F791))</f>
        <v>Home Office</v>
      </c>
      <c r="K791" s="3" t="str">
        <f aca="false">IF(TRIM(raw_data!G791)="","Unknown",PROPER(TRIM(raw_data!G791)))</f>
        <v>Unknown</v>
      </c>
      <c r="L791" s="3" t="str">
        <f aca="false">IF(TRIM(raw_data!G791)="","Filled - Unknown","OK")</f>
        <v>Filled - Unknown</v>
      </c>
      <c r="M791" s="3" t="str">
        <f aca="false">PROPER(TRIM(raw_data!H791))</f>
        <v>Rajasthan</v>
      </c>
      <c r="N791" s="3" t="str">
        <f aca="false">PROPER(TRIM(raw_data!I791))</f>
        <v>Udaipur</v>
      </c>
      <c r="O791" s="3" t="str">
        <f aca="false">PROPER(TRIM(raw_data!J791))</f>
        <v>Technology</v>
      </c>
      <c r="P791" s="3" t="str">
        <f aca="false">PROPER(TRIM(raw_data!K791))</f>
        <v>Copiers</v>
      </c>
      <c r="Q791" s="3" t="str">
        <f aca="false">TRIM(raw_data!L791)</f>
        <v>Smart Copiers 408</v>
      </c>
      <c r="R791" s="3" t="str">
        <f aca="false">IF(TRIM(raw_data!M791)="","Unknown",PROPER(TRIM(raw_data!M791)))</f>
        <v>Same Day</v>
      </c>
      <c r="S791" s="3" t="str">
        <f aca="false">IF(TRIM(raw_data!M791)="","Filled - Unknown","OK")</f>
        <v>OK</v>
      </c>
      <c r="T791" s="6" t="n">
        <f aca="false">raw_data!N791</f>
        <v>4</v>
      </c>
      <c r="U791" s="7" t="n">
        <f aca="false">raw_data!O791</f>
        <v>3537.48</v>
      </c>
      <c r="V791" s="8" t="n">
        <f aca="false">raw_data!P791</f>
        <v>0</v>
      </c>
      <c r="W791" s="8" t="n">
        <f aca="false">IF(raw_data!P791="",0,IF(ISTEXT(raw_data!P791),IF(RIGHT(raw_data!P791,1)="%",VALUE(LEFT(raw_data!P791,LEN(raw_data!P791)-1))/100,VALUE(raw_data!P791)),raw_data!P791))</f>
        <v>0</v>
      </c>
      <c r="X791" s="3" t="str">
        <f aca="false">IF(raw_data!P791="","Missing - Defaulted to 0",IF(W791&lt;0,"Negative - Invalid",IF(W791&gt;0.3,"Above Allowed Range - Invalid","Valid")))</f>
        <v>Valid</v>
      </c>
      <c r="Y791" s="7" t="n">
        <f aca="false">raw_data!Q791</f>
        <v>14149.92</v>
      </c>
      <c r="Z791" s="7" t="n">
        <f aca="false">raw_data!R791</f>
        <v>9466.51</v>
      </c>
      <c r="AA791" s="7" t="n">
        <f aca="false">raw_data!S791</f>
        <v>4683.41</v>
      </c>
      <c r="AB791" s="3" t="str">
        <f aca="false">PROPER(TRIM(raw_data!T791))</f>
        <v>Paid</v>
      </c>
      <c r="AC791" s="3" t="str">
        <f aca="false">PROPER(TRIM(raw_data!U791))</f>
        <v>Completed</v>
      </c>
      <c r="AD791" s="7" t="n">
        <f aca="false">T791*U791*(1-W791)</f>
        <v>14149.92</v>
      </c>
      <c r="AE791" s="7" t="n">
        <f aca="false">AD791-Z791</f>
        <v>4683.41</v>
      </c>
      <c r="AF791" s="8" t="n">
        <f aca="false">IF(AD791=0,0,AE791/AD791)</f>
        <v>0.330984910162036</v>
      </c>
      <c r="AG791" s="3" t="str">
        <f aca="false">IF(ABS(Y791-AD791)&gt;1,"Mismatch","OK")</f>
        <v>OK</v>
      </c>
      <c r="AH791" s="3" t="str">
        <f aca="false">IF(ABS(AA791-AE791)&gt;1,"Mismatch","OK")</f>
        <v>OK</v>
      </c>
      <c r="AI791" s="6" t="n">
        <f aca="false">IF(B791="","",MONTH(B791))</f>
        <v>3</v>
      </c>
      <c r="AJ791" s="6" t="n">
        <f aca="false">IF(B791="","",YEAR(B791))</f>
        <v>2025</v>
      </c>
      <c r="AK791" s="3" t="str">
        <f aca="false">IF(COUNTIF(raw_data!$A$2:$A$913,A791)&gt;1,"Conflicting Duplicate - Flagged for Review","Unique")</f>
        <v>Unique</v>
      </c>
      <c r="AL791" s="3" t="str">
        <f aca="false">IF(AB791="Refunded","Yes","No")</f>
        <v>No</v>
      </c>
      <c r="AM791" s="3" t="str">
        <f aca="false">IF(OR(AC791&lt;&gt;"Completed",AB791="Failed"),"Excluded","Included")</f>
        <v>Included</v>
      </c>
      <c r="AN791" s="3" t="str">
        <f aca="false">IF(OR(D791="Invalid/Unrecognized",E791="Invalid/Unrecognized",G791="Invalid - Ship Before Order",X791="Negative - Invalid",X791="Above Allowed Range - Invalid",AG791="Mismatch",AH791="Mismatch",AK791="Conflicting Duplicate - Flagged for Review"),"Invalid",IF(OR(L791="Filled - Unknown",S791="Filled - Unknown",X791="Missing - Defaulted to 0",AL791="Yes",AC791="Cancelled",AC791="Returned"),"Warning","Clean"))</f>
        <v>Warning</v>
      </c>
    </row>
    <row r="792" customFormat="false" ht="15" hidden="false" customHeight="false" outlineLevel="0" collapsed="false">
      <c r="A792" s="3" t="str">
        <f aca="false">raw_data!A792</f>
        <v>ORD-2024-10791</v>
      </c>
      <c r="B792" s="4" t="n">
        <f aca="false">IFERROR(IF(MID(raw_data!B792,3,1)="/",DATE(VALUE(RIGHT(raw_data!B792,4)),VALUE(LEFT(raw_data!B792,2)),VALUE(MID(raw_data!B792,4,2))),IF(MID(raw_data!B792,3,1)="-",DATE(VALUE(RIGHT(raw_data!B792,4)),VALUE(MID(raw_data!B792,4,2)),VALUE(LEFT(raw_data!B792,2))),IF(MID(raw_data!B792,5,1)="-",DATE(VALUE(LEFT(raw_data!B792,4)),VALUE(MID(raw_data!B792,6,2)),VALUE(RIGHT(raw_data!B792,2))),DATE(VALUE(RIGHT(raw_data!B792,4)),MATCH(MID(raw_data!B792,4,3),{"Jan","Feb","Mar","Apr","May","Jun","Jul","Aug","Sep","Oct","Nov","Dec"},0),VALUE(LEFT(raw_data!B792,2)))))),"")</f>
        <v>45443</v>
      </c>
      <c r="C792" s="4" t="n">
        <f aca="false">IFERROR(IF(MID(raw_data!C792,3,1)="/",DATE(VALUE(RIGHT(raw_data!C792,4)),VALUE(LEFT(raw_data!C792,2)),VALUE(MID(raw_data!C792,4,2))),IF(MID(raw_data!C792,3,1)="-",DATE(VALUE(RIGHT(raw_data!C792,4)),VALUE(MID(raw_data!C792,4,2)),VALUE(LEFT(raw_data!C792,2))),IF(MID(raw_data!C792,5,1)="-",DATE(VALUE(LEFT(raw_data!C792,4)),VALUE(MID(raw_data!C792,6,2)),VALUE(RIGHT(raw_data!C792,2))),DATE(VALUE(RIGHT(raw_data!C792,4)),MATCH(MID(raw_data!C792,4,3),{"Jan","Feb","Mar","Apr","May","Jun","Jul","Aug","Sep","Oct","Nov","Dec"},0),VALUE(LEFT(raw_data!C792,2)))))),"")</f>
        <v>45445</v>
      </c>
      <c r="D792" s="3" t="str">
        <f aca="false">IF(TRIM(raw_data!B792)="","Missing",IF(B792="","Invalid/Unrecognized","Valid"))</f>
        <v>Valid</v>
      </c>
      <c r="E792" s="3" t="str">
        <f aca="false">IF(TRIM(raw_data!C792)="","Missing",IF(C792="","Invalid/Unrecognized","Valid"))</f>
        <v>Valid</v>
      </c>
      <c r="F792" s="5" t="n">
        <f aca="false">IF(OR(B792="",C792=""),"",C792-B792)</f>
        <v>2</v>
      </c>
      <c r="G792" s="3" t="str">
        <f aca="false">IF(F792="","N/A",IF(F792&lt;0,"Invalid - Ship Before Order","OK"))</f>
        <v>OK</v>
      </c>
      <c r="H792" s="3" t="str">
        <f aca="false">raw_data!D792</f>
        <v>CUST-1951</v>
      </c>
      <c r="I792" s="3" t="str">
        <f aca="false">PROPER(TRIM(raw_data!E792))</f>
        <v>Rahul Verma</v>
      </c>
      <c r="J792" s="3" t="str">
        <f aca="false">PROPER(TRIM(raw_data!F792))</f>
        <v>Corporate</v>
      </c>
      <c r="K792" s="3" t="str">
        <f aca="false">IF(TRIM(raw_data!G792)="","Unknown",PROPER(TRIM(raw_data!G792)))</f>
        <v>South</v>
      </c>
      <c r="L792" s="3" t="str">
        <f aca="false">IF(TRIM(raw_data!G792)="","Filled - Unknown","OK")</f>
        <v>OK</v>
      </c>
      <c r="M792" s="3" t="str">
        <f aca="false">PROPER(TRIM(raw_data!H792))</f>
        <v>Andhra Pradesh</v>
      </c>
      <c r="N792" s="3" t="str">
        <f aca="false">PROPER(TRIM(raw_data!I792))</f>
        <v>Vijayawada</v>
      </c>
      <c r="O792" s="3" t="str">
        <f aca="false">PROPER(TRIM(raw_data!J792))</f>
        <v>Office Supplies</v>
      </c>
      <c r="P792" s="3" t="str">
        <f aca="false">PROPER(TRIM(raw_data!K792))</f>
        <v>Art</v>
      </c>
      <c r="Q792" s="3" t="str">
        <f aca="false">TRIM(raw_data!L792)</f>
        <v>Classic Art 781</v>
      </c>
      <c r="R792" s="3" t="str">
        <f aca="false">IF(TRIM(raw_data!M792)="","Unknown",PROPER(TRIM(raw_data!M792)))</f>
        <v>Standard Class</v>
      </c>
      <c r="S792" s="3" t="str">
        <f aca="false">IF(TRIM(raw_data!M792)="","Filled - Unknown","OK")</f>
        <v>OK</v>
      </c>
      <c r="T792" s="6" t="n">
        <f aca="false">raw_data!N792</f>
        <v>8</v>
      </c>
      <c r="U792" s="7" t="n">
        <f aca="false">raw_data!O792</f>
        <v>667.59</v>
      </c>
      <c r="V792" s="8" t="n">
        <f aca="false">raw_data!P792</f>
        <v>0.2</v>
      </c>
      <c r="W792" s="8" t="n">
        <f aca="false">IF(raw_data!P792="",0,IF(ISTEXT(raw_data!P792),IF(RIGHT(raw_data!P792,1)="%",VALUE(LEFT(raw_data!P792,LEN(raw_data!P792)-1))/100,VALUE(raw_data!P792)),raw_data!P792))</f>
        <v>0.2</v>
      </c>
      <c r="X792" s="3" t="str">
        <f aca="false">IF(raw_data!P792="","Missing - Defaulted to 0",IF(W792&lt;0,"Negative - Invalid",IF(W792&gt;0.3,"Above Allowed Range - Invalid","Valid")))</f>
        <v>Valid</v>
      </c>
      <c r="Y792" s="7" t="n">
        <f aca="false">raw_data!Q792</f>
        <v>4272.58</v>
      </c>
      <c r="Z792" s="7" t="n">
        <f aca="false">raw_data!R792</f>
        <v>3328.92</v>
      </c>
      <c r="AA792" s="7" t="n">
        <f aca="false">raw_data!S792</f>
        <v>943.66</v>
      </c>
      <c r="AB792" s="3" t="str">
        <f aca="false">PROPER(TRIM(raw_data!T792))</f>
        <v>Paid</v>
      </c>
      <c r="AC792" s="3" t="str">
        <f aca="false">PROPER(TRIM(raw_data!U792))</f>
        <v>Completed</v>
      </c>
      <c r="AD792" s="7" t="n">
        <f aca="false">T792*U792*(1-W792)</f>
        <v>4272.576</v>
      </c>
      <c r="AE792" s="7" t="n">
        <f aca="false">AD792-Z792</f>
        <v>943.656</v>
      </c>
      <c r="AF792" s="8" t="n">
        <f aca="false">IF(AD792=0,0,AE792/AD792)</f>
        <v>0.220863479081472</v>
      </c>
      <c r="AG792" s="3" t="str">
        <f aca="false">IF(ABS(Y792-AD792)&gt;1,"Mismatch","OK")</f>
        <v>OK</v>
      </c>
      <c r="AH792" s="3" t="str">
        <f aca="false">IF(ABS(AA792-AE792)&gt;1,"Mismatch","OK")</f>
        <v>OK</v>
      </c>
      <c r="AI792" s="6" t="n">
        <f aca="false">IF(B792="","",MONTH(B792))</f>
        <v>5</v>
      </c>
      <c r="AJ792" s="6" t="n">
        <f aca="false">IF(B792="","",YEAR(B792))</f>
        <v>2024</v>
      </c>
      <c r="AK792" s="3" t="str">
        <f aca="false">IF(COUNTIF(raw_data!$A$2:$A$913,A792)&gt;1,"Conflicting Duplicate - Flagged for Review","Unique")</f>
        <v>Unique</v>
      </c>
      <c r="AL792" s="3" t="str">
        <f aca="false">IF(AB792="Refunded","Yes","No")</f>
        <v>No</v>
      </c>
      <c r="AM792" s="3" t="str">
        <f aca="false">IF(OR(AC792&lt;&gt;"Completed",AB792="Failed"),"Excluded","Included")</f>
        <v>Included</v>
      </c>
      <c r="AN792" s="3" t="str">
        <f aca="false">IF(OR(D792="Invalid/Unrecognized",E792="Invalid/Unrecognized",G792="Invalid - Ship Before Order",X792="Negative - Invalid",X792="Above Allowed Range - Invalid",AG792="Mismatch",AH792="Mismatch",AK792="Conflicting Duplicate - Flagged for Review"),"Invalid",IF(OR(L792="Filled - Unknown",S792="Filled - Unknown",X792="Missing - Defaulted to 0",AL792="Yes",AC792="Cancelled",AC792="Returned"),"Warning","Clean"))</f>
        <v>Clean</v>
      </c>
    </row>
    <row r="793" customFormat="false" ht="15" hidden="false" customHeight="false" outlineLevel="0" collapsed="false">
      <c r="A793" s="3" t="str">
        <f aca="false">raw_data!A793</f>
        <v>ORD-2024-10792</v>
      </c>
      <c r="B793" s="4" t="n">
        <f aca="false">IFERROR(IF(MID(raw_data!B793,3,1)="/",DATE(VALUE(RIGHT(raw_data!B793,4)),VALUE(LEFT(raw_data!B793,2)),VALUE(MID(raw_data!B793,4,2))),IF(MID(raw_data!B793,3,1)="-",DATE(VALUE(RIGHT(raw_data!B793,4)),VALUE(MID(raw_data!B793,4,2)),VALUE(LEFT(raw_data!B793,2))),IF(MID(raw_data!B793,5,1)="-",DATE(VALUE(LEFT(raw_data!B793,4)),VALUE(MID(raw_data!B793,6,2)),VALUE(RIGHT(raw_data!B793,2))),DATE(VALUE(RIGHT(raw_data!B793,4)),MATCH(MID(raw_data!B793,4,3),{"Jan","Feb","Mar","Apr","May","Jun","Jul","Aug","Sep","Oct","Nov","Dec"},0),VALUE(LEFT(raw_data!B793,2)))))),"")</f>
        <v>45567</v>
      </c>
      <c r="C793" s="4" t="n">
        <f aca="false">IFERROR(IF(MID(raw_data!C793,3,1)="/",DATE(VALUE(RIGHT(raw_data!C793,4)),VALUE(LEFT(raw_data!C793,2)),VALUE(MID(raw_data!C793,4,2))),IF(MID(raw_data!C793,3,1)="-",DATE(VALUE(RIGHT(raw_data!C793,4)),VALUE(MID(raw_data!C793,4,2)),VALUE(LEFT(raw_data!C793,2))),IF(MID(raw_data!C793,5,1)="-",DATE(VALUE(LEFT(raw_data!C793,4)),VALUE(MID(raw_data!C793,6,2)),VALUE(RIGHT(raw_data!C793,2))),DATE(VALUE(RIGHT(raw_data!C793,4)),MATCH(MID(raw_data!C793,4,3),{"Jan","Feb","Mar","Apr","May","Jun","Jul","Aug","Sep","Oct","Nov","Dec"},0),VALUE(LEFT(raw_data!C793,2)))))),"")</f>
        <v>45571</v>
      </c>
      <c r="D793" s="3" t="str">
        <f aca="false">IF(TRIM(raw_data!B793)="","Missing",IF(B793="","Invalid/Unrecognized","Valid"))</f>
        <v>Valid</v>
      </c>
      <c r="E793" s="3" t="str">
        <f aca="false">IF(TRIM(raw_data!C793)="","Missing",IF(C793="","Invalid/Unrecognized","Valid"))</f>
        <v>Valid</v>
      </c>
      <c r="F793" s="5" t="n">
        <f aca="false">IF(OR(B793="",C793=""),"",C793-B793)</f>
        <v>4</v>
      </c>
      <c r="G793" s="3" t="str">
        <f aca="false">IF(F793="","N/A",IF(F793&lt;0,"Invalid - Ship Before Order","OK"))</f>
        <v>OK</v>
      </c>
      <c r="H793" s="3" t="str">
        <f aca="false">raw_data!D793</f>
        <v>CUST-6300</v>
      </c>
      <c r="I793" s="3" t="str">
        <f aca="false">PROPER(TRIM(raw_data!E793))</f>
        <v>Rahul Verma</v>
      </c>
      <c r="J793" s="3" t="str">
        <f aca="false">PROPER(TRIM(raw_data!F793))</f>
        <v>Home Office</v>
      </c>
      <c r="K793" s="3" t="str">
        <f aca="false">IF(TRIM(raw_data!G793)="","Unknown",PROPER(TRIM(raw_data!G793)))</f>
        <v>South</v>
      </c>
      <c r="L793" s="3" t="str">
        <f aca="false">IF(TRIM(raw_data!G793)="","Filled - Unknown","OK")</f>
        <v>OK</v>
      </c>
      <c r="M793" s="3" t="str">
        <f aca="false">PROPER(TRIM(raw_data!H793))</f>
        <v>Karnataka</v>
      </c>
      <c r="N793" s="3" t="str">
        <f aca="false">PROPER(TRIM(raw_data!I793))</f>
        <v>Bengaluru</v>
      </c>
      <c r="O793" s="3" t="str">
        <f aca="false">PROPER(TRIM(raw_data!J793))</f>
        <v>Furniture</v>
      </c>
      <c r="P793" s="3" t="str">
        <f aca="false">PROPER(TRIM(raw_data!K793))</f>
        <v>Bookcases</v>
      </c>
      <c r="Q793" s="3" t="str">
        <f aca="false">TRIM(raw_data!L793)</f>
        <v>Eco Bookcases 144</v>
      </c>
      <c r="R793" s="3" t="str">
        <f aca="false">IF(TRIM(raw_data!M793)="","Unknown",PROPER(TRIM(raw_data!M793)))</f>
        <v>Same Day</v>
      </c>
      <c r="S793" s="3" t="str">
        <f aca="false">IF(TRIM(raw_data!M793)="","Filled - Unknown","OK")</f>
        <v>OK</v>
      </c>
      <c r="T793" s="6" t="n">
        <f aca="false">raw_data!N793</f>
        <v>8</v>
      </c>
      <c r="U793" s="7" t="n">
        <f aca="false">raw_data!O793</f>
        <v>1558.77</v>
      </c>
      <c r="V793" s="8" t="n">
        <f aca="false">raw_data!P793</f>
        <v>0.25</v>
      </c>
      <c r="W793" s="8" t="n">
        <f aca="false">IF(raw_data!P793="",0,IF(ISTEXT(raw_data!P793),IF(RIGHT(raw_data!P793,1)="%",VALUE(LEFT(raw_data!P793,LEN(raw_data!P793)-1))/100,VALUE(raw_data!P793)),raw_data!P793))</f>
        <v>0.25</v>
      </c>
      <c r="X793" s="3" t="str">
        <f aca="false">IF(raw_data!P793="","Missing - Defaulted to 0",IF(W793&lt;0,"Negative - Invalid",IF(W793&gt;0.3,"Above Allowed Range - Invalid","Valid")))</f>
        <v>Valid</v>
      </c>
      <c r="Y793" s="7" t="n">
        <f aca="false">raw_data!Q793</f>
        <v>9352.62</v>
      </c>
      <c r="Z793" s="7" t="n">
        <f aca="false">raw_data!R793</f>
        <v>5269.41</v>
      </c>
      <c r="AA793" s="7" t="n">
        <f aca="false">raw_data!S793</f>
        <v>4083.21</v>
      </c>
      <c r="AB793" s="3" t="str">
        <f aca="false">PROPER(TRIM(raw_data!T793))</f>
        <v>Paid</v>
      </c>
      <c r="AC793" s="3" t="str">
        <f aca="false">PROPER(TRIM(raw_data!U793))</f>
        <v>Completed</v>
      </c>
      <c r="AD793" s="7" t="n">
        <f aca="false">T793*U793*(1-W793)</f>
        <v>9352.62</v>
      </c>
      <c r="AE793" s="7" t="n">
        <f aca="false">AD793-Z793</f>
        <v>4083.21</v>
      </c>
      <c r="AF793" s="8" t="n">
        <f aca="false">IF(AD793=0,0,AE793/AD793)</f>
        <v>0.436584614792432</v>
      </c>
      <c r="AG793" s="3" t="str">
        <f aca="false">IF(ABS(Y793-AD793)&gt;1,"Mismatch","OK")</f>
        <v>OK</v>
      </c>
      <c r="AH793" s="3" t="str">
        <f aca="false">IF(ABS(AA793-AE793)&gt;1,"Mismatch","OK")</f>
        <v>OK</v>
      </c>
      <c r="AI793" s="6" t="n">
        <f aca="false">IF(B793="","",MONTH(B793))</f>
        <v>10</v>
      </c>
      <c r="AJ793" s="6" t="n">
        <f aca="false">IF(B793="","",YEAR(B793))</f>
        <v>2024</v>
      </c>
      <c r="AK793" s="3" t="str">
        <f aca="false">IF(COUNTIF(raw_data!$A$2:$A$913,A793)&gt;1,"Conflicting Duplicate - Flagged for Review","Unique")</f>
        <v>Unique</v>
      </c>
      <c r="AL793" s="3" t="str">
        <f aca="false">IF(AB793="Refunded","Yes","No")</f>
        <v>No</v>
      </c>
      <c r="AM793" s="3" t="str">
        <f aca="false">IF(OR(AC793&lt;&gt;"Completed",AB793="Failed"),"Excluded","Included")</f>
        <v>Included</v>
      </c>
      <c r="AN793" s="3" t="str">
        <f aca="false">IF(OR(D793="Invalid/Unrecognized",E793="Invalid/Unrecognized",G793="Invalid - Ship Before Order",X793="Negative - Invalid",X793="Above Allowed Range - Invalid",AG793="Mismatch",AH793="Mismatch",AK793="Conflicting Duplicate - Flagged for Review"),"Invalid",IF(OR(L793="Filled - Unknown",S793="Filled - Unknown",X793="Missing - Defaulted to 0",AL793="Yes",AC793="Cancelled",AC793="Returned"),"Warning","Clean"))</f>
        <v>Clean</v>
      </c>
    </row>
    <row r="794" customFormat="false" ht="15" hidden="false" customHeight="false" outlineLevel="0" collapsed="false">
      <c r="A794" s="3" t="str">
        <f aca="false">raw_data!A794</f>
        <v>ORD-2025-10793</v>
      </c>
      <c r="B794" s="4" t="n">
        <f aca="false">IFERROR(IF(MID(raw_data!B794,3,1)="/",DATE(VALUE(RIGHT(raw_data!B794,4)),VALUE(LEFT(raw_data!B794,2)),VALUE(MID(raw_data!B794,4,2))),IF(MID(raw_data!B794,3,1)="-",DATE(VALUE(RIGHT(raw_data!B794,4)),VALUE(MID(raw_data!B794,4,2)),VALUE(LEFT(raw_data!B794,2))),IF(MID(raw_data!B794,5,1)="-",DATE(VALUE(LEFT(raw_data!B794,4)),VALUE(MID(raw_data!B794,6,2)),VALUE(RIGHT(raw_data!B794,2))),DATE(VALUE(RIGHT(raw_data!B794,4)),MATCH(MID(raw_data!B794,4,3),{"Jan","Feb","Mar","Apr","May","Jun","Jul","Aug","Sep","Oct","Nov","Dec"},0),VALUE(LEFT(raw_data!B794,2)))))),"")</f>
        <v>45812</v>
      </c>
      <c r="C794" s="4" t="n">
        <f aca="false">IFERROR(IF(MID(raw_data!C794,3,1)="/",DATE(VALUE(RIGHT(raw_data!C794,4)),VALUE(LEFT(raw_data!C794,2)),VALUE(MID(raw_data!C794,4,2))),IF(MID(raw_data!C794,3,1)="-",DATE(VALUE(RIGHT(raw_data!C794,4)),VALUE(MID(raw_data!C794,4,2)),VALUE(LEFT(raw_data!C794,2))),IF(MID(raw_data!C794,5,1)="-",DATE(VALUE(LEFT(raw_data!C794,4)),VALUE(MID(raw_data!C794,6,2)),VALUE(RIGHT(raw_data!C794,2))),DATE(VALUE(RIGHT(raw_data!C794,4)),MATCH(MID(raw_data!C794,4,3),{"Jan","Feb","Mar","Apr","May","Jun","Jul","Aug","Sep","Oct","Nov","Dec"},0),VALUE(LEFT(raw_data!C794,2)))))),"")</f>
        <v>45816</v>
      </c>
      <c r="D794" s="3" t="str">
        <f aca="false">IF(TRIM(raw_data!B794)="","Missing",IF(B794="","Invalid/Unrecognized","Valid"))</f>
        <v>Valid</v>
      </c>
      <c r="E794" s="3" t="str">
        <f aca="false">IF(TRIM(raw_data!C794)="","Missing",IF(C794="","Invalid/Unrecognized","Valid"))</f>
        <v>Valid</v>
      </c>
      <c r="F794" s="5" t="n">
        <f aca="false">IF(OR(B794="",C794=""),"",C794-B794)</f>
        <v>4</v>
      </c>
      <c r="G794" s="3" t="str">
        <f aca="false">IF(F794="","N/A",IF(F794&lt;0,"Invalid - Ship Before Order","OK"))</f>
        <v>OK</v>
      </c>
      <c r="H794" s="3" t="str">
        <f aca="false">raw_data!D794</f>
        <v>CUST-1417</v>
      </c>
      <c r="I794" s="3" t="str">
        <f aca="false">PROPER(TRIM(raw_data!E794))</f>
        <v>Arjun Bose</v>
      </c>
      <c r="J794" s="3" t="str">
        <f aca="false">PROPER(TRIM(raw_data!F794))</f>
        <v>Small Business</v>
      </c>
      <c r="K794" s="3" t="str">
        <f aca="false">IF(TRIM(raw_data!G794)="","Unknown",PROPER(TRIM(raw_data!G794)))</f>
        <v>East</v>
      </c>
      <c r="L794" s="3" t="str">
        <f aca="false">IF(TRIM(raw_data!G794)="","Filled - Unknown","OK")</f>
        <v>OK</v>
      </c>
      <c r="M794" s="3" t="str">
        <f aca="false">PROPER(TRIM(raw_data!H794))</f>
        <v>Assam</v>
      </c>
      <c r="N794" s="3" t="str">
        <f aca="false">PROPER(TRIM(raw_data!I794))</f>
        <v>Guwahati</v>
      </c>
      <c r="O794" s="3" t="str">
        <f aca="false">PROPER(TRIM(raw_data!J794))</f>
        <v>Furniture</v>
      </c>
      <c r="P794" s="3" t="str">
        <f aca="false">PROPER(TRIM(raw_data!K794))</f>
        <v>Furnishings</v>
      </c>
      <c r="Q794" s="3" t="str">
        <f aca="false">TRIM(raw_data!L794)</f>
        <v>Elite Furnishings 852</v>
      </c>
      <c r="R794" s="3" t="str">
        <f aca="false">IF(TRIM(raw_data!M794)="","Unknown",PROPER(TRIM(raw_data!M794)))</f>
        <v>Second Class</v>
      </c>
      <c r="S794" s="3" t="str">
        <f aca="false">IF(TRIM(raw_data!M794)="","Filled - Unknown","OK")</f>
        <v>OK</v>
      </c>
      <c r="T794" s="6" t="n">
        <f aca="false">raw_data!N794</f>
        <v>1</v>
      </c>
      <c r="U794" s="7" t="n">
        <f aca="false">raw_data!O794</f>
        <v>3501.12</v>
      </c>
      <c r="V794" s="8" t="n">
        <f aca="false">raw_data!P794</f>
        <v>0.2</v>
      </c>
      <c r="W794" s="8" t="n">
        <f aca="false">IF(raw_data!P794="",0,IF(ISTEXT(raw_data!P794),IF(RIGHT(raw_data!P794,1)="%",VALUE(LEFT(raw_data!P794,LEN(raw_data!P794)-1))/100,VALUE(raw_data!P794)),raw_data!P794))</f>
        <v>0.2</v>
      </c>
      <c r="X794" s="3" t="str">
        <f aca="false">IF(raw_data!P794="","Missing - Defaulted to 0",IF(W794&lt;0,"Negative - Invalid",IF(W794&gt;0.3,"Above Allowed Range - Invalid","Valid")))</f>
        <v>Valid</v>
      </c>
      <c r="Y794" s="7" t="n">
        <f aca="false">raw_data!Q794</f>
        <v>2800.9</v>
      </c>
      <c r="Z794" s="7" t="n">
        <f aca="false">raw_data!R794</f>
        <v>1735.98</v>
      </c>
      <c r="AA794" s="7" t="n">
        <f aca="false">raw_data!S794</f>
        <v>1064.92</v>
      </c>
      <c r="AB794" s="3" t="str">
        <f aca="false">PROPER(TRIM(raw_data!T794))</f>
        <v>Paid</v>
      </c>
      <c r="AC794" s="3" t="str">
        <f aca="false">PROPER(TRIM(raw_data!U794))</f>
        <v>Returned</v>
      </c>
      <c r="AD794" s="7" t="n">
        <f aca="false">T794*U794*(1-W794)</f>
        <v>2800.896</v>
      </c>
      <c r="AE794" s="7" t="n">
        <f aca="false">AD794-Z794</f>
        <v>1064.916</v>
      </c>
      <c r="AF794" s="8" t="n">
        <f aca="false">IF(AD794=0,0,AE794/AD794)</f>
        <v>0.380205477104469</v>
      </c>
      <c r="AG794" s="3" t="str">
        <f aca="false">IF(ABS(Y794-AD794)&gt;1,"Mismatch","OK")</f>
        <v>OK</v>
      </c>
      <c r="AH794" s="3" t="str">
        <f aca="false">IF(ABS(AA794-AE794)&gt;1,"Mismatch","OK")</f>
        <v>OK</v>
      </c>
      <c r="AI794" s="6" t="n">
        <f aca="false">IF(B794="","",MONTH(B794))</f>
        <v>6</v>
      </c>
      <c r="AJ794" s="6" t="n">
        <f aca="false">IF(B794="","",YEAR(B794))</f>
        <v>2025</v>
      </c>
      <c r="AK794" s="3" t="str">
        <f aca="false">IF(COUNTIF(raw_data!$A$2:$A$913,A794)&gt;1,"Conflicting Duplicate - Flagged for Review","Unique")</f>
        <v>Unique</v>
      </c>
      <c r="AL794" s="3" t="str">
        <f aca="false">IF(AB794="Refunded","Yes","No")</f>
        <v>No</v>
      </c>
      <c r="AM794" s="3" t="str">
        <f aca="false">IF(OR(AC794&lt;&gt;"Completed",AB794="Failed"),"Excluded","Included")</f>
        <v>Excluded</v>
      </c>
      <c r="AN794" s="3" t="str">
        <f aca="false">IF(OR(D794="Invalid/Unrecognized",E794="Invalid/Unrecognized",G794="Invalid - Ship Before Order",X794="Negative - Invalid",X794="Above Allowed Range - Invalid",AG794="Mismatch",AH794="Mismatch",AK794="Conflicting Duplicate - Flagged for Review"),"Invalid",IF(OR(L794="Filled - Unknown",S794="Filled - Unknown",X794="Missing - Defaulted to 0",AL794="Yes",AC794="Cancelled",AC794="Returned"),"Warning","Clean"))</f>
        <v>Warning</v>
      </c>
    </row>
    <row r="795" customFormat="false" ht="15" hidden="false" customHeight="false" outlineLevel="0" collapsed="false">
      <c r="A795" s="3" t="str">
        <f aca="false">raw_data!A795</f>
        <v>ORD-2024-10794</v>
      </c>
      <c r="B795" s="4" t="n">
        <f aca="false">IFERROR(IF(MID(raw_data!B795,3,1)="/",DATE(VALUE(RIGHT(raw_data!B795,4)),VALUE(LEFT(raw_data!B795,2)),VALUE(MID(raw_data!B795,4,2))),IF(MID(raw_data!B795,3,1)="-",DATE(VALUE(RIGHT(raw_data!B795,4)),VALUE(MID(raw_data!B795,4,2)),VALUE(LEFT(raw_data!B795,2))),IF(MID(raw_data!B795,5,1)="-",DATE(VALUE(LEFT(raw_data!B795,4)),VALUE(MID(raw_data!B795,6,2)),VALUE(RIGHT(raw_data!B795,2))),DATE(VALUE(RIGHT(raw_data!B795,4)),MATCH(MID(raw_data!B795,4,3),{"Jan","Feb","Mar","Apr","May","Jun","Jul","Aug","Sep","Oct","Nov","Dec"},0),VALUE(LEFT(raw_data!B795,2)))))),"")</f>
        <v>45440</v>
      </c>
      <c r="C795" s="4" t="n">
        <f aca="false">IFERROR(IF(MID(raw_data!C795,3,1)="/",DATE(VALUE(RIGHT(raw_data!C795,4)),VALUE(LEFT(raw_data!C795,2)),VALUE(MID(raw_data!C795,4,2))),IF(MID(raw_data!C795,3,1)="-",DATE(VALUE(RIGHT(raw_data!C795,4)),VALUE(MID(raw_data!C795,4,2)),VALUE(LEFT(raw_data!C795,2))),IF(MID(raw_data!C795,5,1)="-",DATE(VALUE(LEFT(raw_data!C795,4)),VALUE(MID(raw_data!C795,6,2)),VALUE(RIGHT(raw_data!C795,2))),DATE(VALUE(RIGHT(raw_data!C795,4)),MATCH(MID(raw_data!C795,4,3),{"Jan","Feb","Mar","Apr","May","Jun","Jul","Aug","Sep","Oct","Nov","Dec"},0),VALUE(LEFT(raw_data!C795,2)))))),"")</f>
        <v>45446</v>
      </c>
      <c r="D795" s="3" t="str">
        <f aca="false">IF(TRIM(raw_data!B795)="","Missing",IF(B795="","Invalid/Unrecognized","Valid"))</f>
        <v>Valid</v>
      </c>
      <c r="E795" s="3" t="str">
        <f aca="false">IF(TRIM(raw_data!C795)="","Missing",IF(C795="","Invalid/Unrecognized","Valid"))</f>
        <v>Valid</v>
      </c>
      <c r="F795" s="5" t="n">
        <f aca="false">IF(OR(B795="",C795=""),"",C795-B795)</f>
        <v>6</v>
      </c>
      <c r="G795" s="3" t="str">
        <f aca="false">IF(F795="","N/A",IF(F795&lt;0,"Invalid - Ship Before Order","OK"))</f>
        <v>OK</v>
      </c>
      <c r="H795" s="3" t="str">
        <f aca="false">raw_data!D795</f>
        <v>CUST-5421</v>
      </c>
      <c r="I795" s="3" t="str">
        <f aca="false">PROPER(TRIM(raw_data!E795))</f>
        <v>Vikram Iyer</v>
      </c>
      <c r="J795" s="3" t="str">
        <f aca="false">PROPER(TRIM(raw_data!F795))</f>
        <v>Corporate</v>
      </c>
      <c r="K795" s="3" t="str">
        <f aca="false">IF(TRIM(raw_data!G795)="","Unknown",PROPER(TRIM(raw_data!G795)))</f>
        <v>North</v>
      </c>
      <c r="L795" s="3" t="str">
        <f aca="false">IF(TRIM(raw_data!G795)="","Filled - Unknown","OK")</f>
        <v>OK</v>
      </c>
      <c r="M795" s="3" t="str">
        <f aca="false">PROPER(TRIM(raw_data!H795))</f>
        <v>Rajasthan</v>
      </c>
      <c r="N795" s="3" t="str">
        <f aca="false">PROPER(TRIM(raw_data!I795))</f>
        <v>Jaipur</v>
      </c>
      <c r="O795" s="3" t="str">
        <f aca="false">PROPER(TRIM(raw_data!J795))</f>
        <v>Technology</v>
      </c>
      <c r="P795" s="3" t="str">
        <f aca="false">PROPER(TRIM(raw_data!K795))</f>
        <v>Copiers</v>
      </c>
      <c r="Q795" s="3" t="str">
        <f aca="false">TRIM(raw_data!L795)</f>
        <v>Basic Copiers 238</v>
      </c>
      <c r="R795" s="3" t="str">
        <f aca="false">IF(TRIM(raw_data!M795)="","Unknown",PROPER(TRIM(raw_data!M795)))</f>
        <v>Second Class</v>
      </c>
      <c r="S795" s="3" t="str">
        <f aca="false">IF(TRIM(raw_data!M795)="","Filled - Unknown","OK")</f>
        <v>OK</v>
      </c>
      <c r="T795" s="6" t="n">
        <f aca="false">raw_data!N795</f>
        <v>5</v>
      </c>
      <c r="U795" s="7" t="n">
        <f aca="false">raw_data!O795</f>
        <v>4302.32</v>
      </c>
      <c r="V795" s="8" t="n">
        <f aca="false">raw_data!P795</f>
        <v>0</v>
      </c>
      <c r="W795" s="8" t="n">
        <f aca="false">IF(raw_data!P795="",0,IF(ISTEXT(raw_data!P795),IF(RIGHT(raw_data!P795,1)="%",VALUE(LEFT(raw_data!P795,LEN(raw_data!P795)-1))/100,VALUE(raw_data!P795)),raw_data!P795))</f>
        <v>0</v>
      </c>
      <c r="X795" s="3" t="str">
        <f aca="false">IF(raw_data!P795="","Missing - Defaulted to 0",IF(W795&lt;0,"Negative - Invalid",IF(W795&gt;0.3,"Above Allowed Range - Invalid","Valid")))</f>
        <v>Valid</v>
      </c>
      <c r="Y795" s="7" t="n">
        <f aca="false">raw_data!Q795</f>
        <v>21511.6</v>
      </c>
      <c r="Z795" s="7" t="n">
        <f aca="false">raw_data!R795</f>
        <v>15408.47</v>
      </c>
      <c r="AA795" s="7" t="n">
        <f aca="false">raw_data!S795</f>
        <v>6103.13</v>
      </c>
      <c r="AB795" s="3" t="str">
        <f aca="false">PROPER(TRIM(raw_data!T795))</f>
        <v>Paid</v>
      </c>
      <c r="AC795" s="3" t="str">
        <f aca="false">PROPER(TRIM(raw_data!U795))</f>
        <v>Completed</v>
      </c>
      <c r="AD795" s="7" t="n">
        <f aca="false">T795*U795*(1-W795)</f>
        <v>21511.6</v>
      </c>
      <c r="AE795" s="7" t="n">
        <f aca="false">AD795-Z795</f>
        <v>6103.13</v>
      </c>
      <c r="AF795" s="8" t="n">
        <f aca="false">IF(AD795=0,0,AE795/AD795)</f>
        <v>0.283713438330947</v>
      </c>
      <c r="AG795" s="3" t="str">
        <f aca="false">IF(ABS(Y795-AD795)&gt;1,"Mismatch","OK")</f>
        <v>OK</v>
      </c>
      <c r="AH795" s="3" t="str">
        <f aca="false">IF(ABS(AA795-AE795)&gt;1,"Mismatch","OK")</f>
        <v>OK</v>
      </c>
      <c r="AI795" s="6" t="n">
        <f aca="false">IF(B795="","",MONTH(B795))</f>
        <v>5</v>
      </c>
      <c r="AJ795" s="6" t="n">
        <f aca="false">IF(B795="","",YEAR(B795))</f>
        <v>2024</v>
      </c>
      <c r="AK795" s="3" t="str">
        <f aca="false">IF(COUNTIF(raw_data!$A$2:$A$913,A795)&gt;1,"Conflicting Duplicate - Flagged for Review","Unique")</f>
        <v>Unique</v>
      </c>
      <c r="AL795" s="3" t="str">
        <f aca="false">IF(AB795="Refunded","Yes","No")</f>
        <v>No</v>
      </c>
      <c r="AM795" s="3" t="str">
        <f aca="false">IF(OR(AC795&lt;&gt;"Completed",AB795="Failed"),"Excluded","Included")</f>
        <v>Included</v>
      </c>
      <c r="AN795" s="3" t="str">
        <f aca="false">IF(OR(D795="Invalid/Unrecognized",E795="Invalid/Unrecognized",G795="Invalid - Ship Before Order",X795="Negative - Invalid",X795="Above Allowed Range - Invalid",AG795="Mismatch",AH795="Mismatch",AK795="Conflicting Duplicate - Flagged for Review"),"Invalid",IF(OR(L795="Filled - Unknown",S795="Filled - Unknown",X795="Missing - Defaulted to 0",AL795="Yes",AC795="Cancelled",AC795="Returned"),"Warning","Clean"))</f>
        <v>Clean</v>
      </c>
    </row>
    <row r="796" customFormat="false" ht="15" hidden="false" customHeight="false" outlineLevel="0" collapsed="false">
      <c r="A796" s="3" t="str">
        <f aca="false">raw_data!A796</f>
        <v>ORD-2025-10795</v>
      </c>
      <c r="B796" s="4" t="n">
        <f aca="false">IFERROR(IF(MID(raw_data!B796,3,1)="/",DATE(VALUE(RIGHT(raw_data!B796,4)),VALUE(LEFT(raw_data!B796,2)),VALUE(MID(raw_data!B796,4,2))),IF(MID(raw_data!B796,3,1)="-",DATE(VALUE(RIGHT(raw_data!B796,4)),VALUE(MID(raw_data!B796,4,2)),VALUE(LEFT(raw_data!B796,2))),IF(MID(raw_data!B796,5,1)="-",DATE(VALUE(LEFT(raw_data!B796,4)),VALUE(MID(raw_data!B796,6,2)),VALUE(RIGHT(raw_data!B796,2))),DATE(VALUE(RIGHT(raw_data!B796,4)),MATCH(MID(raw_data!B796,4,3),{"Jan","Feb","Mar","Apr","May","Jun","Jul","Aug","Sep","Oct","Nov","Dec"},0),VALUE(LEFT(raw_data!B796,2)))))),"")</f>
        <v>45830</v>
      </c>
      <c r="C796" s="4" t="n">
        <f aca="false">IFERROR(IF(MID(raw_data!C796,3,1)="/",DATE(VALUE(RIGHT(raw_data!C796,4)),VALUE(LEFT(raw_data!C796,2)),VALUE(MID(raw_data!C796,4,2))),IF(MID(raw_data!C796,3,1)="-",DATE(VALUE(RIGHT(raw_data!C796,4)),VALUE(MID(raw_data!C796,4,2)),VALUE(LEFT(raw_data!C796,2))),IF(MID(raw_data!C796,5,1)="-",DATE(VALUE(LEFT(raw_data!C796,4)),VALUE(MID(raw_data!C796,6,2)),VALUE(RIGHT(raw_data!C796,2))),DATE(VALUE(RIGHT(raw_data!C796,4)),MATCH(MID(raw_data!C796,4,3),{"Jan","Feb","Mar","Apr","May","Jun","Jul","Aug","Sep","Oct","Nov","Dec"},0),VALUE(LEFT(raw_data!C796,2)))))),"")</f>
        <v>45832</v>
      </c>
      <c r="D796" s="3" t="str">
        <f aca="false">IF(TRIM(raw_data!B796)="","Missing",IF(B796="","Invalid/Unrecognized","Valid"))</f>
        <v>Valid</v>
      </c>
      <c r="E796" s="3" t="str">
        <f aca="false">IF(TRIM(raw_data!C796)="","Missing",IF(C796="","Invalid/Unrecognized","Valid"))</f>
        <v>Valid</v>
      </c>
      <c r="F796" s="5" t="n">
        <f aca="false">IF(OR(B796="",C796=""),"",C796-B796)</f>
        <v>2</v>
      </c>
      <c r="G796" s="3" t="str">
        <f aca="false">IF(F796="","N/A",IF(F796&lt;0,"Invalid - Ship Before Order","OK"))</f>
        <v>OK</v>
      </c>
      <c r="H796" s="3" t="str">
        <f aca="false">raw_data!D796</f>
        <v>CUST-2829</v>
      </c>
      <c r="I796" s="3" t="str">
        <f aca="false">PROPER(TRIM(raw_data!E796))</f>
        <v>Sneha Kapoor</v>
      </c>
      <c r="J796" s="3" t="str">
        <f aca="false">PROPER(TRIM(raw_data!F796))</f>
        <v>Corporate</v>
      </c>
      <c r="K796" s="3" t="str">
        <f aca="false">IF(TRIM(raw_data!G796)="","Unknown",PROPER(TRIM(raw_data!G796)))</f>
        <v>East</v>
      </c>
      <c r="L796" s="3" t="str">
        <f aca="false">IF(TRIM(raw_data!G796)="","Filled - Unknown","OK")</f>
        <v>OK</v>
      </c>
      <c r="M796" s="3" t="str">
        <f aca="false">PROPER(TRIM(raw_data!H796))</f>
        <v>Assam</v>
      </c>
      <c r="N796" s="3" t="str">
        <f aca="false">PROPER(TRIM(raw_data!I796))</f>
        <v>Guwahati</v>
      </c>
      <c r="O796" s="3" t="str">
        <f aca="false">PROPER(TRIM(raw_data!J796))</f>
        <v>Office Supplies</v>
      </c>
      <c r="P796" s="3" t="str">
        <f aca="false">PROPER(TRIM(raw_data!K796))</f>
        <v>Paper</v>
      </c>
      <c r="Q796" s="3" t="str">
        <f aca="false">TRIM(raw_data!L796)</f>
        <v>Elite Paper 847</v>
      </c>
      <c r="R796" s="3" t="str">
        <f aca="false">IF(TRIM(raw_data!M796)="","Unknown",PROPER(TRIM(raw_data!M796)))</f>
        <v>Standard Class</v>
      </c>
      <c r="S796" s="3" t="str">
        <f aca="false">IF(TRIM(raw_data!M796)="","Filled - Unknown","OK")</f>
        <v>OK</v>
      </c>
      <c r="T796" s="6" t="n">
        <f aca="false">raw_data!N796</f>
        <v>9</v>
      </c>
      <c r="U796" s="7" t="n">
        <f aca="false">raw_data!O796</f>
        <v>951.55</v>
      </c>
      <c r="V796" s="8" t="n">
        <f aca="false">raw_data!P796</f>
        <v>0.15</v>
      </c>
      <c r="W796" s="8" t="n">
        <f aca="false">IF(raw_data!P796="",0,IF(ISTEXT(raw_data!P796),IF(RIGHT(raw_data!P796,1)="%",VALUE(LEFT(raw_data!P796,LEN(raw_data!P796)-1))/100,VALUE(raw_data!P796)),raw_data!P796))</f>
        <v>0.15</v>
      </c>
      <c r="X796" s="3" t="str">
        <f aca="false">IF(raw_data!P796="","Missing - Defaulted to 0",IF(W796&lt;0,"Negative - Invalid",IF(W796&gt;0.3,"Above Allowed Range - Invalid","Valid")))</f>
        <v>Valid</v>
      </c>
      <c r="Y796" s="7" t="n">
        <f aca="false">raw_data!Q796</f>
        <v>7279.36</v>
      </c>
      <c r="Z796" s="7" t="n">
        <f aca="false">raw_data!R796</f>
        <v>4870.39</v>
      </c>
      <c r="AA796" s="7" t="n">
        <f aca="false">raw_data!S796</f>
        <v>2408.97</v>
      </c>
      <c r="AB796" s="3" t="str">
        <f aca="false">PROPER(TRIM(raw_data!T796))</f>
        <v>Paid</v>
      </c>
      <c r="AC796" s="3" t="str">
        <f aca="false">PROPER(TRIM(raw_data!U796))</f>
        <v>Completed</v>
      </c>
      <c r="AD796" s="7" t="n">
        <f aca="false">T796*U796*(1-W796)</f>
        <v>7279.3575</v>
      </c>
      <c r="AE796" s="7" t="n">
        <f aca="false">AD796-Z796</f>
        <v>2408.9675</v>
      </c>
      <c r="AF796" s="8" t="n">
        <f aca="false">IF(AD796=0,0,AE796/AD796)</f>
        <v>0.330931335629552</v>
      </c>
      <c r="AG796" s="3" t="str">
        <f aca="false">IF(ABS(Y796-AD796)&gt;1,"Mismatch","OK")</f>
        <v>OK</v>
      </c>
      <c r="AH796" s="3" t="str">
        <f aca="false">IF(ABS(AA796-AE796)&gt;1,"Mismatch","OK")</f>
        <v>OK</v>
      </c>
      <c r="AI796" s="6" t="n">
        <f aca="false">IF(B796="","",MONTH(B796))</f>
        <v>6</v>
      </c>
      <c r="AJ796" s="6" t="n">
        <f aca="false">IF(B796="","",YEAR(B796))</f>
        <v>2025</v>
      </c>
      <c r="AK796" s="3" t="str">
        <f aca="false">IF(COUNTIF(raw_data!$A$2:$A$913,A796)&gt;1,"Conflicting Duplicate - Flagged for Review","Unique")</f>
        <v>Unique</v>
      </c>
      <c r="AL796" s="3" t="str">
        <f aca="false">IF(AB796="Refunded","Yes","No")</f>
        <v>No</v>
      </c>
      <c r="AM796" s="3" t="str">
        <f aca="false">IF(OR(AC796&lt;&gt;"Completed",AB796="Failed"),"Excluded","Included")</f>
        <v>Included</v>
      </c>
      <c r="AN796" s="3" t="str">
        <f aca="false">IF(OR(D796="Invalid/Unrecognized",E796="Invalid/Unrecognized",G796="Invalid - Ship Before Order",X796="Negative - Invalid",X796="Above Allowed Range - Invalid",AG796="Mismatch",AH796="Mismatch",AK796="Conflicting Duplicate - Flagged for Review"),"Invalid",IF(OR(L796="Filled - Unknown",S796="Filled - Unknown",X796="Missing - Defaulted to 0",AL796="Yes",AC796="Cancelled",AC796="Returned"),"Warning","Clean"))</f>
        <v>Clean</v>
      </c>
    </row>
    <row r="797" customFormat="false" ht="15" hidden="false" customHeight="false" outlineLevel="0" collapsed="false">
      <c r="A797" s="3" t="str">
        <f aca="false">raw_data!A797</f>
        <v>ORD-2024-10796</v>
      </c>
      <c r="B797" s="4" t="n">
        <f aca="false">IFERROR(IF(MID(raw_data!B797,3,1)="/",DATE(VALUE(RIGHT(raw_data!B797,4)),VALUE(LEFT(raw_data!B797,2)),VALUE(MID(raw_data!B797,4,2))),IF(MID(raw_data!B797,3,1)="-",DATE(VALUE(RIGHT(raw_data!B797,4)),VALUE(MID(raw_data!B797,4,2)),VALUE(LEFT(raw_data!B797,2))),IF(MID(raw_data!B797,5,1)="-",DATE(VALUE(LEFT(raw_data!B797,4)),VALUE(MID(raw_data!B797,6,2)),VALUE(RIGHT(raw_data!B797,2))),DATE(VALUE(RIGHT(raw_data!B797,4)),MATCH(MID(raw_data!B797,4,3),{"Jan","Feb","Mar","Apr","May","Jun","Jul","Aug","Sep","Oct","Nov","Dec"},0),VALUE(LEFT(raw_data!B797,2)))))),"")</f>
        <v>45503</v>
      </c>
      <c r="C797" s="4" t="n">
        <f aca="false">IFERROR(IF(MID(raw_data!C797,3,1)="/",DATE(VALUE(RIGHT(raw_data!C797,4)),VALUE(LEFT(raw_data!C797,2)),VALUE(MID(raw_data!C797,4,2))),IF(MID(raw_data!C797,3,1)="-",DATE(VALUE(RIGHT(raw_data!C797,4)),VALUE(MID(raw_data!C797,4,2)),VALUE(LEFT(raw_data!C797,2))),IF(MID(raw_data!C797,5,1)="-",DATE(VALUE(LEFT(raw_data!C797,4)),VALUE(MID(raw_data!C797,6,2)),VALUE(RIGHT(raw_data!C797,2))),DATE(VALUE(RIGHT(raw_data!C797,4)),MATCH(MID(raw_data!C797,4,3),{"Jan","Feb","Mar","Apr","May","Jun","Jul","Aug","Sep","Oct","Nov","Dec"},0),VALUE(LEFT(raw_data!C797,2)))))),"")</f>
        <v>45503</v>
      </c>
      <c r="D797" s="3" t="str">
        <f aca="false">IF(TRIM(raw_data!B797)="","Missing",IF(B797="","Invalid/Unrecognized","Valid"))</f>
        <v>Valid</v>
      </c>
      <c r="E797" s="3" t="str">
        <f aca="false">IF(TRIM(raw_data!C797)="","Missing",IF(C797="","Invalid/Unrecognized","Valid"))</f>
        <v>Valid</v>
      </c>
      <c r="F797" s="5" t="n">
        <f aca="false">IF(OR(B797="",C797=""),"",C797-B797)</f>
        <v>0</v>
      </c>
      <c r="G797" s="3" t="str">
        <f aca="false">IF(F797="","N/A",IF(F797&lt;0,"Invalid - Ship Before Order","OK"))</f>
        <v>OK</v>
      </c>
      <c r="H797" s="3" t="str">
        <f aca="false">raw_data!D797</f>
        <v>CUST-6529</v>
      </c>
      <c r="I797" s="3" t="str">
        <f aca="false">PROPER(TRIM(raw_data!E797))</f>
        <v>Diya Patel</v>
      </c>
      <c r="J797" s="3" t="str">
        <f aca="false">PROPER(TRIM(raw_data!F797))</f>
        <v>Home Office</v>
      </c>
      <c r="K797" s="3" t="str">
        <f aca="false">IF(TRIM(raw_data!G797)="","Unknown",PROPER(TRIM(raw_data!G797)))</f>
        <v>East</v>
      </c>
      <c r="L797" s="3" t="str">
        <f aca="false">IF(TRIM(raw_data!G797)="","Filled - Unknown","OK")</f>
        <v>OK</v>
      </c>
      <c r="M797" s="3" t="str">
        <f aca="false">PROPER(TRIM(raw_data!H797))</f>
        <v>Odisha</v>
      </c>
      <c r="N797" s="3" t="str">
        <f aca="false">PROPER(TRIM(raw_data!I797))</f>
        <v>Bhubaneswar</v>
      </c>
      <c r="O797" s="3" t="str">
        <f aca="false">PROPER(TRIM(raw_data!J797))</f>
        <v>Technology</v>
      </c>
      <c r="P797" s="3" t="str">
        <f aca="false">PROPER(TRIM(raw_data!K797))</f>
        <v>Copiers</v>
      </c>
      <c r="Q797" s="3" t="str">
        <f aca="false">TRIM(raw_data!L797)</f>
        <v>Pro Copiers 653</v>
      </c>
      <c r="R797" s="3" t="str">
        <f aca="false">IF(TRIM(raw_data!M797)="","Unknown",PROPER(TRIM(raw_data!M797)))</f>
        <v>Same Day</v>
      </c>
      <c r="S797" s="3" t="str">
        <f aca="false">IF(TRIM(raw_data!M797)="","Filled - Unknown","OK")</f>
        <v>OK</v>
      </c>
      <c r="T797" s="6" t="n">
        <f aca="false">raw_data!N797</f>
        <v>9</v>
      </c>
      <c r="U797" s="7" t="n">
        <f aca="false">raw_data!O797</f>
        <v>2894.66</v>
      </c>
      <c r="V797" s="8" t="n">
        <f aca="false">raw_data!P797</f>
        <v>0</v>
      </c>
      <c r="W797" s="8" t="n">
        <f aca="false">IF(raw_data!P797="",0,IF(ISTEXT(raw_data!P797),IF(RIGHT(raw_data!P797,1)="%",VALUE(LEFT(raw_data!P797,LEN(raw_data!P797)-1))/100,VALUE(raw_data!P797)),raw_data!P797))</f>
        <v>0</v>
      </c>
      <c r="X797" s="3" t="str">
        <f aca="false">IF(raw_data!P797="","Missing - Defaulted to 0",IF(W797&lt;0,"Negative - Invalid",IF(W797&gt;0.3,"Above Allowed Range - Invalid","Valid")))</f>
        <v>Valid</v>
      </c>
      <c r="Y797" s="7" t="n">
        <f aca="false">raw_data!Q797</f>
        <v>26051.94</v>
      </c>
      <c r="Z797" s="7" t="n">
        <f aca="false">raw_data!R797</f>
        <v>16883.59</v>
      </c>
      <c r="AA797" s="7" t="n">
        <f aca="false">raw_data!S797</f>
        <v>9168.35</v>
      </c>
      <c r="AB797" s="3" t="str">
        <f aca="false">PROPER(TRIM(raw_data!T797))</f>
        <v>Refunded</v>
      </c>
      <c r="AC797" s="3" t="str">
        <f aca="false">PROPER(TRIM(raw_data!U797))</f>
        <v>Cancelled</v>
      </c>
      <c r="AD797" s="7" t="n">
        <f aca="false">T797*U797*(1-W797)</f>
        <v>26051.94</v>
      </c>
      <c r="AE797" s="7" t="n">
        <f aca="false">AD797-Z797</f>
        <v>9168.35</v>
      </c>
      <c r="AF797" s="8" t="n">
        <f aca="false">IF(AD797=0,0,AE797/AD797)</f>
        <v>0.351925806676969</v>
      </c>
      <c r="AG797" s="3" t="str">
        <f aca="false">IF(ABS(Y797-AD797)&gt;1,"Mismatch","OK")</f>
        <v>OK</v>
      </c>
      <c r="AH797" s="3" t="str">
        <f aca="false">IF(ABS(AA797-AE797)&gt;1,"Mismatch","OK")</f>
        <v>OK</v>
      </c>
      <c r="AI797" s="6" t="n">
        <f aca="false">IF(B797="","",MONTH(B797))</f>
        <v>7</v>
      </c>
      <c r="AJ797" s="6" t="n">
        <f aca="false">IF(B797="","",YEAR(B797))</f>
        <v>2024</v>
      </c>
      <c r="AK797" s="3" t="str">
        <f aca="false">IF(COUNTIF(raw_data!$A$2:$A$913,A797)&gt;1,"Conflicting Duplicate - Flagged for Review","Unique")</f>
        <v>Unique</v>
      </c>
      <c r="AL797" s="3" t="str">
        <f aca="false">IF(AB797="Refunded","Yes","No")</f>
        <v>Yes</v>
      </c>
      <c r="AM797" s="3" t="str">
        <f aca="false">IF(OR(AC797&lt;&gt;"Completed",AB797="Failed"),"Excluded","Included")</f>
        <v>Excluded</v>
      </c>
      <c r="AN797" s="3" t="str">
        <f aca="false">IF(OR(D797="Invalid/Unrecognized",E797="Invalid/Unrecognized",G797="Invalid - Ship Before Order",X797="Negative - Invalid",X797="Above Allowed Range - Invalid",AG797="Mismatch",AH797="Mismatch",AK797="Conflicting Duplicate - Flagged for Review"),"Invalid",IF(OR(L797="Filled - Unknown",S797="Filled - Unknown",X797="Missing - Defaulted to 0",AL797="Yes",AC797="Cancelled",AC797="Returned"),"Warning","Clean"))</f>
        <v>Warning</v>
      </c>
    </row>
    <row r="798" customFormat="false" ht="15" hidden="false" customHeight="false" outlineLevel="0" collapsed="false">
      <c r="A798" s="3" t="str">
        <f aca="false">raw_data!A798</f>
        <v>ORD-2024-10797</v>
      </c>
      <c r="B798" s="4" t="n">
        <f aca="false">IFERROR(IF(MID(raw_data!B798,3,1)="/",DATE(VALUE(RIGHT(raw_data!B798,4)),VALUE(LEFT(raw_data!B798,2)),VALUE(MID(raw_data!B798,4,2))),IF(MID(raw_data!B798,3,1)="-",DATE(VALUE(RIGHT(raw_data!B798,4)),VALUE(MID(raw_data!B798,4,2)),VALUE(LEFT(raw_data!B798,2))),IF(MID(raw_data!B798,5,1)="-",DATE(VALUE(LEFT(raw_data!B798,4)),VALUE(MID(raw_data!B798,6,2)),VALUE(RIGHT(raw_data!B798,2))),DATE(VALUE(RIGHT(raw_data!B798,4)),MATCH(MID(raw_data!B798,4,3),{"Jan","Feb","Mar","Apr","May","Jun","Jul","Aug","Sep","Oct","Nov","Dec"},0),VALUE(LEFT(raw_data!B798,2)))))),"")</f>
        <v>45374</v>
      </c>
      <c r="C798" s="4" t="n">
        <f aca="false">IFERROR(IF(MID(raw_data!C798,3,1)="/",DATE(VALUE(RIGHT(raw_data!C798,4)),VALUE(LEFT(raw_data!C798,2)),VALUE(MID(raw_data!C798,4,2))),IF(MID(raw_data!C798,3,1)="-",DATE(VALUE(RIGHT(raw_data!C798,4)),VALUE(MID(raw_data!C798,4,2)),VALUE(LEFT(raw_data!C798,2))),IF(MID(raw_data!C798,5,1)="-",DATE(VALUE(LEFT(raw_data!C798,4)),VALUE(MID(raw_data!C798,6,2)),VALUE(RIGHT(raw_data!C798,2))),DATE(VALUE(RIGHT(raw_data!C798,4)),MATCH(MID(raw_data!C798,4,3),{"Jan","Feb","Mar","Apr","May","Jun","Jul","Aug","Sep","Oct","Nov","Dec"},0),VALUE(LEFT(raw_data!C798,2)))))),"")</f>
        <v>45381</v>
      </c>
      <c r="D798" s="3" t="str">
        <f aca="false">IF(TRIM(raw_data!B798)="","Missing",IF(B798="","Invalid/Unrecognized","Valid"))</f>
        <v>Valid</v>
      </c>
      <c r="E798" s="3" t="str">
        <f aca="false">IF(TRIM(raw_data!C798)="","Missing",IF(C798="","Invalid/Unrecognized","Valid"))</f>
        <v>Valid</v>
      </c>
      <c r="F798" s="5" t="n">
        <f aca="false">IF(OR(B798="",C798=""),"",C798-B798)</f>
        <v>7</v>
      </c>
      <c r="G798" s="3" t="str">
        <f aca="false">IF(F798="","N/A",IF(F798&lt;0,"Invalid - Ship Before Order","OK"))</f>
        <v>OK</v>
      </c>
      <c r="H798" s="3" t="str">
        <f aca="false">raw_data!D798</f>
        <v>CUST-3126</v>
      </c>
      <c r="I798" s="3" t="str">
        <f aca="false">PROPER(TRIM(raw_data!E798))</f>
        <v>Rohan Mehta</v>
      </c>
      <c r="J798" s="3" t="str">
        <f aca="false">PROPER(TRIM(raw_data!F798))</f>
        <v>Small Business</v>
      </c>
      <c r="K798" s="3" t="str">
        <f aca="false">IF(TRIM(raw_data!G798)="","Unknown",PROPER(TRIM(raw_data!G798)))</f>
        <v>South</v>
      </c>
      <c r="L798" s="3" t="str">
        <f aca="false">IF(TRIM(raw_data!G798)="","Filled - Unknown","OK")</f>
        <v>OK</v>
      </c>
      <c r="M798" s="3" t="str">
        <f aca="false">PROPER(TRIM(raw_data!H798))</f>
        <v>Andhra Pradesh</v>
      </c>
      <c r="N798" s="3" t="str">
        <f aca="false">PROPER(TRIM(raw_data!I798))</f>
        <v>Vijayawada</v>
      </c>
      <c r="O798" s="3" t="str">
        <f aca="false">PROPER(TRIM(raw_data!J798))</f>
        <v>Technology</v>
      </c>
      <c r="P798" s="3" t="str">
        <f aca="false">PROPER(TRIM(raw_data!K798))</f>
        <v>Machines</v>
      </c>
      <c r="Q798" s="3" t="str">
        <f aca="false">TRIM(raw_data!L798)</f>
        <v>Elite Machines 459</v>
      </c>
      <c r="R798" s="3" t="str">
        <f aca="false">IF(TRIM(raw_data!M798)="","Unknown",PROPER(TRIM(raw_data!M798)))</f>
        <v>First Class</v>
      </c>
      <c r="S798" s="3" t="str">
        <f aca="false">IF(TRIM(raw_data!M798)="","Filled - Unknown","OK")</f>
        <v>OK</v>
      </c>
      <c r="T798" s="6" t="n">
        <f aca="false">raw_data!N798</f>
        <v>6</v>
      </c>
      <c r="U798" s="7" t="n">
        <f aca="false">raw_data!O798</f>
        <v>1894.44</v>
      </c>
      <c r="V798" s="8" t="n">
        <f aca="false">raw_data!P798</f>
        <v>0.15</v>
      </c>
      <c r="W798" s="8" t="n">
        <f aca="false">IF(raw_data!P798="",0,IF(ISTEXT(raw_data!P798),IF(RIGHT(raw_data!P798,1)="%",VALUE(LEFT(raw_data!P798,LEN(raw_data!P798)-1))/100,VALUE(raw_data!P798)),raw_data!P798))</f>
        <v>0.15</v>
      </c>
      <c r="X798" s="3" t="str">
        <f aca="false">IF(raw_data!P798="","Missing - Defaulted to 0",IF(W798&lt;0,"Negative - Invalid",IF(W798&gt;0.3,"Above Allowed Range - Invalid","Valid")))</f>
        <v>Valid</v>
      </c>
      <c r="Y798" s="7" t="n">
        <f aca="false">raw_data!Q798</f>
        <v>9661.64</v>
      </c>
      <c r="Z798" s="7" t="n">
        <f aca="false">raw_data!R798</f>
        <v>6303.77</v>
      </c>
      <c r="AA798" s="7" t="n">
        <f aca="false">raw_data!S798</f>
        <v>3357.87</v>
      </c>
      <c r="AB798" s="3" t="str">
        <f aca="false">PROPER(TRIM(raw_data!T798))</f>
        <v>Paid</v>
      </c>
      <c r="AC798" s="3" t="str">
        <f aca="false">PROPER(TRIM(raw_data!U798))</f>
        <v>Completed</v>
      </c>
      <c r="AD798" s="7" t="n">
        <f aca="false">T798*U798*(1-W798)</f>
        <v>9661.644</v>
      </c>
      <c r="AE798" s="7" t="n">
        <f aca="false">AD798-Z798</f>
        <v>3357.874</v>
      </c>
      <c r="AF798" s="8" t="n">
        <f aca="false">IF(AD798=0,0,AE798/AD798)</f>
        <v>0.347546856414912</v>
      </c>
      <c r="AG798" s="3" t="str">
        <f aca="false">IF(ABS(Y798-AD798)&gt;1,"Mismatch","OK")</f>
        <v>OK</v>
      </c>
      <c r="AH798" s="3" t="str">
        <f aca="false">IF(ABS(AA798-AE798)&gt;1,"Mismatch","OK")</f>
        <v>OK</v>
      </c>
      <c r="AI798" s="6" t="n">
        <f aca="false">IF(B798="","",MONTH(B798))</f>
        <v>3</v>
      </c>
      <c r="AJ798" s="6" t="n">
        <f aca="false">IF(B798="","",YEAR(B798))</f>
        <v>2024</v>
      </c>
      <c r="AK798" s="3" t="str">
        <f aca="false">IF(COUNTIF(raw_data!$A$2:$A$913,A798)&gt;1,"Conflicting Duplicate - Flagged for Review","Unique")</f>
        <v>Unique</v>
      </c>
      <c r="AL798" s="3" t="str">
        <f aca="false">IF(AB798="Refunded","Yes","No")</f>
        <v>No</v>
      </c>
      <c r="AM798" s="3" t="str">
        <f aca="false">IF(OR(AC798&lt;&gt;"Completed",AB798="Failed"),"Excluded","Included")</f>
        <v>Included</v>
      </c>
      <c r="AN798" s="3" t="str">
        <f aca="false">IF(OR(D798="Invalid/Unrecognized",E798="Invalid/Unrecognized",G798="Invalid - Ship Before Order",X798="Negative - Invalid",X798="Above Allowed Range - Invalid",AG798="Mismatch",AH798="Mismatch",AK798="Conflicting Duplicate - Flagged for Review"),"Invalid",IF(OR(L798="Filled - Unknown",S798="Filled - Unknown",X798="Missing - Defaulted to 0",AL798="Yes",AC798="Cancelled",AC798="Returned"),"Warning","Clean"))</f>
        <v>Clean</v>
      </c>
    </row>
    <row r="799" customFormat="false" ht="15" hidden="false" customHeight="false" outlineLevel="0" collapsed="false">
      <c r="A799" s="3" t="str">
        <f aca="false">raw_data!A799</f>
        <v>ORD-2024-10798</v>
      </c>
      <c r="B799" s="4" t="n">
        <f aca="false">IFERROR(IF(MID(raw_data!B799,3,1)="/",DATE(VALUE(RIGHT(raw_data!B799,4)),VALUE(LEFT(raw_data!B799,2)),VALUE(MID(raw_data!B799,4,2))),IF(MID(raw_data!B799,3,1)="-",DATE(VALUE(RIGHT(raw_data!B799,4)),VALUE(MID(raw_data!B799,4,2)),VALUE(LEFT(raw_data!B799,2))),IF(MID(raw_data!B799,5,1)="-",DATE(VALUE(LEFT(raw_data!B799,4)),VALUE(MID(raw_data!B799,6,2)),VALUE(RIGHT(raw_data!B799,2))),DATE(VALUE(RIGHT(raw_data!B799,4)),MATCH(MID(raw_data!B799,4,3),{"Jan","Feb","Mar","Apr","May","Jun","Jul","Aug","Sep","Oct","Nov","Dec"},0),VALUE(LEFT(raw_data!B799,2)))))),"")</f>
        <v>45400</v>
      </c>
      <c r="C799" s="4" t="n">
        <f aca="false">IFERROR(IF(MID(raw_data!C799,3,1)="/",DATE(VALUE(RIGHT(raw_data!C799,4)),VALUE(LEFT(raw_data!C799,2)),VALUE(MID(raw_data!C799,4,2))),IF(MID(raw_data!C799,3,1)="-",DATE(VALUE(RIGHT(raw_data!C799,4)),VALUE(MID(raw_data!C799,4,2)),VALUE(LEFT(raw_data!C799,2))),IF(MID(raw_data!C799,5,1)="-",DATE(VALUE(LEFT(raw_data!C799,4)),VALUE(MID(raw_data!C799,6,2)),VALUE(RIGHT(raw_data!C799,2))),DATE(VALUE(RIGHT(raw_data!C799,4)),MATCH(MID(raw_data!C799,4,3),{"Jan","Feb","Mar","Apr","May","Jun","Jul","Aug","Sep","Oct","Nov","Dec"},0),VALUE(LEFT(raw_data!C799,2)))))),"")</f>
        <v>45404</v>
      </c>
      <c r="D799" s="3" t="str">
        <f aca="false">IF(TRIM(raw_data!B799)="","Missing",IF(B799="","Invalid/Unrecognized","Valid"))</f>
        <v>Valid</v>
      </c>
      <c r="E799" s="3" t="str">
        <f aca="false">IF(TRIM(raw_data!C799)="","Missing",IF(C799="","Invalid/Unrecognized","Valid"))</f>
        <v>Valid</v>
      </c>
      <c r="F799" s="5" t="n">
        <f aca="false">IF(OR(B799="",C799=""),"",C799-B799)</f>
        <v>4</v>
      </c>
      <c r="G799" s="3" t="str">
        <f aca="false">IF(F799="","N/A",IF(F799&lt;0,"Invalid - Ship Before Order","OK"))</f>
        <v>OK</v>
      </c>
      <c r="H799" s="3" t="str">
        <f aca="false">raw_data!D799</f>
        <v>CUST-3991</v>
      </c>
      <c r="I799" s="3" t="str">
        <f aca="false">PROPER(TRIM(raw_data!E799))</f>
        <v>Aarav Sharma</v>
      </c>
      <c r="J799" s="3" t="str">
        <f aca="false">PROPER(TRIM(raw_data!F799))</f>
        <v>Consumer</v>
      </c>
      <c r="K799" s="3" t="str">
        <f aca="false">IF(TRIM(raw_data!G799)="","Unknown",PROPER(TRIM(raw_data!G799)))</f>
        <v>East</v>
      </c>
      <c r="L799" s="3" t="str">
        <f aca="false">IF(TRIM(raw_data!G799)="","Filled - Unknown","OK")</f>
        <v>OK</v>
      </c>
      <c r="M799" s="3" t="str">
        <f aca="false">PROPER(TRIM(raw_data!H799))</f>
        <v>Odisha</v>
      </c>
      <c r="N799" s="3" t="str">
        <f aca="false">PROPER(TRIM(raw_data!I799))</f>
        <v>Bhubaneswar</v>
      </c>
      <c r="O799" s="3" t="str">
        <f aca="false">PROPER(TRIM(raw_data!J799))</f>
        <v>Office Supplies</v>
      </c>
      <c r="P799" s="3" t="str">
        <f aca="false">PROPER(TRIM(raw_data!K799))</f>
        <v>Binders</v>
      </c>
      <c r="Q799" s="3" t="str">
        <f aca="false">TRIM(raw_data!L799)</f>
        <v>Elite Binders 764</v>
      </c>
      <c r="R799" s="3" t="str">
        <f aca="false">IF(TRIM(raw_data!M799)="","Unknown",PROPER(TRIM(raw_data!M799)))</f>
        <v>First Class</v>
      </c>
      <c r="S799" s="3" t="str">
        <f aca="false">IF(TRIM(raw_data!M799)="","Filled - Unknown","OK")</f>
        <v>OK</v>
      </c>
      <c r="T799" s="6" t="n">
        <f aca="false">raw_data!N799</f>
        <v>8</v>
      </c>
      <c r="U799" s="7" t="n">
        <f aca="false">raw_data!O799</f>
        <v>1714.37</v>
      </c>
      <c r="V799" s="8" t="n">
        <f aca="false">raw_data!P799</f>
        <v>0</v>
      </c>
      <c r="W799" s="8" t="n">
        <f aca="false">IF(raw_data!P799="",0,IF(ISTEXT(raw_data!P799),IF(RIGHT(raw_data!P799,1)="%",VALUE(LEFT(raw_data!P799,LEN(raw_data!P799)-1))/100,VALUE(raw_data!P799)),raw_data!P799))</f>
        <v>0</v>
      </c>
      <c r="X799" s="3" t="str">
        <f aca="false">IF(raw_data!P799="","Missing - Defaulted to 0",IF(W799&lt;0,"Negative - Invalid",IF(W799&gt;0.3,"Above Allowed Range - Invalid","Valid")))</f>
        <v>Valid</v>
      </c>
      <c r="Y799" s="7" t="n">
        <f aca="false">raw_data!Q799</f>
        <v>13714.96</v>
      </c>
      <c r="Z799" s="7" t="n">
        <f aca="false">raw_data!R799</f>
        <v>10550.47</v>
      </c>
      <c r="AA799" s="7" t="n">
        <f aca="false">raw_data!S799</f>
        <v>3164.49</v>
      </c>
      <c r="AB799" s="3" t="str">
        <f aca="false">PROPER(TRIM(raw_data!T799))</f>
        <v>Failed</v>
      </c>
      <c r="AC799" s="3" t="str">
        <f aca="false">PROPER(TRIM(raw_data!U799))</f>
        <v>Cancelled</v>
      </c>
      <c r="AD799" s="7" t="n">
        <f aca="false">T799*U799*(1-W799)</f>
        <v>13714.96</v>
      </c>
      <c r="AE799" s="7" t="n">
        <f aca="false">AD799-Z799</f>
        <v>3164.49</v>
      </c>
      <c r="AF799" s="8" t="n">
        <f aca="false">IF(AD799=0,0,AE799/AD799)</f>
        <v>0.230732718141358</v>
      </c>
      <c r="AG799" s="3" t="str">
        <f aca="false">IF(ABS(Y799-AD799)&gt;1,"Mismatch","OK")</f>
        <v>OK</v>
      </c>
      <c r="AH799" s="3" t="str">
        <f aca="false">IF(ABS(AA799-AE799)&gt;1,"Mismatch","OK")</f>
        <v>OK</v>
      </c>
      <c r="AI799" s="6" t="n">
        <f aca="false">IF(B799="","",MONTH(B799))</f>
        <v>4</v>
      </c>
      <c r="AJ799" s="6" t="n">
        <f aca="false">IF(B799="","",YEAR(B799))</f>
        <v>2024</v>
      </c>
      <c r="AK799" s="3" t="str">
        <f aca="false">IF(COUNTIF(raw_data!$A$2:$A$913,A799)&gt;1,"Conflicting Duplicate - Flagged for Review","Unique")</f>
        <v>Unique</v>
      </c>
      <c r="AL799" s="3" t="str">
        <f aca="false">IF(AB799="Refunded","Yes","No")</f>
        <v>No</v>
      </c>
      <c r="AM799" s="3" t="str">
        <f aca="false">IF(OR(AC799&lt;&gt;"Completed",AB799="Failed"),"Excluded","Included")</f>
        <v>Excluded</v>
      </c>
      <c r="AN799" s="3" t="str">
        <f aca="false">IF(OR(D799="Invalid/Unrecognized",E799="Invalid/Unrecognized",G799="Invalid - Ship Before Order",X799="Negative - Invalid",X799="Above Allowed Range - Invalid",AG799="Mismatch",AH799="Mismatch",AK799="Conflicting Duplicate - Flagged for Review"),"Invalid",IF(OR(L799="Filled - Unknown",S799="Filled - Unknown",X799="Missing - Defaulted to 0",AL799="Yes",AC799="Cancelled",AC799="Returned"),"Warning","Clean"))</f>
        <v>Warning</v>
      </c>
    </row>
    <row r="800" customFormat="false" ht="15" hidden="false" customHeight="false" outlineLevel="0" collapsed="false">
      <c r="A800" s="3" t="str">
        <f aca="false">raw_data!A800</f>
        <v>ORD-2025-10799</v>
      </c>
      <c r="B800" s="4" t="n">
        <f aca="false">IFERROR(IF(MID(raw_data!B800,3,1)="/",DATE(VALUE(RIGHT(raw_data!B800,4)),VALUE(LEFT(raw_data!B800,2)),VALUE(MID(raw_data!B800,4,2))),IF(MID(raw_data!B800,3,1)="-",DATE(VALUE(RIGHT(raw_data!B800,4)),VALUE(MID(raw_data!B800,4,2)),VALUE(LEFT(raw_data!B800,2))),IF(MID(raw_data!B800,5,1)="-",DATE(VALUE(LEFT(raw_data!B800,4)),VALUE(MID(raw_data!B800,6,2)),VALUE(RIGHT(raw_data!B800,2))),DATE(VALUE(RIGHT(raw_data!B800,4)),MATCH(MID(raw_data!B800,4,3),{"Jan","Feb","Mar","Apr","May","Jun","Jul","Aug","Sep","Oct","Nov","Dec"},0),VALUE(LEFT(raw_data!B800,2)))))),"")</f>
        <v>45849</v>
      </c>
      <c r="C800" s="4" t="n">
        <f aca="false">IFERROR(IF(MID(raw_data!C800,3,1)="/",DATE(VALUE(RIGHT(raw_data!C800,4)),VALUE(LEFT(raw_data!C800,2)),VALUE(MID(raw_data!C800,4,2))),IF(MID(raw_data!C800,3,1)="-",DATE(VALUE(RIGHT(raw_data!C800,4)),VALUE(MID(raw_data!C800,4,2)),VALUE(LEFT(raw_data!C800,2))),IF(MID(raw_data!C800,5,1)="-",DATE(VALUE(LEFT(raw_data!C800,4)),VALUE(MID(raw_data!C800,6,2)),VALUE(RIGHT(raw_data!C800,2))),DATE(VALUE(RIGHT(raw_data!C800,4)),MATCH(MID(raw_data!C800,4,3),{"Jan","Feb","Mar","Apr","May","Jun","Jul","Aug","Sep","Oct","Nov","Dec"},0),VALUE(LEFT(raw_data!C800,2)))))),"")</f>
        <v>45847</v>
      </c>
      <c r="D800" s="3" t="str">
        <f aca="false">IF(TRIM(raw_data!B800)="","Missing",IF(B800="","Invalid/Unrecognized","Valid"))</f>
        <v>Valid</v>
      </c>
      <c r="E800" s="3" t="str">
        <f aca="false">IF(TRIM(raw_data!C800)="","Missing",IF(C800="","Invalid/Unrecognized","Valid"))</f>
        <v>Valid</v>
      </c>
      <c r="F800" s="5" t="n">
        <f aca="false">IF(OR(B800="",C800=""),"",C800-B800)</f>
        <v>-2</v>
      </c>
      <c r="G800" s="3" t="str">
        <f aca="false">IF(F800="","N/A",IF(F800&lt;0,"Invalid - Ship Before Order","OK"))</f>
        <v>Invalid - Ship Before Order</v>
      </c>
      <c r="H800" s="3" t="str">
        <f aca="false">raw_data!D800</f>
        <v>CUST-7553</v>
      </c>
      <c r="I800" s="3" t="str">
        <f aca="false">PROPER(TRIM(raw_data!E800))</f>
        <v>Aditi Sen</v>
      </c>
      <c r="J800" s="3" t="str">
        <f aca="false">PROPER(TRIM(raw_data!F800))</f>
        <v>Corporate</v>
      </c>
      <c r="K800" s="3" t="str">
        <f aca="false">IF(TRIM(raw_data!G800)="","Unknown",PROPER(TRIM(raw_data!G800)))</f>
        <v>North</v>
      </c>
      <c r="L800" s="3" t="str">
        <f aca="false">IF(TRIM(raw_data!G800)="","Filled - Unknown","OK")</f>
        <v>OK</v>
      </c>
      <c r="M800" s="3" t="str">
        <f aca="false">PROPER(TRIM(raw_data!H800))</f>
        <v>Delhi</v>
      </c>
      <c r="N800" s="3" t="str">
        <f aca="false">PROPER(TRIM(raw_data!I800))</f>
        <v>New Delhi</v>
      </c>
      <c r="O800" s="3" t="str">
        <f aca="false">PROPER(TRIM(raw_data!J800))</f>
        <v>Furniture</v>
      </c>
      <c r="P800" s="3" t="str">
        <f aca="false">PROPER(TRIM(raw_data!K800))</f>
        <v>Furnishings</v>
      </c>
      <c r="Q800" s="3" t="str">
        <f aca="false">TRIM(raw_data!L800)</f>
        <v>Classic Furnishings 348</v>
      </c>
      <c r="R800" s="3" t="str">
        <f aca="false">IF(TRIM(raw_data!M800)="","Unknown",PROPER(TRIM(raw_data!M800)))</f>
        <v>Standard Class</v>
      </c>
      <c r="S800" s="3" t="str">
        <f aca="false">IF(TRIM(raw_data!M800)="","Filled - Unknown","OK")</f>
        <v>OK</v>
      </c>
      <c r="T800" s="6" t="n">
        <f aca="false">raw_data!N800</f>
        <v>9</v>
      </c>
      <c r="U800" s="7" t="n">
        <f aca="false">raw_data!O800</f>
        <v>1706.05</v>
      </c>
      <c r="V800" s="8" t="n">
        <f aca="false">raw_data!P800</f>
        <v>0</v>
      </c>
      <c r="W800" s="8" t="n">
        <f aca="false">IF(raw_data!P800="",0,IF(ISTEXT(raw_data!P800),IF(RIGHT(raw_data!P800,1)="%",VALUE(LEFT(raw_data!P800,LEN(raw_data!P800)-1))/100,VALUE(raw_data!P800)),raw_data!P800))</f>
        <v>0</v>
      </c>
      <c r="X800" s="3" t="str">
        <f aca="false">IF(raw_data!P800="","Missing - Defaulted to 0",IF(W800&lt;0,"Negative - Invalid",IF(W800&gt;0.3,"Above Allowed Range - Invalid","Valid")))</f>
        <v>Valid</v>
      </c>
      <c r="Y800" s="7" t="n">
        <f aca="false">raw_data!Q800</f>
        <v>15354.45</v>
      </c>
      <c r="Z800" s="7" t="n">
        <f aca="false">raw_data!R800</f>
        <v>9656.5</v>
      </c>
      <c r="AA800" s="7" t="n">
        <f aca="false">raw_data!S800</f>
        <v>5697.95</v>
      </c>
      <c r="AB800" s="3" t="str">
        <f aca="false">PROPER(TRIM(raw_data!T800))</f>
        <v>Paid</v>
      </c>
      <c r="AC800" s="3" t="str">
        <f aca="false">PROPER(TRIM(raw_data!U800))</f>
        <v>Completed</v>
      </c>
      <c r="AD800" s="7" t="n">
        <f aca="false">T800*U800*(1-W800)</f>
        <v>15354.45</v>
      </c>
      <c r="AE800" s="7" t="n">
        <f aca="false">AD800-Z800</f>
        <v>5697.95</v>
      </c>
      <c r="AF800" s="8" t="n">
        <f aca="false">IF(AD800=0,0,AE800/AD800)</f>
        <v>0.371094373292433</v>
      </c>
      <c r="AG800" s="3" t="str">
        <f aca="false">IF(ABS(Y800-AD800)&gt;1,"Mismatch","OK")</f>
        <v>OK</v>
      </c>
      <c r="AH800" s="3" t="str">
        <f aca="false">IF(ABS(AA800-AE800)&gt;1,"Mismatch","OK")</f>
        <v>OK</v>
      </c>
      <c r="AI800" s="6" t="n">
        <f aca="false">IF(B800="","",MONTH(B800))</f>
        <v>7</v>
      </c>
      <c r="AJ800" s="6" t="n">
        <f aca="false">IF(B800="","",YEAR(B800))</f>
        <v>2025</v>
      </c>
      <c r="AK800" s="3" t="str">
        <f aca="false">IF(COUNTIF(raw_data!$A$2:$A$913,A800)&gt;1,"Conflicting Duplicate - Flagged for Review","Unique")</f>
        <v>Unique</v>
      </c>
      <c r="AL800" s="3" t="str">
        <f aca="false">IF(AB800="Refunded","Yes","No")</f>
        <v>No</v>
      </c>
      <c r="AM800" s="3" t="str">
        <f aca="false">IF(OR(AC800&lt;&gt;"Completed",AB800="Failed"),"Excluded","Included")</f>
        <v>Included</v>
      </c>
      <c r="AN800" s="3" t="str">
        <f aca="false">IF(OR(D800="Invalid/Unrecognized",E800="Invalid/Unrecognized",G800="Invalid - Ship Before Order",X800="Negative - Invalid",X800="Above Allowed Range - Invalid",AG800="Mismatch",AH800="Mismatch",AK800="Conflicting Duplicate - Flagged for Review"),"Invalid",IF(OR(L800="Filled - Unknown",S800="Filled - Unknown",X800="Missing - Defaulted to 0",AL800="Yes",AC800="Cancelled",AC800="Returned"),"Warning","Clean"))</f>
        <v>Invalid</v>
      </c>
    </row>
    <row r="801" customFormat="false" ht="15" hidden="false" customHeight="false" outlineLevel="0" collapsed="false">
      <c r="A801" s="3" t="str">
        <f aca="false">raw_data!A801</f>
        <v>ORD-2024-10800</v>
      </c>
      <c r="B801" s="4" t="n">
        <f aca="false">IFERROR(IF(MID(raw_data!B801,3,1)="/",DATE(VALUE(RIGHT(raw_data!B801,4)),VALUE(LEFT(raw_data!B801,2)),VALUE(MID(raw_data!B801,4,2))),IF(MID(raw_data!B801,3,1)="-",DATE(VALUE(RIGHT(raw_data!B801,4)),VALUE(MID(raw_data!B801,4,2)),VALUE(LEFT(raw_data!B801,2))),IF(MID(raw_data!B801,5,1)="-",DATE(VALUE(LEFT(raw_data!B801,4)),VALUE(MID(raw_data!B801,6,2)),VALUE(RIGHT(raw_data!B801,2))),DATE(VALUE(RIGHT(raw_data!B801,4)),MATCH(MID(raw_data!B801,4,3),{"Jan","Feb","Mar","Apr","May","Jun","Jul","Aug","Sep","Oct","Nov","Dec"},0),VALUE(LEFT(raw_data!B801,2)))))),"")</f>
        <v>45575</v>
      </c>
      <c r="C801" s="4" t="n">
        <f aca="false">IFERROR(IF(MID(raw_data!C801,3,1)="/",DATE(VALUE(RIGHT(raw_data!C801,4)),VALUE(LEFT(raw_data!C801,2)),VALUE(MID(raw_data!C801,4,2))),IF(MID(raw_data!C801,3,1)="-",DATE(VALUE(RIGHT(raw_data!C801,4)),VALUE(MID(raw_data!C801,4,2)),VALUE(LEFT(raw_data!C801,2))),IF(MID(raw_data!C801,5,1)="-",DATE(VALUE(LEFT(raw_data!C801,4)),VALUE(MID(raw_data!C801,6,2)),VALUE(RIGHT(raw_data!C801,2))),DATE(VALUE(RIGHT(raw_data!C801,4)),MATCH(MID(raw_data!C801,4,3),{"Jan","Feb","Mar","Apr","May","Jun","Jul","Aug","Sep","Oct","Nov","Dec"},0),VALUE(LEFT(raw_data!C801,2)))))),"")</f>
        <v>45582</v>
      </c>
      <c r="D801" s="3" t="str">
        <f aca="false">IF(TRIM(raw_data!B801)="","Missing",IF(B801="","Invalid/Unrecognized","Valid"))</f>
        <v>Valid</v>
      </c>
      <c r="E801" s="3" t="str">
        <f aca="false">IF(TRIM(raw_data!C801)="","Missing",IF(C801="","Invalid/Unrecognized","Valid"))</f>
        <v>Valid</v>
      </c>
      <c r="F801" s="5" t="n">
        <f aca="false">IF(OR(B801="",C801=""),"",C801-B801)</f>
        <v>7</v>
      </c>
      <c r="G801" s="3" t="str">
        <f aca="false">IF(F801="","N/A",IF(F801&lt;0,"Invalid - Ship Before Order","OK"))</f>
        <v>OK</v>
      </c>
      <c r="H801" s="3" t="str">
        <f aca="false">raw_data!D801</f>
        <v>CUST-8527</v>
      </c>
      <c r="I801" s="3" t="str">
        <f aca="false">PROPER(TRIM(raw_data!E801))</f>
        <v>Isha Nair</v>
      </c>
      <c r="J801" s="3" t="str">
        <f aca="false">PROPER(TRIM(raw_data!F801))</f>
        <v>Home Office</v>
      </c>
      <c r="K801" s="3" t="str">
        <f aca="false">IF(TRIM(raw_data!G801)="","Unknown",PROPER(TRIM(raw_data!G801)))</f>
        <v>North</v>
      </c>
      <c r="L801" s="3" t="str">
        <f aca="false">IF(TRIM(raw_data!G801)="","Filled - Unknown","OK")</f>
        <v>OK</v>
      </c>
      <c r="M801" s="3" t="str">
        <f aca="false">PROPER(TRIM(raw_data!H801))</f>
        <v>Haryana</v>
      </c>
      <c r="N801" s="3" t="str">
        <f aca="false">PROPER(TRIM(raw_data!I801))</f>
        <v>Gurugram</v>
      </c>
      <c r="O801" s="3" t="str">
        <f aca="false">PROPER(TRIM(raw_data!J801))</f>
        <v>Technology</v>
      </c>
      <c r="P801" s="3" t="str">
        <f aca="false">PROPER(TRIM(raw_data!K801))</f>
        <v>Accessories</v>
      </c>
      <c r="Q801" s="3" t="str">
        <f aca="false">TRIM(raw_data!L801)</f>
        <v>Smart Accessories 487</v>
      </c>
      <c r="R801" s="3" t="str">
        <f aca="false">IF(TRIM(raw_data!M801)="","Unknown",PROPER(TRIM(raw_data!M801)))</f>
        <v>Unknown</v>
      </c>
      <c r="S801" s="3" t="str">
        <f aca="false">IF(TRIM(raw_data!M801)="","Filled - Unknown","OK")</f>
        <v>Filled - Unknown</v>
      </c>
      <c r="T801" s="6" t="n">
        <f aca="false">raw_data!N801</f>
        <v>5</v>
      </c>
      <c r="U801" s="7" t="n">
        <f aca="false">raw_data!O801</f>
        <v>967.41</v>
      </c>
      <c r="V801" s="8" t="n">
        <f aca="false">raw_data!P801</f>
        <v>0.05</v>
      </c>
      <c r="W801" s="8" t="n">
        <f aca="false">IF(raw_data!P801="",0,IF(ISTEXT(raw_data!P801),IF(RIGHT(raw_data!P801,1)="%",VALUE(LEFT(raw_data!P801,LEN(raw_data!P801)-1))/100,VALUE(raw_data!P801)),raw_data!P801))</f>
        <v>0.05</v>
      </c>
      <c r="X801" s="3" t="str">
        <f aca="false">IF(raw_data!P801="","Missing - Defaulted to 0",IF(W801&lt;0,"Negative - Invalid",IF(W801&gt;0.3,"Above Allowed Range - Invalid","Valid")))</f>
        <v>Valid</v>
      </c>
      <c r="Y801" s="7" t="n">
        <f aca="false">raw_data!Q801</f>
        <v>4595.2</v>
      </c>
      <c r="Z801" s="7" t="n">
        <f aca="false">raw_data!R801</f>
        <v>3887.41</v>
      </c>
      <c r="AA801" s="7" t="n">
        <f aca="false">raw_data!S801</f>
        <v>707.79</v>
      </c>
      <c r="AB801" s="3" t="str">
        <f aca="false">PROPER(TRIM(raw_data!T801))</f>
        <v>Paid</v>
      </c>
      <c r="AC801" s="3" t="str">
        <f aca="false">PROPER(TRIM(raw_data!U801))</f>
        <v>Returned</v>
      </c>
      <c r="AD801" s="7" t="n">
        <f aca="false">T801*U801*(1-W801)</f>
        <v>4595.1975</v>
      </c>
      <c r="AE801" s="7" t="n">
        <f aca="false">AD801-Z801</f>
        <v>707.7875</v>
      </c>
      <c r="AF801" s="8" t="n">
        <f aca="false">IF(AD801=0,0,AE801/AD801)</f>
        <v>0.154027656047428</v>
      </c>
      <c r="AG801" s="3" t="str">
        <f aca="false">IF(ABS(Y801-AD801)&gt;1,"Mismatch","OK")</f>
        <v>OK</v>
      </c>
      <c r="AH801" s="3" t="str">
        <f aca="false">IF(ABS(AA801-AE801)&gt;1,"Mismatch","OK")</f>
        <v>OK</v>
      </c>
      <c r="AI801" s="6" t="n">
        <f aca="false">IF(B801="","",MONTH(B801))</f>
        <v>10</v>
      </c>
      <c r="AJ801" s="6" t="n">
        <f aca="false">IF(B801="","",YEAR(B801))</f>
        <v>2024</v>
      </c>
      <c r="AK801" s="3" t="str">
        <f aca="false">IF(COUNTIF(raw_data!$A$2:$A$913,A801)&gt;1,"Conflicting Duplicate - Flagged for Review","Unique")</f>
        <v>Unique</v>
      </c>
      <c r="AL801" s="3" t="str">
        <f aca="false">IF(AB801="Refunded","Yes","No")</f>
        <v>No</v>
      </c>
      <c r="AM801" s="3" t="str">
        <f aca="false">IF(OR(AC801&lt;&gt;"Completed",AB801="Failed"),"Excluded","Included")</f>
        <v>Excluded</v>
      </c>
      <c r="AN801" s="3" t="str">
        <f aca="false">IF(OR(D801="Invalid/Unrecognized",E801="Invalid/Unrecognized",G801="Invalid - Ship Before Order",X801="Negative - Invalid",X801="Above Allowed Range - Invalid",AG801="Mismatch",AH801="Mismatch",AK801="Conflicting Duplicate - Flagged for Review"),"Invalid",IF(OR(L801="Filled - Unknown",S801="Filled - Unknown",X801="Missing - Defaulted to 0",AL801="Yes",AC801="Cancelled",AC801="Returned"),"Warning","Clean"))</f>
        <v>Warning</v>
      </c>
    </row>
    <row r="802" customFormat="false" ht="15" hidden="false" customHeight="false" outlineLevel="0" collapsed="false">
      <c r="A802" s="3" t="str">
        <f aca="false">raw_data!A802</f>
        <v>ORD-2024-10801</v>
      </c>
      <c r="B802" s="4" t="n">
        <f aca="false">IFERROR(IF(MID(raw_data!B802,3,1)="/",DATE(VALUE(RIGHT(raw_data!B802,4)),VALUE(LEFT(raw_data!B802,2)),VALUE(MID(raw_data!B802,4,2))),IF(MID(raw_data!B802,3,1)="-",DATE(VALUE(RIGHT(raw_data!B802,4)),VALUE(MID(raw_data!B802,4,2)),VALUE(LEFT(raw_data!B802,2))),IF(MID(raw_data!B802,5,1)="-",DATE(VALUE(LEFT(raw_data!B802,4)),VALUE(MID(raw_data!B802,6,2)),VALUE(RIGHT(raw_data!B802,2))),DATE(VALUE(RIGHT(raw_data!B802,4)),MATCH(MID(raw_data!B802,4,3),{"Jan","Feb","Mar","Apr","May","Jun","Jul","Aug","Sep","Oct","Nov","Dec"},0),VALUE(LEFT(raw_data!B802,2)))))),"")</f>
        <v>45352</v>
      </c>
      <c r="C802" s="4" t="n">
        <f aca="false">IFERROR(IF(MID(raw_data!C802,3,1)="/",DATE(VALUE(RIGHT(raw_data!C802,4)),VALUE(LEFT(raw_data!C802,2)),VALUE(MID(raw_data!C802,4,2))),IF(MID(raw_data!C802,3,1)="-",DATE(VALUE(RIGHT(raw_data!C802,4)),VALUE(MID(raw_data!C802,4,2)),VALUE(LEFT(raw_data!C802,2))),IF(MID(raw_data!C802,5,1)="-",DATE(VALUE(LEFT(raw_data!C802,4)),VALUE(MID(raw_data!C802,6,2)),VALUE(RIGHT(raw_data!C802,2))),DATE(VALUE(RIGHT(raw_data!C802,4)),MATCH(MID(raw_data!C802,4,3),{"Jan","Feb","Mar","Apr","May","Jun","Jul","Aug","Sep","Oct","Nov","Dec"},0),VALUE(LEFT(raw_data!C802,2)))))),"")</f>
        <v>45358</v>
      </c>
      <c r="D802" s="3" t="str">
        <f aca="false">IF(TRIM(raw_data!B802)="","Missing",IF(B802="","Invalid/Unrecognized","Valid"))</f>
        <v>Valid</v>
      </c>
      <c r="E802" s="3" t="str">
        <f aca="false">IF(TRIM(raw_data!C802)="","Missing",IF(C802="","Invalid/Unrecognized","Valid"))</f>
        <v>Valid</v>
      </c>
      <c r="F802" s="5" t="n">
        <f aca="false">IF(OR(B802="",C802=""),"",C802-B802)</f>
        <v>6</v>
      </c>
      <c r="G802" s="3" t="str">
        <f aca="false">IF(F802="","N/A",IF(F802&lt;0,"Invalid - Ship Before Order","OK"))</f>
        <v>OK</v>
      </c>
      <c r="H802" s="3" t="str">
        <f aca="false">raw_data!D802</f>
        <v>CUST-5015</v>
      </c>
      <c r="I802" s="3" t="str">
        <f aca="false">PROPER(TRIM(raw_data!E802))</f>
        <v>Vikram Iyer</v>
      </c>
      <c r="J802" s="3" t="str">
        <f aca="false">PROPER(TRIM(raw_data!F802))</f>
        <v>Small Business</v>
      </c>
      <c r="K802" s="3" t="str">
        <f aca="false">IF(TRIM(raw_data!G802)="","Unknown",PROPER(TRIM(raw_data!G802)))</f>
        <v>West</v>
      </c>
      <c r="L802" s="3" t="str">
        <f aca="false">IF(TRIM(raw_data!G802)="","Filled - Unknown","OK")</f>
        <v>OK</v>
      </c>
      <c r="M802" s="3" t="str">
        <f aca="false">PROPER(TRIM(raw_data!H802))</f>
        <v>Maharashtra</v>
      </c>
      <c r="N802" s="3" t="str">
        <f aca="false">PROPER(TRIM(raw_data!I802))</f>
        <v>Mumbai</v>
      </c>
      <c r="O802" s="3" t="str">
        <f aca="false">PROPER(TRIM(raw_data!J802))</f>
        <v>Office Supplies</v>
      </c>
      <c r="P802" s="3" t="str">
        <f aca="false">PROPER(TRIM(raw_data!K802))</f>
        <v>Storage</v>
      </c>
      <c r="Q802" s="3" t="str">
        <f aca="false">TRIM(raw_data!L802)</f>
        <v>Elite Storage 825</v>
      </c>
      <c r="R802" s="3" t="str">
        <f aca="false">IF(TRIM(raw_data!M802)="","Unknown",PROPER(TRIM(raw_data!M802)))</f>
        <v>Second Class</v>
      </c>
      <c r="S802" s="3" t="str">
        <f aca="false">IF(TRIM(raw_data!M802)="","Filled - Unknown","OK")</f>
        <v>OK</v>
      </c>
      <c r="T802" s="6" t="n">
        <f aca="false">raw_data!N802</f>
        <v>6</v>
      </c>
      <c r="U802" s="7" t="n">
        <f aca="false">raw_data!O802</f>
        <v>4163.72</v>
      </c>
      <c r="V802" s="8" t="n">
        <f aca="false">raw_data!P802</f>
        <v>0.15</v>
      </c>
      <c r="W802" s="8" t="n">
        <f aca="false">IF(raw_data!P802="",0,IF(ISTEXT(raw_data!P802),IF(RIGHT(raw_data!P802,1)="%",VALUE(LEFT(raw_data!P802,LEN(raw_data!P802)-1))/100,VALUE(raw_data!P802)),raw_data!P802))</f>
        <v>0.15</v>
      </c>
      <c r="X802" s="3" t="str">
        <f aca="false">IF(raw_data!P802="","Missing - Defaulted to 0",IF(W802&lt;0,"Negative - Invalid",IF(W802&gt;0.3,"Above Allowed Range - Invalid","Valid")))</f>
        <v>Valid</v>
      </c>
      <c r="Y802" s="7" t="n">
        <f aca="false">raw_data!Q802</f>
        <v>21234.97</v>
      </c>
      <c r="Z802" s="7" t="n">
        <f aca="false">raw_data!R802</f>
        <v>16736.09</v>
      </c>
      <c r="AA802" s="7" t="n">
        <f aca="false">raw_data!S802</f>
        <v>4498.88</v>
      </c>
      <c r="AB802" s="3" t="str">
        <f aca="false">PROPER(TRIM(raw_data!T802))</f>
        <v>Paid</v>
      </c>
      <c r="AC802" s="3" t="str">
        <f aca="false">PROPER(TRIM(raw_data!U802))</f>
        <v>Completed</v>
      </c>
      <c r="AD802" s="7" t="n">
        <f aca="false">T802*U802*(1-W802)</f>
        <v>21234.972</v>
      </c>
      <c r="AE802" s="7" t="n">
        <f aca="false">AD802-Z802</f>
        <v>4498.882</v>
      </c>
      <c r="AF802" s="8" t="n">
        <f aca="false">IF(AD802=0,0,AE802/AD802)</f>
        <v>0.2118619228695</v>
      </c>
      <c r="AG802" s="3" t="str">
        <f aca="false">IF(ABS(Y802-AD802)&gt;1,"Mismatch","OK")</f>
        <v>OK</v>
      </c>
      <c r="AH802" s="3" t="str">
        <f aca="false">IF(ABS(AA802-AE802)&gt;1,"Mismatch","OK")</f>
        <v>OK</v>
      </c>
      <c r="AI802" s="6" t="n">
        <f aca="false">IF(B802="","",MONTH(B802))</f>
        <v>3</v>
      </c>
      <c r="AJ802" s="6" t="n">
        <f aca="false">IF(B802="","",YEAR(B802))</f>
        <v>2024</v>
      </c>
      <c r="AK802" s="3" t="str">
        <f aca="false">IF(COUNTIF(raw_data!$A$2:$A$913,A802)&gt;1,"Conflicting Duplicate - Flagged for Review","Unique")</f>
        <v>Unique</v>
      </c>
      <c r="AL802" s="3" t="str">
        <f aca="false">IF(AB802="Refunded","Yes","No")</f>
        <v>No</v>
      </c>
      <c r="AM802" s="3" t="str">
        <f aca="false">IF(OR(AC802&lt;&gt;"Completed",AB802="Failed"),"Excluded","Included")</f>
        <v>Included</v>
      </c>
      <c r="AN802" s="3" t="str">
        <f aca="false">IF(OR(D802="Invalid/Unrecognized",E802="Invalid/Unrecognized",G802="Invalid - Ship Before Order",X802="Negative - Invalid",X802="Above Allowed Range - Invalid",AG802="Mismatch",AH802="Mismatch",AK802="Conflicting Duplicate - Flagged for Review"),"Invalid",IF(OR(L802="Filled - Unknown",S802="Filled - Unknown",X802="Missing - Defaulted to 0",AL802="Yes",AC802="Cancelled",AC802="Returned"),"Warning","Clean"))</f>
        <v>Clean</v>
      </c>
    </row>
    <row r="803" customFormat="false" ht="15" hidden="false" customHeight="false" outlineLevel="0" collapsed="false">
      <c r="A803" s="3" t="str">
        <f aca="false">raw_data!A803</f>
        <v>ORD-2025-10802</v>
      </c>
      <c r="B803" s="4" t="n">
        <f aca="false">IFERROR(IF(MID(raw_data!B803,3,1)="/",DATE(VALUE(RIGHT(raw_data!B803,4)),VALUE(LEFT(raw_data!B803,2)),VALUE(MID(raw_data!B803,4,2))),IF(MID(raw_data!B803,3,1)="-",DATE(VALUE(RIGHT(raw_data!B803,4)),VALUE(MID(raw_data!B803,4,2)),VALUE(LEFT(raw_data!B803,2))),IF(MID(raw_data!B803,5,1)="-",DATE(VALUE(LEFT(raw_data!B803,4)),VALUE(MID(raw_data!B803,6,2)),VALUE(RIGHT(raw_data!B803,2))),DATE(VALUE(RIGHT(raw_data!B803,4)),MATCH(MID(raw_data!B803,4,3),{"Jan","Feb","Mar","Apr","May","Jun","Jul","Aug","Sep","Oct","Nov","Dec"},0),VALUE(LEFT(raw_data!B803,2)))))),"")</f>
        <v>45938</v>
      </c>
      <c r="C803" s="4" t="n">
        <f aca="false">IFERROR(IF(MID(raw_data!C803,3,1)="/",DATE(VALUE(RIGHT(raw_data!C803,4)),VALUE(LEFT(raw_data!C803,2)),VALUE(MID(raw_data!C803,4,2))),IF(MID(raw_data!C803,3,1)="-",DATE(VALUE(RIGHT(raw_data!C803,4)),VALUE(MID(raw_data!C803,4,2)),VALUE(LEFT(raw_data!C803,2))),IF(MID(raw_data!C803,5,1)="-",DATE(VALUE(LEFT(raw_data!C803,4)),VALUE(MID(raw_data!C803,6,2)),VALUE(RIGHT(raw_data!C803,2))),DATE(VALUE(RIGHT(raw_data!C803,4)),MATCH(MID(raw_data!C803,4,3),{"Jan","Feb","Mar","Apr","May","Jun","Jul","Aug","Sep","Oct","Nov","Dec"},0),VALUE(LEFT(raw_data!C803,2)))))),"")</f>
        <v>45945</v>
      </c>
      <c r="D803" s="3" t="str">
        <f aca="false">IF(TRIM(raw_data!B803)="","Missing",IF(B803="","Invalid/Unrecognized","Valid"))</f>
        <v>Valid</v>
      </c>
      <c r="E803" s="3" t="str">
        <f aca="false">IF(TRIM(raw_data!C803)="","Missing",IF(C803="","Invalid/Unrecognized","Valid"))</f>
        <v>Valid</v>
      </c>
      <c r="F803" s="5" t="n">
        <f aca="false">IF(OR(B803="",C803=""),"",C803-B803)</f>
        <v>7</v>
      </c>
      <c r="G803" s="3" t="str">
        <f aca="false">IF(F803="","N/A",IF(F803&lt;0,"Invalid - Ship Before Order","OK"))</f>
        <v>OK</v>
      </c>
      <c r="H803" s="3" t="str">
        <f aca="false">raw_data!D803</f>
        <v>CUST-3344</v>
      </c>
      <c r="I803" s="3" t="str">
        <f aca="false">PROPER(TRIM(raw_data!E803))</f>
        <v>Aarav Sharma</v>
      </c>
      <c r="J803" s="3" t="str">
        <f aca="false">PROPER(TRIM(raw_data!F803))</f>
        <v>Home Office</v>
      </c>
      <c r="K803" s="3" t="str">
        <f aca="false">IF(TRIM(raw_data!G803)="","Unknown",PROPER(TRIM(raw_data!G803)))</f>
        <v>East</v>
      </c>
      <c r="L803" s="3" t="str">
        <f aca="false">IF(TRIM(raw_data!G803)="","Filled - Unknown","OK")</f>
        <v>OK</v>
      </c>
      <c r="M803" s="3" t="str">
        <f aca="false">PROPER(TRIM(raw_data!H803))</f>
        <v>Odisha</v>
      </c>
      <c r="N803" s="3" t="str">
        <f aca="false">PROPER(TRIM(raw_data!I803))</f>
        <v>Bhubaneswar</v>
      </c>
      <c r="O803" s="3" t="str">
        <f aca="false">PROPER(TRIM(raw_data!J803))</f>
        <v>Technology</v>
      </c>
      <c r="P803" s="3" t="str">
        <f aca="false">PROPER(TRIM(raw_data!K803))</f>
        <v>Accessories</v>
      </c>
      <c r="Q803" s="3" t="str">
        <f aca="false">TRIM(raw_data!L803)</f>
        <v>Pro Accessories 500</v>
      </c>
      <c r="R803" s="3" t="str">
        <f aca="false">IF(TRIM(raw_data!M803)="","Unknown",PROPER(TRIM(raw_data!M803)))</f>
        <v>Second Class</v>
      </c>
      <c r="S803" s="3" t="str">
        <f aca="false">IF(TRIM(raw_data!M803)="","Filled - Unknown","OK")</f>
        <v>OK</v>
      </c>
      <c r="T803" s="6" t="n">
        <f aca="false">raw_data!N803</f>
        <v>3</v>
      </c>
      <c r="U803" s="7" t="n">
        <f aca="false">raw_data!O803</f>
        <v>3372.21</v>
      </c>
      <c r="V803" s="8" t="n">
        <f aca="false">raw_data!P803</f>
        <v>0.2</v>
      </c>
      <c r="W803" s="8" t="n">
        <f aca="false">IF(raw_data!P803="",0,IF(ISTEXT(raw_data!P803),IF(RIGHT(raw_data!P803,1)="%",VALUE(LEFT(raw_data!P803,LEN(raw_data!P803)-1))/100,VALUE(raw_data!P803)),raw_data!P803))</f>
        <v>0.2</v>
      </c>
      <c r="X803" s="3" t="str">
        <f aca="false">IF(raw_data!P803="","Missing - Defaulted to 0",IF(W803&lt;0,"Negative - Invalid",IF(W803&gt;0.3,"Above Allowed Range - Invalid","Valid")))</f>
        <v>Valid</v>
      </c>
      <c r="Y803" s="7" t="n">
        <f aca="false">raw_data!Q803</f>
        <v>8093.3</v>
      </c>
      <c r="Z803" s="7" t="n">
        <f aca="false">raw_data!R803</f>
        <v>6052.43</v>
      </c>
      <c r="AA803" s="7" t="n">
        <f aca="false">raw_data!S803</f>
        <v>2040.87</v>
      </c>
      <c r="AB803" s="3" t="str">
        <f aca="false">PROPER(TRIM(raw_data!T803))</f>
        <v>Pending</v>
      </c>
      <c r="AC803" s="3" t="str">
        <f aca="false">PROPER(TRIM(raw_data!U803))</f>
        <v>Cancelled</v>
      </c>
      <c r="AD803" s="7" t="n">
        <f aca="false">T803*U803*(1-W803)</f>
        <v>8093.304</v>
      </c>
      <c r="AE803" s="7" t="n">
        <f aca="false">AD803-Z803</f>
        <v>2040.874</v>
      </c>
      <c r="AF803" s="8" t="n">
        <f aca="false">IF(AD803=0,0,AE803/AD803)</f>
        <v>0.25216821214179</v>
      </c>
      <c r="AG803" s="3" t="str">
        <f aca="false">IF(ABS(Y803-AD803)&gt;1,"Mismatch","OK")</f>
        <v>OK</v>
      </c>
      <c r="AH803" s="3" t="str">
        <f aca="false">IF(ABS(AA803-AE803)&gt;1,"Mismatch","OK")</f>
        <v>OK</v>
      </c>
      <c r="AI803" s="6" t="n">
        <f aca="false">IF(B803="","",MONTH(B803))</f>
        <v>10</v>
      </c>
      <c r="AJ803" s="6" t="n">
        <f aca="false">IF(B803="","",YEAR(B803))</f>
        <v>2025</v>
      </c>
      <c r="AK803" s="3" t="str">
        <f aca="false">IF(COUNTIF(raw_data!$A$2:$A$913,A803)&gt;1,"Conflicting Duplicate - Flagged for Review","Unique")</f>
        <v>Unique</v>
      </c>
      <c r="AL803" s="3" t="str">
        <f aca="false">IF(AB803="Refunded","Yes","No")</f>
        <v>No</v>
      </c>
      <c r="AM803" s="3" t="str">
        <f aca="false">IF(OR(AC803&lt;&gt;"Completed",AB803="Failed"),"Excluded","Included")</f>
        <v>Excluded</v>
      </c>
      <c r="AN803" s="3" t="str">
        <f aca="false">IF(OR(D803="Invalid/Unrecognized",E803="Invalid/Unrecognized",G803="Invalid - Ship Before Order",X803="Negative - Invalid",X803="Above Allowed Range - Invalid",AG803="Mismatch",AH803="Mismatch",AK803="Conflicting Duplicate - Flagged for Review"),"Invalid",IF(OR(L803="Filled - Unknown",S803="Filled - Unknown",X803="Missing - Defaulted to 0",AL803="Yes",AC803="Cancelled",AC803="Returned"),"Warning","Clean"))</f>
        <v>Warning</v>
      </c>
    </row>
    <row r="804" customFormat="false" ht="15" hidden="false" customHeight="false" outlineLevel="0" collapsed="false">
      <c r="A804" s="3" t="str">
        <f aca="false">raw_data!A804</f>
        <v>ORD-2025-10803</v>
      </c>
      <c r="B804" s="4" t="n">
        <f aca="false">IFERROR(IF(MID(raw_data!B804,3,1)="/",DATE(VALUE(RIGHT(raw_data!B804,4)),VALUE(LEFT(raw_data!B804,2)),VALUE(MID(raw_data!B804,4,2))),IF(MID(raw_data!B804,3,1)="-",DATE(VALUE(RIGHT(raw_data!B804,4)),VALUE(MID(raw_data!B804,4,2)),VALUE(LEFT(raw_data!B804,2))),IF(MID(raw_data!B804,5,1)="-",DATE(VALUE(LEFT(raw_data!B804,4)),VALUE(MID(raw_data!B804,6,2)),VALUE(RIGHT(raw_data!B804,2))),DATE(VALUE(RIGHT(raw_data!B804,4)),MATCH(MID(raw_data!B804,4,3),{"Jan","Feb","Mar","Apr","May","Jun","Jul","Aug","Sep","Oct","Nov","Dec"},0),VALUE(LEFT(raw_data!B804,2)))))),"")</f>
        <v>45704</v>
      </c>
      <c r="C804" s="4" t="n">
        <f aca="false">IFERROR(IF(MID(raw_data!C804,3,1)="/",DATE(VALUE(RIGHT(raw_data!C804,4)),VALUE(LEFT(raw_data!C804,2)),VALUE(MID(raw_data!C804,4,2))),IF(MID(raw_data!C804,3,1)="-",DATE(VALUE(RIGHT(raw_data!C804,4)),VALUE(MID(raw_data!C804,4,2)),VALUE(LEFT(raw_data!C804,2))),IF(MID(raw_data!C804,5,1)="-",DATE(VALUE(LEFT(raw_data!C804,4)),VALUE(MID(raw_data!C804,6,2)),VALUE(RIGHT(raw_data!C804,2))),DATE(VALUE(RIGHT(raw_data!C804,4)),MATCH(MID(raw_data!C804,4,3),{"Jan","Feb","Mar","Apr","May","Jun","Jul","Aug","Sep","Oct","Nov","Dec"},0),VALUE(LEFT(raw_data!C804,2)))))),"")</f>
        <v>45704</v>
      </c>
      <c r="D804" s="3" t="str">
        <f aca="false">IF(TRIM(raw_data!B804)="","Missing",IF(B804="","Invalid/Unrecognized","Valid"))</f>
        <v>Valid</v>
      </c>
      <c r="E804" s="3" t="str">
        <f aca="false">IF(TRIM(raw_data!C804)="","Missing",IF(C804="","Invalid/Unrecognized","Valid"))</f>
        <v>Valid</v>
      </c>
      <c r="F804" s="5" t="n">
        <f aca="false">IF(OR(B804="",C804=""),"",C804-B804)</f>
        <v>0</v>
      </c>
      <c r="G804" s="3" t="str">
        <f aca="false">IF(F804="","N/A",IF(F804&lt;0,"Invalid - Ship Before Order","OK"))</f>
        <v>OK</v>
      </c>
      <c r="H804" s="3" t="str">
        <f aca="false">raw_data!D804</f>
        <v>CUST-5866</v>
      </c>
      <c r="I804" s="3" t="str">
        <f aca="false">PROPER(TRIM(raw_data!E804))</f>
        <v>Rohan Mehta</v>
      </c>
      <c r="J804" s="3" t="str">
        <f aca="false">PROPER(TRIM(raw_data!F804))</f>
        <v>Small Business</v>
      </c>
      <c r="K804" s="3" t="str">
        <f aca="false">IF(TRIM(raw_data!G804)="","Unknown",PROPER(TRIM(raw_data!G804)))</f>
        <v>East</v>
      </c>
      <c r="L804" s="3" t="str">
        <f aca="false">IF(TRIM(raw_data!G804)="","Filled - Unknown","OK")</f>
        <v>OK</v>
      </c>
      <c r="M804" s="3" t="str">
        <f aca="false">PROPER(TRIM(raw_data!H804))</f>
        <v>Assam</v>
      </c>
      <c r="N804" s="3" t="str">
        <f aca="false">PROPER(TRIM(raw_data!I804))</f>
        <v>Guwahati</v>
      </c>
      <c r="O804" s="3" t="str">
        <f aca="false">PROPER(TRIM(raw_data!J804))</f>
        <v>Furniture</v>
      </c>
      <c r="P804" s="3" t="str">
        <f aca="false">PROPER(TRIM(raw_data!K804))</f>
        <v>Furnishings</v>
      </c>
      <c r="Q804" s="3" t="str">
        <f aca="false">TRIM(raw_data!L804)</f>
        <v>Pro Furnishings 909</v>
      </c>
      <c r="R804" s="3" t="str">
        <f aca="false">IF(TRIM(raw_data!M804)="","Unknown",PROPER(TRIM(raw_data!M804)))</f>
        <v>Second Class</v>
      </c>
      <c r="S804" s="3" t="str">
        <f aca="false">IF(TRIM(raw_data!M804)="","Filled - Unknown","OK")</f>
        <v>OK</v>
      </c>
      <c r="T804" s="6" t="n">
        <f aca="false">raw_data!N804</f>
        <v>6</v>
      </c>
      <c r="U804" s="7" t="n">
        <f aca="false">raw_data!O804</f>
        <v>1441.91</v>
      </c>
      <c r="V804" s="8" t="n">
        <f aca="false">raw_data!P804</f>
        <v>0</v>
      </c>
      <c r="W804" s="8" t="n">
        <f aca="false">IF(raw_data!P804="",0,IF(ISTEXT(raw_data!P804),IF(RIGHT(raw_data!P804,1)="%",VALUE(LEFT(raw_data!P804,LEN(raw_data!P804)-1))/100,VALUE(raw_data!P804)),raw_data!P804))</f>
        <v>0</v>
      </c>
      <c r="X804" s="3" t="str">
        <f aca="false">IF(raw_data!P804="","Missing - Defaulted to 0",IF(W804&lt;0,"Negative - Invalid",IF(W804&gt;0.3,"Above Allowed Range - Invalid","Valid")))</f>
        <v>Valid</v>
      </c>
      <c r="Y804" s="7" t="n">
        <f aca="false">raw_data!Q804</f>
        <v>8651.46</v>
      </c>
      <c r="Z804" s="7" t="n">
        <f aca="false">raw_data!R804</f>
        <v>5254.62</v>
      </c>
      <c r="AA804" s="7" t="n">
        <f aca="false">raw_data!S804</f>
        <v>3396.84</v>
      </c>
      <c r="AB804" s="3" t="str">
        <f aca="false">PROPER(TRIM(raw_data!T804))</f>
        <v>Failed</v>
      </c>
      <c r="AC804" s="3" t="str">
        <f aca="false">PROPER(TRIM(raw_data!U804))</f>
        <v>Returned</v>
      </c>
      <c r="AD804" s="7" t="n">
        <f aca="false">T804*U804*(1-W804)</f>
        <v>8651.46</v>
      </c>
      <c r="AE804" s="7" t="n">
        <f aca="false">AD804-Z804</f>
        <v>3396.84</v>
      </c>
      <c r="AF804" s="8" t="n">
        <f aca="false">IF(AD804=0,0,AE804/AD804)</f>
        <v>0.392631995062105</v>
      </c>
      <c r="AG804" s="3" t="str">
        <f aca="false">IF(ABS(Y804-AD804)&gt;1,"Mismatch","OK")</f>
        <v>OK</v>
      </c>
      <c r="AH804" s="3" t="str">
        <f aca="false">IF(ABS(AA804-AE804)&gt;1,"Mismatch","OK")</f>
        <v>OK</v>
      </c>
      <c r="AI804" s="6" t="n">
        <f aca="false">IF(B804="","",MONTH(B804))</f>
        <v>2</v>
      </c>
      <c r="AJ804" s="6" t="n">
        <f aca="false">IF(B804="","",YEAR(B804))</f>
        <v>2025</v>
      </c>
      <c r="AK804" s="3" t="str">
        <f aca="false">IF(COUNTIF(raw_data!$A$2:$A$913,A804)&gt;1,"Conflicting Duplicate - Flagged for Review","Unique")</f>
        <v>Unique</v>
      </c>
      <c r="AL804" s="3" t="str">
        <f aca="false">IF(AB804="Refunded","Yes","No")</f>
        <v>No</v>
      </c>
      <c r="AM804" s="3" t="str">
        <f aca="false">IF(OR(AC804&lt;&gt;"Completed",AB804="Failed"),"Excluded","Included")</f>
        <v>Excluded</v>
      </c>
      <c r="AN804" s="3" t="str">
        <f aca="false">IF(OR(D804="Invalid/Unrecognized",E804="Invalid/Unrecognized",G804="Invalid - Ship Before Order",X804="Negative - Invalid",X804="Above Allowed Range - Invalid",AG804="Mismatch",AH804="Mismatch",AK804="Conflicting Duplicate - Flagged for Review"),"Invalid",IF(OR(L804="Filled - Unknown",S804="Filled - Unknown",X804="Missing - Defaulted to 0",AL804="Yes",AC804="Cancelled",AC804="Returned"),"Warning","Clean"))</f>
        <v>Warning</v>
      </c>
    </row>
    <row r="805" customFormat="false" ht="15" hidden="false" customHeight="false" outlineLevel="0" collapsed="false">
      <c r="A805" s="3" t="str">
        <f aca="false">raw_data!A805</f>
        <v>ORD-2024-10804</v>
      </c>
      <c r="B805" s="4" t="n">
        <f aca="false">IFERROR(IF(MID(raw_data!B805,3,1)="/",DATE(VALUE(RIGHT(raw_data!B805,4)),VALUE(LEFT(raw_data!B805,2)),VALUE(MID(raw_data!B805,4,2))),IF(MID(raw_data!B805,3,1)="-",DATE(VALUE(RIGHT(raw_data!B805,4)),VALUE(MID(raw_data!B805,4,2)),VALUE(LEFT(raw_data!B805,2))),IF(MID(raw_data!B805,5,1)="-",DATE(VALUE(LEFT(raw_data!B805,4)),VALUE(MID(raw_data!B805,6,2)),VALUE(RIGHT(raw_data!B805,2))),DATE(VALUE(RIGHT(raw_data!B805,4)),MATCH(MID(raw_data!B805,4,3),{"Jan","Feb","Mar","Apr","May","Jun","Jul","Aug","Sep","Oct","Nov","Dec"},0),VALUE(LEFT(raw_data!B805,2)))))),"")</f>
        <v>45635</v>
      </c>
      <c r="C805" s="4" t="n">
        <f aca="false">IFERROR(IF(MID(raw_data!C805,3,1)="/",DATE(VALUE(RIGHT(raw_data!C805,4)),VALUE(LEFT(raw_data!C805,2)),VALUE(MID(raw_data!C805,4,2))),IF(MID(raw_data!C805,3,1)="-",DATE(VALUE(RIGHT(raw_data!C805,4)),VALUE(MID(raw_data!C805,4,2)),VALUE(LEFT(raw_data!C805,2))),IF(MID(raw_data!C805,5,1)="-",DATE(VALUE(LEFT(raw_data!C805,4)),VALUE(MID(raw_data!C805,6,2)),VALUE(RIGHT(raw_data!C805,2))),DATE(VALUE(RIGHT(raw_data!C805,4)),MATCH(MID(raw_data!C805,4,3),{"Jan","Feb","Mar","Apr","May","Jun","Jul","Aug","Sep","Oct","Nov","Dec"},0),VALUE(LEFT(raw_data!C805,2)))))),"")</f>
        <v>45639</v>
      </c>
      <c r="D805" s="3" t="str">
        <f aca="false">IF(TRIM(raw_data!B805)="","Missing",IF(B805="","Invalid/Unrecognized","Valid"))</f>
        <v>Valid</v>
      </c>
      <c r="E805" s="3" t="str">
        <f aca="false">IF(TRIM(raw_data!C805)="","Missing",IF(C805="","Invalid/Unrecognized","Valid"))</f>
        <v>Valid</v>
      </c>
      <c r="F805" s="5" t="n">
        <f aca="false">IF(OR(B805="",C805=""),"",C805-B805)</f>
        <v>4</v>
      </c>
      <c r="G805" s="3" t="str">
        <f aca="false">IF(F805="","N/A",IF(F805&lt;0,"Invalid - Ship Before Order","OK"))</f>
        <v>OK</v>
      </c>
      <c r="H805" s="3" t="str">
        <f aca="false">raw_data!D805</f>
        <v>CUST-7180</v>
      </c>
      <c r="I805" s="3" t="str">
        <f aca="false">PROPER(TRIM(raw_data!E805))</f>
        <v>Rohan Mehta</v>
      </c>
      <c r="J805" s="3" t="str">
        <f aca="false">PROPER(TRIM(raw_data!F805))</f>
        <v>Consumer</v>
      </c>
      <c r="K805" s="3" t="str">
        <f aca="false">IF(TRIM(raw_data!G805)="","Unknown",PROPER(TRIM(raw_data!G805)))</f>
        <v>Unknown</v>
      </c>
      <c r="L805" s="3" t="str">
        <f aca="false">IF(TRIM(raw_data!G805)="","Filled - Unknown","OK")</f>
        <v>Filled - Unknown</v>
      </c>
      <c r="M805" s="3" t="str">
        <f aca="false">PROPER(TRIM(raw_data!H805))</f>
        <v>Jharkhand</v>
      </c>
      <c r="N805" s="3" t="str">
        <f aca="false">PROPER(TRIM(raw_data!I805))</f>
        <v>Ranchi</v>
      </c>
      <c r="O805" s="3" t="str">
        <f aca="false">PROPER(TRIM(raw_data!J805))</f>
        <v>Office Supplies</v>
      </c>
      <c r="P805" s="3" t="str">
        <f aca="false">PROPER(TRIM(raw_data!K805))</f>
        <v>Labels</v>
      </c>
      <c r="Q805" s="3" t="str">
        <f aca="false">TRIM(raw_data!L805)</f>
        <v>Basic Labels 359</v>
      </c>
      <c r="R805" s="3" t="str">
        <f aca="false">IF(TRIM(raw_data!M805)="","Unknown",PROPER(TRIM(raw_data!M805)))</f>
        <v>First Class</v>
      </c>
      <c r="S805" s="3" t="str">
        <f aca="false">IF(TRIM(raw_data!M805)="","Filled - Unknown","OK")</f>
        <v>OK</v>
      </c>
      <c r="T805" s="6" t="n">
        <f aca="false">raw_data!N805</f>
        <v>1</v>
      </c>
      <c r="U805" s="7" t="n">
        <f aca="false">raw_data!O805</f>
        <v>4306.65</v>
      </c>
      <c r="V805" s="8" t="n">
        <f aca="false">raw_data!P805</f>
        <v>0</v>
      </c>
      <c r="W805" s="8" t="n">
        <f aca="false">IF(raw_data!P805="",0,IF(ISTEXT(raw_data!P805),IF(RIGHT(raw_data!P805,1)="%",VALUE(LEFT(raw_data!P805,LEN(raw_data!P805)-1))/100,VALUE(raw_data!P805)),raw_data!P805))</f>
        <v>0</v>
      </c>
      <c r="X805" s="3" t="str">
        <f aca="false">IF(raw_data!P805="","Missing - Defaulted to 0",IF(W805&lt;0,"Negative - Invalid",IF(W805&gt;0.3,"Above Allowed Range - Invalid","Valid")))</f>
        <v>Valid</v>
      </c>
      <c r="Y805" s="7" t="n">
        <f aca="false">raw_data!Q805</f>
        <v>4306.65</v>
      </c>
      <c r="Z805" s="7" t="n">
        <f aca="false">raw_data!R805</f>
        <v>2568.82</v>
      </c>
      <c r="AA805" s="7" t="n">
        <f aca="false">raw_data!S805</f>
        <v>1737.83</v>
      </c>
      <c r="AB805" s="3" t="str">
        <f aca="false">PROPER(TRIM(raw_data!T805))</f>
        <v>Paid</v>
      </c>
      <c r="AC805" s="3" t="str">
        <f aca="false">PROPER(TRIM(raw_data!U805))</f>
        <v>Completed</v>
      </c>
      <c r="AD805" s="7" t="n">
        <f aca="false">T805*U805*(1-W805)</f>
        <v>4306.65</v>
      </c>
      <c r="AE805" s="7" t="n">
        <f aca="false">AD805-Z805</f>
        <v>1737.83</v>
      </c>
      <c r="AF805" s="8" t="n">
        <f aca="false">IF(AD805=0,0,AE805/AD805)</f>
        <v>0.403522459452242</v>
      </c>
      <c r="AG805" s="3" t="str">
        <f aca="false">IF(ABS(Y805-AD805)&gt;1,"Mismatch","OK")</f>
        <v>OK</v>
      </c>
      <c r="AH805" s="3" t="str">
        <f aca="false">IF(ABS(AA805-AE805)&gt;1,"Mismatch","OK")</f>
        <v>OK</v>
      </c>
      <c r="AI805" s="6" t="n">
        <f aca="false">IF(B805="","",MONTH(B805))</f>
        <v>12</v>
      </c>
      <c r="AJ805" s="6" t="n">
        <f aca="false">IF(B805="","",YEAR(B805))</f>
        <v>2024</v>
      </c>
      <c r="AK805" s="3" t="str">
        <f aca="false">IF(COUNTIF(raw_data!$A$2:$A$913,A805)&gt;1,"Conflicting Duplicate - Flagged for Review","Unique")</f>
        <v>Unique</v>
      </c>
      <c r="AL805" s="3" t="str">
        <f aca="false">IF(AB805="Refunded","Yes","No")</f>
        <v>No</v>
      </c>
      <c r="AM805" s="3" t="str">
        <f aca="false">IF(OR(AC805&lt;&gt;"Completed",AB805="Failed"),"Excluded","Included")</f>
        <v>Included</v>
      </c>
      <c r="AN805" s="3" t="str">
        <f aca="false">IF(OR(D805="Invalid/Unrecognized",E805="Invalid/Unrecognized",G805="Invalid - Ship Before Order",X805="Negative - Invalid",X805="Above Allowed Range - Invalid",AG805="Mismatch",AH805="Mismatch",AK805="Conflicting Duplicate - Flagged for Review"),"Invalid",IF(OR(L805="Filled - Unknown",S805="Filled - Unknown",X805="Missing - Defaulted to 0",AL805="Yes",AC805="Cancelled",AC805="Returned"),"Warning","Clean"))</f>
        <v>Warning</v>
      </c>
    </row>
    <row r="806" customFormat="false" ht="15" hidden="false" customHeight="false" outlineLevel="0" collapsed="false">
      <c r="A806" s="3" t="str">
        <f aca="false">raw_data!A806</f>
        <v>ORD-2025-10805</v>
      </c>
      <c r="B806" s="4" t="n">
        <f aca="false">IFERROR(IF(MID(raw_data!B806,3,1)="/",DATE(VALUE(RIGHT(raw_data!B806,4)),VALUE(LEFT(raw_data!B806,2)),VALUE(MID(raw_data!B806,4,2))),IF(MID(raw_data!B806,3,1)="-",DATE(VALUE(RIGHT(raw_data!B806,4)),VALUE(MID(raw_data!B806,4,2)),VALUE(LEFT(raw_data!B806,2))),IF(MID(raw_data!B806,5,1)="-",DATE(VALUE(LEFT(raw_data!B806,4)),VALUE(MID(raw_data!B806,6,2)),VALUE(RIGHT(raw_data!B806,2))),DATE(VALUE(RIGHT(raw_data!B806,4)),MATCH(MID(raw_data!B806,4,3),{"Jan","Feb","Mar","Apr","May","Jun","Jul","Aug","Sep","Oct","Nov","Dec"},0),VALUE(LEFT(raw_data!B806,2)))))),"")</f>
        <v>45910</v>
      </c>
      <c r="C806" s="4" t="n">
        <f aca="false">IFERROR(IF(MID(raw_data!C806,3,1)="/",DATE(VALUE(RIGHT(raw_data!C806,4)),VALUE(LEFT(raw_data!C806,2)),VALUE(MID(raw_data!C806,4,2))),IF(MID(raw_data!C806,3,1)="-",DATE(VALUE(RIGHT(raw_data!C806,4)),VALUE(MID(raw_data!C806,4,2)),VALUE(LEFT(raw_data!C806,2))),IF(MID(raw_data!C806,5,1)="-",DATE(VALUE(LEFT(raw_data!C806,4)),VALUE(MID(raw_data!C806,6,2)),VALUE(RIGHT(raw_data!C806,2))),DATE(VALUE(RIGHT(raw_data!C806,4)),MATCH(MID(raw_data!C806,4,3),{"Jan","Feb","Mar","Apr","May","Jun","Jul","Aug","Sep","Oct","Nov","Dec"},0),VALUE(LEFT(raw_data!C806,2)))))),"")</f>
        <v>45918</v>
      </c>
      <c r="D806" s="3" t="str">
        <f aca="false">IF(TRIM(raw_data!B806)="","Missing",IF(B806="","Invalid/Unrecognized","Valid"))</f>
        <v>Valid</v>
      </c>
      <c r="E806" s="3" t="str">
        <f aca="false">IF(TRIM(raw_data!C806)="","Missing",IF(C806="","Invalid/Unrecognized","Valid"))</f>
        <v>Valid</v>
      </c>
      <c r="F806" s="5" t="n">
        <f aca="false">IF(OR(B806="",C806=""),"",C806-B806)</f>
        <v>8</v>
      </c>
      <c r="G806" s="3" t="str">
        <f aca="false">IF(F806="","N/A",IF(F806&lt;0,"Invalid - Ship Before Order","OK"))</f>
        <v>OK</v>
      </c>
      <c r="H806" s="3" t="str">
        <f aca="false">raw_data!D806</f>
        <v>CUST-8745</v>
      </c>
      <c r="I806" s="3" t="str">
        <f aca="false">PROPER(TRIM(raw_data!E806))</f>
        <v>Rahul Verma</v>
      </c>
      <c r="J806" s="3" t="str">
        <f aca="false">PROPER(TRIM(raw_data!F806))</f>
        <v>Home Office</v>
      </c>
      <c r="K806" s="3" t="str">
        <f aca="false">IF(TRIM(raw_data!G806)="","Unknown",PROPER(TRIM(raw_data!G806)))</f>
        <v>South</v>
      </c>
      <c r="L806" s="3" t="str">
        <f aca="false">IF(TRIM(raw_data!G806)="","Filled - Unknown","OK")</f>
        <v>OK</v>
      </c>
      <c r="M806" s="3" t="str">
        <f aca="false">PROPER(TRIM(raw_data!H806))</f>
        <v>Telangana</v>
      </c>
      <c r="N806" s="3" t="str">
        <f aca="false">PROPER(TRIM(raw_data!I806))</f>
        <v>Hyderabad</v>
      </c>
      <c r="O806" s="3" t="str">
        <f aca="false">PROPER(TRIM(raw_data!J806))</f>
        <v>Furniture</v>
      </c>
      <c r="P806" s="3" t="str">
        <f aca="false">PROPER(TRIM(raw_data!K806))</f>
        <v>Furnishings</v>
      </c>
      <c r="Q806" s="3" t="str">
        <f aca="false">TRIM(raw_data!L806)</f>
        <v>Eco Furnishings 541</v>
      </c>
      <c r="R806" s="3" t="str">
        <f aca="false">IF(TRIM(raw_data!M806)="","Unknown",PROPER(TRIM(raw_data!M806)))</f>
        <v>Standard Class</v>
      </c>
      <c r="S806" s="3" t="str">
        <f aca="false">IF(TRIM(raw_data!M806)="","Filled - Unknown","OK")</f>
        <v>OK</v>
      </c>
      <c r="T806" s="6" t="n">
        <f aca="false">raw_data!N806</f>
        <v>1</v>
      </c>
      <c r="U806" s="7" t="n">
        <f aca="false">raw_data!O806</f>
        <v>2050.62</v>
      </c>
      <c r="V806" s="8" t="n">
        <f aca="false">raw_data!P806</f>
        <v>0.05</v>
      </c>
      <c r="W806" s="8" t="n">
        <f aca="false">IF(raw_data!P806="",0,IF(ISTEXT(raw_data!P806),IF(RIGHT(raw_data!P806,1)="%",VALUE(LEFT(raw_data!P806,LEN(raw_data!P806)-1))/100,VALUE(raw_data!P806)),raw_data!P806))</f>
        <v>0.05</v>
      </c>
      <c r="X806" s="3" t="str">
        <f aca="false">IF(raw_data!P806="","Missing - Defaulted to 0",IF(W806&lt;0,"Negative - Invalid",IF(W806&gt;0.3,"Above Allowed Range - Invalid","Valid")))</f>
        <v>Valid</v>
      </c>
      <c r="Y806" s="7" t="n">
        <f aca="false">raw_data!Q806</f>
        <v>1948.09</v>
      </c>
      <c r="Z806" s="7" t="n">
        <f aca="false">raw_data!R806</f>
        <v>1507.08</v>
      </c>
      <c r="AA806" s="7" t="n">
        <f aca="false">raw_data!S806</f>
        <v>441.01</v>
      </c>
      <c r="AB806" s="3" t="str">
        <f aca="false">PROPER(TRIM(raw_data!T806))</f>
        <v>Paid</v>
      </c>
      <c r="AC806" s="3" t="str">
        <f aca="false">PROPER(TRIM(raw_data!U806))</f>
        <v>Completed</v>
      </c>
      <c r="AD806" s="7" t="n">
        <f aca="false">T806*U806*(1-W806)</f>
        <v>1948.089</v>
      </c>
      <c r="AE806" s="7" t="n">
        <f aca="false">AD806-Z806</f>
        <v>441.009</v>
      </c>
      <c r="AF806" s="8" t="n">
        <f aca="false">IF(AD806=0,0,AE806/AD806)</f>
        <v>0.226380314246423</v>
      </c>
      <c r="AG806" s="3" t="str">
        <f aca="false">IF(ABS(Y806-AD806)&gt;1,"Mismatch","OK")</f>
        <v>OK</v>
      </c>
      <c r="AH806" s="3" t="str">
        <f aca="false">IF(ABS(AA806-AE806)&gt;1,"Mismatch","OK")</f>
        <v>OK</v>
      </c>
      <c r="AI806" s="6" t="n">
        <f aca="false">IF(B806="","",MONTH(B806))</f>
        <v>9</v>
      </c>
      <c r="AJ806" s="6" t="n">
        <f aca="false">IF(B806="","",YEAR(B806))</f>
        <v>2025</v>
      </c>
      <c r="AK806" s="3" t="str">
        <f aca="false">IF(COUNTIF(raw_data!$A$2:$A$913,A806)&gt;1,"Conflicting Duplicate - Flagged for Review","Unique")</f>
        <v>Unique</v>
      </c>
      <c r="AL806" s="3" t="str">
        <f aca="false">IF(AB806="Refunded","Yes","No")</f>
        <v>No</v>
      </c>
      <c r="AM806" s="3" t="str">
        <f aca="false">IF(OR(AC806&lt;&gt;"Completed",AB806="Failed"),"Excluded","Included")</f>
        <v>Included</v>
      </c>
      <c r="AN806" s="3" t="str">
        <f aca="false">IF(OR(D806="Invalid/Unrecognized",E806="Invalid/Unrecognized",G806="Invalid - Ship Before Order",X806="Negative - Invalid",X806="Above Allowed Range - Invalid",AG806="Mismatch",AH806="Mismatch",AK806="Conflicting Duplicate - Flagged for Review"),"Invalid",IF(OR(L806="Filled - Unknown",S806="Filled - Unknown",X806="Missing - Defaulted to 0",AL806="Yes",AC806="Cancelled",AC806="Returned"),"Warning","Clean"))</f>
        <v>Clean</v>
      </c>
    </row>
    <row r="807" customFormat="false" ht="15" hidden="false" customHeight="false" outlineLevel="0" collapsed="false">
      <c r="A807" s="3" t="str">
        <f aca="false">raw_data!A807</f>
        <v>ORD-2025-10806</v>
      </c>
      <c r="B807" s="4" t="n">
        <f aca="false">IFERROR(IF(MID(raw_data!B807,3,1)="/",DATE(VALUE(RIGHT(raw_data!B807,4)),VALUE(LEFT(raw_data!B807,2)),VALUE(MID(raw_data!B807,4,2))),IF(MID(raw_data!B807,3,1)="-",DATE(VALUE(RIGHT(raw_data!B807,4)),VALUE(MID(raw_data!B807,4,2)),VALUE(LEFT(raw_data!B807,2))),IF(MID(raw_data!B807,5,1)="-",DATE(VALUE(LEFT(raw_data!B807,4)),VALUE(MID(raw_data!B807,6,2)),VALUE(RIGHT(raw_data!B807,2))),DATE(VALUE(RIGHT(raw_data!B807,4)),MATCH(MID(raw_data!B807,4,3),{"Jan","Feb","Mar","Apr","May","Jun","Jul","Aug","Sep","Oct","Nov","Dec"},0),VALUE(LEFT(raw_data!B807,2)))))),"")</f>
        <v>45753</v>
      </c>
      <c r="C807" s="4" t="n">
        <f aca="false">IFERROR(IF(MID(raw_data!C807,3,1)="/",DATE(VALUE(RIGHT(raw_data!C807,4)),VALUE(LEFT(raw_data!C807,2)),VALUE(MID(raw_data!C807,4,2))),IF(MID(raw_data!C807,3,1)="-",DATE(VALUE(RIGHT(raw_data!C807,4)),VALUE(MID(raw_data!C807,4,2)),VALUE(LEFT(raw_data!C807,2))),IF(MID(raw_data!C807,5,1)="-",DATE(VALUE(LEFT(raw_data!C807,4)),VALUE(MID(raw_data!C807,6,2)),VALUE(RIGHT(raw_data!C807,2))),DATE(VALUE(RIGHT(raw_data!C807,4)),MATCH(MID(raw_data!C807,4,3),{"Jan","Feb","Mar","Apr","May","Jun","Jul","Aug","Sep","Oct","Nov","Dec"},0),VALUE(LEFT(raw_data!C807,2)))))),"")</f>
        <v>45754</v>
      </c>
      <c r="D807" s="3" t="str">
        <f aca="false">IF(TRIM(raw_data!B807)="","Missing",IF(B807="","Invalid/Unrecognized","Valid"))</f>
        <v>Valid</v>
      </c>
      <c r="E807" s="3" t="str">
        <f aca="false">IF(TRIM(raw_data!C807)="","Missing",IF(C807="","Invalid/Unrecognized","Valid"))</f>
        <v>Valid</v>
      </c>
      <c r="F807" s="5" t="n">
        <f aca="false">IF(OR(B807="",C807=""),"",C807-B807)</f>
        <v>1</v>
      </c>
      <c r="G807" s="3" t="str">
        <f aca="false">IF(F807="","N/A",IF(F807&lt;0,"Invalid - Ship Before Order","OK"))</f>
        <v>OK</v>
      </c>
      <c r="H807" s="3" t="str">
        <f aca="false">raw_data!D807</f>
        <v>CUST-2098</v>
      </c>
      <c r="I807" s="3" t="str">
        <f aca="false">PROPER(TRIM(raw_data!E807))</f>
        <v>Priya Menon</v>
      </c>
      <c r="J807" s="3" t="str">
        <f aca="false">PROPER(TRIM(raw_data!F807))</f>
        <v>Home Office</v>
      </c>
      <c r="K807" s="3" t="str">
        <f aca="false">IF(TRIM(raw_data!G807)="","Unknown",PROPER(TRIM(raw_data!G807)))</f>
        <v>East</v>
      </c>
      <c r="L807" s="3" t="str">
        <f aca="false">IF(TRIM(raw_data!G807)="","Filled - Unknown","OK")</f>
        <v>OK</v>
      </c>
      <c r="M807" s="3" t="str">
        <f aca="false">PROPER(TRIM(raw_data!H807))</f>
        <v>Assam</v>
      </c>
      <c r="N807" s="3" t="str">
        <f aca="false">PROPER(TRIM(raw_data!I807))</f>
        <v>Guwahati</v>
      </c>
      <c r="O807" s="3" t="str">
        <f aca="false">PROPER(TRIM(raw_data!J807))</f>
        <v>Office Supplies</v>
      </c>
      <c r="P807" s="3" t="str">
        <f aca="false">PROPER(TRIM(raw_data!K807))</f>
        <v>Binders</v>
      </c>
      <c r="Q807" s="3" t="str">
        <f aca="false">TRIM(raw_data!L807)</f>
        <v>Classic Binders 103</v>
      </c>
      <c r="R807" s="3" t="str">
        <f aca="false">IF(TRIM(raw_data!M807)="","Unknown",PROPER(TRIM(raw_data!M807)))</f>
        <v>Second Class</v>
      </c>
      <c r="S807" s="3" t="str">
        <f aca="false">IF(TRIM(raw_data!M807)="","Filled - Unknown","OK")</f>
        <v>OK</v>
      </c>
      <c r="T807" s="6" t="n">
        <f aca="false">raw_data!N807</f>
        <v>2</v>
      </c>
      <c r="U807" s="7" t="n">
        <f aca="false">raw_data!O807</f>
        <v>2030.06</v>
      </c>
      <c r="V807" s="8" t="n">
        <f aca="false">raw_data!P807</f>
        <v>0.25</v>
      </c>
      <c r="W807" s="8" t="n">
        <f aca="false">IF(raw_data!P807="",0,IF(ISTEXT(raw_data!P807),IF(RIGHT(raw_data!P807,1)="%",VALUE(LEFT(raw_data!P807,LEN(raw_data!P807)-1))/100,VALUE(raw_data!P807)),raw_data!P807))</f>
        <v>0.25</v>
      </c>
      <c r="X807" s="3" t="str">
        <f aca="false">IF(raw_data!P807="","Missing - Defaulted to 0",IF(W807&lt;0,"Negative - Invalid",IF(W807&gt;0.3,"Above Allowed Range - Invalid","Valid")))</f>
        <v>Valid</v>
      </c>
      <c r="Y807" s="7" t="n">
        <f aca="false">raw_data!Q807</f>
        <v>3045.09</v>
      </c>
      <c r="Z807" s="7" t="n">
        <f aca="false">raw_data!R807</f>
        <v>2601.09</v>
      </c>
      <c r="AA807" s="7" t="n">
        <f aca="false">raw_data!S807</f>
        <v>444</v>
      </c>
      <c r="AB807" s="3" t="str">
        <f aca="false">PROPER(TRIM(raw_data!T807))</f>
        <v>Paid</v>
      </c>
      <c r="AC807" s="3" t="str">
        <f aca="false">PROPER(TRIM(raw_data!U807))</f>
        <v>Completed</v>
      </c>
      <c r="AD807" s="7" t="n">
        <f aca="false">T807*U807*(1-W807)</f>
        <v>3045.09</v>
      </c>
      <c r="AE807" s="7" t="n">
        <f aca="false">AD807-Z807</f>
        <v>444</v>
      </c>
      <c r="AF807" s="8" t="n">
        <f aca="false">IF(AD807=0,0,AE807/AD807)</f>
        <v>0.145808498270987</v>
      </c>
      <c r="AG807" s="3" t="str">
        <f aca="false">IF(ABS(Y807-AD807)&gt;1,"Mismatch","OK")</f>
        <v>OK</v>
      </c>
      <c r="AH807" s="3" t="str">
        <f aca="false">IF(ABS(AA807-AE807)&gt;1,"Mismatch","OK")</f>
        <v>OK</v>
      </c>
      <c r="AI807" s="6" t="n">
        <f aca="false">IF(B807="","",MONTH(B807))</f>
        <v>4</v>
      </c>
      <c r="AJ807" s="6" t="n">
        <f aca="false">IF(B807="","",YEAR(B807))</f>
        <v>2025</v>
      </c>
      <c r="AK807" s="3" t="str">
        <f aca="false">IF(COUNTIF(raw_data!$A$2:$A$913,A807)&gt;1,"Conflicting Duplicate - Flagged for Review","Unique")</f>
        <v>Unique</v>
      </c>
      <c r="AL807" s="3" t="str">
        <f aca="false">IF(AB807="Refunded","Yes","No")</f>
        <v>No</v>
      </c>
      <c r="AM807" s="3" t="str">
        <f aca="false">IF(OR(AC807&lt;&gt;"Completed",AB807="Failed"),"Excluded","Included")</f>
        <v>Included</v>
      </c>
      <c r="AN807" s="3" t="str">
        <f aca="false">IF(OR(D807="Invalid/Unrecognized",E807="Invalid/Unrecognized",G807="Invalid - Ship Before Order",X807="Negative - Invalid",X807="Above Allowed Range - Invalid",AG807="Mismatch",AH807="Mismatch",AK807="Conflicting Duplicate - Flagged for Review"),"Invalid",IF(OR(L807="Filled - Unknown",S807="Filled - Unknown",X807="Missing - Defaulted to 0",AL807="Yes",AC807="Cancelled",AC807="Returned"),"Warning","Clean"))</f>
        <v>Clean</v>
      </c>
    </row>
    <row r="808" customFormat="false" ht="15" hidden="false" customHeight="false" outlineLevel="0" collapsed="false">
      <c r="A808" s="3" t="str">
        <f aca="false">raw_data!A808</f>
        <v>ORD-2024-10807</v>
      </c>
      <c r="B808" s="4" t="n">
        <f aca="false">IFERROR(IF(MID(raw_data!B808,3,1)="/",DATE(VALUE(RIGHT(raw_data!B808,4)),VALUE(LEFT(raw_data!B808,2)),VALUE(MID(raw_data!B808,4,2))),IF(MID(raw_data!B808,3,1)="-",DATE(VALUE(RIGHT(raw_data!B808,4)),VALUE(MID(raw_data!B808,4,2)),VALUE(LEFT(raw_data!B808,2))),IF(MID(raw_data!B808,5,1)="-",DATE(VALUE(LEFT(raw_data!B808,4)),VALUE(MID(raw_data!B808,6,2)),VALUE(RIGHT(raw_data!B808,2))),DATE(VALUE(RIGHT(raw_data!B808,4)),MATCH(MID(raw_data!B808,4,3),{"Jan","Feb","Mar","Apr","May","Jun","Jul","Aug","Sep","Oct","Nov","Dec"},0),VALUE(LEFT(raw_data!B808,2)))))),"")</f>
        <v>45605</v>
      </c>
      <c r="C808" s="4" t="n">
        <f aca="false">IFERROR(IF(MID(raw_data!C808,3,1)="/",DATE(VALUE(RIGHT(raw_data!C808,4)),VALUE(LEFT(raw_data!C808,2)),VALUE(MID(raw_data!C808,4,2))),IF(MID(raw_data!C808,3,1)="-",DATE(VALUE(RIGHT(raw_data!C808,4)),VALUE(MID(raw_data!C808,4,2)),VALUE(LEFT(raw_data!C808,2))),IF(MID(raw_data!C808,5,1)="-",DATE(VALUE(LEFT(raw_data!C808,4)),VALUE(MID(raw_data!C808,6,2)),VALUE(RIGHT(raw_data!C808,2))),DATE(VALUE(RIGHT(raw_data!C808,4)),MATCH(MID(raw_data!C808,4,3),{"Jan","Feb","Mar","Apr","May","Jun","Jul","Aug","Sep","Oct","Nov","Dec"},0),VALUE(LEFT(raw_data!C808,2)))))),"")</f>
        <v>45611</v>
      </c>
      <c r="D808" s="3" t="str">
        <f aca="false">IF(TRIM(raw_data!B808)="","Missing",IF(B808="","Invalid/Unrecognized","Valid"))</f>
        <v>Valid</v>
      </c>
      <c r="E808" s="3" t="str">
        <f aca="false">IF(TRIM(raw_data!C808)="","Missing",IF(C808="","Invalid/Unrecognized","Valid"))</f>
        <v>Valid</v>
      </c>
      <c r="F808" s="5" t="n">
        <f aca="false">IF(OR(B808="",C808=""),"",C808-B808)</f>
        <v>6</v>
      </c>
      <c r="G808" s="3" t="str">
        <f aca="false">IF(F808="","N/A",IF(F808&lt;0,"Invalid - Ship Before Order","OK"))</f>
        <v>OK</v>
      </c>
      <c r="H808" s="3" t="str">
        <f aca="false">raw_data!D808</f>
        <v>CUST-3704</v>
      </c>
      <c r="I808" s="3" t="str">
        <f aca="false">PROPER(TRIM(raw_data!E808))</f>
        <v>Isha Nair</v>
      </c>
      <c r="J808" s="3" t="str">
        <f aca="false">PROPER(TRIM(raw_data!F808))</f>
        <v>Home Office</v>
      </c>
      <c r="K808" s="3" t="str">
        <f aca="false">IF(TRIM(raw_data!G808)="","Unknown",PROPER(TRIM(raw_data!G808)))</f>
        <v>North</v>
      </c>
      <c r="L808" s="3" t="str">
        <f aca="false">IF(TRIM(raw_data!G808)="","Filled - Unknown","OK")</f>
        <v>OK</v>
      </c>
      <c r="M808" s="3" t="str">
        <f aca="false">PROPER(TRIM(raw_data!H808))</f>
        <v>Rajasthan</v>
      </c>
      <c r="N808" s="3" t="str">
        <f aca="false">PROPER(TRIM(raw_data!I808))</f>
        <v>Jaipur</v>
      </c>
      <c r="O808" s="3" t="str">
        <f aca="false">PROPER(TRIM(raw_data!J808))</f>
        <v>Technology</v>
      </c>
      <c r="P808" s="3" t="str">
        <f aca="false">PROPER(TRIM(raw_data!K808))</f>
        <v>Copiers</v>
      </c>
      <c r="Q808" s="3" t="str">
        <f aca="false">TRIM(raw_data!L808)</f>
        <v>Max Copiers 560</v>
      </c>
      <c r="R808" s="3" t="str">
        <f aca="false">IF(TRIM(raw_data!M808)="","Unknown",PROPER(TRIM(raw_data!M808)))</f>
        <v>Standard Class</v>
      </c>
      <c r="S808" s="3" t="str">
        <f aca="false">IF(TRIM(raw_data!M808)="","Filled - Unknown","OK")</f>
        <v>OK</v>
      </c>
      <c r="T808" s="6" t="n">
        <f aca="false">raw_data!N808</f>
        <v>1</v>
      </c>
      <c r="U808" s="7" t="n">
        <f aca="false">raw_data!O808</f>
        <v>3665.97</v>
      </c>
      <c r="V808" s="8" t="n">
        <f aca="false">raw_data!P808</f>
        <v>0.2</v>
      </c>
      <c r="W808" s="8" t="n">
        <f aca="false">IF(raw_data!P808="",0,IF(ISTEXT(raw_data!P808),IF(RIGHT(raw_data!P808,1)="%",VALUE(LEFT(raw_data!P808,LEN(raw_data!P808)-1))/100,VALUE(raw_data!P808)),raw_data!P808))</f>
        <v>0.2</v>
      </c>
      <c r="X808" s="3" t="str">
        <f aca="false">IF(raw_data!P808="","Missing - Defaulted to 0",IF(W808&lt;0,"Negative - Invalid",IF(W808&gt;0.3,"Above Allowed Range - Invalid","Valid")))</f>
        <v>Valid</v>
      </c>
      <c r="Y808" s="7" t="n">
        <f aca="false">raw_data!Q808</f>
        <v>2932.78</v>
      </c>
      <c r="Z808" s="7" t="n">
        <f aca="false">raw_data!R808</f>
        <v>1900.35</v>
      </c>
      <c r="AA808" s="7" t="n">
        <f aca="false">raw_data!S808</f>
        <v>1032.43</v>
      </c>
      <c r="AB808" s="3" t="str">
        <f aca="false">PROPER(TRIM(raw_data!T808))</f>
        <v>Failed</v>
      </c>
      <c r="AC808" s="3" t="str">
        <f aca="false">PROPER(TRIM(raw_data!U808))</f>
        <v>Cancelled</v>
      </c>
      <c r="AD808" s="7" t="n">
        <f aca="false">T808*U808*(1-W808)</f>
        <v>2932.776</v>
      </c>
      <c r="AE808" s="7" t="n">
        <f aca="false">AD808-Z808</f>
        <v>1032.426</v>
      </c>
      <c r="AF808" s="8" t="n">
        <f aca="false">IF(AD808=0,0,AE808/AD808)</f>
        <v>0.35203029484693</v>
      </c>
      <c r="AG808" s="3" t="str">
        <f aca="false">IF(ABS(Y808-AD808)&gt;1,"Mismatch","OK")</f>
        <v>OK</v>
      </c>
      <c r="AH808" s="3" t="str">
        <f aca="false">IF(ABS(AA808-AE808)&gt;1,"Mismatch","OK")</f>
        <v>OK</v>
      </c>
      <c r="AI808" s="6" t="n">
        <f aca="false">IF(B808="","",MONTH(B808))</f>
        <v>11</v>
      </c>
      <c r="AJ808" s="6" t="n">
        <f aca="false">IF(B808="","",YEAR(B808))</f>
        <v>2024</v>
      </c>
      <c r="AK808" s="3" t="str">
        <f aca="false">IF(COUNTIF(raw_data!$A$2:$A$913,A808)&gt;1,"Conflicting Duplicate - Flagged for Review","Unique")</f>
        <v>Unique</v>
      </c>
      <c r="AL808" s="3" t="str">
        <f aca="false">IF(AB808="Refunded","Yes","No")</f>
        <v>No</v>
      </c>
      <c r="AM808" s="3" t="str">
        <f aca="false">IF(OR(AC808&lt;&gt;"Completed",AB808="Failed"),"Excluded","Included")</f>
        <v>Excluded</v>
      </c>
      <c r="AN808" s="3" t="str">
        <f aca="false">IF(OR(D808="Invalid/Unrecognized",E808="Invalid/Unrecognized",G808="Invalid - Ship Before Order",X808="Negative - Invalid",X808="Above Allowed Range - Invalid",AG808="Mismatch",AH808="Mismatch",AK808="Conflicting Duplicate - Flagged for Review"),"Invalid",IF(OR(L808="Filled - Unknown",S808="Filled - Unknown",X808="Missing - Defaulted to 0",AL808="Yes",AC808="Cancelled",AC808="Returned"),"Warning","Clean"))</f>
        <v>Warning</v>
      </c>
    </row>
    <row r="809" customFormat="false" ht="15" hidden="false" customHeight="false" outlineLevel="0" collapsed="false">
      <c r="A809" s="3" t="str">
        <f aca="false">raw_data!A809</f>
        <v>ORD-2025-10808</v>
      </c>
      <c r="B809" s="4" t="n">
        <f aca="false">IFERROR(IF(MID(raw_data!B809,3,1)="/",DATE(VALUE(RIGHT(raw_data!B809,4)),VALUE(LEFT(raw_data!B809,2)),VALUE(MID(raw_data!B809,4,2))),IF(MID(raw_data!B809,3,1)="-",DATE(VALUE(RIGHT(raw_data!B809,4)),VALUE(MID(raw_data!B809,4,2)),VALUE(LEFT(raw_data!B809,2))),IF(MID(raw_data!B809,5,1)="-",DATE(VALUE(LEFT(raw_data!B809,4)),VALUE(MID(raw_data!B809,6,2)),VALUE(RIGHT(raw_data!B809,2))),DATE(VALUE(RIGHT(raw_data!B809,4)),MATCH(MID(raw_data!B809,4,3),{"Jan","Feb","Mar","Apr","May","Jun","Jul","Aug","Sep","Oct","Nov","Dec"},0),VALUE(LEFT(raw_data!B809,2)))))),"")</f>
        <v>45695</v>
      </c>
      <c r="C809" s="4" t="n">
        <f aca="false">IFERROR(IF(MID(raw_data!C809,3,1)="/",DATE(VALUE(RIGHT(raw_data!C809,4)),VALUE(LEFT(raw_data!C809,2)),VALUE(MID(raw_data!C809,4,2))),IF(MID(raw_data!C809,3,1)="-",DATE(VALUE(RIGHT(raw_data!C809,4)),VALUE(MID(raw_data!C809,4,2)),VALUE(LEFT(raw_data!C809,2))),IF(MID(raw_data!C809,5,1)="-",DATE(VALUE(LEFT(raw_data!C809,4)),VALUE(MID(raw_data!C809,6,2)),VALUE(RIGHT(raw_data!C809,2))),DATE(VALUE(RIGHT(raw_data!C809,4)),MATCH(MID(raw_data!C809,4,3),{"Jan","Feb","Mar","Apr","May","Jun","Jul","Aug","Sep","Oct","Nov","Dec"},0),VALUE(LEFT(raw_data!C809,2)))))),"")</f>
        <v>45696</v>
      </c>
      <c r="D809" s="3" t="str">
        <f aca="false">IF(TRIM(raw_data!B809)="","Missing",IF(B809="","Invalid/Unrecognized","Valid"))</f>
        <v>Valid</v>
      </c>
      <c r="E809" s="3" t="str">
        <f aca="false">IF(TRIM(raw_data!C809)="","Missing",IF(C809="","Invalid/Unrecognized","Valid"))</f>
        <v>Valid</v>
      </c>
      <c r="F809" s="5" t="n">
        <f aca="false">IF(OR(B809="",C809=""),"",C809-B809)</f>
        <v>1</v>
      </c>
      <c r="G809" s="3" t="str">
        <f aca="false">IF(F809="","N/A",IF(F809&lt;0,"Invalid - Ship Before Order","OK"))</f>
        <v>OK</v>
      </c>
      <c r="H809" s="3" t="str">
        <f aca="false">raw_data!D809</f>
        <v>CUST-5884</v>
      </c>
      <c r="I809" s="3" t="str">
        <f aca="false">PROPER(TRIM(raw_data!E809))</f>
        <v>Karan Malhotra</v>
      </c>
      <c r="J809" s="3" t="str">
        <f aca="false">PROPER(TRIM(raw_data!F809))</f>
        <v>Small Business</v>
      </c>
      <c r="K809" s="3" t="str">
        <f aca="false">IF(TRIM(raw_data!G809)="","Unknown",PROPER(TRIM(raw_data!G809)))</f>
        <v>South</v>
      </c>
      <c r="L809" s="3" t="str">
        <f aca="false">IF(TRIM(raw_data!G809)="","Filled - Unknown","OK")</f>
        <v>OK</v>
      </c>
      <c r="M809" s="3" t="str">
        <f aca="false">PROPER(TRIM(raw_data!H809))</f>
        <v>Telangana</v>
      </c>
      <c r="N809" s="3" t="str">
        <f aca="false">PROPER(TRIM(raw_data!I809))</f>
        <v>Hyderabad</v>
      </c>
      <c r="O809" s="3" t="str">
        <f aca="false">PROPER(TRIM(raw_data!J809))</f>
        <v>Office Supplies</v>
      </c>
      <c r="P809" s="3" t="str">
        <f aca="false">PROPER(TRIM(raw_data!K809))</f>
        <v>Labels</v>
      </c>
      <c r="Q809" s="3" t="str">
        <f aca="false">TRIM(raw_data!L809)</f>
        <v>Smart Labels 436</v>
      </c>
      <c r="R809" s="3" t="str">
        <f aca="false">IF(TRIM(raw_data!M809)="","Unknown",PROPER(TRIM(raw_data!M809)))</f>
        <v>Standard Class</v>
      </c>
      <c r="S809" s="3" t="str">
        <f aca="false">IF(TRIM(raw_data!M809)="","Filled - Unknown","OK")</f>
        <v>OK</v>
      </c>
      <c r="T809" s="6" t="n">
        <f aca="false">raw_data!N809</f>
        <v>2</v>
      </c>
      <c r="U809" s="7" t="n">
        <f aca="false">raw_data!O809</f>
        <v>2432.98</v>
      </c>
      <c r="V809" s="8" t="n">
        <f aca="false">raw_data!P809</f>
        <v>0.1</v>
      </c>
      <c r="W809" s="8" t="n">
        <f aca="false">IF(raw_data!P809="",0,IF(ISTEXT(raw_data!P809),IF(RIGHT(raw_data!P809,1)="%",VALUE(LEFT(raw_data!P809,LEN(raw_data!P809)-1))/100,VALUE(raw_data!P809)),raw_data!P809))</f>
        <v>0.1</v>
      </c>
      <c r="X809" s="3" t="str">
        <f aca="false">IF(raw_data!P809="","Missing - Defaulted to 0",IF(W809&lt;0,"Negative - Invalid",IF(W809&gt;0.3,"Above Allowed Range - Invalid","Valid")))</f>
        <v>Valid</v>
      </c>
      <c r="Y809" s="7" t="n">
        <f aca="false">raw_data!Q809</f>
        <v>4379.36</v>
      </c>
      <c r="Z809" s="7" t="n">
        <f aca="false">raw_data!R809</f>
        <v>3723.93</v>
      </c>
      <c r="AA809" s="7" t="n">
        <f aca="false">raw_data!S809</f>
        <v>655.43</v>
      </c>
      <c r="AB809" s="3" t="str">
        <f aca="false">PROPER(TRIM(raw_data!T809))</f>
        <v>Paid</v>
      </c>
      <c r="AC809" s="3" t="str">
        <f aca="false">PROPER(TRIM(raw_data!U809))</f>
        <v>Completed</v>
      </c>
      <c r="AD809" s="7" t="n">
        <f aca="false">T809*U809*(1-W809)</f>
        <v>4379.364</v>
      </c>
      <c r="AE809" s="7" t="n">
        <f aca="false">AD809-Z809</f>
        <v>655.434000000001</v>
      </c>
      <c r="AF809" s="8" t="n">
        <f aca="false">IF(AD809=0,0,AE809/AD809)</f>
        <v>0.149664197815025</v>
      </c>
      <c r="AG809" s="3" t="str">
        <f aca="false">IF(ABS(Y809-AD809)&gt;1,"Mismatch","OK")</f>
        <v>OK</v>
      </c>
      <c r="AH809" s="3" t="str">
        <f aca="false">IF(ABS(AA809-AE809)&gt;1,"Mismatch","OK")</f>
        <v>OK</v>
      </c>
      <c r="AI809" s="6" t="n">
        <f aca="false">IF(B809="","",MONTH(B809))</f>
        <v>2</v>
      </c>
      <c r="AJ809" s="6" t="n">
        <f aca="false">IF(B809="","",YEAR(B809))</f>
        <v>2025</v>
      </c>
      <c r="AK809" s="3" t="str">
        <f aca="false">IF(COUNTIF(raw_data!$A$2:$A$913,A809)&gt;1,"Conflicting Duplicate - Flagged for Review","Unique")</f>
        <v>Unique</v>
      </c>
      <c r="AL809" s="3" t="str">
        <f aca="false">IF(AB809="Refunded","Yes","No")</f>
        <v>No</v>
      </c>
      <c r="AM809" s="3" t="str">
        <f aca="false">IF(OR(AC809&lt;&gt;"Completed",AB809="Failed"),"Excluded","Included")</f>
        <v>Included</v>
      </c>
      <c r="AN809" s="3" t="str">
        <f aca="false">IF(OR(D809="Invalid/Unrecognized",E809="Invalid/Unrecognized",G809="Invalid - Ship Before Order",X809="Negative - Invalid",X809="Above Allowed Range - Invalid",AG809="Mismatch",AH809="Mismatch",AK809="Conflicting Duplicate - Flagged for Review"),"Invalid",IF(OR(L809="Filled - Unknown",S809="Filled - Unknown",X809="Missing - Defaulted to 0",AL809="Yes",AC809="Cancelled",AC809="Returned"),"Warning","Clean"))</f>
        <v>Clean</v>
      </c>
    </row>
    <row r="810" customFormat="false" ht="15" hidden="false" customHeight="false" outlineLevel="0" collapsed="false">
      <c r="A810" s="3" t="str">
        <f aca="false">raw_data!A810</f>
        <v>ORD-2025-10809</v>
      </c>
      <c r="B810" s="4" t="n">
        <f aca="false">IFERROR(IF(MID(raw_data!B810,3,1)="/",DATE(VALUE(RIGHT(raw_data!B810,4)),VALUE(LEFT(raw_data!B810,2)),VALUE(MID(raw_data!B810,4,2))),IF(MID(raw_data!B810,3,1)="-",DATE(VALUE(RIGHT(raw_data!B810,4)),VALUE(MID(raw_data!B810,4,2)),VALUE(LEFT(raw_data!B810,2))),IF(MID(raw_data!B810,5,1)="-",DATE(VALUE(LEFT(raw_data!B810,4)),VALUE(MID(raw_data!B810,6,2)),VALUE(RIGHT(raw_data!B810,2))),DATE(VALUE(RIGHT(raw_data!B810,4)),MATCH(MID(raw_data!B810,4,3),{"Jan","Feb","Mar","Apr","May","Jun","Jul","Aug","Sep","Oct","Nov","Dec"},0),VALUE(LEFT(raw_data!B810,2)))))),"")</f>
        <v>45900</v>
      </c>
      <c r="C810" s="4" t="n">
        <f aca="false">IFERROR(IF(MID(raw_data!C810,3,1)="/",DATE(VALUE(RIGHT(raw_data!C810,4)),VALUE(LEFT(raw_data!C810,2)),VALUE(MID(raw_data!C810,4,2))),IF(MID(raw_data!C810,3,1)="-",DATE(VALUE(RIGHT(raw_data!C810,4)),VALUE(MID(raw_data!C810,4,2)),VALUE(LEFT(raw_data!C810,2))),IF(MID(raw_data!C810,5,1)="-",DATE(VALUE(LEFT(raw_data!C810,4)),VALUE(MID(raw_data!C810,6,2)),VALUE(RIGHT(raw_data!C810,2))),DATE(VALUE(RIGHT(raw_data!C810,4)),MATCH(MID(raw_data!C810,4,3),{"Jan","Feb","Mar","Apr","May","Jun","Jul","Aug","Sep","Oct","Nov","Dec"},0),VALUE(LEFT(raw_data!C810,2)))))),"")</f>
        <v>45897</v>
      </c>
      <c r="D810" s="3" t="str">
        <f aca="false">IF(TRIM(raw_data!B810)="","Missing",IF(B810="","Invalid/Unrecognized","Valid"))</f>
        <v>Valid</v>
      </c>
      <c r="E810" s="3" t="str">
        <f aca="false">IF(TRIM(raw_data!C810)="","Missing",IF(C810="","Invalid/Unrecognized","Valid"))</f>
        <v>Valid</v>
      </c>
      <c r="F810" s="5" t="n">
        <f aca="false">IF(OR(B810="",C810=""),"",C810-B810)</f>
        <v>-3</v>
      </c>
      <c r="G810" s="3" t="str">
        <f aca="false">IF(F810="","N/A",IF(F810&lt;0,"Invalid - Ship Before Order","OK"))</f>
        <v>Invalid - Ship Before Order</v>
      </c>
      <c r="H810" s="3" t="str">
        <f aca="false">raw_data!D810</f>
        <v>CUST-7503</v>
      </c>
      <c r="I810" s="3" t="str">
        <f aca="false">PROPER(TRIM(raw_data!E810))</f>
        <v>Aarav Sharma</v>
      </c>
      <c r="J810" s="3" t="str">
        <f aca="false">PROPER(TRIM(raw_data!F810))</f>
        <v>Small Business</v>
      </c>
      <c r="K810" s="3" t="str">
        <f aca="false">IF(TRIM(raw_data!G810)="","Unknown",PROPER(TRIM(raw_data!G810)))</f>
        <v>South</v>
      </c>
      <c r="L810" s="3" t="str">
        <f aca="false">IF(TRIM(raw_data!G810)="","Filled - Unknown","OK")</f>
        <v>OK</v>
      </c>
      <c r="M810" s="3" t="str">
        <f aca="false">PROPER(TRIM(raw_data!H810))</f>
        <v>Tamil Nadu</v>
      </c>
      <c r="N810" s="3" t="str">
        <f aca="false">PROPER(TRIM(raw_data!I810))</f>
        <v>Chennai</v>
      </c>
      <c r="O810" s="3" t="str">
        <f aca="false">PROPER(TRIM(raw_data!J810))</f>
        <v>Furniture</v>
      </c>
      <c r="P810" s="3" t="str">
        <f aca="false">PROPER(TRIM(raw_data!K810))</f>
        <v>Furnishings</v>
      </c>
      <c r="Q810" s="3" t="str">
        <f aca="false">TRIM(raw_data!L810)</f>
        <v>Pro Furnishings 386</v>
      </c>
      <c r="R810" s="3" t="str">
        <f aca="false">IF(TRIM(raw_data!M810)="","Unknown",PROPER(TRIM(raw_data!M810)))</f>
        <v>First Class</v>
      </c>
      <c r="S810" s="3" t="str">
        <f aca="false">IF(TRIM(raw_data!M810)="","Filled - Unknown","OK")</f>
        <v>OK</v>
      </c>
      <c r="T810" s="6" t="n">
        <f aca="false">raw_data!N810</f>
        <v>7</v>
      </c>
      <c r="U810" s="7" t="n">
        <f aca="false">raw_data!O810</f>
        <v>977.28</v>
      </c>
      <c r="V810" s="8" t="n">
        <f aca="false">raw_data!P810</f>
        <v>0.2</v>
      </c>
      <c r="W810" s="8" t="n">
        <f aca="false">IF(raw_data!P810="",0,IF(ISTEXT(raw_data!P810),IF(RIGHT(raw_data!P810,1)="%",VALUE(LEFT(raw_data!P810,LEN(raw_data!P810)-1))/100,VALUE(raw_data!P810)),raw_data!P810))</f>
        <v>0.2</v>
      </c>
      <c r="X810" s="3" t="str">
        <f aca="false">IF(raw_data!P810="","Missing - Defaulted to 0",IF(W810&lt;0,"Negative - Invalid",IF(W810&gt;0.3,"Above Allowed Range - Invalid","Valid")))</f>
        <v>Valid</v>
      </c>
      <c r="Y810" s="7" t="n">
        <f aca="false">raw_data!Q810</f>
        <v>5472.77</v>
      </c>
      <c r="Z810" s="7" t="n">
        <f aca="false">raw_data!R810</f>
        <v>4477.33</v>
      </c>
      <c r="AA810" s="7" t="n">
        <f aca="false">raw_data!S810</f>
        <v>995.44</v>
      </c>
      <c r="AB810" s="3" t="str">
        <f aca="false">PROPER(TRIM(raw_data!T810))</f>
        <v>Paid</v>
      </c>
      <c r="AC810" s="3" t="str">
        <f aca="false">PROPER(TRIM(raw_data!U810))</f>
        <v>Completed</v>
      </c>
      <c r="AD810" s="7" t="n">
        <f aca="false">T810*U810*(1-W810)</f>
        <v>5472.768</v>
      </c>
      <c r="AE810" s="7" t="n">
        <f aca="false">AD810-Z810</f>
        <v>995.438</v>
      </c>
      <c r="AF810" s="8" t="n">
        <f aca="false">IF(AD810=0,0,AE810/AD810)</f>
        <v>0.181889310856956</v>
      </c>
      <c r="AG810" s="3" t="str">
        <f aca="false">IF(ABS(Y810-AD810)&gt;1,"Mismatch","OK")</f>
        <v>OK</v>
      </c>
      <c r="AH810" s="3" t="str">
        <f aca="false">IF(ABS(AA810-AE810)&gt;1,"Mismatch","OK")</f>
        <v>OK</v>
      </c>
      <c r="AI810" s="6" t="n">
        <f aca="false">IF(B810="","",MONTH(B810))</f>
        <v>8</v>
      </c>
      <c r="AJ810" s="6" t="n">
        <f aca="false">IF(B810="","",YEAR(B810))</f>
        <v>2025</v>
      </c>
      <c r="AK810" s="3" t="str">
        <f aca="false">IF(COUNTIF(raw_data!$A$2:$A$913,A810)&gt;1,"Conflicting Duplicate - Flagged for Review","Unique")</f>
        <v>Unique</v>
      </c>
      <c r="AL810" s="3" t="str">
        <f aca="false">IF(AB810="Refunded","Yes","No")</f>
        <v>No</v>
      </c>
      <c r="AM810" s="3" t="str">
        <f aca="false">IF(OR(AC810&lt;&gt;"Completed",AB810="Failed"),"Excluded","Included")</f>
        <v>Included</v>
      </c>
      <c r="AN810" s="3" t="str">
        <f aca="false">IF(OR(D810="Invalid/Unrecognized",E810="Invalid/Unrecognized",G810="Invalid - Ship Before Order",X810="Negative - Invalid",X810="Above Allowed Range - Invalid",AG810="Mismatch",AH810="Mismatch",AK810="Conflicting Duplicate - Flagged for Review"),"Invalid",IF(OR(L810="Filled - Unknown",S810="Filled - Unknown",X810="Missing - Defaulted to 0",AL810="Yes",AC810="Cancelled",AC810="Returned"),"Warning","Clean"))</f>
        <v>Invalid</v>
      </c>
    </row>
    <row r="811" customFormat="false" ht="15" hidden="false" customHeight="false" outlineLevel="0" collapsed="false">
      <c r="A811" s="3" t="str">
        <f aca="false">raw_data!A811</f>
        <v>ORD-2025-10810</v>
      </c>
      <c r="B811" s="4" t="n">
        <f aca="false">IFERROR(IF(MID(raw_data!B811,3,1)="/",DATE(VALUE(RIGHT(raw_data!B811,4)),VALUE(LEFT(raw_data!B811,2)),VALUE(MID(raw_data!B811,4,2))),IF(MID(raw_data!B811,3,1)="-",DATE(VALUE(RIGHT(raw_data!B811,4)),VALUE(MID(raw_data!B811,4,2)),VALUE(LEFT(raw_data!B811,2))),IF(MID(raw_data!B811,5,1)="-",DATE(VALUE(LEFT(raw_data!B811,4)),VALUE(MID(raw_data!B811,6,2)),VALUE(RIGHT(raw_data!B811,2))),DATE(VALUE(RIGHT(raw_data!B811,4)),MATCH(MID(raw_data!B811,4,3),{"Jan","Feb","Mar","Apr","May","Jun","Jul","Aug","Sep","Oct","Nov","Dec"},0),VALUE(LEFT(raw_data!B811,2)))))),"")</f>
        <v>45833</v>
      </c>
      <c r="C811" s="4" t="n">
        <f aca="false">IFERROR(IF(MID(raw_data!C811,3,1)="/",DATE(VALUE(RIGHT(raw_data!C811,4)),VALUE(LEFT(raw_data!C811,2)),VALUE(MID(raw_data!C811,4,2))),IF(MID(raw_data!C811,3,1)="-",DATE(VALUE(RIGHT(raw_data!C811,4)),VALUE(MID(raw_data!C811,4,2)),VALUE(LEFT(raw_data!C811,2))),IF(MID(raw_data!C811,5,1)="-",DATE(VALUE(LEFT(raw_data!C811,4)),VALUE(MID(raw_data!C811,6,2)),VALUE(RIGHT(raw_data!C811,2))),DATE(VALUE(RIGHT(raw_data!C811,4)),MATCH(MID(raw_data!C811,4,3),{"Jan","Feb","Mar","Apr","May","Jun","Jul","Aug","Sep","Oct","Nov","Dec"},0),VALUE(LEFT(raw_data!C811,2)))))),"")</f>
        <v>45833</v>
      </c>
      <c r="D811" s="3" t="str">
        <f aca="false">IF(TRIM(raw_data!B811)="","Missing",IF(B811="","Invalid/Unrecognized","Valid"))</f>
        <v>Valid</v>
      </c>
      <c r="E811" s="3" t="str">
        <f aca="false">IF(TRIM(raw_data!C811)="","Missing",IF(C811="","Invalid/Unrecognized","Valid"))</f>
        <v>Valid</v>
      </c>
      <c r="F811" s="5" t="n">
        <f aca="false">IF(OR(B811="",C811=""),"",C811-B811)</f>
        <v>0</v>
      </c>
      <c r="G811" s="3" t="str">
        <f aca="false">IF(F811="","N/A",IF(F811&lt;0,"Invalid - Ship Before Order","OK"))</f>
        <v>OK</v>
      </c>
      <c r="H811" s="3" t="str">
        <f aca="false">raw_data!D811</f>
        <v>CUST-6973</v>
      </c>
      <c r="I811" s="3" t="str">
        <f aca="false">PROPER(TRIM(raw_data!E811))</f>
        <v>Arjun Bose</v>
      </c>
      <c r="J811" s="3" t="str">
        <f aca="false">PROPER(TRIM(raw_data!F811))</f>
        <v>Small Business</v>
      </c>
      <c r="K811" s="3" t="str">
        <f aca="false">IF(TRIM(raw_data!G811)="","Unknown",PROPER(TRIM(raw_data!G811)))</f>
        <v>Unknown</v>
      </c>
      <c r="L811" s="3" t="str">
        <f aca="false">IF(TRIM(raw_data!G811)="","Filled - Unknown","OK")</f>
        <v>Filled - Unknown</v>
      </c>
      <c r="M811" s="3" t="str">
        <f aca="false">PROPER(TRIM(raw_data!H811))</f>
        <v>Punjab</v>
      </c>
      <c r="N811" s="3" t="str">
        <f aca="false">PROPER(TRIM(raw_data!I811))</f>
        <v>Ludhiana</v>
      </c>
      <c r="O811" s="3" t="str">
        <f aca="false">PROPER(TRIM(raw_data!J811))</f>
        <v>Office Supplies</v>
      </c>
      <c r="P811" s="3" t="str">
        <f aca="false">PROPER(TRIM(raw_data!K811))</f>
        <v>Binders</v>
      </c>
      <c r="Q811" s="3" t="str">
        <f aca="false">TRIM(raw_data!L811)</f>
        <v>Eco Binders 601</v>
      </c>
      <c r="R811" s="3" t="str">
        <f aca="false">IF(TRIM(raw_data!M811)="","Unknown",PROPER(TRIM(raw_data!M811)))</f>
        <v>Second Class</v>
      </c>
      <c r="S811" s="3" t="str">
        <f aca="false">IF(TRIM(raw_data!M811)="","Filled - Unknown","OK")</f>
        <v>OK</v>
      </c>
      <c r="T811" s="6" t="n">
        <f aca="false">raw_data!N811</f>
        <v>6</v>
      </c>
      <c r="U811" s="7" t="n">
        <f aca="false">raw_data!O811</f>
        <v>1366.13</v>
      </c>
      <c r="V811" s="8" t="n">
        <f aca="false">raw_data!P811</f>
        <v>0.1</v>
      </c>
      <c r="W811" s="8" t="n">
        <f aca="false">IF(raw_data!P811="",0,IF(ISTEXT(raw_data!P811),IF(RIGHT(raw_data!P811,1)="%",VALUE(LEFT(raw_data!P811,LEN(raw_data!P811)-1))/100,VALUE(raw_data!P811)),raw_data!P811))</f>
        <v>0.1</v>
      </c>
      <c r="X811" s="3" t="str">
        <f aca="false">IF(raw_data!P811="","Missing - Defaulted to 0",IF(W811&lt;0,"Negative - Invalid",IF(W811&gt;0.3,"Above Allowed Range - Invalid","Valid")))</f>
        <v>Valid</v>
      </c>
      <c r="Y811" s="7" t="n">
        <f aca="false">raw_data!Q811</f>
        <v>7377.1</v>
      </c>
      <c r="Z811" s="7" t="n">
        <f aca="false">raw_data!R811</f>
        <v>5085.21</v>
      </c>
      <c r="AA811" s="7" t="n">
        <f aca="false">raw_data!S811</f>
        <v>2291.89</v>
      </c>
      <c r="AB811" s="3" t="str">
        <f aca="false">PROPER(TRIM(raw_data!T811))</f>
        <v>Paid</v>
      </c>
      <c r="AC811" s="3" t="str">
        <f aca="false">PROPER(TRIM(raw_data!U811))</f>
        <v>Completed</v>
      </c>
      <c r="AD811" s="7" t="n">
        <f aca="false">T811*U811*(1-W811)</f>
        <v>7377.102</v>
      </c>
      <c r="AE811" s="7" t="n">
        <f aca="false">AD811-Z811</f>
        <v>2291.892</v>
      </c>
      <c r="AF811" s="8" t="n">
        <f aca="false">IF(AD811=0,0,AE811/AD811)</f>
        <v>0.310676468889816</v>
      </c>
      <c r="AG811" s="3" t="str">
        <f aca="false">IF(ABS(Y811-AD811)&gt;1,"Mismatch","OK")</f>
        <v>OK</v>
      </c>
      <c r="AH811" s="3" t="str">
        <f aca="false">IF(ABS(AA811-AE811)&gt;1,"Mismatch","OK")</f>
        <v>OK</v>
      </c>
      <c r="AI811" s="6" t="n">
        <f aca="false">IF(B811="","",MONTH(B811))</f>
        <v>6</v>
      </c>
      <c r="AJ811" s="6" t="n">
        <f aca="false">IF(B811="","",YEAR(B811))</f>
        <v>2025</v>
      </c>
      <c r="AK811" s="3" t="str">
        <f aca="false">IF(COUNTIF(raw_data!$A$2:$A$913,A811)&gt;1,"Conflicting Duplicate - Flagged for Review","Unique")</f>
        <v>Unique</v>
      </c>
      <c r="AL811" s="3" t="str">
        <f aca="false">IF(AB811="Refunded","Yes","No")</f>
        <v>No</v>
      </c>
      <c r="AM811" s="3" t="str">
        <f aca="false">IF(OR(AC811&lt;&gt;"Completed",AB811="Failed"),"Excluded","Included")</f>
        <v>Included</v>
      </c>
      <c r="AN811" s="3" t="str">
        <f aca="false">IF(OR(D811="Invalid/Unrecognized",E811="Invalid/Unrecognized",G811="Invalid - Ship Before Order",X811="Negative - Invalid",X811="Above Allowed Range - Invalid",AG811="Mismatch",AH811="Mismatch",AK811="Conflicting Duplicate - Flagged for Review"),"Invalid",IF(OR(L811="Filled - Unknown",S811="Filled - Unknown",X811="Missing - Defaulted to 0",AL811="Yes",AC811="Cancelled",AC811="Returned"),"Warning","Clean"))</f>
        <v>Warning</v>
      </c>
    </row>
    <row r="812" customFormat="false" ht="15" hidden="false" customHeight="false" outlineLevel="0" collapsed="false">
      <c r="A812" s="3" t="str">
        <f aca="false">raw_data!A812</f>
        <v>ORD-2024-10811</v>
      </c>
      <c r="B812" s="4" t="n">
        <f aca="false">IFERROR(IF(MID(raw_data!B812,3,1)="/",DATE(VALUE(RIGHT(raw_data!B812,4)),VALUE(LEFT(raw_data!B812,2)),VALUE(MID(raw_data!B812,4,2))),IF(MID(raw_data!B812,3,1)="-",DATE(VALUE(RIGHT(raw_data!B812,4)),VALUE(MID(raw_data!B812,4,2)),VALUE(LEFT(raw_data!B812,2))),IF(MID(raw_data!B812,5,1)="-",DATE(VALUE(LEFT(raw_data!B812,4)),VALUE(MID(raw_data!B812,6,2)),VALUE(RIGHT(raw_data!B812,2))),DATE(VALUE(RIGHT(raw_data!B812,4)),MATCH(MID(raw_data!B812,4,3),{"Jan","Feb","Mar","Apr","May","Jun","Jul","Aug","Sep","Oct","Nov","Dec"},0),VALUE(LEFT(raw_data!B812,2)))))),"")</f>
        <v>45385</v>
      </c>
      <c r="C812" s="4" t="n">
        <f aca="false">IFERROR(IF(MID(raw_data!C812,3,1)="/",DATE(VALUE(RIGHT(raw_data!C812,4)),VALUE(LEFT(raw_data!C812,2)),VALUE(MID(raw_data!C812,4,2))),IF(MID(raw_data!C812,3,1)="-",DATE(VALUE(RIGHT(raw_data!C812,4)),VALUE(MID(raw_data!C812,4,2)),VALUE(LEFT(raw_data!C812,2))),IF(MID(raw_data!C812,5,1)="-",DATE(VALUE(LEFT(raw_data!C812,4)),VALUE(MID(raw_data!C812,6,2)),VALUE(RIGHT(raw_data!C812,2))),DATE(VALUE(RIGHT(raw_data!C812,4)),MATCH(MID(raw_data!C812,4,3),{"Jan","Feb","Mar","Apr","May","Jun","Jul","Aug","Sep","Oct","Nov","Dec"},0),VALUE(LEFT(raw_data!C812,2)))))),"")</f>
        <v>45390</v>
      </c>
      <c r="D812" s="3" t="str">
        <f aca="false">IF(TRIM(raw_data!B812)="","Missing",IF(B812="","Invalid/Unrecognized","Valid"))</f>
        <v>Valid</v>
      </c>
      <c r="E812" s="3" t="str">
        <f aca="false">IF(TRIM(raw_data!C812)="","Missing",IF(C812="","Invalid/Unrecognized","Valid"))</f>
        <v>Valid</v>
      </c>
      <c r="F812" s="5" t="n">
        <f aca="false">IF(OR(B812="",C812=""),"",C812-B812)</f>
        <v>5</v>
      </c>
      <c r="G812" s="3" t="str">
        <f aca="false">IF(F812="","N/A",IF(F812&lt;0,"Invalid - Ship Before Order","OK"))</f>
        <v>OK</v>
      </c>
      <c r="H812" s="3" t="str">
        <f aca="false">raw_data!D812</f>
        <v>CUST-4653</v>
      </c>
      <c r="I812" s="3" t="str">
        <f aca="false">PROPER(TRIM(raw_data!E812))</f>
        <v>Kabir Singh</v>
      </c>
      <c r="J812" s="3" t="str">
        <f aca="false">PROPER(TRIM(raw_data!F812))</f>
        <v>Home Office</v>
      </c>
      <c r="K812" s="3" t="str">
        <f aca="false">IF(TRIM(raw_data!G812)="","Unknown",PROPER(TRIM(raw_data!G812)))</f>
        <v>West</v>
      </c>
      <c r="L812" s="3" t="str">
        <f aca="false">IF(TRIM(raw_data!G812)="","Filled - Unknown","OK")</f>
        <v>OK</v>
      </c>
      <c r="M812" s="3" t="str">
        <f aca="false">PROPER(TRIM(raw_data!H812))</f>
        <v>Gujarat</v>
      </c>
      <c r="N812" s="3" t="str">
        <f aca="false">PROPER(TRIM(raw_data!I812))</f>
        <v>Ahmedabad</v>
      </c>
      <c r="O812" s="3" t="str">
        <f aca="false">PROPER(TRIM(raw_data!J812))</f>
        <v>Technology</v>
      </c>
      <c r="P812" s="3" t="str">
        <f aca="false">PROPER(TRIM(raw_data!K812))</f>
        <v>Copiers</v>
      </c>
      <c r="Q812" s="3" t="str">
        <f aca="false">TRIM(raw_data!L812)</f>
        <v>Pro Copiers 867</v>
      </c>
      <c r="R812" s="3" t="str">
        <f aca="false">IF(TRIM(raw_data!M812)="","Unknown",PROPER(TRIM(raw_data!M812)))</f>
        <v>First Class</v>
      </c>
      <c r="S812" s="3" t="str">
        <f aca="false">IF(TRIM(raw_data!M812)="","Filled - Unknown","OK")</f>
        <v>OK</v>
      </c>
      <c r="T812" s="6" t="n">
        <f aca="false">raw_data!N812</f>
        <v>1</v>
      </c>
      <c r="U812" s="7" t="n">
        <f aca="false">raw_data!O812</f>
        <v>3151.85</v>
      </c>
      <c r="V812" s="8" t="n">
        <f aca="false">raw_data!P812</f>
        <v>0.25</v>
      </c>
      <c r="W812" s="8" t="n">
        <f aca="false">IF(raw_data!P812="",0,IF(ISTEXT(raw_data!P812),IF(RIGHT(raw_data!P812,1)="%",VALUE(LEFT(raw_data!P812,LEN(raw_data!P812)-1))/100,VALUE(raw_data!P812)),raw_data!P812))</f>
        <v>0.25</v>
      </c>
      <c r="X812" s="3" t="str">
        <f aca="false">IF(raw_data!P812="","Missing - Defaulted to 0",IF(W812&lt;0,"Negative - Invalid",IF(W812&gt;0.3,"Above Allowed Range - Invalid","Valid")))</f>
        <v>Valid</v>
      </c>
      <c r="Y812" s="7" t="n">
        <f aca="false">raw_data!Q812</f>
        <v>2363.89</v>
      </c>
      <c r="Z812" s="7" t="n">
        <f aca="false">raw_data!R812</f>
        <v>1471.51</v>
      </c>
      <c r="AA812" s="7" t="n">
        <f aca="false">raw_data!S812</f>
        <v>892.38</v>
      </c>
      <c r="AB812" s="3" t="str">
        <f aca="false">PROPER(TRIM(raw_data!T812))</f>
        <v>Paid</v>
      </c>
      <c r="AC812" s="3" t="str">
        <f aca="false">PROPER(TRIM(raw_data!U812))</f>
        <v>Completed</v>
      </c>
      <c r="AD812" s="7" t="n">
        <f aca="false">T812*U812*(1-W812)</f>
        <v>2363.8875</v>
      </c>
      <c r="AE812" s="7" t="n">
        <f aca="false">AD812-Z812</f>
        <v>892.3775</v>
      </c>
      <c r="AF812" s="8" t="n">
        <f aca="false">IF(AD812=0,0,AE812/AD812)</f>
        <v>0.37750421710001</v>
      </c>
      <c r="AG812" s="3" t="str">
        <f aca="false">IF(ABS(Y812-AD812)&gt;1,"Mismatch","OK")</f>
        <v>OK</v>
      </c>
      <c r="AH812" s="3" t="str">
        <f aca="false">IF(ABS(AA812-AE812)&gt;1,"Mismatch","OK")</f>
        <v>OK</v>
      </c>
      <c r="AI812" s="6" t="n">
        <f aca="false">IF(B812="","",MONTH(B812))</f>
        <v>4</v>
      </c>
      <c r="AJ812" s="6" t="n">
        <f aca="false">IF(B812="","",YEAR(B812))</f>
        <v>2024</v>
      </c>
      <c r="AK812" s="3" t="str">
        <f aca="false">IF(COUNTIF(raw_data!$A$2:$A$913,A812)&gt;1,"Conflicting Duplicate - Flagged for Review","Unique")</f>
        <v>Unique</v>
      </c>
      <c r="AL812" s="3" t="str">
        <f aca="false">IF(AB812="Refunded","Yes","No")</f>
        <v>No</v>
      </c>
      <c r="AM812" s="3" t="str">
        <f aca="false">IF(OR(AC812&lt;&gt;"Completed",AB812="Failed"),"Excluded","Included")</f>
        <v>Included</v>
      </c>
      <c r="AN812" s="3" t="str">
        <f aca="false">IF(OR(D812="Invalid/Unrecognized",E812="Invalid/Unrecognized",G812="Invalid - Ship Before Order",X812="Negative - Invalid",X812="Above Allowed Range - Invalid",AG812="Mismatch",AH812="Mismatch",AK812="Conflicting Duplicate - Flagged for Review"),"Invalid",IF(OR(L812="Filled - Unknown",S812="Filled - Unknown",X812="Missing - Defaulted to 0",AL812="Yes",AC812="Cancelled",AC812="Returned"),"Warning","Clean"))</f>
        <v>Clean</v>
      </c>
    </row>
    <row r="813" customFormat="false" ht="15" hidden="false" customHeight="false" outlineLevel="0" collapsed="false">
      <c r="A813" s="3" t="str">
        <f aca="false">raw_data!A813</f>
        <v>ORD-2024-10812</v>
      </c>
      <c r="B813" s="4" t="n">
        <f aca="false">IFERROR(IF(MID(raw_data!B813,3,1)="/",DATE(VALUE(RIGHT(raw_data!B813,4)),VALUE(LEFT(raw_data!B813,2)),VALUE(MID(raw_data!B813,4,2))),IF(MID(raw_data!B813,3,1)="-",DATE(VALUE(RIGHT(raw_data!B813,4)),VALUE(MID(raw_data!B813,4,2)),VALUE(LEFT(raw_data!B813,2))),IF(MID(raw_data!B813,5,1)="-",DATE(VALUE(LEFT(raw_data!B813,4)),VALUE(MID(raw_data!B813,6,2)),VALUE(RIGHT(raw_data!B813,2))),DATE(VALUE(RIGHT(raw_data!B813,4)),MATCH(MID(raw_data!B813,4,3),{"Jan","Feb","Mar","Apr","May","Jun","Jul","Aug","Sep","Oct","Nov","Dec"},0),VALUE(LEFT(raw_data!B813,2)))))),"")</f>
        <v>45638</v>
      </c>
      <c r="C813" s="4" t="n">
        <f aca="false">IFERROR(IF(MID(raw_data!C813,3,1)="/",DATE(VALUE(RIGHT(raw_data!C813,4)),VALUE(LEFT(raw_data!C813,2)),VALUE(MID(raw_data!C813,4,2))),IF(MID(raw_data!C813,3,1)="-",DATE(VALUE(RIGHT(raw_data!C813,4)),VALUE(MID(raw_data!C813,4,2)),VALUE(LEFT(raw_data!C813,2))),IF(MID(raw_data!C813,5,1)="-",DATE(VALUE(LEFT(raw_data!C813,4)),VALUE(MID(raw_data!C813,6,2)),VALUE(RIGHT(raw_data!C813,2))),DATE(VALUE(RIGHT(raw_data!C813,4)),MATCH(MID(raw_data!C813,4,3),{"Jan","Feb","Mar","Apr","May","Jun","Jul","Aug","Sep","Oct","Nov","Dec"},0),VALUE(LEFT(raw_data!C813,2)))))),"")</f>
        <v>45645</v>
      </c>
      <c r="D813" s="3" t="str">
        <f aca="false">IF(TRIM(raw_data!B813)="","Missing",IF(B813="","Invalid/Unrecognized","Valid"))</f>
        <v>Valid</v>
      </c>
      <c r="E813" s="3" t="str">
        <f aca="false">IF(TRIM(raw_data!C813)="","Missing",IF(C813="","Invalid/Unrecognized","Valid"))</f>
        <v>Valid</v>
      </c>
      <c r="F813" s="5" t="n">
        <f aca="false">IF(OR(B813="",C813=""),"",C813-B813)</f>
        <v>7</v>
      </c>
      <c r="G813" s="3" t="str">
        <f aca="false">IF(F813="","N/A",IF(F813&lt;0,"Invalid - Ship Before Order","OK"))</f>
        <v>OK</v>
      </c>
      <c r="H813" s="3" t="str">
        <f aca="false">raw_data!D813</f>
        <v>CUST-3303</v>
      </c>
      <c r="I813" s="3" t="str">
        <f aca="false">PROPER(TRIM(raw_data!E813))</f>
        <v>Rohan Mehta</v>
      </c>
      <c r="J813" s="3" t="str">
        <f aca="false">PROPER(TRIM(raw_data!F813))</f>
        <v>Home Office</v>
      </c>
      <c r="K813" s="3" t="str">
        <f aca="false">IF(TRIM(raw_data!G813)="","Unknown",PROPER(TRIM(raw_data!G813)))</f>
        <v>North</v>
      </c>
      <c r="L813" s="3" t="str">
        <f aca="false">IF(TRIM(raw_data!G813)="","Filled - Unknown","OK")</f>
        <v>OK</v>
      </c>
      <c r="M813" s="3" t="str">
        <f aca="false">PROPER(TRIM(raw_data!H813))</f>
        <v>Haryana</v>
      </c>
      <c r="N813" s="3" t="str">
        <f aca="false">PROPER(TRIM(raw_data!I813))</f>
        <v>Gurugram</v>
      </c>
      <c r="O813" s="3" t="str">
        <f aca="false">PROPER(TRIM(raw_data!J813))</f>
        <v>Technology</v>
      </c>
      <c r="P813" s="3" t="str">
        <f aca="false">PROPER(TRIM(raw_data!K813))</f>
        <v>Accessories</v>
      </c>
      <c r="Q813" s="3" t="str">
        <f aca="false">TRIM(raw_data!L813)</f>
        <v>Eco Accessories 122</v>
      </c>
      <c r="R813" s="3" t="str">
        <f aca="false">IF(TRIM(raw_data!M813)="","Unknown",PROPER(TRIM(raw_data!M813)))</f>
        <v>First Class</v>
      </c>
      <c r="S813" s="3" t="str">
        <f aca="false">IF(TRIM(raw_data!M813)="","Filled - Unknown","OK")</f>
        <v>OK</v>
      </c>
      <c r="T813" s="6" t="n">
        <f aca="false">raw_data!N813</f>
        <v>2</v>
      </c>
      <c r="U813" s="7" t="n">
        <f aca="false">raw_data!O813</f>
        <v>1610.75</v>
      </c>
      <c r="V813" s="8" t="n">
        <f aca="false">raw_data!P813</f>
        <v>0.2</v>
      </c>
      <c r="W813" s="8" t="n">
        <f aca="false">IF(raw_data!P813="",0,IF(ISTEXT(raw_data!P813),IF(RIGHT(raw_data!P813,1)="%",VALUE(LEFT(raw_data!P813,LEN(raw_data!P813)-1))/100,VALUE(raw_data!P813)),raw_data!P813))</f>
        <v>0.2</v>
      </c>
      <c r="X813" s="3" t="str">
        <f aca="false">IF(raw_data!P813="","Missing - Defaulted to 0",IF(W813&lt;0,"Negative - Invalid",IF(W813&gt;0.3,"Above Allowed Range - Invalid","Valid")))</f>
        <v>Valid</v>
      </c>
      <c r="Y813" s="7" t="n">
        <f aca="false">raw_data!Q813</f>
        <v>2577.2</v>
      </c>
      <c r="Z813" s="7" t="n">
        <f aca="false">raw_data!R813</f>
        <v>1475.87</v>
      </c>
      <c r="AA813" s="7" t="n">
        <f aca="false">raw_data!S813</f>
        <v>1101.33</v>
      </c>
      <c r="AB813" s="3" t="str">
        <f aca="false">PROPER(TRIM(raw_data!T813))</f>
        <v>Paid</v>
      </c>
      <c r="AC813" s="3" t="str">
        <f aca="false">PROPER(TRIM(raw_data!U813))</f>
        <v>Completed</v>
      </c>
      <c r="AD813" s="7" t="n">
        <f aca="false">T813*U813*(1-W813)</f>
        <v>2577.2</v>
      </c>
      <c r="AE813" s="7" t="n">
        <f aca="false">AD813-Z813</f>
        <v>1101.33</v>
      </c>
      <c r="AF813" s="8" t="n">
        <f aca="false">IF(AD813=0,0,AE813/AD813)</f>
        <v>0.427335868384293</v>
      </c>
      <c r="AG813" s="3" t="str">
        <f aca="false">IF(ABS(Y813-AD813)&gt;1,"Mismatch","OK")</f>
        <v>OK</v>
      </c>
      <c r="AH813" s="3" t="str">
        <f aca="false">IF(ABS(AA813-AE813)&gt;1,"Mismatch","OK")</f>
        <v>OK</v>
      </c>
      <c r="AI813" s="6" t="n">
        <f aca="false">IF(B813="","",MONTH(B813))</f>
        <v>12</v>
      </c>
      <c r="AJ813" s="6" t="n">
        <f aca="false">IF(B813="","",YEAR(B813))</f>
        <v>2024</v>
      </c>
      <c r="AK813" s="3" t="str">
        <f aca="false">IF(COUNTIF(raw_data!$A$2:$A$913,A813)&gt;1,"Conflicting Duplicate - Flagged for Review","Unique")</f>
        <v>Unique</v>
      </c>
      <c r="AL813" s="3" t="str">
        <f aca="false">IF(AB813="Refunded","Yes","No")</f>
        <v>No</v>
      </c>
      <c r="AM813" s="3" t="str">
        <f aca="false">IF(OR(AC813&lt;&gt;"Completed",AB813="Failed"),"Excluded","Included")</f>
        <v>Included</v>
      </c>
      <c r="AN813" s="3" t="str">
        <f aca="false">IF(OR(D813="Invalid/Unrecognized",E813="Invalid/Unrecognized",G813="Invalid - Ship Before Order",X813="Negative - Invalid",X813="Above Allowed Range - Invalid",AG813="Mismatch",AH813="Mismatch",AK813="Conflicting Duplicate - Flagged for Review"),"Invalid",IF(OR(L813="Filled - Unknown",S813="Filled - Unknown",X813="Missing - Defaulted to 0",AL813="Yes",AC813="Cancelled",AC813="Returned"),"Warning","Clean"))</f>
        <v>Clean</v>
      </c>
    </row>
    <row r="814" customFormat="false" ht="15" hidden="false" customHeight="false" outlineLevel="0" collapsed="false">
      <c r="A814" s="3" t="str">
        <f aca="false">raw_data!A814</f>
        <v>ORD-2024-10813</v>
      </c>
      <c r="B814" s="4" t="n">
        <f aca="false">IFERROR(IF(MID(raw_data!B814,3,1)="/",DATE(VALUE(RIGHT(raw_data!B814,4)),VALUE(LEFT(raw_data!B814,2)),VALUE(MID(raw_data!B814,4,2))),IF(MID(raw_data!B814,3,1)="-",DATE(VALUE(RIGHT(raw_data!B814,4)),VALUE(MID(raw_data!B814,4,2)),VALUE(LEFT(raw_data!B814,2))),IF(MID(raw_data!B814,5,1)="-",DATE(VALUE(LEFT(raw_data!B814,4)),VALUE(MID(raw_data!B814,6,2)),VALUE(RIGHT(raw_data!B814,2))),DATE(VALUE(RIGHT(raw_data!B814,4)),MATCH(MID(raw_data!B814,4,3),{"Jan","Feb","Mar","Apr","May","Jun","Jul","Aug","Sep","Oct","Nov","Dec"},0),VALUE(LEFT(raw_data!B814,2)))))),"")</f>
        <v>45458</v>
      </c>
      <c r="C814" s="4" t="n">
        <f aca="false">IFERROR(IF(MID(raw_data!C814,3,1)="/",DATE(VALUE(RIGHT(raw_data!C814,4)),VALUE(LEFT(raw_data!C814,2)),VALUE(MID(raw_data!C814,4,2))),IF(MID(raw_data!C814,3,1)="-",DATE(VALUE(RIGHT(raw_data!C814,4)),VALUE(MID(raw_data!C814,4,2)),VALUE(LEFT(raw_data!C814,2))),IF(MID(raw_data!C814,5,1)="-",DATE(VALUE(LEFT(raw_data!C814,4)),VALUE(MID(raw_data!C814,6,2)),VALUE(RIGHT(raw_data!C814,2))),DATE(VALUE(RIGHT(raw_data!C814,4)),MATCH(MID(raw_data!C814,4,3),{"Jan","Feb","Mar","Apr","May","Jun","Jul","Aug","Sep","Oct","Nov","Dec"},0),VALUE(LEFT(raw_data!C814,2)))))),"")</f>
        <v>45463</v>
      </c>
      <c r="D814" s="3" t="str">
        <f aca="false">IF(TRIM(raw_data!B814)="","Missing",IF(B814="","Invalid/Unrecognized","Valid"))</f>
        <v>Valid</v>
      </c>
      <c r="E814" s="3" t="str">
        <f aca="false">IF(TRIM(raw_data!C814)="","Missing",IF(C814="","Invalid/Unrecognized","Valid"))</f>
        <v>Valid</v>
      </c>
      <c r="F814" s="5" t="n">
        <f aca="false">IF(OR(B814="",C814=""),"",C814-B814)</f>
        <v>5</v>
      </c>
      <c r="G814" s="3" t="str">
        <f aca="false">IF(F814="","N/A",IF(F814&lt;0,"Invalid - Ship Before Order","OK"))</f>
        <v>OK</v>
      </c>
      <c r="H814" s="3" t="str">
        <f aca="false">raw_data!D814</f>
        <v>CUST-5754</v>
      </c>
      <c r="I814" s="3" t="str">
        <f aca="false">PROPER(TRIM(raw_data!E814))</f>
        <v>Sneha Kapoor</v>
      </c>
      <c r="J814" s="3" t="str">
        <f aca="false">PROPER(TRIM(raw_data!F814))</f>
        <v>Small Business</v>
      </c>
      <c r="K814" s="3" t="str">
        <f aca="false">IF(TRIM(raw_data!G814)="","Unknown",PROPER(TRIM(raw_data!G814)))</f>
        <v>East</v>
      </c>
      <c r="L814" s="3" t="str">
        <f aca="false">IF(TRIM(raw_data!G814)="","Filled - Unknown","OK")</f>
        <v>OK</v>
      </c>
      <c r="M814" s="3" t="str">
        <f aca="false">PROPER(TRIM(raw_data!H814))</f>
        <v>Jharkhand</v>
      </c>
      <c r="N814" s="3" t="str">
        <f aca="false">PROPER(TRIM(raw_data!I814))</f>
        <v>Ranchi</v>
      </c>
      <c r="O814" s="3" t="str">
        <f aca="false">PROPER(TRIM(raw_data!J814))</f>
        <v>Furniture</v>
      </c>
      <c r="P814" s="3" t="str">
        <f aca="false">PROPER(TRIM(raw_data!K814))</f>
        <v>Tables</v>
      </c>
      <c r="Q814" s="3" t="str">
        <f aca="false">TRIM(raw_data!L814)</f>
        <v>Basic Tables 127</v>
      </c>
      <c r="R814" s="3" t="str">
        <f aca="false">IF(TRIM(raw_data!M814)="","Unknown",PROPER(TRIM(raw_data!M814)))</f>
        <v>First Class</v>
      </c>
      <c r="S814" s="3" t="str">
        <f aca="false">IF(TRIM(raw_data!M814)="","Filled - Unknown","OK")</f>
        <v>OK</v>
      </c>
      <c r="T814" s="6" t="n">
        <f aca="false">raw_data!N814</f>
        <v>8</v>
      </c>
      <c r="U814" s="7" t="n">
        <f aca="false">raw_data!O814</f>
        <v>2228.47</v>
      </c>
      <c r="V814" s="8" t="n">
        <f aca="false">raw_data!P814</f>
        <v>0</v>
      </c>
      <c r="W814" s="8" t="n">
        <f aca="false">IF(raw_data!P814="",0,IF(ISTEXT(raw_data!P814),IF(RIGHT(raw_data!P814,1)="%",VALUE(LEFT(raw_data!P814,LEN(raw_data!P814)-1))/100,VALUE(raw_data!P814)),raw_data!P814))</f>
        <v>0</v>
      </c>
      <c r="X814" s="3" t="str">
        <f aca="false">IF(raw_data!P814="","Missing - Defaulted to 0",IF(W814&lt;0,"Negative - Invalid",IF(W814&gt;0.3,"Above Allowed Range - Invalid","Valid")))</f>
        <v>Valid</v>
      </c>
      <c r="Y814" s="7" t="n">
        <f aca="false">raw_data!Q814</f>
        <v>17827.76</v>
      </c>
      <c r="Z814" s="7" t="n">
        <f aca="false">raw_data!R814</f>
        <v>14122.13</v>
      </c>
      <c r="AA814" s="7" t="n">
        <f aca="false">raw_data!S814</f>
        <v>3705.63</v>
      </c>
      <c r="AB814" s="3" t="str">
        <f aca="false">PROPER(TRIM(raw_data!T814))</f>
        <v>Paid</v>
      </c>
      <c r="AC814" s="3" t="str">
        <f aca="false">PROPER(TRIM(raw_data!U814))</f>
        <v>Completed</v>
      </c>
      <c r="AD814" s="7" t="n">
        <f aca="false">T814*U814*(1-W814)</f>
        <v>17827.76</v>
      </c>
      <c r="AE814" s="7" t="n">
        <f aca="false">AD814-Z814</f>
        <v>3705.63</v>
      </c>
      <c r="AF814" s="8" t="n">
        <f aca="false">IF(AD814=0,0,AE814/AD814)</f>
        <v>0.207857296710299</v>
      </c>
      <c r="AG814" s="3" t="str">
        <f aca="false">IF(ABS(Y814-AD814)&gt;1,"Mismatch","OK")</f>
        <v>OK</v>
      </c>
      <c r="AH814" s="3" t="str">
        <f aca="false">IF(ABS(AA814-AE814)&gt;1,"Mismatch","OK")</f>
        <v>OK</v>
      </c>
      <c r="AI814" s="6" t="n">
        <f aca="false">IF(B814="","",MONTH(B814))</f>
        <v>6</v>
      </c>
      <c r="AJ814" s="6" t="n">
        <f aca="false">IF(B814="","",YEAR(B814))</f>
        <v>2024</v>
      </c>
      <c r="AK814" s="3" t="str">
        <f aca="false">IF(COUNTIF(raw_data!$A$2:$A$913,A814)&gt;1,"Conflicting Duplicate - Flagged for Review","Unique")</f>
        <v>Unique</v>
      </c>
      <c r="AL814" s="3" t="str">
        <f aca="false">IF(AB814="Refunded","Yes","No")</f>
        <v>No</v>
      </c>
      <c r="AM814" s="3" t="str">
        <f aca="false">IF(OR(AC814&lt;&gt;"Completed",AB814="Failed"),"Excluded","Included")</f>
        <v>Included</v>
      </c>
      <c r="AN814" s="3" t="str">
        <f aca="false">IF(OR(D814="Invalid/Unrecognized",E814="Invalid/Unrecognized",G814="Invalid - Ship Before Order",X814="Negative - Invalid",X814="Above Allowed Range - Invalid",AG814="Mismatch",AH814="Mismatch",AK814="Conflicting Duplicate - Flagged for Review"),"Invalid",IF(OR(L814="Filled - Unknown",S814="Filled - Unknown",X814="Missing - Defaulted to 0",AL814="Yes",AC814="Cancelled",AC814="Returned"),"Warning","Clean"))</f>
        <v>Clean</v>
      </c>
    </row>
    <row r="815" customFormat="false" ht="15" hidden="false" customHeight="false" outlineLevel="0" collapsed="false">
      <c r="A815" s="3" t="str">
        <f aca="false">raw_data!A815</f>
        <v>ORD-2025-10814</v>
      </c>
      <c r="B815" s="4" t="n">
        <f aca="false">IFERROR(IF(MID(raw_data!B815,3,1)="/",DATE(VALUE(RIGHT(raw_data!B815,4)),VALUE(LEFT(raw_data!B815,2)),VALUE(MID(raw_data!B815,4,2))),IF(MID(raw_data!B815,3,1)="-",DATE(VALUE(RIGHT(raw_data!B815,4)),VALUE(MID(raw_data!B815,4,2)),VALUE(LEFT(raw_data!B815,2))),IF(MID(raw_data!B815,5,1)="-",DATE(VALUE(LEFT(raw_data!B815,4)),VALUE(MID(raw_data!B815,6,2)),VALUE(RIGHT(raw_data!B815,2))),DATE(VALUE(RIGHT(raw_data!B815,4)),MATCH(MID(raw_data!B815,4,3),{"Jan","Feb","Mar","Apr","May","Jun","Jul","Aug","Sep","Oct","Nov","Dec"},0),VALUE(LEFT(raw_data!B815,2)))))),"")</f>
        <v>45753</v>
      </c>
      <c r="C815" s="4" t="n">
        <f aca="false">IFERROR(IF(MID(raw_data!C815,3,1)="/",DATE(VALUE(RIGHT(raw_data!C815,4)),VALUE(LEFT(raw_data!C815,2)),VALUE(MID(raw_data!C815,4,2))),IF(MID(raw_data!C815,3,1)="-",DATE(VALUE(RIGHT(raw_data!C815,4)),VALUE(MID(raw_data!C815,4,2)),VALUE(LEFT(raw_data!C815,2))),IF(MID(raw_data!C815,5,1)="-",DATE(VALUE(LEFT(raw_data!C815,4)),VALUE(MID(raw_data!C815,6,2)),VALUE(RIGHT(raw_data!C815,2))),DATE(VALUE(RIGHT(raw_data!C815,4)),MATCH(MID(raw_data!C815,4,3),{"Jan","Feb","Mar","Apr","May","Jun","Jul","Aug","Sep","Oct","Nov","Dec"},0),VALUE(LEFT(raw_data!C815,2)))))),"")</f>
        <v>45757</v>
      </c>
      <c r="D815" s="3" t="str">
        <f aca="false">IF(TRIM(raw_data!B815)="","Missing",IF(B815="","Invalid/Unrecognized","Valid"))</f>
        <v>Valid</v>
      </c>
      <c r="E815" s="3" t="str">
        <f aca="false">IF(TRIM(raw_data!C815)="","Missing",IF(C815="","Invalid/Unrecognized","Valid"))</f>
        <v>Valid</v>
      </c>
      <c r="F815" s="5" t="n">
        <f aca="false">IF(OR(B815="",C815=""),"",C815-B815)</f>
        <v>4</v>
      </c>
      <c r="G815" s="3" t="str">
        <f aca="false">IF(F815="","N/A",IF(F815&lt;0,"Invalid - Ship Before Order","OK"))</f>
        <v>OK</v>
      </c>
      <c r="H815" s="3" t="str">
        <f aca="false">raw_data!D815</f>
        <v>CUST-7848</v>
      </c>
      <c r="I815" s="3" t="str">
        <f aca="false">PROPER(TRIM(raw_data!E815))</f>
        <v>Rohan Mehta</v>
      </c>
      <c r="J815" s="3" t="str">
        <f aca="false">PROPER(TRIM(raw_data!F815))</f>
        <v>Consumer</v>
      </c>
      <c r="K815" s="3" t="str">
        <f aca="false">IF(TRIM(raw_data!G815)="","Unknown",PROPER(TRIM(raw_data!G815)))</f>
        <v>East</v>
      </c>
      <c r="L815" s="3" t="str">
        <f aca="false">IF(TRIM(raw_data!G815)="","Filled - Unknown","OK")</f>
        <v>OK</v>
      </c>
      <c r="M815" s="3" t="str">
        <f aca="false">PROPER(TRIM(raw_data!H815))</f>
        <v>Odisha</v>
      </c>
      <c r="N815" s="3" t="str">
        <f aca="false">PROPER(TRIM(raw_data!I815))</f>
        <v>Bhubaneswar</v>
      </c>
      <c r="O815" s="3" t="str">
        <f aca="false">PROPER(TRIM(raw_data!J815))</f>
        <v>Furniture</v>
      </c>
      <c r="P815" s="3" t="str">
        <f aca="false">PROPER(TRIM(raw_data!K815))</f>
        <v>Bookcases</v>
      </c>
      <c r="Q815" s="3" t="str">
        <f aca="false">TRIM(raw_data!L815)</f>
        <v>Elite Bookcases 988</v>
      </c>
      <c r="R815" s="3" t="str">
        <f aca="false">IF(TRIM(raw_data!M815)="","Unknown",PROPER(TRIM(raw_data!M815)))</f>
        <v>Standard Class</v>
      </c>
      <c r="S815" s="3" t="str">
        <f aca="false">IF(TRIM(raw_data!M815)="","Filled - Unknown","OK")</f>
        <v>OK</v>
      </c>
      <c r="T815" s="6" t="n">
        <f aca="false">raw_data!N815</f>
        <v>2</v>
      </c>
      <c r="U815" s="7" t="n">
        <f aca="false">raw_data!O815</f>
        <v>1337.67</v>
      </c>
      <c r="V815" s="8" t="n">
        <f aca="false">raw_data!P815</f>
        <v>0</v>
      </c>
      <c r="W815" s="8" t="n">
        <f aca="false">IF(raw_data!P815="",0,IF(ISTEXT(raw_data!P815),IF(RIGHT(raw_data!P815,1)="%",VALUE(LEFT(raw_data!P815,LEN(raw_data!P815)-1))/100,VALUE(raw_data!P815)),raw_data!P815))</f>
        <v>0</v>
      </c>
      <c r="X815" s="3" t="str">
        <f aca="false">IF(raw_data!P815="","Missing - Defaulted to 0",IF(W815&lt;0,"Negative - Invalid",IF(W815&gt;0.3,"Above Allowed Range - Invalid","Valid")))</f>
        <v>Valid</v>
      </c>
      <c r="Y815" s="7" t="n">
        <f aca="false">raw_data!Q815</f>
        <v>2675.34</v>
      </c>
      <c r="Z815" s="7" t="n">
        <f aca="false">raw_data!R815</f>
        <v>1595.87</v>
      </c>
      <c r="AA815" s="7" t="n">
        <f aca="false">raw_data!S815</f>
        <v>1079.47</v>
      </c>
      <c r="AB815" s="3" t="str">
        <f aca="false">PROPER(TRIM(raw_data!T815))</f>
        <v>Paid</v>
      </c>
      <c r="AC815" s="3" t="str">
        <f aca="false">PROPER(TRIM(raw_data!U815))</f>
        <v>Completed</v>
      </c>
      <c r="AD815" s="7" t="n">
        <f aca="false">T815*U815*(1-W815)</f>
        <v>2675.34</v>
      </c>
      <c r="AE815" s="7" t="n">
        <f aca="false">AD815-Z815</f>
        <v>1079.47</v>
      </c>
      <c r="AF815" s="8" t="n">
        <f aca="false">IF(AD815=0,0,AE815/AD815)</f>
        <v>0.403488902345123</v>
      </c>
      <c r="AG815" s="3" t="str">
        <f aca="false">IF(ABS(Y815-AD815)&gt;1,"Mismatch","OK")</f>
        <v>OK</v>
      </c>
      <c r="AH815" s="3" t="str">
        <f aca="false">IF(ABS(AA815-AE815)&gt;1,"Mismatch","OK")</f>
        <v>OK</v>
      </c>
      <c r="AI815" s="6" t="n">
        <f aca="false">IF(B815="","",MONTH(B815))</f>
        <v>4</v>
      </c>
      <c r="AJ815" s="6" t="n">
        <f aca="false">IF(B815="","",YEAR(B815))</f>
        <v>2025</v>
      </c>
      <c r="AK815" s="3" t="str">
        <f aca="false">IF(COUNTIF(raw_data!$A$2:$A$913,A815)&gt;1,"Conflicting Duplicate - Flagged for Review","Unique")</f>
        <v>Unique</v>
      </c>
      <c r="AL815" s="3" t="str">
        <f aca="false">IF(AB815="Refunded","Yes","No")</f>
        <v>No</v>
      </c>
      <c r="AM815" s="3" t="str">
        <f aca="false">IF(OR(AC815&lt;&gt;"Completed",AB815="Failed"),"Excluded","Included")</f>
        <v>Included</v>
      </c>
      <c r="AN815" s="3" t="str">
        <f aca="false">IF(OR(D815="Invalid/Unrecognized",E815="Invalid/Unrecognized",G815="Invalid - Ship Before Order",X815="Negative - Invalid",X815="Above Allowed Range - Invalid",AG815="Mismatch",AH815="Mismatch",AK815="Conflicting Duplicate - Flagged for Review"),"Invalid",IF(OR(L815="Filled - Unknown",S815="Filled - Unknown",X815="Missing - Defaulted to 0",AL815="Yes",AC815="Cancelled",AC815="Returned"),"Warning","Clean"))</f>
        <v>Clean</v>
      </c>
    </row>
    <row r="816" customFormat="false" ht="15" hidden="false" customHeight="false" outlineLevel="0" collapsed="false">
      <c r="A816" s="3" t="str">
        <f aca="false">raw_data!A816</f>
        <v>ORD-2025-10815</v>
      </c>
      <c r="B816" s="4" t="n">
        <f aca="false">IFERROR(IF(MID(raw_data!B816,3,1)="/",DATE(VALUE(RIGHT(raw_data!B816,4)),VALUE(LEFT(raw_data!B816,2)),VALUE(MID(raw_data!B816,4,2))),IF(MID(raw_data!B816,3,1)="-",DATE(VALUE(RIGHT(raw_data!B816,4)),VALUE(MID(raw_data!B816,4,2)),VALUE(LEFT(raw_data!B816,2))),IF(MID(raw_data!B816,5,1)="-",DATE(VALUE(LEFT(raw_data!B816,4)),VALUE(MID(raw_data!B816,6,2)),VALUE(RIGHT(raw_data!B816,2))),DATE(VALUE(RIGHT(raw_data!B816,4)),MATCH(MID(raw_data!B816,4,3),{"Jan","Feb","Mar","Apr","May","Jun","Jul","Aug","Sep","Oct","Nov","Dec"},0),VALUE(LEFT(raw_data!B816,2)))))),"")</f>
        <v>45875</v>
      </c>
      <c r="C816" s="4" t="n">
        <f aca="false">IFERROR(IF(MID(raw_data!C816,3,1)="/",DATE(VALUE(RIGHT(raw_data!C816,4)),VALUE(LEFT(raw_data!C816,2)),VALUE(MID(raw_data!C816,4,2))),IF(MID(raw_data!C816,3,1)="-",DATE(VALUE(RIGHT(raw_data!C816,4)),VALUE(MID(raw_data!C816,4,2)),VALUE(LEFT(raw_data!C816,2))),IF(MID(raw_data!C816,5,1)="-",DATE(VALUE(LEFT(raw_data!C816,4)),VALUE(MID(raw_data!C816,6,2)),VALUE(RIGHT(raw_data!C816,2))),DATE(VALUE(RIGHT(raw_data!C816,4)),MATCH(MID(raw_data!C816,4,3),{"Jan","Feb","Mar","Apr","May","Jun","Jul","Aug","Sep","Oct","Nov","Dec"},0),VALUE(LEFT(raw_data!C816,2)))))),"")</f>
        <v>45880</v>
      </c>
      <c r="D816" s="3" t="str">
        <f aca="false">IF(TRIM(raw_data!B816)="","Missing",IF(B816="","Invalid/Unrecognized","Valid"))</f>
        <v>Valid</v>
      </c>
      <c r="E816" s="3" t="str">
        <f aca="false">IF(TRIM(raw_data!C816)="","Missing",IF(C816="","Invalid/Unrecognized","Valid"))</f>
        <v>Valid</v>
      </c>
      <c r="F816" s="5" t="n">
        <f aca="false">IF(OR(B816="",C816=""),"",C816-B816)</f>
        <v>5</v>
      </c>
      <c r="G816" s="3" t="str">
        <f aca="false">IF(F816="","N/A",IF(F816&lt;0,"Invalid - Ship Before Order","OK"))</f>
        <v>OK</v>
      </c>
      <c r="H816" s="3" t="str">
        <f aca="false">raw_data!D816</f>
        <v>CUST-9048</v>
      </c>
      <c r="I816" s="3" t="str">
        <f aca="false">PROPER(TRIM(raw_data!E816))</f>
        <v>Arjun Bose</v>
      </c>
      <c r="J816" s="3" t="str">
        <f aca="false">PROPER(TRIM(raw_data!F816))</f>
        <v>Consumer</v>
      </c>
      <c r="K816" s="3" t="str">
        <f aca="false">IF(TRIM(raw_data!G816)="","Unknown",PROPER(TRIM(raw_data!G816)))</f>
        <v>West</v>
      </c>
      <c r="L816" s="3" t="str">
        <f aca="false">IF(TRIM(raw_data!G816)="","Filled - Unknown","OK")</f>
        <v>OK</v>
      </c>
      <c r="M816" s="3" t="str">
        <f aca="false">PROPER(TRIM(raw_data!H816))</f>
        <v>Madhya Pradesh</v>
      </c>
      <c r="N816" s="3" t="str">
        <f aca="false">PROPER(TRIM(raw_data!I816))</f>
        <v>Indore</v>
      </c>
      <c r="O816" s="3" t="str">
        <f aca="false">PROPER(TRIM(raw_data!J816))</f>
        <v>Office Supplies</v>
      </c>
      <c r="P816" s="3" t="str">
        <f aca="false">PROPER(TRIM(raw_data!K816))</f>
        <v>Labels</v>
      </c>
      <c r="Q816" s="3" t="str">
        <f aca="false">TRIM(raw_data!L816)</f>
        <v>Smart Labels 126</v>
      </c>
      <c r="R816" s="3" t="str">
        <f aca="false">IF(TRIM(raw_data!M816)="","Unknown",PROPER(TRIM(raw_data!M816)))</f>
        <v>First Class</v>
      </c>
      <c r="S816" s="3" t="str">
        <f aca="false">IF(TRIM(raw_data!M816)="","Filled - Unknown","OK")</f>
        <v>OK</v>
      </c>
      <c r="T816" s="6" t="n">
        <f aca="false">raw_data!N816</f>
        <v>2</v>
      </c>
      <c r="U816" s="7" t="n">
        <f aca="false">raw_data!O816</f>
        <v>2375.94</v>
      </c>
      <c r="V816" s="8" t="n">
        <f aca="false">raw_data!P816</f>
        <v>0.25</v>
      </c>
      <c r="W816" s="8" t="n">
        <f aca="false">IF(raw_data!P816="",0,IF(ISTEXT(raw_data!P816),IF(RIGHT(raw_data!P816,1)="%",VALUE(LEFT(raw_data!P816,LEN(raw_data!P816)-1))/100,VALUE(raw_data!P816)),raw_data!P816))</f>
        <v>0.25</v>
      </c>
      <c r="X816" s="3" t="str">
        <f aca="false">IF(raw_data!P816="","Missing - Defaulted to 0",IF(W816&lt;0,"Negative - Invalid",IF(W816&gt;0.3,"Above Allowed Range - Invalid","Valid")))</f>
        <v>Valid</v>
      </c>
      <c r="Y816" s="7" t="n">
        <f aca="false">raw_data!Q816</f>
        <v>3563.91</v>
      </c>
      <c r="Z816" s="7" t="n">
        <f aca="false">raw_data!R816</f>
        <v>2639.7</v>
      </c>
      <c r="AA816" s="7" t="n">
        <f aca="false">raw_data!S816</f>
        <v>924.21</v>
      </c>
      <c r="AB816" s="3" t="str">
        <f aca="false">PROPER(TRIM(raw_data!T816))</f>
        <v>Paid</v>
      </c>
      <c r="AC816" s="3" t="str">
        <f aca="false">PROPER(TRIM(raw_data!U816))</f>
        <v>Completed</v>
      </c>
      <c r="AD816" s="7" t="n">
        <f aca="false">T816*U816*(1-W816)</f>
        <v>3563.91</v>
      </c>
      <c r="AE816" s="7" t="n">
        <f aca="false">AD816-Z816</f>
        <v>924.21</v>
      </c>
      <c r="AF816" s="8" t="n">
        <f aca="false">IF(AD816=0,0,AE816/AD816)</f>
        <v>0.259324730422485</v>
      </c>
      <c r="AG816" s="3" t="str">
        <f aca="false">IF(ABS(Y816-AD816)&gt;1,"Mismatch","OK")</f>
        <v>OK</v>
      </c>
      <c r="AH816" s="3" t="str">
        <f aca="false">IF(ABS(AA816-AE816)&gt;1,"Mismatch","OK")</f>
        <v>OK</v>
      </c>
      <c r="AI816" s="6" t="n">
        <f aca="false">IF(B816="","",MONTH(B816))</f>
        <v>8</v>
      </c>
      <c r="AJ816" s="6" t="n">
        <f aca="false">IF(B816="","",YEAR(B816))</f>
        <v>2025</v>
      </c>
      <c r="AK816" s="3" t="str">
        <f aca="false">IF(COUNTIF(raw_data!$A$2:$A$913,A816)&gt;1,"Conflicting Duplicate - Flagged for Review","Unique")</f>
        <v>Unique</v>
      </c>
      <c r="AL816" s="3" t="str">
        <f aca="false">IF(AB816="Refunded","Yes","No")</f>
        <v>No</v>
      </c>
      <c r="AM816" s="3" t="str">
        <f aca="false">IF(OR(AC816&lt;&gt;"Completed",AB816="Failed"),"Excluded","Included")</f>
        <v>Included</v>
      </c>
      <c r="AN816" s="3" t="str">
        <f aca="false">IF(OR(D816="Invalid/Unrecognized",E816="Invalid/Unrecognized",G816="Invalid - Ship Before Order",X816="Negative - Invalid",X816="Above Allowed Range - Invalid",AG816="Mismatch",AH816="Mismatch",AK816="Conflicting Duplicate - Flagged for Review"),"Invalid",IF(OR(L816="Filled - Unknown",S816="Filled - Unknown",X816="Missing - Defaulted to 0",AL816="Yes",AC816="Cancelled",AC816="Returned"),"Warning","Clean"))</f>
        <v>Clean</v>
      </c>
    </row>
    <row r="817" customFormat="false" ht="15" hidden="false" customHeight="false" outlineLevel="0" collapsed="false">
      <c r="A817" s="3" t="str">
        <f aca="false">raw_data!A817</f>
        <v>ORD-2024-10816</v>
      </c>
      <c r="B817" s="4" t="n">
        <f aca="false">IFERROR(IF(MID(raw_data!B817,3,1)="/",DATE(VALUE(RIGHT(raw_data!B817,4)),VALUE(LEFT(raw_data!B817,2)),VALUE(MID(raw_data!B817,4,2))),IF(MID(raw_data!B817,3,1)="-",DATE(VALUE(RIGHT(raw_data!B817,4)),VALUE(MID(raw_data!B817,4,2)),VALUE(LEFT(raw_data!B817,2))),IF(MID(raw_data!B817,5,1)="-",DATE(VALUE(LEFT(raw_data!B817,4)),VALUE(MID(raw_data!B817,6,2)),VALUE(RIGHT(raw_data!B817,2))),DATE(VALUE(RIGHT(raw_data!B817,4)),MATCH(MID(raw_data!B817,4,3),{"Jan","Feb","Mar","Apr","May","Jun","Jul","Aug","Sep","Oct","Nov","Dec"},0),VALUE(LEFT(raw_data!B817,2)))))),"")</f>
        <v>45383</v>
      </c>
      <c r="C817" s="4" t="n">
        <f aca="false">IFERROR(IF(MID(raw_data!C817,3,1)="/",DATE(VALUE(RIGHT(raw_data!C817,4)),VALUE(LEFT(raw_data!C817,2)),VALUE(MID(raw_data!C817,4,2))),IF(MID(raw_data!C817,3,1)="-",DATE(VALUE(RIGHT(raw_data!C817,4)),VALUE(MID(raw_data!C817,4,2)),VALUE(LEFT(raw_data!C817,2))),IF(MID(raw_data!C817,5,1)="-",DATE(VALUE(LEFT(raw_data!C817,4)),VALUE(MID(raw_data!C817,6,2)),VALUE(RIGHT(raw_data!C817,2))),DATE(VALUE(RIGHT(raw_data!C817,4)),MATCH(MID(raw_data!C817,4,3),{"Jan","Feb","Mar","Apr","May","Jun","Jul","Aug","Sep","Oct","Nov","Dec"},0),VALUE(LEFT(raw_data!C817,2)))))),"")</f>
        <v>45390</v>
      </c>
      <c r="D817" s="3" t="str">
        <f aca="false">IF(TRIM(raw_data!B817)="","Missing",IF(B817="","Invalid/Unrecognized","Valid"))</f>
        <v>Valid</v>
      </c>
      <c r="E817" s="3" t="str">
        <f aca="false">IF(TRIM(raw_data!C817)="","Missing",IF(C817="","Invalid/Unrecognized","Valid"))</f>
        <v>Valid</v>
      </c>
      <c r="F817" s="5" t="n">
        <f aca="false">IF(OR(B817="",C817=""),"",C817-B817)</f>
        <v>7</v>
      </c>
      <c r="G817" s="3" t="str">
        <f aca="false">IF(F817="","N/A",IF(F817&lt;0,"Invalid - Ship Before Order","OK"))</f>
        <v>OK</v>
      </c>
      <c r="H817" s="3" t="str">
        <f aca="false">raw_data!D817</f>
        <v>CUST-2951</v>
      </c>
      <c r="I817" s="3" t="str">
        <f aca="false">PROPER(TRIM(raw_data!E817))</f>
        <v>Diya Patel</v>
      </c>
      <c r="J817" s="3" t="str">
        <f aca="false">PROPER(TRIM(raw_data!F817))</f>
        <v>Consumer</v>
      </c>
      <c r="K817" s="3" t="str">
        <f aca="false">IF(TRIM(raw_data!G817)="","Unknown",PROPER(TRIM(raw_data!G817)))</f>
        <v>East</v>
      </c>
      <c r="L817" s="3" t="str">
        <f aca="false">IF(TRIM(raw_data!G817)="","Filled - Unknown","OK")</f>
        <v>OK</v>
      </c>
      <c r="M817" s="3" t="str">
        <f aca="false">PROPER(TRIM(raw_data!H817))</f>
        <v>Odisha</v>
      </c>
      <c r="N817" s="3" t="str">
        <f aca="false">PROPER(TRIM(raw_data!I817))</f>
        <v>Bhubaneswar</v>
      </c>
      <c r="O817" s="3" t="str">
        <f aca="false">PROPER(TRIM(raw_data!J817))</f>
        <v>Technology</v>
      </c>
      <c r="P817" s="3" t="str">
        <f aca="false">PROPER(TRIM(raw_data!K817))</f>
        <v>Machines</v>
      </c>
      <c r="Q817" s="3" t="str">
        <f aca="false">TRIM(raw_data!L817)</f>
        <v>Max Machines 569</v>
      </c>
      <c r="R817" s="3" t="str">
        <f aca="false">IF(TRIM(raw_data!M817)="","Unknown",PROPER(TRIM(raw_data!M817)))</f>
        <v>Standard Class</v>
      </c>
      <c r="S817" s="3" t="str">
        <f aca="false">IF(TRIM(raw_data!M817)="","Filled - Unknown","OK")</f>
        <v>OK</v>
      </c>
      <c r="T817" s="6" t="n">
        <f aca="false">raw_data!N817</f>
        <v>7</v>
      </c>
      <c r="U817" s="7" t="n">
        <f aca="false">raw_data!O817</f>
        <v>715.81</v>
      </c>
      <c r="V817" s="8" t="n">
        <f aca="false">raw_data!P817</f>
        <v>0.15</v>
      </c>
      <c r="W817" s="8" t="n">
        <f aca="false">IF(raw_data!P817="",0,IF(ISTEXT(raw_data!P817),IF(RIGHT(raw_data!P817,1)="%",VALUE(LEFT(raw_data!P817,LEN(raw_data!P817)-1))/100,VALUE(raw_data!P817)),raw_data!P817))</f>
        <v>0.15</v>
      </c>
      <c r="X817" s="3" t="str">
        <f aca="false">IF(raw_data!P817="","Missing - Defaulted to 0",IF(W817&lt;0,"Negative - Invalid",IF(W817&gt;0.3,"Above Allowed Range - Invalid","Valid")))</f>
        <v>Valid</v>
      </c>
      <c r="Y817" s="7" t="n">
        <f aca="false">raw_data!Q817</f>
        <v>4259.07</v>
      </c>
      <c r="Z817" s="7" t="n">
        <f aca="false">raw_data!R817</f>
        <v>3130.32</v>
      </c>
      <c r="AA817" s="7" t="n">
        <f aca="false">raw_data!S817</f>
        <v>1128.75</v>
      </c>
      <c r="AB817" s="3" t="str">
        <f aca="false">PROPER(TRIM(raw_data!T817))</f>
        <v>Pending</v>
      </c>
      <c r="AC817" s="3" t="str">
        <f aca="false">PROPER(TRIM(raw_data!U817))</f>
        <v>Cancelled</v>
      </c>
      <c r="AD817" s="7" t="n">
        <f aca="false">T817*U817*(1-W817)</f>
        <v>4259.0695</v>
      </c>
      <c r="AE817" s="7" t="n">
        <f aca="false">AD817-Z817</f>
        <v>1128.7495</v>
      </c>
      <c r="AF817" s="8" t="n">
        <f aca="false">IF(AD817=0,0,AE817/AD817)</f>
        <v>0.265022559505075</v>
      </c>
      <c r="AG817" s="3" t="str">
        <f aca="false">IF(ABS(Y817-AD817)&gt;1,"Mismatch","OK")</f>
        <v>OK</v>
      </c>
      <c r="AH817" s="3" t="str">
        <f aca="false">IF(ABS(AA817-AE817)&gt;1,"Mismatch","OK")</f>
        <v>OK</v>
      </c>
      <c r="AI817" s="6" t="n">
        <f aca="false">IF(B817="","",MONTH(B817))</f>
        <v>4</v>
      </c>
      <c r="AJ817" s="6" t="n">
        <f aca="false">IF(B817="","",YEAR(B817))</f>
        <v>2024</v>
      </c>
      <c r="AK817" s="3" t="str">
        <f aca="false">IF(COUNTIF(raw_data!$A$2:$A$913,A817)&gt;1,"Conflicting Duplicate - Flagged for Review","Unique")</f>
        <v>Unique</v>
      </c>
      <c r="AL817" s="3" t="str">
        <f aca="false">IF(AB817="Refunded","Yes","No")</f>
        <v>No</v>
      </c>
      <c r="AM817" s="3" t="str">
        <f aca="false">IF(OR(AC817&lt;&gt;"Completed",AB817="Failed"),"Excluded","Included")</f>
        <v>Excluded</v>
      </c>
      <c r="AN817" s="3" t="str">
        <f aca="false">IF(OR(D817="Invalid/Unrecognized",E817="Invalid/Unrecognized",G817="Invalid - Ship Before Order",X817="Negative - Invalid",X817="Above Allowed Range - Invalid",AG817="Mismatch",AH817="Mismatch",AK817="Conflicting Duplicate - Flagged for Review"),"Invalid",IF(OR(L817="Filled - Unknown",S817="Filled - Unknown",X817="Missing - Defaulted to 0",AL817="Yes",AC817="Cancelled",AC817="Returned"),"Warning","Clean"))</f>
        <v>Warning</v>
      </c>
    </row>
    <row r="818" customFormat="false" ht="15" hidden="false" customHeight="false" outlineLevel="0" collapsed="false">
      <c r="A818" s="3" t="str">
        <f aca="false">raw_data!A818</f>
        <v>ORD-2024-10817</v>
      </c>
      <c r="B818" s="4" t="n">
        <f aca="false">IFERROR(IF(MID(raw_data!B818,3,1)="/",DATE(VALUE(RIGHT(raw_data!B818,4)),VALUE(LEFT(raw_data!B818,2)),VALUE(MID(raw_data!B818,4,2))),IF(MID(raw_data!B818,3,1)="-",DATE(VALUE(RIGHT(raw_data!B818,4)),VALUE(MID(raw_data!B818,4,2)),VALUE(LEFT(raw_data!B818,2))),IF(MID(raw_data!B818,5,1)="-",DATE(VALUE(LEFT(raw_data!B818,4)),VALUE(MID(raw_data!B818,6,2)),VALUE(RIGHT(raw_data!B818,2))),DATE(VALUE(RIGHT(raw_data!B818,4)),MATCH(MID(raw_data!B818,4,3),{"Jan","Feb","Mar","Apr","May","Jun","Jul","Aug","Sep","Oct","Nov","Dec"},0),VALUE(LEFT(raw_data!B818,2)))))),"")</f>
        <v>45623</v>
      </c>
      <c r="C818" s="4" t="n">
        <f aca="false">IFERROR(IF(MID(raw_data!C818,3,1)="/",DATE(VALUE(RIGHT(raw_data!C818,4)),VALUE(LEFT(raw_data!C818,2)),VALUE(MID(raw_data!C818,4,2))),IF(MID(raw_data!C818,3,1)="-",DATE(VALUE(RIGHT(raw_data!C818,4)),VALUE(MID(raw_data!C818,4,2)),VALUE(LEFT(raw_data!C818,2))),IF(MID(raw_data!C818,5,1)="-",DATE(VALUE(LEFT(raw_data!C818,4)),VALUE(MID(raw_data!C818,6,2)),VALUE(RIGHT(raw_data!C818,2))),DATE(VALUE(RIGHT(raw_data!C818,4)),MATCH(MID(raw_data!C818,4,3),{"Jan","Feb","Mar","Apr","May","Jun","Jul","Aug","Sep","Oct","Nov","Dec"},0),VALUE(LEFT(raw_data!C818,2)))))),"")</f>
        <v>45626</v>
      </c>
      <c r="D818" s="3" t="str">
        <f aca="false">IF(TRIM(raw_data!B818)="","Missing",IF(B818="","Invalid/Unrecognized","Valid"))</f>
        <v>Valid</v>
      </c>
      <c r="E818" s="3" t="str">
        <f aca="false">IF(TRIM(raw_data!C818)="","Missing",IF(C818="","Invalid/Unrecognized","Valid"))</f>
        <v>Valid</v>
      </c>
      <c r="F818" s="5" t="n">
        <f aca="false">IF(OR(B818="",C818=""),"",C818-B818)</f>
        <v>3</v>
      </c>
      <c r="G818" s="3" t="str">
        <f aca="false">IF(F818="","N/A",IF(F818&lt;0,"Invalid - Ship Before Order","OK"))</f>
        <v>OK</v>
      </c>
      <c r="H818" s="3" t="str">
        <f aca="false">raw_data!D818</f>
        <v>CUST-3072</v>
      </c>
      <c r="I818" s="3" t="str">
        <f aca="false">PROPER(TRIM(raw_data!E818))</f>
        <v>Rahul Verma</v>
      </c>
      <c r="J818" s="3" t="str">
        <f aca="false">PROPER(TRIM(raw_data!F818))</f>
        <v>Small Business</v>
      </c>
      <c r="K818" s="3" t="str">
        <f aca="false">IF(TRIM(raw_data!G818)="","Unknown",PROPER(TRIM(raw_data!G818)))</f>
        <v>East</v>
      </c>
      <c r="L818" s="3" t="str">
        <f aca="false">IF(TRIM(raw_data!G818)="","Filled - Unknown","OK")</f>
        <v>OK</v>
      </c>
      <c r="M818" s="3" t="str">
        <f aca="false">PROPER(TRIM(raw_data!H818))</f>
        <v>Jharkhand</v>
      </c>
      <c r="N818" s="3" t="str">
        <f aca="false">PROPER(TRIM(raw_data!I818))</f>
        <v>Ranchi</v>
      </c>
      <c r="O818" s="3" t="str">
        <f aca="false">PROPER(TRIM(raw_data!J818))</f>
        <v>Furniture</v>
      </c>
      <c r="P818" s="3" t="str">
        <f aca="false">PROPER(TRIM(raw_data!K818))</f>
        <v>Furnishings</v>
      </c>
      <c r="Q818" s="3" t="str">
        <f aca="false">TRIM(raw_data!L818)</f>
        <v>Basic Furnishings 306</v>
      </c>
      <c r="R818" s="3" t="str">
        <f aca="false">IF(TRIM(raw_data!M818)="","Unknown",PROPER(TRIM(raw_data!M818)))</f>
        <v>First Class</v>
      </c>
      <c r="S818" s="3" t="str">
        <f aca="false">IF(TRIM(raw_data!M818)="","Filled - Unknown","OK")</f>
        <v>OK</v>
      </c>
      <c r="T818" s="6" t="n">
        <f aca="false">raw_data!N818</f>
        <v>1</v>
      </c>
      <c r="U818" s="7" t="n">
        <f aca="false">raw_data!O818</f>
        <v>874.3</v>
      </c>
      <c r="V818" s="8" t="n">
        <f aca="false">raw_data!P818</f>
        <v>0.1</v>
      </c>
      <c r="W818" s="8" t="n">
        <f aca="false">IF(raw_data!P818="",0,IF(ISTEXT(raw_data!P818),IF(RIGHT(raw_data!P818,1)="%",VALUE(LEFT(raw_data!P818,LEN(raw_data!P818)-1))/100,VALUE(raw_data!P818)),raw_data!P818))</f>
        <v>0.1</v>
      </c>
      <c r="X818" s="3" t="str">
        <f aca="false">IF(raw_data!P818="","Missing - Defaulted to 0",IF(W818&lt;0,"Negative - Invalid",IF(W818&gt;0.3,"Above Allowed Range - Invalid","Valid")))</f>
        <v>Valid</v>
      </c>
      <c r="Y818" s="7" t="n">
        <f aca="false">raw_data!Q818</f>
        <v>786.87</v>
      </c>
      <c r="Z818" s="7" t="n">
        <f aca="false">raw_data!R818</f>
        <v>498.5</v>
      </c>
      <c r="AA818" s="7" t="n">
        <f aca="false">raw_data!S818</f>
        <v>288.37</v>
      </c>
      <c r="AB818" s="3" t="str">
        <f aca="false">PROPER(TRIM(raw_data!T818))</f>
        <v>Paid</v>
      </c>
      <c r="AC818" s="3" t="str">
        <f aca="false">PROPER(TRIM(raw_data!U818))</f>
        <v>Completed</v>
      </c>
      <c r="AD818" s="7" t="n">
        <f aca="false">T818*U818*(1-W818)</f>
        <v>786.87</v>
      </c>
      <c r="AE818" s="7" t="n">
        <f aca="false">AD818-Z818</f>
        <v>288.37</v>
      </c>
      <c r="AF818" s="8" t="n">
        <f aca="false">IF(AD818=0,0,AE818/AD818)</f>
        <v>0.366477308831192</v>
      </c>
      <c r="AG818" s="3" t="str">
        <f aca="false">IF(ABS(Y818-AD818)&gt;1,"Mismatch","OK")</f>
        <v>OK</v>
      </c>
      <c r="AH818" s="3" t="str">
        <f aca="false">IF(ABS(AA818-AE818)&gt;1,"Mismatch","OK")</f>
        <v>OK</v>
      </c>
      <c r="AI818" s="6" t="n">
        <f aca="false">IF(B818="","",MONTH(B818))</f>
        <v>11</v>
      </c>
      <c r="AJ818" s="6" t="n">
        <f aca="false">IF(B818="","",YEAR(B818))</f>
        <v>2024</v>
      </c>
      <c r="AK818" s="3" t="str">
        <f aca="false">IF(COUNTIF(raw_data!$A$2:$A$913,A818)&gt;1,"Conflicting Duplicate - Flagged for Review","Unique")</f>
        <v>Unique</v>
      </c>
      <c r="AL818" s="3" t="str">
        <f aca="false">IF(AB818="Refunded","Yes","No")</f>
        <v>No</v>
      </c>
      <c r="AM818" s="3" t="str">
        <f aca="false">IF(OR(AC818&lt;&gt;"Completed",AB818="Failed"),"Excluded","Included")</f>
        <v>Included</v>
      </c>
      <c r="AN818" s="3" t="str">
        <f aca="false">IF(OR(D818="Invalid/Unrecognized",E818="Invalid/Unrecognized",G818="Invalid - Ship Before Order",X818="Negative - Invalid",X818="Above Allowed Range - Invalid",AG818="Mismatch",AH818="Mismatch",AK818="Conflicting Duplicate - Flagged for Review"),"Invalid",IF(OR(L818="Filled - Unknown",S818="Filled - Unknown",X818="Missing - Defaulted to 0",AL818="Yes",AC818="Cancelled",AC818="Returned"),"Warning","Clean"))</f>
        <v>Clean</v>
      </c>
    </row>
    <row r="819" customFormat="false" ht="15" hidden="false" customHeight="false" outlineLevel="0" collapsed="false">
      <c r="A819" s="3" t="str">
        <f aca="false">raw_data!A819</f>
        <v>ORD-2025-10818</v>
      </c>
      <c r="B819" s="4" t="n">
        <f aca="false">IFERROR(IF(MID(raw_data!B819,3,1)="/",DATE(VALUE(RIGHT(raw_data!B819,4)),VALUE(LEFT(raw_data!B819,2)),VALUE(MID(raw_data!B819,4,2))),IF(MID(raw_data!B819,3,1)="-",DATE(VALUE(RIGHT(raw_data!B819,4)),VALUE(MID(raw_data!B819,4,2)),VALUE(LEFT(raw_data!B819,2))),IF(MID(raw_data!B819,5,1)="-",DATE(VALUE(LEFT(raw_data!B819,4)),VALUE(MID(raw_data!B819,6,2)),VALUE(RIGHT(raw_data!B819,2))),DATE(VALUE(RIGHT(raw_data!B819,4)),MATCH(MID(raw_data!B819,4,3),{"Jan","Feb","Mar","Apr","May","Jun","Jul","Aug","Sep","Oct","Nov","Dec"},0),VALUE(LEFT(raw_data!B819,2)))))),"")</f>
        <v>45752</v>
      </c>
      <c r="C819" s="4" t="n">
        <f aca="false">IFERROR(IF(MID(raw_data!C819,3,1)="/",DATE(VALUE(RIGHT(raw_data!C819,4)),VALUE(LEFT(raw_data!C819,2)),VALUE(MID(raw_data!C819,4,2))),IF(MID(raw_data!C819,3,1)="-",DATE(VALUE(RIGHT(raw_data!C819,4)),VALUE(MID(raw_data!C819,4,2)),VALUE(LEFT(raw_data!C819,2))),IF(MID(raw_data!C819,5,1)="-",DATE(VALUE(LEFT(raw_data!C819,4)),VALUE(MID(raw_data!C819,6,2)),VALUE(RIGHT(raw_data!C819,2))),DATE(VALUE(RIGHT(raw_data!C819,4)),MATCH(MID(raw_data!C819,4,3),{"Jan","Feb","Mar","Apr","May","Jun","Jul","Aug","Sep","Oct","Nov","Dec"},0),VALUE(LEFT(raw_data!C819,2)))))),"")</f>
        <v>45752</v>
      </c>
      <c r="D819" s="3" t="str">
        <f aca="false">IF(TRIM(raw_data!B819)="","Missing",IF(B819="","Invalid/Unrecognized","Valid"))</f>
        <v>Valid</v>
      </c>
      <c r="E819" s="3" t="str">
        <f aca="false">IF(TRIM(raw_data!C819)="","Missing",IF(C819="","Invalid/Unrecognized","Valid"))</f>
        <v>Valid</v>
      </c>
      <c r="F819" s="5" t="n">
        <f aca="false">IF(OR(B819="",C819=""),"",C819-B819)</f>
        <v>0</v>
      </c>
      <c r="G819" s="3" t="str">
        <f aca="false">IF(F819="","N/A",IF(F819&lt;0,"Invalid - Ship Before Order","OK"))</f>
        <v>OK</v>
      </c>
      <c r="H819" s="3" t="str">
        <f aca="false">raw_data!D819</f>
        <v>CUST-2221</v>
      </c>
      <c r="I819" s="3" t="str">
        <f aca="false">PROPER(TRIM(raw_data!E819))</f>
        <v>Sneha Kapoor</v>
      </c>
      <c r="J819" s="3" t="str">
        <f aca="false">PROPER(TRIM(raw_data!F819))</f>
        <v>Consumer</v>
      </c>
      <c r="K819" s="3" t="str">
        <f aca="false">IF(TRIM(raw_data!G819)="","Unknown",PROPER(TRIM(raw_data!G819)))</f>
        <v>East</v>
      </c>
      <c r="L819" s="3" t="str">
        <f aca="false">IF(TRIM(raw_data!G819)="","Filled - Unknown","OK")</f>
        <v>OK</v>
      </c>
      <c r="M819" s="3" t="str">
        <f aca="false">PROPER(TRIM(raw_data!H819))</f>
        <v>Bihar</v>
      </c>
      <c r="N819" s="3" t="str">
        <f aca="false">PROPER(TRIM(raw_data!I819))</f>
        <v>Patna</v>
      </c>
      <c r="O819" s="3" t="str">
        <f aca="false">PROPER(TRIM(raw_data!J819))</f>
        <v>Office Supplies</v>
      </c>
      <c r="P819" s="3" t="str">
        <f aca="false">PROPER(TRIM(raw_data!K819))</f>
        <v>Binders</v>
      </c>
      <c r="Q819" s="3" t="str">
        <f aca="false">TRIM(raw_data!L819)</f>
        <v>Classic Binders 873</v>
      </c>
      <c r="R819" s="3" t="str">
        <f aca="false">IF(TRIM(raw_data!M819)="","Unknown",PROPER(TRIM(raw_data!M819)))</f>
        <v>Standard Class</v>
      </c>
      <c r="S819" s="3" t="str">
        <f aca="false">IF(TRIM(raw_data!M819)="","Filled - Unknown","OK")</f>
        <v>OK</v>
      </c>
      <c r="T819" s="6" t="n">
        <f aca="false">raw_data!N819</f>
        <v>6</v>
      </c>
      <c r="U819" s="7" t="n">
        <f aca="false">raw_data!O819</f>
        <v>1829.69</v>
      </c>
      <c r="V819" s="8" t="n">
        <f aca="false">raw_data!P819</f>
        <v>0.25</v>
      </c>
      <c r="W819" s="8" t="n">
        <f aca="false">IF(raw_data!P819="",0,IF(ISTEXT(raw_data!P819),IF(RIGHT(raw_data!P819,1)="%",VALUE(LEFT(raw_data!P819,LEN(raw_data!P819)-1))/100,VALUE(raw_data!P819)),raw_data!P819))</f>
        <v>0.25</v>
      </c>
      <c r="X819" s="3" t="str">
        <f aca="false">IF(raw_data!P819="","Missing - Defaulted to 0",IF(W819&lt;0,"Negative - Invalid",IF(W819&gt;0.3,"Above Allowed Range - Invalid","Valid")))</f>
        <v>Valid</v>
      </c>
      <c r="Y819" s="7" t="n">
        <f aca="false">raw_data!Q819</f>
        <v>8233.6</v>
      </c>
      <c r="Z819" s="7" t="n">
        <f aca="false">raw_data!R819</f>
        <v>4713.79</v>
      </c>
      <c r="AA819" s="7" t="n">
        <f aca="false">raw_data!S819</f>
        <v>3519.81</v>
      </c>
      <c r="AB819" s="3" t="str">
        <f aca="false">PROPER(TRIM(raw_data!T819))</f>
        <v>Paid</v>
      </c>
      <c r="AC819" s="3" t="str">
        <f aca="false">PROPER(TRIM(raw_data!U819))</f>
        <v>Completed</v>
      </c>
      <c r="AD819" s="7" t="n">
        <f aca="false">T819*U819*(1-W819)</f>
        <v>8233.605</v>
      </c>
      <c r="AE819" s="7" t="n">
        <f aca="false">AD819-Z819</f>
        <v>3519.815</v>
      </c>
      <c r="AF819" s="8" t="n">
        <f aca="false">IF(AD819=0,0,AE819/AD819)</f>
        <v>0.427493789172544</v>
      </c>
      <c r="AG819" s="3" t="str">
        <f aca="false">IF(ABS(Y819-AD819)&gt;1,"Mismatch","OK")</f>
        <v>OK</v>
      </c>
      <c r="AH819" s="3" t="str">
        <f aca="false">IF(ABS(AA819-AE819)&gt;1,"Mismatch","OK")</f>
        <v>OK</v>
      </c>
      <c r="AI819" s="6" t="n">
        <f aca="false">IF(B819="","",MONTH(B819))</f>
        <v>4</v>
      </c>
      <c r="AJ819" s="6" t="n">
        <f aca="false">IF(B819="","",YEAR(B819))</f>
        <v>2025</v>
      </c>
      <c r="AK819" s="3" t="str">
        <f aca="false">IF(COUNTIF(raw_data!$A$2:$A$913,A819)&gt;1,"Conflicting Duplicate - Flagged for Review","Unique")</f>
        <v>Unique</v>
      </c>
      <c r="AL819" s="3" t="str">
        <f aca="false">IF(AB819="Refunded","Yes","No")</f>
        <v>No</v>
      </c>
      <c r="AM819" s="3" t="str">
        <f aca="false">IF(OR(AC819&lt;&gt;"Completed",AB819="Failed"),"Excluded","Included")</f>
        <v>Included</v>
      </c>
      <c r="AN819" s="3" t="str">
        <f aca="false">IF(OR(D819="Invalid/Unrecognized",E819="Invalid/Unrecognized",G819="Invalid - Ship Before Order",X819="Negative - Invalid",X819="Above Allowed Range - Invalid",AG819="Mismatch",AH819="Mismatch",AK819="Conflicting Duplicate - Flagged for Review"),"Invalid",IF(OR(L819="Filled - Unknown",S819="Filled - Unknown",X819="Missing - Defaulted to 0",AL819="Yes",AC819="Cancelled",AC819="Returned"),"Warning","Clean"))</f>
        <v>Clean</v>
      </c>
    </row>
    <row r="820" customFormat="false" ht="15" hidden="false" customHeight="false" outlineLevel="0" collapsed="false">
      <c r="A820" s="3" t="str">
        <f aca="false">raw_data!A820</f>
        <v>ORD-2024-10819</v>
      </c>
      <c r="B820" s="4" t="n">
        <f aca="false">IFERROR(IF(MID(raw_data!B820,3,1)="/",DATE(VALUE(RIGHT(raw_data!B820,4)),VALUE(LEFT(raw_data!B820,2)),VALUE(MID(raw_data!B820,4,2))),IF(MID(raw_data!B820,3,1)="-",DATE(VALUE(RIGHT(raw_data!B820,4)),VALUE(MID(raw_data!B820,4,2)),VALUE(LEFT(raw_data!B820,2))),IF(MID(raw_data!B820,5,1)="-",DATE(VALUE(LEFT(raw_data!B820,4)),VALUE(MID(raw_data!B820,6,2)),VALUE(RIGHT(raw_data!B820,2))),DATE(VALUE(RIGHT(raw_data!B820,4)),MATCH(MID(raw_data!B820,4,3),{"Jan","Feb","Mar","Apr","May","Jun","Jul","Aug","Sep","Oct","Nov","Dec"},0),VALUE(LEFT(raw_data!B820,2)))))),"")</f>
        <v>45564</v>
      </c>
      <c r="C820" s="4" t="n">
        <f aca="false">IFERROR(IF(MID(raw_data!C820,3,1)="/",DATE(VALUE(RIGHT(raw_data!C820,4)),VALUE(LEFT(raw_data!C820,2)),VALUE(MID(raw_data!C820,4,2))),IF(MID(raw_data!C820,3,1)="-",DATE(VALUE(RIGHT(raw_data!C820,4)),VALUE(MID(raw_data!C820,4,2)),VALUE(LEFT(raw_data!C820,2))),IF(MID(raw_data!C820,5,1)="-",DATE(VALUE(LEFT(raw_data!C820,4)),VALUE(MID(raw_data!C820,6,2)),VALUE(RIGHT(raw_data!C820,2))),DATE(VALUE(RIGHT(raw_data!C820,4)),MATCH(MID(raw_data!C820,4,3),{"Jan","Feb","Mar","Apr","May","Jun","Jul","Aug","Sep","Oct","Nov","Dec"},0),VALUE(LEFT(raw_data!C820,2)))))),"")</f>
        <v>45570</v>
      </c>
      <c r="D820" s="3" t="str">
        <f aca="false">IF(TRIM(raw_data!B820)="","Missing",IF(B820="","Invalid/Unrecognized","Valid"))</f>
        <v>Valid</v>
      </c>
      <c r="E820" s="3" t="str">
        <f aca="false">IF(TRIM(raw_data!C820)="","Missing",IF(C820="","Invalid/Unrecognized","Valid"))</f>
        <v>Valid</v>
      </c>
      <c r="F820" s="5" t="n">
        <f aca="false">IF(OR(B820="",C820=""),"",C820-B820)</f>
        <v>6</v>
      </c>
      <c r="G820" s="3" t="str">
        <f aca="false">IF(F820="","N/A",IF(F820&lt;0,"Invalid - Ship Before Order","OK"))</f>
        <v>OK</v>
      </c>
      <c r="H820" s="3" t="str">
        <f aca="false">raw_data!D820</f>
        <v>CUST-3943</v>
      </c>
      <c r="I820" s="3" t="str">
        <f aca="false">PROPER(TRIM(raw_data!E820))</f>
        <v>Priya Menon</v>
      </c>
      <c r="J820" s="3" t="str">
        <f aca="false">PROPER(TRIM(raw_data!F820))</f>
        <v>Small Business</v>
      </c>
      <c r="K820" s="3" t="str">
        <f aca="false">IF(TRIM(raw_data!G820)="","Unknown",PROPER(TRIM(raw_data!G820)))</f>
        <v>West</v>
      </c>
      <c r="L820" s="3" t="str">
        <f aca="false">IF(TRIM(raw_data!G820)="","Filled - Unknown","OK")</f>
        <v>OK</v>
      </c>
      <c r="M820" s="3" t="str">
        <f aca="false">PROPER(TRIM(raw_data!H820))</f>
        <v>Maharashtra</v>
      </c>
      <c r="N820" s="3" t="str">
        <f aca="false">PROPER(TRIM(raw_data!I820))</f>
        <v>Mumbai</v>
      </c>
      <c r="O820" s="3" t="str">
        <f aca="false">PROPER(TRIM(raw_data!J820))</f>
        <v>Office Supplies</v>
      </c>
      <c r="P820" s="3" t="str">
        <f aca="false">PROPER(TRIM(raw_data!K820))</f>
        <v>Labels</v>
      </c>
      <c r="Q820" s="3" t="str">
        <f aca="false">TRIM(raw_data!L820)</f>
        <v>Pro Labels 611</v>
      </c>
      <c r="R820" s="3" t="str">
        <f aca="false">IF(TRIM(raw_data!M820)="","Unknown",PROPER(TRIM(raw_data!M820)))</f>
        <v>First Class</v>
      </c>
      <c r="S820" s="3" t="str">
        <f aca="false">IF(TRIM(raw_data!M820)="","Filled - Unknown","OK")</f>
        <v>OK</v>
      </c>
      <c r="T820" s="6" t="n">
        <f aca="false">raw_data!N820</f>
        <v>8</v>
      </c>
      <c r="U820" s="7" t="n">
        <f aca="false">raw_data!O820</f>
        <v>1981.04</v>
      </c>
      <c r="V820" s="8" t="n">
        <f aca="false">raw_data!P820</f>
        <v>-0.14</v>
      </c>
      <c r="W820" s="8" t="n">
        <f aca="false">IF(raw_data!P820="",0,IF(ISTEXT(raw_data!P820),IF(RIGHT(raw_data!P820,1)="%",VALUE(LEFT(raw_data!P820,LEN(raw_data!P820)-1))/100,VALUE(raw_data!P820)),raw_data!P820))</f>
        <v>-0.14</v>
      </c>
      <c r="X820" s="3" t="str">
        <f aca="false">IF(raw_data!P820="","Missing - Defaulted to 0",IF(W820&lt;0,"Negative - Invalid",IF(W820&gt;0.3,"Above Allowed Range - Invalid","Valid")))</f>
        <v>Negative - Invalid</v>
      </c>
      <c r="Y820" s="7" t="n">
        <f aca="false">raw_data!Q820</f>
        <v>12678.66</v>
      </c>
      <c r="Z820" s="7" t="n">
        <f aca="false">raw_data!R820</f>
        <v>10088.65</v>
      </c>
      <c r="AA820" s="7" t="n">
        <f aca="false">raw_data!S820</f>
        <v>2590.01</v>
      </c>
      <c r="AB820" s="3" t="str">
        <f aca="false">PROPER(TRIM(raw_data!T820))</f>
        <v>Paid</v>
      </c>
      <c r="AC820" s="3" t="str">
        <f aca="false">PROPER(TRIM(raw_data!U820))</f>
        <v>Completed</v>
      </c>
      <c r="AD820" s="7" t="n">
        <f aca="false">T820*U820*(1-W820)</f>
        <v>18067.0848</v>
      </c>
      <c r="AE820" s="7" t="n">
        <f aca="false">AD820-Z820</f>
        <v>7978.4348</v>
      </c>
      <c r="AF820" s="8" t="n">
        <f aca="false">IF(AD820=0,0,AE820/AD820)</f>
        <v>0.441600561923526</v>
      </c>
      <c r="AG820" s="3" t="str">
        <f aca="false">IF(ABS(Y820-AD820)&gt;1,"Mismatch","OK")</f>
        <v>Mismatch</v>
      </c>
      <c r="AH820" s="3" t="str">
        <f aca="false">IF(ABS(AA820-AE820)&gt;1,"Mismatch","OK")</f>
        <v>Mismatch</v>
      </c>
      <c r="AI820" s="6" t="n">
        <f aca="false">IF(B820="","",MONTH(B820))</f>
        <v>9</v>
      </c>
      <c r="AJ820" s="6" t="n">
        <f aca="false">IF(B820="","",YEAR(B820))</f>
        <v>2024</v>
      </c>
      <c r="AK820" s="3" t="str">
        <f aca="false">IF(COUNTIF(raw_data!$A$2:$A$913,A820)&gt;1,"Conflicting Duplicate - Flagged for Review","Unique")</f>
        <v>Unique</v>
      </c>
      <c r="AL820" s="3" t="str">
        <f aca="false">IF(AB820="Refunded","Yes","No")</f>
        <v>No</v>
      </c>
      <c r="AM820" s="3" t="str">
        <f aca="false">IF(OR(AC820&lt;&gt;"Completed",AB820="Failed"),"Excluded","Included")</f>
        <v>Included</v>
      </c>
      <c r="AN820" s="3" t="str">
        <f aca="false">IF(OR(D820="Invalid/Unrecognized",E820="Invalid/Unrecognized",G820="Invalid - Ship Before Order",X820="Negative - Invalid",X820="Above Allowed Range - Invalid",AG820="Mismatch",AH820="Mismatch",AK820="Conflicting Duplicate - Flagged for Review"),"Invalid",IF(OR(L820="Filled - Unknown",S820="Filled - Unknown",X820="Missing - Defaulted to 0",AL820="Yes",AC820="Cancelled",AC820="Returned"),"Warning","Clean"))</f>
        <v>Invalid</v>
      </c>
    </row>
    <row r="821" customFormat="false" ht="15" hidden="false" customHeight="false" outlineLevel="0" collapsed="false">
      <c r="A821" s="3" t="str">
        <f aca="false">raw_data!A821</f>
        <v>ORD-2024-10820</v>
      </c>
      <c r="B821" s="4" t="n">
        <f aca="false">IFERROR(IF(MID(raw_data!B821,3,1)="/",DATE(VALUE(RIGHT(raw_data!B821,4)),VALUE(LEFT(raw_data!B821,2)),VALUE(MID(raw_data!B821,4,2))),IF(MID(raw_data!B821,3,1)="-",DATE(VALUE(RIGHT(raw_data!B821,4)),VALUE(MID(raw_data!B821,4,2)),VALUE(LEFT(raw_data!B821,2))),IF(MID(raw_data!B821,5,1)="-",DATE(VALUE(LEFT(raw_data!B821,4)),VALUE(MID(raw_data!B821,6,2)),VALUE(RIGHT(raw_data!B821,2))),DATE(VALUE(RIGHT(raw_data!B821,4)),MATCH(MID(raw_data!B821,4,3),{"Jan","Feb","Mar","Apr","May","Jun","Jul","Aug","Sep","Oct","Nov","Dec"},0),VALUE(LEFT(raw_data!B821,2)))))),"")</f>
        <v>45504</v>
      </c>
      <c r="C821" s="4" t="n">
        <f aca="false">IFERROR(IF(MID(raw_data!C821,3,1)="/",DATE(VALUE(RIGHT(raw_data!C821,4)),VALUE(LEFT(raw_data!C821,2)),VALUE(MID(raw_data!C821,4,2))),IF(MID(raw_data!C821,3,1)="-",DATE(VALUE(RIGHT(raw_data!C821,4)),VALUE(MID(raw_data!C821,4,2)),VALUE(LEFT(raw_data!C821,2))),IF(MID(raw_data!C821,5,1)="-",DATE(VALUE(LEFT(raw_data!C821,4)),VALUE(MID(raw_data!C821,6,2)),VALUE(RIGHT(raw_data!C821,2))),DATE(VALUE(RIGHT(raw_data!C821,4)),MATCH(MID(raw_data!C821,4,3),{"Jan","Feb","Mar","Apr","May","Jun","Jul","Aug","Sep","Oct","Nov","Dec"},0),VALUE(LEFT(raw_data!C821,2)))))),"")</f>
        <v>45504</v>
      </c>
      <c r="D821" s="3" t="str">
        <f aca="false">IF(TRIM(raw_data!B821)="","Missing",IF(B821="","Invalid/Unrecognized","Valid"))</f>
        <v>Valid</v>
      </c>
      <c r="E821" s="3" t="str">
        <f aca="false">IF(TRIM(raw_data!C821)="","Missing",IF(C821="","Invalid/Unrecognized","Valid"))</f>
        <v>Valid</v>
      </c>
      <c r="F821" s="5" t="n">
        <f aca="false">IF(OR(B821="",C821=""),"",C821-B821)</f>
        <v>0</v>
      </c>
      <c r="G821" s="3" t="str">
        <f aca="false">IF(F821="","N/A",IF(F821&lt;0,"Invalid - Ship Before Order","OK"))</f>
        <v>OK</v>
      </c>
      <c r="H821" s="3" t="str">
        <f aca="false">raw_data!D821</f>
        <v>CUST-7510</v>
      </c>
      <c r="I821" s="3" t="str">
        <f aca="false">PROPER(TRIM(raw_data!E821))</f>
        <v>Karan Malhotra</v>
      </c>
      <c r="J821" s="3" t="str">
        <f aca="false">PROPER(TRIM(raw_data!F821))</f>
        <v>Home Office</v>
      </c>
      <c r="K821" s="3" t="str">
        <f aca="false">IF(TRIM(raw_data!G821)="","Unknown",PROPER(TRIM(raw_data!G821)))</f>
        <v>South</v>
      </c>
      <c r="L821" s="3" t="str">
        <f aca="false">IF(TRIM(raw_data!G821)="","Filled - Unknown","OK")</f>
        <v>OK</v>
      </c>
      <c r="M821" s="3" t="str">
        <f aca="false">PROPER(TRIM(raw_data!H821))</f>
        <v>Kerala</v>
      </c>
      <c r="N821" s="3" t="str">
        <f aca="false">PROPER(TRIM(raw_data!I821))</f>
        <v>Kochi</v>
      </c>
      <c r="O821" s="3" t="str">
        <f aca="false">PROPER(TRIM(raw_data!J821))</f>
        <v>Technology</v>
      </c>
      <c r="P821" s="3" t="str">
        <f aca="false">PROPER(TRIM(raw_data!K821))</f>
        <v>Machines</v>
      </c>
      <c r="Q821" s="3" t="str">
        <f aca="false">TRIM(raw_data!L821)</f>
        <v>Prime Machines 524</v>
      </c>
      <c r="R821" s="3" t="str">
        <f aca="false">IF(TRIM(raw_data!M821)="","Unknown",PROPER(TRIM(raw_data!M821)))</f>
        <v>Standard Class</v>
      </c>
      <c r="S821" s="3" t="str">
        <f aca="false">IF(TRIM(raw_data!M821)="","Filled - Unknown","OK")</f>
        <v>OK</v>
      </c>
      <c r="T821" s="6" t="n">
        <f aca="false">raw_data!N821</f>
        <v>8</v>
      </c>
      <c r="U821" s="7" t="n">
        <f aca="false">raw_data!O821</f>
        <v>4246.01</v>
      </c>
      <c r="V821" s="8" t="n">
        <f aca="false">raw_data!P821</f>
        <v>0</v>
      </c>
      <c r="W821" s="8" t="n">
        <f aca="false">IF(raw_data!P821="",0,IF(ISTEXT(raw_data!P821),IF(RIGHT(raw_data!P821,1)="%",VALUE(LEFT(raw_data!P821,LEN(raw_data!P821)-1))/100,VALUE(raw_data!P821)),raw_data!P821))</f>
        <v>0</v>
      </c>
      <c r="X821" s="3" t="str">
        <f aca="false">IF(raw_data!P821="","Missing - Defaulted to 0",IF(W821&lt;0,"Negative - Invalid",IF(W821&gt;0.3,"Above Allowed Range - Invalid","Valid")))</f>
        <v>Valid</v>
      </c>
      <c r="Y821" s="7" t="n">
        <f aca="false">raw_data!Q821</f>
        <v>33968.08</v>
      </c>
      <c r="Z821" s="7" t="n">
        <f aca="false">raw_data!R821</f>
        <v>26902.44</v>
      </c>
      <c r="AA821" s="7" t="n">
        <f aca="false">raw_data!S821</f>
        <v>7065.64</v>
      </c>
      <c r="AB821" s="3" t="str">
        <f aca="false">PROPER(TRIM(raw_data!T821))</f>
        <v>Failed</v>
      </c>
      <c r="AC821" s="3" t="str">
        <f aca="false">PROPER(TRIM(raw_data!U821))</f>
        <v>Cancelled</v>
      </c>
      <c r="AD821" s="7" t="n">
        <f aca="false">T821*U821*(1-W821)</f>
        <v>33968.08</v>
      </c>
      <c r="AE821" s="7" t="n">
        <f aca="false">AD821-Z821</f>
        <v>7065.64</v>
      </c>
      <c r="AF821" s="8" t="n">
        <f aca="false">IF(AD821=0,0,AE821/AD821)</f>
        <v>0.208008224191653</v>
      </c>
      <c r="AG821" s="3" t="str">
        <f aca="false">IF(ABS(Y821-AD821)&gt;1,"Mismatch","OK")</f>
        <v>OK</v>
      </c>
      <c r="AH821" s="3" t="str">
        <f aca="false">IF(ABS(AA821-AE821)&gt;1,"Mismatch","OK")</f>
        <v>OK</v>
      </c>
      <c r="AI821" s="6" t="n">
        <f aca="false">IF(B821="","",MONTH(B821))</f>
        <v>7</v>
      </c>
      <c r="AJ821" s="6" t="n">
        <f aca="false">IF(B821="","",YEAR(B821))</f>
        <v>2024</v>
      </c>
      <c r="AK821" s="3" t="str">
        <f aca="false">IF(COUNTIF(raw_data!$A$2:$A$913,A821)&gt;1,"Conflicting Duplicate - Flagged for Review","Unique")</f>
        <v>Unique</v>
      </c>
      <c r="AL821" s="3" t="str">
        <f aca="false">IF(AB821="Refunded","Yes","No")</f>
        <v>No</v>
      </c>
      <c r="AM821" s="3" t="str">
        <f aca="false">IF(OR(AC821&lt;&gt;"Completed",AB821="Failed"),"Excluded","Included")</f>
        <v>Excluded</v>
      </c>
      <c r="AN821" s="3" t="str">
        <f aca="false">IF(OR(D821="Invalid/Unrecognized",E821="Invalid/Unrecognized",G821="Invalid - Ship Before Order",X821="Negative - Invalid",X821="Above Allowed Range - Invalid",AG821="Mismatch",AH821="Mismatch",AK821="Conflicting Duplicate - Flagged for Review"),"Invalid",IF(OR(L821="Filled - Unknown",S821="Filled - Unknown",X821="Missing - Defaulted to 0",AL821="Yes",AC821="Cancelled",AC821="Returned"),"Warning","Clean"))</f>
        <v>Warning</v>
      </c>
    </row>
    <row r="822" customFormat="false" ht="15" hidden="false" customHeight="false" outlineLevel="0" collapsed="false">
      <c r="A822" s="3" t="str">
        <f aca="false">raw_data!A822</f>
        <v>ORD-2025-10821</v>
      </c>
      <c r="B822" s="4" t="n">
        <f aca="false">IFERROR(IF(MID(raw_data!B822,3,1)="/",DATE(VALUE(RIGHT(raw_data!B822,4)),VALUE(LEFT(raw_data!B822,2)),VALUE(MID(raw_data!B822,4,2))),IF(MID(raw_data!B822,3,1)="-",DATE(VALUE(RIGHT(raw_data!B822,4)),VALUE(MID(raw_data!B822,4,2)),VALUE(LEFT(raw_data!B822,2))),IF(MID(raw_data!B822,5,1)="-",DATE(VALUE(LEFT(raw_data!B822,4)),VALUE(MID(raw_data!B822,6,2)),VALUE(RIGHT(raw_data!B822,2))),DATE(VALUE(RIGHT(raw_data!B822,4)),MATCH(MID(raw_data!B822,4,3),{"Jan","Feb","Mar","Apr","May","Jun","Jul","Aug","Sep","Oct","Nov","Dec"},0),VALUE(LEFT(raw_data!B822,2)))))),"")</f>
        <v>45694</v>
      </c>
      <c r="C822" s="4" t="n">
        <f aca="false">IFERROR(IF(MID(raw_data!C822,3,1)="/",DATE(VALUE(RIGHT(raw_data!C822,4)),VALUE(LEFT(raw_data!C822,2)),VALUE(MID(raw_data!C822,4,2))),IF(MID(raw_data!C822,3,1)="-",DATE(VALUE(RIGHT(raw_data!C822,4)),VALUE(MID(raw_data!C822,4,2)),VALUE(LEFT(raw_data!C822,2))),IF(MID(raw_data!C822,5,1)="-",DATE(VALUE(LEFT(raw_data!C822,4)),VALUE(MID(raw_data!C822,6,2)),VALUE(RIGHT(raw_data!C822,2))),DATE(VALUE(RIGHT(raw_data!C822,4)),MATCH(MID(raw_data!C822,4,3),{"Jan","Feb","Mar","Apr","May","Jun","Jul","Aug","Sep","Oct","Nov","Dec"},0),VALUE(LEFT(raw_data!C822,2)))))),"")</f>
        <v>45698</v>
      </c>
      <c r="D822" s="3" t="str">
        <f aca="false">IF(TRIM(raw_data!B822)="","Missing",IF(B822="","Invalid/Unrecognized","Valid"))</f>
        <v>Valid</v>
      </c>
      <c r="E822" s="3" t="str">
        <f aca="false">IF(TRIM(raw_data!C822)="","Missing",IF(C822="","Invalid/Unrecognized","Valid"))</f>
        <v>Valid</v>
      </c>
      <c r="F822" s="5" t="n">
        <f aca="false">IF(OR(B822="",C822=""),"",C822-B822)</f>
        <v>4</v>
      </c>
      <c r="G822" s="3" t="str">
        <f aca="false">IF(F822="","N/A",IF(F822&lt;0,"Invalid - Ship Before Order","OK"))</f>
        <v>OK</v>
      </c>
      <c r="H822" s="3" t="str">
        <f aca="false">raw_data!D822</f>
        <v>CUST-2041</v>
      </c>
      <c r="I822" s="3" t="str">
        <f aca="false">PROPER(TRIM(raw_data!E822))</f>
        <v>Ananya Rao</v>
      </c>
      <c r="J822" s="3" t="str">
        <f aca="false">PROPER(TRIM(raw_data!F822))</f>
        <v>Home Office</v>
      </c>
      <c r="K822" s="3" t="str">
        <f aca="false">IF(TRIM(raw_data!G822)="","Unknown",PROPER(TRIM(raw_data!G822)))</f>
        <v>North</v>
      </c>
      <c r="L822" s="3" t="str">
        <f aca="false">IF(TRIM(raw_data!G822)="","Filled - Unknown","OK")</f>
        <v>OK</v>
      </c>
      <c r="M822" s="3" t="str">
        <f aca="false">PROPER(TRIM(raw_data!H822))</f>
        <v>Uttar Pradesh</v>
      </c>
      <c r="N822" s="3" t="str">
        <f aca="false">PROPER(TRIM(raw_data!I822))</f>
        <v>Noida</v>
      </c>
      <c r="O822" s="3" t="str">
        <f aca="false">PROPER(TRIM(raw_data!J822))</f>
        <v>Furniture</v>
      </c>
      <c r="P822" s="3" t="str">
        <f aca="false">PROPER(TRIM(raw_data!K822))</f>
        <v>Bookcases</v>
      </c>
      <c r="Q822" s="3" t="str">
        <f aca="false">TRIM(raw_data!L822)</f>
        <v>Classic Bookcases 882</v>
      </c>
      <c r="R822" s="3" t="str">
        <f aca="false">IF(TRIM(raw_data!M822)="","Unknown",PROPER(TRIM(raw_data!M822)))</f>
        <v>Standard Class</v>
      </c>
      <c r="S822" s="3" t="str">
        <f aca="false">IF(TRIM(raw_data!M822)="","Filled - Unknown","OK")</f>
        <v>OK</v>
      </c>
      <c r="T822" s="6" t="n">
        <f aca="false">raw_data!N822</f>
        <v>2</v>
      </c>
      <c r="U822" s="7" t="n">
        <f aca="false">raw_data!O822</f>
        <v>319.57</v>
      </c>
      <c r="V822" s="8" t="n">
        <f aca="false">raw_data!P822</f>
        <v>0.2</v>
      </c>
      <c r="W822" s="8" t="n">
        <f aca="false">IF(raw_data!P822="",0,IF(ISTEXT(raw_data!P822),IF(RIGHT(raw_data!P822,1)="%",VALUE(LEFT(raw_data!P822,LEN(raw_data!P822)-1))/100,VALUE(raw_data!P822)),raw_data!P822))</f>
        <v>0.2</v>
      </c>
      <c r="X822" s="3" t="str">
        <f aca="false">IF(raw_data!P822="","Missing - Defaulted to 0",IF(W822&lt;0,"Negative - Invalid",IF(W822&gt;0.3,"Above Allowed Range - Invalid","Valid")))</f>
        <v>Valid</v>
      </c>
      <c r="Y822" s="7" t="n">
        <f aca="false">raw_data!Q822</f>
        <v>511.31</v>
      </c>
      <c r="Z822" s="7" t="n">
        <f aca="false">raw_data!R822</f>
        <v>436.43</v>
      </c>
      <c r="AA822" s="7" t="n">
        <f aca="false">raw_data!S822</f>
        <v>74.88</v>
      </c>
      <c r="AB822" s="3" t="str">
        <f aca="false">PROPER(TRIM(raw_data!T822))</f>
        <v>Paid</v>
      </c>
      <c r="AC822" s="3" t="str">
        <f aca="false">PROPER(TRIM(raw_data!U822))</f>
        <v>Completed</v>
      </c>
      <c r="AD822" s="7" t="n">
        <f aca="false">T822*U822*(1-W822)</f>
        <v>511.312</v>
      </c>
      <c r="AE822" s="7" t="n">
        <f aca="false">AD822-Z822</f>
        <v>74.882</v>
      </c>
      <c r="AF822" s="8" t="n">
        <f aca="false">IF(AD822=0,0,AE822/AD822)</f>
        <v>0.146450699377288</v>
      </c>
      <c r="AG822" s="3" t="str">
        <f aca="false">IF(ABS(Y822-AD822)&gt;1,"Mismatch","OK")</f>
        <v>OK</v>
      </c>
      <c r="AH822" s="3" t="str">
        <f aca="false">IF(ABS(AA822-AE822)&gt;1,"Mismatch","OK")</f>
        <v>OK</v>
      </c>
      <c r="AI822" s="6" t="n">
        <f aca="false">IF(B822="","",MONTH(B822))</f>
        <v>2</v>
      </c>
      <c r="AJ822" s="6" t="n">
        <f aca="false">IF(B822="","",YEAR(B822))</f>
        <v>2025</v>
      </c>
      <c r="AK822" s="3" t="str">
        <f aca="false">IF(COUNTIF(raw_data!$A$2:$A$913,A822)&gt;1,"Conflicting Duplicate - Flagged for Review","Unique")</f>
        <v>Unique</v>
      </c>
      <c r="AL822" s="3" t="str">
        <f aca="false">IF(AB822="Refunded","Yes","No")</f>
        <v>No</v>
      </c>
      <c r="AM822" s="3" t="str">
        <f aca="false">IF(OR(AC822&lt;&gt;"Completed",AB822="Failed"),"Excluded","Included")</f>
        <v>Included</v>
      </c>
      <c r="AN822" s="3" t="str">
        <f aca="false">IF(OR(D822="Invalid/Unrecognized",E822="Invalid/Unrecognized",G822="Invalid - Ship Before Order",X822="Negative - Invalid",X822="Above Allowed Range - Invalid",AG822="Mismatch",AH822="Mismatch",AK822="Conflicting Duplicate - Flagged for Review"),"Invalid",IF(OR(L822="Filled - Unknown",S822="Filled - Unknown",X822="Missing - Defaulted to 0",AL822="Yes",AC822="Cancelled",AC822="Returned"),"Warning","Clean"))</f>
        <v>Clean</v>
      </c>
    </row>
    <row r="823" customFormat="false" ht="15" hidden="false" customHeight="false" outlineLevel="0" collapsed="false">
      <c r="A823" s="3" t="str">
        <f aca="false">raw_data!A823</f>
        <v>ORD-2024-10822</v>
      </c>
      <c r="B823" s="4" t="n">
        <f aca="false">IFERROR(IF(MID(raw_data!B823,3,1)="/",DATE(VALUE(RIGHT(raw_data!B823,4)),VALUE(LEFT(raw_data!B823,2)),VALUE(MID(raw_data!B823,4,2))),IF(MID(raw_data!B823,3,1)="-",DATE(VALUE(RIGHT(raw_data!B823,4)),VALUE(MID(raw_data!B823,4,2)),VALUE(LEFT(raw_data!B823,2))),IF(MID(raw_data!B823,5,1)="-",DATE(VALUE(LEFT(raw_data!B823,4)),VALUE(MID(raw_data!B823,6,2)),VALUE(RIGHT(raw_data!B823,2))),DATE(VALUE(RIGHT(raw_data!B823,4)),MATCH(MID(raw_data!B823,4,3),{"Jan","Feb","Mar","Apr","May","Jun","Jul","Aug","Sep","Oct","Nov","Dec"},0),VALUE(LEFT(raw_data!B823,2)))))),"")</f>
        <v>45476</v>
      </c>
      <c r="C823" s="4" t="n">
        <f aca="false">IFERROR(IF(MID(raw_data!C823,3,1)="/",DATE(VALUE(RIGHT(raw_data!C823,4)),VALUE(LEFT(raw_data!C823,2)),VALUE(MID(raw_data!C823,4,2))),IF(MID(raw_data!C823,3,1)="-",DATE(VALUE(RIGHT(raw_data!C823,4)),VALUE(MID(raw_data!C823,4,2)),VALUE(LEFT(raw_data!C823,2))),IF(MID(raw_data!C823,5,1)="-",DATE(VALUE(LEFT(raw_data!C823,4)),VALUE(MID(raw_data!C823,6,2)),VALUE(RIGHT(raw_data!C823,2))),DATE(VALUE(RIGHT(raw_data!C823,4)),MATCH(MID(raw_data!C823,4,3),{"Jan","Feb","Mar","Apr","May","Jun","Jul","Aug","Sep","Oct","Nov","Dec"},0),VALUE(LEFT(raw_data!C823,2)))))),"")</f>
        <v>45479</v>
      </c>
      <c r="D823" s="3" t="str">
        <f aca="false">IF(TRIM(raw_data!B823)="","Missing",IF(B823="","Invalid/Unrecognized","Valid"))</f>
        <v>Valid</v>
      </c>
      <c r="E823" s="3" t="str">
        <f aca="false">IF(TRIM(raw_data!C823)="","Missing",IF(C823="","Invalid/Unrecognized","Valid"))</f>
        <v>Valid</v>
      </c>
      <c r="F823" s="5" t="n">
        <f aca="false">IF(OR(B823="",C823=""),"",C823-B823)</f>
        <v>3</v>
      </c>
      <c r="G823" s="3" t="str">
        <f aca="false">IF(F823="","N/A",IF(F823&lt;0,"Invalid - Ship Before Order","OK"))</f>
        <v>OK</v>
      </c>
      <c r="H823" s="3" t="str">
        <f aca="false">raw_data!D823</f>
        <v>CUST-4466</v>
      </c>
      <c r="I823" s="3" t="str">
        <f aca="false">PROPER(TRIM(raw_data!E823))</f>
        <v>Aarav Sharma</v>
      </c>
      <c r="J823" s="3" t="str">
        <f aca="false">PROPER(TRIM(raw_data!F823))</f>
        <v>Corporate</v>
      </c>
      <c r="K823" s="3" t="str">
        <f aca="false">IF(TRIM(raw_data!G823)="","Unknown",PROPER(TRIM(raw_data!G823)))</f>
        <v>South</v>
      </c>
      <c r="L823" s="3" t="str">
        <f aca="false">IF(TRIM(raw_data!G823)="","Filled - Unknown","OK")</f>
        <v>OK</v>
      </c>
      <c r="M823" s="3" t="str">
        <f aca="false">PROPER(TRIM(raw_data!H823))</f>
        <v>Karnataka</v>
      </c>
      <c r="N823" s="3" t="str">
        <f aca="false">PROPER(TRIM(raw_data!I823))</f>
        <v>Bengaluru</v>
      </c>
      <c r="O823" s="3" t="str">
        <f aca="false">PROPER(TRIM(raw_data!J823))</f>
        <v>Technology</v>
      </c>
      <c r="P823" s="3" t="str">
        <f aca="false">PROPER(TRIM(raw_data!K823))</f>
        <v>Accessories</v>
      </c>
      <c r="Q823" s="3" t="str">
        <f aca="false">TRIM(raw_data!L823)</f>
        <v>Classic Accessories 471</v>
      </c>
      <c r="R823" s="3" t="str">
        <f aca="false">IF(TRIM(raw_data!M823)="","Unknown",PROPER(TRIM(raw_data!M823)))</f>
        <v>First Class</v>
      </c>
      <c r="S823" s="3" t="str">
        <f aca="false">IF(TRIM(raw_data!M823)="","Filled - Unknown","OK")</f>
        <v>OK</v>
      </c>
      <c r="T823" s="6" t="n">
        <f aca="false">raw_data!N823</f>
        <v>7</v>
      </c>
      <c r="U823" s="7" t="n">
        <f aca="false">raw_data!O823</f>
        <v>1942.49</v>
      </c>
      <c r="V823" s="8" t="n">
        <f aca="false">raw_data!P823</f>
        <v>0.2</v>
      </c>
      <c r="W823" s="8" t="n">
        <f aca="false">IF(raw_data!P823="",0,IF(ISTEXT(raw_data!P823),IF(RIGHT(raw_data!P823,1)="%",VALUE(LEFT(raw_data!P823,LEN(raw_data!P823)-1))/100,VALUE(raw_data!P823)),raw_data!P823))</f>
        <v>0.2</v>
      </c>
      <c r="X823" s="3" t="str">
        <f aca="false">IF(raw_data!P823="","Missing - Defaulted to 0",IF(W823&lt;0,"Negative - Invalid",IF(W823&gt;0.3,"Above Allowed Range - Invalid","Valid")))</f>
        <v>Valid</v>
      </c>
      <c r="Y823" s="7" t="n">
        <f aca="false">raw_data!Q823</f>
        <v>10877.94</v>
      </c>
      <c r="Z823" s="7" t="n">
        <f aca="false">raw_data!R823</f>
        <v>9110.14</v>
      </c>
      <c r="AA823" s="7" t="n">
        <f aca="false">raw_data!S823</f>
        <v>1767.8</v>
      </c>
      <c r="AB823" s="3" t="str">
        <f aca="false">PROPER(TRIM(raw_data!T823))</f>
        <v>Paid</v>
      </c>
      <c r="AC823" s="3" t="str">
        <f aca="false">PROPER(TRIM(raw_data!U823))</f>
        <v>Completed</v>
      </c>
      <c r="AD823" s="7" t="n">
        <f aca="false">T823*U823*(1-W823)</f>
        <v>10877.944</v>
      </c>
      <c r="AE823" s="7" t="n">
        <f aca="false">AD823-Z823</f>
        <v>1767.804</v>
      </c>
      <c r="AF823" s="8" t="n">
        <f aca="false">IF(AD823=0,0,AE823/AD823)</f>
        <v>0.162512695413766</v>
      </c>
      <c r="AG823" s="3" t="str">
        <f aca="false">IF(ABS(Y823-AD823)&gt;1,"Mismatch","OK")</f>
        <v>OK</v>
      </c>
      <c r="AH823" s="3" t="str">
        <f aca="false">IF(ABS(AA823-AE823)&gt;1,"Mismatch","OK")</f>
        <v>OK</v>
      </c>
      <c r="AI823" s="6" t="n">
        <f aca="false">IF(B823="","",MONTH(B823))</f>
        <v>7</v>
      </c>
      <c r="AJ823" s="6" t="n">
        <f aca="false">IF(B823="","",YEAR(B823))</f>
        <v>2024</v>
      </c>
      <c r="AK823" s="3" t="str">
        <f aca="false">IF(COUNTIF(raw_data!$A$2:$A$913,A823)&gt;1,"Conflicting Duplicate - Flagged for Review","Unique")</f>
        <v>Unique</v>
      </c>
      <c r="AL823" s="3" t="str">
        <f aca="false">IF(AB823="Refunded","Yes","No")</f>
        <v>No</v>
      </c>
      <c r="AM823" s="3" t="str">
        <f aca="false">IF(OR(AC823&lt;&gt;"Completed",AB823="Failed"),"Excluded","Included")</f>
        <v>Included</v>
      </c>
      <c r="AN823" s="3" t="str">
        <f aca="false">IF(OR(D823="Invalid/Unrecognized",E823="Invalid/Unrecognized",G823="Invalid - Ship Before Order",X823="Negative - Invalid",X823="Above Allowed Range - Invalid",AG823="Mismatch",AH823="Mismatch",AK823="Conflicting Duplicate - Flagged for Review"),"Invalid",IF(OR(L823="Filled - Unknown",S823="Filled - Unknown",X823="Missing - Defaulted to 0",AL823="Yes",AC823="Cancelled",AC823="Returned"),"Warning","Clean"))</f>
        <v>Clean</v>
      </c>
    </row>
    <row r="824" customFormat="false" ht="15" hidden="false" customHeight="false" outlineLevel="0" collapsed="false">
      <c r="A824" s="3" t="str">
        <f aca="false">raw_data!A824</f>
        <v>ORD-2024-10823</v>
      </c>
      <c r="B824" s="4" t="n">
        <f aca="false">IFERROR(IF(MID(raw_data!B824,3,1)="/",DATE(VALUE(RIGHT(raw_data!B824,4)),VALUE(LEFT(raw_data!B824,2)),VALUE(MID(raw_data!B824,4,2))),IF(MID(raw_data!B824,3,1)="-",DATE(VALUE(RIGHT(raw_data!B824,4)),VALUE(MID(raw_data!B824,4,2)),VALUE(LEFT(raw_data!B824,2))),IF(MID(raw_data!B824,5,1)="-",DATE(VALUE(LEFT(raw_data!B824,4)),VALUE(MID(raw_data!B824,6,2)),VALUE(RIGHT(raw_data!B824,2))),DATE(VALUE(RIGHT(raw_data!B824,4)),MATCH(MID(raw_data!B824,4,3),{"Jan","Feb","Mar","Apr","May","Jun","Jul","Aug","Sep","Oct","Nov","Dec"},0),VALUE(LEFT(raw_data!B824,2)))))),"")</f>
        <v>45577</v>
      </c>
      <c r="C824" s="4" t="n">
        <f aca="false">IFERROR(IF(MID(raw_data!C824,3,1)="/",DATE(VALUE(RIGHT(raw_data!C824,4)),VALUE(LEFT(raw_data!C824,2)),VALUE(MID(raw_data!C824,4,2))),IF(MID(raw_data!C824,3,1)="-",DATE(VALUE(RIGHT(raw_data!C824,4)),VALUE(MID(raw_data!C824,4,2)),VALUE(LEFT(raw_data!C824,2))),IF(MID(raw_data!C824,5,1)="-",DATE(VALUE(LEFT(raw_data!C824,4)),VALUE(MID(raw_data!C824,6,2)),VALUE(RIGHT(raw_data!C824,2))),DATE(VALUE(RIGHT(raw_data!C824,4)),MATCH(MID(raw_data!C824,4,3),{"Jan","Feb","Mar","Apr","May","Jun","Jul","Aug","Sep","Oct","Nov","Dec"},0),VALUE(LEFT(raw_data!C824,2)))))),"")</f>
        <v>45573</v>
      </c>
      <c r="D824" s="3" t="str">
        <f aca="false">IF(TRIM(raw_data!B824)="","Missing",IF(B824="","Invalid/Unrecognized","Valid"))</f>
        <v>Valid</v>
      </c>
      <c r="E824" s="3" t="str">
        <f aca="false">IF(TRIM(raw_data!C824)="","Missing",IF(C824="","Invalid/Unrecognized","Valid"))</f>
        <v>Valid</v>
      </c>
      <c r="F824" s="5" t="n">
        <f aca="false">IF(OR(B824="",C824=""),"",C824-B824)</f>
        <v>-4</v>
      </c>
      <c r="G824" s="3" t="str">
        <f aca="false">IF(F824="","N/A",IF(F824&lt;0,"Invalid - Ship Before Order","OK"))</f>
        <v>Invalid - Ship Before Order</v>
      </c>
      <c r="H824" s="3" t="str">
        <f aca="false">raw_data!D824</f>
        <v>CUST-3188</v>
      </c>
      <c r="I824" s="3" t="str">
        <f aca="false">PROPER(TRIM(raw_data!E824))</f>
        <v>Mira Das</v>
      </c>
      <c r="J824" s="3" t="str">
        <f aca="false">PROPER(TRIM(raw_data!F824))</f>
        <v>Corporate</v>
      </c>
      <c r="K824" s="3" t="str">
        <f aca="false">IF(TRIM(raw_data!G824)="","Unknown",PROPER(TRIM(raw_data!G824)))</f>
        <v>East</v>
      </c>
      <c r="L824" s="3" t="str">
        <f aca="false">IF(TRIM(raw_data!G824)="","Filled - Unknown","OK")</f>
        <v>OK</v>
      </c>
      <c r="M824" s="3" t="str">
        <f aca="false">PROPER(TRIM(raw_data!H824))</f>
        <v>Assam</v>
      </c>
      <c r="N824" s="3" t="str">
        <f aca="false">PROPER(TRIM(raw_data!I824))</f>
        <v>Guwahati</v>
      </c>
      <c r="O824" s="3" t="str">
        <f aca="false">PROPER(TRIM(raw_data!J824))</f>
        <v>Furniture</v>
      </c>
      <c r="P824" s="3" t="str">
        <f aca="false">PROPER(TRIM(raw_data!K824))</f>
        <v>Furnishings</v>
      </c>
      <c r="Q824" s="3" t="str">
        <f aca="false">TRIM(raw_data!L824)</f>
        <v>Smart Furnishings 175</v>
      </c>
      <c r="R824" s="3" t="str">
        <f aca="false">IF(TRIM(raw_data!M824)="","Unknown",PROPER(TRIM(raw_data!M824)))</f>
        <v>Second Class</v>
      </c>
      <c r="S824" s="3" t="str">
        <f aca="false">IF(TRIM(raw_data!M824)="","Filled - Unknown","OK")</f>
        <v>OK</v>
      </c>
      <c r="T824" s="6" t="n">
        <f aca="false">raw_data!N824</f>
        <v>4</v>
      </c>
      <c r="U824" s="7" t="n">
        <f aca="false">raw_data!O824</f>
        <v>3202.04</v>
      </c>
      <c r="V824" s="8" t="n">
        <f aca="false">raw_data!P824</f>
        <v>0.2</v>
      </c>
      <c r="W824" s="8" t="n">
        <f aca="false">IF(raw_data!P824="",0,IF(ISTEXT(raw_data!P824),IF(RIGHT(raw_data!P824,1)="%",VALUE(LEFT(raw_data!P824,LEN(raw_data!P824)-1))/100,VALUE(raw_data!P824)),raw_data!P824))</f>
        <v>0.2</v>
      </c>
      <c r="X824" s="3" t="str">
        <f aca="false">IF(raw_data!P824="","Missing - Defaulted to 0",IF(W824&lt;0,"Negative - Invalid",IF(W824&gt;0.3,"Above Allowed Range - Invalid","Valid")))</f>
        <v>Valid</v>
      </c>
      <c r="Y824" s="7" t="n">
        <f aca="false">raw_data!Q824</f>
        <v>10246.53</v>
      </c>
      <c r="Z824" s="7" t="n">
        <f aca="false">raw_data!R824</f>
        <v>8634.42</v>
      </c>
      <c r="AA824" s="7" t="n">
        <f aca="false">raw_data!S824</f>
        <v>1612.11</v>
      </c>
      <c r="AB824" s="3" t="str">
        <f aca="false">PROPER(TRIM(raw_data!T824))</f>
        <v>Pending</v>
      </c>
      <c r="AC824" s="3" t="str">
        <f aca="false">PROPER(TRIM(raw_data!U824))</f>
        <v>Returned</v>
      </c>
      <c r="AD824" s="7" t="n">
        <f aca="false">T824*U824*(1-W824)</f>
        <v>10246.528</v>
      </c>
      <c r="AE824" s="7" t="n">
        <f aca="false">AD824-Z824</f>
        <v>1612.108</v>
      </c>
      <c r="AF824" s="8" t="n">
        <f aca="false">IF(AD824=0,0,AE824/AD824)</f>
        <v>0.157332122646813</v>
      </c>
      <c r="AG824" s="3" t="str">
        <f aca="false">IF(ABS(Y824-AD824)&gt;1,"Mismatch","OK")</f>
        <v>OK</v>
      </c>
      <c r="AH824" s="3" t="str">
        <f aca="false">IF(ABS(AA824-AE824)&gt;1,"Mismatch","OK")</f>
        <v>OK</v>
      </c>
      <c r="AI824" s="6" t="n">
        <f aca="false">IF(B824="","",MONTH(B824))</f>
        <v>10</v>
      </c>
      <c r="AJ824" s="6" t="n">
        <f aca="false">IF(B824="","",YEAR(B824))</f>
        <v>2024</v>
      </c>
      <c r="AK824" s="3" t="str">
        <f aca="false">IF(COUNTIF(raw_data!$A$2:$A$913,A824)&gt;1,"Conflicting Duplicate - Flagged for Review","Unique")</f>
        <v>Unique</v>
      </c>
      <c r="AL824" s="3" t="str">
        <f aca="false">IF(AB824="Refunded","Yes","No")</f>
        <v>No</v>
      </c>
      <c r="AM824" s="3" t="str">
        <f aca="false">IF(OR(AC824&lt;&gt;"Completed",AB824="Failed"),"Excluded","Included")</f>
        <v>Excluded</v>
      </c>
      <c r="AN824" s="3" t="str">
        <f aca="false">IF(OR(D824="Invalid/Unrecognized",E824="Invalid/Unrecognized",G824="Invalid - Ship Before Order",X824="Negative - Invalid",X824="Above Allowed Range - Invalid",AG824="Mismatch",AH824="Mismatch",AK824="Conflicting Duplicate - Flagged for Review"),"Invalid",IF(OR(L824="Filled - Unknown",S824="Filled - Unknown",X824="Missing - Defaulted to 0",AL824="Yes",AC824="Cancelled",AC824="Returned"),"Warning","Clean"))</f>
        <v>Invalid</v>
      </c>
    </row>
    <row r="825" customFormat="false" ht="15" hidden="false" customHeight="false" outlineLevel="0" collapsed="false">
      <c r="A825" s="3" t="str">
        <f aca="false">raw_data!A825</f>
        <v>ORD-2025-10824</v>
      </c>
      <c r="B825" s="4" t="n">
        <f aca="false">IFERROR(IF(MID(raw_data!B825,3,1)="/",DATE(VALUE(RIGHT(raw_data!B825,4)),VALUE(LEFT(raw_data!B825,2)),VALUE(MID(raw_data!B825,4,2))),IF(MID(raw_data!B825,3,1)="-",DATE(VALUE(RIGHT(raw_data!B825,4)),VALUE(MID(raw_data!B825,4,2)),VALUE(LEFT(raw_data!B825,2))),IF(MID(raw_data!B825,5,1)="-",DATE(VALUE(LEFT(raw_data!B825,4)),VALUE(MID(raw_data!B825,6,2)),VALUE(RIGHT(raw_data!B825,2))),DATE(VALUE(RIGHT(raw_data!B825,4)),MATCH(MID(raw_data!B825,4,3),{"Jan","Feb","Mar","Apr","May","Jun","Jul","Aug","Sep","Oct","Nov","Dec"},0),VALUE(LEFT(raw_data!B825,2)))))),"")</f>
        <v>45663</v>
      </c>
      <c r="C825" s="4" t="n">
        <f aca="false">IFERROR(IF(MID(raw_data!C825,3,1)="/",DATE(VALUE(RIGHT(raw_data!C825,4)),VALUE(LEFT(raw_data!C825,2)),VALUE(MID(raw_data!C825,4,2))),IF(MID(raw_data!C825,3,1)="-",DATE(VALUE(RIGHT(raw_data!C825,4)),VALUE(MID(raw_data!C825,4,2)),VALUE(LEFT(raw_data!C825,2))),IF(MID(raw_data!C825,5,1)="-",DATE(VALUE(LEFT(raw_data!C825,4)),VALUE(MID(raw_data!C825,6,2)),VALUE(RIGHT(raw_data!C825,2))),DATE(VALUE(RIGHT(raw_data!C825,4)),MATCH(MID(raw_data!C825,4,3),{"Jan","Feb","Mar","Apr","May","Jun","Jul","Aug","Sep","Oct","Nov","Dec"},0),VALUE(LEFT(raw_data!C825,2)))))),"")</f>
        <v>45669</v>
      </c>
      <c r="D825" s="3" t="str">
        <f aca="false">IF(TRIM(raw_data!B825)="","Missing",IF(B825="","Invalid/Unrecognized","Valid"))</f>
        <v>Valid</v>
      </c>
      <c r="E825" s="3" t="str">
        <f aca="false">IF(TRIM(raw_data!C825)="","Missing",IF(C825="","Invalid/Unrecognized","Valid"))</f>
        <v>Valid</v>
      </c>
      <c r="F825" s="5" t="n">
        <f aca="false">IF(OR(B825="",C825=""),"",C825-B825)</f>
        <v>6</v>
      </c>
      <c r="G825" s="3" t="str">
        <f aca="false">IF(F825="","N/A",IF(F825&lt;0,"Invalid - Ship Before Order","OK"))</f>
        <v>OK</v>
      </c>
      <c r="H825" s="3" t="str">
        <f aca="false">raw_data!D825</f>
        <v>CUST-6638</v>
      </c>
      <c r="I825" s="3" t="str">
        <f aca="false">PROPER(TRIM(raw_data!E825))</f>
        <v>Mira Das</v>
      </c>
      <c r="J825" s="3" t="str">
        <f aca="false">PROPER(TRIM(raw_data!F825))</f>
        <v>Home Office</v>
      </c>
      <c r="K825" s="3" t="str">
        <f aca="false">IF(TRIM(raw_data!G825)="","Unknown",PROPER(TRIM(raw_data!G825)))</f>
        <v>West</v>
      </c>
      <c r="L825" s="3" t="str">
        <f aca="false">IF(TRIM(raw_data!G825)="","Filled - Unknown","OK")</f>
        <v>OK</v>
      </c>
      <c r="M825" s="3" t="str">
        <f aca="false">PROPER(TRIM(raw_data!H825))</f>
        <v>Goa</v>
      </c>
      <c r="N825" s="3" t="str">
        <f aca="false">PROPER(TRIM(raw_data!I825))</f>
        <v>Panaji</v>
      </c>
      <c r="O825" s="3" t="str">
        <f aca="false">PROPER(TRIM(raw_data!J825))</f>
        <v>Office Supplies</v>
      </c>
      <c r="P825" s="3" t="str">
        <f aca="false">PROPER(TRIM(raw_data!K825))</f>
        <v>Paper</v>
      </c>
      <c r="Q825" s="3" t="str">
        <f aca="false">TRIM(raw_data!L825)</f>
        <v>Basic Paper 899</v>
      </c>
      <c r="R825" s="3" t="str">
        <f aca="false">IF(TRIM(raw_data!M825)="","Unknown",PROPER(TRIM(raw_data!M825)))</f>
        <v>Same Day</v>
      </c>
      <c r="S825" s="3" t="str">
        <f aca="false">IF(TRIM(raw_data!M825)="","Filled - Unknown","OK")</f>
        <v>OK</v>
      </c>
      <c r="T825" s="6" t="n">
        <f aca="false">raw_data!N825</f>
        <v>3</v>
      </c>
      <c r="U825" s="7" t="n">
        <f aca="false">raw_data!O825</f>
        <v>668.33</v>
      </c>
      <c r="V825" s="8" t="n">
        <f aca="false">raw_data!P825</f>
        <v>0.15</v>
      </c>
      <c r="W825" s="8" t="n">
        <f aca="false">IF(raw_data!P825="",0,IF(ISTEXT(raw_data!P825),IF(RIGHT(raw_data!P825,1)="%",VALUE(LEFT(raw_data!P825,LEN(raw_data!P825)-1))/100,VALUE(raw_data!P825)),raw_data!P825))</f>
        <v>0.15</v>
      </c>
      <c r="X825" s="3" t="str">
        <f aca="false">IF(raw_data!P825="","Missing - Defaulted to 0",IF(W825&lt;0,"Negative - Invalid",IF(W825&gt;0.3,"Above Allowed Range - Invalid","Valid")))</f>
        <v>Valid</v>
      </c>
      <c r="Y825" s="7" t="n">
        <f aca="false">raw_data!Q825</f>
        <v>1704.24</v>
      </c>
      <c r="Z825" s="7" t="n">
        <f aca="false">raw_data!R825</f>
        <v>957.55</v>
      </c>
      <c r="AA825" s="7" t="n">
        <f aca="false">raw_data!S825</f>
        <v>746.69</v>
      </c>
      <c r="AB825" s="3" t="str">
        <f aca="false">PROPER(TRIM(raw_data!T825))</f>
        <v>Paid</v>
      </c>
      <c r="AC825" s="3" t="str">
        <f aca="false">PROPER(TRIM(raw_data!U825))</f>
        <v>Completed</v>
      </c>
      <c r="AD825" s="7" t="n">
        <f aca="false">T825*U825*(1-W825)</f>
        <v>1704.2415</v>
      </c>
      <c r="AE825" s="7" t="n">
        <f aca="false">AD825-Z825</f>
        <v>746.6915</v>
      </c>
      <c r="AF825" s="8" t="n">
        <f aca="false">IF(AD825=0,0,AE825/AD825)</f>
        <v>0.438137141948486</v>
      </c>
      <c r="AG825" s="3" t="str">
        <f aca="false">IF(ABS(Y825-AD825)&gt;1,"Mismatch","OK")</f>
        <v>OK</v>
      </c>
      <c r="AH825" s="3" t="str">
        <f aca="false">IF(ABS(AA825-AE825)&gt;1,"Mismatch","OK")</f>
        <v>OK</v>
      </c>
      <c r="AI825" s="6" t="n">
        <f aca="false">IF(B825="","",MONTH(B825))</f>
        <v>1</v>
      </c>
      <c r="AJ825" s="6" t="n">
        <f aca="false">IF(B825="","",YEAR(B825))</f>
        <v>2025</v>
      </c>
      <c r="AK825" s="3" t="str">
        <f aca="false">IF(COUNTIF(raw_data!$A$2:$A$913,A825)&gt;1,"Conflicting Duplicate - Flagged for Review","Unique")</f>
        <v>Unique</v>
      </c>
      <c r="AL825" s="3" t="str">
        <f aca="false">IF(AB825="Refunded","Yes","No")</f>
        <v>No</v>
      </c>
      <c r="AM825" s="3" t="str">
        <f aca="false">IF(OR(AC825&lt;&gt;"Completed",AB825="Failed"),"Excluded","Included")</f>
        <v>Included</v>
      </c>
      <c r="AN825" s="3" t="str">
        <f aca="false">IF(OR(D825="Invalid/Unrecognized",E825="Invalid/Unrecognized",G825="Invalid - Ship Before Order",X825="Negative - Invalid",X825="Above Allowed Range - Invalid",AG825="Mismatch",AH825="Mismatch",AK825="Conflicting Duplicate - Flagged for Review"),"Invalid",IF(OR(L825="Filled - Unknown",S825="Filled - Unknown",X825="Missing - Defaulted to 0",AL825="Yes",AC825="Cancelled",AC825="Returned"),"Warning","Clean"))</f>
        <v>Clean</v>
      </c>
    </row>
    <row r="826" customFormat="false" ht="15" hidden="false" customHeight="false" outlineLevel="0" collapsed="false">
      <c r="A826" s="3" t="str">
        <f aca="false">raw_data!A826</f>
        <v>ORD-2025-10825</v>
      </c>
      <c r="B826" s="4" t="n">
        <f aca="false">IFERROR(IF(MID(raw_data!B826,3,1)="/",DATE(VALUE(RIGHT(raw_data!B826,4)),VALUE(LEFT(raw_data!B826,2)),VALUE(MID(raw_data!B826,4,2))),IF(MID(raw_data!B826,3,1)="-",DATE(VALUE(RIGHT(raw_data!B826,4)),VALUE(MID(raw_data!B826,4,2)),VALUE(LEFT(raw_data!B826,2))),IF(MID(raw_data!B826,5,1)="-",DATE(VALUE(LEFT(raw_data!B826,4)),VALUE(MID(raw_data!B826,6,2)),VALUE(RIGHT(raw_data!B826,2))),DATE(VALUE(RIGHT(raw_data!B826,4)),MATCH(MID(raw_data!B826,4,3),{"Jan","Feb","Mar","Apr","May","Jun","Jul","Aug","Sep","Oct","Nov","Dec"},0),VALUE(LEFT(raw_data!B826,2)))))),"")</f>
        <v>45737</v>
      </c>
      <c r="C826" s="4" t="n">
        <f aca="false">IFERROR(IF(MID(raw_data!C826,3,1)="/",DATE(VALUE(RIGHT(raw_data!C826,4)),VALUE(LEFT(raw_data!C826,2)),VALUE(MID(raw_data!C826,4,2))),IF(MID(raw_data!C826,3,1)="-",DATE(VALUE(RIGHT(raw_data!C826,4)),VALUE(MID(raw_data!C826,4,2)),VALUE(LEFT(raw_data!C826,2))),IF(MID(raw_data!C826,5,1)="-",DATE(VALUE(LEFT(raw_data!C826,4)),VALUE(MID(raw_data!C826,6,2)),VALUE(RIGHT(raw_data!C826,2))),DATE(VALUE(RIGHT(raw_data!C826,4)),MATCH(MID(raw_data!C826,4,3),{"Jan","Feb","Mar","Apr","May","Jun","Jul","Aug","Sep","Oct","Nov","Dec"},0),VALUE(LEFT(raw_data!C826,2)))))),"")</f>
        <v>45738</v>
      </c>
      <c r="D826" s="3" t="str">
        <f aca="false">IF(TRIM(raw_data!B826)="","Missing",IF(B826="","Invalid/Unrecognized","Valid"))</f>
        <v>Valid</v>
      </c>
      <c r="E826" s="3" t="str">
        <f aca="false">IF(TRIM(raw_data!C826)="","Missing",IF(C826="","Invalid/Unrecognized","Valid"))</f>
        <v>Valid</v>
      </c>
      <c r="F826" s="5" t="n">
        <f aca="false">IF(OR(B826="",C826=""),"",C826-B826)</f>
        <v>1</v>
      </c>
      <c r="G826" s="3" t="str">
        <f aca="false">IF(F826="","N/A",IF(F826&lt;0,"Invalid - Ship Before Order","OK"))</f>
        <v>OK</v>
      </c>
      <c r="H826" s="3" t="str">
        <f aca="false">raw_data!D826</f>
        <v>CUST-3540</v>
      </c>
      <c r="I826" s="3" t="str">
        <f aca="false">PROPER(TRIM(raw_data!E826))</f>
        <v>Priya Menon</v>
      </c>
      <c r="J826" s="3" t="str">
        <f aca="false">PROPER(TRIM(raw_data!F826))</f>
        <v>Consumer</v>
      </c>
      <c r="K826" s="3" t="str">
        <f aca="false">IF(TRIM(raw_data!G826)="","Unknown",PROPER(TRIM(raw_data!G826)))</f>
        <v>West</v>
      </c>
      <c r="L826" s="3" t="str">
        <f aca="false">IF(TRIM(raw_data!G826)="","Filled - Unknown","OK")</f>
        <v>OK</v>
      </c>
      <c r="M826" s="3" t="str">
        <f aca="false">PROPER(TRIM(raw_data!H826))</f>
        <v>Goa</v>
      </c>
      <c r="N826" s="3" t="str">
        <f aca="false">PROPER(TRIM(raw_data!I826))</f>
        <v>Panaji</v>
      </c>
      <c r="O826" s="3" t="str">
        <f aca="false">PROPER(TRIM(raw_data!J826))</f>
        <v>Office Supplies</v>
      </c>
      <c r="P826" s="3" t="str">
        <f aca="false">PROPER(TRIM(raw_data!K826))</f>
        <v>Paper</v>
      </c>
      <c r="Q826" s="3" t="str">
        <f aca="false">TRIM(raw_data!L826)</f>
        <v>Pro Paper 267</v>
      </c>
      <c r="R826" s="3" t="str">
        <f aca="false">IF(TRIM(raw_data!M826)="","Unknown",PROPER(TRIM(raw_data!M826)))</f>
        <v>First Class</v>
      </c>
      <c r="S826" s="3" t="str">
        <f aca="false">IF(TRIM(raw_data!M826)="","Filled - Unknown","OK")</f>
        <v>OK</v>
      </c>
      <c r="T826" s="6" t="n">
        <f aca="false">raw_data!N826</f>
        <v>8</v>
      </c>
      <c r="U826" s="7" t="n">
        <f aca="false">raw_data!O826</f>
        <v>4436.74</v>
      </c>
      <c r="V826" s="8" t="n">
        <f aca="false">raw_data!P826</f>
        <v>0.05</v>
      </c>
      <c r="W826" s="8" t="n">
        <f aca="false">IF(raw_data!P826="",0,IF(ISTEXT(raw_data!P826),IF(RIGHT(raw_data!P826,1)="%",VALUE(LEFT(raw_data!P826,LEN(raw_data!P826)-1))/100,VALUE(raw_data!P826)),raw_data!P826))</f>
        <v>0.05</v>
      </c>
      <c r="X826" s="3" t="str">
        <f aca="false">IF(raw_data!P826="","Missing - Defaulted to 0",IF(W826&lt;0,"Negative - Invalid",IF(W826&gt;0.3,"Above Allowed Range - Invalid","Valid")))</f>
        <v>Valid</v>
      </c>
      <c r="Y826" s="7" t="n">
        <f aca="false">raw_data!Q826</f>
        <v>33719.22</v>
      </c>
      <c r="Z826" s="7" t="n">
        <f aca="false">raw_data!R826</f>
        <v>28924.43</v>
      </c>
      <c r="AA826" s="7" t="n">
        <f aca="false">raw_data!S826</f>
        <v>4794.79</v>
      </c>
      <c r="AB826" s="3" t="str">
        <f aca="false">PROPER(TRIM(raw_data!T826))</f>
        <v>Paid</v>
      </c>
      <c r="AC826" s="3" t="str">
        <f aca="false">PROPER(TRIM(raw_data!U826))</f>
        <v>Completed</v>
      </c>
      <c r="AD826" s="7" t="n">
        <f aca="false">T826*U826*(1-W826)</f>
        <v>33719.224</v>
      </c>
      <c r="AE826" s="7" t="n">
        <f aca="false">AD826-Z826</f>
        <v>4794.79399999999</v>
      </c>
      <c r="AF826" s="8" t="n">
        <f aca="false">IF(AD826=0,0,AE826/AD826)</f>
        <v>0.142197637762957</v>
      </c>
      <c r="AG826" s="3" t="str">
        <f aca="false">IF(ABS(Y826-AD826)&gt;1,"Mismatch","OK")</f>
        <v>OK</v>
      </c>
      <c r="AH826" s="3" t="str">
        <f aca="false">IF(ABS(AA826-AE826)&gt;1,"Mismatch","OK")</f>
        <v>OK</v>
      </c>
      <c r="AI826" s="6" t="n">
        <f aca="false">IF(B826="","",MONTH(B826))</f>
        <v>3</v>
      </c>
      <c r="AJ826" s="6" t="n">
        <f aca="false">IF(B826="","",YEAR(B826))</f>
        <v>2025</v>
      </c>
      <c r="AK826" s="3" t="str">
        <f aca="false">IF(COUNTIF(raw_data!$A$2:$A$913,A826)&gt;1,"Conflicting Duplicate - Flagged for Review","Unique")</f>
        <v>Unique</v>
      </c>
      <c r="AL826" s="3" t="str">
        <f aca="false">IF(AB826="Refunded","Yes","No")</f>
        <v>No</v>
      </c>
      <c r="AM826" s="3" t="str">
        <f aca="false">IF(OR(AC826&lt;&gt;"Completed",AB826="Failed"),"Excluded","Included")</f>
        <v>Included</v>
      </c>
      <c r="AN826" s="3" t="str">
        <f aca="false">IF(OR(D826="Invalid/Unrecognized",E826="Invalid/Unrecognized",G826="Invalid - Ship Before Order",X826="Negative - Invalid",X826="Above Allowed Range - Invalid",AG826="Mismatch",AH826="Mismatch",AK826="Conflicting Duplicate - Flagged for Review"),"Invalid",IF(OR(L826="Filled - Unknown",S826="Filled - Unknown",X826="Missing - Defaulted to 0",AL826="Yes",AC826="Cancelled",AC826="Returned"),"Warning","Clean"))</f>
        <v>Clean</v>
      </c>
    </row>
    <row r="827" customFormat="false" ht="15" hidden="false" customHeight="false" outlineLevel="0" collapsed="false">
      <c r="A827" s="3" t="str">
        <f aca="false">raw_data!A827</f>
        <v>ORD-2025-10826</v>
      </c>
      <c r="B827" s="4" t="n">
        <f aca="false">IFERROR(IF(MID(raw_data!B827,3,1)="/",DATE(VALUE(RIGHT(raw_data!B827,4)),VALUE(LEFT(raw_data!B827,2)),VALUE(MID(raw_data!B827,4,2))),IF(MID(raw_data!B827,3,1)="-",DATE(VALUE(RIGHT(raw_data!B827,4)),VALUE(MID(raw_data!B827,4,2)),VALUE(LEFT(raw_data!B827,2))),IF(MID(raw_data!B827,5,1)="-",DATE(VALUE(LEFT(raw_data!B827,4)),VALUE(MID(raw_data!B827,6,2)),VALUE(RIGHT(raw_data!B827,2))),DATE(VALUE(RIGHT(raw_data!B827,4)),MATCH(MID(raw_data!B827,4,3),{"Jan","Feb","Mar","Apr","May","Jun","Jul","Aug","Sep","Oct","Nov","Dec"},0),VALUE(LEFT(raw_data!B827,2)))))),"")</f>
        <v>45763</v>
      </c>
      <c r="C827" s="4" t="n">
        <f aca="false">IFERROR(IF(MID(raw_data!C827,3,1)="/",DATE(VALUE(RIGHT(raw_data!C827,4)),VALUE(LEFT(raw_data!C827,2)),VALUE(MID(raw_data!C827,4,2))),IF(MID(raw_data!C827,3,1)="-",DATE(VALUE(RIGHT(raw_data!C827,4)),VALUE(MID(raw_data!C827,4,2)),VALUE(LEFT(raw_data!C827,2))),IF(MID(raw_data!C827,5,1)="-",DATE(VALUE(LEFT(raw_data!C827,4)),VALUE(MID(raw_data!C827,6,2)),VALUE(RIGHT(raw_data!C827,2))),DATE(VALUE(RIGHT(raw_data!C827,4)),MATCH(MID(raw_data!C827,4,3),{"Jan","Feb","Mar","Apr","May","Jun","Jul","Aug","Sep","Oct","Nov","Dec"},0),VALUE(LEFT(raw_data!C827,2)))))),"")</f>
        <v>45764</v>
      </c>
      <c r="D827" s="3" t="str">
        <f aca="false">IF(TRIM(raw_data!B827)="","Missing",IF(B827="","Invalid/Unrecognized","Valid"))</f>
        <v>Valid</v>
      </c>
      <c r="E827" s="3" t="str">
        <f aca="false">IF(TRIM(raw_data!C827)="","Missing",IF(C827="","Invalid/Unrecognized","Valid"))</f>
        <v>Valid</v>
      </c>
      <c r="F827" s="5" t="n">
        <f aca="false">IF(OR(B827="",C827=""),"",C827-B827)</f>
        <v>1</v>
      </c>
      <c r="G827" s="3" t="str">
        <f aca="false">IF(F827="","N/A",IF(F827&lt;0,"Invalid - Ship Before Order","OK"))</f>
        <v>OK</v>
      </c>
      <c r="H827" s="3" t="str">
        <f aca="false">raw_data!D827</f>
        <v>CUST-3351</v>
      </c>
      <c r="I827" s="3" t="str">
        <f aca="false">PROPER(TRIM(raw_data!E827))</f>
        <v>Vikram Iyer</v>
      </c>
      <c r="J827" s="3" t="str">
        <f aca="false">PROPER(TRIM(raw_data!F827))</f>
        <v>Small Business</v>
      </c>
      <c r="K827" s="3" t="str">
        <f aca="false">IF(TRIM(raw_data!G827)="","Unknown",PROPER(TRIM(raw_data!G827)))</f>
        <v>North</v>
      </c>
      <c r="L827" s="3" t="str">
        <f aca="false">IF(TRIM(raw_data!G827)="","Filled - Unknown","OK")</f>
        <v>OK</v>
      </c>
      <c r="M827" s="3" t="str">
        <f aca="false">PROPER(TRIM(raw_data!H827))</f>
        <v>Uttar Pradesh</v>
      </c>
      <c r="N827" s="3" t="str">
        <f aca="false">PROPER(TRIM(raw_data!I827))</f>
        <v>Noida</v>
      </c>
      <c r="O827" s="3" t="str">
        <f aca="false">PROPER(TRIM(raw_data!J827))</f>
        <v>Technology</v>
      </c>
      <c r="P827" s="3" t="str">
        <f aca="false">PROPER(TRIM(raw_data!K827))</f>
        <v>Machines</v>
      </c>
      <c r="Q827" s="3" t="str">
        <f aca="false">TRIM(raw_data!L827)</f>
        <v>Basic Machines 832</v>
      </c>
      <c r="R827" s="3" t="str">
        <f aca="false">IF(TRIM(raw_data!M827)="","Unknown",PROPER(TRIM(raw_data!M827)))</f>
        <v>First Class</v>
      </c>
      <c r="S827" s="3" t="str">
        <f aca="false">IF(TRIM(raw_data!M827)="","Filled - Unknown","OK")</f>
        <v>OK</v>
      </c>
      <c r="T827" s="6" t="n">
        <f aca="false">raw_data!N827</f>
        <v>1</v>
      </c>
      <c r="U827" s="7" t="n">
        <f aca="false">raw_data!O827</f>
        <v>2720.17</v>
      </c>
      <c r="V827" s="8" t="n">
        <f aca="false">raw_data!P827</f>
        <v>0</v>
      </c>
      <c r="W827" s="8" t="n">
        <f aca="false">IF(raw_data!P827="",0,IF(ISTEXT(raw_data!P827),IF(RIGHT(raw_data!P827,1)="%",VALUE(LEFT(raw_data!P827,LEN(raw_data!P827)-1))/100,VALUE(raw_data!P827)),raw_data!P827))</f>
        <v>0</v>
      </c>
      <c r="X827" s="3" t="str">
        <f aca="false">IF(raw_data!P827="","Missing - Defaulted to 0",IF(W827&lt;0,"Negative - Invalid",IF(W827&gt;0.3,"Above Allowed Range - Invalid","Valid")))</f>
        <v>Valid</v>
      </c>
      <c r="Y827" s="7" t="n">
        <f aca="false">raw_data!Q827</f>
        <v>2720.17</v>
      </c>
      <c r="Z827" s="7" t="n">
        <f aca="false">raw_data!R827</f>
        <v>1834.23</v>
      </c>
      <c r="AA827" s="7" t="n">
        <f aca="false">raw_data!S827</f>
        <v>885.94</v>
      </c>
      <c r="AB827" s="3" t="str">
        <f aca="false">PROPER(TRIM(raw_data!T827))</f>
        <v>Paid</v>
      </c>
      <c r="AC827" s="3" t="str">
        <f aca="false">PROPER(TRIM(raw_data!U827))</f>
        <v>Completed</v>
      </c>
      <c r="AD827" s="7" t="n">
        <f aca="false">T827*U827*(1-W827)</f>
        <v>2720.17</v>
      </c>
      <c r="AE827" s="7" t="n">
        <f aca="false">AD827-Z827</f>
        <v>885.94</v>
      </c>
      <c r="AF827" s="8" t="n">
        <f aca="false">IF(AD827=0,0,AE827/AD827)</f>
        <v>0.32569287948915</v>
      </c>
      <c r="AG827" s="3" t="str">
        <f aca="false">IF(ABS(Y827-AD827)&gt;1,"Mismatch","OK")</f>
        <v>OK</v>
      </c>
      <c r="AH827" s="3" t="str">
        <f aca="false">IF(ABS(AA827-AE827)&gt;1,"Mismatch","OK")</f>
        <v>OK</v>
      </c>
      <c r="AI827" s="6" t="n">
        <f aca="false">IF(B827="","",MONTH(B827))</f>
        <v>4</v>
      </c>
      <c r="AJ827" s="6" t="n">
        <f aca="false">IF(B827="","",YEAR(B827))</f>
        <v>2025</v>
      </c>
      <c r="AK827" s="3" t="str">
        <f aca="false">IF(COUNTIF(raw_data!$A$2:$A$913,A827)&gt;1,"Conflicting Duplicate - Flagged for Review","Unique")</f>
        <v>Unique</v>
      </c>
      <c r="AL827" s="3" t="str">
        <f aca="false">IF(AB827="Refunded","Yes","No")</f>
        <v>No</v>
      </c>
      <c r="AM827" s="3" t="str">
        <f aca="false">IF(OR(AC827&lt;&gt;"Completed",AB827="Failed"),"Excluded","Included")</f>
        <v>Included</v>
      </c>
      <c r="AN827" s="3" t="str">
        <f aca="false">IF(OR(D827="Invalid/Unrecognized",E827="Invalid/Unrecognized",G827="Invalid - Ship Before Order",X827="Negative - Invalid",X827="Above Allowed Range - Invalid",AG827="Mismatch",AH827="Mismatch",AK827="Conflicting Duplicate - Flagged for Review"),"Invalid",IF(OR(L827="Filled - Unknown",S827="Filled - Unknown",X827="Missing - Defaulted to 0",AL827="Yes",AC827="Cancelled",AC827="Returned"),"Warning","Clean"))</f>
        <v>Clean</v>
      </c>
    </row>
    <row r="828" customFormat="false" ht="15" hidden="false" customHeight="false" outlineLevel="0" collapsed="false">
      <c r="A828" s="3" t="str">
        <f aca="false">raw_data!A828</f>
        <v>ORD-2025-10827</v>
      </c>
      <c r="B828" s="4" t="n">
        <f aca="false">IFERROR(IF(MID(raw_data!B828,3,1)="/",DATE(VALUE(RIGHT(raw_data!B828,4)),VALUE(LEFT(raw_data!B828,2)),VALUE(MID(raw_data!B828,4,2))),IF(MID(raw_data!B828,3,1)="-",DATE(VALUE(RIGHT(raw_data!B828,4)),VALUE(MID(raw_data!B828,4,2)),VALUE(LEFT(raw_data!B828,2))),IF(MID(raw_data!B828,5,1)="-",DATE(VALUE(LEFT(raw_data!B828,4)),VALUE(MID(raw_data!B828,6,2)),VALUE(RIGHT(raw_data!B828,2))),DATE(VALUE(RIGHT(raw_data!B828,4)),MATCH(MID(raw_data!B828,4,3),{"Jan","Feb","Mar","Apr","May","Jun","Jul","Aug","Sep","Oct","Nov","Dec"},0),VALUE(LEFT(raw_data!B828,2)))))),"")</f>
        <v>45879</v>
      </c>
      <c r="C828" s="4" t="n">
        <f aca="false">IFERROR(IF(MID(raw_data!C828,3,1)="/",DATE(VALUE(RIGHT(raw_data!C828,4)),VALUE(LEFT(raw_data!C828,2)),VALUE(MID(raw_data!C828,4,2))),IF(MID(raw_data!C828,3,1)="-",DATE(VALUE(RIGHT(raw_data!C828,4)),VALUE(MID(raw_data!C828,4,2)),VALUE(LEFT(raw_data!C828,2))),IF(MID(raw_data!C828,5,1)="-",DATE(VALUE(LEFT(raw_data!C828,4)),VALUE(MID(raw_data!C828,6,2)),VALUE(RIGHT(raw_data!C828,2))),DATE(VALUE(RIGHT(raw_data!C828,4)),MATCH(MID(raw_data!C828,4,3),{"Jan","Feb","Mar","Apr","May","Jun","Jul","Aug","Sep","Oct","Nov","Dec"},0),VALUE(LEFT(raw_data!C828,2)))))),"")</f>
        <v>45883</v>
      </c>
      <c r="D828" s="3" t="str">
        <f aca="false">IF(TRIM(raw_data!B828)="","Missing",IF(B828="","Invalid/Unrecognized","Valid"))</f>
        <v>Valid</v>
      </c>
      <c r="E828" s="3" t="str">
        <f aca="false">IF(TRIM(raw_data!C828)="","Missing",IF(C828="","Invalid/Unrecognized","Valid"))</f>
        <v>Valid</v>
      </c>
      <c r="F828" s="5" t="n">
        <f aca="false">IF(OR(B828="",C828=""),"",C828-B828)</f>
        <v>4</v>
      </c>
      <c r="G828" s="3" t="str">
        <f aca="false">IF(F828="","N/A",IF(F828&lt;0,"Invalid - Ship Before Order","OK"))</f>
        <v>OK</v>
      </c>
      <c r="H828" s="3" t="str">
        <f aca="false">raw_data!D828</f>
        <v>CUST-4375</v>
      </c>
      <c r="I828" s="3" t="str">
        <f aca="false">PROPER(TRIM(raw_data!E828))</f>
        <v>Aditi Sen</v>
      </c>
      <c r="J828" s="3" t="str">
        <f aca="false">PROPER(TRIM(raw_data!F828))</f>
        <v>Consumer</v>
      </c>
      <c r="K828" s="3" t="str">
        <f aca="false">IF(TRIM(raw_data!G828)="","Unknown",PROPER(TRIM(raw_data!G828)))</f>
        <v>West</v>
      </c>
      <c r="L828" s="3" t="str">
        <f aca="false">IF(TRIM(raw_data!G828)="","Filled - Unknown","OK")</f>
        <v>OK</v>
      </c>
      <c r="M828" s="3" t="str">
        <f aca="false">PROPER(TRIM(raw_data!H828))</f>
        <v>Rajasthan</v>
      </c>
      <c r="N828" s="3" t="str">
        <f aca="false">PROPER(TRIM(raw_data!I828))</f>
        <v>Udaipur</v>
      </c>
      <c r="O828" s="3" t="str">
        <f aca="false">PROPER(TRIM(raw_data!J828))</f>
        <v>Technology</v>
      </c>
      <c r="P828" s="3" t="str">
        <f aca="false">PROPER(TRIM(raw_data!K828))</f>
        <v>Accessories</v>
      </c>
      <c r="Q828" s="3" t="str">
        <f aca="false">TRIM(raw_data!L828)</f>
        <v>Elite Accessories 790</v>
      </c>
      <c r="R828" s="3" t="str">
        <f aca="false">IF(TRIM(raw_data!M828)="","Unknown",PROPER(TRIM(raw_data!M828)))</f>
        <v>Standard Class</v>
      </c>
      <c r="S828" s="3" t="str">
        <f aca="false">IF(TRIM(raw_data!M828)="","Filled - Unknown","OK")</f>
        <v>OK</v>
      </c>
      <c r="T828" s="6" t="n">
        <f aca="false">raw_data!N828</f>
        <v>5</v>
      </c>
      <c r="U828" s="7" t="n">
        <f aca="false">raw_data!O828</f>
        <v>2190.14</v>
      </c>
      <c r="V828" s="8" t="n">
        <f aca="false">raw_data!P828</f>
        <v>0.25</v>
      </c>
      <c r="W828" s="8" t="n">
        <f aca="false">IF(raw_data!P828="",0,IF(ISTEXT(raw_data!P828),IF(RIGHT(raw_data!P828,1)="%",VALUE(LEFT(raw_data!P828,LEN(raw_data!P828)-1))/100,VALUE(raw_data!P828)),raw_data!P828))</f>
        <v>0.25</v>
      </c>
      <c r="X828" s="3" t="str">
        <f aca="false">IF(raw_data!P828="","Missing - Defaulted to 0",IF(W828&lt;0,"Negative - Invalid",IF(W828&gt;0.3,"Above Allowed Range - Invalid","Valid")))</f>
        <v>Valid</v>
      </c>
      <c r="Y828" s="7" t="n">
        <f aca="false">raw_data!Q828</f>
        <v>8213.02</v>
      </c>
      <c r="Z828" s="7" t="n">
        <f aca="false">raw_data!R828</f>
        <v>5569.3</v>
      </c>
      <c r="AA828" s="7" t="n">
        <f aca="false">raw_data!S828</f>
        <v>2643.72</v>
      </c>
      <c r="AB828" s="3" t="str">
        <f aca="false">PROPER(TRIM(raw_data!T828))</f>
        <v>Paid</v>
      </c>
      <c r="AC828" s="3" t="str">
        <f aca="false">PROPER(TRIM(raw_data!U828))</f>
        <v>Completed</v>
      </c>
      <c r="AD828" s="7" t="n">
        <f aca="false">T828*U828*(1-W828)</f>
        <v>8213.025</v>
      </c>
      <c r="AE828" s="7" t="n">
        <f aca="false">AD828-Z828</f>
        <v>2643.725</v>
      </c>
      <c r="AF828" s="8" t="n">
        <f aca="false">IF(AD828=0,0,AE828/AD828)</f>
        <v>0.321894186368603</v>
      </c>
      <c r="AG828" s="3" t="str">
        <f aca="false">IF(ABS(Y828-AD828)&gt;1,"Mismatch","OK")</f>
        <v>OK</v>
      </c>
      <c r="AH828" s="3" t="str">
        <f aca="false">IF(ABS(AA828-AE828)&gt;1,"Mismatch","OK")</f>
        <v>OK</v>
      </c>
      <c r="AI828" s="6" t="n">
        <f aca="false">IF(B828="","",MONTH(B828))</f>
        <v>8</v>
      </c>
      <c r="AJ828" s="6" t="n">
        <f aca="false">IF(B828="","",YEAR(B828))</f>
        <v>2025</v>
      </c>
      <c r="AK828" s="3" t="str">
        <f aca="false">IF(COUNTIF(raw_data!$A$2:$A$913,A828)&gt;1,"Conflicting Duplicate - Flagged for Review","Unique")</f>
        <v>Unique</v>
      </c>
      <c r="AL828" s="3" t="str">
        <f aca="false">IF(AB828="Refunded","Yes","No")</f>
        <v>No</v>
      </c>
      <c r="AM828" s="3" t="str">
        <f aca="false">IF(OR(AC828&lt;&gt;"Completed",AB828="Failed"),"Excluded","Included")</f>
        <v>Included</v>
      </c>
      <c r="AN828" s="3" t="str">
        <f aca="false">IF(OR(D828="Invalid/Unrecognized",E828="Invalid/Unrecognized",G828="Invalid - Ship Before Order",X828="Negative - Invalid",X828="Above Allowed Range - Invalid",AG828="Mismatch",AH828="Mismatch",AK828="Conflicting Duplicate - Flagged for Review"),"Invalid",IF(OR(L828="Filled - Unknown",S828="Filled - Unknown",X828="Missing - Defaulted to 0",AL828="Yes",AC828="Cancelled",AC828="Returned"),"Warning","Clean"))</f>
        <v>Clean</v>
      </c>
    </row>
    <row r="829" customFormat="false" ht="15" hidden="false" customHeight="false" outlineLevel="0" collapsed="false">
      <c r="A829" s="3" t="str">
        <f aca="false">raw_data!A829</f>
        <v>ORD-2024-10828</v>
      </c>
      <c r="B829" s="4" t="n">
        <f aca="false">IFERROR(IF(MID(raw_data!B829,3,1)="/",DATE(VALUE(RIGHT(raw_data!B829,4)),VALUE(LEFT(raw_data!B829,2)),VALUE(MID(raw_data!B829,4,2))),IF(MID(raw_data!B829,3,1)="-",DATE(VALUE(RIGHT(raw_data!B829,4)),VALUE(MID(raw_data!B829,4,2)),VALUE(LEFT(raw_data!B829,2))),IF(MID(raw_data!B829,5,1)="-",DATE(VALUE(LEFT(raw_data!B829,4)),VALUE(MID(raw_data!B829,6,2)),VALUE(RIGHT(raw_data!B829,2))),DATE(VALUE(RIGHT(raw_data!B829,4)),MATCH(MID(raw_data!B829,4,3),{"Jan","Feb","Mar","Apr","May","Jun","Jul","Aug","Sep","Oct","Nov","Dec"},0),VALUE(LEFT(raw_data!B829,2)))))),"")</f>
        <v>45620</v>
      </c>
      <c r="C829" s="4" t="n">
        <f aca="false">IFERROR(IF(MID(raw_data!C829,3,1)="/",DATE(VALUE(RIGHT(raw_data!C829,4)),VALUE(LEFT(raw_data!C829,2)),VALUE(MID(raw_data!C829,4,2))),IF(MID(raw_data!C829,3,1)="-",DATE(VALUE(RIGHT(raw_data!C829,4)),VALUE(MID(raw_data!C829,4,2)),VALUE(LEFT(raw_data!C829,2))),IF(MID(raw_data!C829,5,1)="-",DATE(VALUE(LEFT(raw_data!C829,4)),VALUE(MID(raw_data!C829,6,2)),VALUE(RIGHT(raw_data!C829,2))),DATE(VALUE(RIGHT(raw_data!C829,4)),MATCH(MID(raw_data!C829,4,3),{"Jan","Feb","Mar","Apr","May","Jun","Jul","Aug","Sep","Oct","Nov","Dec"},0),VALUE(LEFT(raw_data!C829,2)))))),"")</f>
        <v>45627</v>
      </c>
      <c r="D829" s="3" t="str">
        <f aca="false">IF(TRIM(raw_data!B829)="","Missing",IF(B829="","Invalid/Unrecognized","Valid"))</f>
        <v>Valid</v>
      </c>
      <c r="E829" s="3" t="str">
        <f aca="false">IF(TRIM(raw_data!C829)="","Missing",IF(C829="","Invalid/Unrecognized","Valid"))</f>
        <v>Valid</v>
      </c>
      <c r="F829" s="5" t="n">
        <f aca="false">IF(OR(B829="",C829=""),"",C829-B829)</f>
        <v>7</v>
      </c>
      <c r="G829" s="3" t="str">
        <f aca="false">IF(F829="","N/A",IF(F829&lt;0,"Invalid - Ship Before Order","OK"))</f>
        <v>OK</v>
      </c>
      <c r="H829" s="3" t="str">
        <f aca="false">raw_data!D829</f>
        <v>CUST-5125</v>
      </c>
      <c r="I829" s="3" t="str">
        <f aca="false">PROPER(TRIM(raw_data!E829))</f>
        <v>Priya Menon</v>
      </c>
      <c r="J829" s="3" t="str">
        <f aca="false">PROPER(TRIM(raw_data!F829))</f>
        <v>Home Office</v>
      </c>
      <c r="K829" s="3" t="str">
        <f aca="false">IF(TRIM(raw_data!G829)="","Unknown",PROPER(TRIM(raw_data!G829)))</f>
        <v>South</v>
      </c>
      <c r="L829" s="3" t="str">
        <f aca="false">IF(TRIM(raw_data!G829)="","Filled - Unknown","OK")</f>
        <v>OK</v>
      </c>
      <c r="M829" s="3" t="str">
        <f aca="false">PROPER(TRIM(raw_data!H829))</f>
        <v>Tamil Nadu</v>
      </c>
      <c r="N829" s="3" t="str">
        <f aca="false">PROPER(TRIM(raw_data!I829))</f>
        <v>Chennai</v>
      </c>
      <c r="O829" s="3" t="str">
        <f aca="false">PROPER(TRIM(raw_data!J829))</f>
        <v>Office Supplies</v>
      </c>
      <c r="P829" s="3" t="str">
        <f aca="false">PROPER(TRIM(raw_data!K829))</f>
        <v>Paper</v>
      </c>
      <c r="Q829" s="3" t="str">
        <f aca="false">TRIM(raw_data!L829)</f>
        <v>Basic Paper 707</v>
      </c>
      <c r="R829" s="3" t="str">
        <f aca="false">IF(TRIM(raw_data!M829)="","Unknown",PROPER(TRIM(raw_data!M829)))</f>
        <v>Same Day</v>
      </c>
      <c r="S829" s="3" t="str">
        <f aca="false">IF(TRIM(raw_data!M829)="","Filled - Unknown","OK")</f>
        <v>OK</v>
      </c>
      <c r="T829" s="6" t="n">
        <f aca="false">raw_data!N829</f>
        <v>1</v>
      </c>
      <c r="U829" s="7" t="n">
        <f aca="false">raw_data!O829</f>
        <v>844.89</v>
      </c>
      <c r="V829" s="8" t="n">
        <f aca="false">raw_data!P829</f>
        <v>0.25</v>
      </c>
      <c r="W829" s="8" t="n">
        <f aca="false">IF(raw_data!P829="",0,IF(ISTEXT(raw_data!P829),IF(RIGHT(raw_data!P829,1)="%",VALUE(LEFT(raw_data!P829,LEN(raw_data!P829)-1))/100,VALUE(raw_data!P829)),raw_data!P829))</f>
        <v>0.25</v>
      </c>
      <c r="X829" s="3" t="str">
        <f aca="false">IF(raw_data!P829="","Missing - Defaulted to 0",IF(W829&lt;0,"Negative - Invalid",IF(W829&gt;0.3,"Above Allowed Range - Invalid","Valid")))</f>
        <v>Valid</v>
      </c>
      <c r="Y829" s="7" t="n">
        <f aca="false">raw_data!Q829</f>
        <v>633.67</v>
      </c>
      <c r="Z829" s="7" t="n">
        <f aca="false">raw_data!R829</f>
        <v>520.47</v>
      </c>
      <c r="AA829" s="7" t="n">
        <f aca="false">raw_data!S829</f>
        <v>113.2</v>
      </c>
      <c r="AB829" s="3" t="str">
        <f aca="false">PROPER(TRIM(raw_data!T829))</f>
        <v>Paid</v>
      </c>
      <c r="AC829" s="3" t="str">
        <f aca="false">PROPER(TRIM(raw_data!U829))</f>
        <v>Cancelled</v>
      </c>
      <c r="AD829" s="7" t="n">
        <f aca="false">T829*U829*(1-W829)</f>
        <v>633.6675</v>
      </c>
      <c r="AE829" s="7" t="n">
        <f aca="false">AD829-Z829</f>
        <v>113.1975</v>
      </c>
      <c r="AF829" s="8" t="n">
        <f aca="false">IF(AD829=0,0,AE829/AD829)</f>
        <v>0.178638639349501</v>
      </c>
      <c r="AG829" s="3" t="str">
        <f aca="false">IF(ABS(Y829-AD829)&gt;1,"Mismatch","OK")</f>
        <v>OK</v>
      </c>
      <c r="AH829" s="3" t="str">
        <f aca="false">IF(ABS(AA829-AE829)&gt;1,"Mismatch","OK")</f>
        <v>OK</v>
      </c>
      <c r="AI829" s="6" t="n">
        <f aca="false">IF(B829="","",MONTH(B829))</f>
        <v>11</v>
      </c>
      <c r="AJ829" s="6" t="n">
        <f aca="false">IF(B829="","",YEAR(B829))</f>
        <v>2024</v>
      </c>
      <c r="AK829" s="3" t="str">
        <f aca="false">IF(COUNTIF(raw_data!$A$2:$A$913,A829)&gt;1,"Conflicting Duplicate - Flagged for Review","Unique")</f>
        <v>Unique</v>
      </c>
      <c r="AL829" s="3" t="str">
        <f aca="false">IF(AB829="Refunded","Yes","No")</f>
        <v>No</v>
      </c>
      <c r="AM829" s="3" t="str">
        <f aca="false">IF(OR(AC829&lt;&gt;"Completed",AB829="Failed"),"Excluded","Included")</f>
        <v>Excluded</v>
      </c>
      <c r="AN829" s="3" t="str">
        <f aca="false">IF(OR(D829="Invalid/Unrecognized",E829="Invalid/Unrecognized",G829="Invalid - Ship Before Order",X829="Negative - Invalid",X829="Above Allowed Range - Invalid",AG829="Mismatch",AH829="Mismatch",AK829="Conflicting Duplicate - Flagged for Review"),"Invalid",IF(OR(L829="Filled - Unknown",S829="Filled - Unknown",X829="Missing - Defaulted to 0",AL829="Yes",AC829="Cancelled",AC829="Returned"),"Warning","Clean"))</f>
        <v>Warning</v>
      </c>
    </row>
    <row r="830" customFormat="false" ht="15" hidden="false" customHeight="false" outlineLevel="0" collapsed="false">
      <c r="A830" s="3" t="str">
        <f aca="false">raw_data!A830</f>
        <v>ORD-2025-10829</v>
      </c>
      <c r="B830" s="4" t="n">
        <f aca="false">IFERROR(IF(MID(raw_data!B830,3,1)="/",DATE(VALUE(RIGHT(raw_data!B830,4)),VALUE(LEFT(raw_data!B830,2)),VALUE(MID(raw_data!B830,4,2))),IF(MID(raw_data!B830,3,1)="-",DATE(VALUE(RIGHT(raw_data!B830,4)),VALUE(MID(raw_data!B830,4,2)),VALUE(LEFT(raw_data!B830,2))),IF(MID(raw_data!B830,5,1)="-",DATE(VALUE(LEFT(raw_data!B830,4)),VALUE(MID(raw_data!B830,6,2)),VALUE(RIGHT(raw_data!B830,2))),DATE(VALUE(RIGHT(raw_data!B830,4)),MATCH(MID(raw_data!B830,4,3),{"Jan","Feb","Mar","Apr","May","Jun","Jul","Aug","Sep","Oct","Nov","Dec"},0),VALUE(LEFT(raw_data!B830,2)))))),"")</f>
        <v>45940</v>
      </c>
      <c r="C830" s="4" t="n">
        <f aca="false">IFERROR(IF(MID(raw_data!C830,3,1)="/",DATE(VALUE(RIGHT(raw_data!C830,4)),VALUE(LEFT(raw_data!C830,2)),VALUE(MID(raw_data!C830,4,2))),IF(MID(raw_data!C830,3,1)="-",DATE(VALUE(RIGHT(raw_data!C830,4)),VALUE(MID(raw_data!C830,4,2)),VALUE(LEFT(raw_data!C830,2))),IF(MID(raw_data!C830,5,1)="-",DATE(VALUE(LEFT(raw_data!C830,4)),VALUE(MID(raw_data!C830,6,2)),VALUE(RIGHT(raw_data!C830,2))),DATE(VALUE(RIGHT(raw_data!C830,4)),MATCH(MID(raw_data!C830,4,3),{"Jan","Feb","Mar","Apr","May","Jun","Jul","Aug","Sep","Oct","Nov","Dec"},0),VALUE(LEFT(raw_data!C830,2)))))),"")</f>
        <v>45941</v>
      </c>
      <c r="D830" s="3" t="str">
        <f aca="false">IF(TRIM(raw_data!B830)="","Missing",IF(B830="","Invalid/Unrecognized","Valid"))</f>
        <v>Valid</v>
      </c>
      <c r="E830" s="3" t="str">
        <f aca="false">IF(TRIM(raw_data!C830)="","Missing",IF(C830="","Invalid/Unrecognized","Valid"))</f>
        <v>Valid</v>
      </c>
      <c r="F830" s="5" t="n">
        <f aca="false">IF(OR(B830="",C830=""),"",C830-B830)</f>
        <v>1</v>
      </c>
      <c r="G830" s="3" t="str">
        <f aca="false">IF(F830="","N/A",IF(F830&lt;0,"Invalid - Ship Before Order","OK"))</f>
        <v>OK</v>
      </c>
      <c r="H830" s="3" t="str">
        <f aca="false">raw_data!D830</f>
        <v>CUST-6010</v>
      </c>
      <c r="I830" s="3" t="str">
        <f aca="false">PROPER(TRIM(raw_data!E830))</f>
        <v>Karan Malhotra</v>
      </c>
      <c r="J830" s="3" t="str">
        <f aca="false">PROPER(TRIM(raw_data!F830))</f>
        <v>Corporate</v>
      </c>
      <c r="K830" s="3" t="str">
        <f aca="false">IF(TRIM(raw_data!G830)="","Unknown",PROPER(TRIM(raw_data!G830)))</f>
        <v>East</v>
      </c>
      <c r="L830" s="3" t="str">
        <f aca="false">IF(TRIM(raw_data!G830)="","Filled - Unknown","OK")</f>
        <v>OK</v>
      </c>
      <c r="M830" s="3" t="str">
        <f aca="false">PROPER(TRIM(raw_data!H830))</f>
        <v>Odisha</v>
      </c>
      <c r="N830" s="3" t="str">
        <f aca="false">PROPER(TRIM(raw_data!I830))</f>
        <v>Bhubaneswar</v>
      </c>
      <c r="O830" s="3" t="str">
        <f aca="false">PROPER(TRIM(raw_data!J830))</f>
        <v>Furniture</v>
      </c>
      <c r="P830" s="3" t="str">
        <f aca="false">PROPER(TRIM(raw_data!K830))</f>
        <v>Chairs</v>
      </c>
      <c r="Q830" s="3" t="str">
        <f aca="false">TRIM(raw_data!L830)</f>
        <v>Elite Chairs 979</v>
      </c>
      <c r="R830" s="3" t="str">
        <f aca="false">IF(TRIM(raw_data!M830)="","Unknown",PROPER(TRIM(raw_data!M830)))</f>
        <v>Second Class</v>
      </c>
      <c r="S830" s="3" t="str">
        <f aca="false">IF(TRIM(raw_data!M830)="","Filled - Unknown","OK")</f>
        <v>OK</v>
      </c>
      <c r="T830" s="6" t="n">
        <f aca="false">raw_data!N830</f>
        <v>7</v>
      </c>
      <c r="U830" s="7" t="n">
        <f aca="false">raw_data!O830</f>
        <v>3791.96</v>
      </c>
      <c r="V830" s="8" t="n">
        <f aca="false">raw_data!P830</f>
        <v>0.05</v>
      </c>
      <c r="W830" s="8" t="n">
        <f aca="false">IF(raw_data!P830="",0,IF(ISTEXT(raw_data!P830),IF(RIGHT(raw_data!P830,1)="%",VALUE(LEFT(raw_data!P830,LEN(raw_data!P830)-1))/100,VALUE(raw_data!P830)),raw_data!P830))</f>
        <v>0.05</v>
      </c>
      <c r="X830" s="3" t="str">
        <f aca="false">IF(raw_data!P830="","Missing - Defaulted to 0",IF(W830&lt;0,"Negative - Invalid",IF(W830&gt;0.3,"Above Allowed Range - Invalid","Valid")))</f>
        <v>Valid</v>
      </c>
      <c r="Y830" s="7" t="n">
        <f aca="false">raw_data!Q830</f>
        <v>25216.53</v>
      </c>
      <c r="Z830" s="7" t="n">
        <f aca="false">raw_data!R830</f>
        <v>14216.94</v>
      </c>
      <c r="AA830" s="7" t="n">
        <f aca="false">raw_data!S830</f>
        <v>10999.59</v>
      </c>
      <c r="AB830" s="3" t="str">
        <f aca="false">PROPER(TRIM(raw_data!T830))</f>
        <v>Failed</v>
      </c>
      <c r="AC830" s="3" t="str">
        <f aca="false">PROPER(TRIM(raw_data!U830))</f>
        <v>Cancelled</v>
      </c>
      <c r="AD830" s="7" t="n">
        <f aca="false">T830*U830*(1-W830)</f>
        <v>25216.534</v>
      </c>
      <c r="AE830" s="7" t="n">
        <f aca="false">AD830-Z830</f>
        <v>10999.594</v>
      </c>
      <c r="AF830" s="8" t="n">
        <f aca="false">IF(AD830=0,0,AE830/AD830)</f>
        <v>0.436205626038852</v>
      </c>
      <c r="AG830" s="3" t="str">
        <f aca="false">IF(ABS(Y830-AD830)&gt;1,"Mismatch","OK")</f>
        <v>OK</v>
      </c>
      <c r="AH830" s="3" t="str">
        <f aca="false">IF(ABS(AA830-AE830)&gt;1,"Mismatch","OK")</f>
        <v>OK</v>
      </c>
      <c r="AI830" s="6" t="n">
        <f aca="false">IF(B830="","",MONTH(B830))</f>
        <v>10</v>
      </c>
      <c r="AJ830" s="6" t="n">
        <f aca="false">IF(B830="","",YEAR(B830))</f>
        <v>2025</v>
      </c>
      <c r="AK830" s="3" t="str">
        <f aca="false">IF(COUNTIF(raw_data!$A$2:$A$913,A830)&gt;1,"Conflicting Duplicate - Flagged for Review","Unique")</f>
        <v>Unique</v>
      </c>
      <c r="AL830" s="3" t="str">
        <f aca="false">IF(AB830="Refunded","Yes","No")</f>
        <v>No</v>
      </c>
      <c r="AM830" s="3" t="str">
        <f aca="false">IF(OR(AC830&lt;&gt;"Completed",AB830="Failed"),"Excluded","Included")</f>
        <v>Excluded</v>
      </c>
      <c r="AN830" s="3" t="str">
        <f aca="false">IF(OR(D830="Invalid/Unrecognized",E830="Invalid/Unrecognized",G830="Invalid - Ship Before Order",X830="Negative - Invalid",X830="Above Allowed Range - Invalid",AG830="Mismatch",AH830="Mismatch",AK830="Conflicting Duplicate - Flagged for Review"),"Invalid",IF(OR(L830="Filled - Unknown",S830="Filled - Unknown",X830="Missing - Defaulted to 0",AL830="Yes",AC830="Cancelled",AC830="Returned"),"Warning","Clean"))</f>
        <v>Warning</v>
      </c>
    </row>
    <row r="831" customFormat="false" ht="15" hidden="false" customHeight="false" outlineLevel="0" collapsed="false">
      <c r="A831" s="3" t="str">
        <f aca="false">raw_data!A831</f>
        <v>ORD-2024-10830</v>
      </c>
      <c r="B831" s="4" t="n">
        <f aca="false">IFERROR(IF(MID(raw_data!B831,3,1)="/",DATE(VALUE(RIGHT(raw_data!B831,4)),VALUE(LEFT(raw_data!B831,2)),VALUE(MID(raw_data!B831,4,2))),IF(MID(raw_data!B831,3,1)="-",DATE(VALUE(RIGHT(raw_data!B831,4)),VALUE(MID(raw_data!B831,4,2)),VALUE(LEFT(raw_data!B831,2))),IF(MID(raw_data!B831,5,1)="-",DATE(VALUE(LEFT(raw_data!B831,4)),VALUE(MID(raw_data!B831,6,2)),VALUE(RIGHT(raw_data!B831,2))),DATE(VALUE(RIGHT(raw_data!B831,4)),MATCH(MID(raw_data!B831,4,3),{"Jan","Feb","Mar","Apr","May","Jun","Jul","Aug","Sep","Oct","Nov","Dec"},0),VALUE(LEFT(raw_data!B831,2)))))),"")</f>
        <v>45348</v>
      </c>
      <c r="C831" s="4" t="n">
        <f aca="false">IFERROR(IF(MID(raw_data!C831,3,1)="/",DATE(VALUE(RIGHT(raw_data!C831,4)),VALUE(LEFT(raw_data!C831,2)),VALUE(MID(raw_data!C831,4,2))),IF(MID(raw_data!C831,3,1)="-",DATE(VALUE(RIGHT(raw_data!C831,4)),VALUE(MID(raw_data!C831,4,2)),VALUE(LEFT(raw_data!C831,2))),IF(MID(raw_data!C831,5,1)="-",DATE(VALUE(LEFT(raw_data!C831,4)),VALUE(MID(raw_data!C831,6,2)),VALUE(RIGHT(raw_data!C831,2))),DATE(VALUE(RIGHT(raw_data!C831,4)),MATCH(MID(raw_data!C831,4,3),{"Jan","Feb","Mar","Apr","May","Jun","Jul","Aug","Sep","Oct","Nov","Dec"},0),VALUE(LEFT(raw_data!C831,2)))))),"")</f>
        <v>45350</v>
      </c>
      <c r="D831" s="3" t="str">
        <f aca="false">IF(TRIM(raw_data!B831)="","Missing",IF(B831="","Invalid/Unrecognized","Valid"))</f>
        <v>Valid</v>
      </c>
      <c r="E831" s="3" t="str">
        <f aca="false">IF(TRIM(raw_data!C831)="","Missing",IF(C831="","Invalid/Unrecognized","Valid"))</f>
        <v>Valid</v>
      </c>
      <c r="F831" s="5" t="n">
        <f aca="false">IF(OR(B831="",C831=""),"",C831-B831)</f>
        <v>2</v>
      </c>
      <c r="G831" s="3" t="str">
        <f aca="false">IF(F831="","N/A",IF(F831&lt;0,"Invalid - Ship Before Order","OK"))</f>
        <v>OK</v>
      </c>
      <c r="H831" s="3" t="str">
        <f aca="false">raw_data!D831</f>
        <v>CUST-9036</v>
      </c>
      <c r="I831" s="3" t="str">
        <f aca="false">PROPER(TRIM(raw_data!E831))</f>
        <v>Aditi Sen</v>
      </c>
      <c r="J831" s="3" t="str">
        <f aca="false">PROPER(TRIM(raw_data!F831))</f>
        <v>Small Business</v>
      </c>
      <c r="K831" s="3" t="str">
        <f aca="false">IF(TRIM(raw_data!G831)="","Unknown",PROPER(TRIM(raw_data!G831)))</f>
        <v>West</v>
      </c>
      <c r="L831" s="3" t="str">
        <f aca="false">IF(TRIM(raw_data!G831)="","Filled - Unknown","OK")</f>
        <v>OK</v>
      </c>
      <c r="M831" s="3" t="str">
        <f aca="false">PROPER(TRIM(raw_data!H831))</f>
        <v>Goa</v>
      </c>
      <c r="N831" s="3" t="str">
        <f aca="false">PROPER(TRIM(raw_data!I831))</f>
        <v>Panaji</v>
      </c>
      <c r="O831" s="3" t="str">
        <f aca="false">PROPER(TRIM(raw_data!J831))</f>
        <v>Furniture</v>
      </c>
      <c r="P831" s="3" t="str">
        <f aca="false">PROPER(TRIM(raw_data!K831))</f>
        <v>Furnishings</v>
      </c>
      <c r="Q831" s="3" t="str">
        <f aca="false">TRIM(raw_data!L831)</f>
        <v>Pro Furnishings 192</v>
      </c>
      <c r="R831" s="3" t="str">
        <f aca="false">IF(TRIM(raw_data!M831)="","Unknown",PROPER(TRIM(raw_data!M831)))</f>
        <v>Second Class</v>
      </c>
      <c r="S831" s="3" t="str">
        <f aca="false">IF(TRIM(raw_data!M831)="","Filled - Unknown","OK")</f>
        <v>OK</v>
      </c>
      <c r="T831" s="6" t="n">
        <f aca="false">raw_data!N831</f>
        <v>7</v>
      </c>
      <c r="U831" s="7" t="n">
        <f aca="false">raw_data!O831</f>
        <v>1035.14</v>
      </c>
      <c r="V831" s="8" t="n">
        <f aca="false">raw_data!P831</f>
        <v>0.1</v>
      </c>
      <c r="W831" s="8" t="n">
        <f aca="false">IF(raw_data!P831="",0,IF(ISTEXT(raw_data!P831),IF(RIGHT(raw_data!P831,1)="%",VALUE(LEFT(raw_data!P831,LEN(raw_data!P831)-1))/100,VALUE(raw_data!P831)),raw_data!P831))</f>
        <v>0.1</v>
      </c>
      <c r="X831" s="3" t="str">
        <f aca="false">IF(raw_data!P831="","Missing - Defaulted to 0",IF(W831&lt;0,"Negative - Invalid",IF(W831&gt;0.3,"Above Allowed Range - Invalid","Valid")))</f>
        <v>Valid</v>
      </c>
      <c r="Y831" s="7" t="n">
        <f aca="false">raw_data!Q831</f>
        <v>6521.38</v>
      </c>
      <c r="Z831" s="7" t="n">
        <f aca="false">raw_data!R831</f>
        <v>4511.1</v>
      </c>
      <c r="AA831" s="7" t="n">
        <f aca="false">raw_data!S831</f>
        <v>2010.28</v>
      </c>
      <c r="AB831" s="3" t="str">
        <f aca="false">PROPER(TRIM(raw_data!T831))</f>
        <v>Paid</v>
      </c>
      <c r="AC831" s="3" t="str">
        <f aca="false">PROPER(TRIM(raw_data!U831))</f>
        <v>Completed</v>
      </c>
      <c r="AD831" s="7" t="n">
        <f aca="false">T831*U831*(1-W831)</f>
        <v>6521.382</v>
      </c>
      <c r="AE831" s="7" t="n">
        <f aca="false">AD831-Z831</f>
        <v>2010.282</v>
      </c>
      <c r="AF831" s="8" t="n">
        <f aca="false">IF(AD831=0,0,AE831/AD831)</f>
        <v>0.308260120324189</v>
      </c>
      <c r="AG831" s="3" t="str">
        <f aca="false">IF(ABS(Y831-AD831)&gt;1,"Mismatch","OK")</f>
        <v>OK</v>
      </c>
      <c r="AH831" s="3" t="str">
        <f aca="false">IF(ABS(AA831-AE831)&gt;1,"Mismatch","OK")</f>
        <v>OK</v>
      </c>
      <c r="AI831" s="6" t="n">
        <f aca="false">IF(B831="","",MONTH(B831))</f>
        <v>2</v>
      </c>
      <c r="AJ831" s="6" t="n">
        <f aca="false">IF(B831="","",YEAR(B831))</f>
        <v>2024</v>
      </c>
      <c r="AK831" s="3" t="str">
        <f aca="false">IF(COUNTIF(raw_data!$A$2:$A$913,A831)&gt;1,"Conflicting Duplicate - Flagged for Review","Unique")</f>
        <v>Unique</v>
      </c>
      <c r="AL831" s="3" t="str">
        <f aca="false">IF(AB831="Refunded","Yes","No")</f>
        <v>No</v>
      </c>
      <c r="AM831" s="3" t="str">
        <f aca="false">IF(OR(AC831&lt;&gt;"Completed",AB831="Failed"),"Excluded","Included")</f>
        <v>Included</v>
      </c>
      <c r="AN831" s="3" t="str">
        <f aca="false">IF(OR(D831="Invalid/Unrecognized",E831="Invalid/Unrecognized",G831="Invalid - Ship Before Order",X831="Negative - Invalid",X831="Above Allowed Range - Invalid",AG831="Mismatch",AH831="Mismatch",AK831="Conflicting Duplicate - Flagged for Review"),"Invalid",IF(OR(L831="Filled - Unknown",S831="Filled - Unknown",X831="Missing - Defaulted to 0",AL831="Yes",AC831="Cancelled",AC831="Returned"),"Warning","Clean"))</f>
        <v>Clean</v>
      </c>
    </row>
    <row r="832" customFormat="false" ht="15" hidden="false" customHeight="false" outlineLevel="0" collapsed="false">
      <c r="A832" s="3" t="str">
        <f aca="false">raw_data!A832</f>
        <v>ORD-2025-10831</v>
      </c>
      <c r="B832" s="4" t="n">
        <f aca="false">IFERROR(IF(MID(raw_data!B832,3,1)="/",DATE(VALUE(RIGHT(raw_data!B832,4)),VALUE(LEFT(raw_data!B832,2)),VALUE(MID(raw_data!B832,4,2))),IF(MID(raw_data!B832,3,1)="-",DATE(VALUE(RIGHT(raw_data!B832,4)),VALUE(MID(raw_data!B832,4,2)),VALUE(LEFT(raw_data!B832,2))),IF(MID(raw_data!B832,5,1)="-",DATE(VALUE(LEFT(raw_data!B832,4)),VALUE(MID(raw_data!B832,6,2)),VALUE(RIGHT(raw_data!B832,2))),DATE(VALUE(RIGHT(raw_data!B832,4)),MATCH(MID(raw_data!B832,4,3),{"Jan","Feb","Mar","Apr","May","Jun","Jul","Aug","Sep","Oct","Nov","Dec"},0),VALUE(LEFT(raw_data!B832,2)))))),"")</f>
        <v>45853</v>
      </c>
      <c r="C832" s="4" t="n">
        <f aca="false">IFERROR(IF(MID(raw_data!C832,3,1)="/",DATE(VALUE(RIGHT(raw_data!C832,4)),VALUE(LEFT(raw_data!C832,2)),VALUE(MID(raw_data!C832,4,2))),IF(MID(raw_data!C832,3,1)="-",DATE(VALUE(RIGHT(raw_data!C832,4)),VALUE(MID(raw_data!C832,4,2)),VALUE(LEFT(raw_data!C832,2))),IF(MID(raw_data!C832,5,1)="-",DATE(VALUE(LEFT(raw_data!C832,4)),VALUE(MID(raw_data!C832,6,2)),VALUE(RIGHT(raw_data!C832,2))),DATE(VALUE(RIGHT(raw_data!C832,4)),MATCH(MID(raw_data!C832,4,3),{"Jan","Feb","Mar","Apr","May","Jun","Jul","Aug","Sep","Oct","Nov","Dec"},0),VALUE(LEFT(raw_data!C832,2)))))),"")</f>
        <v>45856</v>
      </c>
      <c r="D832" s="3" t="str">
        <f aca="false">IF(TRIM(raw_data!B832)="","Missing",IF(B832="","Invalid/Unrecognized","Valid"))</f>
        <v>Valid</v>
      </c>
      <c r="E832" s="3" t="str">
        <f aca="false">IF(TRIM(raw_data!C832)="","Missing",IF(C832="","Invalid/Unrecognized","Valid"))</f>
        <v>Valid</v>
      </c>
      <c r="F832" s="5" t="n">
        <f aca="false">IF(OR(B832="",C832=""),"",C832-B832)</f>
        <v>3</v>
      </c>
      <c r="G832" s="3" t="str">
        <f aca="false">IF(F832="","N/A",IF(F832&lt;0,"Invalid - Ship Before Order","OK"))</f>
        <v>OK</v>
      </c>
      <c r="H832" s="3" t="str">
        <f aca="false">raw_data!D832</f>
        <v>CUST-7929</v>
      </c>
      <c r="I832" s="3" t="str">
        <f aca="false">PROPER(TRIM(raw_data!E832))</f>
        <v>Aditi Sen</v>
      </c>
      <c r="J832" s="3" t="str">
        <f aca="false">PROPER(TRIM(raw_data!F832))</f>
        <v>Small Business</v>
      </c>
      <c r="K832" s="3" t="str">
        <f aca="false">IF(TRIM(raw_data!G832)="","Unknown",PROPER(TRIM(raw_data!G832)))</f>
        <v>Unknown</v>
      </c>
      <c r="L832" s="3" t="str">
        <f aca="false">IF(TRIM(raw_data!G832)="","Filled - Unknown","OK")</f>
        <v>Filled - Unknown</v>
      </c>
      <c r="M832" s="3" t="str">
        <f aca="false">PROPER(TRIM(raw_data!H832))</f>
        <v>Tamil Nadu</v>
      </c>
      <c r="N832" s="3" t="str">
        <f aca="false">PROPER(TRIM(raw_data!I832))</f>
        <v>Chennai</v>
      </c>
      <c r="O832" s="3" t="str">
        <f aca="false">PROPER(TRIM(raw_data!J832))</f>
        <v>Technology</v>
      </c>
      <c r="P832" s="3" t="str">
        <f aca="false">PROPER(TRIM(raw_data!K832))</f>
        <v>Machines</v>
      </c>
      <c r="Q832" s="3" t="str">
        <f aca="false">TRIM(raw_data!L832)</f>
        <v>Smart Machines 951</v>
      </c>
      <c r="R832" s="3" t="str">
        <f aca="false">IF(TRIM(raw_data!M832)="","Unknown",PROPER(TRIM(raw_data!M832)))</f>
        <v>First Class</v>
      </c>
      <c r="S832" s="3" t="str">
        <f aca="false">IF(TRIM(raw_data!M832)="","Filled - Unknown","OK")</f>
        <v>OK</v>
      </c>
      <c r="T832" s="6" t="n">
        <f aca="false">raw_data!N832</f>
        <v>6</v>
      </c>
      <c r="U832" s="7" t="n">
        <f aca="false">raw_data!O832</f>
        <v>2382.88</v>
      </c>
      <c r="V832" s="8" t="n">
        <f aca="false">raw_data!P832</f>
        <v>0.1</v>
      </c>
      <c r="W832" s="8" t="n">
        <f aca="false">IF(raw_data!P832="",0,IF(ISTEXT(raw_data!P832),IF(RIGHT(raw_data!P832,1)="%",VALUE(LEFT(raw_data!P832,LEN(raw_data!P832)-1))/100,VALUE(raw_data!P832)),raw_data!P832))</f>
        <v>0.1</v>
      </c>
      <c r="X832" s="3" t="str">
        <f aca="false">IF(raw_data!P832="","Missing - Defaulted to 0",IF(W832&lt;0,"Negative - Invalid",IF(W832&gt;0.3,"Above Allowed Range - Invalid","Valid")))</f>
        <v>Valid</v>
      </c>
      <c r="Y832" s="7" t="n">
        <f aca="false">raw_data!Q832</f>
        <v>12867.55</v>
      </c>
      <c r="Z832" s="7" t="n">
        <f aca="false">raw_data!R832</f>
        <v>10068.94</v>
      </c>
      <c r="AA832" s="7" t="n">
        <f aca="false">raw_data!S832</f>
        <v>2798.61</v>
      </c>
      <c r="AB832" s="3" t="str">
        <f aca="false">PROPER(TRIM(raw_data!T832))</f>
        <v>Paid</v>
      </c>
      <c r="AC832" s="3" t="str">
        <f aca="false">PROPER(TRIM(raw_data!U832))</f>
        <v>Completed</v>
      </c>
      <c r="AD832" s="7" t="n">
        <f aca="false">T832*U832*(1-W832)</f>
        <v>12867.552</v>
      </c>
      <c r="AE832" s="7" t="n">
        <f aca="false">AD832-Z832</f>
        <v>2798.612</v>
      </c>
      <c r="AF832" s="8" t="n">
        <f aca="false">IF(AD832=0,0,AE832/AD832)</f>
        <v>0.217493739290892</v>
      </c>
      <c r="AG832" s="3" t="str">
        <f aca="false">IF(ABS(Y832-AD832)&gt;1,"Mismatch","OK")</f>
        <v>OK</v>
      </c>
      <c r="AH832" s="3" t="str">
        <f aca="false">IF(ABS(AA832-AE832)&gt;1,"Mismatch","OK")</f>
        <v>OK</v>
      </c>
      <c r="AI832" s="6" t="n">
        <f aca="false">IF(B832="","",MONTH(B832))</f>
        <v>7</v>
      </c>
      <c r="AJ832" s="6" t="n">
        <f aca="false">IF(B832="","",YEAR(B832))</f>
        <v>2025</v>
      </c>
      <c r="AK832" s="3" t="str">
        <f aca="false">IF(COUNTIF(raw_data!$A$2:$A$913,A832)&gt;1,"Conflicting Duplicate - Flagged for Review","Unique")</f>
        <v>Unique</v>
      </c>
      <c r="AL832" s="3" t="str">
        <f aca="false">IF(AB832="Refunded","Yes","No")</f>
        <v>No</v>
      </c>
      <c r="AM832" s="3" t="str">
        <f aca="false">IF(OR(AC832&lt;&gt;"Completed",AB832="Failed"),"Excluded","Included")</f>
        <v>Included</v>
      </c>
      <c r="AN832" s="3" t="str">
        <f aca="false">IF(OR(D832="Invalid/Unrecognized",E832="Invalid/Unrecognized",G832="Invalid - Ship Before Order",X832="Negative - Invalid",X832="Above Allowed Range - Invalid",AG832="Mismatch",AH832="Mismatch",AK832="Conflicting Duplicate - Flagged for Review"),"Invalid",IF(OR(L832="Filled - Unknown",S832="Filled - Unknown",X832="Missing - Defaulted to 0",AL832="Yes",AC832="Cancelled",AC832="Returned"),"Warning","Clean"))</f>
        <v>Warning</v>
      </c>
    </row>
    <row r="833" customFormat="false" ht="15" hidden="false" customHeight="false" outlineLevel="0" collapsed="false">
      <c r="A833" s="3" t="str">
        <f aca="false">raw_data!A833</f>
        <v>ORD-2025-10832</v>
      </c>
      <c r="B833" s="4" t="n">
        <f aca="false">IFERROR(IF(MID(raw_data!B833,3,1)="/",DATE(VALUE(RIGHT(raw_data!B833,4)),VALUE(LEFT(raw_data!B833,2)),VALUE(MID(raw_data!B833,4,2))),IF(MID(raw_data!B833,3,1)="-",DATE(VALUE(RIGHT(raw_data!B833,4)),VALUE(MID(raw_data!B833,4,2)),VALUE(LEFT(raw_data!B833,2))),IF(MID(raw_data!B833,5,1)="-",DATE(VALUE(LEFT(raw_data!B833,4)),VALUE(MID(raw_data!B833,6,2)),VALUE(RIGHT(raw_data!B833,2))),DATE(VALUE(RIGHT(raw_data!B833,4)),MATCH(MID(raw_data!B833,4,3),{"Jan","Feb","Mar","Apr","May","Jun","Jul","Aug","Sep","Oct","Nov","Dec"},0),VALUE(LEFT(raw_data!B833,2)))))),"")</f>
        <v>45750</v>
      </c>
      <c r="C833" s="4" t="n">
        <f aca="false">IFERROR(IF(MID(raw_data!C833,3,1)="/",DATE(VALUE(RIGHT(raw_data!C833,4)),VALUE(LEFT(raw_data!C833,2)),VALUE(MID(raw_data!C833,4,2))),IF(MID(raw_data!C833,3,1)="-",DATE(VALUE(RIGHT(raw_data!C833,4)),VALUE(MID(raw_data!C833,4,2)),VALUE(LEFT(raw_data!C833,2))),IF(MID(raw_data!C833,5,1)="-",DATE(VALUE(LEFT(raw_data!C833,4)),VALUE(MID(raw_data!C833,6,2)),VALUE(RIGHT(raw_data!C833,2))),DATE(VALUE(RIGHT(raw_data!C833,4)),MATCH(MID(raw_data!C833,4,3),{"Jan","Feb","Mar","Apr","May","Jun","Jul","Aug","Sep","Oct","Nov","Dec"},0),VALUE(LEFT(raw_data!C833,2)))))),"")</f>
        <v>45750</v>
      </c>
      <c r="D833" s="3" t="str">
        <f aca="false">IF(TRIM(raw_data!B833)="","Missing",IF(B833="","Invalid/Unrecognized","Valid"))</f>
        <v>Valid</v>
      </c>
      <c r="E833" s="3" t="str">
        <f aca="false">IF(TRIM(raw_data!C833)="","Missing",IF(C833="","Invalid/Unrecognized","Valid"))</f>
        <v>Valid</v>
      </c>
      <c r="F833" s="5" t="n">
        <f aca="false">IF(OR(B833="",C833=""),"",C833-B833)</f>
        <v>0</v>
      </c>
      <c r="G833" s="3" t="str">
        <f aca="false">IF(F833="","N/A",IF(F833&lt;0,"Invalid - Ship Before Order","OK"))</f>
        <v>OK</v>
      </c>
      <c r="H833" s="3" t="str">
        <f aca="false">raw_data!D833</f>
        <v>CUST-1106</v>
      </c>
      <c r="I833" s="3" t="str">
        <f aca="false">PROPER(TRIM(raw_data!E833))</f>
        <v>Diya Patel</v>
      </c>
      <c r="J833" s="3" t="str">
        <f aca="false">PROPER(TRIM(raw_data!F833))</f>
        <v>Home Office</v>
      </c>
      <c r="K833" s="3" t="str">
        <f aca="false">IF(TRIM(raw_data!G833)="","Unknown",PROPER(TRIM(raw_data!G833)))</f>
        <v>Unknown</v>
      </c>
      <c r="L833" s="3" t="str">
        <f aca="false">IF(TRIM(raw_data!G833)="","Filled - Unknown","OK")</f>
        <v>Filled - Unknown</v>
      </c>
      <c r="M833" s="3" t="str">
        <f aca="false">PROPER(TRIM(raw_data!H833))</f>
        <v>Haryana</v>
      </c>
      <c r="N833" s="3" t="str">
        <f aca="false">PROPER(TRIM(raw_data!I833))</f>
        <v>Gurugram</v>
      </c>
      <c r="O833" s="3" t="str">
        <f aca="false">PROPER(TRIM(raw_data!J833))</f>
        <v>Furniture</v>
      </c>
      <c r="P833" s="3" t="str">
        <f aca="false">PROPER(TRIM(raw_data!K833))</f>
        <v>Chairs</v>
      </c>
      <c r="Q833" s="3" t="str">
        <f aca="false">TRIM(raw_data!L833)</f>
        <v>Smart Chairs 794</v>
      </c>
      <c r="R833" s="3" t="str">
        <f aca="false">IF(TRIM(raw_data!M833)="","Unknown",PROPER(TRIM(raw_data!M833)))</f>
        <v>First Class</v>
      </c>
      <c r="S833" s="3" t="str">
        <f aca="false">IF(TRIM(raw_data!M833)="","Filled - Unknown","OK")</f>
        <v>OK</v>
      </c>
      <c r="T833" s="6" t="n">
        <f aca="false">raw_data!N833</f>
        <v>9</v>
      </c>
      <c r="U833" s="7" t="n">
        <f aca="false">raw_data!O833</f>
        <v>3462.7</v>
      </c>
      <c r="V833" s="8" t="n">
        <f aca="false">raw_data!P833</f>
        <v>0.15</v>
      </c>
      <c r="W833" s="8" t="n">
        <f aca="false">IF(raw_data!P833="",0,IF(ISTEXT(raw_data!P833),IF(RIGHT(raw_data!P833,1)="%",VALUE(LEFT(raw_data!P833,LEN(raw_data!P833)-1))/100,VALUE(raw_data!P833)),raw_data!P833))</f>
        <v>0.15</v>
      </c>
      <c r="X833" s="3" t="str">
        <f aca="false">IF(raw_data!P833="","Missing - Defaulted to 0",IF(W833&lt;0,"Negative - Invalid",IF(W833&gt;0.3,"Above Allowed Range - Invalid","Valid")))</f>
        <v>Valid</v>
      </c>
      <c r="Y833" s="7" t="n">
        <f aca="false">raw_data!Q833</f>
        <v>26489.65</v>
      </c>
      <c r="Z833" s="7" t="n">
        <f aca="false">raw_data!R833</f>
        <v>15818.46</v>
      </c>
      <c r="AA833" s="7" t="n">
        <f aca="false">raw_data!S833</f>
        <v>10671.19</v>
      </c>
      <c r="AB833" s="3" t="str">
        <f aca="false">PROPER(TRIM(raw_data!T833))</f>
        <v>Failed</v>
      </c>
      <c r="AC833" s="3" t="str">
        <f aca="false">PROPER(TRIM(raw_data!U833))</f>
        <v>Returned</v>
      </c>
      <c r="AD833" s="7" t="n">
        <f aca="false">T833*U833*(1-W833)</f>
        <v>26489.655</v>
      </c>
      <c r="AE833" s="7" t="n">
        <f aca="false">AD833-Z833</f>
        <v>10671.195</v>
      </c>
      <c r="AF833" s="8" t="n">
        <f aca="false">IF(AD833=0,0,AE833/AD833)</f>
        <v>0.402843864897448</v>
      </c>
      <c r="AG833" s="3" t="str">
        <f aca="false">IF(ABS(Y833-AD833)&gt;1,"Mismatch","OK")</f>
        <v>OK</v>
      </c>
      <c r="AH833" s="3" t="str">
        <f aca="false">IF(ABS(AA833-AE833)&gt;1,"Mismatch","OK")</f>
        <v>OK</v>
      </c>
      <c r="AI833" s="6" t="n">
        <f aca="false">IF(B833="","",MONTH(B833))</f>
        <v>4</v>
      </c>
      <c r="AJ833" s="6" t="n">
        <f aca="false">IF(B833="","",YEAR(B833))</f>
        <v>2025</v>
      </c>
      <c r="AK833" s="3" t="str">
        <f aca="false">IF(COUNTIF(raw_data!$A$2:$A$913,A833)&gt;1,"Conflicting Duplicate - Flagged for Review","Unique")</f>
        <v>Unique</v>
      </c>
      <c r="AL833" s="3" t="str">
        <f aca="false">IF(AB833="Refunded","Yes","No")</f>
        <v>No</v>
      </c>
      <c r="AM833" s="3" t="str">
        <f aca="false">IF(OR(AC833&lt;&gt;"Completed",AB833="Failed"),"Excluded","Included")</f>
        <v>Excluded</v>
      </c>
      <c r="AN833" s="3" t="str">
        <f aca="false">IF(OR(D833="Invalid/Unrecognized",E833="Invalid/Unrecognized",G833="Invalid - Ship Before Order",X833="Negative - Invalid",X833="Above Allowed Range - Invalid",AG833="Mismatch",AH833="Mismatch",AK833="Conflicting Duplicate - Flagged for Review"),"Invalid",IF(OR(L833="Filled - Unknown",S833="Filled - Unknown",X833="Missing - Defaulted to 0",AL833="Yes",AC833="Cancelled",AC833="Returned"),"Warning","Clean"))</f>
        <v>Warning</v>
      </c>
    </row>
    <row r="834" customFormat="false" ht="15" hidden="false" customHeight="false" outlineLevel="0" collapsed="false">
      <c r="A834" s="3" t="str">
        <f aca="false">raw_data!A834</f>
        <v>ORD-2025-10833</v>
      </c>
      <c r="B834" s="4" t="n">
        <f aca="false">IFERROR(IF(MID(raw_data!B834,3,1)="/",DATE(VALUE(RIGHT(raw_data!B834,4)),VALUE(LEFT(raw_data!B834,2)),VALUE(MID(raw_data!B834,4,2))),IF(MID(raw_data!B834,3,1)="-",DATE(VALUE(RIGHT(raw_data!B834,4)),VALUE(MID(raw_data!B834,4,2)),VALUE(LEFT(raw_data!B834,2))),IF(MID(raw_data!B834,5,1)="-",DATE(VALUE(LEFT(raw_data!B834,4)),VALUE(MID(raw_data!B834,6,2)),VALUE(RIGHT(raw_data!B834,2))),DATE(VALUE(RIGHT(raw_data!B834,4)),MATCH(MID(raw_data!B834,4,3),{"Jan","Feb","Mar","Apr","May","Jun","Jul","Aug","Sep","Oct","Nov","Dec"},0),VALUE(LEFT(raw_data!B834,2)))))),"")</f>
        <v>45803</v>
      </c>
      <c r="C834" s="4" t="n">
        <f aca="false">IFERROR(IF(MID(raw_data!C834,3,1)="/",DATE(VALUE(RIGHT(raw_data!C834,4)),VALUE(LEFT(raw_data!C834,2)),VALUE(MID(raw_data!C834,4,2))),IF(MID(raw_data!C834,3,1)="-",DATE(VALUE(RIGHT(raw_data!C834,4)),VALUE(MID(raw_data!C834,4,2)),VALUE(LEFT(raw_data!C834,2))),IF(MID(raw_data!C834,5,1)="-",DATE(VALUE(LEFT(raw_data!C834,4)),VALUE(MID(raw_data!C834,6,2)),VALUE(RIGHT(raw_data!C834,2))),DATE(VALUE(RIGHT(raw_data!C834,4)),MATCH(MID(raw_data!C834,4,3),{"Jan","Feb","Mar","Apr","May","Jun","Jul","Aug","Sep","Oct","Nov","Dec"},0),VALUE(LEFT(raw_data!C834,2)))))),"")</f>
        <v>45805</v>
      </c>
      <c r="D834" s="3" t="str">
        <f aca="false">IF(TRIM(raw_data!B834)="","Missing",IF(B834="","Invalid/Unrecognized","Valid"))</f>
        <v>Valid</v>
      </c>
      <c r="E834" s="3" t="str">
        <f aca="false">IF(TRIM(raw_data!C834)="","Missing",IF(C834="","Invalid/Unrecognized","Valid"))</f>
        <v>Valid</v>
      </c>
      <c r="F834" s="5" t="n">
        <f aca="false">IF(OR(B834="",C834=""),"",C834-B834)</f>
        <v>2</v>
      </c>
      <c r="G834" s="3" t="str">
        <f aca="false">IF(F834="","N/A",IF(F834&lt;0,"Invalid - Ship Before Order","OK"))</f>
        <v>OK</v>
      </c>
      <c r="H834" s="3" t="str">
        <f aca="false">raw_data!D834</f>
        <v>CUST-9557</v>
      </c>
      <c r="I834" s="3" t="str">
        <f aca="false">PROPER(TRIM(raw_data!E834))</f>
        <v>Kabir Singh</v>
      </c>
      <c r="J834" s="3" t="str">
        <f aca="false">PROPER(TRIM(raw_data!F834))</f>
        <v>Small Business</v>
      </c>
      <c r="K834" s="3" t="str">
        <f aca="false">IF(TRIM(raw_data!G834)="","Unknown",PROPER(TRIM(raw_data!G834)))</f>
        <v>South</v>
      </c>
      <c r="L834" s="3" t="str">
        <f aca="false">IF(TRIM(raw_data!G834)="","Filled - Unknown","OK")</f>
        <v>OK</v>
      </c>
      <c r="M834" s="3" t="str">
        <f aca="false">PROPER(TRIM(raw_data!H834))</f>
        <v>Andhra Pradesh</v>
      </c>
      <c r="N834" s="3" t="str">
        <f aca="false">PROPER(TRIM(raw_data!I834))</f>
        <v>Vijayawada</v>
      </c>
      <c r="O834" s="3" t="str">
        <f aca="false">PROPER(TRIM(raw_data!J834))</f>
        <v>Technology</v>
      </c>
      <c r="P834" s="3" t="str">
        <f aca="false">PROPER(TRIM(raw_data!K834))</f>
        <v>Phones</v>
      </c>
      <c r="Q834" s="3" t="str">
        <f aca="false">TRIM(raw_data!L834)</f>
        <v>Max Phones 919</v>
      </c>
      <c r="R834" s="3" t="str">
        <f aca="false">IF(TRIM(raw_data!M834)="","Unknown",PROPER(TRIM(raw_data!M834)))</f>
        <v>Second Class</v>
      </c>
      <c r="S834" s="3" t="str">
        <f aca="false">IF(TRIM(raw_data!M834)="","Filled - Unknown","OK")</f>
        <v>OK</v>
      </c>
      <c r="T834" s="6" t="n">
        <f aca="false">raw_data!N834</f>
        <v>9</v>
      </c>
      <c r="U834" s="7" t="n">
        <f aca="false">raw_data!O834</f>
        <v>4302.02</v>
      </c>
      <c r="V834" s="8" t="n">
        <f aca="false">raw_data!P834</f>
        <v>0.05</v>
      </c>
      <c r="W834" s="8" t="n">
        <f aca="false">IF(raw_data!P834="",0,IF(ISTEXT(raw_data!P834),IF(RIGHT(raw_data!P834,1)="%",VALUE(LEFT(raw_data!P834,LEN(raw_data!P834)-1))/100,VALUE(raw_data!P834)),raw_data!P834))</f>
        <v>0.05</v>
      </c>
      <c r="X834" s="3" t="str">
        <f aca="false">IF(raw_data!P834="","Missing - Defaulted to 0",IF(W834&lt;0,"Negative - Invalid",IF(W834&gt;0.3,"Above Allowed Range - Invalid","Valid")))</f>
        <v>Valid</v>
      </c>
      <c r="Y834" s="7" t="n">
        <f aca="false">raw_data!Q834</f>
        <v>36782.27</v>
      </c>
      <c r="Z834" s="7" t="n">
        <f aca="false">raw_data!R834</f>
        <v>25902.81</v>
      </c>
      <c r="AA834" s="7" t="n">
        <f aca="false">raw_data!S834</f>
        <v>10879.46</v>
      </c>
      <c r="AB834" s="3" t="str">
        <f aca="false">PROPER(TRIM(raw_data!T834))</f>
        <v>Paid</v>
      </c>
      <c r="AC834" s="3" t="str">
        <f aca="false">PROPER(TRIM(raw_data!U834))</f>
        <v>Completed</v>
      </c>
      <c r="AD834" s="7" t="n">
        <f aca="false">T834*U834*(1-W834)</f>
        <v>36782.271</v>
      </c>
      <c r="AE834" s="7" t="n">
        <f aca="false">AD834-Z834</f>
        <v>10879.461</v>
      </c>
      <c r="AF834" s="8" t="n">
        <f aca="false">IF(AD834=0,0,AE834/AD834)</f>
        <v>0.295780024022987</v>
      </c>
      <c r="AG834" s="3" t="str">
        <f aca="false">IF(ABS(Y834-AD834)&gt;1,"Mismatch","OK")</f>
        <v>OK</v>
      </c>
      <c r="AH834" s="3" t="str">
        <f aca="false">IF(ABS(AA834-AE834)&gt;1,"Mismatch","OK")</f>
        <v>OK</v>
      </c>
      <c r="AI834" s="6" t="n">
        <f aca="false">IF(B834="","",MONTH(B834))</f>
        <v>5</v>
      </c>
      <c r="AJ834" s="6" t="n">
        <f aca="false">IF(B834="","",YEAR(B834))</f>
        <v>2025</v>
      </c>
      <c r="AK834" s="3" t="str">
        <f aca="false">IF(COUNTIF(raw_data!$A$2:$A$913,A834)&gt;1,"Conflicting Duplicate - Flagged for Review","Unique")</f>
        <v>Unique</v>
      </c>
      <c r="AL834" s="3" t="str">
        <f aca="false">IF(AB834="Refunded","Yes","No")</f>
        <v>No</v>
      </c>
      <c r="AM834" s="3" t="str">
        <f aca="false">IF(OR(AC834&lt;&gt;"Completed",AB834="Failed"),"Excluded","Included")</f>
        <v>Included</v>
      </c>
      <c r="AN834" s="3" t="str">
        <f aca="false">IF(OR(D834="Invalid/Unrecognized",E834="Invalid/Unrecognized",G834="Invalid - Ship Before Order",X834="Negative - Invalid",X834="Above Allowed Range - Invalid",AG834="Mismatch",AH834="Mismatch",AK834="Conflicting Duplicate - Flagged for Review"),"Invalid",IF(OR(L834="Filled - Unknown",S834="Filled - Unknown",X834="Missing - Defaulted to 0",AL834="Yes",AC834="Cancelled",AC834="Returned"),"Warning","Clean"))</f>
        <v>Clean</v>
      </c>
    </row>
    <row r="835" customFormat="false" ht="15" hidden="false" customHeight="false" outlineLevel="0" collapsed="false">
      <c r="A835" s="3" t="str">
        <f aca="false">raw_data!A835</f>
        <v>ORD-2024-10834</v>
      </c>
      <c r="B835" s="4" t="n">
        <f aca="false">IFERROR(IF(MID(raw_data!B835,3,1)="/",DATE(VALUE(RIGHT(raw_data!B835,4)),VALUE(LEFT(raw_data!B835,2)),VALUE(MID(raw_data!B835,4,2))),IF(MID(raw_data!B835,3,1)="-",DATE(VALUE(RIGHT(raw_data!B835,4)),VALUE(MID(raw_data!B835,4,2)),VALUE(LEFT(raw_data!B835,2))),IF(MID(raw_data!B835,5,1)="-",DATE(VALUE(LEFT(raw_data!B835,4)),VALUE(MID(raw_data!B835,6,2)),VALUE(RIGHT(raw_data!B835,2))),DATE(VALUE(RIGHT(raw_data!B835,4)),MATCH(MID(raw_data!B835,4,3),{"Jan","Feb","Mar","Apr","May","Jun","Jul","Aug","Sep","Oct","Nov","Dec"},0),VALUE(LEFT(raw_data!B835,2)))))),"")</f>
        <v>45447</v>
      </c>
      <c r="C835" s="4" t="n">
        <f aca="false">IFERROR(IF(MID(raw_data!C835,3,1)="/",DATE(VALUE(RIGHT(raw_data!C835,4)),VALUE(LEFT(raw_data!C835,2)),VALUE(MID(raw_data!C835,4,2))),IF(MID(raw_data!C835,3,1)="-",DATE(VALUE(RIGHT(raw_data!C835,4)),VALUE(MID(raw_data!C835,4,2)),VALUE(LEFT(raw_data!C835,2))),IF(MID(raw_data!C835,5,1)="-",DATE(VALUE(LEFT(raw_data!C835,4)),VALUE(MID(raw_data!C835,6,2)),VALUE(RIGHT(raw_data!C835,2))),DATE(VALUE(RIGHT(raw_data!C835,4)),MATCH(MID(raw_data!C835,4,3),{"Jan","Feb","Mar","Apr","May","Jun","Jul","Aug","Sep","Oct","Nov","Dec"},0),VALUE(LEFT(raw_data!C835,2)))))),"")</f>
        <v>45447</v>
      </c>
      <c r="D835" s="3" t="str">
        <f aca="false">IF(TRIM(raw_data!B835)="","Missing",IF(B835="","Invalid/Unrecognized","Valid"))</f>
        <v>Valid</v>
      </c>
      <c r="E835" s="3" t="str">
        <f aca="false">IF(TRIM(raw_data!C835)="","Missing",IF(C835="","Invalid/Unrecognized","Valid"))</f>
        <v>Valid</v>
      </c>
      <c r="F835" s="5" t="n">
        <f aca="false">IF(OR(B835="",C835=""),"",C835-B835)</f>
        <v>0</v>
      </c>
      <c r="G835" s="3" t="str">
        <f aca="false">IF(F835="","N/A",IF(F835&lt;0,"Invalid - Ship Before Order","OK"))</f>
        <v>OK</v>
      </c>
      <c r="H835" s="3" t="str">
        <f aca="false">raw_data!D835</f>
        <v>CUST-2689</v>
      </c>
      <c r="I835" s="3" t="str">
        <f aca="false">PROPER(TRIM(raw_data!E835))</f>
        <v>Rahul Verma</v>
      </c>
      <c r="J835" s="3" t="str">
        <f aca="false">PROPER(TRIM(raw_data!F835))</f>
        <v>Home Office</v>
      </c>
      <c r="K835" s="3" t="str">
        <f aca="false">IF(TRIM(raw_data!G835)="","Unknown",PROPER(TRIM(raw_data!G835)))</f>
        <v>East</v>
      </c>
      <c r="L835" s="3" t="str">
        <f aca="false">IF(TRIM(raw_data!G835)="","Filled - Unknown","OK")</f>
        <v>OK</v>
      </c>
      <c r="M835" s="3" t="str">
        <f aca="false">PROPER(TRIM(raw_data!H835))</f>
        <v>West Bengal</v>
      </c>
      <c r="N835" s="3" t="str">
        <f aca="false">PROPER(TRIM(raw_data!I835))</f>
        <v>Kolkata</v>
      </c>
      <c r="O835" s="3" t="str">
        <f aca="false">PROPER(TRIM(raw_data!J835))</f>
        <v>Furniture</v>
      </c>
      <c r="P835" s="3" t="str">
        <f aca="false">PROPER(TRIM(raw_data!K835))</f>
        <v>Bookcases</v>
      </c>
      <c r="Q835" s="3" t="str">
        <f aca="false">TRIM(raw_data!L835)</f>
        <v>Basic Bookcases 499</v>
      </c>
      <c r="R835" s="3" t="str">
        <f aca="false">IF(TRIM(raw_data!M835)="","Unknown",PROPER(TRIM(raw_data!M835)))</f>
        <v>First Class</v>
      </c>
      <c r="S835" s="3" t="str">
        <f aca="false">IF(TRIM(raw_data!M835)="","Filled - Unknown","OK")</f>
        <v>OK</v>
      </c>
      <c r="T835" s="6" t="n">
        <f aca="false">raw_data!N835</f>
        <v>6</v>
      </c>
      <c r="U835" s="7" t="n">
        <f aca="false">raw_data!O835</f>
        <v>3949.4</v>
      </c>
      <c r="V835" s="8" t="n">
        <f aca="false">raw_data!P835</f>
        <v>0</v>
      </c>
      <c r="W835" s="8" t="n">
        <f aca="false">IF(raw_data!P835="",0,IF(ISTEXT(raw_data!P835),IF(RIGHT(raw_data!P835,1)="%",VALUE(LEFT(raw_data!P835,LEN(raw_data!P835)-1))/100,VALUE(raw_data!P835)),raw_data!P835))</f>
        <v>0</v>
      </c>
      <c r="X835" s="3" t="str">
        <f aca="false">IF(raw_data!P835="","Missing - Defaulted to 0",IF(W835&lt;0,"Negative - Invalid",IF(W835&gt;0.3,"Above Allowed Range - Invalid","Valid")))</f>
        <v>Valid</v>
      </c>
      <c r="Y835" s="7" t="n">
        <f aca="false">raw_data!Q835</f>
        <v>23696.4</v>
      </c>
      <c r="Z835" s="7" t="n">
        <f aca="false">raw_data!R835</f>
        <v>18109.77</v>
      </c>
      <c r="AA835" s="7" t="n">
        <f aca="false">raw_data!S835</f>
        <v>5586.63</v>
      </c>
      <c r="AB835" s="3" t="str">
        <f aca="false">PROPER(TRIM(raw_data!T835))</f>
        <v>Paid</v>
      </c>
      <c r="AC835" s="3" t="str">
        <f aca="false">PROPER(TRIM(raw_data!U835))</f>
        <v>Completed</v>
      </c>
      <c r="AD835" s="7" t="n">
        <f aca="false">T835*U835*(1-W835)</f>
        <v>23696.4</v>
      </c>
      <c r="AE835" s="7" t="n">
        <f aca="false">AD835-Z835</f>
        <v>5586.63</v>
      </c>
      <c r="AF835" s="8" t="n">
        <f aca="false">IF(AD835=0,0,AE835/AD835)</f>
        <v>0.235758596242467</v>
      </c>
      <c r="AG835" s="3" t="str">
        <f aca="false">IF(ABS(Y835-AD835)&gt;1,"Mismatch","OK")</f>
        <v>OK</v>
      </c>
      <c r="AH835" s="3" t="str">
        <f aca="false">IF(ABS(AA835-AE835)&gt;1,"Mismatch","OK")</f>
        <v>OK</v>
      </c>
      <c r="AI835" s="6" t="n">
        <f aca="false">IF(B835="","",MONTH(B835))</f>
        <v>6</v>
      </c>
      <c r="AJ835" s="6" t="n">
        <f aca="false">IF(B835="","",YEAR(B835))</f>
        <v>2024</v>
      </c>
      <c r="AK835" s="3" t="str">
        <f aca="false">IF(COUNTIF(raw_data!$A$2:$A$913,A835)&gt;1,"Conflicting Duplicate - Flagged for Review","Unique")</f>
        <v>Unique</v>
      </c>
      <c r="AL835" s="3" t="str">
        <f aca="false">IF(AB835="Refunded","Yes","No")</f>
        <v>No</v>
      </c>
      <c r="AM835" s="3" t="str">
        <f aca="false">IF(OR(AC835&lt;&gt;"Completed",AB835="Failed"),"Excluded","Included")</f>
        <v>Included</v>
      </c>
      <c r="AN835" s="3" t="str">
        <f aca="false">IF(OR(D835="Invalid/Unrecognized",E835="Invalid/Unrecognized",G835="Invalid - Ship Before Order",X835="Negative - Invalid",X835="Above Allowed Range - Invalid",AG835="Mismatch",AH835="Mismatch",AK835="Conflicting Duplicate - Flagged for Review"),"Invalid",IF(OR(L835="Filled - Unknown",S835="Filled - Unknown",X835="Missing - Defaulted to 0",AL835="Yes",AC835="Cancelled",AC835="Returned"),"Warning","Clean"))</f>
        <v>Clean</v>
      </c>
    </row>
    <row r="836" customFormat="false" ht="15" hidden="false" customHeight="false" outlineLevel="0" collapsed="false">
      <c r="A836" s="3" t="str">
        <f aca="false">raw_data!A836</f>
        <v>ORD-2024-10835</v>
      </c>
      <c r="B836" s="4" t="n">
        <f aca="false">IFERROR(IF(MID(raw_data!B836,3,1)="/",DATE(VALUE(RIGHT(raw_data!B836,4)),VALUE(LEFT(raw_data!B836,2)),VALUE(MID(raw_data!B836,4,2))),IF(MID(raw_data!B836,3,1)="-",DATE(VALUE(RIGHT(raw_data!B836,4)),VALUE(MID(raw_data!B836,4,2)),VALUE(LEFT(raw_data!B836,2))),IF(MID(raw_data!B836,5,1)="-",DATE(VALUE(LEFT(raw_data!B836,4)),VALUE(MID(raw_data!B836,6,2)),VALUE(RIGHT(raw_data!B836,2))),DATE(VALUE(RIGHT(raw_data!B836,4)),MATCH(MID(raw_data!B836,4,3),{"Jan","Feb","Mar","Apr","May","Jun","Jul","Aug","Sep","Oct","Nov","Dec"},0),VALUE(LEFT(raw_data!B836,2)))))),"")</f>
        <v>45583</v>
      </c>
      <c r="C836" s="4" t="n">
        <f aca="false">IFERROR(IF(MID(raw_data!C836,3,1)="/",DATE(VALUE(RIGHT(raw_data!C836,4)),VALUE(LEFT(raw_data!C836,2)),VALUE(MID(raw_data!C836,4,2))),IF(MID(raw_data!C836,3,1)="-",DATE(VALUE(RIGHT(raw_data!C836,4)),VALUE(MID(raw_data!C836,4,2)),VALUE(LEFT(raw_data!C836,2))),IF(MID(raw_data!C836,5,1)="-",DATE(VALUE(LEFT(raw_data!C836,4)),VALUE(MID(raw_data!C836,6,2)),VALUE(RIGHT(raw_data!C836,2))),DATE(VALUE(RIGHT(raw_data!C836,4)),MATCH(MID(raw_data!C836,4,3),{"Jan","Feb","Mar","Apr","May","Jun","Jul","Aug","Sep","Oct","Nov","Dec"},0),VALUE(LEFT(raw_data!C836,2)))))),"")</f>
        <v>45587</v>
      </c>
      <c r="D836" s="3" t="str">
        <f aca="false">IF(TRIM(raw_data!B836)="","Missing",IF(B836="","Invalid/Unrecognized","Valid"))</f>
        <v>Valid</v>
      </c>
      <c r="E836" s="3" t="str">
        <f aca="false">IF(TRIM(raw_data!C836)="","Missing",IF(C836="","Invalid/Unrecognized","Valid"))</f>
        <v>Valid</v>
      </c>
      <c r="F836" s="5" t="n">
        <f aca="false">IF(OR(B836="",C836=""),"",C836-B836)</f>
        <v>4</v>
      </c>
      <c r="G836" s="3" t="str">
        <f aca="false">IF(F836="","N/A",IF(F836&lt;0,"Invalid - Ship Before Order","OK"))</f>
        <v>OK</v>
      </c>
      <c r="H836" s="3" t="str">
        <f aca="false">raw_data!D836</f>
        <v>CUST-2879</v>
      </c>
      <c r="I836" s="3" t="str">
        <f aca="false">PROPER(TRIM(raw_data!E836))</f>
        <v>Aarav Sharma</v>
      </c>
      <c r="J836" s="3" t="str">
        <f aca="false">PROPER(TRIM(raw_data!F836))</f>
        <v>Home Office</v>
      </c>
      <c r="K836" s="3" t="str">
        <f aca="false">IF(TRIM(raw_data!G836)="","Unknown",PROPER(TRIM(raw_data!G836)))</f>
        <v>South</v>
      </c>
      <c r="L836" s="3" t="str">
        <f aca="false">IF(TRIM(raw_data!G836)="","Filled - Unknown","OK")</f>
        <v>OK</v>
      </c>
      <c r="M836" s="3" t="str">
        <f aca="false">PROPER(TRIM(raw_data!H836))</f>
        <v>Telangana</v>
      </c>
      <c r="N836" s="3" t="str">
        <f aca="false">PROPER(TRIM(raw_data!I836))</f>
        <v>Hyderabad</v>
      </c>
      <c r="O836" s="3" t="str">
        <f aca="false">PROPER(TRIM(raw_data!J836))</f>
        <v>Office Supplies</v>
      </c>
      <c r="P836" s="3" t="str">
        <f aca="false">PROPER(TRIM(raw_data!K836))</f>
        <v>Art</v>
      </c>
      <c r="Q836" s="3" t="str">
        <f aca="false">TRIM(raw_data!L836)</f>
        <v>Basic Art 143</v>
      </c>
      <c r="R836" s="3" t="str">
        <f aca="false">IF(TRIM(raw_data!M836)="","Unknown",PROPER(TRIM(raw_data!M836)))</f>
        <v>First Class</v>
      </c>
      <c r="S836" s="3" t="str">
        <f aca="false">IF(TRIM(raw_data!M836)="","Filled - Unknown","OK")</f>
        <v>OK</v>
      </c>
      <c r="T836" s="6" t="n">
        <f aca="false">raw_data!N836</f>
        <v>6</v>
      </c>
      <c r="U836" s="7" t="n">
        <f aca="false">raw_data!O836</f>
        <v>674.61</v>
      </c>
      <c r="V836" s="8" t="n">
        <f aca="false">raw_data!P836</f>
        <v>0</v>
      </c>
      <c r="W836" s="8" t="n">
        <f aca="false">IF(raw_data!P836="",0,IF(ISTEXT(raw_data!P836),IF(RIGHT(raw_data!P836,1)="%",VALUE(LEFT(raw_data!P836,LEN(raw_data!P836)-1))/100,VALUE(raw_data!P836)),raw_data!P836))</f>
        <v>0</v>
      </c>
      <c r="X836" s="3" t="str">
        <f aca="false">IF(raw_data!P836="","Missing - Defaulted to 0",IF(W836&lt;0,"Negative - Invalid",IF(W836&gt;0.3,"Above Allowed Range - Invalid","Valid")))</f>
        <v>Valid</v>
      </c>
      <c r="Y836" s="7" t="n">
        <f aca="false">raw_data!Q836</f>
        <v>4047.66</v>
      </c>
      <c r="Z836" s="7" t="n">
        <f aca="false">raw_data!R836</f>
        <v>3078.93</v>
      </c>
      <c r="AA836" s="7" t="n">
        <f aca="false">raw_data!S836</f>
        <v>1279.79</v>
      </c>
      <c r="AB836" s="3" t="str">
        <f aca="false">PROPER(TRIM(raw_data!T836))</f>
        <v>Paid</v>
      </c>
      <c r="AC836" s="3" t="str">
        <f aca="false">PROPER(TRIM(raw_data!U836))</f>
        <v>Completed</v>
      </c>
      <c r="AD836" s="7" t="n">
        <f aca="false">T836*U836*(1-W836)</f>
        <v>4047.66</v>
      </c>
      <c r="AE836" s="7" t="n">
        <f aca="false">AD836-Z836</f>
        <v>968.73</v>
      </c>
      <c r="AF836" s="8" t="n">
        <f aca="false">IF(AD836=0,0,AE836/AD836)</f>
        <v>0.239330872652347</v>
      </c>
      <c r="AG836" s="3" t="str">
        <f aca="false">IF(ABS(Y836-AD836)&gt;1,"Mismatch","OK")</f>
        <v>OK</v>
      </c>
      <c r="AH836" s="3" t="str">
        <f aca="false">IF(ABS(AA836-AE836)&gt;1,"Mismatch","OK")</f>
        <v>Mismatch</v>
      </c>
      <c r="AI836" s="6" t="n">
        <f aca="false">IF(B836="","",MONTH(B836))</f>
        <v>10</v>
      </c>
      <c r="AJ836" s="6" t="n">
        <f aca="false">IF(B836="","",YEAR(B836))</f>
        <v>2024</v>
      </c>
      <c r="AK836" s="3" t="str">
        <f aca="false">IF(COUNTIF(raw_data!$A$2:$A$913,A836)&gt;1,"Conflicting Duplicate - Flagged for Review","Unique")</f>
        <v>Unique</v>
      </c>
      <c r="AL836" s="3" t="str">
        <f aca="false">IF(AB836="Refunded","Yes","No")</f>
        <v>No</v>
      </c>
      <c r="AM836" s="3" t="str">
        <f aca="false">IF(OR(AC836&lt;&gt;"Completed",AB836="Failed"),"Excluded","Included")</f>
        <v>Included</v>
      </c>
      <c r="AN836" s="3" t="str">
        <f aca="false">IF(OR(D836="Invalid/Unrecognized",E836="Invalid/Unrecognized",G836="Invalid - Ship Before Order",X836="Negative - Invalid",X836="Above Allowed Range - Invalid",AG836="Mismatch",AH836="Mismatch",AK836="Conflicting Duplicate - Flagged for Review"),"Invalid",IF(OR(L836="Filled - Unknown",S836="Filled - Unknown",X836="Missing - Defaulted to 0",AL836="Yes",AC836="Cancelled",AC836="Returned"),"Warning","Clean"))</f>
        <v>Invalid</v>
      </c>
    </row>
    <row r="837" customFormat="false" ht="15" hidden="false" customHeight="false" outlineLevel="0" collapsed="false">
      <c r="A837" s="3" t="str">
        <f aca="false">raw_data!A837</f>
        <v>ORD-2025-10836</v>
      </c>
      <c r="B837" s="4" t="n">
        <f aca="false">IFERROR(IF(MID(raw_data!B837,3,1)="/",DATE(VALUE(RIGHT(raw_data!B837,4)),VALUE(LEFT(raw_data!B837,2)),VALUE(MID(raw_data!B837,4,2))),IF(MID(raw_data!B837,3,1)="-",DATE(VALUE(RIGHT(raw_data!B837,4)),VALUE(MID(raw_data!B837,4,2)),VALUE(LEFT(raw_data!B837,2))),IF(MID(raw_data!B837,5,1)="-",DATE(VALUE(LEFT(raw_data!B837,4)),VALUE(MID(raw_data!B837,6,2)),VALUE(RIGHT(raw_data!B837,2))),DATE(VALUE(RIGHT(raw_data!B837,4)),MATCH(MID(raw_data!B837,4,3),{"Jan","Feb","Mar","Apr","May","Jun","Jul","Aug","Sep","Oct","Nov","Dec"},0),VALUE(LEFT(raw_data!B837,2)))))),"")</f>
        <v>45926</v>
      </c>
      <c r="C837" s="4" t="n">
        <f aca="false">IFERROR(IF(MID(raw_data!C837,3,1)="/",DATE(VALUE(RIGHT(raw_data!C837,4)),VALUE(LEFT(raw_data!C837,2)),VALUE(MID(raw_data!C837,4,2))),IF(MID(raw_data!C837,3,1)="-",DATE(VALUE(RIGHT(raw_data!C837,4)),VALUE(MID(raw_data!C837,4,2)),VALUE(LEFT(raw_data!C837,2))),IF(MID(raw_data!C837,5,1)="-",DATE(VALUE(LEFT(raw_data!C837,4)),VALUE(MID(raw_data!C837,6,2)),VALUE(RIGHT(raw_data!C837,2))),DATE(VALUE(RIGHT(raw_data!C837,4)),MATCH(MID(raw_data!C837,4,3),{"Jan","Feb","Mar","Apr","May","Jun","Jul","Aug","Sep","Oct","Nov","Dec"},0),VALUE(LEFT(raw_data!C837,2)))))),"")</f>
        <v>45934</v>
      </c>
      <c r="D837" s="3" t="str">
        <f aca="false">IF(TRIM(raw_data!B837)="","Missing",IF(B837="","Invalid/Unrecognized","Valid"))</f>
        <v>Valid</v>
      </c>
      <c r="E837" s="3" t="str">
        <f aca="false">IF(TRIM(raw_data!C837)="","Missing",IF(C837="","Invalid/Unrecognized","Valid"))</f>
        <v>Valid</v>
      </c>
      <c r="F837" s="5" t="n">
        <f aca="false">IF(OR(B837="",C837=""),"",C837-B837)</f>
        <v>8</v>
      </c>
      <c r="G837" s="3" t="str">
        <f aca="false">IF(F837="","N/A",IF(F837&lt;0,"Invalid - Ship Before Order","OK"))</f>
        <v>OK</v>
      </c>
      <c r="H837" s="3" t="str">
        <f aca="false">raw_data!D837</f>
        <v>CUST-5150</v>
      </c>
      <c r="I837" s="3" t="str">
        <f aca="false">PROPER(TRIM(raw_data!E837))</f>
        <v>Priya Menon</v>
      </c>
      <c r="J837" s="3" t="str">
        <f aca="false">PROPER(TRIM(raw_data!F837))</f>
        <v>Small Business</v>
      </c>
      <c r="K837" s="3" t="str">
        <f aca="false">IF(TRIM(raw_data!G837)="","Unknown",PROPER(TRIM(raw_data!G837)))</f>
        <v>East</v>
      </c>
      <c r="L837" s="3" t="str">
        <f aca="false">IF(TRIM(raw_data!G837)="","Filled - Unknown","OK")</f>
        <v>OK</v>
      </c>
      <c r="M837" s="3" t="str">
        <f aca="false">PROPER(TRIM(raw_data!H837))</f>
        <v>Assam</v>
      </c>
      <c r="N837" s="3" t="str">
        <f aca="false">PROPER(TRIM(raw_data!I837))</f>
        <v>Guwahati</v>
      </c>
      <c r="O837" s="3" t="str">
        <f aca="false">PROPER(TRIM(raw_data!J837))</f>
        <v>Technology</v>
      </c>
      <c r="P837" s="3" t="str">
        <f aca="false">PROPER(TRIM(raw_data!K837))</f>
        <v>Phones</v>
      </c>
      <c r="Q837" s="3" t="str">
        <f aca="false">TRIM(raw_data!L837)</f>
        <v>Prime Phones 338</v>
      </c>
      <c r="R837" s="3" t="str">
        <f aca="false">IF(TRIM(raw_data!M837)="","Unknown",PROPER(TRIM(raw_data!M837)))</f>
        <v>Second Class</v>
      </c>
      <c r="S837" s="3" t="str">
        <f aca="false">IF(TRIM(raw_data!M837)="","Filled - Unknown","OK")</f>
        <v>OK</v>
      </c>
      <c r="T837" s="6" t="n">
        <f aca="false">raw_data!N837</f>
        <v>7</v>
      </c>
      <c r="U837" s="7" t="n">
        <f aca="false">raw_data!O837</f>
        <v>1509.59</v>
      </c>
      <c r="V837" s="8" t="n">
        <f aca="false">raw_data!P837</f>
        <v>0.05</v>
      </c>
      <c r="W837" s="8" t="n">
        <f aca="false">IF(raw_data!P837="",0,IF(ISTEXT(raw_data!P837),IF(RIGHT(raw_data!P837,1)="%",VALUE(LEFT(raw_data!P837,LEN(raw_data!P837)-1))/100,VALUE(raw_data!P837)),raw_data!P837))</f>
        <v>0.05</v>
      </c>
      <c r="X837" s="3" t="str">
        <f aca="false">IF(raw_data!P837="","Missing - Defaulted to 0",IF(W837&lt;0,"Negative - Invalid",IF(W837&gt;0.3,"Above Allowed Range - Invalid","Valid")))</f>
        <v>Valid</v>
      </c>
      <c r="Y837" s="7" t="n">
        <f aca="false">raw_data!Q837</f>
        <v>10038.77</v>
      </c>
      <c r="Z837" s="7" t="n">
        <f aca="false">raw_data!R837</f>
        <v>5673.1</v>
      </c>
      <c r="AA837" s="7" t="n">
        <f aca="false">raw_data!S837</f>
        <v>4365.67</v>
      </c>
      <c r="AB837" s="3" t="str">
        <f aca="false">PROPER(TRIM(raw_data!T837))</f>
        <v>Paid</v>
      </c>
      <c r="AC837" s="3" t="str">
        <f aca="false">PROPER(TRIM(raw_data!U837))</f>
        <v>Completed</v>
      </c>
      <c r="AD837" s="7" t="n">
        <f aca="false">T837*U837*(1-W837)</f>
        <v>10038.7735</v>
      </c>
      <c r="AE837" s="7" t="n">
        <f aca="false">AD837-Z837</f>
        <v>4365.6735</v>
      </c>
      <c r="AF837" s="8" t="n">
        <f aca="false">IF(AD837=0,0,AE837/AD837)</f>
        <v>0.434881163520623</v>
      </c>
      <c r="AG837" s="3" t="str">
        <f aca="false">IF(ABS(Y837-AD837)&gt;1,"Mismatch","OK")</f>
        <v>OK</v>
      </c>
      <c r="AH837" s="3" t="str">
        <f aca="false">IF(ABS(AA837-AE837)&gt;1,"Mismatch","OK")</f>
        <v>OK</v>
      </c>
      <c r="AI837" s="6" t="n">
        <f aca="false">IF(B837="","",MONTH(B837))</f>
        <v>9</v>
      </c>
      <c r="AJ837" s="6" t="n">
        <f aca="false">IF(B837="","",YEAR(B837))</f>
        <v>2025</v>
      </c>
      <c r="AK837" s="3" t="str">
        <f aca="false">IF(COUNTIF(raw_data!$A$2:$A$913,A837)&gt;1,"Conflicting Duplicate - Flagged for Review","Unique")</f>
        <v>Unique</v>
      </c>
      <c r="AL837" s="3" t="str">
        <f aca="false">IF(AB837="Refunded","Yes","No")</f>
        <v>No</v>
      </c>
      <c r="AM837" s="3" t="str">
        <f aca="false">IF(OR(AC837&lt;&gt;"Completed",AB837="Failed"),"Excluded","Included")</f>
        <v>Included</v>
      </c>
      <c r="AN837" s="3" t="str">
        <f aca="false">IF(OR(D837="Invalid/Unrecognized",E837="Invalid/Unrecognized",G837="Invalid - Ship Before Order",X837="Negative - Invalid",X837="Above Allowed Range - Invalid",AG837="Mismatch",AH837="Mismatch",AK837="Conflicting Duplicate - Flagged for Review"),"Invalid",IF(OR(L837="Filled - Unknown",S837="Filled - Unknown",X837="Missing - Defaulted to 0",AL837="Yes",AC837="Cancelled",AC837="Returned"),"Warning","Clean"))</f>
        <v>Clean</v>
      </c>
    </row>
    <row r="838" customFormat="false" ht="15" hidden="false" customHeight="false" outlineLevel="0" collapsed="false">
      <c r="A838" s="3" t="str">
        <f aca="false">raw_data!A838</f>
        <v>ORD-2024-10837</v>
      </c>
      <c r="B838" s="4" t="n">
        <f aca="false">IFERROR(IF(MID(raw_data!B838,3,1)="/",DATE(VALUE(RIGHT(raw_data!B838,4)),VALUE(LEFT(raw_data!B838,2)),VALUE(MID(raw_data!B838,4,2))),IF(MID(raw_data!B838,3,1)="-",DATE(VALUE(RIGHT(raw_data!B838,4)),VALUE(MID(raw_data!B838,4,2)),VALUE(LEFT(raw_data!B838,2))),IF(MID(raw_data!B838,5,1)="-",DATE(VALUE(LEFT(raw_data!B838,4)),VALUE(MID(raw_data!B838,6,2)),VALUE(RIGHT(raw_data!B838,2))),DATE(VALUE(RIGHT(raw_data!B838,4)),MATCH(MID(raw_data!B838,4,3),{"Jan","Feb","Mar","Apr","May","Jun","Jul","Aug","Sep","Oct","Nov","Dec"},0),VALUE(LEFT(raw_data!B838,2)))))),"")</f>
        <v>45641</v>
      </c>
      <c r="C838" s="4" t="n">
        <f aca="false">IFERROR(IF(MID(raw_data!C838,3,1)="/",DATE(VALUE(RIGHT(raw_data!C838,4)),VALUE(LEFT(raw_data!C838,2)),VALUE(MID(raw_data!C838,4,2))),IF(MID(raw_data!C838,3,1)="-",DATE(VALUE(RIGHT(raw_data!C838,4)),VALUE(MID(raw_data!C838,4,2)),VALUE(LEFT(raw_data!C838,2))),IF(MID(raw_data!C838,5,1)="-",DATE(VALUE(LEFT(raw_data!C838,4)),VALUE(MID(raw_data!C838,6,2)),VALUE(RIGHT(raw_data!C838,2))),DATE(VALUE(RIGHT(raw_data!C838,4)),MATCH(MID(raw_data!C838,4,3),{"Jan","Feb","Mar","Apr","May","Jun","Jul","Aug","Sep","Oct","Nov","Dec"},0),VALUE(LEFT(raw_data!C838,2)))))),"")</f>
        <v>45644</v>
      </c>
      <c r="D838" s="3" t="str">
        <f aca="false">IF(TRIM(raw_data!B838)="","Missing",IF(B838="","Invalid/Unrecognized","Valid"))</f>
        <v>Valid</v>
      </c>
      <c r="E838" s="3" t="str">
        <f aca="false">IF(TRIM(raw_data!C838)="","Missing",IF(C838="","Invalid/Unrecognized","Valid"))</f>
        <v>Valid</v>
      </c>
      <c r="F838" s="5" t="n">
        <f aca="false">IF(OR(B838="",C838=""),"",C838-B838)</f>
        <v>3</v>
      </c>
      <c r="G838" s="3" t="str">
        <f aca="false">IF(F838="","N/A",IF(F838&lt;0,"Invalid - Ship Before Order","OK"))</f>
        <v>OK</v>
      </c>
      <c r="H838" s="3" t="str">
        <f aca="false">raw_data!D838</f>
        <v>CUST-9776</v>
      </c>
      <c r="I838" s="3" t="str">
        <f aca="false">PROPER(TRIM(raw_data!E838))</f>
        <v>Isha Nair</v>
      </c>
      <c r="J838" s="3" t="str">
        <f aca="false">PROPER(TRIM(raw_data!F838))</f>
        <v>Small Business</v>
      </c>
      <c r="K838" s="3" t="str">
        <f aca="false">IF(TRIM(raw_data!G838)="","Unknown",PROPER(TRIM(raw_data!G838)))</f>
        <v>North</v>
      </c>
      <c r="L838" s="3" t="str">
        <f aca="false">IF(TRIM(raw_data!G838)="","Filled - Unknown","OK")</f>
        <v>OK</v>
      </c>
      <c r="M838" s="3" t="str">
        <f aca="false">PROPER(TRIM(raw_data!H838))</f>
        <v>Rajasthan</v>
      </c>
      <c r="N838" s="3" t="str">
        <f aca="false">PROPER(TRIM(raw_data!I838))</f>
        <v>Jaipur</v>
      </c>
      <c r="O838" s="3" t="str">
        <f aca="false">PROPER(TRIM(raw_data!J838))</f>
        <v>Office Supplies</v>
      </c>
      <c r="P838" s="3" t="str">
        <f aca="false">PROPER(TRIM(raw_data!K838))</f>
        <v>Labels</v>
      </c>
      <c r="Q838" s="3" t="str">
        <f aca="false">TRIM(raw_data!L838)</f>
        <v>Smart Labels 814</v>
      </c>
      <c r="R838" s="3" t="str">
        <f aca="false">IF(TRIM(raw_data!M838)="","Unknown",PROPER(TRIM(raw_data!M838)))</f>
        <v>Second Class</v>
      </c>
      <c r="S838" s="3" t="str">
        <f aca="false">IF(TRIM(raw_data!M838)="","Filled - Unknown","OK")</f>
        <v>OK</v>
      </c>
      <c r="T838" s="6" t="n">
        <f aca="false">raw_data!N838</f>
        <v>2</v>
      </c>
      <c r="U838" s="7" t="n">
        <f aca="false">raw_data!O838</f>
        <v>537.11</v>
      </c>
      <c r="V838" s="8" t="n">
        <f aca="false">raw_data!P838</f>
        <v>0</v>
      </c>
      <c r="W838" s="8" t="n">
        <f aca="false">IF(raw_data!P838="",0,IF(ISTEXT(raw_data!P838),IF(RIGHT(raw_data!P838,1)="%",VALUE(LEFT(raw_data!P838,LEN(raw_data!P838)-1))/100,VALUE(raw_data!P838)),raw_data!P838))</f>
        <v>0</v>
      </c>
      <c r="X838" s="3" t="str">
        <f aca="false">IF(raw_data!P838="","Missing - Defaulted to 0",IF(W838&lt;0,"Negative - Invalid",IF(W838&gt;0.3,"Above Allowed Range - Invalid","Valid")))</f>
        <v>Valid</v>
      </c>
      <c r="Y838" s="7" t="n">
        <f aca="false">raw_data!Q838</f>
        <v>1074.22</v>
      </c>
      <c r="Z838" s="7" t="n">
        <f aca="false">raw_data!R838</f>
        <v>850.86</v>
      </c>
      <c r="AA838" s="7" t="n">
        <f aca="false">raw_data!S838</f>
        <v>223.36</v>
      </c>
      <c r="AB838" s="3" t="str">
        <f aca="false">PROPER(TRIM(raw_data!T838))</f>
        <v>Paid</v>
      </c>
      <c r="AC838" s="3" t="str">
        <f aca="false">PROPER(TRIM(raw_data!U838))</f>
        <v>Completed</v>
      </c>
      <c r="AD838" s="7" t="n">
        <f aca="false">T838*U838*(1-W838)</f>
        <v>1074.22</v>
      </c>
      <c r="AE838" s="7" t="n">
        <f aca="false">AD838-Z838</f>
        <v>223.36</v>
      </c>
      <c r="AF838" s="8" t="n">
        <f aca="false">IF(AD838=0,0,AE838/AD838)</f>
        <v>0.207927612593324</v>
      </c>
      <c r="AG838" s="3" t="str">
        <f aca="false">IF(ABS(Y838-AD838)&gt;1,"Mismatch","OK")</f>
        <v>OK</v>
      </c>
      <c r="AH838" s="3" t="str">
        <f aca="false">IF(ABS(AA838-AE838)&gt;1,"Mismatch","OK")</f>
        <v>OK</v>
      </c>
      <c r="AI838" s="6" t="n">
        <f aca="false">IF(B838="","",MONTH(B838))</f>
        <v>12</v>
      </c>
      <c r="AJ838" s="6" t="n">
        <f aca="false">IF(B838="","",YEAR(B838))</f>
        <v>2024</v>
      </c>
      <c r="AK838" s="3" t="str">
        <f aca="false">IF(COUNTIF(raw_data!$A$2:$A$913,A838)&gt;1,"Conflicting Duplicate - Flagged for Review","Unique")</f>
        <v>Unique</v>
      </c>
      <c r="AL838" s="3" t="str">
        <f aca="false">IF(AB838="Refunded","Yes","No")</f>
        <v>No</v>
      </c>
      <c r="AM838" s="3" t="str">
        <f aca="false">IF(OR(AC838&lt;&gt;"Completed",AB838="Failed"),"Excluded","Included")</f>
        <v>Included</v>
      </c>
      <c r="AN838" s="3" t="str">
        <f aca="false">IF(OR(D838="Invalid/Unrecognized",E838="Invalid/Unrecognized",G838="Invalid - Ship Before Order",X838="Negative - Invalid",X838="Above Allowed Range - Invalid",AG838="Mismatch",AH838="Mismatch",AK838="Conflicting Duplicate - Flagged for Review"),"Invalid",IF(OR(L838="Filled - Unknown",S838="Filled - Unknown",X838="Missing - Defaulted to 0",AL838="Yes",AC838="Cancelled",AC838="Returned"),"Warning","Clean"))</f>
        <v>Clean</v>
      </c>
    </row>
    <row r="839" customFormat="false" ht="15" hidden="false" customHeight="false" outlineLevel="0" collapsed="false">
      <c r="A839" s="3" t="str">
        <f aca="false">raw_data!A839</f>
        <v>ORD-2025-10838</v>
      </c>
      <c r="B839" s="4" t="n">
        <f aca="false">IFERROR(IF(MID(raw_data!B839,3,1)="/",DATE(VALUE(RIGHT(raw_data!B839,4)),VALUE(LEFT(raw_data!B839,2)),VALUE(MID(raw_data!B839,4,2))),IF(MID(raw_data!B839,3,1)="-",DATE(VALUE(RIGHT(raw_data!B839,4)),VALUE(MID(raw_data!B839,4,2)),VALUE(LEFT(raw_data!B839,2))),IF(MID(raw_data!B839,5,1)="-",DATE(VALUE(LEFT(raw_data!B839,4)),VALUE(MID(raw_data!B839,6,2)),VALUE(RIGHT(raw_data!B839,2))),DATE(VALUE(RIGHT(raw_data!B839,4)),MATCH(MID(raw_data!B839,4,3),{"Jan","Feb","Mar","Apr","May","Jun","Jul","Aug","Sep","Oct","Nov","Dec"},0),VALUE(LEFT(raw_data!B839,2)))))),"")</f>
        <v>45927</v>
      </c>
      <c r="C839" s="4" t="n">
        <f aca="false">IFERROR(IF(MID(raw_data!C839,3,1)="/",DATE(VALUE(RIGHT(raw_data!C839,4)),VALUE(LEFT(raw_data!C839,2)),VALUE(MID(raw_data!C839,4,2))),IF(MID(raw_data!C839,3,1)="-",DATE(VALUE(RIGHT(raw_data!C839,4)),VALUE(MID(raw_data!C839,4,2)),VALUE(LEFT(raw_data!C839,2))),IF(MID(raw_data!C839,5,1)="-",DATE(VALUE(LEFT(raw_data!C839,4)),VALUE(MID(raw_data!C839,6,2)),VALUE(RIGHT(raw_data!C839,2))),DATE(VALUE(RIGHT(raw_data!C839,4)),MATCH(MID(raw_data!C839,4,3),{"Jan","Feb","Mar","Apr","May","Jun","Jul","Aug","Sep","Oct","Nov","Dec"},0),VALUE(LEFT(raw_data!C839,2)))))),"")</f>
        <v>45928</v>
      </c>
      <c r="D839" s="3" t="str">
        <f aca="false">IF(TRIM(raw_data!B839)="","Missing",IF(B839="","Invalid/Unrecognized","Valid"))</f>
        <v>Valid</v>
      </c>
      <c r="E839" s="3" t="str">
        <f aca="false">IF(TRIM(raw_data!C839)="","Missing",IF(C839="","Invalid/Unrecognized","Valid"))</f>
        <v>Valid</v>
      </c>
      <c r="F839" s="5" t="n">
        <f aca="false">IF(OR(B839="",C839=""),"",C839-B839)</f>
        <v>1</v>
      </c>
      <c r="G839" s="3" t="str">
        <f aca="false">IF(F839="","N/A",IF(F839&lt;0,"Invalid - Ship Before Order","OK"))</f>
        <v>OK</v>
      </c>
      <c r="H839" s="3" t="str">
        <f aca="false">raw_data!D839</f>
        <v>CUST-2551</v>
      </c>
      <c r="I839" s="3" t="str">
        <f aca="false">PROPER(TRIM(raw_data!E839))</f>
        <v>Karan Malhotra</v>
      </c>
      <c r="J839" s="3" t="str">
        <f aca="false">PROPER(TRIM(raw_data!F839))</f>
        <v>Home Office</v>
      </c>
      <c r="K839" s="3" t="str">
        <f aca="false">IF(TRIM(raw_data!G839)="","Unknown",PROPER(TRIM(raw_data!G839)))</f>
        <v>West</v>
      </c>
      <c r="L839" s="3" t="str">
        <f aca="false">IF(TRIM(raw_data!G839)="","Filled - Unknown","OK")</f>
        <v>OK</v>
      </c>
      <c r="M839" s="3" t="str">
        <f aca="false">PROPER(TRIM(raw_data!H839))</f>
        <v>Maharashtra</v>
      </c>
      <c r="N839" s="3" t="str">
        <f aca="false">PROPER(TRIM(raw_data!I839))</f>
        <v>Mumbai</v>
      </c>
      <c r="O839" s="3" t="str">
        <f aca="false">PROPER(TRIM(raw_data!J839))</f>
        <v>Office Supplies</v>
      </c>
      <c r="P839" s="3" t="str">
        <f aca="false">PROPER(TRIM(raw_data!K839))</f>
        <v>Paper</v>
      </c>
      <c r="Q839" s="3" t="str">
        <f aca="false">TRIM(raw_data!L839)</f>
        <v>Prime Paper 812</v>
      </c>
      <c r="R839" s="3" t="str">
        <f aca="false">IF(TRIM(raw_data!M839)="","Unknown",PROPER(TRIM(raw_data!M839)))</f>
        <v>First Class</v>
      </c>
      <c r="S839" s="3" t="str">
        <f aca="false">IF(TRIM(raw_data!M839)="","Filled - Unknown","OK")</f>
        <v>OK</v>
      </c>
      <c r="T839" s="6" t="n">
        <f aca="false">raw_data!N839</f>
        <v>3</v>
      </c>
      <c r="U839" s="7" t="n">
        <f aca="false">raw_data!O839</f>
        <v>4177.63</v>
      </c>
      <c r="V839" s="8" t="n">
        <f aca="false">raw_data!P839</f>
        <v>0.25</v>
      </c>
      <c r="W839" s="8" t="n">
        <f aca="false">IF(raw_data!P839="",0,IF(ISTEXT(raw_data!P839),IF(RIGHT(raw_data!P839,1)="%",VALUE(LEFT(raw_data!P839,LEN(raw_data!P839)-1))/100,VALUE(raw_data!P839)),raw_data!P839))</f>
        <v>0.25</v>
      </c>
      <c r="X839" s="3" t="str">
        <f aca="false">IF(raw_data!P839="","Missing - Defaulted to 0",IF(W839&lt;0,"Negative - Invalid",IF(W839&gt;0.3,"Above Allowed Range - Invalid","Valid")))</f>
        <v>Valid</v>
      </c>
      <c r="Y839" s="7" t="n">
        <f aca="false">raw_data!Q839</f>
        <v>9399.67</v>
      </c>
      <c r="Z839" s="7" t="n">
        <f aca="false">raw_data!R839</f>
        <v>6540.37</v>
      </c>
      <c r="AA839" s="7" t="n">
        <f aca="false">raw_data!S839</f>
        <v>2859.3</v>
      </c>
      <c r="AB839" s="3" t="str">
        <f aca="false">PROPER(TRIM(raw_data!T839))</f>
        <v>Paid</v>
      </c>
      <c r="AC839" s="3" t="str">
        <f aca="false">PROPER(TRIM(raw_data!U839))</f>
        <v>Completed</v>
      </c>
      <c r="AD839" s="7" t="n">
        <f aca="false">T839*U839*(1-W839)</f>
        <v>9399.6675</v>
      </c>
      <c r="AE839" s="7" t="n">
        <f aca="false">AD839-Z839</f>
        <v>2859.2975</v>
      </c>
      <c r="AF839" s="8" t="n">
        <f aca="false">IF(AD839=0,0,AE839/AD839)</f>
        <v>0.304191345066195</v>
      </c>
      <c r="AG839" s="3" t="str">
        <f aca="false">IF(ABS(Y839-AD839)&gt;1,"Mismatch","OK")</f>
        <v>OK</v>
      </c>
      <c r="AH839" s="3" t="str">
        <f aca="false">IF(ABS(AA839-AE839)&gt;1,"Mismatch","OK")</f>
        <v>OK</v>
      </c>
      <c r="AI839" s="6" t="n">
        <f aca="false">IF(B839="","",MONTH(B839))</f>
        <v>9</v>
      </c>
      <c r="AJ839" s="6" t="n">
        <f aca="false">IF(B839="","",YEAR(B839))</f>
        <v>2025</v>
      </c>
      <c r="AK839" s="3" t="str">
        <f aca="false">IF(COUNTIF(raw_data!$A$2:$A$913,A839)&gt;1,"Conflicting Duplicate - Flagged for Review","Unique")</f>
        <v>Unique</v>
      </c>
      <c r="AL839" s="3" t="str">
        <f aca="false">IF(AB839="Refunded","Yes","No")</f>
        <v>No</v>
      </c>
      <c r="AM839" s="3" t="str">
        <f aca="false">IF(OR(AC839&lt;&gt;"Completed",AB839="Failed"),"Excluded","Included")</f>
        <v>Included</v>
      </c>
      <c r="AN839" s="3" t="str">
        <f aca="false">IF(OR(D839="Invalid/Unrecognized",E839="Invalid/Unrecognized",G839="Invalid - Ship Before Order",X839="Negative - Invalid",X839="Above Allowed Range - Invalid",AG839="Mismatch",AH839="Mismatch",AK839="Conflicting Duplicate - Flagged for Review"),"Invalid",IF(OR(L839="Filled - Unknown",S839="Filled - Unknown",X839="Missing - Defaulted to 0",AL839="Yes",AC839="Cancelled",AC839="Returned"),"Warning","Clean"))</f>
        <v>Clean</v>
      </c>
    </row>
    <row r="840" customFormat="false" ht="15" hidden="false" customHeight="false" outlineLevel="0" collapsed="false">
      <c r="A840" s="3" t="str">
        <f aca="false">raw_data!A840</f>
        <v>ORD-2025-10839</v>
      </c>
      <c r="B840" s="4" t="n">
        <f aca="false">IFERROR(IF(MID(raw_data!B840,3,1)="/",DATE(VALUE(RIGHT(raw_data!B840,4)),VALUE(LEFT(raw_data!B840,2)),VALUE(MID(raw_data!B840,4,2))),IF(MID(raw_data!B840,3,1)="-",DATE(VALUE(RIGHT(raw_data!B840,4)),VALUE(MID(raw_data!B840,4,2)),VALUE(LEFT(raw_data!B840,2))),IF(MID(raw_data!B840,5,1)="-",DATE(VALUE(LEFT(raw_data!B840,4)),VALUE(MID(raw_data!B840,6,2)),VALUE(RIGHT(raw_data!B840,2))),DATE(VALUE(RIGHT(raw_data!B840,4)),MATCH(MID(raw_data!B840,4,3),{"Jan","Feb","Mar","Apr","May","Jun","Jul","Aug","Sep","Oct","Nov","Dec"},0),VALUE(LEFT(raw_data!B840,2)))))),"")</f>
        <v>45750</v>
      </c>
      <c r="C840" s="4" t="n">
        <f aca="false">IFERROR(IF(MID(raw_data!C840,3,1)="/",DATE(VALUE(RIGHT(raw_data!C840,4)),VALUE(LEFT(raw_data!C840,2)),VALUE(MID(raw_data!C840,4,2))),IF(MID(raw_data!C840,3,1)="-",DATE(VALUE(RIGHT(raw_data!C840,4)),VALUE(MID(raw_data!C840,4,2)),VALUE(LEFT(raw_data!C840,2))),IF(MID(raw_data!C840,5,1)="-",DATE(VALUE(LEFT(raw_data!C840,4)),VALUE(MID(raw_data!C840,6,2)),VALUE(RIGHT(raw_data!C840,2))),DATE(VALUE(RIGHT(raw_data!C840,4)),MATCH(MID(raw_data!C840,4,3),{"Jan","Feb","Mar","Apr","May","Jun","Jul","Aug","Sep","Oct","Nov","Dec"},0),VALUE(LEFT(raw_data!C840,2)))))),"")</f>
        <v>45754</v>
      </c>
      <c r="D840" s="3" t="str">
        <f aca="false">IF(TRIM(raw_data!B840)="","Missing",IF(B840="","Invalid/Unrecognized","Valid"))</f>
        <v>Valid</v>
      </c>
      <c r="E840" s="3" t="str">
        <f aca="false">IF(TRIM(raw_data!C840)="","Missing",IF(C840="","Invalid/Unrecognized","Valid"))</f>
        <v>Valid</v>
      </c>
      <c r="F840" s="5" t="n">
        <f aca="false">IF(OR(B840="",C840=""),"",C840-B840)</f>
        <v>4</v>
      </c>
      <c r="G840" s="3" t="str">
        <f aca="false">IF(F840="","N/A",IF(F840&lt;0,"Invalid - Ship Before Order","OK"))</f>
        <v>OK</v>
      </c>
      <c r="H840" s="3" t="str">
        <f aca="false">raw_data!D840</f>
        <v>CUST-4708</v>
      </c>
      <c r="I840" s="3" t="str">
        <f aca="false">PROPER(TRIM(raw_data!E840))</f>
        <v>Ananya Rao</v>
      </c>
      <c r="J840" s="3" t="str">
        <f aca="false">PROPER(TRIM(raw_data!F840))</f>
        <v>Small Business</v>
      </c>
      <c r="K840" s="3" t="str">
        <f aca="false">IF(TRIM(raw_data!G840)="","Unknown",PROPER(TRIM(raw_data!G840)))</f>
        <v>West</v>
      </c>
      <c r="L840" s="3" t="str">
        <f aca="false">IF(TRIM(raw_data!G840)="","Filled - Unknown","OK")</f>
        <v>OK</v>
      </c>
      <c r="M840" s="3" t="str">
        <f aca="false">PROPER(TRIM(raw_data!H840))</f>
        <v>Goa</v>
      </c>
      <c r="N840" s="3" t="str">
        <f aca="false">PROPER(TRIM(raw_data!I840))</f>
        <v>Panaji</v>
      </c>
      <c r="O840" s="3" t="str">
        <f aca="false">PROPER(TRIM(raw_data!J840))</f>
        <v>Office Supplies</v>
      </c>
      <c r="P840" s="3" t="str">
        <f aca="false">PROPER(TRIM(raw_data!K840))</f>
        <v>Paper</v>
      </c>
      <c r="Q840" s="3" t="str">
        <f aca="false">TRIM(raw_data!L840)</f>
        <v>Pro Paper 355</v>
      </c>
      <c r="R840" s="3" t="str">
        <f aca="false">IF(TRIM(raw_data!M840)="","Unknown",PROPER(TRIM(raw_data!M840)))</f>
        <v>Same Day</v>
      </c>
      <c r="S840" s="3" t="str">
        <f aca="false">IF(TRIM(raw_data!M840)="","Filled - Unknown","OK")</f>
        <v>OK</v>
      </c>
      <c r="T840" s="6" t="n">
        <f aca="false">raw_data!N840</f>
        <v>1</v>
      </c>
      <c r="U840" s="7" t="n">
        <f aca="false">raw_data!O840</f>
        <v>1470.57</v>
      </c>
      <c r="V840" s="8" t="n">
        <f aca="false">raw_data!P840</f>
        <v>0</v>
      </c>
      <c r="W840" s="8" t="n">
        <f aca="false">IF(raw_data!P840="",0,IF(ISTEXT(raw_data!P840),IF(RIGHT(raw_data!P840,1)="%",VALUE(LEFT(raw_data!P840,LEN(raw_data!P840)-1))/100,VALUE(raw_data!P840)),raw_data!P840))</f>
        <v>0</v>
      </c>
      <c r="X840" s="3" t="str">
        <f aca="false">IF(raw_data!P840="","Missing - Defaulted to 0",IF(W840&lt;0,"Negative - Invalid",IF(W840&gt;0.3,"Above Allowed Range - Invalid","Valid")))</f>
        <v>Valid</v>
      </c>
      <c r="Y840" s="7" t="n">
        <f aca="false">raw_data!Q840</f>
        <v>1470.57</v>
      </c>
      <c r="Z840" s="7" t="n">
        <f aca="false">raw_data!R840</f>
        <v>834.02</v>
      </c>
      <c r="AA840" s="7" t="n">
        <f aca="false">raw_data!S840</f>
        <v>636.55</v>
      </c>
      <c r="AB840" s="3" t="str">
        <f aca="false">PROPER(TRIM(raw_data!T840))</f>
        <v>Paid</v>
      </c>
      <c r="AC840" s="3" t="str">
        <f aca="false">PROPER(TRIM(raw_data!U840))</f>
        <v>Returned</v>
      </c>
      <c r="AD840" s="7" t="n">
        <f aca="false">T840*U840*(1-W840)</f>
        <v>1470.57</v>
      </c>
      <c r="AE840" s="7" t="n">
        <f aca="false">AD840-Z840</f>
        <v>636.55</v>
      </c>
      <c r="AF840" s="8" t="n">
        <f aca="false">IF(AD840=0,0,AE840/AD840)</f>
        <v>0.432859367456156</v>
      </c>
      <c r="AG840" s="3" t="str">
        <f aca="false">IF(ABS(Y840-AD840)&gt;1,"Mismatch","OK")</f>
        <v>OK</v>
      </c>
      <c r="AH840" s="3" t="str">
        <f aca="false">IF(ABS(AA840-AE840)&gt;1,"Mismatch","OK")</f>
        <v>OK</v>
      </c>
      <c r="AI840" s="6" t="n">
        <f aca="false">IF(B840="","",MONTH(B840))</f>
        <v>4</v>
      </c>
      <c r="AJ840" s="6" t="n">
        <f aca="false">IF(B840="","",YEAR(B840))</f>
        <v>2025</v>
      </c>
      <c r="AK840" s="3" t="str">
        <f aca="false">IF(COUNTIF(raw_data!$A$2:$A$913,A840)&gt;1,"Conflicting Duplicate - Flagged for Review","Unique")</f>
        <v>Unique</v>
      </c>
      <c r="AL840" s="3" t="str">
        <f aca="false">IF(AB840="Refunded","Yes","No")</f>
        <v>No</v>
      </c>
      <c r="AM840" s="3" t="str">
        <f aca="false">IF(OR(AC840&lt;&gt;"Completed",AB840="Failed"),"Excluded","Included")</f>
        <v>Excluded</v>
      </c>
      <c r="AN840" s="3" t="str">
        <f aca="false">IF(OR(D840="Invalid/Unrecognized",E840="Invalid/Unrecognized",G840="Invalid - Ship Before Order",X840="Negative - Invalid",X840="Above Allowed Range - Invalid",AG840="Mismatch",AH840="Mismatch",AK840="Conflicting Duplicate - Flagged for Review"),"Invalid",IF(OR(L840="Filled - Unknown",S840="Filled - Unknown",X840="Missing - Defaulted to 0",AL840="Yes",AC840="Cancelled",AC840="Returned"),"Warning","Clean"))</f>
        <v>Warning</v>
      </c>
    </row>
    <row r="841" customFormat="false" ht="15" hidden="false" customHeight="false" outlineLevel="0" collapsed="false">
      <c r="A841" s="3" t="str">
        <f aca="false">raw_data!A841</f>
        <v>ORD-2024-10840</v>
      </c>
      <c r="B841" s="4" t="n">
        <f aca="false">IFERROR(IF(MID(raw_data!B841,3,1)="/",DATE(VALUE(RIGHT(raw_data!B841,4)),VALUE(LEFT(raw_data!B841,2)),VALUE(MID(raw_data!B841,4,2))),IF(MID(raw_data!B841,3,1)="-",DATE(VALUE(RIGHT(raw_data!B841,4)),VALUE(MID(raw_data!B841,4,2)),VALUE(LEFT(raw_data!B841,2))),IF(MID(raw_data!B841,5,1)="-",DATE(VALUE(LEFT(raw_data!B841,4)),VALUE(MID(raw_data!B841,6,2)),VALUE(RIGHT(raw_data!B841,2))),DATE(VALUE(RIGHT(raw_data!B841,4)),MATCH(MID(raw_data!B841,4,3),{"Jan","Feb","Mar","Apr","May","Jun","Jul","Aug","Sep","Oct","Nov","Dec"},0),VALUE(LEFT(raw_data!B841,2)))))),"")</f>
        <v>45555</v>
      </c>
      <c r="C841" s="4" t="n">
        <f aca="false">IFERROR(IF(MID(raw_data!C841,3,1)="/",DATE(VALUE(RIGHT(raw_data!C841,4)),VALUE(LEFT(raw_data!C841,2)),VALUE(MID(raw_data!C841,4,2))),IF(MID(raw_data!C841,3,1)="-",DATE(VALUE(RIGHT(raw_data!C841,4)),VALUE(MID(raw_data!C841,4,2)),VALUE(LEFT(raw_data!C841,2))),IF(MID(raw_data!C841,5,1)="-",DATE(VALUE(LEFT(raw_data!C841,4)),VALUE(MID(raw_data!C841,6,2)),VALUE(RIGHT(raw_data!C841,2))),DATE(VALUE(RIGHT(raw_data!C841,4)),MATCH(MID(raw_data!C841,4,3),{"Jan","Feb","Mar","Apr","May","Jun","Jul","Aug","Sep","Oct","Nov","Dec"},0),VALUE(LEFT(raw_data!C841,2)))))),"")</f>
        <v>45557</v>
      </c>
      <c r="D841" s="3" t="str">
        <f aca="false">IF(TRIM(raw_data!B841)="","Missing",IF(B841="","Invalid/Unrecognized","Valid"))</f>
        <v>Valid</v>
      </c>
      <c r="E841" s="3" t="str">
        <f aca="false">IF(TRIM(raw_data!C841)="","Missing",IF(C841="","Invalid/Unrecognized","Valid"))</f>
        <v>Valid</v>
      </c>
      <c r="F841" s="5" t="n">
        <f aca="false">IF(OR(B841="",C841=""),"",C841-B841)</f>
        <v>2</v>
      </c>
      <c r="G841" s="3" t="str">
        <f aca="false">IF(F841="","N/A",IF(F841&lt;0,"Invalid - Ship Before Order","OK"))</f>
        <v>OK</v>
      </c>
      <c r="H841" s="3" t="str">
        <f aca="false">raw_data!D841</f>
        <v>CUST-8206</v>
      </c>
      <c r="I841" s="3" t="str">
        <f aca="false">PROPER(TRIM(raw_data!E841))</f>
        <v>Rohan Mehta</v>
      </c>
      <c r="J841" s="3" t="str">
        <f aca="false">PROPER(TRIM(raw_data!F841))</f>
        <v>Home Office</v>
      </c>
      <c r="K841" s="3" t="str">
        <f aca="false">IF(TRIM(raw_data!G841)="","Unknown",PROPER(TRIM(raw_data!G841)))</f>
        <v>East</v>
      </c>
      <c r="L841" s="3" t="str">
        <f aca="false">IF(TRIM(raw_data!G841)="","Filled - Unknown","OK")</f>
        <v>OK</v>
      </c>
      <c r="M841" s="3" t="str">
        <f aca="false">PROPER(TRIM(raw_data!H841))</f>
        <v>Odisha</v>
      </c>
      <c r="N841" s="3" t="str">
        <f aca="false">PROPER(TRIM(raw_data!I841))</f>
        <v>Bhubaneswar</v>
      </c>
      <c r="O841" s="3" t="str">
        <f aca="false">PROPER(TRIM(raw_data!J841))</f>
        <v>Technology</v>
      </c>
      <c r="P841" s="3" t="str">
        <f aca="false">PROPER(TRIM(raw_data!K841))</f>
        <v>Phones</v>
      </c>
      <c r="Q841" s="3" t="str">
        <f aca="false">TRIM(raw_data!L841)</f>
        <v>Basic Phones 398</v>
      </c>
      <c r="R841" s="3" t="str">
        <f aca="false">IF(TRIM(raw_data!M841)="","Unknown",PROPER(TRIM(raw_data!M841)))</f>
        <v>Standard Class</v>
      </c>
      <c r="S841" s="3" t="str">
        <f aca="false">IF(TRIM(raw_data!M841)="","Filled - Unknown","OK")</f>
        <v>OK</v>
      </c>
      <c r="T841" s="6" t="n">
        <f aca="false">raw_data!N841</f>
        <v>8</v>
      </c>
      <c r="U841" s="7" t="n">
        <f aca="false">raw_data!O841</f>
        <v>531.43</v>
      </c>
      <c r="V841" s="8" t="n">
        <f aca="false">raw_data!P841</f>
        <v>0.1</v>
      </c>
      <c r="W841" s="8" t="n">
        <f aca="false">IF(raw_data!P841="",0,IF(ISTEXT(raw_data!P841),IF(RIGHT(raw_data!P841,1)="%",VALUE(LEFT(raw_data!P841,LEN(raw_data!P841)-1))/100,VALUE(raw_data!P841)),raw_data!P841))</f>
        <v>0.1</v>
      </c>
      <c r="X841" s="3" t="str">
        <f aca="false">IF(raw_data!P841="","Missing - Defaulted to 0",IF(W841&lt;0,"Negative - Invalid",IF(W841&gt;0.3,"Above Allowed Range - Invalid","Valid")))</f>
        <v>Valid</v>
      </c>
      <c r="Y841" s="7" t="n">
        <f aca="false">raw_data!Q841</f>
        <v>3826.3</v>
      </c>
      <c r="Z841" s="7" t="n">
        <f aca="false">raw_data!R841</f>
        <v>2194.12</v>
      </c>
      <c r="AA841" s="7" t="n">
        <f aca="false">raw_data!S841</f>
        <v>1632.18</v>
      </c>
      <c r="AB841" s="3" t="str">
        <f aca="false">PROPER(TRIM(raw_data!T841))</f>
        <v>Paid</v>
      </c>
      <c r="AC841" s="3" t="str">
        <f aca="false">PROPER(TRIM(raw_data!U841))</f>
        <v>Completed</v>
      </c>
      <c r="AD841" s="7" t="n">
        <f aca="false">T841*U841*(1-W841)</f>
        <v>3826.296</v>
      </c>
      <c r="AE841" s="7" t="n">
        <f aca="false">AD841-Z841</f>
        <v>1632.176</v>
      </c>
      <c r="AF841" s="8" t="n">
        <f aca="false">IF(AD841=0,0,AE841/AD841)</f>
        <v>0.426568148412982</v>
      </c>
      <c r="AG841" s="3" t="str">
        <f aca="false">IF(ABS(Y841-AD841)&gt;1,"Mismatch","OK")</f>
        <v>OK</v>
      </c>
      <c r="AH841" s="3" t="str">
        <f aca="false">IF(ABS(AA841-AE841)&gt;1,"Mismatch","OK")</f>
        <v>OK</v>
      </c>
      <c r="AI841" s="6" t="n">
        <f aca="false">IF(B841="","",MONTH(B841))</f>
        <v>9</v>
      </c>
      <c r="AJ841" s="6" t="n">
        <f aca="false">IF(B841="","",YEAR(B841))</f>
        <v>2024</v>
      </c>
      <c r="AK841" s="3" t="str">
        <f aca="false">IF(COUNTIF(raw_data!$A$2:$A$913,A841)&gt;1,"Conflicting Duplicate - Flagged for Review","Unique")</f>
        <v>Unique</v>
      </c>
      <c r="AL841" s="3" t="str">
        <f aca="false">IF(AB841="Refunded","Yes","No")</f>
        <v>No</v>
      </c>
      <c r="AM841" s="3" t="str">
        <f aca="false">IF(OR(AC841&lt;&gt;"Completed",AB841="Failed"),"Excluded","Included")</f>
        <v>Included</v>
      </c>
      <c r="AN841" s="3" t="str">
        <f aca="false">IF(OR(D841="Invalid/Unrecognized",E841="Invalid/Unrecognized",G841="Invalid - Ship Before Order",X841="Negative - Invalid",X841="Above Allowed Range - Invalid",AG841="Mismatch",AH841="Mismatch",AK841="Conflicting Duplicate - Flagged for Review"),"Invalid",IF(OR(L841="Filled - Unknown",S841="Filled - Unknown",X841="Missing - Defaulted to 0",AL841="Yes",AC841="Cancelled",AC841="Returned"),"Warning","Clean"))</f>
        <v>Clean</v>
      </c>
    </row>
    <row r="842" customFormat="false" ht="15" hidden="false" customHeight="false" outlineLevel="0" collapsed="false">
      <c r="A842" s="3" t="str">
        <f aca="false">raw_data!A842</f>
        <v>ORD-2025-10841</v>
      </c>
      <c r="B842" s="4" t="n">
        <f aca="false">IFERROR(IF(MID(raw_data!B842,3,1)="/",DATE(VALUE(RIGHT(raw_data!B842,4)),VALUE(LEFT(raw_data!B842,2)),VALUE(MID(raw_data!B842,4,2))),IF(MID(raw_data!B842,3,1)="-",DATE(VALUE(RIGHT(raw_data!B842,4)),VALUE(MID(raw_data!B842,4,2)),VALUE(LEFT(raw_data!B842,2))),IF(MID(raw_data!B842,5,1)="-",DATE(VALUE(LEFT(raw_data!B842,4)),VALUE(MID(raw_data!B842,6,2)),VALUE(RIGHT(raw_data!B842,2))),DATE(VALUE(RIGHT(raw_data!B842,4)),MATCH(MID(raw_data!B842,4,3),{"Jan","Feb","Mar","Apr","May","Jun","Jul","Aug","Sep","Oct","Nov","Dec"},0),VALUE(LEFT(raw_data!B842,2)))))),"")</f>
        <v>45919</v>
      </c>
      <c r="C842" s="4" t="n">
        <f aca="false">IFERROR(IF(MID(raw_data!C842,3,1)="/",DATE(VALUE(RIGHT(raw_data!C842,4)),VALUE(LEFT(raw_data!C842,2)),VALUE(MID(raw_data!C842,4,2))),IF(MID(raw_data!C842,3,1)="-",DATE(VALUE(RIGHT(raw_data!C842,4)),VALUE(MID(raw_data!C842,4,2)),VALUE(LEFT(raw_data!C842,2))),IF(MID(raw_data!C842,5,1)="-",DATE(VALUE(LEFT(raw_data!C842,4)),VALUE(MID(raw_data!C842,6,2)),VALUE(RIGHT(raw_data!C842,2))),DATE(VALUE(RIGHT(raw_data!C842,4)),MATCH(MID(raw_data!C842,4,3),{"Jan","Feb","Mar","Apr","May","Jun","Jul","Aug","Sep","Oct","Nov","Dec"},0),VALUE(LEFT(raw_data!C842,2)))))),"")</f>
        <v>45919</v>
      </c>
      <c r="D842" s="3" t="str">
        <f aca="false">IF(TRIM(raw_data!B842)="","Missing",IF(B842="","Invalid/Unrecognized","Valid"))</f>
        <v>Valid</v>
      </c>
      <c r="E842" s="3" t="str">
        <f aca="false">IF(TRIM(raw_data!C842)="","Missing",IF(C842="","Invalid/Unrecognized","Valid"))</f>
        <v>Valid</v>
      </c>
      <c r="F842" s="5" t="n">
        <f aca="false">IF(OR(B842="",C842=""),"",C842-B842)</f>
        <v>0</v>
      </c>
      <c r="G842" s="3" t="str">
        <f aca="false">IF(F842="","N/A",IF(F842&lt;0,"Invalid - Ship Before Order","OK"))</f>
        <v>OK</v>
      </c>
      <c r="H842" s="3" t="str">
        <f aca="false">raw_data!D842</f>
        <v>CUST-1297</v>
      </c>
      <c r="I842" s="3" t="str">
        <f aca="false">PROPER(TRIM(raw_data!E842))</f>
        <v>Neha Gupta</v>
      </c>
      <c r="J842" s="3" t="str">
        <f aca="false">PROPER(TRIM(raw_data!F842))</f>
        <v>Home Office</v>
      </c>
      <c r="K842" s="3" t="str">
        <f aca="false">IF(TRIM(raw_data!G842)="","Unknown",PROPER(TRIM(raw_data!G842)))</f>
        <v>North</v>
      </c>
      <c r="L842" s="3" t="str">
        <f aca="false">IF(TRIM(raw_data!G842)="","Filled - Unknown","OK")</f>
        <v>OK</v>
      </c>
      <c r="M842" s="3" t="str">
        <f aca="false">PROPER(TRIM(raw_data!H842))</f>
        <v>Delhi</v>
      </c>
      <c r="N842" s="3" t="str">
        <f aca="false">PROPER(TRIM(raw_data!I842))</f>
        <v>New Delhi</v>
      </c>
      <c r="O842" s="3" t="str">
        <f aca="false">PROPER(TRIM(raw_data!J842))</f>
        <v>Furniture</v>
      </c>
      <c r="P842" s="3" t="str">
        <f aca="false">PROPER(TRIM(raw_data!K842))</f>
        <v>Chairs</v>
      </c>
      <c r="Q842" s="3" t="str">
        <f aca="false">TRIM(raw_data!L842)</f>
        <v>Classic Chairs 204</v>
      </c>
      <c r="R842" s="3" t="str">
        <f aca="false">IF(TRIM(raw_data!M842)="","Unknown",PROPER(TRIM(raw_data!M842)))</f>
        <v>Same Day</v>
      </c>
      <c r="S842" s="3" t="str">
        <f aca="false">IF(TRIM(raw_data!M842)="","Filled - Unknown","OK")</f>
        <v>OK</v>
      </c>
      <c r="T842" s="6" t="n">
        <f aca="false">raw_data!N842</f>
        <v>4</v>
      </c>
      <c r="U842" s="7" t="n">
        <f aca="false">raw_data!O842</f>
        <v>1584.11</v>
      </c>
      <c r="V842" s="8" t="n">
        <f aca="false">raw_data!P842</f>
        <v>0</v>
      </c>
      <c r="W842" s="8" t="n">
        <f aca="false">IF(raw_data!P842="",0,IF(ISTEXT(raw_data!P842),IF(RIGHT(raw_data!P842,1)="%",VALUE(LEFT(raw_data!P842,LEN(raw_data!P842)-1))/100,VALUE(raw_data!P842)),raw_data!P842))</f>
        <v>0</v>
      </c>
      <c r="X842" s="3" t="str">
        <f aca="false">IF(raw_data!P842="","Missing - Defaulted to 0",IF(W842&lt;0,"Negative - Invalid",IF(W842&gt;0.3,"Above Allowed Range - Invalid","Valid")))</f>
        <v>Valid</v>
      </c>
      <c r="Y842" s="7" t="n">
        <f aca="false">raw_data!Q842</f>
        <v>6336.44</v>
      </c>
      <c r="Z842" s="7" t="n">
        <f aca="false">raw_data!R842</f>
        <v>4680.68</v>
      </c>
      <c r="AA842" s="7" t="n">
        <f aca="false">raw_data!S842</f>
        <v>1655.76</v>
      </c>
      <c r="AB842" s="3" t="str">
        <f aca="false">PROPER(TRIM(raw_data!T842))</f>
        <v>Paid</v>
      </c>
      <c r="AC842" s="3" t="str">
        <f aca="false">PROPER(TRIM(raw_data!U842))</f>
        <v>Completed</v>
      </c>
      <c r="AD842" s="7" t="n">
        <f aca="false">T842*U842*(1-W842)</f>
        <v>6336.44</v>
      </c>
      <c r="AE842" s="7" t="n">
        <f aca="false">AD842-Z842</f>
        <v>1655.76</v>
      </c>
      <c r="AF842" s="8" t="n">
        <f aca="false">IF(AD842=0,0,AE842/AD842)</f>
        <v>0.261307611213868</v>
      </c>
      <c r="AG842" s="3" t="str">
        <f aca="false">IF(ABS(Y842-AD842)&gt;1,"Mismatch","OK")</f>
        <v>OK</v>
      </c>
      <c r="AH842" s="3" t="str">
        <f aca="false">IF(ABS(AA842-AE842)&gt;1,"Mismatch","OK")</f>
        <v>OK</v>
      </c>
      <c r="AI842" s="6" t="n">
        <f aca="false">IF(B842="","",MONTH(B842))</f>
        <v>9</v>
      </c>
      <c r="AJ842" s="6" t="n">
        <f aca="false">IF(B842="","",YEAR(B842))</f>
        <v>2025</v>
      </c>
      <c r="AK842" s="3" t="str">
        <f aca="false">IF(COUNTIF(raw_data!$A$2:$A$913,A842)&gt;1,"Conflicting Duplicate - Flagged for Review","Unique")</f>
        <v>Unique</v>
      </c>
      <c r="AL842" s="3" t="str">
        <f aca="false">IF(AB842="Refunded","Yes","No")</f>
        <v>No</v>
      </c>
      <c r="AM842" s="3" t="str">
        <f aca="false">IF(OR(AC842&lt;&gt;"Completed",AB842="Failed"),"Excluded","Included")</f>
        <v>Included</v>
      </c>
      <c r="AN842" s="3" t="str">
        <f aca="false">IF(OR(D842="Invalid/Unrecognized",E842="Invalid/Unrecognized",G842="Invalid - Ship Before Order",X842="Negative - Invalid",X842="Above Allowed Range - Invalid",AG842="Mismatch",AH842="Mismatch",AK842="Conflicting Duplicate - Flagged for Review"),"Invalid",IF(OR(L842="Filled - Unknown",S842="Filled - Unknown",X842="Missing - Defaulted to 0",AL842="Yes",AC842="Cancelled",AC842="Returned"),"Warning","Clean"))</f>
        <v>Clean</v>
      </c>
    </row>
    <row r="843" customFormat="false" ht="15" hidden="false" customHeight="false" outlineLevel="0" collapsed="false">
      <c r="A843" s="3" t="str">
        <f aca="false">raw_data!A843</f>
        <v>ORD-2025-10842</v>
      </c>
      <c r="B843" s="4" t="n">
        <f aca="false">IFERROR(IF(MID(raw_data!B843,3,1)="/",DATE(VALUE(RIGHT(raw_data!B843,4)),VALUE(LEFT(raw_data!B843,2)),VALUE(MID(raw_data!B843,4,2))),IF(MID(raw_data!B843,3,1)="-",DATE(VALUE(RIGHT(raw_data!B843,4)),VALUE(MID(raw_data!B843,4,2)),VALUE(LEFT(raw_data!B843,2))),IF(MID(raw_data!B843,5,1)="-",DATE(VALUE(LEFT(raw_data!B843,4)),VALUE(MID(raw_data!B843,6,2)),VALUE(RIGHT(raw_data!B843,2))),DATE(VALUE(RIGHT(raw_data!B843,4)),MATCH(MID(raw_data!B843,4,3),{"Jan","Feb","Mar","Apr","May","Jun","Jul","Aug","Sep","Oct","Nov","Dec"},0),VALUE(LEFT(raw_data!B843,2)))))),"")</f>
        <v>45694</v>
      </c>
      <c r="C843" s="4" t="n">
        <f aca="false">IFERROR(IF(MID(raw_data!C843,3,1)="/",DATE(VALUE(RIGHT(raw_data!C843,4)),VALUE(LEFT(raw_data!C843,2)),VALUE(MID(raw_data!C843,4,2))),IF(MID(raw_data!C843,3,1)="-",DATE(VALUE(RIGHT(raw_data!C843,4)),VALUE(MID(raw_data!C843,4,2)),VALUE(LEFT(raw_data!C843,2))),IF(MID(raw_data!C843,5,1)="-",DATE(VALUE(LEFT(raw_data!C843,4)),VALUE(MID(raw_data!C843,6,2)),VALUE(RIGHT(raw_data!C843,2))),DATE(VALUE(RIGHT(raw_data!C843,4)),MATCH(MID(raw_data!C843,4,3),{"Jan","Feb","Mar","Apr","May","Jun","Jul","Aug","Sep","Oct","Nov","Dec"},0),VALUE(LEFT(raw_data!C843,2)))))),"")</f>
        <v>45700</v>
      </c>
      <c r="D843" s="3" t="str">
        <f aca="false">IF(TRIM(raw_data!B843)="","Missing",IF(B843="","Invalid/Unrecognized","Valid"))</f>
        <v>Valid</v>
      </c>
      <c r="E843" s="3" t="str">
        <f aca="false">IF(TRIM(raw_data!C843)="","Missing",IF(C843="","Invalid/Unrecognized","Valid"))</f>
        <v>Valid</v>
      </c>
      <c r="F843" s="5" t="n">
        <f aca="false">IF(OR(B843="",C843=""),"",C843-B843)</f>
        <v>6</v>
      </c>
      <c r="G843" s="3" t="str">
        <f aca="false">IF(F843="","N/A",IF(F843&lt;0,"Invalid - Ship Before Order","OK"))</f>
        <v>OK</v>
      </c>
      <c r="H843" s="3" t="str">
        <f aca="false">raw_data!D843</f>
        <v>CUST-7558</v>
      </c>
      <c r="I843" s="3" t="str">
        <f aca="false">PROPER(TRIM(raw_data!E843))</f>
        <v>Ananya Rao</v>
      </c>
      <c r="J843" s="3" t="str">
        <f aca="false">PROPER(TRIM(raw_data!F843))</f>
        <v>Small Business</v>
      </c>
      <c r="K843" s="3" t="str">
        <f aca="false">IF(TRIM(raw_data!G843)="","Unknown",PROPER(TRIM(raw_data!G843)))</f>
        <v>East</v>
      </c>
      <c r="L843" s="3" t="str">
        <f aca="false">IF(TRIM(raw_data!G843)="","Filled - Unknown","OK")</f>
        <v>OK</v>
      </c>
      <c r="M843" s="3" t="str">
        <f aca="false">PROPER(TRIM(raw_data!H843))</f>
        <v>Bihar</v>
      </c>
      <c r="N843" s="3" t="str">
        <f aca="false">PROPER(TRIM(raw_data!I843))</f>
        <v>Patna</v>
      </c>
      <c r="O843" s="3" t="str">
        <f aca="false">PROPER(TRIM(raw_data!J843))</f>
        <v>Office Supplies</v>
      </c>
      <c r="P843" s="3" t="str">
        <f aca="false">PROPER(TRIM(raw_data!K843))</f>
        <v>Art</v>
      </c>
      <c r="Q843" s="3" t="str">
        <f aca="false">TRIM(raw_data!L843)</f>
        <v>Max Art 339</v>
      </c>
      <c r="R843" s="3" t="str">
        <f aca="false">IF(TRIM(raw_data!M843)="","Unknown",PROPER(TRIM(raw_data!M843)))</f>
        <v>Standard Class</v>
      </c>
      <c r="S843" s="3" t="str">
        <f aca="false">IF(TRIM(raw_data!M843)="","Filled - Unknown","OK")</f>
        <v>OK</v>
      </c>
      <c r="T843" s="6" t="n">
        <f aca="false">raw_data!N843</f>
        <v>9</v>
      </c>
      <c r="U843" s="7" t="n">
        <f aca="false">raw_data!O843</f>
        <v>3237.16</v>
      </c>
      <c r="V843" s="8" t="n">
        <f aca="false">raw_data!P843</f>
        <v>0.25</v>
      </c>
      <c r="W843" s="8" t="n">
        <f aca="false">IF(raw_data!P843="",0,IF(ISTEXT(raw_data!P843),IF(RIGHT(raw_data!P843,1)="%",VALUE(LEFT(raw_data!P843,LEN(raw_data!P843)-1))/100,VALUE(raw_data!P843)),raw_data!P843))</f>
        <v>0.25</v>
      </c>
      <c r="X843" s="3" t="str">
        <f aca="false">IF(raw_data!P843="","Missing - Defaulted to 0",IF(W843&lt;0,"Negative - Invalid",IF(W843&gt;0.3,"Above Allowed Range - Invalid","Valid")))</f>
        <v>Valid</v>
      </c>
      <c r="Y843" s="7" t="n">
        <f aca="false">raw_data!Q843</f>
        <v>21850.83</v>
      </c>
      <c r="Z843" s="7" t="n">
        <f aca="false">raw_data!R843</f>
        <v>16600.13</v>
      </c>
      <c r="AA843" s="7" t="n">
        <f aca="false">raw_data!S843</f>
        <v>5250.7</v>
      </c>
      <c r="AB843" s="3" t="str">
        <f aca="false">PROPER(TRIM(raw_data!T843))</f>
        <v>Paid</v>
      </c>
      <c r="AC843" s="3" t="str">
        <f aca="false">PROPER(TRIM(raw_data!U843))</f>
        <v>Completed</v>
      </c>
      <c r="AD843" s="7" t="n">
        <f aca="false">T843*U843*(1-W843)</f>
        <v>21850.83</v>
      </c>
      <c r="AE843" s="7" t="n">
        <f aca="false">AD843-Z843</f>
        <v>5250.7</v>
      </c>
      <c r="AF843" s="8" t="n">
        <f aca="false">IF(AD843=0,0,AE843/AD843)</f>
        <v>0.240297508149576</v>
      </c>
      <c r="AG843" s="3" t="str">
        <f aca="false">IF(ABS(Y843-AD843)&gt;1,"Mismatch","OK")</f>
        <v>OK</v>
      </c>
      <c r="AH843" s="3" t="str">
        <f aca="false">IF(ABS(AA843-AE843)&gt;1,"Mismatch","OK")</f>
        <v>OK</v>
      </c>
      <c r="AI843" s="6" t="n">
        <f aca="false">IF(B843="","",MONTH(B843))</f>
        <v>2</v>
      </c>
      <c r="AJ843" s="6" t="n">
        <f aca="false">IF(B843="","",YEAR(B843))</f>
        <v>2025</v>
      </c>
      <c r="AK843" s="3" t="str">
        <f aca="false">IF(COUNTIF(raw_data!$A$2:$A$913,A843)&gt;1,"Conflicting Duplicate - Flagged for Review","Unique")</f>
        <v>Unique</v>
      </c>
      <c r="AL843" s="3" t="str">
        <f aca="false">IF(AB843="Refunded","Yes","No")</f>
        <v>No</v>
      </c>
      <c r="AM843" s="3" t="str">
        <f aca="false">IF(OR(AC843&lt;&gt;"Completed",AB843="Failed"),"Excluded","Included")</f>
        <v>Included</v>
      </c>
      <c r="AN843" s="3" t="str">
        <f aca="false">IF(OR(D843="Invalid/Unrecognized",E843="Invalid/Unrecognized",G843="Invalid - Ship Before Order",X843="Negative - Invalid",X843="Above Allowed Range - Invalid",AG843="Mismatch",AH843="Mismatch",AK843="Conflicting Duplicate - Flagged for Review"),"Invalid",IF(OR(L843="Filled - Unknown",S843="Filled - Unknown",X843="Missing - Defaulted to 0",AL843="Yes",AC843="Cancelled",AC843="Returned"),"Warning","Clean"))</f>
        <v>Clean</v>
      </c>
    </row>
    <row r="844" customFormat="false" ht="15" hidden="false" customHeight="false" outlineLevel="0" collapsed="false">
      <c r="A844" s="3" t="str">
        <f aca="false">raw_data!A844</f>
        <v>ORD-2024-10843</v>
      </c>
      <c r="B844" s="4" t="n">
        <f aca="false">IFERROR(IF(MID(raw_data!B844,3,1)="/",DATE(VALUE(RIGHT(raw_data!B844,4)),VALUE(LEFT(raw_data!B844,2)),VALUE(MID(raw_data!B844,4,2))),IF(MID(raw_data!B844,3,1)="-",DATE(VALUE(RIGHT(raw_data!B844,4)),VALUE(MID(raw_data!B844,4,2)),VALUE(LEFT(raw_data!B844,2))),IF(MID(raw_data!B844,5,1)="-",DATE(VALUE(LEFT(raw_data!B844,4)),VALUE(MID(raw_data!B844,6,2)),VALUE(RIGHT(raw_data!B844,2))),DATE(VALUE(RIGHT(raw_data!B844,4)),MATCH(MID(raw_data!B844,4,3),{"Jan","Feb","Mar","Apr","May","Jun","Jul","Aug","Sep","Oct","Nov","Dec"},0),VALUE(LEFT(raw_data!B844,2)))))),"")</f>
        <v>45382</v>
      </c>
      <c r="C844" s="4" t="n">
        <f aca="false">IFERROR(IF(MID(raw_data!C844,3,1)="/",DATE(VALUE(RIGHT(raw_data!C844,4)),VALUE(LEFT(raw_data!C844,2)),VALUE(MID(raw_data!C844,4,2))),IF(MID(raw_data!C844,3,1)="-",DATE(VALUE(RIGHT(raw_data!C844,4)),VALUE(MID(raw_data!C844,4,2)),VALUE(LEFT(raw_data!C844,2))),IF(MID(raw_data!C844,5,1)="-",DATE(VALUE(LEFT(raw_data!C844,4)),VALUE(MID(raw_data!C844,6,2)),VALUE(RIGHT(raw_data!C844,2))),DATE(VALUE(RIGHT(raw_data!C844,4)),MATCH(MID(raw_data!C844,4,3),{"Jan","Feb","Mar","Apr","May","Jun","Jul","Aug","Sep","Oct","Nov","Dec"},0),VALUE(LEFT(raw_data!C844,2)))))),"")</f>
        <v>45381</v>
      </c>
      <c r="D844" s="3" t="str">
        <f aca="false">IF(TRIM(raw_data!B844)="","Missing",IF(B844="","Invalid/Unrecognized","Valid"))</f>
        <v>Valid</v>
      </c>
      <c r="E844" s="3" t="str">
        <f aca="false">IF(TRIM(raw_data!C844)="","Missing",IF(C844="","Invalid/Unrecognized","Valid"))</f>
        <v>Valid</v>
      </c>
      <c r="F844" s="5" t="n">
        <f aca="false">IF(OR(B844="",C844=""),"",C844-B844)</f>
        <v>-1</v>
      </c>
      <c r="G844" s="3" t="str">
        <f aca="false">IF(F844="","N/A",IF(F844&lt;0,"Invalid - Ship Before Order","OK"))</f>
        <v>Invalid - Ship Before Order</v>
      </c>
      <c r="H844" s="3" t="str">
        <f aca="false">raw_data!D844</f>
        <v>CUST-1798</v>
      </c>
      <c r="I844" s="3" t="str">
        <f aca="false">PROPER(TRIM(raw_data!E844))</f>
        <v>Kabir Singh</v>
      </c>
      <c r="J844" s="3" t="str">
        <f aca="false">PROPER(TRIM(raw_data!F844))</f>
        <v>Consumer</v>
      </c>
      <c r="K844" s="3" t="str">
        <f aca="false">IF(TRIM(raw_data!G844)="","Unknown",PROPER(TRIM(raw_data!G844)))</f>
        <v>North</v>
      </c>
      <c r="L844" s="3" t="str">
        <f aca="false">IF(TRIM(raw_data!G844)="","Filled - Unknown","OK")</f>
        <v>OK</v>
      </c>
      <c r="M844" s="3" t="str">
        <f aca="false">PROPER(TRIM(raw_data!H844))</f>
        <v>Haryana</v>
      </c>
      <c r="N844" s="3" t="str">
        <f aca="false">PROPER(TRIM(raw_data!I844))</f>
        <v>Gurugram</v>
      </c>
      <c r="O844" s="3" t="str">
        <f aca="false">PROPER(TRIM(raw_data!J844))</f>
        <v>Technology</v>
      </c>
      <c r="P844" s="3" t="str">
        <f aca="false">PROPER(TRIM(raw_data!K844))</f>
        <v>Machines</v>
      </c>
      <c r="Q844" s="3" t="str">
        <f aca="false">TRIM(raw_data!L844)</f>
        <v>Smart Machines 581</v>
      </c>
      <c r="R844" s="3" t="str">
        <f aca="false">IF(TRIM(raw_data!M844)="","Unknown",PROPER(TRIM(raw_data!M844)))</f>
        <v>First Class</v>
      </c>
      <c r="S844" s="3" t="str">
        <f aca="false">IF(TRIM(raw_data!M844)="","Filled - Unknown","OK")</f>
        <v>OK</v>
      </c>
      <c r="T844" s="6" t="n">
        <f aca="false">raw_data!N844</f>
        <v>4</v>
      </c>
      <c r="U844" s="7" t="n">
        <f aca="false">raw_data!O844</f>
        <v>2192.08</v>
      </c>
      <c r="V844" s="8" t="n">
        <f aca="false">raw_data!P844</f>
        <v>0.15</v>
      </c>
      <c r="W844" s="8" t="n">
        <f aca="false">IF(raw_data!P844="",0,IF(ISTEXT(raw_data!P844),IF(RIGHT(raw_data!P844,1)="%",VALUE(LEFT(raw_data!P844,LEN(raw_data!P844)-1))/100,VALUE(raw_data!P844)),raw_data!P844))</f>
        <v>0.15</v>
      </c>
      <c r="X844" s="3" t="str">
        <f aca="false">IF(raw_data!P844="","Missing - Defaulted to 0",IF(W844&lt;0,"Negative - Invalid",IF(W844&gt;0.3,"Above Allowed Range - Invalid","Valid")))</f>
        <v>Valid</v>
      </c>
      <c r="Y844" s="7" t="n">
        <f aca="false">raw_data!Q844</f>
        <v>7453.07</v>
      </c>
      <c r="Z844" s="7" t="n">
        <f aca="false">raw_data!R844</f>
        <v>5133.78</v>
      </c>
      <c r="AA844" s="7" t="n">
        <f aca="false">raw_data!S844</f>
        <v>2319.29</v>
      </c>
      <c r="AB844" s="3" t="str">
        <f aca="false">PROPER(TRIM(raw_data!T844))</f>
        <v>Paid</v>
      </c>
      <c r="AC844" s="3" t="str">
        <f aca="false">PROPER(TRIM(raw_data!U844))</f>
        <v>Returned</v>
      </c>
      <c r="AD844" s="7" t="n">
        <f aca="false">T844*U844*(1-W844)</f>
        <v>7453.072</v>
      </c>
      <c r="AE844" s="7" t="n">
        <f aca="false">AD844-Z844</f>
        <v>2319.292</v>
      </c>
      <c r="AF844" s="8" t="n">
        <f aca="false">IF(AD844=0,0,AE844/AD844)</f>
        <v>0.311186045163659</v>
      </c>
      <c r="AG844" s="3" t="str">
        <f aca="false">IF(ABS(Y844-AD844)&gt;1,"Mismatch","OK")</f>
        <v>OK</v>
      </c>
      <c r="AH844" s="3" t="str">
        <f aca="false">IF(ABS(AA844-AE844)&gt;1,"Mismatch","OK")</f>
        <v>OK</v>
      </c>
      <c r="AI844" s="6" t="n">
        <f aca="false">IF(B844="","",MONTH(B844))</f>
        <v>3</v>
      </c>
      <c r="AJ844" s="6" t="n">
        <f aca="false">IF(B844="","",YEAR(B844))</f>
        <v>2024</v>
      </c>
      <c r="AK844" s="3" t="str">
        <f aca="false">IF(COUNTIF(raw_data!$A$2:$A$913,A844)&gt;1,"Conflicting Duplicate - Flagged for Review","Unique")</f>
        <v>Unique</v>
      </c>
      <c r="AL844" s="3" t="str">
        <f aca="false">IF(AB844="Refunded","Yes","No")</f>
        <v>No</v>
      </c>
      <c r="AM844" s="3" t="str">
        <f aca="false">IF(OR(AC844&lt;&gt;"Completed",AB844="Failed"),"Excluded","Included")</f>
        <v>Excluded</v>
      </c>
      <c r="AN844" s="3" t="str">
        <f aca="false">IF(OR(D844="Invalid/Unrecognized",E844="Invalid/Unrecognized",G844="Invalid - Ship Before Order",X844="Negative - Invalid",X844="Above Allowed Range - Invalid",AG844="Mismatch",AH844="Mismatch",AK844="Conflicting Duplicate - Flagged for Review"),"Invalid",IF(OR(L844="Filled - Unknown",S844="Filled - Unknown",X844="Missing - Defaulted to 0",AL844="Yes",AC844="Cancelled",AC844="Returned"),"Warning","Clean"))</f>
        <v>Invalid</v>
      </c>
    </row>
    <row r="845" customFormat="false" ht="15" hidden="false" customHeight="false" outlineLevel="0" collapsed="false">
      <c r="A845" s="3" t="str">
        <f aca="false">raw_data!A845</f>
        <v>ORD-2025-10844</v>
      </c>
      <c r="B845" s="4" t="n">
        <f aca="false">IFERROR(IF(MID(raw_data!B845,3,1)="/",DATE(VALUE(RIGHT(raw_data!B845,4)),VALUE(LEFT(raw_data!B845,2)),VALUE(MID(raw_data!B845,4,2))),IF(MID(raw_data!B845,3,1)="-",DATE(VALUE(RIGHT(raw_data!B845,4)),VALUE(MID(raw_data!B845,4,2)),VALUE(LEFT(raw_data!B845,2))),IF(MID(raw_data!B845,5,1)="-",DATE(VALUE(LEFT(raw_data!B845,4)),VALUE(MID(raw_data!B845,6,2)),VALUE(RIGHT(raw_data!B845,2))),DATE(VALUE(RIGHT(raw_data!B845,4)),MATCH(MID(raw_data!B845,4,3),{"Jan","Feb","Mar","Apr","May","Jun","Jul","Aug","Sep","Oct","Nov","Dec"},0),VALUE(LEFT(raw_data!B845,2)))))),"")</f>
        <v>45856</v>
      </c>
      <c r="C845" s="4" t="n">
        <f aca="false">IFERROR(IF(MID(raw_data!C845,3,1)="/",DATE(VALUE(RIGHT(raw_data!C845,4)),VALUE(LEFT(raw_data!C845,2)),VALUE(MID(raw_data!C845,4,2))),IF(MID(raw_data!C845,3,1)="-",DATE(VALUE(RIGHT(raw_data!C845,4)),VALUE(MID(raw_data!C845,4,2)),VALUE(LEFT(raw_data!C845,2))),IF(MID(raw_data!C845,5,1)="-",DATE(VALUE(LEFT(raw_data!C845,4)),VALUE(MID(raw_data!C845,6,2)),VALUE(RIGHT(raw_data!C845,2))),DATE(VALUE(RIGHT(raw_data!C845,4)),MATCH(MID(raw_data!C845,4,3),{"Jan","Feb","Mar","Apr","May","Jun","Jul","Aug","Sep","Oct","Nov","Dec"},0),VALUE(LEFT(raw_data!C845,2)))))),"")</f>
        <v>45863</v>
      </c>
      <c r="D845" s="3" t="str">
        <f aca="false">IF(TRIM(raw_data!B845)="","Missing",IF(B845="","Invalid/Unrecognized","Valid"))</f>
        <v>Valid</v>
      </c>
      <c r="E845" s="3" t="str">
        <f aca="false">IF(TRIM(raw_data!C845)="","Missing",IF(C845="","Invalid/Unrecognized","Valid"))</f>
        <v>Valid</v>
      </c>
      <c r="F845" s="5" t="n">
        <f aca="false">IF(OR(B845="",C845=""),"",C845-B845)</f>
        <v>7</v>
      </c>
      <c r="G845" s="3" t="str">
        <f aca="false">IF(F845="","N/A",IF(F845&lt;0,"Invalid - Ship Before Order","OK"))</f>
        <v>OK</v>
      </c>
      <c r="H845" s="3" t="str">
        <f aca="false">raw_data!D845</f>
        <v>CUST-7333</v>
      </c>
      <c r="I845" s="3" t="str">
        <f aca="false">PROPER(TRIM(raw_data!E845))</f>
        <v>Priya Menon</v>
      </c>
      <c r="J845" s="3" t="str">
        <f aca="false">PROPER(TRIM(raw_data!F845))</f>
        <v>Small Business</v>
      </c>
      <c r="K845" s="3" t="str">
        <f aca="false">IF(TRIM(raw_data!G845)="","Unknown",PROPER(TRIM(raw_data!G845)))</f>
        <v>North</v>
      </c>
      <c r="L845" s="3" t="str">
        <f aca="false">IF(TRIM(raw_data!G845)="","Filled - Unknown","OK")</f>
        <v>OK</v>
      </c>
      <c r="M845" s="3" t="str">
        <f aca="false">PROPER(TRIM(raw_data!H845))</f>
        <v>Uttar Pradesh</v>
      </c>
      <c r="N845" s="3" t="str">
        <f aca="false">PROPER(TRIM(raw_data!I845))</f>
        <v>Noida</v>
      </c>
      <c r="O845" s="3" t="str">
        <f aca="false">PROPER(TRIM(raw_data!J845))</f>
        <v>Technology</v>
      </c>
      <c r="P845" s="3" t="str">
        <f aca="false">PROPER(TRIM(raw_data!K845))</f>
        <v>Phones</v>
      </c>
      <c r="Q845" s="3" t="str">
        <f aca="false">TRIM(raw_data!L845)</f>
        <v>Prime Phones 482</v>
      </c>
      <c r="R845" s="3" t="str">
        <f aca="false">IF(TRIM(raw_data!M845)="","Unknown",PROPER(TRIM(raw_data!M845)))</f>
        <v>First Class</v>
      </c>
      <c r="S845" s="3" t="str">
        <f aca="false">IF(TRIM(raw_data!M845)="","Filled - Unknown","OK")</f>
        <v>OK</v>
      </c>
      <c r="T845" s="6" t="n">
        <f aca="false">raw_data!N845</f>
        <v>9</v>
      </c>
      <c r="U845" s="7" t="n">
        <f aca="false">raw_data!O845</f>
        <v>3989.52</v>
      </c>
      <c r="V845" s="8" t="n">
        <f aca="false">raw_data!P845</f>
        <v>-0.02</v>
      </c>
      <c r="W845" s="8" t="n">
        <f aca="false">IF(raw_data!P845="",0,IF(ISTEXT(raw_data!P845),IF(RIGHT(raw_data!P845,1)="%",VALUE(LEFT(raw_data!P845,LEN(raw_data!P845)-1))/100,VALUE(raw_data!P845)),raw_data!P845))</f>
        <v>-0.02</v>
      </c>
      <c r="X845" s="3" t="str">
        <f aca="false">IF(raw_data!P845="","Missing - Defaulted to 0",IF(W845&lt;0,"Negative - Invalid",IF(W845&gt;0.3,"Above Allowed Range - Invalid","Valid")))</f>
        <v>Negative - Invalid</v>
      </c>
      <c r="Y845" s="7" t="n">
        <f aca="false">raw_data!Q845</f>
        <v>35905.68</v>
      </c>
      <c r="Z845" s="7" t="n">
        <f aca="false">raw_data!R845</f>
        <v>23916.1</v>
      </c>
      <c r="AA845" s="7" t="n">
        <f aca="false">raw_data!S845</f>
        <v>11989.58</v>
      </c>
      <c r="AB845" s="3" t="str">
        <f aca="false">PROPER(TRIM(raw_data!T845))</f>
        <v>Paid</v>
      </c>
      <c r="AC845" s="3" t="str">
        <f aca="false">PROPER(TRIM(raw_data!U845))</f>
        <v>Completed</v>
      </c>
      <c r="AD845" s="7" t="n">
        <f aca="false">T845*U845*(1-W845)</f>
        <v>36623.7936</v>
      </c>
      <c r="AE845" s="7" t="n">
        <f aca="false">AD845-Z845</f>
        <v>12707.6936</v>
      </c>
      <c r="AF845" s="8" t="n">
        <f aca="false">IF(AD845=0,0,AE845/AD845)</f>
        <v>0.346979172578124</v>
      </c>
      <c r="AG845" s="3" t="str">
        <f aca="false">IF(ABS(Y845-AD845)&gt;1,"Mismatch","OK")</f>
        <v>Mismatch</v>
      </c>
      <c r="AH845" s="3" t="str">
        <f aca="false">IF(ABS(AA845-AE845)&gt;1,"Mismatch","OK")</f>
        <v>Mismatch</v>
      </c>
      <c r="AI845" s="6" t="n">
        <f aca="false">IF(B845="","",MONTH(B845))</f>
        <v>7</v>
      </c>
      <c r="AJ845" s="6" t="n">
        <f aca="false">IF(B845="","",YEAR(B845))</f>
        <v>2025</v>
      </c>
      <c r="AK845" s="3" t="str">
        <f aca="false">IF(COUNTIF(raw_data!$A$2:$A$913,A845)&gt;1,"Conflicting Duplicate - Flagged for Review","Unique")</f>
        <v>Unique</v>
      </c>
      <c r="AL845" s="3" t="str">
        <f aca="false">IF(AB845="Refunded","Yes","No")</f>
        <v>No</v>
      </c>
      <c r="AM845" s="3" t="str">
        <f aca="false">IF(OR(AC845&lt;&gt;"Completed",AB845="Failed"),"Excluded","Included")</f>
        <v>Included</v>
      </c>
      <c r="AN845" s="3" t="str">
        <f aca="false">IF(OR(D845="Invalid/Unrecognized",E845="Invalid/Unrecognized",G845="Invalid - Ship Before Order",X845="Negative - Invalid",X845="Above Allowed Range - Invalid",AG845="Mismatch",AH845="Mismatch",AK845="Conflicting Duplicate - Flagged for Review"),"Invalid",IF(OR(L845="Filled - Unknown",S845="Filled - Unknown",X845="Missing - Defaulted to 0",AL845="Yes",AC845="Cancelled",AC845="Returned"),"Warning","Clean"))</f>
        <v>Invalid</v>
      </c>
    </row>
    <row r="846" customFormat="false" ht="15" hidden="false" customHeight="false" outlineLevel="0" collapsed="false">
      <c r="A846" s="3" t="str">
        <f aca="false">raw_data!A846</f>
        <v>ORD-2025-10845</v>
      </c>
      <c r="B846" s="4" t="n">
        <f aca="false">IFERROR(IF(MID(raw_data!B846,3,1)="/",DATE(VALUE(RIGHT(raw_data!B846,4)),VALUE(LEFT(raw_data!B846,2)),VALUE(MID(raw_data!B846,4,2))),IF(MID(raw_data!B846,3,1)="-",DATE(VALUE(RIGHT(raw_data!B846,4)),VALUE(MID(raw_data!B846,4,2)),VALUE(LEFT(raw_data!B846,2))),IF(MID(raw_data!B846,5,1)="-",DATE(VALUE(LEFT(raw_data!B846,4)),VALUE(MID(raw_data!B846,6,2)),VALUE(RIGHT(raw_data!B846,2))),DATE(VALUE(RIGHT(raw_data!B846,4)),MATCH(MID(raw_data!B846,4,3),{"Jan","Feb","Mar","Apr","May","Jun","Jul","Aug","Sep","Oct","Nov","Dec"},0),VALUE(LEFT(raw_data!B846,2)))))),"")</f>
        <v>45677</v>
      </c>
      <c r="C846" s="4" t="n">
        <f aca="false">IFERROR(IF(MID(raw_data!C846,3,1)="/",DATE(VALUE(RIGHT(raw_data!C846,4)),VALUE(LEFT(raw_data!C846,2)),VALUE(MID(raw_data!C846,4,2))),IF(MID(raw_data!C846,3,1)="-",DATE(VALUE(RIGHT(raw_data!C846,4)),VALUE(MID(raw_data!C846,4,2)),VALUE(LEFT(raw_data!C846,2))),IF(MID(raw_data!C846,5,1)="-",DATE(VALUE(LEFT(raw_data!C846,4)),VALUE(MID(raw_data!C846,6,2)),VALUE(RIGHT(raw_data!C846,2))),DATE(VALUE(RIGHT(raw_data!C846,4)),MATCH(MID(raw_data!C846,4,3),{"Jan","Feb","Mar","Apr","May","Jun","Jul","Aug","Sep","Oct","Nov","Dec"},0),VALUE(LEFT(raw_data!C846,2)))))),"")</f>
        <v>45682</v>
      </c>
      <c r="D846" s="3" t="str">
        <f aca="false">IF(TRIM(raw_data!B846)="","Missing",IF(B846="","Invalid/Unrecognized","Valid"))</f>
        <v>Valid</v>
      </c>
      <c r="E846" s="3" t="str">
        <f aca="false">IF(TRIM(raw_data!C846)="","Missing",IF(C846="","Invalid/Unrecognized","Valid"))</f>
        <v>Valid</v>
      </c>
      <c r="F846" s="5" t="n">
        <f aca="false">IF(OR(B846="",C846=""),"",C846-B846)</f>
        <v>5</v>
      </c>
      <c r="G846" s="3" t="str">
        <f aca="false">IF(F846="","N/A",IF(F846&lt;0,"Invalid - Ship Before Order","OK"))</f>
        <v>OK</v>
      </c>
      <c r="H846" s="3" t="str">
        <f aca="false">raw_data!D846</f>
        <v>CUST-2086</v>
      </c>
      <c r="I846" s="3" t="str">
        <f aca="false">PROPER(TRIM(raw_data!E846))</f>
        <v>Aditi Sen</v>
      </c>
      <c r="J846" s="3" t="str">
        <f aca="false">PROPER(TRIM(raw_data!F846))</f>
        <v>Home Office</v>
      </c>
      <c r="K846" s="3" t="str">
        <f aca="false">IF(TRIM(raw_data!G846)="","Unknown",PROPER(TRIM(raw_data!G846)))</f>
        <v>West</v>
      </c>
      <c r="L846" s="3" t="str">
        <f aca="false">IF(TRIM(raw_data!G846)="","Filled - Unknown","OK")</f>
        <v>OK</v>
      </c>
      <c r="M846" s="3" t="str">
        <f aca="false">PROPER(TRIM(raw_data!H846))</f>
        <v>Goa</v>
      </c>
      <c r="N846" s="3" t="str">
        <f aca="false">PROPER(TRIM(raw_data!I846))</f>
        <v>Panaji</v>
      </c>
      <c r="O846" s="3" t="str">
        <f aca="false">PROPER(TRIM(raw_data!J846))</f>
        <v>Office Supplies</v>
      </c>
      <c r="P846" s="3" t="str">
        <f aca="false">PROPER(TRIM(raw_data!K846))</f>
        <v>Art</v>
      </c>
      <c r="Q846" s="3" t="str">
        <f aca="false">TRIM(raw_data!L846)</f>
        <v>Pro Art 588</v>
      </c>
      <c r="R846" s="3" t="str">
        <f aca="false">IF(TRIM(raw_data!M846)="","Unknown",PROPER(TRIM(raw_data!M846)))</f>
        <v>First Class</v>
      </c>
      <c r="S846" s="3" t="str">
        <f aca="false">IF(TRIM(raw_data!M846)="","Filled - Unknown","OK")</f>
        <v>OK</v>
      </c>
      <c r="T846" s="6" t="n">
        <f aca="false">raw_data!N846</f>
        <v>1</v>
      </c>
      <c r="U846" s="7" t="n">
        <f aca="false">raw_data!O846</f>
        <v>3515.15</v>
      </c>
      <c r="V846" s="8" t="n">
        <f aca="false">raw_data!P846</f>
        <v>0</v>
      </c>
      <c r="W846" s="8" t="n">
        <f aca="false">IF(raw_data!P846="",0,IF(ISTEXT(raw_data!P846),IF(RIGHT(raw_data!P846,1)="%",VALUE(LEFT(raw_data!P846,LEN(raw_data!P846)-1))/100,VALUE(raw_data!P846)),raw_data!P846))</f>
        <v>0</v>
      </c>
      <c r="X846" s="3" t="str">
        <f aca="false">IF(raw_data!P846="","Missing - Defaulted to 0",IF(W846&lt;0,"Negative - Invalid",IF(W846&gt;0.3,"Above Allowed Range - Invalid","Valid")))</f>
        <v>Valid</v>
      </c>
      <c r="Y846" s="7" t="n">
        <f aca="false">raw_data!Q846</f>
        <v>3515.15</v>
      </c>
      <c r="Z846" s="7" t="n">
        <f aca="false">raw_data!R846</f>
        <v>2216.34</v>
      </c>
      <c r="AA846" s="7" t="n">
        <f aca="false">raw_data!S846</f>
        <v>1298.81</v>
      </c>
      <c r="AB846" s="3" t="str">
        <f aca="false">PROPER(TRIM(raw_data!T846))</f>
        <v>Paid</v>
      </c>
      <c r="AC846" s="3" t="str">
        <f aca="false">PROPER(TRIM(raw_data!U846))</f>
        <v>Completed</v>
      </c>
      <c r="AD846" s="7" t="n">
        <f aca="false">T846*U846*(1-W846)</f>
        <v>3515.15</v>
      </c>
      <c r="AE846" s="7" t="n">
        <f aca="false">AD846-Z846</f>
        <v>1298.81</v>
      </c>
      <c r="AF846" s="8" t="n">
        <f aca="false">IF(AD846=0,0,AE846/AD846)</f>
        <v>0.369489210986729</v>
      </c>
      <c r="AG846" s="3" t="str">
        <f aca="false">IF(ABS(Y846-AD846)&gt;1,"Mismatch","OK")</f>
        <v>OK</v>
      </c>
      <c r="AH846" s="3" t="str">
        <f aca="false">IF(ABS(AA846-AE846)&gt;1,"Mismatch","OK")</f>
        <v>OK</v>
      </c>
      <c r="AI846" s="6" t="n">
        <f aca="false">IF(B846="","",MONTH(B846))</f>
        <v>1</v>
      </c>
      <c r="AJ846" s="6" t="n">
        <f aca="false">IF(B846="","",YEAR(B846))</f>
        <v>2025</v>
      </c>
      <c r="AK846" s="3" t="str">
        <f aca="false">IF(COUNTIF(raw_data!$A$2:$A$913,A846)&gt;1,"Conflicting Duplicate - Flagged for Review","Unique")</f>
        <v>Unique</v>
      </c>
      <c r="AL846" s="3" t="str">
        <f aca="false">IF(AB846="Refunded","Yes","No")</f>
        <v>No</v>
      </c>
      <c r="AM846" s="3" t="str">
        <f aca="false">IF(OR(AC846&lt;&gt;"Completed",AB846="Failed"),"Excluded","Included")</f>
        <v>Included</v>
      </c>
      <c r="AN846" s="3" t="str">
        <f aca="false">IF(OR(D846="Invalid/Unrecognized",E846="Invalid/Unrecognized",G846="Invalid - Ship Before Order",X846="Negative - Invalid",X846="Above Allowed Range - Invalid",AG846="Mismatch",AH846="Mismatch",AK846="Conflicting Duplicate - Flagged for Review"),"Invalid",IF(OR(L846="Filled - Unknown",S846="Filled - Unknown",X846="Missing - Defaulted to 0",AL846="Yes",AC846="Cancelled",AC846="Returned"),"Warning","Clean"))</f>
        <v>Clean</v>
      </c>
    </row>
    <row r="847" customFormat="false" ht="15" hidden="false" customHeight="false" outlineLevel="0" collapsed="false">
      <c r="A847" s="3" t="str">
        <f aca="false">raw_data!A847</f>
        <v>ORD-2024-10846</v>
      </c>
      <c r="B847" s="4" t="n">
        <f aca="false">IFERROR(IF(MID(raw_data!B847,3,1)="/",DATE(VALUE(RIGHT(raw_data!B847,4)),VALUE(LEFT(raw_data!B847,2)),VALUE(MID(raw_data!B847,4,2))),IF(MID(raw_data!B847,3,1)="-",DATE(VALUE(RIGHT(raw_data!B847,4)),VALUE(MID(raw_data!B847,4,2)),VALUE(LEFT(raw_data!B847,2))),IF(MID(raw_data!B847,5,1)="-",DATE(VALUE(LEFT(raw_data!B847,4)),VALUE(MID(raw_data!B847,6,2)),VALUE(RIGHT(raw_data!B847,2))),DATE(VALUE(RIGHT(raw_data!B847,4)),MATCH(MID(raw_data!B847,4,3),{"Jan","Feb","Mar","Apr","May","Jun","Jul","Aug","Sep","Oct","Nov","Dec"},0),VALUE(LEFT(raw_data!B847,2)))))),"")</f>
        <v>45345</v>
      </c>
      <c r="C847" s="4" t="n">
        <f aca="false">IFERROR(IF(MID(raw_data!C847,3,1)="/",DATE(VALUE(RIGHT(raw_data!C847,4)),VALUE(LEFT(raw_data!C847,2)),VALUE(MID(raw_data!C847,4,2))),IF(MID(raw_data!C847,3,1)="-",DATE(VALUE(RIGHT(raw_data!C847,4)),VALUE(MID(raw_data!C847,4,2)),VALUE(LEFT(raw_data!C847,2))),IF(MID(raw_data!C847,5,1)="-",DATE(VALUE(LEFT(raw_data!C847,4)),VALUE(MID(raw_data!C847,6,2)),VALUE(RIGHT(raw_data!C847,2))),DATE(VALUE(RIGHT(raw_data!C847,4)),MATCH(MID(raw_data!C847,4,3),{"Jan","Feb","Mar","Apr","May","Jun","Jul","Aug","Sep","Oct","Nov","Dec"},0),VALUE(LEFT(raw_data!C847,2)))))),"")</f>
        <v>45349</v>
      </c>
      <c r="D847" s="3" t="str">
        <f aca="false">IF(TRIM(raw_data!B847)="","Missing",IF(B847="","Invalid/Unrecognized","Valid"))</f>
        <v>Valid</v>
      </c>
      <c r="E847" s="3" t="str">
        <f aca="false">IF(TRIM(raw_data!C847)="","Missing",IF(C847="","Invalid/Unrecognized","Valid"))</f>
        <v>Valid</v>
      </c>
      <c r="F847" s="5" t="n">
        <f aca="false">IF(OR(B847="",C847=""),"",C847-B847)</f>
        <v>4</v>
      </c>
      <c r="G847" s="3" t="str">
        <f aca="false">IF(F847="","N/A",IF(F847&lt;0,"Invalid - Ship Before Order","OK"))</f>
        <v>OK</v>
      </c>
      <c r="H847" s="3" t="str">
        <f aca="false">raw_data!D847</f>
        <v>CUST-2367</v>
      </c>
      <c r="I847" s="3" t="str">
        <f aca="false">PROPER(TRIM(raw_data!E847))</f>
        <v>Karan Malhotra</v>
      </c>
      <c r="J847" s="3" t="str">
        <f aca="false">PROPER(TRIM(raw_data!F847))</f>
        <v>Consumer</v>
      </c>
      <c r="K847" s="3" t="str">
        <f aca="false">IF(TRIM(raw_data!G847)="","Unknown",PROPER(TRIM(raw_data!G847)))</f>
        <v>East</v>
      </c>
      <c r="L847" s="3" t="str">
        <f aca="false">IF(TRIM(raw_data!G847)="","Filled - Unknown","OK")</f>
        <v>OK</v>
      </c>
      <c r="M847" s="3" t="str">
        <f aca="false">PROPER(TRIM(raw_data!H847))</f>
        <v>Odisha</v>
      </c>
      <c r="N847" s="3" t="str">
        <f aca="false">PROPER(TRIM(raw_data!I847))</f>
        <v>Bhubaneswar</v>
      </c>
      <c r="O847" s="3" t="str">
        <f aca="false">PROPER(TRIM(raw_data!J847))</f>
        <v>Furniture</v>
      </c>
      <c r="P847" s="3" t="str">
        <f aca="false">PROPER(TRIM(raw_data!K847))</f>
        <v>Tables</v>
      </c>
      <c r="Q847" s="3" t="str">
        <f aca="false">TRIM(raw_data!L847)</f>
        <v>Eco Tables 792</v>
      </c>
      <c r="R847" s="3" t="str">
        <f aca="false">IF(TRIM(raw_data!M847)="","Unknown",PROPER(TRIM(raw_data!M847)))</f>
        <v>First Class</v>
      </c>
      <c r="S847" s="3" t="str">
        <f aca="false">IF(TRIM(raw_data!M847)="","Filled - Unknown","OK")</f>
        <v>OK</v>
      </c>
      <c r="T847" s="6" t="n">
        <f aca="false">raw_data!N847</f>
        <v>9</v>
      </c>
      <c r="U847" s="7" t="n">
        <f aca="false">raw_data!O847</f>
        <v>3616.23</v>
      </c>
      <c r="V847" s="8" t="n">
        <f aca="false">raw_data!P847</f>
        <v>0.25</v>
      </c>
      <c r="W847" s="8" t="n">
        <f aca="false">IF(raw_data!P847="",0,IF(ISTEXT(raw_data!P847),IF(RIGHT(raw_data!P847,1)="%",VALUE(LEFT(raw_data!P847,LEN(raw_data!P847)-1))/100,VALUE(raw_data!P847)),raw_data!P847))</f>
        <v>0.25</v>
      </c>
      <c r="X847" s="3" t="str">
        <f aca="false">IF(raw_data!P847="","Missing - Defaulted to 0",IF(W847&lt;0,"Negative - Invalid",IF(W847&gt;0.3,"Above Allowed Range - Invalid","Valid")))</f>
        <v>Valid</v>
      </c>
      <c r="Y847" s="7" t="n">
        <f aca="false">raw_data!Q847</f>
        <v>24409.55</v>
      </c>
      <c r="Z847" s="7" t="n">
        <f aca="false">raw_data!R847</f>
        <v>17157.58</v>
      </c>
      <c r="AA847" s="7" t="n">
        <f aca="false">raw_data!S847</f>
        <v>7251.97</v>
      </c>
      <c r="AB847" s="3" t="str">
        <f aca="false">PROPER(TRIM(raw_data!T847))</f>
        <v>Pending</v>
      </c>
      <c r="AC847" s="3" t="str">
        <f aca="false">PROPER(TRIM(raw_data!U847))</f>
        <v>Returned</v>
      </c>
      <c r="AD847" s="7" t="n">
        <f aca="false">T847*U847*(1-W847)</f>
        <v>24409.5525</v>
      </c>
      <c r="AE847" s="7" t="n">
        <f aca="false">AD847-Z847</f>
        <v>7251.9725</v>
      </c>
      <c r="AF847" s="8" t="n">
        <f aca="false">IF(AD847=0,0,AE847/AD847)</f>
        <v>0.297095675965383</v>
      </c>
      <c r="AG847" s="3" t="str">
        <f aca="false">IF(ABS(Y847-AD847)&gt;1,"Mismatch","OK")</f>
        <v>OK</v>
      </c>
      <c r="AH847" s="3" t="str">
        <f aca="false">IF(ABS(AA847-AE847)&gt;1,"Mismatch","OK")</f>
        <v>OK</v>
      </c>
      <c r="AI847" s="6" t="n">
        <f aca="false">IF(B847="","",MONTH(B847))</f>
        <v>2</v>
      </c>
      <c r="AJ847" s="6" t="n">
        <f aca="false">IF(B847="","",YEAR(B847))</f>
        <v>2024</v>
      </c>
      <c r="AK847" s="3" t="str">
        <f aca="false">IF(COUNTIF(raw_data!$A$2:$A$913,A847)&gt;1,"Conflicting Duplicate - Flagged for Review","Unique")</f>
        <v>Unique</v>
      </c>
      <c r="AL847" s="3" t="str">
        <f aca="false">IF(AB847="Refunded","Yes","No")</f>
        <v>No</v>
      </c>
      <c r="AM847" s="3" t="str">
        <f aca="false">IF(OR(AC847&lt;&gt;"Completed",AB847="Failed"),"Excluded","Included")</f>
        <v>Excluded</v>
      </c>
      <c r="AN847" s="3" t="str">
        <f aca="false">IF(OR(D847="Invalid/Unrecognized",E847="Invalid/Unrecognized",G847="Invalid - Ship Before Order",X847="Negative - Invalid",X847="Above Allowed Range - Invalid",AG847="Mismatch",AH847="Mismatch",AK847="Conflicting Duplicate - Flagged for Review"),"Invalid",IF(OR(L847="Filled - Unknown",S847="Filled - Unknown",X847="Missing - Defaulted to 0",AL847="Yes",AC847="Cancelled",AC847="Returned"),"Warning","Clean"))</f>
        <v>Warning</v>
      </c>
    </row>
    <row r="848" customFormat="false" ht="15" hidden="false" customHeight="false" outlineLevel="0" collapsed="false">
      <c r="A848" s="3" t="str">
        <f aca="false">raw_data!A848</f>
        <v>ORD-2024-10847</v>
      </c>
      <c r="B848" s="4" t="n">
        <f aca="false">IFERROR(IF(MID(raw_data!B848,3,1)="/",DATE(VALUE(RIGHT(raw_data!B848,4)),VALUE(LEFT(raw_data!B848,2)),VALUE(MID(raw_data!B848,4,2))),IF(MID(raw_data!B848,3,1)="-",DATE(VALUE(RIGHT(raw_data!B848,4)),VALUE(MID(raw_data!B848,4,2)),VALUE(LEFT(raw_data!B848,2))),IF(MID(raw_data!B848,5,1)="-",DATE(VALUE(LEFT(raw_data!B848,4)),VALUE(MID(raw_data!B848,6,2)),VALUE(RIGHT(raw_data!B848,2))),DATE(VALUE(RIGHT(raw_data!B848,4)),MATCH(MID(raw_data!B848,4,3),{"Jan","Feb","Mar","Apr","May","Jun","Jul","Aug","Sep","Oct","Nov","Dec"},0),VALUE(LEFT(raw_data!B848,2)))))),"")</f>
        <v>45396</v>
      </c>
      <c r="C848" s="4" t="n">
        <f aca="false">IFERROR(IF(MID(raw_data!C848,3,1)="/",DATE(VALUE(RIGHT(raw_data!C848,4)),VALUE(LEFT(raw_data!C848,2)),VALUE(MID(raw_data!C848,4,2))),IF(MID(raw_data!C848,3,1)="-",DATE(VALUE(RIGHT(raw_data!C848,4)),VALUE(MID(raw_data!C848,4,2)),VALUE(LEFT(raw_data!C848,2))),IF(MID(raw_data!C848,5,1)="-",DATE(VALUE(LEFT(raw_data!C848,4)),VALUE(MID(raw_data!C848,6,2)),VALUE(RIGHT(raw_data!C848,2))),DATE(VALUE(RIGHT(raw_data!C848,4)),MATCH(MID(raw_data!C848,4,3),{"Jan","Feb","Mar","Apr","May","Jun","Jul","Aug","Sep","Oct","Nov","Dec"},0),VALUE(LEFT(raw_data!C848,2)))))),"")</f>
        <v>45404</v>
      </c>
      <c r="D848" s="3" t="str">
        <f aca="false">IF(TRIM(raw_data!B848)="","Missing",IF(B848="","Invalid/Unrecognized","Valid"))</f>
        <v>Valid</v>
      </c>
      <c r="E848" s="3" t="str">
        <f aca="false">IF(TRIM(raw_data!C848)="","Missing",IF(C848="","Invalid/Unrecognized","Valid"))</f>
        <v>Valid</v>
      </c>
      <c r="F848" s="5" t="n">
        <f aca="false">IF(OR(B848="",C848=""),"",C848-B848)</f>
        <v>8</v>
      </c>
      <c r="G848" s="3" t="str">
        <f aca="false">IF(F848="","N/A",IF(F848&lt;0,"Invalid - Ship Before Order","OK"))</f>
        <v>OK</v>
      </c>
      <c r="H848" s="3" t="str">
        <f aca="false">raw_data!D848</f>
        <v>CUST-6522</v>
      </c>
      <c r="I848" s="3" t="str">
        <f aca="false">PROPER(TRIM(raw_data!E848))</f>
        <v>Priya Menon</v>
      </c>
      <c r="J848" s="3" t="str">
        <f aca="false">PROPER(TRIM(raw_data!F848))</f>
        <v>Small Business</v>
      </c>
      <c r="K848" s="3" t="str">
        <f aca="false">IF(TRIM(raw_data!G848)="","Unknown",PROPER(TRIM(raw_data!G848)))</f>
        <v>West</v>
      </c>
      <c r="L848" s="3" t="str">
        <f aca="false">IF(TRIM(raw_data!G848)="","Filled - Unknown","OK")</f>
        <v>OK</v>
      </c>
      <c r="M848" s="3" t="str">
        <f aca="false">PROPER(TRIM(raw_data!H848))</f>
        <v>Gujarat</v>
      </c>
      <c r="N848" s="3" t="str">
        <f aca="false">PROPER(TRIM(raw_data!I848))</f>
        <v>Ahmedabad</v>
      </c>
      <c r="O848" s="3" t="str">
        <f aca="false">PROPER(TRIM(raw_data!J848))</f>
        <v>Furniture</v>
      </c>
      <c r="P848" s="3" t="str">
        <f aca="false">PROPER(TRIM(raw_data!K848))</f>
        <v>Bookcases</v>
      </c>
      <c r="Q848" s="3" t="str">
        <f aca="false">TRIM(raw_data!L848)</f>
        <v>Prime Bookcases 177</v>
      </c>
      <c r="R848" s="3" t="str">
        <f aca="false">IF(TRIM(raw_data!M848)="","Unknown",PROPER(TRIM(raw_data!M848)))</f>
        <v>Standard Class</v>
      </c>
      <c r="S848" s="3" t="str">
        <f aca="false">IF(TRIM(raw_data!M848)="","Filled - Unknown","OK")</f>
        <v>OK</v>
      </c>
      <c r="T848" s="6" t="n">
        <f aca="false">raw_data!N848</f>
        <v>2</v>
      </c>
      <c r="U848" s="7" t="n">
        <f aca="false">raw_data!O848</f>
        <v>3977.52</v>
      </c>
      <c r="V848" s="8" t="n">
        <f aca="false">raw_data!P848</f>
        <v>0</v>
      </c>
      <c r="W848" s="8" t="n">
        <f aca="false">IF(raw_data!P848="",0,IF(ISTEXT(raw_data!P848),IF(RIGHT(raw_data!P848,1)="%",VALUE(LEFT(raw_data!P848,LEN(raw_data!P848)-1))/100,VALUE(raw_data!P848)),raw_data!P848))</f>
        <v>0</v>
      </c>
      <c r="X848" s="3" t="str">
        <f aca="false">IF(raw_data!P848="","Missing - Defaulted to 0",IF(W848&lt;0,"Negative - Invalid",IF(W848&gt;0.3,"Above Allowed Range - Invalid","Valid")))</f>
        <v>Valid</v>
      </c>
      <c r="Y848" s="7" t="n">
        <f aca="false">raw_data!Q848</f>
        <v>7955.04</v>
      </c>
      <c r="Z848" s="7" t="n">
        <f aca="false">raw_data!R848</f>
        <v>5580.68</v>
      </c>
      <c r="AA848" s="7" t="n">
        <f aca="false">raw_data!S848</f>
        <v>2374.36</v>
      </c>
      <c r="AB848" s="3" t="str">
        <f aca="false">PROPER(TRIM(raw_data!T848))</f>
        <v>Pending</v>
      </c>
      <c r="AC848" s="3" t="str">
        <f aca="false">PROPER(TRIM(raw_data!U848))</f>
        <v>Returned</v>
      </c>
      <c r="AD848" s="7" t="n">
        <f aca="false">T848*U848*(1-W848)</f>
        <v>7955.04</v>
      </c>
      <c r="AE848" s="7" t="n">
        <f aca="false">AD848-Z848</f>
        <v>2374.36</v>
      </c>
      <c r="AF848" s="8" t="n">
        <f aca="false">IF(AD848=0,0,AE848/AD848)</f>
        <v>0.298472414972143</v>
      </c>
      <c r="AG848" s="3" t="str">
        <f aca="false">IF(ABS(Y848-AD848)&gt;1,"Mismatch","OK")</f>
        <v>OK</v>
      </c>
      <c r="AH848" s="3" t="str">
        <f aca="false">IF(ABS(AA848-AE848)&gt;1,"Mismatch","OK")</f>
        <v>OK</v>
      </c>
      <c r="AI848" s="6" t="n">
        <f aca="false">IF(B848="","",MONTH(B848))</f>
        <v>4</v>
      </c>
      <c r="AJ848" s="6" t="n">
        <f aca="false">IF(B848="","",YEAR(B848))</f>
        <v>2024</v>
      </c>
      <c r="AK848" s="3" t="str">
        <f aca="false">IF(COUNTIF(raw_data!$A$2:$A$913,A848)&gt;1,"Conflicting Duplicate - Flagged for Review","Unique")</f>
        <v>Unique</v>
      </c>
      <c r="AL848" s="3" t="str">
        <f aca="false">IF(AB848="Refunded","Yes","No")</f>
        <v>No</v>
      </c>
      <c r="AM848" s="3" t="str">
        <f aca="false">IF(OR(AC848&lt;&gt;"Completed",AB848="Failed"),"Excluded","Included")</f>
        <v>Excluded</v>
      </c>
      <c r="AN848" s="3" t="str">
        <f aca="false">IF(OR(D848="Invalid/Unrecognized",E848="Invalid/Unrecognized",G848="Invalid - Ship Before Order",X848="Negative - Invalid",X848="Above Allowed Range - Invalid",AG848="Mismatch",AH848="Mismatch",AK848="Conflicting Duplicate - Flagged for Review"),"Invalid",IF(OR(L848="Filled - Unknown",S848="Filled - Unknown",X848="Missing - Defaulted to 0",AL848="Yes",AC848="Cancelled",AC848="Returned"),"Warning","Clean"))</f>
        <v>Warning</v>
      </c>
    </row>
    <row r="849" customFormat="false" ht="15" hidden="false" customHeight="false" outlineLevel="0" collapsed="false">
      <c r="A849" s="3" t="str">
        <f aca="false">raw_data!A849</f>
        <v>ORD-2025-10848</v>
      </c>
      <c r="B849" s="4" t="n">
        <f aca="false">IFERROR(IF(MID(raw_data!B849,3,1)="/",DATE(VALUE(RIGHT(raw_data!B849,4)),VALUE(LEFT(raw_data!B849,2)),VALUE(MID(raw_data!B849,4,2))),IF(MID(raw_data!B849,3,1)="-",DATE(VALUE(RIGHT(raw_data!B849,4)),VALUE(MID(raw_data!B849,4,2)),VALUE(LEFT(raw_data!B849,2))),IF(MID(raw_data!B849,5,1)="-",DATE(VALUE(LEFT(raw_data!B849,4)),VALUE(MID(raw_data!B849,6,2)),VALUE(RIGHT(raw_data!B849,2))),DATE(VALUE(RIGHT(raw_data!B849,4)),MATCH(MID(raw_data!B849,4,3),{"Jan","Feb","Mar","Apr","May","Jun","Jul","Aug","Sep","Oct","Nov","Dec"},0),VALUE(LEFT(raw_data!B849,2)))))),"")</f>
        <v>45797</v>
      </c>
      <c r="C849" s="4" t="n">
        <f aca="false">IFERROR(IF(MID(raw_data!C849,3,1)="/",DATE(VALUE(RIGHT(raw_data!C849,4)),VALUE(LEFT(raw_data!C849,2)),VALUE(MID(raw_data!C849,4,2))),IF(MID(raw_data!C849,3,1)="-",DATE(VALUE(RIGHT(raw_data!C849,4)),VALUE(MID(raw_data!C849,4,2)),VALUE(LEFT(raw_data!C849,2))),IF(MID(raw_data!C849,5,1)="-",DATE(VALUE(LEFT(raw_data!C849,4)),VALUE(MID(raw_data!C849,6,2)),VALUE(RIGHT(raw_data!C849,2))),DATE(VALUE(RIGHT(raw_data!C849,4)),MATCH(MID(raw_data!C849,4,3),{"Jan","Feb","Mar","Apr","May","Jun","Jul","Aug","Sep","Oct","Nov","Dec"},0),VALUE(LEFT(raw_data!C849,2)))))),"")</f>
        <v>45799</v>
      </c>
      <c r="D849" s="3" t="str">
        <f aca="false">IF(TRIM(raw_data!B849)="","Missing",IF(B849="","Invalid/Unrecognized","Valid"))</f>
        <v>Valid</v>
      </c>
      <c r="E849" s="3" t="str">
        <f aca="false">IF(TRIM(raw_data!C849)="","Missing",IF(C849="","Invalid/Unrecognized","Valid"))</f>
        <v>Valid</v>
      </c>
      <c r="F849" s="5" t="n">
        <f aca="false">IF(OR(B849="",C849=""),"",C849-B849)</f>
        <v>2</v>
      </c>
      <c r="G849" s="3" t="str">
        <f aca="false">IF(F849="","N/A",IF(F849&lt;0,"Invalid - Ship Before Order","OK"))</f>
        <v>OK</v>
      </c>
      <c r="H849" s="3" t="str">
        <f aca="false">raw_data!D849</f>
        <v>CUST-8329</v>
      </c>
      <c r="I849" s="3" t="str">
        <f aca="false">PROPER(TRIM(raw_data!E849))</f>
        <v>Diya Patel</v>
      </c>
      <c r="J849" s="3" t="str">
        <f aca="false">PROPER(TRIM(raw_data!F849))</f>
        <v>Home Office</v>
      </c>
      <c r="K849" s="3" t="str">
        <f aca="false">IF(TRIM(raw_data!G849)="","Unknown",PROPER(TRIM(raw_data!G849)))</f>
        <v>East</v>
      </c>
      <c r="L849" s="3" t="str">
        <f aca="false">IF(TRIM(raw_data!G849)="","Filled - Unknown","OK")</f>
        <v>OK</v>
      </c>
      <c r="M849" s="3" t="str">
        <f aca="false">PROPER(TRIM(raw_data!H849))</f>
        <v>Odisha</v>
      </c>
      <c r="N849" s="3" t="str">
        <f aca="false">PROPER(TRIM(raw_data!I849))</f>
        <v>Bhubaneswar</v>
      </c>
      <c r="O849" s="3" t="str">
        <f aca="false">PROPER(TRIM(raw_data!J849))</f>
        <v>Furniture</v>
      </c>
      <c r="P849" s="3" t="str">
        <f aca="false">PROPER(TRIM(raw_data!K849))</f>
        <v>Tables</v>
      </c>
      <c r="Q849" s="3" t="str">
        <f aca="false">TRIM(raw_data!L849)</f>
        <v>Pro Tables 828</v>
      </c>
      <c r="R849" s="3" t="str">
        <f aca="false">IF(TRIM(raw_data!M849)="","Unknown",PROPER(TRIM(raw_data!M849)))</f>
        <v>Second Class</v>
      </c>
      <c r="S849" s="3" t="str">
        <f aca="false">IF(TRIM(raw_data!M849)="","Filled - Unknown","OK")</f>
        <v>OK</v>
      </c>
      <c r="T849" s="6" t="n">
        <f aca="false">raw_data!N849</f>
        <v>2</v>
      </c>
      <c r="U849" s="7" t="n">
        <f aca="false">raw_data!O849</f>
        <v>210.08</v>
      </c>
      <c r="V849" s="8" t="n">
        <f aca="false">raw_data!P849</f>
        <v>0.2</v>
      </c>
      <c r="W849" s="8" t="n">
        <f aca="false">IF(raw_data!P849="",0,IF(ISTEXT(raw_data!P849),IF(RIGHT(raw_data!P849,1)="%",VALUE(LEFT(raw_data!P849,LEN(raw_data!P849)-1))/100,VALUE(raw_data!P849)),raw_data!P849))</f>
        <v>0.2</v>
      </c>
      <c r="X849" s="3" t="str">
        <f aca="false">IF(raw_data!P849="","Missing - Defaulted to 0",IF(W849&lt;0,"Negative - Invalid",IF(W849&gt;0.3,"Above Allowed Range - Invalid","Valid")))</f>
        <v>Valid</v>
      </c>
      <c r="Y849" s="7" t="n">
        <f aca="false">raw_data!Q849</f>
        <v>336.13</v>
      </c>
      <c r="Z849" s="7" t="n">
        <f aca="false">raw_data!R849</f>
        <v>242.19</v>
      </c>
      <c r="AA849" s="7" t="n">
        <f aca="false">raw_data!S849</f>
        <v>93.94</v>
      </c>
      <c r="AB849" s="3" t="str">
        <f aca="false">PROPER(TRIM(raw_data!T849))</f>
        <v>Paid</v>
      </c>
      <c r="AC849" s="3" t="str">
        <f aca="false">PROPER(TRIM(raw_data!U849))</f>
        <v>Completed</v>
      </c>
      <c r="AD849" s="7" t="n">
        <f aca="false">T849*U849*(1-W849)</f>
        <v>336.128</v>
      </c>
      <c r="AE849" s="7" t="n">
        <f aca="false">AD849-Z849</f>
        <v>93.9380000000001</v>
      </c>
      <c r="AF849" s="8" t="n">
        <f aca="false">IF(AD849=0,0,AE849/AD849)</f>
        <v>0.279470915841584</v>
      </c>
      <c r="AG849" s="3" t="str">
        <f aca="false">IF(ABS(Y849-AD849)&gt;1,"Mismatch","OK")</f>
        <v>OK</v>
      </c>
      <c r="AH849" s="3" t="str">
        <f aca="false">IF(ABS(AA849-AE849)&gt;1,"Mismatch","OK")</f>
        <v>OK</v>
      </c>
      <c r="AI849" s="6" t="n">
        <f aca="false">IF(B849="","",MONTH(B849))</f>
        <v>5</v>
      </c>
      <c r="AJ849" s="6" t="n">
        <f aca="false">IF(B849="","",YEAR(B849))</f>
        <v>2025</v>
      </c>
      <c r="AK849" s="3" t="str">
        <f aca="false">IF(COUNTIF(raw_data!$A$2:$A$913,A849)&gt;1,"Conflicting Duplicate - Flagged for Review","Unique")</f>
        <v>Unique</v>
      </c>
      <c r="AL849" s="3" t="str">
        <f aca="false">IF(AB849="Refunded","Yes","No")</f>
        <v>No</v>
      </c>
      <c r="AM849" s="3" t="str">
        <f aca="false">IF(OR(AC849&lt;&gt;"Completed",AB849="Failed"),"Excluded","Included")</f>
        <v>Included</v>
      </c>
      <c r="AN849" s="3" t="str">
        <f aca="false">IF(OR(D849="Invalid/Unrecognized",E849="Invalid/Unrecognized",G849="Invalid - Ship Before Order",X849="Negative - Invalid",X849="Above Allowed Range - Invalid",AG849="Mismatch",AH849="Mismatch",AK849="Conflicting Duplicate - Flagged for Review"),"Invalid",IF(OR(L849="Filled - Unknown",S849="Filled - Unknown",X849="Missing - Defaulted to 0",AL849="Yes",AC849="Cancelled",AC849="Returned"),"Warning","Clean"))</f>
        <v>Clean</v>
      </c>
    </row>
    <row r="850" customFormat="false" ht="15" hidden="false" customHeight="false" outlineLevel="0" collapsed="false">
      <c r="A850" s="3" t="str">
        <f aca="false">raw_data!A850</f>
        <v>ORD-2025-10849</v>
      </c>
      <c r="B850" s="4" t="n">
        <f aca="false">IFERROR(IF(MID(raw_data!B850,3,1)="/",DATE(VALUE(RIGHT(raw_data!B850,4)),VALUE(LEFT(raw_data!B850,2)),VALUE(MID(raw_data!B850,4,2))),IF(MID(raw_data!B850,3,1)="-",DATE(VALUE(RIGHT(raw_data!B850,4)),VALUE(MID(raw_data!B850,4,2)),VALUE(LEFT(raw_data!B850,2))),IF(MID(raw_data!B850,5,1)="-",DATE(VALUE(LEFT(raw_data!B850,4)),VALUE(MID(raw_data!B850,6,2)),VALUE(RIGHT(raw_data!B850,2))),DATE(VALUE(RIGHT(raw_data!B850,4)),MATCH(MID(raw_data!B850,4,3),{"Jan","Feb","Mar","Apr","May","Jun","Jul","Aug","Sep","Oct","Nov","Dec"},0),VALUE(LEFT(raw_data!B850,2)))))),"")</f>
        <v>45804</v>
      </c>
      <c r="C850" s="4" t="n">
        <f aca="false">IFERROR(IF(MID(raw_data!C850,3,1)="/",DATE(VALUE(RIGHT(raw_data!C850,4)),VALUE(LEFT(raw_data!C850,2)),VALUE(MID(raw_data!C850,4,2))),IF(MID(raw_data!C850,3,1)="-",DATE(VALUE(RIGHT(raw_data!C850,4)),VALUE(MID(raw_data!C850,4,2)),VALUE(LEFT(raw_data!C850,2))),IF(MID(raw_data!C850,5,1)="-",DATE(VALUE(LEFT(raw_data!C850,4)),VALUE(MID(raw_data!C850,6,2)),VALUE(RIGHT(raw_data!C850,2))),DATE(VALUE(RIGHT(raw_data!C850,4)),MATCH(MID(raw_data!C850,4,3),{"Jan","Feb","Mar","Apr","May","Jun","Jul","Aug","Sep","Oct","Nov","Dec"},0),VALUE(LEFT(raw_data!C850,2)))))),"")</f>
        <v>45806</v>
      </c>
      <c r="D850" s="3" t="str">
        <f aca="false">IF(TRIM(raw_data!B850)="","Missing",IF(B850="","Invalid/Unrecognized","Valid"))</f>
        <v>Valid</v>
      </c>
      <c r="E850" s="3" t="str">
        <f aca="false">IF(TRIM(raw_data!C850)="","Missing",IF(C850="","Invalid/Unrecognized","Valid"))</f>
        <v>Valid</v>
      </c>
      <c r="F850" s="5" t="n">
        <f aca="false">IF(OR(B850="",C850=""),"",C850-B850)</f>
        <v>2</v>
      </c>
      <c r="G850" s="3" t="str">
        <f aca="false">IF(F850="","N/A",IF(F850&lt;0,"Invalid - Ship Before Order","OK"))</f>
        <v>OK</v>
      </c>
      <c r="H850" s="3" t="str">
        <f aca="false">raw_data!D850</f>
        <v>CUST-4426</v>
      </c>
      <c r="I850" s="3" t="str">
        <f aca="false">PROPER(TRIM(raw_data!E850))</f>
        <v>Rahul Verma</v>
      </c>
      <c r="J850" s="3" t="str">
        <f aca="false">PROPER(TRIM(raw_data!F850))</f>
        <v>Home Office</v>
      </c>
      <c r="K850" s="3" t="str">
        <f aca="false">IF(TRIM(raw_data!G850)="","Unknown",PROPER(TRIM(raw_data!G850)))</f>
        <v>South</v>
      </c>
      <c r="L850" s="3" t="str">
        <f aca="false">IF(TRIM(raw_data!G850)="","Filled - Unknown","OK")</f>
        <v>OK</v>
      </c>
      <c r="M850" s="3" t="str">
        <f aca="false">PROPER(TRIM(raw_data!H850))</f>
        <v>Tamil Nadu</v>
      </c>
      <c r="N850" s="3" t="str">
        <f aca="false">PROPER(TRIM(raw_data!I850))</f>
        <v>Chennai</v>
      </c>
      <c r="O850" s="3" t="str">
        <f aca="false">PROPER(TRIM(raw_data!J850))</f>
        <v>Furniture</v>
      </c>
      <c r="P850" s="3" t="str">
        <f aca="false">PROPER(TRIM(raw_data!K850))</f>
        <v>Furnishings</v>
      </c>
      <c r="Q850" s="3" t="str">
        <f aca="false">TRIM(raw_data!L850)</f>
        <v>Elite Furnishings 480</v>
      </c>
      <c r="R850" s="3" t="str">
        <f aca="false">IF(TRIM(raw_data!M850)="","Unknown",PROPER(TRIM(raw_data!M850)))</f>
        <v>Second Class</v>
      </c>
      <c r="S850" s="3" t="str">
        <f aca="false">IF(TRIM(raw_data!M850)="","Filled - Unknown","OK")</f>
        <v>OK</v>
      </c>
      <c r="T850" s="6" t="n">
        <f aca="false">raw_data!N850</f>
        <v>1</v>
      </c>
      <c r="U850" s="7" t="n">
        <f aca="false">raw_data!O850</f>
        <v>1744.35</v>
      </c>
      <c r="V850" s="8" t="n">
        <f aca="false">raw_data!P850</f>
        <v>0.25</v>
      </c>
      <c r="W850" s="8" t="n">
        <f aca="false">IF(raw_data!P850="",0,IF(ISTEXT(raw_data!P850),IF(RIGHT(raw_data!P850,1)="%",VALUE(LEFT(raw_data!P850,LEN(raw_data!P850)-1))/100,VALUE(raw_data!P850)),raw_data!P850))</f>
        <v>0.25</v>
      </c>
      <c r="X850" s="3" t="str">
        <f aca="false">IF(raw_data!P850="","Missing - Defaulted to 0",IF(W850&lt;0,"Negative - Invalid",IF(W850&gt;0.3,"Above Allowed Range - Invalid","Valid")))</f>
        <v>Valid</v>
      </c>
      <c r="Y850" s="7" t="n">
        <f aca="false">raw_data!Q850</f>
        <v>1308.26</v>
      </c>
      <c r="Z850" s="7" t="n">
        <f aca="false">raw_data!R850</f>
        <v>1083.56</v>
      </c>
      <c r="AA850" s="7" t="n">
        <f aca="false">raw_data!S850</f>
        <v>224.7</v>
      </c>
      <c r="AB850" s="3" t="str">
        <f aca="false">PROPER(TRIM(raw_data!T850))</f>
        <v>Paid</v>
      </c>
      <c r="AC850" s="3" t="str">
        <f aca="false">PROPER(TRIM(raw_data!U850))</f>
        <v>Completed</v>
      </c>
      <c r="AD850" s="7" t="n">
        <f aca="false">T850*U850*(1-W850)</f>
        <v>1308.2625</v>
      </c>
      <c r="AE850" s="7" t="n">
        <f aca="false">AD850-Z850</f>
        <v>224.7025</v>
      </c>
      <c r="AF850" s="8" t="n">
        <f aca="false">IF(AD850=0,0,AE850/AD850)</f>
        <v>0.171756432673106</v>
      </c>
      <c r="AG850" s="3" t="str">
        <f aca="false">IF(ABS(Y850-AD850)&gt;1,"Mismatch","OK")</f>
        <v>OK</v>
      </c>
      <c r="AH850" s="3" t="str">
        <f aca="false">IF(ABS(AA850-AE850)&gt;1,"Mismatch","OK")</f>
        <v>OK</v>
      </c>
      <c r="AI850" s="6" t="n">
        <f aca="false">IF(B850="","",MONTH(B850))</f>
        <v>5</v>
      </c>
      <c r="AJ850" s="6" t="n">
        <f aca="false">IF(B850="","",YEAR(B850))</f>
        <v>2025</v>
      </c>
      <c r="AK850" s="3" t="str">
        <f aca="false">IF(COUNTIF(raw_data!$A$2:$A$913,A850)&gt;1,"Conflicting Duplicate - Flagged for Review","Unique")</f>
        <v>Unique</v>
      </c>
      <c r="AL850" s="3" t="str">
        <f aca="false">IF(AB850="Refunded","Yes","No")</f>
        <v>No</v>
      </c>
      <c r="AM850" s="3" t="str">
        <f aca="false">IF(OR(AC850&lt;&gt;"Completed",AB850="Failed"),"Excluded","Included")</f>
        <v>Included</v>
      </c>
      <c r="AN850" s="3" t="str">
        <f aca="false">IF(OR(D850="Invalid/Unrecognized",E850="Invalid/Unrecognized",G850="Invalid - Ship Before Order",X850="Negative - Invalid",X850="Above Allowed Range - Invalid",AG850="Mismatch",AH850="Mismatch",AK850="Conflicting Duplicate - Flagged for Review"),"Invalid",IF(OR(L850="Filled - Unknown",S850="Filled - Unknown",X850="Missing - Defaulted to 0",AL850="Yes",AC850="Cancelled",AC850="Returned"),"Warning","Clean"))</f>
        <v>Clean</v>
      </c>
    </row>
    <row r="851" customFormat="false" ht="15" hidden="false" customHeight="false" outlineLevel="0" collapsed="false">
      <c r="A851" s="3" t="str">
        <f aca="false">raw_data!A851</f>
        <v>ORD-2024-10850</v>
      </c>
      <c r="B851" s="4" t="n">
        <f aca="false">IFERROR(IF(MID(raw_data!B851,3,1)="/",DATE(VALUE(RIGHT(raw_data!B851,4)),VALUE(LEFT(raw_data!B851,2)),VALUE(MID(raw_data!B851,4,2))),IF(MID(raw_data!B851,3,1)="-",DATE(VALUE(RIGHT(raw_data!B851,4)),VALUE(MID(raw_data!B851,4,2)),VALUE(LEFT(raw_data!B851,2))),IF(MID(raw_data!B851,5,1)="-",DATE(VALUE(LEFT(raw_data!B851,4)),VALUE(MID(raw_data!B851,6,2)),VALUE(RIGHT(raw_data!B851,2))),DATE(VALUE(RIGHT(raw_data!B851,4)),MATCH(MID(raw_data!B851,4,3),{"Jan","Feb","Mar","Apr","May","Jun","Jul","Aug","Sep","Oct","Nov","Dec"},0),VALUE(LEFT(raw_data!B851,2)))))),"")</f>
        <v>45357</v>
      </c>
      <c r="C851" s="4" t="n">
        <f aca="false">IFERROR(IF(MID(raw_data!C851,3,1)="/",DATE(VALUE(RIGHT(raw_data!C851,4)),VALUE(LEFT(raw_data!C851,2)),VALUE(MID(raw_data!C851,4,2))),IF(MID(raw_data!C851,3,1)="-",DATE(VALUE(RIGHT(raw_data!C851,4)),VALUE(MID(raw_data!C851,4,2)),VALUE(LEFT(raw_data!C851,2))),IF(MID(raw_data!C851,5,1)="-",DATE(VALUE(LEFT(raw_data!C851,4)),VALUE(MID(raw_data!C851,6,2)),VALUE(RIGHT(raw_data!C851,2))),DATE(VALUE(RIGHT(raw_data!C851,4)),MATCH(MID(raw_data!C851,4,3),{"Jan","Feb","Mar","Apr","May","Jun","Jul","Aug","Sep","Oct","Nov","Dec"},0),VALUE(LEFT(raw_data!C851,2)))))),"")</f>
        <v>45363</v>
      </c>
      <c r="D851" s="3" t="str">
        <f aca="false">IF(TRIM(raw_data!B851)="","Missing",IF(B851="","Invalid/Unrecognized","Valid"))</f>
        <v>Valid</v>
      </c>
      <c r="E851" s="3" t="str">
        <f aca="false">IF(TRIM(raw_data!C851)="","Missing",IF(C851="","Invalid/Unrecognized","Valid"))</f>
        <v>Valid</v>
      </c>
      <c r="F851" s="5" t="n">
        <f aca="false">IF(OR(B851="",C851=""),"",C851-B851)</f>
        <v>6</v>
      </c>
      <c r="G851" s="3" t="str">
        <f aca="false">IF(F851="","N/A",IF(F851&lt;0,"Invalid - Ship Before Order","OK"))</f>
        <v>OK</v>
      </c>
      <c r="H851" s="3" t="str">
        <f aca="false">raw_data!D851</f>
        <v>CUST-3360</v>
      </c>
      <c r="I851" s="3" t="str">
        <f aca="false">PROPER(TRIM(raw_data!E851))</f>
        <v>Isha Nair</v>
      </c>
      <c r="J851" s="3" t="str">
        <f aca="false">PROPER(TRIM(raw_data!F851))</f>
        <v>Home Office</v>
      </c>
      <c r="K851" s="3" t="str">
        <f aca="false">IF(TRIM(raw_data!G851)="","Unknown",PROPER(TRIM(raw_data!G851)))</f>
        <v>West</v>
      </c>
      <c r="L851" s="3" t="str">
        <f aca="false">IF(TRIM(raw_data!G851)="","Filled - Unknown","OK")</f>
        <v>OK</v>
      </c>
      <c r="M851" s="3" t="str">
        <f aca="false">PROPER(TRIM(raw_data!H851))</f>
        <v>Gujarat</v>
      </c>
      <c r="N851" s="3" t="str">
        <f aca="false">PROPER(TRIM(raw_data!I851))</f>
        <v>Ahmedabad</v>
      </c>
      <c r="O851" s="3" t="str">
        <f aca="false">PROPER(TRIM(raw_data!J851))</f>
        <v>Furniture</v>
      </c>
      <c r="P851" s="3" t="str">
        <f aca="false">PROPER(TRIM(raw_data!K851))</f>
        <v>Bookcases</v>
      </c>
      <c r="Q851" s="3" t="str">
        <f aca="false">TRIM(raw_data!L851)</f>
        <v>Prime Bookcases 755</v>
      </c>
      <c r="R851" s="3" t="str">
        <f aca="false">IF(TRIM(raw_data!M851)="","Unknown",PROPER(TRIM(raw_data!M851)))</f>
        <v>Standard Class</v>
      </c>
      <c r="S851" s="3" t="str">
        <f aca="false">IF(TRIM(raw_data!M851)="","Filled - Unknown","OK")</f>
        <v>OK</v>
      </c>
      <c r="T851" s="6" t="n">
        <f aca="false">raw_data!N851</f>
        <v>3</v>
      </c>
      <c r="U851" s="7" t="n">
        <f aca="false">raw_data!O851</f>
        <v>679.63</v>
      </c>
      <c r="V851" s="8" t="n">
        <f aca="false">raw_data!P851</f>
        <v>0.2</v>
      </c>
      <c r="W851" s="8" t="n">
        <f aca="false">IF(raw_data!P851="",0,IF(ISTEXT(raw_data!P851),IF(RIGHT(raw_data!P851,1)="%",VALUE(LEFT(raw_data!P851,LEN(raw_data!P851)-1))/100,VALUE(raw_data!P851)),raw_data!P851))</f>
        <v>0.2</v>
      </c>
      <c r="X851" s="3" t="str">
        <f aca="false">IF(raw_data!P851="","Missing - Defaulted to 0",IF(W851&lt;0,"Negative - Invalid",IF(W851&gt;0.3,"Above Allowed Range - Invalid","Valid")))</f>
        <v>Valid</v>
      </c>
      <c r="Y851" s="7" t="n">
        <f aca="false">raw_data!Q851</f>
        <v>1631.11</v>
      </c>
      <c r="Z851" s="7" t="n">
        <f aca="false">raw_data!R851</f>
        <v>898.73</v>
      </c>
      <c r="AA851" s="7" t="n">
        <f aca="false">raw_data!S851</f>
        <v>396.58</v>
      </c>
      <c r="AB851" s="3" t="str">
        <f aca="false">PROPER(TRIM(raw_data!T851))</f>
        <v>Paid</v>
      </c>
      <c r="AC851" s="3" t="str">
        <f aca="false">PROPER(TRIM(raw_data!U851))</f>
        <v>Completed</v>
      </c>
      <c r="AD851" s="7" t="n">
        <f aca="false">T851*U851*(1-W851)</f>
        <v>1631.112</v>
      </c>
      <c r="AE851" s="7" t="n">
        <f aca="false">AD851-Z851</f>
        <v>732.382</v>
      </c>
      <c r="AF851" s="8" t="n">
        <f aca="false">IF(AD851=0,0,AE851/AD851)</f>
        <v>0.449007793456243</v>
      </c>
      <c r="AG851" s="3" t="str">
        <f aca="false">IF(ABS(Y851-AD851)&gt;1,"Mismatch","OK")</f>
        <v>OK</v>
      </c>
      <c r="AH851" s="3" t="str">
        <f aca="false">IF(ABS(AA851-AE851)&gt;1,"Mismatch","OK")</f>
        <v>Mismatch</v>
      </c>
      <c r="AI851" s="6" t="n">
        <f aca="false">IF(B851="","",MONTH(B851))</f>
        <v>3</v>
      </c>
      <c r="AJ851" s="6" t="n">
        <f aca="false">IF(B851="","",YEAR(B851))</f>
        <v>2024</v>
      </c>
      <c r="AK851" s="3" t="str">
        <f aca="false">IF(COUNTIF(raw_data!$A$2:$A$913,A851)&gt;1,"Conflicting Duplicate - Flagged for Review","Unique")</f>
        <v>Unique</v>
      </c>
      <c r="AL851" s="3" t="str">
        <f aca="false">IF(AB851="Refunded","Yes","No")</f>
        <v>No</v>
      </c>
      <c r="AM851" s="3" t="str">
        <f aca="false">IF(OR(AC851&lt;&gt;"Completed",AB851="Failed"),"Excluded","Included")</f>
        <v>Included</v>
      </c>
      <c r="AN851" s="3" t="str">
        <f aca="false">IF(OR(D851="Invalid/Unrecognized",E851="Invalid/Unrecognized",G851="Invalid - Ship Before Order",X851="Negative - Invalid",X851="Above Allowed Range - Invalid",AG851="Mismatch",AH851="Mismatch",AK851="Conflicting Duplicate - Flagged for Review"),"Invalid",IF(OR(L851="Filled - Unknown",S851="Filled - Unknown",X851="Missing - Defaulted to 0",AL851="Yes",AC851="Cancelled",AC851="Returned"),"Warning","Clean"))</f>
        <v>Invalid</v>
      </c>
    </row>
    <row r="852" customFormat="false" ht="15" hidden="false" customHeight="false" outlineLevel="0" collapsed="false">
      <c r="A852" s="3" t="str">
        <f aca="false">raw_data!A852</f>
        <v>ORD-2024-10851</v>
      </c>
      <c r="B852" s="4" t="n">
        <f aca="false">IFERROR(IF(MID(raw_data!B852,3,1)="/",DATE(VALUE(RIGHT(raw_data!B852,4)),VALUE(LEFT(raw_data!B852,2)),VALUE(MID(raw_data!B852,4,2))),IF(MID(raw_data!B852,3,1)="-",DATE(VALUE(RIGHT(raw_data!B852,4)),VALUE(MID(raw_data!B852,4,2)),VALUE(LEFT(raw_data!B852,2))),IF(MID(raw_data!B852,5,1)="-",DATE(VALUE(LEFT(raw_data!B852,4)),VALUE(MID(raw_data!B852,6,2)),VALUE(RIGHT(raw_data!B852,2))),DATE(VALUE(RIGHT(raw_data!B852,4)),MATCH(MID(raw_data!B852,4,3),{"Jan","Feb","Mar","Apr","May","Jun","Jul","Aug","Sep","Oct","Nov","Dec"},0),VALUE(LEFT(raw_data!B852,2)))))),"")</f>
        <v>45473</v>
      </c>
      <c r="C852" s="4" t="n">
        <f aca="false">IFERROR(IF(MID(raw_data!C852,3,1)="/",DATE(VALUE(RIGHT(raw_data!C852,4)),VALUE(LEFT(raw_data!C852,2)),VALUE(MID(raw_data!C852,4,2))),IF(MID(raw_data!C852,3,1)="-",DATE(VALUE(RIGHT(raw_data!C852,4)),VALUE(MID(raw_data!C852,4,2)),VALUE(LEFT(raw_data!C852,2))),IF(MID(raw_data!C852,5,1)="-",DATE(VALUE(LEFT(raw_data!C852,4)),VALUE(MID(raw_data!C852,6,2)),VALUE(RIGHT(raw_data!C852,2))),DATE(VALUE(RIGHT(raw_data!C852,4)),MATCH(MID(raw_data!C852,4,3),{"Jan","Feb","Mar","Apr","May","Jun","Jul","Aug","Sep","Oct","Nov","Dec"},0),VALUE(LEFT(raw_data!C852,2)))))),"")</f>
        <v>45476</v>
      </c>
      <c r="D852" s="3" t="str">
        <f aca="false">IF(TRIM(raw_data!B852)="","Missing",IF(B852="","Invalid/Unrecognized","Valid"))</f>
        <v>Valid</v>
      </c>
      <c r="E852" s="3" t="str">
        <f aca="false">IF(TRIM(raw_data!C852)="","Missing",IF(C852="","Invalid/Unrecognized","Valid"))</f>
        <v>Valid</v>
      </c>
      <c r="F852" s="5" t="n">
        <f aca="false">IF(OR(B852="",C852=""),"",C852-B852)</f>
        <v>3</v>
      </c>
      <c r="G852" s="3" t="str">
        <f aca="false">IF(F852="","N/A",IF(F852&lt;0,"Invalid - Ship Before Order","OK"))</f>
        <v>OK</v>
      </c>
      <c r="H852" s="3" t="str">
        <f aca="false">raw_data!D852</f>
        <v>CUST-2623</v>
      </c>
      <c r="I852" s="3" t="str">
        <f aca="false">PROPER(TRIM(raw_data!E852))</f>
        <v>Priya Menon</v>
      </c>
      <c r="J852" s="3" t="str">
        <f aca="false">PROPER(TRIM(raw_data!F852))</f>
        <v>Home Office</v>
      </c>
      <c r="K852" s="3" t="str">
        <f aca="false">IF(TRIM(raw_data!G852)="","Unknown",PROPER(TRIM(raw_data!G852)))</f>
        <v>East</v>
      </c>
      <c r="L852" s="3" t="str">
        <f aca="false">IF(TRIM(raw_data!G852)="","Filled - Unknown","OK")</f>
        <v>OK</v>
      </c>
      <c r="M852" s="3" t="str">
        <f aca="false">PROPER(TRIM(raw_data!H852))</f>
        <v>West Bengal</v>
      </c>
      <c r="N852" s="3" t="str">
        <f aca="false">PROPER(TRIM(raw_data!I852))</f>
        <v>Kolkata</v>
      </c>
      <c r="O852" s="3" t="str">
        <f aca="false">PROPER(TRIM(raw_data!J852))</f>
        <v>Office Supplies</v>
      </c>
      <c r="P852" s="3" t="str">
        <f aca="false">PROPER(TRIM(raw_data!K852))</f>
        <v>Paper</v>
      </c>
      <c r="Q852" s="3" t="str">
        <f aca="false">TRIM(raw_data!L852)</f>
        <v>Prime Paper 317</v>
      </c>
      <c r="R852" s="3" t="str">
        <f aca="false">IF(TRIM(raw_data!M852)="","Unknown",PROPER(TRIM(raw_data!M852)))</f>
        <v>First Class</v>
      </c>
      <c r="S852" s="3" t="str">
        <f aca="false">IF(TRIM(raw_data!M852)="","Filled - Unknown","OK")</f>
        <v>OK</v>
      </c>
      <c r="T852" s="6" t="n">
        <f aca="false">raw_data!N852</f>
        <v>6</v>
      </c>
      <c r="U852" s="7" t="n">
        <f aca="false">raw_data!O852</f>
        <v>1211.01</v>
      </c>
      <c r="V852" s="8" t="n">
        <f aca="false">raw_data!P852</f>
        <v>0</v>
      </c>
      <c r="W852" s="8" t="n">
        <f aca="false">IF(raw_data!P852="",0,IF(ISTEXT(raw_data!P852),IF(RIGHT(raw_data!P852,1)="%",VALUE(LEFT(raw_data!P852,LEN(raw_data!P852)-1))/100,VALUE(raw_data!P852)),raw_data!P852))</f>
        <v>0</v>
      </c>
      <c r="X852" s="3" t="str">
        <f aca="false">IF(raw_data!P852="","Missing - Defaulted to 0",IF(W852&lt;0,"Negative - Invalid",IF(W852&gt;0.3,"Above Allowed Range - Invalid","Valid")))</f>
        <v>Valid</v>
      </c>
      <c r="Y852" s="7" t="n">
        <f aca="false">raw_data!Q852</f>
        <v>7266.06</v>
      </c>
      <c r="Z852" s="7" t="n">
        <f aca="false">raw_data!R852</f>
        <v>6216.89</v>
      </c>
      <c r="AA852" s="7" t="n">
        <f aca="false">raw_data!S852</f>
        <v>1049.17</v>
      </c>
      <c r="AB852" s="3" t="str">
        <f aca="false">PROPER(TRIM(raw_data!T852))</f>
        <v>Paid</v>
      </c>
      <c r="AC852" s="3" t="str">
        <f aca="false">PROPER(TRIM(raw_data!U852))</f>
        <v>Completed</v>
      </c>
      <c r="AD852" s="7" t="n">
        <f aca="false">T852*U852*(1-W852)</f>
        <v>7266.06</v>
      </c>
      <c r="AE852" s="7" t="n">
        <f aca="false">AD852-Z852</f>
        <v>1049.17</v>
      </c>
      <c r="AF852" s="8" t="n">
        <f aca="false">IF(AD852=0,0,AE852/AD852)</f>
        <v>0.144393247509654</v>
      </c>
      <c r="AG852" s="3" t="str">
        <f aca="false">IF(ABS(Y852-AD852)&gt;1,"Mismatch","OK")</f>
        <v>OK</v>
      </c>
      <c r="AH852" s="3" t="str">
        <f aca="false">IF(ABS(AA852-AE852)&gt;1,"Mismatch","OK")</f>
        <v>OK</v>
      </c>
      <c r="AI852" s="6" t="n">
        <f aca="false">IF(B852="","",MONTH(B852))</f>
        <v>6</v>
      </c>
      <c r="AJ852" s="6" t="n">
        <f aca="false">IF(B852="","",YEAR(B852))</f>
        <v>2024</v>
      </c>
      <c r="AK852" s="3" t="str">
        <f aca="false">IF(COUNTIF(raw_data!$A$2:$A$913,A852)&gt;1,"Conflicting Duplicate - Flagged for Review","Unique")</f>
        <v>Unique</v>
      </c>
      <c r="AL852" s="3" t="str">
        <f aca="false">IF(AB852="Refunded","Yes","No")</f>
        <v>No</v>
      </c>
      <c r="AM852" s="3" t="str">
        <f aca="false">IF(OR(AC852&lt;&gt;"Completed",AB852="Failed"),"Excluded","Included")</f>
        <v>Included</v>
      </c>
      <c r="AN852" s="3" t="str">
        <f aca="false">IF(OR(D852="Invalid/Unrecognized",E852="Invalid/Unrecognized",G852="Invalid - Ship Before Order",X852="Negative - Invalid",X852="Above Allowed Range - Invalid",AG852="Mismatch",AH852="Mismatch",AK852="Conflicting Duplicate - Flagged for Review"),"Invalid",IF(OR(L852="Filled - Unknown",S852="Filled - Unknown",X852="Missing - Defaulted to 0",AL852="Yes",AC852="Cancelled",AC852="Returned"),"Warning","Clean"))</f>
        <v>Clean</v>
      </c>
    </row>
    <row r="853" customFormat="false" ht="15" hidden="false" customHeight="false" outlineLevel="0" collapsed="false">
      <c r="A853" s="3" t="str">
        <f aca="false">raw_data!A853</f>
        <v>ORD-2024-10852</v>
      </c>
      <c r="B853" s="4" t="n">
        <f aca="false">IFERROR(IF(MID(raw_data!B853,3,1)="/",DATE(VALUE(RIGHT(raw_data!B853,4)),VALUE(LEFT(raw_data!B853,2)),VALUE(MID(raw_data!B853,4,2))),IF(MID(raw_data!B853,3,1)="-",DATE(VALUE(RIGHT(raw_data!B853,4)),VALUE(MID(raw_data!B853,4,2)),VALUE(LEFT(raw_data!B853,2))),IF(MID(raw_data!B853,5,1)="-",DATE(VALUE(LEFT(raw_data!B853,4)),VALUE(MID(raw_data!B853,6,2)),VALUE(RIGHT(raw_data!B853,2))),DATE(VALUE(RIGHT(raw_data!B853,4)),MATCH(MID(raw_data!B853,4,3),{"Jan","Feb","Mar","Apr","May","Jun","Jul","Aug","Sep","Oct","Nov","Dec"},0),VALUE(LEFT(raw_data!B853,2)))))),"")</f>
        <v>45377</v>
      </c>
      <c r="C853" s="4" t="n">
        <f aca="false">IFERROR(IF(MID(raw_data!C853,3,1)="/",DATE(VALUE(RIGHT(raw_data!C853,4)),VALUE(LEFT(raw_data!C853,2)),VALUE(MID(raw_data!C853,4,2))),IF(MID(raw_data!C853,3,1)="-",DATE(VALUE(RIGHT(raw_data!C853,4)),VALUE(MID(raw_data!C853,4,2)),VALUE(LEFT(raw_data!C853,2))),IF(MID(raw_data!C853,5,1)="-",DATE(VALUE(LEFT(raw_data!C853,4)),VALUE(MID(raw_data!C853,6,2)),VALUE(RIGHT(raw_data!C853,2))),DATE(VALUE(RIGHT(raw_data!C853,4)),MATCH(MID(raw_data!C853,4,3),{"Jan","Feb","Mar","Apr","May","Jun","Jul","Aug","Sep","Oct","Nov","Dec"},0),VALUE(LEFT(raw_data!C853,2)))))),"")</f>
        <v>45383</v>
      </c>
      <c r="D853" s="3" t="str">
        <f aca="false">IF(TRIM(raw_data!B853)="","Missing",IF(B853="","Invalid/Unrecognized","Valid"))</f>
        <v>Valid</v>
      </c>
      <c r="E853" s="3" t="str">
        <f aca="false">IF(TRIM(raw_data!C853)="","Missing",IF(C853="","Invalid/Unrecognized","Valid"))</f>
        <v>Valid</v>
      </c>
      <c r="F853" s="5" t="n">
        <f aca="false">IF(OR(B853="",C853=""),"",C853-B853)</f>
        <v>6</v>
      </c>
      <c r="G853" s="3" t="str">
        <f aca="false">IF(F853="","N/A",IF(F853&lt;0,"Invalid - Ship Before Order","OK"))</f>
        <v>OK</v>
      </c>
      <c r="H853" s="3" t="str">
        <f aca="false">raw_data!D853</f>
        <v>CUST-3175</v>
      </c>
      <c r="I853" s="3" t="str">
        <f aca="false">PROPER(TRIM(raw_data!E853))</f>
        <v>Karan Malhotra</v>
      </c>
      <c r="J853" s="3" t="str">
        <f aca="false">PROPER(TRIM(raw_data!F853))</f>
        <v>Small Business</v>
      </c>
      <c r="K853" s="3" t="str">
        <f aca="false">IF(TRIM(raw_data!G853)="","Unknown",PROPER(TRIM(raw_data!G853)))</f>
        <v>West</v>
      </c>
      <c r="L853" s="3" t="str">
        <f aca="false">IF(TRIM(raw_data!G853)="","Filled - Unknown","OK")</f>
        <v>OK</v>
      </c>
      <c r="M853" s="3" t="str">
        <f aca="false">PROPER(TRIM(raw_data!H853))</f>
        <v>Gujarat</v>
      </c>
      <c r="N853" s="3" t="str">
        <f aca="false">PROPER(TRIM(raw_data!I853))</f>
        <v>Ahmedabad</v>
      </c>
      <c r="O853" s="3" t="str">
        <f aca="false">PROPER(TRIM(raw_data!J853))</f>
        <v>Technology</v>
      </c>
      <c r="P853" s="3" t="str">
        <f aca="false">PROPER(TRIM(raw_data!K853))</f>
        <v>Accessories</v>
      </c>
      <c r="Q853" s="3" t="str">
        <f aca="false">TRIM(raw_data!L853)</f>
        <v>Classic Accessories 933</v>
      </c>
      <c r="R853" s="3" t="str">
        <f aca="false">IF(TRIM(raw_data!M853)="","Unknown",PROPER(TRIM(raw_data!M853)))</f>
        <v>First Class</v>
      </c>
      <c r="S853" s="3" t="str">
        <f aca="false">IF(TRIM(raw_data!M853)="","Filled - Unknown","OK")</f>
        <v>OK</v>
      </c>
      <c r="T853" s="6" t="n">
        <f aca="false">raw_data!N853</f>
        <v>2</v>
      </c>
      <c r="U853" s="7" t="n">
        <f aca="false">raw_data!O853</f>
        <v>1161.3</v>
      </c>
      <c r="V853" s="8" t="n">
        <f aca="false">raw_data!P853</f>
        <v>0.2</v>
      </c>
      <c r="W853" s="8" t="n">
        <f aca="false">IF(raw_data!P853="",0,IF(ISTEXT(raw_data!P853),IF(RIGHT(raw_data!P853,1)="%",VALUE(LEFT(raw_data!P853,LEN(raw_data!P853)-1))/100,VALUE(raw_data!P853)),raw_data!P853))</f>
        <v>0.2</v>
      </c>
      <c r="X853" s="3" t="str">
        <f aca="false">IF(raw_data!P853="","Missing - Defaulted to 0",IF(W853&lt;0,"Negative - Invalid",IF(W853&gt;0.3,"Above Allowed Range - Invalid","Valid")))</f>
        <v>Valid</v>
      </c>
      <c r="Y853" s="7" t="n">
        <f aca="false">raw_data!Q853</f>
        <v>1858.08</v>
      </c>
      <c r="Z853" s="7" t="n">
        <f aca="false">raw_data!R853</f>
        <v>1590.75</v>
      </c>
      <c r="AA853" s="7" t="n">
        <f aca="false">raw_data!S853</f>
        <v>267.33</v>
      </c>
      <c r="AB853" s="3" t="str">
        <f aca="false">PROPER(TRIM(raw_data!T853))</f>
        <v>Paid</v>
      </c>
      <c r="AC853" s="3" t="str">
        <f aca="false">PROPER(TRIM(raw_data!U853))</f>
        <v>Completed</v>
      </c>
      <c r="AD853" s="7" t="n">
        <f aca="false">T853*U853*(1-W853)</f>
        <v>1858.08</v>
      </c>
      <c r="AE853" s="7" t="n">
        <f aca="false">AD853-Z853</f>
        <v>267.33</v>
      </c>
      <c r="AF853" s="8" t="n">
        <f aca="false">IF(AD853=0,0,AE853/AD853)</f>
        <v>0.143874321880651</v>
      </c>
      <c r="AG853" s="3" t="str">
        <f aca="false">IF(ABS(Y853-AD853)&gt;1,"Mismatch","OK")</f>
        <v>OK</v>
      </c>
      <c r="AH853" s="3" t="str">
        <f aca="false">IF(ABS(AA853-AE853)&gt;1,"Mismatch","OK")</f>
        <v>OK</v>
      </c>
      <c r="AI853" s="6" t="n">
        <f aca="false">IF(B853="","",MONTH(B853))</f>
        <v>3</v>
      </c>
      <c r="AJ853" s="6" t="n">
        <f aca="false">IF(B853="","",YEAR(B853))</f>
        <v>2024</v>
      </c>
      <c r="AK853" s="3" t="str">
        <f aca="false">IF(COUNTIF(raw_data!$A$2:$A$913,A853)&gt;1,"Conflicting Duplicate - Flagged for Review","Unique")</f>
        <v>Unique</v>
      </c>
      <c r="AL853" s="3" t="str">
        <f aca="false">IF(AB853="Refunded","Yes","No")</f>
        <v>No</v>
      </c>
      <c r="AM853" s="3" t="str">
        <f aca="false">IF(OR(AC853&lt;&gt;"Completed",AB853="Failed"),"Excluded","Included")</f>
        <v>Included</v>
      </c>
      <c r="AN853" s="3" t="str">
        <f aca="false">IF(OR(D853="Invalid/Unrecognized",E853="Invalid/Unrecognized",G853="Invalid - Ship Before Order",X853="Negative - Invalid",X853="Above Allowed Range - Invalid",AG853="Mismatch",AH853="Mismatch",AK853="Conflicting Duplicate - Flagged for Review"),"Invalid",IF(OR(L853="Filled - Unknown",S853="Filled - Unknown",X853="Missing - Defaulted to 0",AL853="Yes",AC853="Cancelled",AC853="Returned"),"Warning","Clean"))</f>
        <v>Clean</v>
      </c>
    </row>
    <row r="854" customFormat="false" ht="15" hidden="false" customHeight="false" outlineLevel="0" collapsed="false">
      <c r="A854" s="3" t="str">
        <f aca="false">raw_data!A854</f>
        <v>ORD-2024-10853</v>
      </c>
      <c r="B854" s="4" t="n">
        <f aca="false">IFERROR(IF(MID(raw_data!B854,3,1)="/",DATE(VALUE(RIGHT(raw_data!B854,4)),VALUE(LEFT(raw_data!B854,2)),VALUE(MID(raw_data!B854,4,2))),IF(MID(raw_data!B854,3,1)="-",DATE(VALUE(RIGHT(raw_data!B854,4)),VALUE(MID(raw_data!B854,4,2)),VALUE(LEFT(raw_data!B854,2))),IF(MID(raw_data!B854,5,1)="-",DATE(VALUE(LEFT(raw_data!B854,4)),VALUE(MID(raw_data!B854,6,2)),VALUE(RIGHT(raw_data!B854,2))),DATE(VALUE(RIGHT(raw_data!B854,4)),MATCH(MID(raw_data!B854,4,3),{"Jan","Feb","Mar","Apr","May","Jun","Jul","Aug","Sep","Oct","Nov","Dec"},0),VALUE(LEFT(raw_data!B854,2)))))),"")</f>
        <v>45383</v>
      </c>
      <c r="C854" s="4" t="n">
        <f aca="false">IFERROR(IF(MID(raw_data!C854,3,1)="/",DATE(VALUE(RIGHT(raw_data!C854,4)),VALUE(LEFT(raw_data!C854,2)),VALUE(MID(raw_data!C854,4,2))),IF(MID(raw_data!C854,3,1)="-",DATE(VALUE(RIGHT(raw_data!C854,4)),VALUE(MID(raw_data!C854,4,2)),VALUE(LEFT(raw_data!C854,2))),IF(MID(raw_data!C854,5,1)="-",DATE(VALUE(LEFT(raw_data!C854,4)),VALUE(MID(raw_data!C854,6,2)),VALUE(RIGHT(raw_data!C854,2))),DATE(VALUE(RIGHT(raw_data!C854,4)),MATCH(MID(raw_data!C854,4,3),{"Jan","Feb","Mar","Apr","May","Jun","Jul","Aug","Sep","Oct","Nov","Dec"},0),VALUE(LEFT(raw_data!C854,2)))))),"")</f>
        <v>45390</v>
      </c>
      <c r="D854" s="3" t="str">
        <f aca="false">IF(TRIM(raw_data!B854)="","Missing",IF(B854="","Invalid/Unrecognized","Valid"))</f>
        <v>Valid</v>
      </c>
      <c r="E854" s="3" t="str">
        <f aca="false">IF(TRIM(raw_data!C854)="","Missing",IF(C854="","Invalid/Unrecognized","Valid"))</f>
        <v>Valid</v>
      </c>
      <c r="F854" s="5" t="n">
        <f aca="false">IF(OR(B854="",C854=""),"",C854-B854)</f>
        <v>7</v>
      </c>
      <c r="G854" s="3" t="str">
        <f aca="false">IF(F854="","N/A",IF(F854&lt;0,"Invalid - Ship Before Order","OK"))</f>
        <v>OK</v>
      </c>
      <c r="H854" s="3" t="str">
        <f aca="false">raw_data!D854</f>
        <v>CUST-9630</v>
      </c>
      <c r="I854" s="3" t="str">
        <f aca="false">PROPER(TRIM(raw_data!E854))</f>
        <v>Ananya Rao</v>
      </c>
      <c r="J854" s="3" t="str">
        <f aca="false">PROPER(TRIM(raw_data!F854))</f>
        <v>Consumer</v>
      </c>
      <c r="K854" s="3" t="str">
        <f aca="false">IF(TRIM(raw_data!G854)="","Unknown",PROPER(TRIM(raw_data!G854)))</f>
        <v>East</v>
      </c>
      <c r="L854" s="3" t="str">
        <f aca="false">IF(TRIM(raw_data!G854)="","Filled - Unknown","OK")</f>
        <v>OK</v>
      </c>
      <c r="M854" s="3" t="str">
        <f aca="false">PROPER(TRIM(raw_data!H854))</f>
        <v>Assam</v>
      </c>
      <c r="N854" s="3" t="str">
        <f aca="false">PROPER(TRIM(raw_data!I854))</f>
        <v>Guwahati</v>
      </c>
      <c r="O854" s="3" t="str">
        <f aca="false">PROPER(TRIM(raw_data!J854))</f>
        <v>Furniture</v>
      </c>
      <c r="P854" s="3" t="str">
        <f aca="false">PROPER(TRIM(raw_data!K854))</f>
        <v>Tables</v>
      </c>
      <c r="Q854" s="3" t="str">
        <f aca="false">TRIM(raw_data!L854)</f>
        <v>Smart Tables 513</v>
      </c>
      <c r="R854" s="3" t="str">
        <f aca="false">IF(TRIM(raw_data!M854)="","Unknown",PROPER(TRIM(raw_data!M854)))</f>
        <v>Second Class</v>
      </c>
      <c r="S854" s="3" t="str">
        <f aca="false">IF(TRIM(raw_data!M854)="","Filled - Unknown","OK")</f>
        <v>OK</v>
      </c>
      <c r="T854" s="6" t="n">
        <f aca="false">raw_data!N854</f>
        <v>7</v>
      </c>
      <c r="U854" s="7" t="n">
        <f aca="false">raw_data!O854</f>
        <v>4205.35</v>
      </c>
      <c r="V854" s="8" t="n">
        <f aca="false">raw_data!P854</f>
        <v>0.15</v>
      </c>
      <c r="W854" s="8" t="n">
        <f aca="false">IF(raw_data!P854="",0,IF(ISTEXT(raw_data!P854),IF(RIGHT(raw_data!P854,1)="%",VALUE(LEFT(raw_data!P854,LEN(raw_data!P854)-1))/100,VALUE(raw_data!P854)),raw_data!P854))</f>
        <v>0.15</v>
      </c>
      <c r="X854" s="3" t="str">
        <f aca="false">IF(raw_data!P854="","Missing - Defaulted to 0",IF(W854&lt;0,"Negative - Invalid",IF(W854&gt;0.3,"Above Allowed Range - Invalid","Valid")))</f>
        <v>Valid</v>
      </c>
      <c r="Y854" s="7" t="n">
        <f aca="false">raw_data!Q854</f>
        <v>25021.83</v>
      </c>
      <c r="Z854" s="7" t="n">
        <f aca="false">raw_data!R854</f>
        <v>15544.44</v>
      </c>
      <c r="AA854" s="7" t="n">
        <f aca="false">raw_data!S854</f>
        <v>9477.39</v>
      </c>
      <c r="AB854" s="3" t="str">
        <f aca="false">PROPER(TRIM(raw_data!T854))</f>
        <v>Pending</v>
      </c>
      <c r="AC854" s="3" t="str">
        <f aca="false">PROPER(TRIM(raw_data!U854))</f>
        <v>Cancelled</v>
      </c>
      <c r="AD854" s="7" t="n">
        <f aca="false">T854*U854*(1-W854)</f>
        <v>25021.8325</v>
      </c>
      <c r="AE854" s="7" t="n">
        <f aca="false">AD854-Z854</f>
        <v>9477.3925</v>
      </c>
      <c r="AF854" s="8" t="n">
        <f aca="false">IF(AD854=0,0,AE854/AD854)</f>
        <v>0.378764924591354</v>
      </c>
      <c r="AG854" s="3" t="str">
        <f aca="false">IF(ABS(Y854-AD854)&gt;1,"Mismatch","OK")</f>
        <v>OK</v>
      </c>
      <c r="AH854" s="3" t="str">
        <f aca="false">IF(ABS(AA854-AE854)&gt;1,"Mismatch","OK")</f>
        <v>OK</v>
      </c>
      <c r="AI854" s="6" t="n">
        <f aca="false">IF(B854="","",MONTH(B854))</f>
        <v>4</v>
      </c>
      <c r="AJ854" s="6" t="n">
        <f aca="false">IF(B854="","",YEAR(B854))</f>
        <v>2024</v>
      </c>
      <c r="AK854" s="3" t="str">
        <f aca="false">IF(COUNTIF(raw_data!$A$2:$A$913,A854)&gt;1,"Conflicting Duplicate - Flagged for Review","Unique")</f>
        <v>Unique</v>
      </c>
      <c r="AL854" s="3" t="str">
        <f aca="false">IF(AB854="Refunded","Yes","No")</f>
        <v>No</v>
      </c>
      <c r="AM854" s="3" t="str">
        <f aca="false">IF(OR(AC854&lt;&gt;"Completed",AB854="Failed"),"Excluded","Included")</f>
        <v>Excluded</v>
      </c>
      <c r="AN854" s="3" t="str">
        <f aca="false">IF(OR(D854="Invalid/Unrecognized",E854="Invalid/Unrecognized",G854="Invalid - Ship Before Order",X854="Negative - Invalid",X854="Above Allowed Range - Invalid",AG854="Mismatch",AH854="Mismatch",AK854="Conflicting Duplicate - Flagged for Review"),"Invalid",IF(OR(L854="Filled - Unknown",S854="Filled - Unknown",X854="Missing - Defaulted to 0",AL854="Yes",AC854="Cancelled",AC854="Returned"),"Warning","Clean"))</f>
        <v>Warning</v>
      </c>
    </row>
    <row r="855" customFormat="false" ht="15" hidden="false" customHeight="false" outlineLevel="0" collapsed="false">
      <c r="A855" s="3" t="str">
        <f aca="false">raw_data!A855</f>
        <v>ORD-2025-10854</v>
      </c>
      <c r="B855" s="4" t="n">
        <f aca="false">IFERROR(IF(MID(raw_data!B855,3,1)="/",DATE(VALUE(RIGHT(raw_data!B855,4)),VALUE(LEFT(raw_data!B855,2)),VALUE(MID(raw_data!B855,4,2))),IF(MID(raw_data!B855,3,1)="-",DATE(VALUE(RIGHT(raw_data!B855,4)),VALUE(MID(raw_data!B855,4,2)),VALUE(LEFT(raw_data!B855,2))),IF(MID(raw_data!B855,5,1)="-",DATE(VALUE(LEFT(raw_data!B855,4)),VALUE(MID(raw_data!B855,6,2)),VALUE(RIGHT(raw_data!B855,2))),DATE(VALUE(RIGHT(raw_data!B855,4)),MATCH(MID(raw_data!B855,4,3),{"Jan","Feb","Mar","Apr","May","Jun","Jul","Aug","Sep","Oct","Nov","Dec"},0),VALUE(LEFT(raw_data!B855,2)))))),"")</f>
        <v>45793</v>
      </c>
      <c r="C855" s="4" t="n">
        <f aca="false">IFERROR(IF(MID(raw_data!C855,3,1)="/",DATE(VALUE(RIGHT(raw_data!C855,4)),VALUE(LEFT(raw_data!C855,2)),VALUE(MID(raw_data!C855,4,2))),IF(MID(raw_data!C855,3,1)="-",DATE(VALUE(RIGHT(raw_data!C855,4)),VALUE(MID(raw_data!C855,4,2)),VALUE(LEFT(raw_data!C855,2))),IF(MID(raw_data!C855,5,1)="-",DATE(VALUE(LEFT(raw_data!C855,4)),VALUE(MID(raw_data!C855,6,2)),VALUE(RIGHT(raw_data!C855,2))),DATE(VALUE(RIGHT(raw_data!C855,4)),MATCH(MID(raw_data!C855,4,3),{"Jan","Feb","Mar","Apr","May","Jun","Jul","Aug","Sep","Oct","Nov","Dec"},0),VALUE(LEFT(raw_data!C855,2)))))),"")</f>
        <v>45799</v>
      </c>
      <c r="D855" s="3" t="str">
        <f aca="false">IF(TRIM(raw_data!B855)="","Missing",IF(B855="","Invalid/Unrecognized","Valid"))</f>
        <v>Valid</v>
      </c>
      <c r="E855" s="3" t="str">
        <f aca="false">IF(TRIM(raw_data!C855)="","Missing",IF(C855="","Invalid/Unrecognized","Valid"))</f>
        <v>Valid</v>
      </c>
      <c r="F855" s="5" t="n">
        <f aca="false">IF(OR(B855="",C855=""),"",C855-B855)</f>
        <v>6</v>
      </c>
      <c r="G855" s="3" t="str">
        <f aca="false">IF(F855="","N/A",IF(F855&lt;0,"Invalid - Ship Before Order","OK"))</f>
        <v>OK</v>
      </c>
      <c r="H855" s="3" t="str">
        <f aca="false">raw_data!D855</f>
        <v>CUST-8274</v>
      </c>
      <c r="I855" s="3" t="str">
        <f aca="false">PROPER(TRIM(raw_data!E855))</f>
        <v>Arjun Bose</v>
      </c>
      <c r="J855" s="3" t="str">
        <f aca="false">PROPER(TRIM(raw_data!F855))</f>
        <v>Corporate</v>
      </c>
      <c r="K855" s="3" t="str">
        <f aca="false">IF(TRIM(raw_data!G855)="","Unknown",PROPER(TRIM(raw_data!G855)))</f>
        <v>South</v>
      </c>
      <c r="L855" s="3" t="str">
        <f aca="false">IF(TRIM(raw_data!G855)="","Filled - Unknown","OK")</f>
        <v>OK</v>
      </c>
      <c r="M855" s="3" t="str">
        <f aca="false">PROPER(TRIM(raw_data!H855))</f>
        <v>Tamil Nadu</v>
      </c>
      <c r="N855" s="3" t="str">
        <f aca="false">PROPER(TRIM(raw_data!I855))</f>
        <v>Chennai</v>
      </c>
      <c r="O855" s="3" t="str">
        <f aca="false">PROPER(TRIM(raw_data!J855))</f>
        <v>Technology</v>
      </c>
      <c r="P855" s="3" t="str">
        <f aca="false">PROPER(TRIM(raw_data!K855))</f>
        <v>Accessories</v>
      </c>
      <c r="Q855" s="3" t="str">
        <f aca="false">TRIM(raw_data!L855)</f>
        <v>Elite Accessories 708</v>
      </c>
      <c r="R855" s="3" t="str">
        <f aca="false">IF(TRIM(raw_data!M855)="","Unknown",PROPER(TRIM(raw_data!M855)))</f>
        <v>Same Day</v>
      </c>
      <c r="S855" s="3" t="str">
        <f aca="false">IF(TRIM(raw_data!M855)="","Filled - Unknown","OK")</f>
        <v>OK</v>
      </c>
      <c r="T855" s="6" t="n">
        <f aca="false">raw_data!N855</f>
        <v>8</v>
      </c>
      <c r="U855" s="7" t="n">
        <f aca="false">raw_data!O855</f>
        <v>579.8</v>
      </c>
      <c r="V855" s="8" t="n">
        <f aca="false">raw_data!P855</f>
        <v>0.2</v>
      </c>
      <c r="W855" s="8" t="n">
        <f aca="false">IF(raw_data!P855="",0,IF(ISTEXT(raw_data!P855),IF(RIGHT(raw_data!P855,1)="%",VALUE(LEFT(raw_data!P855,LEN(raw_data!P855)-1))/100,VALUE(raw_data!P855)),raw_data!P855))</f>
        <v>0.2</v>
      </c>
      <c r="X855" s="3" t="str">
        <f aca="false">IF(raw_data!P855="","Missing - Defaulted to 0",IF(W855&lt;0,"Negative - Invalid",IF(W855&gt;0.3,"Above Allowed Range - Invalid","Valid")))</f>
        <v>Valid</v>
      </c>
      <c r="Y855" s="7" t="n">
        <f aca="false">raw_data!Q855</f>
        <v>3710.72</v>
      </c>
      <c r="Z855" s="7" t="n">
        <f aca="false">raw_data!R855</f>
        <v>3115.29</v>
      </c>
      <c r="AA855" s="7" t="n">
        <f aca="false">raw_data!S855</f>
        <v>595.43</v>
      </c>
      <c r="AB855" s="3" t="str">
        <f aca="false">PROPER(TRIM(raw_data!T855))</f>
        <v>Paid</v>
      </c>
      <c r="AC855" s="3" t="str">
        <f aca="false">PROPER(TRIM(raw_data!U855))</f>
        <v>Completed</v>
      </c>
      <c r="AD855" s="7" t="n">
        <f aca="false">T855*U855*(1-W855)</f>
        <v>3710.72</v>
      </c>
      <c r="AE855" s="7" t="n">
        <f aca="false">AD855-Z855</f>
        <v>595.43</v>
      </c>
      <c r="AF855" s="8" t="n">
        <f aca="false">IF(AD855=0,0,AE855/AD855)</f>
        <v>0.160462120558813</v>
      </c>
      <c r="AG855" s="3" t="str">
        <f aca="false">IF(ABS(Y855-AD855)&gt;1,"Mismatch","OK")</f>
        <v>OK</v>
      </c>
      <c r="AH855" s="3" t="str">
        <f aca="false">IF(ABS(AA855-AE855)&gt;1,"Mismatch","OK")</f>
        <v>OK</v>
      </c>
      <c r="AI855" s="6" t="n">
        <f aca="false">IF(B855="","",MONTH(B855))</f>
        <v>5</v>
      </c>
      <c r="AJ855" s="6" t="n">
        <f aca="false">IF(B855="","",YEAR(B855))</f>
        <v>2025</v>
      </c>
      <c r="AK855" s="3" t="str">
        <f aca="false">IF(COUNTIF(raw_data!$A$2:$A$913,A855)&gt;1,"Conflicting Duplicate - Flagged for Review","Unique")</f>
        <v>Unique</v>
      </c>
      <c r="AL855" s="3" t="str">
        <f aca="false">IF(AB855="Refunded","Yes","No")</f>
        <v>No</v>
      </c>
      <c r="AM855" s="3" t="str">
        <f aca="false">IF(OR(AC855&lt;&gt;"Completed",AB855="Failed"),"Excluded","Included")</f>
        <v>Included</v>
      </c>
      <c r="AN855" s="3" t="str">
        <f aca="false">IF(OR(D855="Invalid/Unrecognized",E855="Invalid/Unrecognized",G855="Invalid - Ship Before Order",X855="Negative - Invalid",X855="Above Allowed Range - Invalid",AG855="Mismatch",AH855="Mismatch",AK855="Conflicting Duplicate - Flagged for Review"),"Invalid",IF(OR(L855="Filled - Unknown",S855="Filled - Unknown",X855="Missing - Defaulted to 0",AL855="Yes",AC855="Cancelled",AC855="Returned"),"Warning","Clean"))</f>
        <v>Clean</v>
      </c>
    </row>
    <row r="856" customFormat="false" ht="15" hidden="false" customHeight="false" outlineLevel="0" collapsed="false">
      <c r="A856" s="3" t="str">
        <f aca="false">raw_data!A856</f>
        <v>ORD-2025-10855</v>
      </c>
      <c r="B856" s="4" t="n">
        <f aca="false">IFERROR(IF(MID(raw_data!B856,3,1)="/",DATE(VALUE(RIGHT(raw_data!B856,4)),VALUE(LEFT(raw_data!B856,2)),VALUE(MID(raw_data!B856,4,2))),IF(MID(raw_data!B856,3,1)="-",DATE(VALUE(RIGHT(raw_data!B856,4)),VALUE(MID(raw_data!B856,4,2)),VALUE(LEFT(raw_data!B856,2))),IF(MID(raw_data!B856,5,1)="-",DATE(VALUE(LEFT(raw_data!B856,4)),VALUE(MID(raw_data!B856,6,2)),VALUE(RIGHT(raw_data!B856,2))),DATE(VALUE(RIGHT(raw_data!B856,4)),MATCH(MID(raw_data!B856,4,3),{"Jan","Feb","Mar","Apr","May","Jun","Jul","Aug","Sep","Oct","Nov","Dec"},0),VALUE(LEFT(raw_data!B856,2)))))),"")</f>
        <v>45741</v>
      </c>
      <c r="C856" s="4" t="n">
        <f aca="false">IFERROR(IF(MID(raw_data!C856,3,1)="/",DATE(VALUE(RIGHT(raw_data!C856,4)),VALUE(LEFT(raw_data!C856,2)),VALUE(MID(raw_data!C856,4,2))),IF(MID(raw_data!C856,3,1)="-",DATE(VALUE(RIGHT(raw_data!C856,4)),VALUE(MID(raw_data!C856,4,2)),VALUE(LEFT(raw_data!C856,2))),IF(MID(raw_data!C856,5,1)="-",DATE(VALUE(LEFT(raw_data!C856,4)),VALUE(MID(raw_data!C856,6,2)),VALUE(RIGHT(raw_data!C856,2))),DATE(VALUE(RIGHT(raw_data!C856,4)),MATCH(MID(raw_data!C856,4,3),{"Jan","Feb","Mar","Apr","May","Jun","Jul","Aug","Sep","Oct","Nov","Dec"},0),VALUE(LEFT(raw_data!C856,2)))))),"")</f>
        <v>45749</v>
      </c>
      <c r="D856" s="3" t="str">
        <f aca="false">IF(TRIM(raw_data!B856)="","Missing",IF(B856="","Invalid/Unrecognized","Valid"))</f>
        <v>Valid</v>
      </c>
      <c r="E856" s="3" t="str">
        <f aca="false">IF(TRIM(raw_data!C856)="","Missing",IF(C856="","Invalid/Unrecognized","Valid"))</f>
        <v>Valid</v>
      </c>
      <c r="F856" s="5" t="n">
        <f aca="false">IF(OR(B856="",C856=""),"",C856-B856)</f>
        <v>8</v>
      </c>
      <c r="G856" s="3" t="str">
        <f aca="false">IF(F856="","N/A",IF(F856&lt;0,"Invalid - Ship Before Order","OK"))</f>
        <v>OK</v>
      </c>
      <c r="H856" s="3" t="str">
        <f aca="false">raw_data!D856</f>
        <v>CUST-2514</v>
      </c>
      <c r="I856" s="3" t="str">
        <f aca="false">PROPER(TRIM(raw_data!E856))</f>
        <v>Priya Menon</v>
      </c>
      <c r="J856" s="3" t="str">
        <f aca="false">PROPER(TRIM(raw_data!F856))</f>
        <v>Consumer</v>
      </c>
      <c r="K856" s="3" t="str">
        <f aca="false">IF(TRIM(raw_data!G856)="","Unknown",PROPER(TRIM(raw_data!G856)))</f>
        <v>South</v>
      </c>
      <c r="L856" s="3" t="str">
        <f aca="false">IF(TRIM(raw_data!G856)="","Filled - Unknown","OK")</f>
        <v>OK</v>
      </c>
      <c r="M856" s="3" t="str">
        <f aca="false">PROPER(TRIM(raw_data!H856))</f>
        <v>Karnataka</v>
      </c>
      <c r="N856" s="3" t="str">
        <f aca="false">PROPER(TRIM(raw_data!I856))</f>
        <v>Bengaluru</v>
      </c>
      <c r="O856" s="3" t="str">
        <f aca="false">PROPER(TRIM(raw_data!J856))</f>
        <v>Furniture</v>
      </c>
      <c r="P856" s="3" t="str">
        <f aca="false">PROPER(TRIM(raw_data!K856))</f>
        <v>Bookcases</v>
      </c>
      <c r="Q856" s="3" t="str">
        <f aca="false">TRIM(raw_data!L856)</f>
        <v>Max Bookcases 381</v>
      </c>
      <c r="R856" s="3" t="str">
        <f aca="false">IF(TRIM(raw_data!M856)="","Unknown",PROPER(TRIM(raw_data!M856)))</f>
        <v>Second Class</v>
      </c>
      <c r="S856" s="3" t="str">
        <f aca="false">IF(TRIM(raw_data!M856)="","Filled - Unknown","OK")</f>
        <v>OK</v>
      </c>
      <c r="T856" s="6" t="n">
        <f aca="false">raw_data!N856</f>
        <v>4</v>
      </c>
      <c r="U856" s="7" t="n">
        <f aca="false">raw_data!O856</f>
        <v>2233.64</v>
      </c>
      <c r="V856" s="8" t="n">
        <f aca="false">raw_data!P856</f>
        <v>0.05</v>
      </c>
      <c r="W856" s="8" t="n">
        <f aca="false">IF(raw_data!P856="",0,IF(ISTEXT(raw_data!P856),IF(RIGHT(raw_data!P856,1)="%",VALUE(LEFT(raw_data!P856,LEN(raw_data!P856)-1))/100,VALUE(raw_data!P856)),raw_data!P856))</f>
        <v>0.05</v>
      </c>
      <c r="X856" s="3" t="str">
        <f aca="false">IF(raw_data!P856="","Missing - Defaulted to 0",IF(W856&lt;0,"Negative - Invalid",IF(W856&gt;0.3,"Above Allowed Range - Invalid","Valid")))</f>
        <v>Valid</v>
      </c>
      <c r="Y856" s="7" t="n">
        <f aca="false">raw_data!Q856</f>
        <v>8487.83</v>
      </c>
      <c r="Z856" s="7" t="n">
        <f aca="false">raw_data!R856</f>
        <v>5245.72</v>
      </c>
      <c r="AA856" s="7" t="n">
        <f aca="false">raw_data!S856</f>
        <v>3242.11</v>
      </c>
      <c r="AB856" s="3" t="str">
        <f aca="false">PROPER(TRIM(raw_data!T856))</f>
        <v>Paid</v>
      </c>
      <c r="AC856" s="3" t="str">
        <f aca="false">PROPER(TRIM(raw_data!U856))</f>
        <v>Completed</v>
      </c>
      <c r="AD856" s="7" t="n">
        <f aca="false">T856*U856*(1-W856)</f>
        <v>8487.832</v>
      </c>
      <c r="AE856" s="7" t="n">
        <f aca="false">AD856-Z856</f>
        <v>3242.112</v>
      </c>
      <c r="AF856" s="8" t="n">
        <f aca="false">IF(AD856=0,0,AE856/AD856)</f>
        <v>0.381971744963849</v>
      </c>
      <c r="AG856" s="3" t="str">
        <f aca="false">IF(ABS(Y856-AD856)&gt;1,"Mismatch","OK")</f>
        <v>OK</v>
      </c>
      <c r="AH856" s="3" t="str">
        <f aca="false">IF(ABS(AA856-AE856)&gt;1,"Mismatch","OK")</f>
        <v>OK</v>
      </c>
      <c r="AI856" s="6" t="n">
        <f aca="false">IF(B856="","",MONTH(B856))</f>
        <v>3</v>
      </c>
      <c r="AJ856" s="6" t="n">
        <f aca="false">IF(B856="","",YEAR(B856))</f>
        <v>2025</v>
      </c>
      <c r="AK856" s="3" t="str">
        <f aca="false">IF(COUNTIF(raw_data!$A$2:$A$913,A856)&gt;1,"Conflicting Duplicate - Flagged for Review","Unique")</f>
        <v>Unique</v>
      </c>
      <c r="AL856" s="3" t="str">
        <f aca="false">IF(AB856="Refunded","Yes","No")</f>
        <v>No</v>
      </c>
      <c r="AM856" s="3" t="str">
        <f aca="false">IF(OR(AC856&lt;&gt;"Completed",AB856="Failed"),"Excluded","Included")</f>
        <v>Included</v>
      </c>
      <c r="AN856" s="3" t="str">
        <f aca="false">IF(OR(D856="Invalid/Unrecognized",E856="Invalid/Unrecognized",G856="Invalid - Ship Before Order",X856="Negative - Invalid",X856="Above Allowed Range - Invalid",AG856="Mismatch",AH856="Mismatch",AK856="Conflicting Duplicate - Flagged for Review"),"Invalid",IF(OR(L856="Filled - Unknown",S856="Filled - Unknown",X856="Missing - Defaulted to 0",AL856="Yes",AC856="Cancelled",AC856="Returned"),"Warning","Clean"))</f>
        <v>Clean</v>
      </c>
    </row>
    <row r="857" customFormat="false" ht="15" hidden="false" customHeight="false" outlineLevel="0" collapsed="false">
      <c r="A857" s="3" t="str">
        <f aca="false">raw_data!A857</f>
        <v>ORD-2024-10856</v>
      </c>
      <c r="B857" s="4" t="n">
        <f aca="false">IFERROR(IF(MID(raw_data!B857,3,1)="/",DATE(VALUE(RIGHT(raw_data!B857,4)),VALUE(LEFT(raw_data!B857,2)),VALUE(MID(raw_data!B857,4,2))),IF(MID(raw_data!B857,3,1)="-",DATE(VALUE(RIGHT(raw_data!B857,4)),VALUE(MID(raw_data!B857,4,2)),VALUE(LEFT(raw_data!B857,2))),IF(MID(raw_data!B857,5,1)="-",DATE(VALUE(LEFT(raw_data!B857,4)),VALUE(MID(raw_data!B857,6,2)),VALUE(RIGHT(raw_data!B857,2))),DATE(VALUE(RIGHT(raw_data!B857,4)),MATCH(MID(raw_data!B857,4,3),{"Jan","Feb","Mar","Apr","May","Jun","Jul","Aug","Sep","Oct","Nov","Dec"},0),VALUE(LEFT(raw_data!B857,2)))))),"")</f>
        <v>45498</v>
      </c>
      <c r="C857" s="4" t="n">
        <f aca="false">IFERROR(IF(MID(raw_data!C857,3,1)="/",DATE(VALUE(RIGHT(raw_data!C857,4)),VALUE(LEFT(raw_data!C857,2)),VALUE(MID(raw_data!C857,4,2))),IF(MID(raw_data!C857,3,1)="-",DATE(VALUE(RIGHT(raw_data!C857,4)),VALUE(MID(raw_data!C857,4,2)),VALUE(LEFT(raw_data!C857,2))),IF(MID(raw_data!C857,5,1)="-",DATE(VALUE(LEFT(raw_data!C857,4)),VALUE(MID(raw_data!C857,6,2)),VALUE(RIGHT(raw_data!C857,2))),DATE(VALUE(RIGHT(raw_data!C857,4)),MATCH(MID(raw_data!C857,4,3),{"Jan","Feb","Mar","Apr","May","Jun","Jul","Aug","Sep","Oct","Nov","Dec"},0),VALUE(LEFT(raw_data!C857,2)))))),"")</f>
        <v>45506</v>
      </c>
      <c r="D857" s="3" t="str">
        <f aca="false">IF(TRIM(raw_data!B857)="","Missing",IF(B857="","Invalid/Unrecognized","Valid"))</f>
        <v>Valid</v>
      </c>
      <c r="E857" s="3" t="str">
        <f aca="false">IF(TRIM(raw_data!C857)="","Missing",IF(C857="","Invalid/Unrecognized","Valid"))</f>
        <v>Valid</v>
      </c>
      <c r="F857" s="5" t="n">
        <f aca="false">IF(OR(B857="",C857=""),"",C857-B857)</f>
        <v>8</v>
      </c>
      <c r="G857" s="3" t="str">
        <f aca="false">IF(F857="","N/A",IF(F857&lt;0,"Invalid - Ship Before Order","OK"))</f>
        <v>OK</v>
      </c>
      <c r="H857" s="3" t="str">
        <f aca="false">raw_data!D857</f>
        <v>CUST-2752</v>
      </c>
      <c r="I857" s="3" t="str">
        <f aca="false">PROPER(TRIM(raw_data!E857))</f>
        <v>Rahul Verma</v>
      </c>
      <c r="J857" s="3" t="str">
        <f aca="false">PROPER(TRIM(raw_data!F857))</f>
        <v>Consumer</v>
      </c>
      <c r="K857" s="3" t="str">
        <f aca="false">IF(TRIM(raw_data!G857)="","Unknown",PROPER(TRIM(raw_data!G857)))</f>
        <v>North</v>
      </c>
      <c r="L857" s="3" t="str">
        <f aca="false">IF(TRIM(raw_data!G857)="","Filled - Unknown","OK")</f>
        <v>OK</v>
      </c>
      <c r="M857" s="3" t="str">
        <f aca="false">PROPER(TRIM(raw_data!H857))</f>
        <v>Rajasthan</v>
      </c>
      <c r="N857" s="3" t="str">
        <f aca="false">PROPER(TRIM(raw_data!I857))</f>
        <v>Jaipur</v>
      </c>
      <c r="O857" s="3" t="str">
        <f aca="false">PROPER(TRIM(raw_data!J857))</f>
        <v>Office Supplies</v>
      </c>
      <c r="P857" s="3" t="str">
        <f aca="false">PROPER(TRIM(raw_data!K857))</f>
        <v>Labels</v>
      </c>
      <c r="Q857" s="3" t="str">
        <f aca="false">TRIM(raw_data!L857)</f>
        <v>Classic Labels 215</v>
      </c>
      <c r="R857" s="3" t="str">
        <f aca="false">IF(TRIM(raw_data!M857)="","Unknown",PROPER(TRIM(raw_data!M857)))</f>
        <v>Second Class</v>
      </c>
      <c r="S857" s="3" t="str">
        <f aca="false">IF(TRIM(raw_data!M857)="","Filled - Unknown","OK")</f>
        <v>OK</v>
      </c>
      <c r="T857" s="6" t="n">
        <f aca="false">raw_data!N857</f>
        <v>2</v>
      </c>
      <c r="U857" s="7" t="n">
        <f aca="false">raw_data!O857</f>
        <v>2073.53</v>
      </c>
      <c r="V857" s="8" t="n">
        <f aca="false">raw_data!P857</f>
        <v>0.25</v>
      </c>
      <c r="W857" s="8" t="n">
        <f aca="false">IF(raw_data!P857="",0,IF(ISTEXT(raw_data!P857),IF(RIGHT(raw_data!P857,1)="%",VALUE(LEFT(raw_data!P857,LEN(raw_data!P857)-1))/100,VALUE(raw_data!P857)),raw_data!P857))</f>
        <v>0.25</v>
      </c>
      <c r="X857" s="3" t="str">
        <f aca="false">IF(raw_data!P857="","Missing - Defaulted to 0",IF(W857&lt;0,"Negative - Invalid",IF(W857&gt;0.3,"Above Allowed Range - Invalid","Valid")))</f>
        <v>Valid</v>
      </c>
      <c r="Y857" s="7" t="n">
        <f aca="false">raw_data!Q857</f>
        <v>3110.3</v>
      </c>
      <c r="Z857" s="7" t="n">
        <f aca="false">raw_data!R857</f>
        <v>2101.03</v>
      </c>
      <c r="AA857" s="7" t="n">
        <f aca="false">raw_data!S857</f>
        <v>1009.27</v>
      </c>
      <c r="AB857" s="3" t="str">
        <f aca="false">PROPER(TRIM(raw_data!T857))</f>
        <v>Paid</v>
      </c>
      <c r="AC857" s="3" t="str">
        <f aca="false">PROPER(TRIM(raw_data!U857))</f>
        <v>Completed</v>
      </c>
      <c r="AD857" s="7" t="n">
        <f aca="false">T857*U857*(1-W857)</f>
        <v>3110.295</v>
      </c>
      <c r="AE857" s="7" t="n">
        <f aca="false">AD857-Z857</f>
        <v>1009.265</v>
      </c>
      <c r="AF857" s="8" t="n">
        <f aca="false">IF(AD857=0,0,AE857/AD857)</f>
        <v>0.324491728276578</v>
      </c>
      <c r="AG857" s="3" t="str">
        <f aca="false">IF(ABS(Y857-AD857)&gt;1,"Mismatch","OK")</f>
        <v>OK</v>
      </c>
      <c r="AH857" s="3" t="str">
        <f aca="false">IF(ABS(AA857-AE857)&gt;1,"Mismatch","OK")</f>
        <v>OK</v>
      </c>
      <c r="AI857" s="6" t="n">
        <f aca="false">IF(B857="","",MONTH(B857))</f>
        <v>7</v>
      </c>
      <c r="AJ857" s="6" t="n">
        <f aca="false">IF(B857="","",YEAR(B857))</f>
        <v>2024</v>
      </c>
      <c r="AK857" s="3" t="str">
        <f aca="false">IF(COUNTIF(raw_data!$A$2:$A$913,A857)&gt;1,"Conflicting Duplicate - Flagged for Review","Unique")</f>
        <v>Unique</v>
      </c>
      <c r="AL857" s="3" t="str">
        <f aca="false">IF(AB857="Refunded","Yes","No")</f>
        <v>No</v>
      </c>
      <c r="AM857" s="3" t="str">
        <f aca="false">IF(OR(AC857&lt;&gt;"Completed",AB857="Failed"),"Excluded","Included")</f>
        <v>Included</v>
      </c>
      <c r="AN857" s="3" t="str">
        <f aca="false">IF(OR(D857="Invalid/Unrecognized",E857="Invalid/Unrecognized",G857="Invalid - Ship Before Order",X857="Negative - Invalid",X857="Above Allowed Range - Invalid",AG857="Mismatch",AH857="Mismatch",AK857="Conflicting Duplicate - Flagged for Review"),"Invalid",IF(OR(L857="Filled - Unknown",S857="Filled - Unknown",X857="Missing - Defaulted to 0",AL857="Yes",AC857="Cancelled",AC857="Returned"),"Warning","Clean"))</f>
        <v>Clean</v>
      </c>
    </row>
    <row r="858" customFormat="false" ht="15" hidden="false" customHeight="false" outlineLevel="0" collapsed="false">
      <c r="A858" s="3" t="str">
        <f aca="false">raw_data!A858</f>
        <v>ORD-2024-10857</v>
      </c>
      <c r="B858" s="4" t="n">
        <f aca="false">IFERROR(IF(MID(raw_data!B858,3,1)="/",DATE(VALUE(RIGHT(raw_data!B858,4)),VALUE(LEFT(raw_data!B858,2)),VALUE(MID(raw_data!B858,4,2))),IF(MID(raw_data!B858,3,1)="-",DATE(VALUE(RIGHT(raw_data!B858,4)),VALUE(MID(raw_data!B858,4,2)),VALUE(LEFT(raw_data!B858,2))),IF(MID(raw_data!B858,5,1)="-",DATE(VALUE(LEFT(raw_data!B858,4)),VALUE(MID(raw_data!B858,6,2)),VALUE(RIGHT(raw_data!B858,2))),DATE(VALUE(RIGHT(raw_data!B858,4)),MATCH(MID(raw_data!B858,4,3),{"Jan","Feb","Mar","Apr","May","Jun","Jul","Aug","Sep","Oct","Nov","Dec"},0),VALUE(LEFT(raw_data!B858,2)))))),"")</f>
        <v>45455</v>
      </c>
      <c r="C858" s="4" t="n">
        <f aca="false">IFERROR(IF(MID(raw_data!C858,3,1)="/",DATE(VALUE(RIGHT(raw_data!C858,4)),VALUE(LEFT(raw_data!C858,2)),VALUE(MID(raw_data!C858,4,2))),IF(MID(raw_data!C858,3,1)="-",DATE(VALUE(RIGHT(raw_data!C858,4)),VALUE(MID(raw_data!C858,4,2)),VALUE(LEFT(raw_data!C858,2))),IF(MID(raw_data!C858,5,1)="-",DATE(VALUE(LEFT(raw_data!C858,4)),VALUE(MID(raw_data!C858,6,2)),VALUE(RIGHT(raw_data!C858,2))),DATE(VALUE(RIGHT(raw_data!C858,4)),MATCH(MID(raw_data!C858,4,3),{"Jan","Feb","Mar","Apr","May","Jun","Jul","Aug","Sep","Oct","Nov","Dec"},0),VALUE(LEFT(raw_data!C858,2)))))),"")</f>
        <v>45462</v>
      </c>
      <c r="D858" s="3" t="str">
        <f aca="false">IF(TRIM(raw_data!B858)="","Missing",IF(B858="","Invalid/Unrecognized","Valid"))</f>
        <v>Valid</v>
      </c>
      <c r="E858" s="3" t="str">
        <f aca="false">IF(TRIM(raw_data!C858)="","Missing",IF(C858="","Invalid/Unrecognized","Valid"))</f>
        <v>Valid</v>
      </c>
      <c r="F858" s="5" t="n">
        <f aca="false">IF(OR(B858="",C858=""),"",C858-B858)</f>
        <v>7</v>
      </c>
      <c r="G858" s="3" t="str">
        <f aca="false">IF(F858="","N/A",IF(F858&lt;0,"Invalid - Ship Before Order","OK"))</f>
        <v>OK</v>
      </c>
      <c r="H858" s="3" t="str">
        <f aca="false">raw_data!D858</f>
        <v>CUST-5647</v>
      </c>
      <c r="I858" s="3" t="str">
        <f aca="false">PROPER(TRIM(raw_data!E858))</f>
        <v>Rohan Mehta</v>
      </c>
      <c r="J858" s="3" t="str">
        <f aca="false">PROPER(TRIM(raw_data!F858))</f>
        <v>Home Office</v>
      </c>
      <c r="K858" s="3" t="str">
        <f aca="false">IF(TRIM(raw_data!G858)="","Unknown",PROPER(TRIM(raw_data!G858)))</f>
        <v>South</v>
      </c>
      <c r="L858" s="3" t="str">
        <f aca="false">IF(TRIM(raw_data!G858)="","Filled - Unknown","OK")</f>
        <v>OK</v>
      </c>
      <c r="M858" s="3" t="str">
        <f aca="false">PROPER(TRIM(raw_data!H858))</f>
        <v>Tamil Nadu</v>
      </c>
      <c r="N858" s="3" t="str">
        <f aca="false">PROPER(TRIM(raw_data!I858))</f>
        <v>Chennai</v>
      </c>
      <c r="O858" s="3" t="str">
        <f aca="false">PROPER(TRIM(raw_data!J858))</f>
        <v>Office Supplies</v>
      </c>
      <c r="P858" s="3" t="str">
        <f aca="false">PROPER(TRIM(raw_data!K858))</f>
        <v>Storage</v>
      </c>
      <c r="Q858" s="3" t="str">
        <f aca="false">TRIM(raw_data!L858)</f>
        <v>Classic Storage 918</v>
      </c>
      <c r="R858" s="3" t="str">
        <f aca="false">IF(TRIM(raw_data!M858)="","Unknown",PROPER(TRIM(raw_data!M858)))</f>
        <v>Standard Class</v>
      </c>
      <c r="S858" s="3" t="str">
        <f aca="false">IF(TRIM(raw_data!M858)="","Filled - Unknown","OK")</f>
        <v>OK</v>
      </c>
      <c r="T858" s="6" t="n">
        <f aca="false">raw_data!N858</f>
        <v>4</v>
      </c>
      <c r="U858" s="7" t="n">
        <f aca="false">raw_data!O858</f>
        <v>395.1</v>
      </c>
      <c r="V858" s="8" t="n">
        <f aca="false">raw_data!P858</f>
        <v>-0.16</v>
      </c>
      <c r="W858" s="8" t="n">
        <f aca="false">IF(raw_data!P858="",0,IF(ISTEXT(raw_data!P858),IF(RIGHT(raw_data!P858,1)="%",VALUE(LEFT(raw_data!P858,LEN(raw_data!P858)-1))/100,VALUE(raw_data!P858)),raw_data!P858))</f>
        <v>-0.16</v>
      </c>
      <c r="X858" s="3" t="str">
        <f aca="false">IF(raw_data!P858="","Missing - Defaulted to 0",IF(W858&lt;0,"Negative - Invalid",IF(W858&gt;0.3,"Above Allowed Range - Invalid","Valid")))</f>
        <v>Negative - Invalid</v>
      </c>
      <c r="Y858" s="7" t="n">
        <f aca="false">raw_data!Q858</f>
        <v>1185.3</v>
      </c>
      <c r="Z858" s="7" t="n">
        <f aca="false">raw_data!R858</f>
        <v>966.55</v>
      </c>
      <c r="AA858" s="7" t="n">
        <f aca="false">raw_data!S858</f>
        <v>218.75</v>
      </c>
      <c r="AB858" s="3" t="str">
        <f aca="false">PROPER(TRIM(raw_data!T858))</f>
        <v>Failed</v>
      </c>
      <c r="AC858" s="3" t="str">
        <f aca="false">PROPER(TRIM(raw_data!U858))</f>
        <v>Cancelled</v>
      </c>
      <c r="AD858" s="7" t="n">
        <f aca="false">T858*U858*(1-W858)</f>
        <v>1833.264</v>
      </c>
      <c r="AE858" s="7" t="n">
        <f aca="false">AD858-Z858</f>
        <v>866.714</v>
      </c>
      <c r="AF858" s="8" t="n">
        <f aca="false">IF(AD858=0,0,AE858/AD858)</f>
        <v>0.472770970247602</v>
      </c>
      <c r="AG858" s="3" t="str">
        <f aca="false">IF(ABS(Y858-AD858)&gt;1,"Mismatch","OK")</f>
        <v>Mismatch</v>
      </c>
      <c r="AH858" s="3" t="str">
        <f aca="false">IF(ABS(AA858-AE858)&gt;1,"Mismatch","OK")</f>
        <v>Mismatch</v>
      </c>
      <c r="AI858" s="6" t="n">
        <f aca="false">IF(B858="","",MONTH(B858))</f>
        <v>6</v>
      </c>
      <c r="AJ858" s="6" t="n">
        <f aca="false">IF(B858="","",YEAR(B858))</f>
        <v>2024</v>
      </c>
      <c r="AK858" s="3" t="str">
        <f aca="false">IF(COUNTIF(raw_data!$A$2:$A$913,A858)&gt;1,"Conflicting Duplicate - Flagged for Review","Unique")</f>
        <v>Unique</v>
      </c>
      <c r="AL858" s="3" t="str">
        <f aca="false">IF(AB858="Refunded","Yes","No")</f>
        <v>No</v>
      </c>
      <c r="AM858" s="3" t="str">
        <f aca="false">IF(OR(AC858&lt;&gt;"Completed",AB858="Failed"),"Excluded","Included")</f>
        <v>Excluded</v>
      </c>
      <c r="AN858" s="3" t="str">
        <f aca="false">IF(OR(D858="Invalid/Unrecognized",E858="Invalid/Unrecognized",G858="Invalid - Ship Before Order",X858="Negative - Invalid",X858="Above Allowed Range - Invalid",AG858="Mismatch",AH858="Mismatch",AK858="Conflicting Duplicate - Flagged for Review"),"Invalid",IF(OR(L858="Filled - Unknown",S858="Filled - Unknown",X858="Missing - Defaulted to 0",AL858="Yes",AC858="Cancelled",AC858="Returned"),"Warning","Clean"))</f>
        <v>Invalid</v>
      </c>
    </row>
    <row r="859" customFormat="false" ht="15" hidden="false" customHeight="false" outlineLevel="0" collapsed="false">
      <c r="A859" s="3" t="str">
        <f aca="false">raw_data!A859</f>
        <v>ORD-2024-10858</v>
      </c>
      <c r="B859" s="4" t="n">
        <f aca="false">IFERROR(IF(MID(raw_data!B859,3,1)="/",DATE(VALUE(RIGHT(raw_data!B859,4)),VALUE(LEFT(raw_data!B859,2)),VALUE(MID(raw_data!B859,4,2))),IF(MID(raw_data!B859,3,1)="-",DATE(VALUE(RIGHT(raw_data!B859,4)),VALUE(MID(raw_data!B859,4,2)),VALUE(LEFT(raw_data!B859,2))),IF(MID(raw_data!B859,5,1)="-",DATE(VALUE(LEFT(raw_data!B859,4)),VALUE(MID(raw_data!B859,6,2)),VALUE(RIGHT(raw_data!B859,2))),DATE(VALUE(RIGHT(raw_data!B859,4)),MATCH(MID(raw_data!B859,4,3),{"Jan","Feb","Mar","Apr","May","Jun","Jul","Aug","Sep","Oct","Nov","Dec"},0),VALUE(LEFT(raw_data!B859,2)))))),"")</f>
        <v>45447</v>
      </c>
      <c r="C859" s="4" t="n">
        <f aca="false">IFERROR(IF(MID(raw_data!C859,3,1)="/",DATE(VALUE(RIGHT(raw_data!C859,4)),VALUE(LEFT(raw_data!C859,2)),VALUE(MID(raw_data!C859,4,2))),IF(MID(raw_data!C859,3,1)="-",DATE(VALUE(RIGHT(raw_data!C859,4)),VALUE(MID(raw_data!C859,4,2)),VALUE(LEFT(raw_data!C859,2))),IF(MID(raw_data!C859,5,1)="-",DATE(VALUE(LEFT(raw_data!C859,4)),VALUE(MID(raw_data!C859,6,2)),VALUE(RIGHT(raw_data!C859,2))),DATE(VALUE(RIGHT(raw_data!C859,4)),MATCH(MID(raw_data!C859,4,3),{"Jan","Feb","Mar","Apr","May","Jun","Jul","Aug","Sep","Oct","Nov","Dec"},0),VALUE(LEFT(raw_data!C859,2)))))),"")</f>
        <v>45447</v>
      </c>
      <c r="D859" s="3" t="str">
        <f aca="false">IF(TRIM(raw_data!B859)="","Missing",IF(B859="","Invalid/Unrecognized","Valid"))</f>
        <v>Valid</v>
      </c>
      <c r="E859" s="3" t="str">
        <f aca="false">IF(TRIM(raw_data!C859)="","Missing",IF(C859="","Invalid/Unrecognized","Valid"))</f>
        <v>Valid</v>
      </c>
      <c r="F859" s="5" t="n">
        <f aca="false">IF(OR(B859="",C859=""),"",C859-B859)</f>
        <v>0</v>
      </c>
      <c r="G859" s="3" t="str">
        <f aca="false">IF(F859="","N/A",IF(F859&lt;0,"Invalid - Ship Before Order","OK"))</f>
        <v>OK</v>
      </c>
      <c r="H859" s="3" t="str">
        <f aca="false">raw_data!D859</f>
        <v>CUST-8575</v>
      </c>
      <c r="I859" s="3" t="str">
        <f aca="false">PROPER(TRIM(raw_data!E859))</f>
        <v>Sneha Kapoor</v>
      </c>
      <c r="J859" s="3" t="str">
        <f aca="false">PROPER(TRIM(raw_data!F859))</f>
        <v>Home Office</v>
      </c>
      <c r="K859" s="3" t="str">
        <f aca="false">IF(TRIM(raw_data!G859)="","Unknown",PROPER(TRIM(raw_data!G859)))</f>
        <v>South</v>
      </c>
      <c r="L859" s="3" t="str">
        <f aca="false">IF(TRIM(raw_data!G859)="","Filled - Unknown","OK")</f>
        <v>OK</v>
      </c>
      <c r="M859" s="3" t="str">
        <f aca="false">PROPER(TRIM(raw_data!H859))</f>
        <v>Kerala</v>
      </c>
      <c r="N859" s="3" t="str">
        <f aca="false">PROPER(TRIM(raw_data!I859))</f>
        <v>Kochi</v>
      </c>
      <c r="O859" s="3" t="str">
        <f aca="false">PROPER(TRIM(raw_data!J859))</f>
        <v>Office Supplies</v>
      </c>
      <c r="P859" s="3" t="str">
        <f aca="false">PROPER(TRIM(raw_data!K859))</f>
        <v>Storage</v>
      </c>
      <c r="Q859" s="3" t="str">
        <f aca="false">TRIM(raw_data!L859)</f>
        <v>Max Storage 223</v>
      </c>
      <c r="R859" s="3" t="str">
        <f aca="false">IF(TRIM(raw_data!M859)="","Unknown",PROPER(TRIM(raw_data!M859)))</f>
        <v>First Class</v>
      </c>
      <c r="S859" s="3" t="str">
        <f aca="false">IF(TRIM(raw_data!M859)="","Filled - Unknown","OK")</f>
        <v>OK</v>
      </c>
      <c r="T859" s="6" t="n">
        <f aca="false">raw_data!N859</f>
        <v>6</v>
      </c>
      <c r="U859" s="7" t="n">
        <f aca="false">raw_data!O859</f>
        <v>2708.97</v>
      </c>
      <c r="V859" s="8" t="n">
        <f aca="false">raw_data!P859</f>
        <v>0.25</v>
      </c>
      <c r="W859" s="8" t="n">
        <f aca="false">IF(raw_data!P859="",0,IF(ISTEXT(raw_data!P859),IF(RIGHT(raw_data!P859,1)="%",VALUE(LEFT(raw_data!P859,LEN(raw_data!P859)-1))/100,VALUE(raw_data!P859)),raw_data!P859))</f>
        <v>0.25</v>
      </c>
      <c r="X859" s="3" t="str">
        <f aca="false">IF(raw_data!P859="","Missing - Defaulted to 0",IF(W859&lt;0,"Negative - Invalid",IF(W859&gt;0.3,"Above Allowed Range - Invalid","Valid")))</f>
        <v>Valid</v>
      </c>
      <c r="Y859" s="7" t="n">
        <f aca="false">raw_data!Q859</f>
        <v>12190.36</v>
      </c>
      <c r="Z859" s="7" t="n">
        <f aca="false">raw_data!R859</f>
        <v>10176.99</v>
      </c>
      <c r="AA859" s="7" t="n">
        <f aca="false">raw_data!S859</f>
        <v>2013.37</v>
      </c>
      <c r="AB859" s="3" t="str">
        <f aca="false">PROPER(TRIM(raw_data!T859))</f>
        <v>Paid</v>
      </c>
      <c r="AC859" s="3" t="str">
        <f aca="false">PROPER(TRIM(raw_data!U859))</f>
        <v>Completed</v>
      </c>
      <c r="AD859" s="7" t="n">
        <f aca="false">T859*U859*(1-W859)</f>
        <v>12190.365</v>
      </c>
      <c r="AE859" s="7" t="n">
        <f aca="false">AD859-Z859</f>
        <v>2013.375</v>
      </c>
      <c r="AF859" s="8" t="n">
        <f aca="false">IF(AD859=0,0,AE859/AD859)</f>
        <v>0.165161174419306</v>
      </c>
      <c r="AG859" s="3" t="str">
        <f aca="false">IF(ABS(Y859-AD859)&gt;1,"Mismatch","OK")</f>
        <v>OK</v>
      </c>
      <c r="AH859" s="3" t="str">
        <f aca="false">IF(ABS(AA859-AE859)&gt;1,"Mismatch","OK")</f>
        <v>OK</v>
      </c>
      <c r="AI859" s="6" t="n">
        <f aca="false">IF(B859="","",MONTH(B859))</f>
        <v>6</v>
      </c>
      <c r="AJ859" s="6" t="n">
        <f aca="false">IF(B859="","",YEAR(B859))</f>
        <v>2024</v>
      </c>
      <c r="AK859" s="3" t="str">
        <f aca="false">IF(COUNTIF(raw_data!$A$2:$A$913,A859)&gt;1,"Conflicting Duplicate - Flagged for Review","Unique")</f>
        <v>Unique</v>
      </c>
      <c r="AL859" s="3" t="str">
        <f aca="false">IF(AB859="Refunded","Yes","No")</f>
        <v>No</v>
      </c>
      <c r="AM859" s="3" t="str">
        <f aca="false">IF(OR(AC859&lt;&gt;"Completed",AB859="Failed"),"Excluded","Included")</f>
        <v>Included</v>
      </c>
      <c r="AN859" s="3" t="str">
        <f aca="false">IF(OR(D859="Invalid/Unrecognized",E859="Invalid/Unrecognized",G859="Invalid - Ship Before Order",X859="Negative - Invalid",X859="Above Allowed Range - Invalid",AG859="Mismatch",AH859="Mismatch",AK859="Conflicting Duplicate - Flagged for Review"),"Invalid",IF(OR(L859="Filled - Unknown",S859="Filled - Unknown",X859="Missing - Defaulted to 0",AL859="Yes",AC859="Cancelled",AC859="Returned"),"Warning","Clean"))</f>
        <v>Clean</v>
      </c>
    </row>
    <row r="860" customFormat="false" ht="15" hidden="false" customHeight="false" outlineLevel="0" collapsed="false">
      <c r="A860" s="3" t="str">
        <f aca="false">raw_data!A860</f>
        <v>ORD-2024-10859</v>
      </c>
      <c r="B860" s="4" t="n">
        <f aca="false">IFERROR(IF(MID(raw_data!B860,3,1)="/",DATE(VALUE(RIGHT(raw_data!B860,4)),VALUE(LEFT(raw_data!B860,2)),VALUE(MID(raw_data!B860,4,2))),IF(MID(raw_data!B860,3,1)="-",DATE(VALUE(RIGHT(raw_data!B860,4)),VALUE(MID(raw_data!B860,4,2)),VALUE(LEFT(raw_data!B860,2))),IF(MID(raw_data!B860,5,1)="-",DATE(VALUE(LEFT(raw_data!B860,4)),VALUE(MID(raw_data!B860,6,2)),VALUE(RIGHT(raw_data!B860,2))),DATE(VALUE(RIGHT(raw_data!B860,4)),MATCH(MID(raw_data!B860,4,3),{"Jan","Feb","Mar","Apr","May","Jun","Jul","Aug","Sep","Oct","Nov","Dec"},0),VALUE(LEFT(raw_data!B860,2)))))),"")</f>
        <v>45414</v>
      </c>
      <c r="C860" s="4" t="n">
        <f aca="false">IFERROR(IF(MID(raw_data!C860,3,1)="/",DATE(VALUE(RIGHT(raw_data!C860,4)),VALUE(LEFT(raw_data!C860,2)),VALUE(MID(raw_data!C860,4,2))),IF(MID(raw_data!C860,3,1)="-",DATE(VALUE(RIGHT(raw_data!C860,4)),VALUE(MID(raw_data!C860,4,2)),VALUE(LEFT(raw_data!C860,2))),IF(MID(raw_data!C860,5,1)="-",DATE(VALUE(LEFT(raw_data!C860,4)),VALUE(MID(raw_data!C860,6,2)),VALUE(RIGHT(raw_data!C860,2))),DATE(VALUE(RIGHT(raw_data!C860,4)),MATCH(MID(raw_data!C860,4,3),{"Jan","Feb","Mar","Apr","May","Jun","Jul","Aug","Sep","Oct","Nov","Dec"},0),VALUE(LEFT(raw_data!C860,2)))))),"")</f>
        <v>45421</v>
      </c>
      <c r="D860" s="3" t="str">
        <f aca="false">IF(TRIM(raw_data!B860)="","Missing",IF(B860="","Invalid/Unrecognized","Valid"))</f>
        <v>Valid</v>
      </c>
      <c r="E860" s="3" t="str">
        <f aca="false">IF(TRIM(raw_data!C860)="","Missing",IF(C860="","Invalid/Unrecognized","Valid"))</f>
        <v>Valid</v>
      </c>
      <c r="F860" s="5" t="n">
        <f aca="false">IF(OR(B860="",C860=""),"",C860-B860)</f>
        <v>7</v>
      </c>
      <c r="G860" s="3" t="str">
        <f aca="false">IF(F860="","N/A",IF(F860&lt;0,"Invalid - Ship Before Order","OK"))</f>
        <v>OK</v>
      </c>
      <c r="H860" s="3" t="str">
        <f aca="false">raw_data!D860</f>
        <v>CUST-9576</v>
      </c>
      <c r="I860" s="3" t="str">
        <f aca="false">PROPER(TRIM(raw_data!E860))</f>
        <v>Arjun Bose</v>
      </c>
      <c r="J860" s="3" t="str">
        <f aca="false">PROPER(TRIM(raw_data!F860))</f>
        <v>Consumer</v>
      </c>
      <c r="K860" s="3" t="str">
        <f aca="false">IF(TRIM(raw_data!G860)="","Unknown",PROPER(TRIM(raw_data!G860)))</f>
        <v>East</v>
      </c>
      <c r="L860" s="3" t="str">
        <f aca="false">IF(TRIM(raw_data!G860)="","Filled - Unknown","OK")</f>
        <v>OK</v>
      </c>
      <c r="M860" s="3" t="str">
        <f aca="false">PROPER(TRIM(raw_data!H860))</f>
        <v>Odisha</v>
      </c>
      <c r="N860" s="3" t="str">
        <f aca="false">PROPER(TRIM(raw_data!I860))</f>
        <v>Bhubaneswar</v>
      </c>
      <c r="O860" s="3" t="str">
        <f aca="false">PROPER(TRIM(raw_data!J860))</f>
        <v>Technology</v>
      </c>
      <c r="P860" s="3" t="str">
        <f aca="false">PROPER(TRIM(raw_data!K860))</f>
        <v>Accessories</v>
      </c>
      <c r="Q860" s="3" t="str">
        <f aca="false">TRIM(raw_data!L860)</f>
        <v>Basic Accessories 602</v>
      </c>
      <c r="R860" s="3" t="str">
        <f aca="false">IF(TRIM(raw_data!M860)="","Unknown",PROPER(TRIM(raw_data!M860)))</f>
        <v>Second Class</v>
      </c>
      <c r="S860" s="3" t="str">
        <f aca="false">IF(TRIM(raw_data!M860)="","Filled - Unknown","OK")</f>
        <v>OK</v>
      </c>
      <c r="T860" s="6" t="n">
        <f aca="false">raw_data!N860</f>
        <v>4</v>
      </c>
      <c r="U860" s="7" t="n">
        <f aca="false">raw_data!O860</f>
        <v>2904.86</v>
      </c>
      <c r="V860" s="8" t="n">
        <f aca="false">raw_data!P860</f>
        <v>0</v>
      </c>
      <c r="W860" s="8" t="n">
        <f aca="false">IF(raw_data!P860="",0,IF(ISTEXT(raw_data!P860),IF(RIGHT(raw_data!P860,1)="%",VALUE(LEFT(raw_data!P860,LEN(raw_data!P860)-1))/100,VALUE(raw_data!P860)),raw_data!P860))</f>
        <v>0</v>
      </c>
      <c r="X860" s="3" t="str">
        <f aca="false">IF(raw_data!P860="","Missing - Defaulted to 0",IF(W860&lt;0,"Negative - Invalid",IF(W860&gt;0.3,"Above Allowed Range - Invalid","Valid")))</f>
        <v>Valid</v>
      </c>
      <c r="Y860" s="7" t="n">
        <f aca="false">raw_data!Q860</f>
        <v>11619.44</v>
      </c>
      <c r="Z860" s="7" t="n">
        <f aca="false">raw_data!R860</f>
        <v>7184.32</v>
      </c>
      <c r="AA860" s="7" t="n">
        <f aca="false">raw_data!S860</f>
        <v>4494.64</v>
      </c>
      <c r="AB860" s="3" t="str">
        <f aca="false">PROPER(TRIM(raw_data!T860))</f>
        <v>Paid</v>
      </c>
      <c r="AC860" s="3" t="str">
        <f aca="false">PROPER(TRIM(raw_data!U860))</f>
        <v>Completed</v>
      </c>
      <c r="AD860" s="7" t="n">
        <f aca="false">T860*U860*(1-W860)</f>
        <v>11619.44</v>
      </c>
      <c r="AE860" s="7" t="n">
        <f aca="false">AD860-Z860</f>
        <v>4435.12</v>
      </c>
      <c r="AF860" s="8" t="n">
        <f aca="false">IF(AD860=0,0,AE860/AD860)</f>
        <v>0.381698257403111</v>
      </c>
      <c r="AG860" s="3" t="str">
        <f aca="false">IF(ABS(Y860-AD860)&gt;1,"Mismatch","OK")</f>
        <v>OK</v>
      </c>
      <c r="AH860" s="3" t="str">
        <f aca="false">IF(ABS(AA860-AE860)&gt;1,"Mismatch","OK")</f>
        <v>Mismatch</v>
      </c>
      <c r="AI860" s="6" t="n">
        <f aca="false">IF(B860="","",MONTH(B860))</f>
        <v>5</v>
      </c>
      <c r="AJ860" s="6" t="n">
        <f aca="false">IF(B860="","",YEAR(B860))</f>
        <v>2024</v>
      </c>
      <c r="AK860" s="3" t="str">
        <f aca="false">IF(COUNTIF(raw_data!$A$2:$A$913,A860)&gt;1,"Conflicting Duplicate - Flagged for Review","Unique")</f>
        <v>Unique</v>
      </c>
      <c r="AL860" s="3" t="str">
        <f aca="false">IF(AB860="Refunded","Yes","No")</f>
        <v>No</v>
      </c>
      <c r="AM860" s="3" t="str">
        <f aca="false">IF(OR(AC860&lt;&gt;"Completed",AB860="Failed"),"Excluded","Included")</f>
        <v>Included</v>
      </c>
      <c r="AN860" s="3" t="str">
        <f aca="false">IF(OR(D860="Invalid/Unrecognized",E860="Invalid/Unrecognized",G860="Invalid - Ship Before Order",X860="Negative - Invalid",X860="Above Allowed Range - Invalid",AG860="Mismatch",AH860="Mismatch",AK860="Conflicting Duplicate - Flagged for Review"),"Invalid",IF(OR(L860="Filled - Unknown",S860="Filled - Unknown",X860="Missing - Defaulted to 0",AL860="Yes",AC860="Cancelled",AC860="Returned"),"Warning","Clean"))</f>
        <v>Invalid</v>
      </c>
    </row>
    <row r="861" customFormat="false" ht="15" hidden="false" customHeight="false" outlineLevel="0" collapsed="false">
      <c r="A861" s="3" t="str">
        <f aca="false">raw_data!A861</f>
        <v>ORD-2024-10860</v>
      </c>
      <c r="B861" s="4" t="n">
        <f aca="false">IFERROR(IF(MID(raw_data!B861,3,1)="/",DATE(VALUE(RIGHT(raw_data!B861,4)),VALUE(LEFT(raw_data!B861,2)),VALUE(MID(raw_data!B861,4,2))),IF(MID(raw_data!B861,3,1)="-",DATE(VALUE(RIGHT(raw_data!B861,4)),VALUE(MID(raw_data!B861,4,2)),VALUE(LEFT(raw_data!B861,2))),IF(MID(raw_data!B861,5,1)="-",DATE(VALUE(LEFT(raw_data!B861,4)),VALUE(MID(raw_data!B861,6,2)),VALUE(RIGHT(raw_data!B861,2))),DATE(VALUE(RIGHT(raw_data!B861,4)),MATCH(MID(raw_data!B861,4,3),{"Jan","Feb","Mar","Apr","May","Jun","Jul","Aug","Sep","Oct","Nov","Dec"},0),VALUE(LEFT(raw_data!B861,2)))))),"")</f>
        <v>45592</v>
      </c>
      <c r="C861" s="4" t="n">
        <f aca="false">IFERROR(IF(MID(raw_data!C861,3,1)="/",DATE(VALUE(RIGHT(raw_data!C861,4)),VALUE(LEFT(raw_data!C861,2)),VALUE(MID(raw_data!C861,4,2))),IF(MID(raw_data!C861,3,1)="-",DATE(VALUE(RIGHT(raw_data!C861,4)),VALUE(MID(raw_data!C861,4,2)),VALUE(LEFT(raw_data!C861,2))),IF(MID(raw_data!C861,5,1)="-",DATE(VALUE(LEFT(raw_data!C861,4)),VALUE(MID(raw_data!C861,6,2)),VALUE(RIGHT(raw_data!C861,2))),DATE(VALUE(RIGHT(raw_data!C861,4)),MATCH(MID(raw_data!C861,4,3),{"Jan","Feb","Mar","Apr","May","Jun","Jul","Aug","Sep","Oct","Nov","Dec"},0),VALUE(LEFT(raw_data!C861,2)))))),"")</f>
        <v>45597</v>
      </c>
      <c r="D861" s="3" t="str">
        <f aca="false">IF(TRIM(raw_data!B861)="","Missing",IF(B861="","Invalid/Unrecognized","Valid"))</f>
        <v>Valid</v>
      </c>
      <c r="E861" s="3" t="str">
        <f aca="false">IF(TRIM(raw_data!C861)="","Missing",IF(C861="","Invalid/Unrecognized","Valid"))</f>
        <v>Valid</v>
      </c>
      <c r="F861" s="5" t="n">
        <f aca="false">IF(OR(B861="",C861=""),"",C861-B861)</f>
        <v>5</v>
      </c>
      <c r="G861" s="3" t="str">
        <f aca="false">IF(F861="","N/A",IF(F861&lt;0,"Invalid - Ship Before Order","OK"))</f>
        <v>OK</v>
      </c>
      <c r="H861" s="3" t="str">
        <f aca="false">raw_data!D861</f>
        <v>CUST-2395</v>
      </c>
      <c r="I861" s="3" t="str">
        <f aca="false">PROPER(TRIM(raw_data!E861))</f>
        <v>Aditi Sen</v>
      </c>
      <c r="J861" s="3" t="str">
        <f aca="false">PROPER(TRIM(raw_data!F861))</f>
        <v>Corporate</v>
      </c>
      <c r="K861" s="3" t="str">
        <f aca="false">IF(TRIM(raw_data!G861)="","Unknown",PROPER(TRIM(raw_data!G861)))</f>
        <v>South</v>
      </c>
      <c r="L861" s="3" t="str">
        <f aca="false">IF(TRIM(raw_data!G861)="","Filled - Unknown","OK")</f>
        <v>OK</v>
      </c>
      <c r="M861" s="3" t="str">
        <f aca="false">PROPER(TRIM(raw_data!H861))</f>
        <v>Tamil Nadu</v>
      </c>
      <c r="N861" s="3" t="str">
        <f aca="false">PROPER(TRIM(raw_data!I861))</f>
        <v>Chennai</v>
      </c>
      <c r="O861" s="3" t="str">
        <f aca="false">PROPER(TRIM(raw_data!J861))</f>
        <v>Technology</v>
      </c>
      <c r="P861" s="3" t="str">
        <f aca="false">PROPER(TRIM(raw_data!K861))</f>
        <v>Phones</v>
      </c>
      <c r="Q861" s="3" t="str">
        <f aca="false">TRIM(raw_data!L861)</f>
        <v>Elite Phones 394</v>
      </c>
      <c r="R861" s="3" t="str">
        <f aca="false">IF(TRIM(raw_data!M861)="","Unknown",PROPER(TRIM(raw_data!M861)))</f>
        <v>Standard Class</v>
      </c>
      <c r="S861" s="3" t="str">
        <f aca="false">IF(TRIM(raw_data!M861)="","Filled - Unknown","OK")</f>
        <v>OK</v>
      </c>
      <c r="T861" s="6" t="n">
        <f aca="false">raw_data!N861</f>
        <v>6</v>
      </c>
      <c r="U861" s="7" t="n">
        <f aca="false">raw_data!O861</f>
        <v>4399.2</v>
      </c>
      <c r="V861" s="8" t="n">
        <f aca="false">raw_data!P861</f>
        <v>0.05</v>
      </c>
      <c r="W861" s="8" t="n">
        <f aca="false">IF(raw_data!P861="",0,IF(ISTEXT(raw_data!P861),IF(RIGHT(raw_data!P861,1)="%",VALUE(LEFT(raw_data!P861,LEN(raw_data!P861)-1))/100,VALUE(raw_data!P861)),raw_data!P861))</f>
        <v>0.05</v>
      </c>
      <c r="X861" s="3" t="str">
        <f aca="false">IF(raw_data!P861="","Missing - Defaulted to 0",IF(W861&lt;0,"Negative - Invalid",IF(W861&gt;0.3,"Above Allowed Range - Invalid","Valid")))</f>
        <v>Valid</v>
      </c>
      <c r="Y861" s="7" t="n">
        <f aca="false">raw_data!Q861</f>
        <v>25075.44</v>
      </c>
      <c r="Z861" s="7" t="n">
        <f aca="false">raw_data!R861</f>
        <v>16282.74</v>
      </c>
      <c r="AA861" s="7" t="n">
        <f aca="false">raw_data!S861</f>
        <v>8792.7</v>
      </c>
      <c r="AB861" s="3" t="str">
        <f aca="false">PROPER(TRIM(raw_data!T861))</f>
        <v>Paid</v>
      </c>
      <c r="AC861" s="3" t="str">
        <f aca="false">PROPER(TRIM(raw_data!U861))</f>
        <v>Completed</v>
      </c>
      <c r="AD861" s="7" t="n">
        <f aca="false">T861*U861*(1-W861)</f>
        <v>25075.44</v>
      </c>
      <c r="AE861" s="7" t="n">
        <f aca="false">AD861-Z861</f>
        <v>8792.7</v>
      </c>
      <c r="AF861" s="8" t="n">
        <f aca="false">IF(AD861=0,0,AE861/AD861)</f>
        <v>0.350649878925355</v>
      </c>
      <c r="AG861" s="3" t="str">
        <f aca="false">IF(ABS(Y861-AD861)&gt;1,"Mismatch","OK")</f>
        <v>OK</v>
      </c>
      <c r="AH861" s="3" t="str">
        <f aca="false">IF(ABS(AA861-AE861)&gt;1,"Mismatch","OK")</f>
        <v>OK</v>
      </c>
      <c r="AI861" s="6" t="n">
        <f aca="false">IF(B861="","",MONTH(B861))</f>
        <v>10</v>
      </c>
      <c r="AJ861" s="6" t="n">
        <f aca="false">IF(B861="","",YEAR(B861))</f>
        <v>2024</v>
      </c>
      <c r="AK861" s="3" t="str">
        <f aca="false">IF(COUNTIF(raw_data!$A$2:$A$913,A861)&gt;1,"Conflicting Duplicate - Flagged for Review","Unique")</f>
        <v>Unique</v>
      </c>
      <c r="AL861" s="3" t="str">
        <f aca="false">IF(AB861="Refunded","Yes","No")</f>
        <v>No</v>
      </c>
      <c r="AM861" s="3" t="str">
        <f aca="false">IF(OR(AC861&lt;&gt;"Completed",AB861="Failed"),"Excluded","Included")</f>
        <v>Included</v>
      </c>
      <c r="AN861" s="3" t="str">
        <f aca="false">IF(OR(D861="Invalid/Unrecognized",E861="Invalid/Unrecognized",G861="Invalid - Ship Before Order",X861="Negative - Invalid",X861="Above Allowed Range - Invalid",AG861="Mismatch",AH861="Mismatch",AK861="Conflicting Duplicate - Flagged for Review"),"Invalid",IF(OR(L861="Filled - Unknown",S861="Filled - Unknown",X861="Missing - Defaulted to 0",AL861="Yes",AC861="Cancelled",AC861="Returned"),"Warning","Clean"))</f>
        <v>Clean</v>
      </c>
    </row>
    <row r="862" customFormat="false" ht="15" hidden="false" customHeight="false" outlineLevel="0" collapsed="false">
      <c r="A862" s="3" t="str">
        <f aca="false">raw_data!A862</f>
        <v>ORD-2024-10861</v>
      </c>
      <c r="B862" s="4" t="n">
        <f aca="false">IFERROR(IF(MID(raw_data!B862,3,1)="/",DATE(VALUE(RIGHT(raw_data!B862,4)),VALUE(LEFT(raw_data!B862,2)),VALUE(MID(raw_data!B862,4,2))),IF(MID(raw_data!B862,3,1)="-",DATE(VALUE(RIGHT(raw_data!B862,4)),VALUE(MID(raw_data!B862,4,2)),VALUE(LEFT(raw_data!B862,2))),IF(MID(raw_data!B862,5,1)="-",DATE(VALUE(LEFT(raw_data!B862,4)),VALUE(MID(raw_data!B862,6,2)),VALUE(RIGHT(raw_data!B862,2))),DATE(VALUE(RIGHT(raw_data!B862,4)),MATCH(MID(raw_data!B862,4,3),{"Jan","Feb","Mar","Apr","May","Jun","Jul","Aug","Sep","Oct","Nov","Dec"},0),VALUE(LEFT(raw_data!B862,2)))))),"")</f>
        <v>45324</v>
      </c>
      <c r="C862" s="4" t="n">
        <f aca="false">IFERROR(IF(MID(raw_data!C862,3,1)="/",DATE(VALUE(RIGHT(raw_data!C862,4)),VALUE(LEFT(raw_data!C862,2)),VALUE(MID(raw_data!C862,4,2))),IF(MID(raw_data!C862,3,1)="-",DATE(VALUE(RIGHT(raw_data!C862,4)),VALUE(MID(raw_data!C862,4,2)),VALUE(LEFT(raw_data!C862,2))),IF(MID(raw_data!C862,5,1)="-",DATE(VALUE(LEFT(raw_data!C862,4)),VALUE(MID(raw_data!C862,6,2)),VALUE(RIGHT(raw_data!C862,2))),DATE(VALUE(RIGHT(raw_data!C862,4)),MATCH(MID(raw_data!C862,4,3),{"Jan","Feb","Mar","Apr","May","Jun","Jul","Aug","Sep","Oct","Nov","Dec"},0),VALUE(LEFT(raw_data!C862,2)))))),"")</f>
        <v>45326</v>
      </c>
      <c r="D862" s="3" t="str">
        <f aca="false">IF(TRIM(raw_data!B862)="","Missing",IF(B862="","Invalid/Unrecognized","Valid"))</f>
        <v>Valid</v>
      </c>
      <c r="E862" s="3" t="str">
        <f aca="false">IF(TRIM(raw_data!C862)="","Missing",IF(C862="","Invalid/Unrecognized","Valid"))</f>
        <v>Valid</v>
      </c>
      <c r="F862" s="5" t="n">
        <f aca="false">IF(OR(B862="",C862=""),"",C862-B862)</f>
        <v>2</v>
      </c>
      <c r="G862" s="3" t="str">
        <f aca="false">IF(F862="","N/A",IF(F862&lt;0,"Invalid - Ship Before Order","OK"))</f>
        <v>OK</v>
      </c>
      <c r="H862" s="3" t="str">
        <f aca="false">raw_data!D862</f>
        <v>CUST-8941</v>
      </c>
      <c r="I862" s="3" t="str">
        <f aca="false">PROPER(TRIM(raw_data!E862))</f>
        <v>Vikram Iyer</v>
      </c>
      <c r="J862" s="3" t="str">
        <f aca="false">PROPER(TRIM(raw_data!F862))</f>
        <v>Home Office</v>
      </c>
      <c r="K862" s="3" t="str">
        <f aca="false">IF(TRIM(raw_data!G862)="","Unknown",PROPER(TRIM(raw_data!G862)))</f>
        <v>North</v>
      </c>
      <c r="L862" s="3" t="str">
        <f aca="false">IF(TRIM(raw_data!G862)="","Filled - Unknown","OK")</f>
        <v>OK</v>
      </c>
      <c r="M862" s="3" t="str">
        <f aca="false">PROPER(TRIM(raw_data!H862))</f>
        <v>Uttar Pradesh</v>
      </c>
      <c r="N862" s="3" t="str">
        <f aca="false">PROPER(TRIM(raw_data!I862))</f>
        <v>Noida</v>
      </c>
      <c r="O862" s="3" t="str">
        <f aca="false">PROPER(TRIM(raw_data!J862))</f>
        <v>Office Supplies</v>
      </c>
      <c r="P862" s="3" t="str">
        <f aca="false">PROPER(TRIM(raw_data!K862))</f>
        <v>Storage</v>
      </c>
      <c r="Q862" s="3" t="str">
        <f aca="false">TRIM(raw_data!L862)</f>
        <v>Classic Storage 194</v>
      </c>
      <c r="R862" s="3" t="str">
        <f aca="false">IF(TRIM(raw_data!M862)="","Unknown",PROPER(TRIM(raw_data!M862)))</f>
        <v>Second Class</v>
      </c>
      <c r="S862" s="3" t="str">
        <f aca="false">IF(TRIM(raw_data!M862)="","Filled - Unknown","OK")</f>
        <v>OK</v>
      </c>
      <c r="T862" s="6" t="n">
        <f aca="false">raw_data!N862</f>
        <v>1</v>
      </c>
      <c r="U862" s="7" t="n">
        <f aca="false">raw_data!O862</f>
        <v>4397.32</v>
      </c>
      <c r="V862" s="8" t="n">
        <f aca="false">raw_data!P862</f>
        <v>0.05</v>
      </c>
      <c r="W862" s="8" t="n">
        <f aca="false">IF(raw_data!P862="",0,IF(ISTEXT(raw_data!P862),IF(RIGHT(raw_data!P862,1)="%",VALUE(LEFT(raw_data!P862,LEN(raw_data!P862)-1))/100,VALUE(raw_data!P862)),raw_data!P862))</f>
        <v>0.05</v>
      </c>
      <c r="X862" s="3" t="str">
        <f aca="false">IF(raw_data!P862="","Missing - Defaulted to 0",IF(W862&lt;0,"Negative - Invalid",IF(W862&gt;0.3,"Above Allowed Range - Invalid","Valid")))</f>
        <v>Valid</v>
      </c>
      <c r="Y862" s="7" t="n">
        <f aca="false">raw_data!Q862</f>
        <v>4177.45</v>
      </c>
      <c r="Z862" s="7" t="n">
        <f aca="false">raw_data!R862</f>
        <v>2299.5</v>
      </c>
      <c r="AA862" s="7" t="n">
        <f aca="false">raw_data!S862</f>
        <v>1877.95</v>
      </c>
      <c r="AB862" s="3" t="str">
        <f aca="false">PROPER(TRIM(raw_data!T862))</f>
        <v>Paid</v>
      </c>
      <c r="AC862" s="3" t="str">
        <f aca="false">PROPER(TRIM(raw_data!U862))</f>
        <v>Completed</v>
      </c>
      <c r="AD862" s="7" t="n">
        <f aca="false">T862*U862*(1-W862)</f>
        <v>4177.454</v>
      </c>
      <c r="AE862" s="7" t="n">
        <f aca="false">AD862-Z862</f>
        <v>1877.954</v>
      </c>
      <c r="AF862" s="8" t="n">
        <f aca="false">IF(AD862=0,0,AE862/AD862)</f>
        <v>0.449545105703139</v>
      </c>
      <c r="AG862" s="3" t="str">
        <f aca="false">IF(ABS(Y862-AD862)&gt;1,"Mismatch","OK")</f>
        <v>OK</v>
      </c>
      <c r="AH862" s="3" t="str">
        <f aca="false">IF(ABS(AA862-AE862)&gt;1,"Mismatch","OK")</f>
        <v>OK</v>
      </c>
      <c r="AI862" s="6" t="n">
        <f aca="false">IF(B862="","",MONTH(B862))</f>
        <v>2</v>
      </c>
      <c r="AJ862" s="6" t="n">
        <f aca="false">IF(B862="","",YEAR(B862))</f>
        <v>2024</v>
      </c>
      <c r="AK862" s="3" t="str">
        <f aca="false">IF(COUNTIF(raw_data!$A$2:$A$913,A862)&gt;1,"Conflicting Duplicate - Flagged for Review","Unique")</f>
        <v>Unique</v>
      </c>
      <c r="AL862" s="3" t="str">
        <f aca="false">IF(AB862="Refunded","Yes","No")</f>
        <v>No</v>
      </c>
      <c r="AM862" s="3" t="str">
        <f aca="false">IF(OR(AC862&lt;&gt;"Completed",AB862="Failed"),"Excluded","Included")</f>
        <v>Included</v>
      </c>
      <c r="AN862" s="3" t="str">
        <f aca="false">IF(OR(D862="Invalid/Unrecognized",E862="Invalid/Unrecognized",G862="Invalid - Ship Before Order",X862="Negative - Invalid",X862="Above Allowed Range - Invalid",AG862="Mismatch",AH862="Mismatch",AK862="Conflicting Duplicate - Flagged for Review"),"Invalid",IF(OR(L862="Filled - Unknown",S862="Filled - Unknown",X862="Missing - Defaulted to 0",AL862="Yes",AC862="Cancelled",AC862="Returned"),"Warning","Clean"))</f>
        <v>Clean</v>
      </c>
    </row>
    <row r="863" customFormat="false" ht="15" hidden="false" customHeight="false" outlineLevel="0" collapsed="false">
      <c r="A863" s="3" t="str">
        <f aca="false">raw_data!A863</f>
        <v>ORD-2025-10862</v>
      </c>
      <c r="B863" s="4" t="n">
        <f aca="false">IFERROR(IF(MID(raw_data!B863,3,1)="/",DATE(VALUE(RIGHT(raw_data!B863,4)),VALUE(LEFT(raw_data!B863,2)),VALUE(MID(raw_data!B863,4,2))),IF(MID(raw_data!B863,3,1)="-",DATE(VALUE(RIGHT(raw_data!B863,4)),VALUE(MID(raw_data!B863,4,2)),VALUE(LEFT(raw_data!B863,2))),IF(MID(raw_data!B863,5,1)="-",DATE(VALUE(LEFT(raw_data!B863,4)),VALUE(MID(raw_data!B863,6,2)),VALUE(RIGHT(raw_data!B863,2))),DATE(VALUE(RIGHT(raw_data!B863,4)),MATCH(MID(raw_data!B863,4,3),{"Jan","Feb","Mar","Apr","May","Jun","Jul","Aug","Sep","Oct","Nov","Dec"},0),VALUE(LEFT(raw_data!B863,2)))))),"")</f>
        <v>45724</v>
      </c>
      <c r="C863" s="4" t="n">
        <f aca="false">IFERROR(IF(MID(raw_data!C863,3,1)="/",DATE(VALUE(RIGHT(raw_data!C863,4)),VALUE(LEFT(raw_data!C863,2)),VALUE(MID(raw_data!C863,4,2))),IF(MID(raw_data!C863,3,1)="-",DATE(VALUE(RIGHT(raw_data!C863,4)),VALUE(MID(raw_data!C863,4,2)),VALUE(LEFT(raw_data!C863,2))),IF(MID(raw_data!C863,5,1)="-",DATE(VALUE(LEFT(raw_data!C863,4)),VALUE(MID(raw_data!C863,6,2)),VALUE(RIGHT(raw_data!C863,2))),DATE(VALUE(RIGHT(raw_data!C863,4)),MATCH(MID(raw_data!C863,4,3),{"Jan","Feb","Mar","Apr","May","Jun","Jul","Aug","Sep","Oct","Nov","Dec"},0),VALUE(LEFT(raw_data!C863,2)))))),"")</f>
        <v>45725</v>
      </c>
      <c r="D863" s="3" t="str">
        <f aca="false">IF(TRIM(raw_data!B863)="","Missing",IF(B863="","Invalid/Unrecognized","Valid"))</f>
        <v>Valid</v>
      </c>
      <c r="E863" s="3" t="str">
        <f aca="false">IF(TRIM(raw_data!C863)="","Missing",IF(C863="","Invalid/Unrecognized","Valid"))</f>
        <v>Valid</v>
      </c>
      <c r="F863" s="5" t="n">
        <f aca="false">IF(OR(B863="",C863=""),"",C863-B863)</f>
        <v>1</v>
      </c>
      <c r="G863" s="3" t="str">
        <f aca="false">IF(F863="","N/A",IF(F863&lt;0,"Invalid - Ship Before Order","OK"))</f>
        <v>OK</v>
      </c>
      <c r="H863" s="3" t="str">
        <f aca="false">raw_data!D863</f>
        <v>CUST-9448</v>
      </c>
      <c r="I863" s="3" t="str">
        <f aca="false">PROPER(TRIM(raw_data!E863))</f>
        <v>Priya Menon</v>
      </c>
      <c r="J863" s="3" t="str">
        <f aca="false">PROPER(TRIM(raw_data!F863))</f>
        <v>Home Office</v>
      </c>
      <c r="K863" s="3" t="str">
        <f aca="false">IF(TRIM(raw_data!G863)="","Unknown",PROPER(TRIM(raw_data!G863)))</f>
        <v>North</v>
      </c>
      <c r="L863" s="3" t="str">
        <f aca="false">IF(TRIM(raw_data!G863)="","Filled - Unknown","OK")</f>
        <v>OK</v>
      </c>
      <c r="M863" s="3" t="str">
        <f aca="false">PROPER(TRIM(raw_data!H863))</f>
        <v>Delhi</v>
      </c>
      <c r="N863" s="3" t="str">
        <f aca="false">PROPER(TRIM(raw_data!I863))</f>
        <v>New Delhi</v>
      </c>
      <c r="O863" s="3" t="str">
        <f aca="false">PROPER(TRIM(raw_data!J863))</f>
        <v>Furniture</v>
      </c>
      <c r="P863" s="3" t="str">
        <f aca="false">PROPER(TRIM(raw_data!K863))</f>
        <v>Furnishings</v>
      </c>
      <c r="Q863" s="3" t="str">
        <f aca="false">TRIM(raw_data!L863)</f>
        <v>Smart Furnishings 892</v>
      </c>
      <c r="R863" s="3" t="str">
        <f aca="false">IF(TRIM(raw_data!M863)="","Unknown",PROPER(TRIM(raw_data!M863)))</f>
        <v>Same Day</v>
      </c>
      <c r="S863" s="3" t="str">
        <f aca="false">IF(TRIM(raw_data!M863)="","Filled - Unknown","OK")</f>
        <v>OK</v>
      </c>
      <c r="T863" s="6" t="n">
        <f aca="false">raw_data!N863</f>
        <v>4</v>
      </c>
      <c r="U863" s="7" t="n">
        <f aca="false">raw_data!O863</f>
        <v>3405.68</v>
      </c>
      <c r="V863" s="8" t="n">
        <f aca="false">raw_data!P863</f>
        <v>0.2</v>
      </c>
      <c r="W863" s="8" t="n">
        <f aca="false">IF(raw_data!P863="",0,IF(ISTEXT(raw_data!P863),IF(RIGHT(raw_data!P863,1)="%",VALUE(LEFT(raw_data!P863,LEN(raw_data!P863)-1))/100,VALUE(raw_data!P863)),raw_data!P863))</f>
        <v>0.2</v>
      </c>
      <c r="X863" s="3" t="str">
        <f aca="false">IF(raw_data!P863="","Missing - Defaulted to 0",IF(W863&lt;0,"Negative - Invalid",IF(W863&gt;0.3,"Above Allowed Range - Invalid","Valid")))</f>
        <v>Valid</v>
      </c>
      <c r="Y863" s="7" t="n">
        <f aca="false">raw_data!Q863</f>
        <v>10898.18</v>
      </c>
      <c r="Z863" s="7" t="n">
        <f aca="false">raw_data!R863</f>
        <v>6231.41</v>
      </c>
      <c r="AA863" s="7" t="n">
        <f aca="false">raw_data!S863</f>
        <v>4666.77</v>
      </c>
      <c r="AB863" s="3" t="str">
        <f aca="false">PROPER(TRIM(raw_data!T863))</f>
        <v>Paid</v>
      </c>
      <c r="AC863" s="3" t="str">
        <f aca="false">PROPER(TRIM(raw_data!U863))</f>
        <v>Completed</v>
      </c>
      <c r="AD863" s="7" t="n">
        <f aca="false">T863*U863*(1-W863)</f>
        <v>10898.176</v>
      </c>
      <c r="AE863" s="7" t="n">
        <f aca="false">AD863-Z863</f>
        <v>4666.766</v>
      </c>
      <c r="AF863" s="8" t="n">
        <f aca="false">IF(AD863=0,0,AE863/AD863)</f>
        <v>0.428215327041883</v>
      </c>
      <c r="AG863" s="3" t="str">
        <f aca="false">IF(ABS(Y863-AD863)&gt;1,"Mismatch","OK")</f>
        <v>OK</v>
      </c>
      <c r="AH863" s="3" t="str">
        <f aca="false">IF(ABS(AA863-AE863)&gt;1,"Mismatch","OK")</f>
        <v>OK</v>
      </c>
      <c r="AI863" s="6" t="n">
        <f aca="false">IF(B863="","",MONTH(B863))</f>
        <v>3</v>
      </c>
      <c r="AJ863" s="6" t="n">
        <f aca="false">IF(B863="","",YEAR(B863))</f>
        <v>2025</v>
      </c>
      <c r="AK863" s="3" t="str">
        <f aca="false">IF(COUNTIF(raw_data!$A$2:$A$913,A863)&gt;1,"Conflicting Duplicate - Flagged for Review","Unique")</f>
        <v>Unique</v>
      </c>
      <c r="AL863" s="3" t="str">
        <f aca="false">IF(AB863="Refunded","Yes","No")</f>
        <v>No</v>
      </c>
      <c r="AM863" s="3" t="str">
        <f aca="false">IF(OR(AC863&lt;&gt;"Completed",AB863="Failed"),"Excluded","Included")</f>
        <v>Included</v>
      </c>
      <c r="AN863" s="3" t="str">
        <f aca="false">IF(OR(D863="Invalid/Unrecognized",E863="Invalid/Unrecognized",G863="Invalid - Ship Before Order",X863="Negative - Invalid",X863="Above Allowed Range - Invalid",AG863="Mismatch",AH863="Mismatch",AK863="Conflicting Duplicate - Flagged for Review"),"Invalid",IF(OR(L863="Filled - Unknown",S863="Filled - Unknown",X863="Missing - Defaulted to 0",AL863="Yes",AC863="Cancelled",AC863="Returned"),"Warning","Clean"))</f>
        <v>Clean</v>
      </c>
    </row>
    <row r="864" customFormat="false" ht="15" hidden="false" customHeight="false" outlineLevel="0" collapsed="false">
      <c r="A864" s="3" t="str">
        <f aca="false">raw_data!A864</f>
        <v>ORD-2025-10863</v>
      </c>
      <c r="B864" s="4" t="n">
        <f aca="false">IFERROR(IF(MID(raw_data!B864,3,1)="/",DATE(VALUE(RIGHT(raw_data!B864,4)),VALUE(LEFT(raw_data!B864,2)),VALUE(MID(raw_data!B864,4,2))),IF(MID(raw_data!B864,3,1)="-",DATE(VALUE(RIGHT(raw_data!B864,4)),VALUE(MID(raw_data!B864,4,2)),VALUE(LEFT(raw_data!B864,2))),IF(MID(raw_data!B864,5,1)="-",DATE(VALUE(LEFT(raw_data!B864,4)),VALUE(MID(raw_data!B864,6,2)),VALUE(RIGHT(raw_data!B864,2))),DATE(VALUE(RIGHT(raw_data!B864,4)),MATCH(MID(raw_data!B864,4,3),{"Jan","Feb","Mar","Apr","May","Jun","Jul","Aug","Sep","Oct","Nov","Dec"},0),VALUE(LEFT(raw_data!B864,2)))))),"")</f>
        <v>45742</v>
      </c>
      <c r="C864" s="4" t="n">
        <f aca="false">IFERROR(IF(MID(raw_data!C864,3,1)="/",DATE(VALUE(RIGHT(raw_data!C864,4)),VALUE(LEFT(raw_data!C864,2)),VALUE(MID(raw_data!C864,4,2))),IF(MID(raw_data!C864,3,1)="-",DATE(VALUE(RIGHT(raw_data!C864,4)),VALUE(MID(raw_data!C864,4,2)),VALUE(LEFT(raw_data!C864,2))),IF(MID(raw_data!C864,5,1)="-",DATE(VALUE(LEFT(raw_data!C864,4)),VALUE(MID(raw_data!C864,6,2)),VALUE(RIGHT(raw_data!C864,2))),DATE(VALUE(RIGHT(raw_data!C864,4)),MATCH(MID(raw_data!C864,4,3),{"Jan","Feb","Mar","Apr","May","Jun","Jul","Aug","Sep","Oct","Nov","Dec"},0),VALUE(LEFT(raw_data!C864,2)))))),"")</f>
        <v>45747</v>
      </c>
      <c r="D864" s="3" t="str">
        <f aca="false">IF(TRIM(raw_data!B864)="","Missing",IF(B864="","Invalid/Unrecognized","Valid"))</f>
        <v>Valid</v>
      </c>
      <c r="E864" s="3" t="str">
        <f aca="false">IF(TRIM(raw_data!C864)="","Missing",IF(C864="","Invalid/Unrecognized","Valid"))</f>
        <v>Valid</v>
      </c>
      <c r="F864" s="5" t="n">
        <f aca="false">IF(OR(B864="",C864=""),"",C864-B864)</f>
        <v>5</v>
      </c>
      <c r="G864" s="3" t="str">
        <f aca="false">IF(F864="","N/A",IF(F864&lt;0,"Invalid - Ship Before Order","OK"))</f>
        <v>OK</v>
      </c>
      <c r="H864" s="3" t="str">
        <f aca="false">raw_data!D864</f>
        <v>CUST-8354</v>
      </c>
      <c r="I864" s="3" t="str">
        <f aca="false">PROPER(TRIM(raw_data!E864))</f>
        <v>Priya Menon</v>
      </c>
      <c r="J864" s="3" t="str">
        <f aca="false">PROPER(TRIM(raw_data!F864))</f>
        <v>Small Business</v>
      </c>
      <c r="K864" s="3" t="str">
        <f aca="false">IF(TRIM(raw_data!G864)="","Unknown",PROPER(TRIM(raw_data!G864)))</f>
        <v>East</v>
      </c>
      <c r="L864" s="3" t="str">
        <f aca="false">IF(TRIM(raw_data!G864)="","Filled - Unknown","OK")</f>
        <v>OK</v>
      </c>
      <c r="M864" s="3" t="str">
        <f aca="false">PROPER(TRIM(raw_data!H864))</f>
        <v>Jharkhand</v>
      </c>
      <c r="N864" s="3" t="str">
        <f aca="false">PROPER(TRIM(raw_data!I864))</f>
        <v>Ranchi</v>
      </c>
      <c r="O864" s="3" t="str">
        <f aca="false">PROPER(TRIM(raw_data!J864))</f>
        <v>Office Supplies</v>
      </c>
      <c r="P864" s="3" t="str">
        <f aca="false">PROPER(TRIM(raw_data!K864))</f>
        <v>Binders</v>
      </c>
      <c r="Q864" s="3" t="str">
        <f aca="false">TRIM(raw_data!L864)</f>
        <v>Pro Binders 488</v>
      </c>
      <c r="R864" s="3" t="str">
        <f aca="false">IF(TRIM(raw_data!M864)="","Unknown",PROPER(TRIM(raw_data!M864)))</f>
        <v>First Class</v>
      </c>
      <c r="S864" s="3" t="str">
        <f aca="false">IF(TRIM(raw_data!M864)="","Filled - Unknown","OK")</f>
        <v>OK</v>
      </c>
      <c r="T864" s="6" t="n">
        <f aca="false">raw_data!N864</f>
        <v>5</v>
      </c>
      <c r="U864" s="7" t="n">
        <f aca="false">raw_data!O864</f>
        <v>1395.14</v>
      </c>
      <c r="V864" s="8" t="n">
        <f aca="false">raw_data!P864</f>
        <v>0</v>
      </c>
      <c r="W864" s="8" t="n">
        <f aca="false">IF(raw_data!P864="",0,IF(ISTEXT(raw_data!P864),IF(RIGHT(raw_data!P864,1)="%",VALUE(LEFT(raw_data!P864,LEN(raw_data!P864)-1))/100,VALUE(raw_data!P864)),raw_data!P864))</f>
        <v>0</v>
      </c>
      <c r="X864" s="3" t="str">
        <f aca="false">IF(raw_data!P864="","Missing - Defaulted to 0",IF(W864&lt;0,"Negative - Invalid",IF(W864&gt;0.3,"Above Allowed Range - Invalid","Valid")))</f>
        <v>Valid</v>
      </c>
      <c r="Y864" s="7" t="n">
        <f aca="false">raw_data!Q864</f>
        <v>6975.7</v>
      </c>
      <c r="Z864" s="7" t="n">
        <f aca="false">raw_data!R864</f>
        <v>4797.88</v>
      </c>
      <c r="AA864" s="7" t="n">
        <f aca="false">raw_data!S864</f>
        <v>2177.82</v>
      </c>
      <c r="AB864" s="3" t="str">
        <f aca="false">PROPER(TRIM(raw_data!T864))</f>
        <v>Paid</v>
      </c>
      <c r="AC864" s="3" t="str">
        <f aca="false">PROPER(TRIM(raw_data!U864))</f>
        <v>Cancelled</v>
      </c>
      <c r="AD864" s="7" t="n">
        <f aca="false">T864*U864*(1-W864)</f>
        <v>6975.7</v>
      </c>
      <c r="AE864" s="7" t="n">
        <f aca="false">AD864-Z864</f>
        <v>2177.82</v>
      </c>
      <c r="AF864" s="8" t="n">
        <f aca="false">IF(AD864=0,0,AE864/AD864)</f>
        <v>0.312200926071936</v>
      </c>
      <c r="AG864" s="3" t="str">
        <f aca="false">IF(ABS(Y864-AD864)&gt;1,"Mismatch","OK")</f>
        <v>OK</v>
      </c>
      <c r="AH864" s="3" t="str">
        <f aca="false">IF(ABS(AA864-AE864)&gt;1,"Mismatch","OK")</f>
        <v>OK</v>
      </c>
      <c r="AI864" s="6" t="n">
        <f aca="false">IF(B864="","",MONTH(B864))</f>
        <v>3</v>
      </c>
      <c r="AJ864" s="6" t="n">
        <f aca="false">IF(B864="","",YEAR(B864))</f>
        <v>2025</v>
      </c>
      <c r="AK864" s="3" t="str">
        <f aca="false">IF(COUNTIF(raw_data!$A$2:$A$913,A864)&gt;1,"Conflicting Duplicate - Flagged for Review","Unique")</f>
        <v>Unique</v>
      </c>
      <c r="AL864" s="3" t="str">
        <f aca="false">IF(AB864="Refunded","Yes","No")</f>
        <v>No</v>
      </c>
      <c r="AM864" s="3" t="str">
        <f aca="false">IF(OR(AC864&lt;&gt;"Completed",AB864="Failed"),"Excluded","Included")</f>
        <v>Excluded</v>
      </c>
      <c r="AN864" s="3" t="str">
        <f aca="false">IF(OR(D864="Invalid/Unrecognized",E864="Invalid/Unrecognized",G864="Invalid - Ship Before Order",X864="Negative - Invalid",X864="Above Allowed Range - Invalid",AG864="Mismatch",AH864="Mismatch",AK864="Conflicting Duplicate - Flagged for Review"),"Invalid",IF(OR(L864="Filled - Unknown",S864="Filled - Unknown",X864="Missing - Defaulted to 0",AL864="Yes",AC864="Cancelled",AC864="Returned"),"Warning","Clean"))</f>
        <v>Warning</v>
      </c>
    </row>
    <row r="865" customFormat="false" ht="15" hidden="false" customHeight="false" outlineLevel="0" collapsed="false">
      <c r="A865" s="3" t="str">
        <f aca="false">raw_data!A865</f>
        <v>ORD-2025-10864</v>
      </c>
      <c r="B865" s="4" t="n">
        <f aca="false">IFERROR(IF(MID(raw_data!B865,3,1)="/",DATE(VALUE(RIGHT(raw_data!B865,4)),VALUE(LEFT(raw_data!B865,2)),VALUE(MID(raw_data!B865,4,2))),IF(MID(raw_data!B865,3,1)="-",DATE(VALUE(RIGHT(raw_data!B865,4)),VALUE(MID(raw_data!B865,4,2)),VALUE(LEFT(raw_data!B865,2))),IF(MID(raw_data!B865,5,1)="-",DATE(VALUE(LEFT(raw_data!B865,4)),VALUE(MID(raw_data!B865,6,2)),VALUE(RIGHT(raw_data!B865,2))),DATE(VALUE(RIGHT(raw_data!B865,4)),MATCH(MID(raw_data!B865,4,3),{"Jan","Feb","Mar","Apr","May","Jun","Jul","Aug","Sep","Oct","Nov","Dec"},0),VALUE(LEFT(raw_data!B865,2)))))),"")</f>
        <v>45906</v>
      </c>
      <c r="C865" s="4" t="n">
        <f aca="false">IFERROR(IF(MID(raw_data!C865,3,1)="/",DATE(VALUE(RIGHT(raw_data!C865,4)),VALUE(LEFT(raw_data!C865,2)),VALUE(MID(raw_data!C865,4,2))),IF(MID(raw_data!C865,3,1)="-",DATE(VALUE(RIGHT(raw_data!C865,4)),VALUE(MID(raw_data!C865,4,2)),VALUE(LEFT(raw_data!C865,2))),IF(MID(raw_data!C865,5,1)="-",DATE(VALUE(LEFT(raw_data!C865,4)),VALUE(MID(raw_data!C865,6,2)),VALUE(RIGHT(raw_data!C865,2))),DATE(VALUE(RIGHT(raw_data!C865,4)),MATCH(MID(raw_data!C865,4,3),{"Jan","Feb","Mar","Apr","May","Jun","Jul","Aug","Sep","Oct","Nov","Dec"},0),VALUE(LEFT(raw_data!C865,2)))))),"")</f>
        <v>45908</v>
      </c>
      <c r="D865" s="3" t="str">
        <f aca="false">IF(TRIM(raw_data!B865)="","Missing",IF(B865="","Invalid/Unrecognized","Valid"))</f>
        <v>Valid</v>
      </c>
      <c r="E865" s="3" t="str">
        <f aca="false">IF(TRIM(raw_data!C865)="","Missing",IF(C865="","Invalid/Unrecognized","Valid"))</f>
        <v>Valid</v>
      </c>
      <c r="F865" s="5" t="n">
        <f aca="false">IF(OR(B865="",C865=""),"",C865-B865)</f>
        <v>2</v>
      </c>
      <c r="G865" s="3" t="str">
        <f aca="false">IF(F865="","N/A",IF(F865&lt;0,"Invalid - Ship Before Order","OK"))</f>
        <v>OK</v>
      </c>
      <c r="H865" s="3" t="str">
        <f aca="false">raw_data!D865</f>
        <v>CUST-2200</v>
      </c>
      <c r="I865" s="3" t="str">
        <f aca="false">PROPER(TRIM(raw_data!E865))</f>
        <v>Aarav Sharma</v>
      </c>
      <c r="J865" s="3" t="str">
        <f aca="false">PROPER(TRIM(raw_data!F865))</f>
        <v>Home Office</v>
      </c>
      <c r="K865" s="3" t="str">
        <f aca="false">IF(TRIM(raw_data!G865)="","Unknown",PROPER(TRIM(raw_data!G865)))</f>
        <v>West</v>
      </c>
      <c r="L865" s="3" t="str">
        <f aca="false">IF(TRIM(raw_data!G865)="","Filled - Unknown","OK")</f>
        <v>OK</v>
      </c>
      <c r="M865" s="3" t="str">
        <f aca="false">PROPER(TRIM(raw_data!H865))</f>
        <v>Madhya Pradesh</v>
      </c>
      <c r="N865" s="3" t="str">
        <f aca="false">PROPER(TRIM(raw_data!I865))</f>
        <v>Indore</v>
      </c>
      <c r="O865" s="3" t="str">
        <f aca="false">PROPER(TRIM(raw_data!J865))</f>
        <v>Furniture</v>
      </c>
      <c r="P865" s="3" t="str">
        <f aca="false">PROPER(TRIM(raw_data!K865))</f>
        <v>Furnishings</v>
      </c>
      <c r="Q865" s="3" t="str">
        <f aca="false">TRIM(raw_data!L865)</f>
        <v>Prime Furnishings 679</v>
      </c>
      <c r="R865" s="3" t="str">
        <f aca="false">IF(TRIM(raw_data!M865)="","Unknown",PROPER(TRIM(raw_data!M865)))</f>
        <v>Same Day</v>
      </c>
      <c r="S865" s="3" t="str">
        <f aca="false">IF(TRIM(raw_data!M865)="","Filled - Unknown","OK")</f>
        <v>OK</v>
      </c>
      <c r="T865" s="6" t="n">
        <f aca="false">raw_data!N865</f>
        <v>3</v>
      </c>
      <c r="U865" s="7" t="n">
        <f aca="false">raw_data!O865</f>
        <v>2937.23</v>
      </c>
      <c r="V865" s="8" t="n">
        <f aca="false">raw_data!P865</f>
        <v>0</v>
      </c>
      <c r="W865" s="8" t="n">
        <f aca="false">IF(raw_data!P865="",0,IF(ISTEXT(raw_data!P865),IF(RIGHT(raw_data!P865,1)="%",VALUE(LEFT(raw_data!P865,LEN(raw_data!P865)-1))/100,VALUE(raw_data!P865)),raw_data!P865))</f>
        <v>0</v>
      </c>
      <c r="X865" s="3" t="str">
        <f aca="false">IF(raw_data!P865="","Missing - Defaulted to 0",IF(W865&lt;0,"Negative - Invalid",IF(W865&gt;0.3,"Above Allowed Range - Invalid","Valid")))</f>
        <v>Valid</v>
      </c>
      <c r="Y865" s="7" t="n">
        <f aca="false">raw_data!Q865</f>
        <v>8811.69</v>
      </c>
      <c r="Z865" s="7" t="n">
        <f aca="false">raw_data!R865</f>
        <v>6765.91</v>
      </c>
      <c r="AA865" s="7" t="n">
        <f aca="false">raw_data!S865</f>
        <v>2045.78</v>
      </c>
      <c r="AB865" s="3" t="str">
        <f aca="false">PROPER(TRIM(raw_data!T865))</f>
        <v>Paid</v>
      </c>
      <c r="AC865" s="3" t="str">
        <f aca="false">PROPER(TRIM(raw_data!U865))</f>
        <v>Completed</v>
      </c>
      <c r="AD865" s="7" t="n">
        <f aca="false">T865*U865*(1-W865)</f>
        <v>8811.69</v>
      </c>
      <c r="AE865" s="7" t="n">
        <f aca="false">AD865-Z865</f>
        <v>2045.78</v>
      </c>
      <c r="AF865" s="8" t="n">
        <f aca="false">IF(AD865=0,0,AE865/AD865)</f>
        <v>0.232166587794169</v>
      </c>
      <c r="AG865" s="3" t="str">
        <f aca="false">IF(ABS(Y865-AD865)&gt;1,"Mismatch","OK")</f>
        <v>OK</v>
      </c>
      <c r="AH865" s="3" t="str">
        <f aca="false">IF(ABS(AA865-AE865)&gt;1,"Mismatch","OK")</f>
        <v>OK</v>
      </c>
      <c r="AI865" s="6" t="n">
        <f aca="false">IF(B865="","",MONTH(B865))</f>
        <v>9</v>
      </c>
      <c r="AJ865" s="6" t="n">
        <f aca="false">IF(B865="","",YEAR(B865))</f>
        <v>2025</v>
      </c>
      <c r="AK865" s="3" t="str">
        <f aca="false">IF(COUNTIF(raw_data!$A$2:$A$913,A865)&gt;1,"Conflicting Duplicate - Flagged for Review","Unique")</f>
        <v>Unique</v>
      </c>
      <c r="AL865" s="3" t="str">
        <f aca="false">IF(AB865="Refunded","Yes","No")</f>
        <v>No</v>
      </c>
      <c r="AM865" s="3" t="str">
        <f aca="false">IF(OR(AC865&lt;&gt;"Completed",AB865="Failed"),"Excluded","Included")</f>
        <v>Included</v>
      </c>
      <c r="AN865" s="3" t="str">
        <f aca="false">IF(OR(D865="Invalid/Unrecognized",E865="Invalid/Unrecognized",G865="Invalid - Ship Before Order",X865="Negative - Invalid",X865="Above Allowed Range - Invalid",AG865="Mismatch",AH865="Mismatch",AK865="Conflicting Duplicate - Flagged for Review"),"Invalid",IF(OR(L865="Filled - Unknown",S865="Filled - Unknown",X865="Missing - Defaulted to 0",AL865="Yes",AC865="Cancelled",AC865="Returned"),"Warning","Clean"))</f>
        <v>Clean</v>
      </c>
    </row>
    <row r="866" customFormat="false" ht="15" hidden="false" customHeight="false" outlineLevel="0" collapsed="false">
      <c r="A866" s="3" t="str">
        <f aca="false">raw_data!A866</f>
        <v>ORD-2025-10865</v>
      </c>
      <c r="B866" s="4" t="n">
        <f aca="false">IFERROR(IF(MID(raw_data!B866,3,1)="/",DATE(VALUE(RIGHT(raw_data!B866,4)),VALUE(LEFT(raw_data!B866,2)),VALUE(MID(raw_data!B866,4,2))),IF(MID(raw_data!B866,3,1)="-",DATE(VALUE(RIGHT(raw_data!B866,4)),VALUE(MID(raw_data!B866,4,2)),VALUE(LEFT(raw_data!B866,2))),IF(MID(raw_data!B866,5,1)="-",DATE(VALUE(LEFT(raw_data!B866,4)),VALUE(MID(raw_data!B866,6,2)),VALUE(RIGHT(raw_data!B866,2))),DATE(VALUE(RIGHT(raw_data!B866,4)),MATCH(MID(raw_data!B866,4,3),{"Jan","Feb","Mar","Apr","May","Jun","Jul","Aug","Sep","Oct","Nov","Dec"},0),VALUE(LEFT(raw_data!B866,2)))))),"")</f>
        <v>45902</v>
      </c>
      <c r="C866" s="4" t="n">
        <f aca="false">IFERROR(IF(MID(raw_data!C866,3,1)="/",DATE(VALUE(RIGHT(raw_data!C866,4)),VALUE(LEFT(raw_data!C866,2)),VALUE(MID(raw_data!C866,4,2))),IF(MID(raw_data!C866,3,1)="-",DATE(VALUE(RIGHT(raw_data!C866,4)),VALUE(MID(raw_data!C866,4,2)),VALUE(LEFT(raw_data!C866,2))),IF(MID(raw_data!C866,5,1)="-",DATE(VALUE(LEFT(raw_data!C866,4)),VALUE(MID(raw_data!C866,6,2)),VALUE(RIGHT(raw_data!C866,2))),DATE(VALUE(RIGHT(raw_data!C866,4)),MATCH(MID(raw_data!C866,4,3),{"Jan","Feb","Mar","Apr","May","Jun","Jul","Aug","Sep","Oct","Nov","Dec"},0),VALUE(LEFT(raw_data!C866,2)))))),"")</f>
        <v>45905</v>
      </c>
      <c r="D866" s="3" t="str">
        <f aca="false">IF(TRIM(raw_data!B866)="","Missing",IF(B866="","Invalid/Unrecognized","Valid"))</f>
        <v>Valid</v>
      </c>
      <c r="E866" s="3" t="str">
        <f aca="false">IF(TRIM(raw_data!C866)="","Missing",IF(C866="","Invalid/Unrecognized","Valid"))</f>
        <v>Valid</v>
      </c>
      <c r="F866" s="5" t="n">
        <f aca="false">IF(OR(B866="",C866=""),"",C866-B866)</f>
        <v>3</v>
      </c>
      <c r="G866" s="3" t="str">
        <f aca="false">IF(F866="","N/A",IF(F866&lt;0,"Invalid - Ship Before Order","OK"))</f>
        <v>OK</v>
      </c>
      <c r="H866" s="3" t="str">
        <f aca="false">raw_data!D866</f>
        <v>CUST-1178</v>
      </c>
      <c r="I866" s="3" t="str">
        <f aca="false">PROPER(TRIM(raw_data!E866))</f>
        <v>Vikram Iyer</v>
      </c>
      <c r="J866" s="3" t="str">
        <f aca="false">PROPER(TRIM(raw_data!F866))</f>
        <v>Consumer</v>
      </c>
      <c r="K866" s="3" t="str">
        <f aca="false">IF(TRIM(raw_data!G866)="","Unknown",PROPER(TRIM(raw_data!G866)))</f>
        <v>South</v>
      </c>
      <c r="L866" s="3" t="str">
        <f aca="false">IF(TRIM(raw_data!G866)="","Filled - Unknown","OK")</f>
        <v>OK</v>
      </c>
      <c r="M866" s="3" t="str">
        <f aca="false">PROPER(TRIM(raw_data!H866))</f>
        <v>Tamil Nadu</v>
      </c>
      <c r="N866" s="3" t="str">
        <f aca="false">PROPER(TRIM(raw_data!I866))</f>
        <v>Chennai</v>
      </c>
      <c r="O866" s="3" t="str">
        <f aca="false">PROPER(TRIM(raw_data!J866))</f>
        <v>Technology</v>
      </c>
      <c r="P866" s="3" t="str">
        <f aca="false">PROPER(TRIM(raw_data!K866))</f>
        <v>Phones</v>
      </c>
      <c r="Q866" s="3" t="str">
        <f aca="false">TRIM(raw_data!L866)</f>
        <v>Smart Phones 158</v>
      </c>
      <c r="R866" s="3" t="str">
        <f aca="false">IF(TRIM(raw_data!M866)="","Unknown",PROPER(TRIM(raw_data!M866)))</f>
        <v>First Class</v>
      </c>
      <c r="S866" s="3" t="str">
        <f aca="false">IF(TRIM(raw_data!M866)="","Filled - Unknown","OK")</f>
        <v>OK</v>
      </c>
      <c r="T866" s="6" t="n">
        <f aca="false">raw_data!N866</f>
        <v>5</v>
      </c>
      <c r="U866" s="7" t="n">
        <f aca="false">raw_data!O866</f>
        <v>3406.87</v>
      </c>
      <c r="V866" s="8" t="n">
        <f aca="false">raw_data!P866</f>
        <v>0</v>
      </c>
      <c r="W866" s="8" t="n">
        <f aca="false">IF(raw_data!P866="",0,IF(ISTEXT(raw_data!P866),IF(RIGHT(raw_data!P866,1)="%",VALUE(LEFT(raw_data!P866,LEN(raw_data!P866)-1))/100,VALUE(raw_data!P866)),raw_data!P866))</f>
        <v>0</v>
      </c>
      <c r="X866" s="3" t="str">
        <f aca="false">IF(raw_data!P866="","Missing - Defaulted to 0",IF(W866&lt;0,"Negative - Invalid",IF(W866&gt;0.3,"Above Allowed Range - Invalid","Valid")))</f>
        <v>Valid</v>
      </c>
      <c r="Y866" s="7" t="n">
        <f aca="false">raw_data!Q866</f>
        <v>17034.35</v>
      </c>
      <c r="Z866" s="7" t="n">
        <f aca="false">raw_data!R866</f>
        <v>14631.36</v>
      </c>
      <c r="AA866" s="7" t="n">
        <f aca="false">raw_data!S866</f>
        <v>2402.99</v>
      </c>
      <c r="AB866" s="3" t="str">
        <f aca="false">PROPER(TRIM(raw_data!T866))</f>
        <v>Paid</v>
      </c>
      <c r="AC866" s="3" t="str">
        <f aca="false">PROPER(TRIM(raw_data!U866))</f>
        <v>Completed</v>
      </c>
      <c r="AD866" s="7" t="n">
        <f aca="false">T866*U866*(1-W866)</f>
        <v>17034.35</v>
      </c>
      <c r="AE866" s="7" t="n">
        <f aca="false">AD866-Z866</f>
        <v>2402.99</v>
      </c>
      <c r="AF866" s="8" t="n">
        <f aca="false">IF(AD866=0,0,AE866/AD866)</f>
        <v>0.141067313986151</v>
      </c>
      <c r="AG866" s="3" t="str">
        <f aca="false">IF(ABS(Y866-AD866)&gt;1,"Mismatch","OK")</f>
        <v>OK</v>
      </c>
      <c r="AH866" s="3" t="str">
        <f aca="false">IF(ABS(AA866-AE866)&gt;1,"Mismatch","OK")</f>
        <v>OK</v>
      </c>
      <c r="AI866" s="6" t="n">
        <f aca="false">IF(B866="","",MONTH(B866))</f>
        <v>9</v>
      </c>
      <c r="AJ866" s="6" t="n">
        <f aca="false">IF(B866="","",YEAR(B866))</f>
        <v>2025</v>
      </c>
      <c r="AK866" s="3" t="str">
        <f aca="false">IF(COUNTIF(raw_data!$A$2:$A$913,A866)&gt;1,"Conflicting Duplicate - Flagged for Review","Unique")</f>
        <v>Unique</v>
      </c>
      <c r="AL866" s="3" t="str">
        <f aca="false">IF(AB866="Refunded","Yes","No")</f>
        <v>No</v>
      </c>
      <c r="AM866" s="3" t="str">
        <f aca="false">IF(OR(AC866&lt;&gt;"Completed",AB866="Failed"),"Excluded","Included")</f>
        <v>Included</v>
      </c>
      <c r="AN866" s="3" t="str">
        <f aca="false">IF(OR(D866="Invalid/Unrecognized",E866="Invalid/Unrecognized",G866="Invalid - Ship Before Order",X866="Negative - Invalid",X866="Above Allowed Range - Invalid",AG866="Mismatch",AH866="Mismatch",AK866="Conflicting Duplicate - Flagged for Review"),"Invalid",IF(OR(L866="Filled - Unknown",S866="Filled - Unknown",X866="Missing - Defaulted to 0",AL866="Yes",AC866="Cancelled",AC866="Returned"),"Warning","Clean"))</f>
        <v>Clean</v>
      </c>
    </row>
    <row r="867" customFormat="false" ht="15" hidden="false" customHeight="false" outlineLevel="0" collapsed="false">
      <c r="A867" s="3" t="str">
        <f aca="false">raw_data!A867</f>
        <v>ORD-2025-10866</v>
      </c>
      <c r="B867" s="4" t="n">
        <f aca="false">IFERROR(IF(MID(raw_data!B867,3,1)="/",DATE(VALUE(RIGHT(raw_data!B867,4)),VALUE(LEFT(raw_data!B867,2)),VALUE(MID(raw_data!B867,4,2))),IF(MID(raw_data!B867,3,1)="-",DATE(VALUE(RIGHT(raw_data!B867,4)),VALUE(MID(raw_data!B867,4,2)),VALUE(LEFT(raw_data!B867,2))),IF(MID(raw_data!B867,5,1)="-",DATE(VALUE(LEFT(raw_data!B867,4)),VALUE(MID(raw_data!B867,6,2)),VALUE(RIGHT(raw_data!B867,2))),DATE(VALUE(RIGHT(raw_data!B867,4)),MATCH(MID(raw_data!B867,4,3),{"Jan","Feb","Mar","Apr","May","Jun","Jul","Aug","Sep","Oct","Nov","Dec"},0),VALUE(LEFT(raw_data!B867,2)))))),"")</f>
        <v>45694</v>
      </c>
      <c r="C867" s="4" t="n">
        <f aca="false">IFERROR(IF(MID(raw_data!C867,3,1)="/",DATE(VALUE(RIGHT(raw_data!C867,4)),VALUE(LEFT(raw_data!C867,2)),VALUE(MID(raw_data!C867,4,2))),IF(MID(raw_data!C867,3,1)="-",DATE(VALUE(RIGHT(raw_data!C867,4)),VALUE(MID(raw_data!C867,4,2)),VALUE(LEFT(raw_data!C867,2))),IF(MID(raw_data!C867,5,1)="-",DATE(VALUE(LEFT(raw_data!C867,4)),VALUE(MID(raw_data!C867,6,2)),VALUE(RIGHT(raw_data!C867,2))),DATE(VALUE(RIGHT(raw_data!C867,4)),MATCH(MID(raw_data!C867,4,3),{"Jan","Feb","Mar","Apr","May","Jun","Jul","Aug","Sep","Oct","Nov","Dec"},0),VALUE(LEFT(raw_data!C867,2)))))),"")</f>
        <v>45702</v>
      </c>
      <c r="D867" s="3" t="str">
        <f aca="false">IF(TRIM(raw_data!B867)="","Missing",IF(B867="","Invalid/Unrecognized","Valid"))</f>
        <v>Valid</v>
      </c>
      <c r="E867" s="3" t="str">
        <f aca="false">IF(TRIM(raw_data!C867)="","Missing",IF(C867="","Invalid/Unrecognized","Valid"))</f>
        <v>Valid</v>
      </c>
      <c r="F867" s="5" t="n">
        <f aca="false">IF(OR(B867="",C867=""),"",C867-B867)</f>
        <v>8</v>
      </c>
      <c r="G867" s="3" t="str">
        <f aca="false">IF(F867="","N/A",IF(F867&lt;0,"Invalid - Ship Before Order","OK"))</f>
        <v>OK</v>
      </c>
      <c r="H867" s="3" t="str">
        <f aca="false">raw_data!D867</f>
        <v>CUST-8099</v>
      </c>
      <c r="I867" s="3" t="str">
        <f aca="false">PROPER(TRIM(raw_data!E867))</f>
        <v>Kabir Singh</v>
      </c>
      <c r="J867" s="3" t="str">
        <f aca="false">PROPER(TRIM(raw_data!F867))</f>
        <v>Consumer</v>
      </c>
      <c r="K867" s="3" t="str">
        <f aca="false">IF(TRIM(raw_data!G867)="","Unknown",PROPER(TRIM(raw_data!G867)))</f>
        <v>West</v>
      </c>
      <c r="L867" s="3" t="str">
        <f aca="false">IF(TRIM(raw_data!G867)="","Filled - Unknown","OK")</f>
        <v>OK</v>
      </c>
      <c r="M867" s="3" t="str">
        <f aca="false">PROPER(TRIM(raw_data!H867))</f>
        <v>Maharashtra</v>
      </c>
      <c r="N867" s="3" t="str">
        <f aca="false">PROPER(TRIM(raw_data!I867))</f>
        <v>Mumbai</v>
      </c>
      <c r="O867" s="3" t="str">
        <f aca="false">PROPER(TRIM(raw_data!J867))</f>
        <v>Office Supplies</v>
      </c>
      <c r="P867" s="3" t="str">
        <f aca="false">PROPER(TRIM(raw_data!K867))</f>
        <v>Labels</v>
      </c>
      <c r="Q867" s="3" t="str">
        <f aca="false">TRIM(raw_data!L867)</f>
        <v>Classic Labels 218</v>
      </c>
      <c r="R867" s="3" t="str">
        <f aca="false">IF(TRIM(raw_data!M867)="","Unknown",PROPER(TRIM(raw_data!M867)))</f>
        <v>Second Class</v>
      </c>
      <c r="S867" s="3" t="str">
        <f aca="false">IF(TRIM(raw_data!M867)="","Filled - Unknown","OK")</f>
        <v>OK</v>
      </c>
      <c r="T867" s="6" t="n">
        <f aca="false">raw_data!N867</f>
        <v>2</v>
      </c>
      <c r="U867" s="7" t="n">
        <f aca="false">raw_data!O867</f>
        <v>3992.04</v>
      </c>
      <c r="V867" s="8" t="n">
        <f aca="false">raw_data!P867</f>
        <v>0</v>
      </c>
      <c r="W867" s="8" t="n">
        <f aca="false">IF(raw_data!P867="",0,IF(ISTEXT(raw_data!P867),IF(RIGHT(raw_data!P867,1)="%",VALUE(LEFT(raw_data!P867,LEN(raw_data!P867)-1))/100,VALUE(raw_data!P867)),raw_data!P867))</f>
        <v>0</v>
      </c>
      <c r="X867" s="3" t="str">
        <f aca="false">IF(raw_data!P867="","Missing - Defaulted to 0",IF(W867&lt;0,"Negative - Invalid",IF(W867&gt;0.3,"Above Allowed Range - Invalid","Valid")))</f>
        <v>Valid</v>
      </c>
      <c r="Y867" s="7" t="n">
        <f aca="false">raw_data!Q867</f>
        <v>7984.08</v>
      </c>
      <c r="Z867" s="7" t="n">
        <f aca="false">raw_data!R867</f>
        <v>5658.05</v>
      </c>
      <c r="AA867" s="7" t="n">
        <f aca="false">raw_data!S867</f>
        <v>2326.03</v>
      </c>
      <c r="AB867" s="3" t="str">
        <f aca="false">PROPER(TRIM(raw_data!T867))</f>
        <v>Paid</v>
      </c>
      <c r="AC867" s="3" t="str">
        <f aca="false">PROPER(TRIM(raw_data!U867))</f>
        <v>Completed</v>
      </c>
      <c r="AD867" s="7" t="n">
        <f aca="false">T867*U867*(1-W867)</f>
        <v>7984.08</v>
      </c>
      <c r="AE867" s="7" t="n">
        <f aca="false">AD867-Z867</f>
        <v>2326.03</v>
      </c>
      <c r="AF867" s="8" t="n">
        <f aca="false">IF(AD867=0,0,AE867/AD867)</f>
        <v>0.291333503672308</v>
      </c>
      <c r="AG867" s="3" t="str">
        <f aca="false">IF(ABS(Y867-AD867)&gt;1,"Mismatch","OK")</f>
        <v>OK</v>
      </c>
      <c r="AH867" s="3" t="str">
        <f aca="false">IF(ABS(AA867-AE867)&gt;1,"Mismatch","OK")</f>
        <v>OK</v>
      </c>
      <c r="AI867" s="6" t="n">
        <f aca="false">IF(B867="","",MONTH(B867))</f>
        <v>2</v>
      </c>
      <c r="AJ867" s="6" t="n">
        <f aca="false">IF(B867="","",YEAR(B867))</f>
        <v>2025</v>
      </c>
      <c r="AK867" s="3" t="str">
        <f aca="false">IF(COUNTIF(raw_data!$A$2:$A$913,A867)&gt;1,"Conflicting Duplicate - Flagged for Review","Unique")</f>
        <v>Unique</v>
      </c>
      <c r="AL867" s="3" t="str">
        <f aca="false">IF(AB867="Refunded","Yes","No")</f>
        <v>No</v>
      </c>
      <c r="AM867" s="3" t="str">
        <f aca="false">IF(OR(AC867&lt;&gt;"Completed",AB867="Failed"),"Excluded","Included")</f>
        <v>Included</v>
      </c>
      <c r="AN867" s="3" t="str">
        <f aca="false">IF(OR(D867="Invalid/Unrecognized",E867="Invalid/Unrecognized",G867="Invalid - Ship Before Order",X867="Negative - Invalid",X867="Above Allowed Range - Invalid",AG867="Mismatch",AH867="Mismatch",AK867="Conflicting Duplicate - Flagged for Review"),"Invalid",IF(OR(L867="Filled - Unknown",S867="Filled - Unknown",X867="Missing - Defaulted to 0",AL867="Yes",AC867="Cancelled",AC867="Returned"),"Warning","Clean"))</f>
        <v>Clean</v>
      </c>
    </row>
    <row r="868" customFormat="false" ht="15" hidden="false" customHeight="false" outlineLevel="0" collapsed="false">
      <c r="A868" s="3" t="str">
        <f aca="false">raw_data!A868</f>
        <v>ORD-2025-10867</v>
      </c>
      <c r="B868" s="4" t="n">
        <f aca="false">IFERROR(IF(MID(raw_data!B868,3,1)="/",DATE(VALUE(RIGHT(raw_data!B868,4)),VALUE(LEFT(raw_data!B868,2)),VALUE(MID(raw_data!B868,4,2))),IF(MID(raw_data!B868,3,1)="-",DATE(VALUE(RIGHT(raw_data!B868,4)),VALUE(MID(raw_data!B868,4,2)),VALUE(LEFT(raw_data!B868,2))),IF(MID(raw_data!B868,5,1)="-",DATE(VALUE(LEFT(raw_data!B868,4)),VALUE(MID(raw_data!B868,6,2)),VALUE(RIGHT(raw_data!B868,2))),DATE(VALUE(RIGHT(raw_data!B868,4)),MATCH(MID(raw_data!B868,4,3),{"Jan","Feb","Mar","Apr","May","Jun","Jul","Aug","Sep","Oct","Nov","Dec"},0),VALUE(LEFT(raw_data!B868,2)))))),"")</f>
        <v>45714</v>
      </c>
      <c r="C868" s="4" t="n">
        <f aca="false">IFERROR(IF(MID(raw_data!C868,3,1)="/",DATE(VALUE(RIGHT(raw_data!C868,4)),VALUE(LEFT(raw_data!C868,2)),VALUE(MID(raw_data!C868,4,2))),IF(MID(raw_data!C868,3,1)="-",DATE(VALUE(RIGHT(raw_data!C868,4)),VALUE(MID(raw_data!C868,4,2)),VALUE(LEFT(raw_data!C868,2))),IF(MID(raw_data!C868,5,1)="-",DATE(VALUE(LEFT(raw_data!C868,4)),VALUE(MID(raw_data!C868,6,2)),VALUE(RIGHT(raw_data!C868,2))),DATE(VALUE(RIGHT(raw_data!C868,4)),MATCH(MID(raw_data!C868,4,3),{"Jan","Feb","Mar","Apr","May","Jun","Jul","Aug","Sep","Oct","Nov","Dec"},0),VALUE(LEFT(raw_data!C868,2)))))),"")</f>
        <v>45722</v>
      </c>
      <c r="D868" s="3" t="str">
        <f aca="false">IF(TRIM(raw_data!B868)="","Missing",IF(B868="","Invalid/Unrecognized","Valid"))</f>
        <v>Valid</v>
      </c>
      <c r="E868" s="3" t="str">
        <f aca="false">IF(TRIM(raw_data!C868)="","Missing",IF(C868="","Invalid/Unrecognized","Valid"))</f>
        <v>Valid</v>
      </c>
      <c r="F868" s="5" t="n">
        <f aca="false">IF(OR(B868="",C868=""),"",C868-B868)</f>
        <v>8</v>
      </c>
      <c r="G868" s="3" t="str">
        <f aca="false">IF(F868="","N/A",IF(F868&lt;0,"Invalid - Ship Before Order","OK"))</f>
        <v>OK</v>
      </c>
      <c r="H868" s="3" t="str">
        <f aca="false">raw_data!D868</f>
        <v>CUST-7596</v>
      </c>
      <c r="I868" s="3" t="str">
        <f aca="false">PROPER(TRIM(raw_data!E868))</f>
        <v>Priya Menon</v>
      </c>
      <c r="J868" s="3" t="str">
        <f aca="false">PROPER(TRIM(raw_data!F868))</f>
        <v>Consumer</v>
      </c>
      <c r="K868" s="3" t="str">
        <f aca="false">IF(TRIM(raw_data!G868)="","Unknown",PROPER(TRIM(raw_data!G868)))</f>
        <v>East</v>
      </c>
      <c r="L868" s="3" t="str">
        <f aca="false">IF(TRIM(raw_data!G868)="","Filled - Unknown","OK")</f>
        <v>OK</v>
      </c>
      <c r="M868" s="3" t="str">
        <f aca="false">PROPER(TRIM(raw_data!H868))</f>
        <v>Bihar</v>
      </c>
      <c r="N868" s="3" t="str">
        <f aca="false">PROPER(TRIM(raw_data!I868))</f>
        <v>Patna</v>
      </c>
      <c r="O868" s="3" t="str">
        <f aca="false">PROPER(TRIM(raw_data!J868))</f>
        <v>Furniture</v>
      </c>
      <c r="P868" s="3" t="str">
        <f aca="false">PROPER(TRIM(raw_data!K868))</f>
        <v>Bookcases</v>
      </c>
      <c r="Q868" s="3" t="str">
        <f aca="false">TRIM(raw_data!L868)</f>
        <v>Smart Bookcases 552</v>
      </c>
      <c r="R868" s="3" t="str">
        <f aca="false">IF(TRIM(raw_data!M868)="","Unknown",PROPER(TRIM(raw_data!M868)))</f>
        <v>First Class</v>
      </c>
      <c r="S868" s="3" t="str">
        <f aca="false">IF(TRIM(raw_data!M868)="","Filled - Unknown","OK")</f>
        <v>OK</v>
      </c>
      <c r="T868" s="6" t="n">
        <f aca="false">raw_data!N868</f>
        <v>9</v>
      </c>
      <c r="U868" s="7" t="n">
        <f aca="false">raw_data!O868</f>
        <v>3043.37</v>
      </c>
      <c r="V868" s="8" t="n">
        <f aca="false">raw_data!P868</f>
        <v>0.2</v>
      </c>
      <c r="W868" s="8" t="n">
        <f aca="false">IF(raw_data!P868="",0,IF(ISTEXT(raw_data!P868),IF(RIGHT(raw_data!P868,1)="%",VALUE(LEFT(raw_data!P868,LEN(raw_data!P868)-1))/100,VALUE(raw_data!P868)),raw_data!P868))</f>
        <v>0.2</v>
      </c>
      <c r="X868" s="3" t="str">
        <f aca="false">IF(raw_data!P868="","Missing - Defaulted to 0",IF(W868&lt;0,"Negative - Invalid",IF(W868&gt;0.3,"Above Allowed Range - Invalid","Valid")))</f>
        <v>Valid</v>
      </c>
      <c r="Y868" s="7" t="n">
        <f aca="false">raw_data!Q868</f>
        <v>21912.26</v>
      </c>
      <c r="Z868" s="7" t="n">
        <f aca="false">raw_data!R868</f>
        <v>16367.78</v>
      </c>
      <c r="AA868" s="7" t="n">
        <f aca="false">raw_data!S868</f>
        <v>5544.48</v>
      </c>
      <c r="AB868" s="3" t="str">
        <f aca="false">PROPER(TRIM(raw_data!T868))</f>
        <v>Pending</v>
      </c>
      <c r="AC868" s="3" t="str">
        <f aca="false">PROPER(TRIM(raw_data!U868))</f>
        <v>Cancelled</v>
      </c>
      <c r="AD868" s="7" t="n">
        <f aca="false">T868*U868*(1-W868)</f>
        <v>21912.264</v>
      </c>
      <c r="AE868" s="7" t="n">
        <f aca="false">AD868-Z868</f>
        <v>5544.484</v>
      </c>
      <c r="AF868" s="8" t="n">
        <f aca="false">IF(AD868=0,0,AE868/AD868)</f>
        <v>0.25303108797886</v>
      </c>
      <c r="AG868" s="3" t="str">
        <f aca="false">IF(ABS(Y868-AD868)&gt;1,"Mismatch","OK")</f>
        <v>OK</v>
      </c>
      <c r="AH868" s="3" t="str">
        <f aca="false">IF(ABS(AA868-AE868)&gt;1,"Mismatch","OK")</f>
        <v>OK</v>
      </c>
      <c r="AI868" s="6" t="n">
        <f aca="false">IF(B868="","",MONTH(B868))</f>
        <v>2</v>
      </c>
      <c r="AJ868" s="6" t="n">
        <f aca="false">IF(B868="","",YEAR(B868))</f>
        <v>2025</v>
      </c>
      <c r="AK868" s="3" t="str">
        <f aca="false">IF(COUNTIF(raw_data!$A$2:$A$913,A868)&gt;1,"Conflicting Duplicate - Flagged for Review","Unique")</f>
        <v>Unique</v>
      </c>
      <c r="AL868" s="3" t="str">
        <f aca="false">IF(AB868="Refunded","Yes","No")</f>
        <v>No</v>
      </c>
      <c r="AM868" s="3" t="str">
        <f aca="false">IF(OR(AC868&lt;&gt;"Completed",AB868="Failed"),"Excluded","Included")</f>
        <v>Excluded</v>
      </c>
      <c r="AN868" s="3" t="str">
        <f aca="false">IF(OR(D868="Invalid/Unrecognized",E868="Invalid/Unrecognized",G868="Invalid - Ship Before Order",X868="Negative - Invalid",X868="Above Allowed Range - Invalid",AG868="Mismatch",AH868="Mismatch",AK868="Conflicting Duplicate - Flagged for Review"),"Invalid",IF(OR(L868="Filled - Unknown",S868="Filled - Unknown",X868="Missing - Defaulted to 0",AL868="Yes",AC868="Cancelled",AC868="Returned"),"Warning","Clean"))</f>
        <v>Warning</v>
      </c>
    </row>
    <row r="869" customFormat="false" ht="15" hidden="false" customHeight="false" outlineLevel="0" collapsed="false">
      <c r="A869" s="3" t="str">
        <f aca="false">raw_data!A869</f>
        <v>ORD-2024-10868</v>
      </c>
      <c r="B869" s="4" t="n">
        <f aca="false">IFERROR(IF(MID(raw_data!B869,3,1)="/",DATE(VALUE(RIGHT(raw_data!B869,4)),VALUE(LEFT(raw_data!B869,2)),VALUE(MID(raw_data!B869,4,2))),IF(MID(raw_data!B869,3,1)="-",DATE(VALUE(RIGHT(raw_data!B869,4)),VALUE(MID(raw_data!B869,4,2)),VALUE(LEFT(raw_data!B869,2))),IF(MID(raw_data!B869,5,1)="-",DATE(VALUE(LEFT(raw_data!B869,4)),VALUE(MID(raw_data!B869,6,2)),VALUE(RIGHT(raw_data!B869,2))),DATE(VALUE(RIGHT(raw_data!B869,4)),MATCH(MID(raw_data!B869,4,3),{"Jan","Feb","Mar","Apr","May","Jun","Jul","Aug","Sep","Oct","Nov","Dec"},0),VALUE(LEFT(raw_data!B869,2)))))),"")</f>
        <v>45617</v>
      </c>
      <c r="C869" s="4" t="n">
        <f aca="false">IFERROR(IF(MID(raw_data!C869,3,1)="/",DATE(VALUE(RIGHT(raw_data!C869,4)),VALUE(LEFT(raw_data!C869,2)),VALUE(MID(raw_data!C869,4,2))),IF(MID(raw_data!C869,3,1)="-",DATE(VALUE(RIGHT(raw_data!C869,4)),VALUE(MID(raw_data!C869,4,2)),VALUE(LEFT(raw_data!C869,2))),IF(MID(raw_data!C869,5,1)="-",DATE(VALUE(LEFT(raw_data!C869,4)),VALUE(MID(raw_data!C869,6,2)),VALUE(RIGHT(raw_data!C869,2))),DATE(VALUE(RIGHT(raw_data!C869,4)),MATCH(MID(raw_data!C869,4,3),{"Jan","Feb","Mar","Apr","May","Jun","Jul","Aug","Sep","Oct","Nov","Dec"},0),VALUE(LEFT(raw_data!C869,2)))))),"")</f>
        <v>45618</v>
      </c>
      <c r="D869" s="3" t="str">
        <f aca="false">IF(TRIM(raw_data!B869)="","Missing",IF(B869="","Invalid/Unrecognized","Valid"))</f>
        <v>Valid</v>
      </c>
      <c r="E869" s="3" t="str">
        <f aca="false">IF(TRIM(raw_data!C869)="","Missing",IF(C869="","Invalid/Unrecognized","Valid"))</f>
        <v>Valid</v>
      </c>
      <c r="F869" s="5" t="n">
        <f aca="false">IF(OR(B869="",C869=""),"",C869-B869)</f>
        <v>1</v>
      </c>
      <c r="G869" s="3" t="str">
        <f aca="false">IF(F869="","N/A",IF(F869&lt;0,"Invalid - Ship Before Order","OK"))</f>
        <v>OK</v>
      </c>
      <c r="H869" s="3" t="str">
        <f aca="false">raw_data!D869</f>
        <v>CUST-2328</v>
      </c>
      <c r="I869" s="3" t="str">
        <f aca="false">PROPER(TRIM(raw_data!E869))</f>
        <v>Rahul Verma</v>
      </c>
      <c r="J869" s="3" t="str">
        <f aca="false">PROPER(TRIM(raw_data!F869))</f>
        <v>Home Office</v>
      </c>
      <c r="K869" s="3" t="str">
        <f aca="false">IF(TRIM(raw_data!G869)="","Unknown",PROPER(TRIM(raw_data!G869)))</f>
        <v>South</v>
      </c>
      <c r="L869" s="3" t="str">
        <f aca="false">IF(TRIM(raw_data!G869)="","Filled - Unknown","OK")</f>
        <v>OK</v>
      </c>
      <c r="M869" s="3" t="str">
        <f aca="false">PROPER(TRIM(raw_data!H869))</f>
        <v>Andhra Pradesh</v>
      </c>
      <c r="N869" s="3" t="str">
        <f aca="false">PROPER(TRIM(raw_data!I869))</f>
        <v>Vijayawada</v>
      </c>
      <c r="O869" s="3" t="str">
        <f aca="false">PROPER(TRIM(raw_data!J869))</f>
        <v>Technology</v>
      </c>
      <c r="P869" s="3" t="str">
        <f aca="false">PROPER(TRIM(raw_data!K869))</f>
        <v>Accessories</v>
      </c>
      <c r="Q869" s="3" t="str">
        <f aca="false">TRIM(raw_data!L869)</f>
        <v>Eco Accessories 389</v>
      </c>
      <c r="R869" s="3" t="str">
        <f aca="false">IF(TRIM(raw_data!M869)="","Unknown",PROPER(TRIM(raw_data!M869)))</f>
        <v>Same Day</v>
      </c>
      <c r="S869" s="3" t="str">
        <f aca="false">IF(TRIM(raw_data!M869)="","Filled - Unknown","OK")</f>
        <v>OK</v>
      </c>
      <c r="T869" s="6" t="n">
        <f aca="false">raw_data!N869</f>
        <v>6</v>
      </c>
      <c r="U869" s="7" t="n">
        <f aca="false">raw_data!O869</f>
        <v>1043.49</v>
      </c>
      <c r="V869" s="8" t="n">
        <f aca="false">raw_data!P869</f>
        <v>0.25</v>
      </c>
      <c r="W869" s="8" t="n">
        <f aca="false">IF(raw_data!P869="",0,IF(ISTEXT(raw_data!P869),IF(RIGHT(raw_data!P869,1)="%",VALUE(LEFT(raw_data!P869,LEN(raw_data!P869)-1))/100,VALUE(raw_data!P869)),raw_data!P869))</f>
        <v>0.25</v>
      </c>
      <c r="X869" s="3" t="str">
        <f aca="false">IF(raw_data!P869="","Missing - Defaulted to 0",IF(W869&lt;0,"Negative - Invalid",IF(W869&gt;0.3,"Above Allowed Range - Invalid","Valid")))</f>
        <v>Valid</v>
      </c>
      <c r="Y869" s="7" t="n">
        <f aca="false">raw_data!Q869</f>
        <v>4695.7</v>
      </c>
      <c r="Z869" s="7" t="n">
        <f aca="false">raw_data!R869</f>
        <v>3871.69</v>
      </c>
      <c r="AA869" s="7" t="n">
        <f aca="false">raw_data!S869</f>
        <v>824.01</v>
      </c>
      <c r="AB869" s="3" t="str">
        <f aca="false">PROPER(TRIM(raw_data!T869))</f>
        <v>Failed</v>
      </c>
      <c r="AC869" s="3" t="str">
        <f aca="false">PROPER(TRIM(raw_data!U869))</f>
        <v>Cancelled</v>
      </c>
      <c r="AD869" s="7" t="n">
        <f aca="false">T869*U869*(1-W869)</f>
        <v>4695.705</v>
      </c>
      <c r="AE869" s="7" t="n">
        <f aca="false">AD869-Z869</f>
        <v>824.015</v>
      </c>
      <c r="AF869" s="8" t="n">
        <f aca="false">IF(AD869=0,0,AE869/AD869)</f>
        <v>0.175482701745531</v>
      </c>
      <c r="AG869" s="3" t="str">
        <f aca="false">IF(ABS(Y869-AD869)&gt;1,"Mismatch","OK")</f>
        <v>OK</v>
      </c>
      <c r="AH869" s="3" t="str">
        <f aca="false">IF(ABS(AA869-AE869)&gt;1,"Mismatch","OK")</f>
        <v>OK</v>
      </c>
      <c r="AI869" s="6" t="n">
        <f aca="false">IF(B869="","",MONTH(B869))</f>
        <v>11</v>
      </c>
      <c r="AJ869" s="6" t="n">
        <f aca="false">IF(B869="","",YEAR(B869))</f>
        <v>2024</v>
      </c>
      <c r="AK869" s="3" t="str">
        <f aca="false">IF(COUNTIF(raw_data!$A$2:$A$913,A869)&gt;1,"Conflicting Duplicate - Flagged for Review","Unique")</f>
        <v>Unique</v>
      </c>
      <c r="AL869" s="3" t="str">
        <f aca="false">IF(AB869="Refunded","Yes","No")</f>
        <v>No</v>
      </c>
      <c r="AM869" s="3" t="str">
        <f aca="false">IF(OR(AC869&lt;&gt;"Completed",AB869="Failed"),"Excluded","Included")</f>
        <v>Excluded</v>
      </c>
      <c r="AN869" s="3" t="str">
        <f aca="false">IF(OR(D869="Invalid/Unrecognized",E869="Invalid/Unrecognized",G869="Invalid - Ship Before Order",X869="Negative - Invalid",X869="Above Allowed Range - Invalid",AG869="Mismatch",AH869="Mismatch",AK869="Conflicting Duplicate - Flagged for Review"),"Invalid",IF(OR(L869="Filled - Unknown",S869="Filled - Unknown",X869="Missing - Defaulted to 0",AL869="Yes",AC869="Cancelled",AC869="Returned"),"Warning","Clean"))</f>
        <v>Warning</v>
      </c>
    </row>
    <row r="870" customFormat="false" ht="15" hidden="false" customHeight="false" outlineLevel="0" collapsed="false">
      <c r="A870" s="3" t="str">
        <f aca="false">raw_data!A870</f>
        <v>ORD-2025-10869</v>
      </c>
      <c r="B870" s="4" t="n">
        <f aca="false">IFERROR(IF(MID(raw_data!B870,3,1)="/",DATE(VALUE(RIGHT(raw_data!B870,4)),VALUE(LEFT(raw_data!B870,2)),VALUE(MID(raw_data!B870,4,2))),IF(MID(raw_data!B870,3,1)="-",DATE(VALUE(RIGHT(raw_data!B870,4)),VALUE(MID(raw_data!B870,4,2)),VALUE(LEFT(raw_data!B870,2))),IF(MID(raw_data!B870,5,1)="-",DATE(VALUE(LEFT(raw_data!B870,4)),VALUE(MID(raw_data!B870,6,2)),VALUE(RIGHT(raw_data!B870,2))),DATE(VALUE(RIGHT(raw_data!B870,4)),MATCH(MID(raw_data!B870,4,3),{"Jan","Feb","Mar","Apr","May","Jun","Jul","Aug","Sep","Oct","Nov","Dec"},0),VALUE(LEFT(raw_data!B870,2)))))),"")</f>
        <v>45758</v>
      </c>
      <c r="C870" s="4" t="n">
        <f aca="false">IFERROR(IF(MID(raw_data!C870,3,1)="/",DATE(VALUE(RIGHT(raw_data!C870,4)),VALUE(LEFT(raw_data!C870,2)),VALUE(MID(raw_data!C870,4,2))),IF(MID(raw_data!C870,3,1)="-",DATE(VALUE(RIGHT(raw_data!C870,4)),VALUE(MID(raw_data!C870,4,2)),VALUE(LEFT(raw_data!C870,2))),IF(MID(raw_data!C870,5,1)="-",DATE(VALUE(LEFT(raw_data!C870,4)),VALUE(MID(raw_data!C870,6,2)),VALUE(RIGHT(raw_data!C870,2))),DATE(VALUE(RIGHT(raw_data!C870,4)),MATCH(MID(raw_data!C870,4,3),{"Jan","Feb","Mar","Apr","May","Jun","Jul","Aug","Sep","Oct","Nov","Dec"},0),VALUE(LEFT(raw_data!C870,2)))))),"")</f>
        <v>45762</v>
      </c>
      <c r="D870" s="3" t="str">
        <f aca="false">IF(TRIM(raw_data!B870)="","Missing",IF(B870="","Invalid/Unrecognized","Valid"))</f>
        <v>Valid</v>
      </c>
      <c r="E870" s="3" t="str">
        <f aca="false">IF(TRIM(raw_data!C870)="","Missing",IF(C870="","Invalid/Unrecognized","Valid"))</f>
        <v>Valid</v>
      </c>
      <c r="F870" s="5" t="n">
        <f aca="false">IF(OR(B870="",C870=""),"",C870-B870)</f>
        <v>4</v>
      </c>
      <c r="G870" s="3" t="str">
        <f aca="false">IF(F870="","N/A",IF(F870&lt;0,"Invalid - Ship Before Order","OK"))</f>
        <v>OK</v>
      </c>
      <c r="H870" s="3" t="str">
        <f aca="false">raw_data!D870</f>
        <v>CUST-8483</v>
      </c>
      <c r="I870" s="3" t="str">
        <f aca="false">PROPER(TRIM(raw_data!E870))</f>
        <v>Vikram Iyer</v>
      </c>
      <c r="J870" s="3" t="str">
        <f aca="false">PROPER(TRIM(raw_data!F870))</f>
        <v>Home Office</v>
      </c>
      <c r="K870" s="3" t="str">
        <f aca="false">IF(TRIM(raw_data!G870)="","Unknown",PROPER(TRIM(raw_data!G870)))</f>
        <v>South</v>
      </c>
      <c r="L870" s="3" t="str">
        <f aca="false">IF(TRIM(raw_data!G870)="","Filled - Unknown","OK")</f>
        <v>OK</v>
      </c>
      <c r="M870" s="3" t="str">
        <f aca="false">PROPER(TRIM(raw_data!H870))</f>
        <v>Karnataka</v>
      </c>
      <c r="N870" s="3" t="str">
        <f aca="false">PROPER(TRIM(raw_data!I870))</f>
        <v>Bengaluru</v>
      </c>
      <c r="O870" s="3" t="str">
        <f aca="false">PROPER(TRIM(raw_data!J870))</f>
        <v>Office Supplies</v>
      </c>
      <c r="P870" s="3" t="str">
        <f aca="false">PROPER(TRIM(raw_data!K870))</f>
        <v>Storage</v>
      </c>
      <c r="Q870" s="3" t="str">
        <f aca="false">TRIM(raw_data!L870)</f>
        <v>Elite Storage 187</v>
      </c>
      <c r="R870" s="3" t="str">
        <f aca="false">IF(TRIM(raw_data!M870)="","Unknown",PROPER(TRIM(raw_data!M870)))</f>
        <v>Same Day</v>
      </c>
      <c r="S870" s="3" t="str">
        <f aca="false">IF(TRIM(raw_data!M870)="","Filled - Unknown","OK")</f>
        <v>OK</v>
      </c>
      <c r="T870" s="6" t="n">
        <f aca="false">raw_data!N870</f>
        <v>9</v>
      </c>
      <c r="U870" s="7" t="n">
        <f aca="false">raw_data!O870</f>
        <v>224.94</v>
      </c>
      <c r="V870" s="8" t="n">
        <f aca="false">raw_data!P870</f>
        <v>0.05</v>
      </c>
      <c r="W870" s="8" t="n">
        <f aca="false">IF(raw_data!P870="",0,IF(ISTEXT(raw_data!P870),IF(RIGHT(raw_data!P870,1)="%",VALUE(LEFT(raw_data!P870,LEN(raw_data!P870)-1))/100,VALUE(raw_data!P870)),raw_data!P870))</f>
        <v>0.05</v>
      </c>
      <c r="X870" s="3" t="str">
        <f aca="false">IF(raw_data!P870="","Missing - Defaulted to 0",IF(W870&lt;0,"Negative - Invalid",IF(W870&gt;0.3,"Above Allowed Range - Invalid","Valid")))</f>
        <v>Valid</v>
      </c>
      <c r="Y870" s="7" t="n">
        <f aca="false">raw_data!Q870</f>
        <v>1923.24</v>
      </c>
      <c r="Z870" s="7" t="n">
        <f aca="false">raw_data!R870</f>
        <v>1093.66</v>
      </c>
      <c r="AA870" s="7" t="n">
        <f aca="false">raw_data!S870</f>
        <v>829.58</v>
      </c>
      <c r="AB870" s="3" t="str">
        <f aca="false">PROPER(TRIM(raw_data!T870))</f>
        <v>Paid</v>
      </c>
      <c r="AC870" s="3" t="str">
        <f aca="false">PROPER(TRIM(raw_data!U870))</f>
        <v>Completed</v>
      </c>
      <c r="AD870" s="7" t="n">
        <f aca="false">T870*U870*(1-W870)</f>
        <v>1923.237</v>
      </c>
      <c r="AE870" s="7" t="n">
        <f aca="false">AD870-Z870</f>
        <v>829.577</v>
      </c>
      <c r="AF870" s="8" t="n">
        <f aca="false">IF(AD870=0,0,AE870/AD870)</f>
        <v>0.43134413491421</v>
      </c>
      <c r="AG870" s="3" t="str">
        <f aca="false">IF(ABS(Y870-AD870)&gt;1,"Mismatch","OK")</f>
        <v>OK</v>
      </c>
      <c r="AH870" s="3" t="str">
        <f aca="false">IF(ABS(AA870-AE870)&gt;1,"Mismatch","OK")</f>
        <v>OK</v>
      </c>
      <c r="AI870" s="6" t="n">
        <f aca="false">IF(B870="","",MONTH(B870))</f>
        <v>4</v>
      </c>
      <c r="AJ870" s="6" t="n">
        <f aca="false">IF(B870="","",YEAR(B870))</f>
        <v>2025</v>
      </c>
      <c r="AK870" s="3" t="str">
        <f aca="false">IF(COUNTIF(raw_data!$A$2:$A$913,A870)&gt;1,"Conflicting Duplicate - Flagged for Review","Unique")</f>
        <v>Unique</v>
      </c>
      <c r="AL870" s="3" t="str">
        <f aca="false">IF(AB870="Refunded","Yes","No")</f>
        <v>No</v>
      </c>
      <c r="AM870" s="3" t="str">
        <f aca="false">IF(OR(AC870&lt;&gt;"Completed",AB870="Failed"),"Excluded","Included")</f>
        <v>Included</v>
      </c>
      <c r="AN870" s="3" t="str">
        <f aca="false">IF(OR(D870="Invalid/Unrecognized",E870="Invalid/Unrecognized",G870="Invalid - Ship Before Order",X870="Negative - Invalid",X870="Above Allowed Range - Invalid",AG870="Mismatch",AH870="Mismatch",AK870="Conflicting Duplicate - Flagged for Review"),"Invalid",IF(OR(L870="Filled - Unknown",S870="Filled - Unknown",X870="Missing - Defaulted to 0",AL870="Yes",AC870="Cancelled",AC870="Returned"),"Warning","Clean"))</f>
        <v>Clean</v>
      </c>
    </row>
    <row r="871" customFormat="false" ht="15" hidden="false" customHeight="false" outlineLevel="0" collapsed="false">
      <c r="A871" s="3" t="str">
        <f aca="false">raw_data!A871</f>
        <v>ORD-2025-10870</v>
      </c>
      <c r="B871" s="4" t="n">
        <f aca="false">IFERROR(IF(MID(raw_data!B871,3,1)="/",DATE(VALUE(RIGHT(raw_data!B871,4)),VALUE(LEFT(raw_data!B871,2)),VALUE(MID(raw_data!B871,4,2))),IF(MID(raw_data!B871,3,1)="-",DATE(VALUE(RIGHT(raw_data!B871,4)),VALUE(MID(raw_data!B871,4,2)),VALUE(LEFT(raw_data!B871,2))),IF(MID(raw_data!B871,5,1)="-",DATE(VALUE(LEFT(raw_data!B871,4)),VALUE(MID(raw_data!B871,6,2)),VALUE(RIGHT(raw_data!B871,2))),DATE(VALUE(RIGHT(raw_data!B871,4)),MATCH(MID(raw_data!B871,4,3),{"Jan","Feb","Mar","Apr","May","Jun","Jul","Aug","Sep","Oct","Nov","Dec"},0),VALUE(LEFT(raw_data!B871,2)))))),"")</f>
        <v>45722</v>
      </c>
      <c r="C871" s="4" t="n">
        <f aca="false">IFERROR(IF(MID(raw_data!C871,3,1)="/",DATE(VALUE(RIGHT(raw_data!C871,4)),VALUE(LEFT(raw_data!C871,2)),VALUE(MID(raw_data!C871,4,2))),IF(MID(raw_data!C871,3,1)="-",DATE(VALUE(RIGHT(raw_data!C871,4)),VALUE(MID(raw_data!C871,4,2)),VALUE(LEFT(raw_data!C871,2))),IF(MID(raw_data!C871,5,1)="-",DATE(VALUE(LEFT(raw_data!C871,4)),VALUE(MID(raw_data!C871,6,2)),VALUE(RIGHT(raw_data!C871,2))),DATE(VALUE(RIGHT(raw_data!C871,4)),MATCH(MID(raw_data!C871,4,3),{"Jan","Feb","Mar","Apr","May","Jun","Jul","Aug","Sep","Oct","Nov","Dec"},0),VALUE(LEFT(raw_data!C871,2)))))),"")</f>
        <v>45723</v>
      </c>
      <c r="D871" s="3" t="str">
        <f aca="false">IF(TRIM(raw_data!B871)="","Missing",IF(B871="","Invalid/Unrecognized","Valid"))</f>
        <v>Valid</v>
      </c>
      <c r="E871" s="3" t="str">
        <f aca="false">IF(TRIM(raw_data!C871)="","Missing",IF(C871="","Invalid/Unrecognized","Valid"))</f>
        <v>Valid</v>
      </c>
      <c r="F871" s="5" t="n">
        <f aca="false">IF(OR(B871="",C871=""),"",C871-B871)</f>
        <v>1</v>
      </c>
      <c r="G871" s="3" t="str">
        <f aca="false">IF(F871="","N/A",IF(F871&lt;0,"Invalid - Ship Before Order","OK"))</f>
        <v>OK</v>
      </c>
      <c r="H871" s="3" t="str">
        <f aca="false">raw_data!D871</f>
        <v>CUST-2388</v>
      </c>
      <c r="I871" s="3" t="str">
        <f aca="false">PROPER(TRIM(raw_data!E871))</f>
        <v>Rohan Mehta</v>
      </c>
      <c r="J871" s="3" t="str">
        <f aca="false">PROPER(TRIM(raw_data!F871))</f>
        <v>Home Office</v>
      </c>
      <c r="K871" s="3" t="str">
        <f aca="false">IF(TRIM(raw_data!G871)="","Unknown",PROPER(TRIM(raw_data!G871)))</f>
        <v>Unknown</v>
      </c>
      <c r="L871" s="3" t="str">
        <f aca="false">IF(TRIM(raw_data!G871)="","Filled - Unknown","OK")</f>
        <v>Filled - Unknown</v>
      </c>
      <c r="M871" s="3" t="str">
        <f aca="false">PROPER(TRIM(raw_data!H871))</f>
        <v>Delhi</v>
      </c>
      <c r="N871" s="3" t="str">
        <f aca="false">PROPER(TRIM(raw_data!I871))</f>
        <v>New Delhi</v>
      </c>
      <c r="O871" s="3" t="str">
        <f aca="false">PROPER(TRIM(raw_data!J871))</f>
        <v>Furniture</v>
      </c>
      <c r="P871" s="3" t="str">
        <f aca="false">PROPER(TRIM(raw_data!K871))</f>
        <v>Chairs</v>
      </c>
      <c r="Q871" s="3" t="str">
        <f aca="false">TRIM(raw_data!L871)</f>
        <v>Max Chairs 487</v>
      </c>
      <c r="R871" s="3" t="str">
        <f aca="false">IF(TRIM(raw_data!M871)="","Unknown",PROPER(TRIM(raw_data!M871)))</f>
        <v>Same Day</v>
      </c>
      <c r="S871" s="3" t="str">
        <f aca="false">IF(TRIM(raw_data!M871)="","Filled - Unknown","OK")</f>
        <v>OK</v>
      </c>
      <c r="T871" s="6" t="n">
        <f aca="false">raw_data!N871</f>
        <v>6</v>
      </c>
      <c r="U871" s="7" t="n">
        <f aca="false">raw_data!O871</f>
        <v>796.65</v>
      </c>
      <c r="V871" s="8" t="n">
        <f aca="false">raw_data!P871</f>
        <v>0.1</v>
      </c>
      <c r="W871" s="8" t="n">
        <f aca="false">IF(raw_data!P871="",0,IF(ISTEXT(raw_data!P871),IF(RIGHT(raw_data!P871,1)="%",VALUE(LEFT(raw_data!P871,LEN(raw_data!P871)-1))/100,VALUE(raw_data!P871)),raw_data!P871))</f>
        <v>0.1</v>
      </c>
      <c r="X871" s="3" t="str">
        <f aca="false">IF(raw_data!P871="","Missing - Defaulted to 0",IF(W871&lt;0,"Negative - Invalid",IF(W871&gt;0.3,"Above Allowed Range - Invalid","Valid")))</f>
        <v>Valid</v>
      </c>
      <c r="Y871" s="7" t="n">
        <f aca="false">raw_data!Q871</f>
        <v>4301.91</v>
      </c>
      <c r="Z871" s="7" t="n">
        <f aca="false">raw_data!R871</f>
        <v>2374.4</v>
      </c>
      <c r="AA871" s="7" t="n">
        <f aca="false">raw_data!S871</f>
        <v>1927.51</v>
      </c>
      <c r="AB871" s="3" t="str">
        <f aca="false">PROPER(TRIM(raw_data!T871))</f>
        <v>Paid</v>
      </c>
      <c r="AC871" s="3" t="str">
        <f aca="false">PROPER(TRIM(raw_data!U871))</f>
        <v>Completed</v>
      </c>
      <c r="AD871" s="7" t="n">
        <f aca="false">T871*U871*(1-W871)</f>
        <v>4301.91</v>
      </c>
      <c r="AE871" s="7" t="n">
        <f aca="false">AD871-Z871</f>
        <v>1927.51</v>
      </c>
      <c r="AF871" s="8" t="n">
        <f aca="false">IF(AD871=0,0,AE871/AD871)</f>
        <v>0.448059117926688</v>
      </c>
      <c r="AG871" s="3" t="str">
        <f aca="false">IF(ABS(Y871-AD871)&gt;1,"Mismatch","OK")</f>
        <v>OK</v>
      </c>
      <c r="AH871" s="3" t="str">
        <f aca="false">IF(ABS(AA871-AE871)&gt;1,"Mismatch","OK")</f>
        <v>OK</v>
      </c>
      <c r="AI871" s="6" t="n">
        <f aca="false">IF(B871="","",MONTH(B871))</f>
        <v>3</v>
      </c>
      <c r="AJ871" s="6" t="n">
        <f aca="false">IF(B871="","",YEAR(B871))</f>
        <v>2025</v>
      </c>
      <c r="AK871" s="3" t="str">
        <f aca="false">IF(COUNTIF(raw_data!$A$2:$A$913,A871)&gt;1,"Conflicting Duplicate - Flagged for Review","Unique")</f>
        <v>Unique</v>
      </c>
      <c r="AL871" s="3" t="str">
        <f aca="false">IF(AB871="Refunded","Yes","No")</f>
        <v>No</v>
      </c>
      <c r="AM871" s="3" t="str">
        <f aca="false">IF(OR(AC871&lt;&gt;"Completed",AB871="Failed"),"Excluded","Included")</f>
        <v>Included</v>
      </c>
      <c r="AN871" s="3" t="str">
        <f aca="false">IF(OR(D871="Invalid/Unrecognized",E871="Invalid/Unrecognized",G871="Invalid - Ship Before Order",X871="Negative - Invalid",X871="Above Allowed Range - Invalid",AG871="Mismatch",AH871="Mismatch",AK871="Conflicting Duplicate - Flagged for Review"),"Invalid",IF(OR(L871="Filled - Unknown",S871="Filled - Unknown",X871="Missing - Defaulted to 0",AL871="Yes",AC871="Cancelled",AC871="Returned"),"Warning","Clean"))</f>
        <v>Warning</v>
      </c>
    </row>
    <row r="872" customFormat="false" ht="15" hidden="false" customHeight="false" outlineLevel="0" collapsed="false">
      <c r="A872" s="3" t="str">
        <f aca="false">raw_data!A872</f>
        <v>ORD-2025-10871</v>
      </c>
      <c r="B872" s="4" t="n">
        <f aca="false">IFERROR(IF(MID(raw_data!B872,3,1)="/",DATE(VALUE(RIGHT(raw_data!B872,4)),VALUE(LEFT(raw_data!B872,2)),VALUE(MID(raw_data!B872,4,2))),IF(MID(raw_data!B872,3,1)="-",DATE(VALUE(RIGHT(raw_data!B872,4)),VALUE(MID(raw_data!B872,4,2)),VALUE(LEFT(raw_data!B872,2))),IF(MID(raw_data!B872,5,1)="-",DATE(VALUE(LEFT(raw_data!B872,4)),VALUE(MID(raw_data!B872,6,2)),VALUE(RIGHT(raw_data!B872,2))),DATE(VALUE(RIGHT(raw_data!B872,4)),MATCH(MID(raw_data!B872,4,3),{"Jan","Feb","Mar","Apr","May","Jun","Jul","Aug","Sep","Oct","Nov","Dec"},0),VALUE(LEFT(raw_data!B872,2)))))),"")</f>
        <v>45814</v>
      </c>
      <c r="C872" s="4" t="n">
        <f aca="false">IFERROR(IF(MID(raw_data!C872,3,1)="/",DATE(VALUE(RIGHT(raw_data!C872,4)),VALUE(LEFT(raw_data!C872,2)),VALUE(MID(raw_data!C872,4,2))),IF(MID(raw_data!C872,3,1)="-",DATE(VALUE(RIGHT(raw_data!C872,4)),VALUE(MID(raw_data!C872,4,2)),VALUE(LEFT(raw_data!C872,2))),IF(MID(raw_data!C872,5,1)="-",DATE(VALUE(LEFT(raw_data!C872,4)),VALUE(MID(raw_data!C872,6,2)),VALUE(RIGHT(raw_data!C872,2))),DATE(VALUE(RIGHT(raw_data!C872,4)),MATCH(MID(raw_data!C872,4,3),{"Jan","Feb","Mar","Apr","May","Jun","Jul","Aug","Sep","Oct","Nov","Dec"},0),VALUE(LEFT(raw_data!C872,2)))))),"")</f>
        <v>45815</v>
      </c>
      <c r="D872" s="3" t="str">
        <f aca="false">IF(TRIM(raw_data!B872)="","Missing",IF(B872="","Invalid/Unrecognized","Valid"))</f>
        <v>Valid</v>
      </c>
      <c r="E872" s="3" t="str">
        <f aca="false">IF(TRIM(raw_data!C872)="","Missing",IF(C872="","Invalid/Unrecognized","Valid"))</f>
        <v>Valid</v>
      </c>
      <c r="F872" s="5" t="n">
        <f aca="false">IF(OR(B872="",C872=""),"",C872-B872)</f>
        <v>1</v>
      </c>
      <c r="G872" s="3" t="str">
        <f aca="false">IF(F872="","N/A",IF(F872&lt;0,"Invalid - Ship Before Order","OK"))</f>
        <v>OK</v>
      </c>
      <c r="H872" s="3" t="str">
        <f aca="false">raw_data!D872</f>
        <v>CUST-7054</v>
      </c>
      <c r="I872" s="3" t="str">
        <f aca="false">PROPER(TRIM(raw_data!E872))</f>
        <v>Vikram Iyer</v>
      </c>
      <c r="J872" s="3" t="str">
        <f aca="false">PROPER(TRIM(raw_data!F872))</f>
        <v>Corporate</v>
      </c>
      <c r="K872" s="3" t="str">
        <f aca="false">IF(TRIM(raw_data!G872)="","Unknown",PROPER(TRIM(raw_data!G872)))</f>
        <v>West</v>
      </c>
      <c r="L872" s="3" t="str">
        <f aca="false">IF(TRIM(raw_data!G872)="","Filled - Unknown","OK")</f>
        <v>OK</v>
      </c>
      <c r="M872" s="3" t="str">
        <f aca="false">PROPER(TRIM(raw_data!H872))</f>
        <v>Goa</v>
      </c>
      <c r="N872" s="3" t="str">
        <f aca="false">PROPER(TRIM(raw_data!I872))</f>
        <v>Panaji</v>
      </c>
      <c r="O872" s="3" t="str">
        <f aca="false">PROPER(TRIM(raw_data!J872))</f>
        <v>Furniture</v>
      </c>
      <c r="P872" s="3" t="str">
        <f aca="false">PROPER(TRIM(raw_data!K872))</f>
        <v>Tables</v>
      </c>
      <c r="Q872" s="3" t="str">
        <f aca="false">TRIM(raw_data!L872)</f>
        <v>Max Tables 281</v>
      </c>
      <c r="R872" s="3" t="str">
        <f aca="false">IF(TRIM(raw_data!M872)="","Unknown",PROPER(TRIM(raw_data!M872)))</f>
        <v>Standard Class</v>
      </c>
      <c r="S872" s="3" t="str">
        <f aca="false">IF(TRIM(raw_data!M872)="","Filled - Unknown","OK")</f>
        <v>OK</v>
      </c>
      <c r="T872" s="6" t="n">
        <f aca="false">raw_data!N872</f>
        <v>9</v>
      </c>
      <c r="U872" s="7" t="n">
        <f aca="false">raw_data!O872</f>
        <v>2932.92</v>
      </c>
      <c r="V872" s="8" t="n">
        <f aca="false">raw_data!P872</f>
        <v>0.15</v>
      </c>
      <c r="W872" s="8" t="n">
        <f aca="false">IF(raw_data!P872="",0,IF(ISTEXT(raw_data!P872),IF(RIGHT(raw_data!P872,1)="%",VALUE(LEFT(raw_data!P872,LEN(raw_data!P872)-1))/100,VALUE(raw_data!P872)),raw_data!P872))</f>
        <v>0.15</v>
      </c>
      <c r="X872" s="3" t="str">
        <f aca="false">IF(raw_data!P872="","Missing - Defaulted to 0",IF(W872&lt;0,"Negative - Invalid",IF(W872&gt;0.3,"Above Allowed Range - Invalid","Valid")))</f>
        <v>Valid</v>
      </c>
      <c r="Y872" s="7" t="n">
        <f aca="false">raw_data!Q872</f>
        <v>22436.84</v>
      </c>
      <c r="Z872" s="7" t="n">
        <f aca="false">raw_data!R872</f>
        <v>17454.67</v>
      </c>
      <c r="AA872" s="7" t="n">
        <f aca="false">raw_data!S872</f>
        <v>4982.17</v>
      </c>
      <c r="AB872" s="3" t="str">
        <f aca="false">PROPER(TRIM(raw_data!T872))</f>
        <v>Paid</v>
      </c>
      <c r="AC872" s="3" t="str">
        <f aca="false">PROPER(TRIM(raw_data!U872))</f>
        <v>Cancelled</v>
      </c>
      <c r="AD872" s="7" t="n">
        <f aca="false">T872*U872*(1-W872)</f>
        <v>22436.838</v>
      </c>
      <c r="AE872" s="7" t="n">
        <f aca="false">AD872-Z872</f>
        <v>4982.168</v>
      </c>
      <c r="AF872" s="8" t="n">
        <f aca="false">IF(AD872=0,0,AE872/AD872)</f>
        <v>0.222053036172031</v>
      </c>
      <c r="AG872" s="3" t="str">
        <f aca="false">IF(ABS(Y872-AD872)&gt;1,"Mismatch","OK")</f>
        <v>OK</v>
      </c>
      <c r="AH872" s="3" t="str">
        <f aca="false">IF(ABS(AA872-AE872)&gt;1,"Mismatch","OK")</f>
        <v>OK</v>
      </c>
      <c r="AI872" s="6" t="n">
        <f aca="false">IF(B872="","",MONTH(B872))</f>
        <v>6</v>
      </c>
      <c r="AJ872" s="6" t="n">
        <f aca="false">IF(B872="","",YEAR(B872))</f>
        <v>2025</v>
      </c>
      <c r="AK872" s="3" t="str">
        <f aca="false">IF(COUNTIF(raw_data!$A$2:$A$913,A872)&gt;1,"Conflicting Duplicate - Flagged for Review","Unique")</f>
        <v>Unique</v>
      </c>
      <c r="AL872" s="3" t="str">
        <f aca="false">IF(AB872="Refunded","Yes","No")</f>
        <v>No</v>
      </c>
      <c r="AM872" s="3" t="str">
        <f aca="false">IF(OR(AC872&lt;&gt;"Completed",AB872="Failed"),"Excluded","Included")</f>
        <v>Excluded</v>
      </c>
      <c r="AN872" s="3" t="str">
        <f aca="false">IF(OR(D872="Invalid/Unrecognized",E872="Invalid/Unrecognized",G872="Invalid - Ship Before Order",X872="Negative - Invalid",X872="Above Allowed Range - Invalid",AG872="Mismatch",AH872="Mismatch",AK872="Conflicting Duplicate - Flagged for Review"),"Invalid",IF(OR(L872="Filled - Unknown",S872="Filled - Unknown",X872="Missing - Defaulted to 0",AL872="Yes",AC872="Cancelled",AC872="Returned"),"Warning","Clean"))</f>
        <v>Warning</v>
      </c>
    </row>
    <row r="873" customFormat="false" ht="15" hidden="false" customHeight="false" outlineLevel="0" collapsed="false">
      <c r="A873" s="3" t="str">
        <f aca="false">raw_data!A873</f>
        <v>ORD-2024-10872</v>
      </c>
      <c r="B873" s="4" t="n">
        <f aca="false">IFERROR(IF(MID(raw_data!B873,3,1)="/",DATE(VALUE(RIGHT(raw_data!B873,4)),VALUE(LEFT(raw_data!B873,2)),VALUE(MID(raw_data!B873,4,2))),IF(MID(raw_data!B873,3,1)="-",DATE(VALUE(RIGHT(raw_data!B873,4)),VALUE(MID(raw_data!B873,4,2)),VALUE(LEFT(raw_data!B873,2))),IF(MID(raw_data!B873,5,1)="-",DATE(VALUE(LEFT(raw_data!B873,4)),VALUE(MID(raw_data!B873,6,2)),VALUE(RIGHT(raw_data!B873,2))),DATE(VALUE(RIGHT(raw_data!B873,4)),MATCH(MID(raw_data!B873,4,3),{"Jan","Feb","Mar","Apr","May","Jun","Jul","Aug","Sep","Oct","Nov","Dec"},0),VALUE(LEFT(raw_data!B873,2)))))),"")</f>
        <v>45342</v>
      </c>
      <c r="C873" s="4" t="n">
        <f aca="false">IFERROR(IF(MID(raw_data!C873,3,1)="/",DATE(VALUE(RIGHT(raw_data!C873,4)),VALUE(LEFT(raw_data!C873,2)),VALUE(MID(raw_data!C873,4,2))),IF(MID(raw_data!C873,3,1)="-",DATE(VALUE(RIGHT(raw_data!C873,4)),VALUE(MID(raw_data!C873,4,2)),VALUE(LEFT(raw_data!C873,2))),IF(MID(raw_data!C873,5,1)="-",DATE(VALUE(LEFT(raw_data!C873,4)),VALUE(MID(raw_data!C873,6,2)),VALUE(RIGHT(raw_data!C873,2))),DATE(VALUE(RIGHT(raw_data!C873,4)),MATCH(MID(raw_data!C873,4,3),{"Jan","Feb","Mar","Apr","May","Jun","Jul","Aug","Sep","Oct","Nov","Dec"},0),VALUE(LEFT(raw_data!C873,2)))))),"")</f>
        <v>45344</v>
      </c>
      <c r="D873" s="3" t="str">
        <f aca="false">IF(TRIM(raw_data!B873)="","Missing",IF(B873="","Invalid/Unrecognized","Valid"))</f>
        <v>Valid</v>
      </c>
      <c r="E873" s="3" t="str">
        <f aca="false">IF(TRIM(raw_data!C873)="","Missing",IF(C873="","Invalid/Unrecognized","Valid"))</f>
        <v>Valid</v>
      </c>
      <c r="F873" s="5" t="n">
        <f aca="false">IF(OR(B873="",C873=""),"",C873-B873)</f>
        <v>2</v>
      </c>
      <c r="G873" s="3" t="str">
        <f aca="false">IF(F873="","N/A",IF(F873&lt;0,"Invalid - Ship Before Order","OK"))</f>
        <v>OK</v>
      </c>
      <c r="H873" s="3" t="str">
        <f aca="false">raw_data!D873</f>
        <v>CUST-4375</v>
      </c>
      <c r="I873" s="3" t="str">
        <f aca="false">PROPER(TRIM(raw_data!E873))</f>
        <v>Neha Gupta</v>
      </c>
      <c r="J873" s="3" t="str">
        <f aca="false">PROPER(TRIM(raw_data!F873))</f>
        <v>Small Business</v>
      </c>
      <c r="K873" s="3" t="str">
        <f aca="false">IF(TRIM(raw_data!G873)="","Unknown",PROPER(TRIM(raw_data!G873)))</f>
        <v>South</v>
      </c>
      <c r="L873" s="3" t="str">
        <f aca="false">IF(TRIM(raw_data!G873)="","Filled - Unknown","OK")</f>
        <v>OK</v>
      </c>
      <c r="M873" s="3" t="str">
        <f aca="false">PROPER(TRIM(raw_data!H873))</f>
        <v>Telangana</v>
      </c>
      <c r="N873" s="3" t="str">
        <f aca="false">PROPER(TRIM(raw_data!I873))</f>
        <v>Hyderabad</v>
      </c>
      <c r="O873" s="3" t="str">
        <f aca="false">PROPER(TRIM(raw_data!J873))</f>
        <v>Technology</v>
      </c>
      <c r="P873" s="3" t="str">
        <f aca="false">PROPER(TRIM(raw_data!K873))</f>
        <v>Accessories</v>
      </c>
      <c r="Q873" s="3" t="str">
        <f aca="false">TRIM(raw_data!L873)</f>
        <v>Pro Accessories 325</v>
      </c>
      <c r="R873" s="3" t="str">
        <f aca="false">IF(TRIM(raw_data!M873)="","Unknown",PROPER(TRIM(raw_data!M873)))</f>
        <v>First Class</v>
      </c>
      <c r="S873" s="3" t="str">
        <f aca="false">IF(TRIM(raw_data!M873)="","Filled - Unknown","OK")</f>
        <v>OK</v>
      </c>
      <c r="T873" s="6" t="n">
        <f aca="false">raw_data!N873</f>
        <v>9</v>
      </c>
      <c r="U873" s="7" t="n">
        <f aca="false">raw_data!O873</f>
        <v>2186.23</v>
      </c>
      <c r="V873" s="8" t="n">
        <f aca="false">raw_data!P873</f>
        <v>0</v>
      </c>
      <c r="W873" s="8" t="n">
        <f aca="false">IF(raw_data!P873="",0,IF(ISTEXT(raw_data!P873),IF(RIGHT(raw_data!P873,1)="%",VALUE(LEFT(raw_data!P873,LEN(raw_data!P873)-1))/100,VALUE(raw_data!P873)),raw_data!P873))</f>
        <v>0</v>
      </c>
      <c r="X873" s="3" t="str">
        <f aca="false">IF(raw_data!P873="","Missing - Defaulted to 0",IF(W873&lt;0,"Negative - Invalid",IF(W873&gt;0.3,"Above Allowed Range - Invalid","Valid")))</f>
        <v>Valid</v>
      </c>
      <c r="Y873" s="7" t="n">
        <f aca="false">raw_data!Q873</f>
        <v>19676.07</v>
      </c>
      <c r="Z873" s="7" t="n">
        <f aca="false">raw_data!R873</f>
        <v>12458.62</v>
      </c>
      <c r="AA873" s="7" t="n">
        <f aca="false">raw_data!S873</f>
        <v>7217.45</v>
      </c>
      <c r="AB873" s="3" t="str">
        <f aca="false">PROPER(TRIM(raw_data!T873))</f>
        <v>Refunded</v>
      </c>
      <c r="AC873" s="3" t="str">
        <f aca="false">PROPER(TRIM(raw_data!U873))</f>
        <v>Cancelled</v>
      </c>
      <c r="AD873" s="7" t="n">
        <f aca="false">T873*U873*(1-W873)</f>
        <v>19676.07</v>
      </c>
      <c r="AE873" s="7" t="n">
        <f aca="false">AD873-Z873</f>
        <v>7217.45</v>
      </c>
      <c r="AF873" s="8" t="n">
        <f aca="false">IF(AD873=0,0,AE873/AD873)</f>
        <v>0.366813596414325</v>
      </c>
      <c r="AG873" s="3" t="str">
        <f aca="false">IF(ABS(Y873-AD873)&gt;1,"Mismatch","OK")</f>
        <v>OK</v>
      </c>
      <c r="AH873" s="3" t="str">
        <f aca="false">IF(ABS(AA873-AE873)&gt;1,"Mismatch","OK")</f>
        <v>OK</v>
      </c>
      <c r="AI873" s="6" t="n">
        <f aca="false">IF(B873="","",MONTH(B873))</f>
        <v>2</v>
      </c>
      <c r="AJ873" s="6" t="n">
        <f aca="false">IF(B873="","",YEAR(B873))</f>
        <v>2024</v>
      </c>
      <c r="AK873" s="3" t="str">
        <f aca="false">IF(COUNTIF(raw_data!$A$2:$A$913,A873)&gt;1,"Conflicting Duplicate - Flagged for Review","Unique")</f>
        <v>Unique</v>
      </c>
      <c r="AL873" s="3" t="str">
        <f aca="false">IF(AB873="Refunded","Yes","No")</f>
        <v>Yes</v>
      </c>
      <c r="AM873" s="3" t="str">
        <f aca="false">IF(OR(AC873&lt;&gt;"Completed",AB873="Failed"),"Excluded","Included")</f>
        <v>Excluded</v>
      </c>
      <c r="AN873" s="3" t="str">
        <f aca="false">IF(OR(D873="Invalid/Unrecognized",E873="Invalid/Unrecognized",G873="Invalid - Ship Before Order",X873="Negative - Invalid",X873="Above Allowed Range - Invalid",AG873="Mismatch",AH873="Mismatch",AK873="Conflicting Duplicate - Flagged for Review"),"Invalid",IF(OR(L873="Filled - Unknown",S873="Filled - Unknown",X873="Missing - Defaulted to 0",AL873="Yes",AC873="Cancelled",AC873="Returned"),"Warning","Clean"))</f>
        <v>Warning</v>
      </c>
    </row>
    <row r="874" customFormat="false" ht="15" hidden="false" customHeight="false" outlineLevel="0" collapsed="false">
      <c r="A874" s="3" t="str">
        <f aca="false">raw_data!A874</f>
        <v>ORD-2024-10873</v>
      </c>
      <c r="B874" s="4" t="n">
        <f aca="false">IFERROR(IF(MID(raw_data!B874,3,1)="/",DATE(VALUE(RIGHT(raw_data!B874,4)),VALUE(LEFT(raw_data!B874,2)),VALUE(MID(raw_data!B874,4,2))),IF(MID(raw_data!B874,3,1)="-",DATE(VALUE(RIGHT(raw_data!B874,4)),VALUE(MID(raw_data!B874,4,2)),VALUE(LEFT(raw_data!B874,2))),IF(MID(raw_data!B874,5,1)="-",DATE(VALUE(LEFT(raw_data!B874,4)),VALUE(MID(raw_data!B874,6,2)),VALUE(RIGHT(raw_data!B874,2))),DATE(VALUE(RIGHT(raw_data!B874,4)),MATCH(MID(raw_data!B874,4,3),{"Jan","Feb","Mar","Apr","May","Jun","Jul","Aug","Sep","Oct","Nov","Dec"},0),VALUE(LEFT(raw_data!B874,2)))))),"")</f>
        <v>45597</v>
      </c>
      <c r="C874" s="4" t="n">
        <f aca="false">IFERROR(IF(MID(raw_data!C874,3,1)="/",DATE(VALUE(RIGHT(raw_data!C874,4)),VALUE(LEFT(raw_data!C874,2)),VALUE(MID(raw_data!C874,4,2))),IF(MID(raw_data!C874,3,1)="-",DATE(VALUE(RIGHT(raw_data!C874,4)),VALUE(MID(raw_data!C874,4,2)),VALUE(LEFT(raw_data!C874,2))),IF(MID(raw_data!C874,5,1)="-",DATE(VALUE(LEFT(raw_data!C874,4)),VALUE(MID(raw_data!C874,6,2)),VALUE(RIGHT(raw_data!C874,2))),DATE(VALUE(RIGHT(raw_data!C874,4)),MATCH(MID(raw_data!C874,4,3),{"Jan","Feb","Mar","Apr","May","Jun","Jul","Aug","Sep","Oct","Nov","Dec"},0),VALUE(LEFT(raw_data!C874,2)))))),"")</f>
        <v>45598</v>
      </c>
      <c r="D874" s="3" t="str">
        <f aca="false">IF(TRIM(raw_data!B874)="","Missing",IF(B874="","Invalid/Unrecognized","Valid"))</f>
        <v>Valid</v>
      </c>
      <c r="E874" s="3" t="str">
        <f aca="false">IF(TRIM(raw_data!C874)="","Missing",IF(C874="","Invalid/Unrecognized","Valid"))</f>
        <v>Valid</v>
      </c>
      <c r="F874" s="5" t="n">
        <f aca="false">IF(OR(B874="",C874=""),"",C874-B874)</f>
        <v>1</v>
      </c>
      <c r="G874" s="3" t="str">
        <f aca="false">IF(F874="","N/A",IF(F874&lt;0,"Invalid - Ship Before Order","OK"))</f>
        <v>OK</v>
      </c>
      <c r="H874" s="3" t="str">
        <f aca="false">raw_data!D874</f>
        <v>CUST-6262</v>
      </c>
      <c r="I874" s="3" t="str">
        <f aca="false">PROPER(TRIM(raw_data!E874))</f>
        <v>Karan Malhotra</v>
      </c>
      <c r="J874" s="3" t="str">
        <f aca="false">PROPER(TRIM(raw_data!F874))</f>
        <v>Corporate</v>
      </c>
      <c r="K874" s="3" t="str">
        <f aca="false">IF(TRIM(raw_data!G874)="","Unknown",PROPER(TRIM(raw_data!G874)))</f>
        <v>East</v>
      </c>
      <c r="L874" s="3" t="str">
        <f aca="false">IF(TRIM(raw_data!G874)="","Filled - Unknown","OK")</f>
        <v>OK</v>
      </c>
      <c r="M874" s="3" t="str">
        <f aca="false">PROPER(TRIM(raw_data!H874))</f>
        <v>West Bengal</v>
      </c>
      <c r="N874" s="3" t="str">
        <f aca="false">PROPER(TRIM(raw_data!I874))</f>
        <v>Kolkata</v>
      </c>
      <c r="O874" s="3" t="str">
        <f aca="false">PROPER(TRIM(raw_data!J874))</f>
        <v>Furniture</v>
      </c>
      <c r="P874" s="3" t="str">
        <f aca="false">PROPER(TRIM(raw_data!K874))</f>
        <v>Furnishings</v>
      </c>
      <c r="Q874" s="3" t="str">
        <f aca="false">TRIM(raw_data!L874)</f>
        <v>Prime Furnishings 178</v>
      </c>
      <c r="R874" s="3" t="str">
        <f aca="false">IF(TRIM(raw_data!M874)="","Unknown",PROPER(TRIM(raw_data!M874)))</f>
        <v>Standard Class</v>
      </c>
      <c r="S874" s="3" t="str">
        <f aca="false">IF(TRIM(raw_data!M874)="","Filled - Unknown","OK")</f>
        <v>OK</v>
      </c>
      <c r="T874" s="6" t="n">
        <f aca="false">raw_data!N874</f>
        <v>5</v>
      </c>
      <c r="U874" s="7" t="n">
        <f aca="false">raw_data!O874</f>
        <v>2212.02</v>
      </c>
      <c r="V874" s="8" t="n">
        <f aca="false">raw_data!P874</f>
        <v>0.2</v>
      </c>
      <c r="W874" s="8" t="n">
        <f aca="false">IF(raw_data!P874="",0,IF(ISTEXT(raw_data!P874),IF(RIGHT(raw_data!P874,1)="%",VALUE(LEFT(raw_data!P874,LEN(raw_data!P874)-1))/100,VALUE(raw_data!P874)),raw_data!P874))</f>
        <v>0.2</v>
      </c>
      <c r="X874" s="3" t="str">
        <f aca="false">IF(raw_data!P874="","Missing - Defaulted to 0",IF(W874&lt;0,"Negative - Invalid",IF(W874&gt;0.3,"Above Allowed Range - Invalid","Valid")))</f>
        <v>Valid</v>
      </c>
      <c r="Y874" s="7" t="n">
        <f aca="false">raw_data!Q874</f>
        <v>8848.08</v>
      </c>
      <c r="Z874" s="7" t="n">
        <f aca="false">raw_data!R874</f>
        <v>5691.56</v>
      </c>
      <c r="AA874" s="7" t="n">
        <f aca="false">raw_data!S874</f>
        <v>3156.52</v>
      </c>
      <c r="AB874" s="3" t="str">
        <f aca="false">PROPER(TRIM(raw_data!T874))</f>
        <v>Paid</v>
      </c>
      <c r="AC874" s="3" t="str">
        <f aca="false">PROPER(TRIM(raw_data!U874))</f>
        <v>Completed</v>
      </c>
      <c r="AD874" s="7" t="n">
        <f aca="false">T874*U874*(1-W874)</f>
        <v>8848.08</v>
      </c>
      <c r="AE874" s="7" t="n">
        <f aca="false">AD874-Z874</f>
        <v>3156.52</v>
      </c>
      <c r="AF874" s="8" t="n">
        <f aca="false">IF(AD874=0,0,AE874/AD874)</f>
        <v>0.356746322365982</v>
      </c>
      <c r="AG874" s="3" t="str">
        <f aca="false">IF(ABS(Y874-AD874)&gt;1,"Mismatch","OK")</f>
        <v>OK</v>
      </c>
      <c r="AH874" s="3" t="str">
        <f aca="false">IF(ABS(AA874-AE874)&gt;1,"Mismatch","OK")</f>
        <v>OK</v>
      </c>
      <c r="AI874" s="6" t="n">
        <f aca="false">IF(B874="","",MONTH(B874))</f>
        <v>11</v>
      </c>
      <c r="AJ874" s="6" t="n">
        <f aca="false">IF(B874="","",YEAR(B874))</f>
        <v>2024</v>
      </c>
      <c r="AK874" s="3" t="str">
        <f aca="false">IF(COUNTIF(raw_data!$A$2:$A$913,A874)&gt;1,"Conflicting Duplicate - Flagged for Review","Unique")</f>
        <v>Unique</v>
      </c>
      <c r="AL874" s="3" t="str">
        <f aca="false">IF(AB874="Refunded","Yes","No")</f>
        <v>No</v>
      </c>
      <c r="AM874" s="3" t="str">
        <f aca="false">IF(OR(AC874&lt;&gt;"Completed",AB874="Failed"),"Excluded","Included")</f>
        <v>Included</v>
      </c>
      <c r="AN874" s="3" t="str">
        <f aca="false">IF(OR(D874="Invalid/Unrecognized",E874="Invalid/Unrecognized",G874="Invalid - Ship Before Order",X874="Negative - Invalid",X874="Above Allowed Range - Invalid",AG874="Mismatch",AH874="Mismatch",AK874="Conflicting Duplicate - Flagged for Review"),"Invalid",IF(OR(L874="Filled - Unknown",S874="Filled - Unknown",X874="Missing - Defaulted to 0",AL874="Yes",AC874="Cancelled",AC874="Returned"),"Warning","Clean"))</f>
        <v>Clean</v>
      </c>
    </row>
    <row r="875" customFormat="false" ht="15" hidden="false" customHeight="false" outlineLevel="0" collapsed="false">
      <c r="A875" s="3" t="str">
        <f aca="false">raw_data!A875</f>
        <v>ORD-2025-10874</v>
      </c>
      <c r="B875" s="4" t="n">
        <f aca="false">IFERROR(IF(MID(raw_data!B875,3,1)="/",DATE(VALUE(RIGHT(raw_data!B875,4)),VALUE(LEFT(raw_data!B875,2)),VALUE(MID(raw_data!B875,4,2))),IF(MID(raw_data!B875,3,1)="-",DATE(VALUE(RIGHT(raw_data!B875,4)),VALUE(MID(raw_data!B875,4,2)),VALUE(LEFT(raw_data!B875,2))),IF(MID(raw_data!B875,5,1)="-",DATE(VALUE(LEFT(raw_data!B875,4)),VALUE(MID(raw_data!B875,6,2)),VALUE(RIGHT(raw_data!B875,2))),DATE(VALUE(RIGHT(raw_data!B875,4)),MATCH(MID(raw_data!B875,4,3),{"Jan","Feb","Mar","Apr","May","Jun","Jul","Aug","Sep","Oct","Nov","Dec"},0),VALUE(LEFT(raw_data!B875,2)))))),"")</f>
        <v>45689</v>
      </c>
      <c r="C875" s="4" t="n">
        <f aca="false">IFERROR(IF(MID(raw_data!C875,3,1)="/",DATE(VALUE(RIGHT(raw_data!C875,4)),VALUE(LEFT(raw_data!C875,2)),VALUE(MID(raw_data!C875,4,2))),IF(MID(raw_data!C875,3,1)="-",DATE(VALUE(RIGHT(raw_data!C875,4)),VALUE(MID(raw_data!C875,4,2)),VALUE(LEFT(raw_data!C875,2))),IF(MID(raw_data!C875,5,1)="-",DATE(VALUE(LEFT(raw_data!C875,4)),VALUE(MID(raw_data!C875,6,2)),VALUE(RIGHT(raw_data!C875,2))),DATE(VALUE(RIGHT(raw_data!C875,4)),MATCH(MID(raw_data!C875,4,3),{"Jan","Feb","Mar","Apr","May","Jun","Jul","Aug","Sep","Oct","Nov","Dec"},0),VALUE(LEFT(raw_data!C875,2)))))),"")</f>
        <v>45696</v>
      </c>
      <c r="D875" s="3" t="str">
        <f aca="false">IF(TRIM(raw_data!B875)="","Missing",IF(B875="","Invalid/Unrecognized","Valid"))</f>
        <v>Valid</v>
      </c>
      <c r="E875" s="3" t="str">
        <f aca="false">IF(TRIM(raw_data!C875)="","Missing",IF(C875="","Invalid/Unrecognized","Valid"))</f>
        <v>Valid</v>
      </c>
      <c r="F875" s="5" t="n">
        <f aca="false">IF(OR(B875="",C875=""),"",C875-B875)</f>
        <v>7</v>
      </c>
      <c r="G875" s="3" t="str">
        <f aca="false">IF(F875="","N/A",IF(F875&lt;0,"Invalid - Ship Before Order","OK"))</f>
        <v>OK</v>
      </c>
      <c r="H875" s="3" t="str">
        <f aca="false">raw_data!D875</f>
        <v>CUST-8160</v>
      </c>
      <c r="I875" s="3" t="str">
        <f aca="false">PROPER(TRIM(raw_data!E875))</f>
        <v>Aditi Sen</v>
      </c>
      <c r="J875" s="3" t="str">
        <f aca="false">PROPER(TRIM(raw_data!F875))</f>
        <v>Home Office</v>
      </c>
      <c r="K875" s="3" t="str">
        <f aca="false">IF(TRIM(raw_data!G875)="","Unknown",PROPER(TRIM(raw_data!G875)))</f>
        <v>West</v>
      </c>
      <c r="L875" s="3" t="str">
        <f aca="false">IF(TRIM(raw_data!G875)="","Filled - Unknown","OK")</f>
        <v>OK</v>
      </c>
      <c r="M875" s="3" t="str">
        <f aca="false">PROPER(TRIM(raw_data!H875))</f>
        <v>Gujarat</v>
      </c>
      <c r="N875" s="3" t="str">
        <f aca="false">PROPER(TRIM(raw_data!I875))</f>
        <v>Ahmedabad</v>
      </c>
      <c r="O875" s="3" t="str">
        <f aca="false">PROPER(TRIM(raw_data!J875))</f>
        <v>Office Supplies</v>
      </c>
      <c r="P875" s="3" t="str">
        <f aca="false">PROPER(TRIM(raw_data!K875))</f>
        <v>Storage</v>
      </c>
      <c r="Q875" s="3" t="str">
        <f aca="false">TRIM(raw_data!L875)</f>
        <v>Elite Storage 144</v>
      </c>
      <c r="R875" s="3" t="str">
        <f aca="false">IF(TRIM(raw_data!M875)="","Unknown",PROPER(TRIM(raw_data!M875)))</f>
        <v>Second Class</v>
      </c>
      <c r="S875" s="3" t="str">
        <f aca="false">IF(TRIM(raw_data!M875)="","Filled - Unknown","OK")</f>
        <v>OK</v>
      </c>
      <c r="T875" s="6" t="n">
        <f aca="false">raw_data!N875</f>
        <v>8</v>
      </c>
      <c r="U875" s="7" t="n">
        <f aca="false">raw_data!O875</f>
        <v>623.31</v>
      </c>
      <c r="V875" s="8" t="n">
        <f aca="false">raw_data!P875</f>
        <v>0.1</v>
      </c>
      <c r="W875" s="8" t="n">
        <f aca="false">IF(raw_data!P875="",0,IF(ISTEXT(raw_data!P875),IF(RIGHT(raw_data!P875,1)="%",VALUE(LEFT(raw_data!P875,LEN(raw_data!P875)-1))/100,VALUE(raw_data!P875)),raw_data!P875))</f>
        <v>0.1</v>
      </c>
      <c r="X875" s="3" t="str">
        <f aca="false">IF(raw_data!P875="","Missing - Defaulted to 0",IF(W875&lt;0,"Negative - Invalid",IF(W875&gt;0.3,"Above Allowed Range - Invalid","Valid")))</f>
        <v>Valid</v>
      </c>
      <c r="Y875" s="7" t="n">
        <f aca="false">raw_data!Q875</f>
        <v>4487.83</v>
      </c>
      <c r="Z875" s="7" t="n">
        <f aca="false">raw_data!R875</f>
        <v>2633.78</v>
      </c>
      <c r="AA875" s="7" t="n">
        <f aca="false">raw_data!S875</f>
        <v>1854.05</v>
      </c>
      <c r="AB875" s="3" t="str">
        <f aca="false">PROPER(TRIM(raw_data!T875))</f>
        <v>Paid</v>
      </c>
      <c r="AC875" s="3" t="str">
        <f aca="false">PROPER(TRIM(raw_data!U875))</f>
        <v>Completed</v>
      </c>
      <c r="AD875" s="7" t="n">
        <f aca="false">T875*U875*(1-W875)</f>
        <v>4487.832</v>
      </c>
      <c r="AE875" s="7" t="n">
        <f aca="false">AD875-Z875</f>
        <v>1854.052</v>
      </c>
      <c r="AF875" s="8" t="n">
        <f aca="false">IF(AD875=0,0,AE875/AD875)</f>
        <v>0.413128655439865</v>
      </c>
      <c r="AG875" s="3" t="str">
        <f aca="false">IF(ABS(Y875-AD875)&gt;1,"Mismatch","OK")</f>
        <v>OK</v>
      </c>
      <c r="AH875" s="3" t="str">
        <f aca="false">IF(ABS(AA875-AE875)&gt;1,"Mismatch","OK")</f>
        <v>OK</v>
      </c>
      <c r="AI875" s="6" t="n">
        <f aca="false">IF(B875="","",MONTH(B875))</f>
        <v>2</v>
      </c>
      <c r="AJ875" s="6" t="n">
        <f aca="false">IF(B875="","",YEAR(B875))</f>
        <v>2025</v>
      </c>
      <c r="AK875" s="3" t="str">
        <f aca="false">IF(COUNTIF(raw_data!$A$2:$A$913,A875)&gt;1,"Conflicting Duplicate - Flagged for Review","Unique")</f>
        <v>Unique</v>
      </c>
      <c r="AL875" s="3" t="str">
        <f aca="false">IF(AB875="Refunded","Yes","No")</f>
        <v>No</v>
      </c>
      <c r="AM875" s="3" t="str">
        <f aca="false">IF(OR(AC875&lt;&gt;"Completed",AB875="Failed"),"Excluded","Included")</f>
        <v>Included</v>
      </c>
      <c r="AN875" s="3" t="str">
        <f aca="false">IF(OR(D875="Invalid/Unrecognized",E875="Invalid/Unrecognized",G875="Invalid - Ship Before Order",X875="Negative - Invalid",X875="Above Allowed Range - Invalid",AG875="Mismatch",AH875="Mismatch",AK875="Conflicting Duplicate - Flagged for Review"),"Invalid",IF(OR(L875="Filled - Unknown",S875="Filled - Unknown",X875="Missing - Defaulted to 0",AL875="Yes",AC875="Cancelled",AC875="Returned"),"Warning","Clean"))</f>
        <v>Clean</v>
      </c>
    </row>
    <row r="876" customFormat="false" ht="15" hidden="false" customHeight="false" outlineLevel="0" collapsed="false">
      <c r="A876" s="3" t="str">
        <f aca="false">raw_data!A876</f>
        <v>ORD-2025-10875</v>
      </c>
      <c r="B876" s="4" t="n">
        <f aca="false">IFERROR(IF(MID(raw_data!B876,3,1)="/",DATE(VALUE(RIGHT(raw_data!B876,4)),VALUE(LEFT(raw_data!B876,2)),VALUE(MID(raw_data!B876,4,2))),IF(MID(raw_data!B876,3,1)="-",DATE(VALUE(RIGHT(raw_data!B876,4)),VALUE(MID(raw_data!B876,4,2)),VALUE(LEFT(raw_data!B876,2))),IF(MID(raw_data!B876,5,1)="-",DATE(VALUE(LEFT(raw_data!B876,4)),VALUE(MID(raw_data!B876,6,2)),VALUE(RIGHT(raw_data!B876,2))),DATE(VALUE(RIGHT(raw_data!B876,4)),MATCH(MID(raw_data!B876,4,3),{"Jan","Feb","Mar","Apr","May","Jun","Jul","Aug","Sep","Oct","Nov","Dec"},0),VALUE(LEFT(raw_data!B876,2)))))),"")</f>
        <v>45853</v>
      </c>
      <c r="C876" s="4" t="n">
        <f aca="false">IFERROR(IF(MID(raw_data!C876,3,1)="/",DATE(VALUE(RIGHT(raw_data!C876,4)),VALUE(LEFT(raw_data!C876,2)),VALUE(MID(raw_data!C876,4,2))),IF(MID(raw_data!C876,3,1)="-",DATE(VALUE(RIGHT(raw_data!C876,4)),VALUE(MID(raw_data!C876,4,2)),VALUE(LEFT(raw_data!C876,2))),IF(MID(raw_data!C876,5,1)="-",DATE(VALUE(LEFT(raw_data!C876,4)),VALUE(MID(raw_data!C876,6,2)),VALUE(RIGHT(raw_data!C876,2))),DATE(VALUE(RIGHT(raw_data!C876,4)),MATCH(MID(raw_data!C876,4,3),{"Jan","Feb","Mar","Apr","May","Jun","Jul","Aug","Sep","Oct","Nov","Dec"},0),VALUE(LEFT(raw_data!C876,2)))))),"")</f>
        <v>45854</v>
      </c>
      <c r="D876" s="3" t="str">
        <f aca="false">IF(TRIM(raw_data!B876)="","Missing",IF(B876="","Invalid/Unrecognized","Valid"))</f>
        <v>Valid</v>
      </c>
      <c r="E876" s="3" t="str">
        <f aca="false">IF(TRIM(raw_data!C876)="","Missing",IF(C876="","Invalid/Unrecognized","Valid"))</f>
        <v>Valid</v>
      </c>
      <c r="F876" s="5" t="n">
        <f aca="false">IF(OR(B876="",C876=""),"",C876-B876)</f>
        <v>1</v>
      </c>
      <c r="G876" s="3" t="str">
        <f aca="false">IF(F876="","N/A",IF(F876&lt;0,"Invalid - Ship Before Order","OK"))</f>
        <v>OK</v>
      </c>
      <c r="H876" s="3" t="str">
        <f aca="false">raw_data!D876</f>
        <v>CUST-8770</v>
      </c>
      <c r="I876" s="3" t="str">
        <f aca="false">PROPER(TRIM(raw_data!E876))</f>
        <v>Vikram Iyer</v>
      </c>
      <c r="J876" s="3" t="str">
        <f aca="false">PROPER(TRIM(raw_data!F876))</f>
        <v>Small Business</v>
      </c>
      <c r="K876" s="3" t="str">
        <f aca="false">IF(TRIM(raw_data!G876)="","Unknown",PROPER(TRIM(raw_data!G876)))</f>
        <v>West</v>
      </c>
      <c r="L876" s="3" t="str">
        <f aca="false">IF(TRIM(raw_data!G876)="","Filled - Unknown","OK")</f>
        <v>OK</v>
      </c>
      <c r="M876" s="3" t="str">
        <f aca="false">PROPER(TRIM(raw_data!H876))</f>
        <v>Maharashtra</v>
      </c>
      <c r="N876" s="3" t="str">
        <f aca="false">PROPER(TRIM(raw_data!I876))</f>
        <v>Mumbai</v>
      </c>
      <c r="O876" s="3" t="str">
        <f aca="false">PROPER(TRIM(raw_data!J876))</f>
        <v>Office Supplies</v>
      </c>
      <c r="P876" s="3" t="str">
        <f aca="false">PROPER(TRIM(raw_data!K876))</f>
        <v>Paper</v>
      </c>
      <c r="Q876" s="3" t="str">
        <f aca="false">TRIM(raw_data!L876)</f>
        <v>Elite Paper 309</v>
      </c>
      <c r="R876" s="3" t="str">
        <f aca="false">IF(TRIM(raw_data!M876)="","Unknown",PROPER(TRIM(raw_data!M876)))</f>
        <v>Standard Class</v>
      </c>
      <c r="S876" s="3" t="str">
        <f aca="false">IF(TRIM(raw_data!M876)="","Filled - Unknown","OK")</f>
        <v>OK</v>
      </c>
      <c r="T876" s="6" t="n">
        <f aca="false">raw_data!N876</f>
        <v>8</v>
      </c>
      <c r="U876" s="7" t="n">
        <f aca="false">raw_data!O876</f>
        <v>3924.88</v>
      </c>
      <c r="V876" s="8" t="n">
        <f aca="false">raw_data!P876</f>
        <v>0.05</v>
      </c>
      <c r="W876" s="8" t="n">
        <f aca="false">IF(raw_data!P876="",0,IF(ISTEXT(raw_data!P876),IF(RIGHT(raw_data!P876,1)="%",VALUE(LEFT(raw_data!P876,LEN(raw_data!P876)-1))/100,VALUE(raw_data!P876)),raw_data!P876))</f>
        <v>0.05</v>
      </c>
      <c r="X876" s="3" t="str">
        <f aca="false">IF(raw_data!P876="","Missing - Defaulted to 0",IF(W876&lt;0,"Negative - Invalid",IF(W876&gt;0.3,"Above Allowed Range - Invalid","Valid")))</f>
        <v>Valid</v>
      </c>
      <c r="Y876" s="7" t="n">
        <f aca="false">raw_data!Q876</f>
        <v>29829.09</v>
      </c>
      <c r="Z876" s="7" t="n">
        <f aca="false">raw_data!R876</f>
        <v>20710.18</v>
      </c>
      <c r="AA876" s="7" t="n">
        <f aca="false">raw_data!S876</f>
        <v>9118.91</v>
      </c>
      <c r="AB876" s="3" t="str">
        <f aca="false">PROPER(TRIM(raw_data!T876))</f>
        <v>Paid</v>
      </c>
      <c r="AC876" s="3" t="str">
        <f aca="false">PROPER(TRIM(raw_data!U876))</f>
        <v>Completed</v>
      </c>
      <c r="AD876" s="7" t="n">
        <f aca="false">T876*U876*(1-W876)</f>
        <v>29829.088</v>
      </c>
      <c r="AE876" s="7" t="n">
        <f aca="false">AD876-Z876</f>
        <v>9118.908</v>
      </c>
      <c r="AF876" s="8" t="n">
        <f aca="false">IF(AD876=0,0,AE876/AD876)</f>
        <v>0.305705223035984</v>
      </c>
      <c r="AG876" s="3" t="str">
        <f aca="false">IF(ABS(Y876-AD876)&gt;1,"Mismatch","OK")</f>
        <v>OK</v>
      </c>
      <c r="AH876" s="3" t="str">
        <f aca="false">IF(ABS(AA876-AE876)&gt;1,"Mismatch","OK")</f>
        <v>OK</v>
      </c>
      <c r="AI876" s="6" t="n">
        <f aca="false">IF(B876="","",MONTH(B876))</f>
        <v>7</v>
      </c>
      <c r="AJ876" s="6" t="n">
        <f aca="false">IF(B876="","",YEAR(B876))</f>
        <v>2025</v>
      </c>
      <c r="AK876" s="3" t="str">
        <f aca="false">IF(COUNTIF(raw_data!$A$2:$A$913,A876)&gt;1,"Conflicting Duplicate - Flagged for Review","Unique")</f>
        <v>Unique</v>
      </c>
      <c r="AL876" s="3" t="str">
        <f aca="false">IF(AB876="Refunded","Yes","No")</f>
        <v>No</v>
      </c>
      <c r="AM876" s="3" t="str">
        <f aca="false">IF(OR(AC876&lt;&gt;"Completed",AB876="Failed"),"Excluded","Included")</f>
        <v>Included</v>
      </c>
      <c r="AN876" s="3" t="str">
        <f aca="false">IF(OR(D876="Invalid/Unrecognized",E876="Invalid/Unrecognized",G876="Invalid - Ship Before Order",X876="Negative - Invalid",X876="Above Allowed Range - Invalid",AG876="Mismatch",AH876="Mismatch",AK876="Conflicting Duplicate - Flagged for Review"),"Invalid",IF(OR(L876="Filled - Unknown",S876="Filled - Unknown",X876="Missing - Defaulted to 0",AL876="Yes",AC876="Cancelled",AC876="Returned"),"Warning","Clean"))</f>
        <v>Clean</v>
      </c>
    </row>
    <row r="877" customFormat="false" ht="15" hidden="false" customHeight="false" outlineLevel="0" collapsed="false">
      <c r="A877" s="3" t="str">
        <f aca="false">raw_data!A877</f>
        <v>ORD-2024-10876</v>
      </c>
      <c r="B877" s="4" t="n">
        <f aca="false">IFERROR(IF(MID(raw_data!B877,3,1)="/",DATE(VALUE(RIGHT(raw_data!B877,4)),VALUE(LEFT(raw_data!B877,2)),VALUE(MID(raw_data!B877,4,2))),IF(MID(raw_data!B877,3,1)="-",DATE(VALUE(RIGHT(raw_data!B877,4)),VALUE(MID(raw_data!B877,4,2)),VALUE(LEFT(raw_data!B877,2))),IF(MID(raw_data!B877,5,1)="-",DATE(VALUE(LEFT(raw_data!B877,4)),VALUE(MID(raw_data!B877,6,2)),VALUE(RIGHT(raw_data!B877,2))),DATE(VALUE(RIGHT(raw_data!B877,4)),MATCH(MID(raw_data!B877,4,3),{"Jan","Feb","Mar","Apr","May","Jun","Jul","Aug","Sep","Oct","Nov","Dec"},0),VALUE(LEFT(raw_data!B877,2)))))),"")</f>
        <v>45514</v>
      </c>
      <c r="C877" s="4" t="n">
        <f aca="false">IFERROR(IF(MID(raw_data!C877,3,1)="/",DATE(VALUE(RIGHT(raw_data!C877,4)),VALUE(LEFT(raw_data!C877,2)),VALUE(MID(raw_data!C877,4,2))),IF(MID(raw_data!C877,3,1)="-",DATE(VALUE(RIGHT(raw_data!C877,4)),VALUE(MID(raw_data!C877,4,2)),VALUE(LEFT(raw_data!C877,2))),IF(MID(raw_data!C877,5,1)="-",DATE(VALUE(LEFT(raw_data!C877,4)),VALUE(MID(raw_data!C877,6,2)),VALUE(RIGHT(raw_data!C877,2))),DATE(VALUE(RIGHT(raw_data!C877,4)),MATCH(MID(raw_data!C877,4,3),{"Jan","Feb","Mar","Apr","May","Jun","Jul","Aug","Sep","Oct","Nov","Dec"},0),VALUE(LEFT(raw_data!C877,2)))))),"")</f>
        <v>45515</v>
      </c>
      <c r="D877" s="3" t="str">
        <f aca="false">IF(TRIM(raw_data!B877)="","Missing",IF(B877="","Invalid/Unrecognized","Valid"))</f>
        <v>Valid</v>
      </c>
      <c r="E877" s="3" t="str">
        <f aca="false">IF(TRIM(raw_data!C877)="","Missing",IF(C877="","Invalid/Unrecognized","Valid"))</f>
        <v>Valid</v>
      </c>
      <c r="F877" s="5" t="n">
        <f aca="false">IF(OR(B877="",C877=""),"",C877-B877)</f>
        <v>1</v>
      </c>
      <c r="G877" s="3" t="str">
        <f aca="false">IF(F877="","N/A",IF(F877&lt;0,"Invalid - Ship Before Order","OK"))</f>
        <v>OK</v>
      </c>
      <c r="H877" s="3" t="str">
        <f aca="false">raw_data!D877</f>
        <v>CUST-6928</v>
      </c>
      <c r="I877" s="3" t="str">
        <f aca="false">PROPER(TRIM(raw_data!E877))</f>
        <v>Mira Das</v>
      </c>
      <c r="J877" s="3" t="str">
        <f aca="false">PROPER(TRIM(raw_data!F877))</f>
        <v>Corporate</v>
      </c>
      <c r="K877" s="3" t="str">
        <f aca="false">IF(TRIM(raw_data!G877)="","Unknown",PROPER(TRIM(raw_data!G877)))</f>
        <v>West</v>
      </c>
      <c r="L877" s="3" t="str">
        <f aca="false">IF(TRIM(raw_data!G877)="","Filled - Unknown","OK")</f>
        <v>OK</v>
      </c>
      <c r="M877" s="3" t="str">
        <f aca="false">PROPER(TRIM(raw_data!H877))</f>
        <v>Maharashtra</v>
      </c>
      <c r="N877" s="3" t="str">
        <f aca="false">PROPER(TRIM(raw_data!I877))</f>
        <v>Mumbai</v>
      </c>
      <c r="O877" s="3" t="str">
        <f aca="false">PROPER(TRIM(raw_data!J877))</f>
        <v>Technology</v>
      </c>
      <c r="P877" s="3" t="str">
        <f aca="false">PROPER(TRIM(raw_data!K877))</f>
        <v>Copiers</v>
      </c>
      <c r="Q877" s="3" t="str">
        <f aca="false">TRIM(raw_data!L877)</f>
        <v>Elite Copiers 752</v>
      </c>
      <c r="R877" s="3" t="str">
        <f aca="false">IF(TRIM(raw_data!M877)="","Unknown",PROPER(TRIM(raw_data!M877)))</f>
        <v>First Class</v>
      </c>
      <c r="S877" s="3" t="str">
        <f aca="false">IF(TRIM(raw_data!M877)="","Filled - Unknown","OK")</f>
        <v>OK</v>
      </c>
      <c r="T877" s="6" t="n">
        <f aca="false">raw_data!N877</f>
        <v>7</v>
      </c>
      <c r="U877" s="7" t="n">
        <f aca="false">raw_data!O877</f>
        <v>3852.62</v>
      </c>
      <c r="V877" s="8" t="n">
        <f aca="false">raw_data!P877</f>
        <v>0.2</v>
      </c>
      <c r="W877" s="8" t="n">
        <f aca="false">IF(raw_data!P877="",0,IF(ISTEXT(raw_data!P877),IF(RIGHT(raw_data!P877,1)="%",VALUE(LEFT(raw_data!P877,LEN(raw_data!P877)-1))/100,VALUE(raw_data!P877)),raw_data!P877))</f>
        <v>0.2</v>
      </c>
      <c r="X877" s="3" t="str">
        <f aca="false">IF(raw_data!P877="","Missing - Defaulted to 0",IF(W877&lt;0,"Negative - Invalid",IF(W877&gt;0.3,"Above Allowed Range - Invalid","Valid")))</f>
        <v>Valid</v>
      </c>
      <c r="Y877" s="7" t="n">
        <f aca="false">raw_data!Q877</f>
        <v>21574.67</v>
      </c>
      <c r="Z877" s="7" t="n">
        <f aca="false">raw_data!R877</f>
        <v>14672.83</v>
      </c>
      <c r="AA877" s="7" t="n">
        <f aca="false">raw_data!S877</f>
        <v>6901.84</v>
      </c>
      <c r="AB877" s="3" t="str">
        <f aca="false">PROPER(TRIM(raw_data!T877))</f>
        <v>Paid</v>
      </c>
      <c r="AC877" s="3" t="str">
        <f aca="false">PROPER(TRIM(raw_data!U877))</f>
        <v>Completed</v>
      </c>
      <c r="AD877" s="7" t="n">
        <f aca="false">T877*U877*(1-W877)</f>
        <v>21574.672</v>
      </c>
      <c r="AE877" s="7" t="n">
        <f aca="false">AD877-Z877</f>
        <v>6901.842</v>
      </c>
      <c r="AF877" s="8" t="n">
        <f aca="false">IF(AD877=0,0,AE877/AD877)</f>
        <v>0.319904840268255</v>
      </c>
      <c r="AG877" s="3" t="str">
        <f aca="false">IF(ABS(Y877-AD877)&gt;1,"Mismatch","OK")</f>
        <v>OK</v>
      </c>
      <c r="AH877" s="3" t="str">
        <f aca="false">IF(ABS(AA877-AE877)&gt;1,"Mismatch","OK")</f>
        <v>OK</v>
      </c>
      <c r="AI877" s="6" t="n">
        <f aca="false">IF(B877="","",MONTH(B877))</f>
        <v>8</v>
      </c>
      <c r="AJ877" s="6" t="n">
        <f aca="false">IF(B877="","",YEAR(B877))</f>
        <v>2024</v>
      </c>
      <c r="AK877" s="3" t="str">
        <f aca="false">IF(COUNTIF(raw_data!$A$2:$A$913,A877)&gt;1,"Conflicting Duplicate - Flagged for Review","Unique")</f>
        <v>Unique</v>
      </c>
      <c r="AL877" s="3" t="str">
        <f aca="false">IF(AB877="Refunded","Yes","No")</f>
        <v>No</v>
      </c>
      <c r="AM877" s="3" t="str">
        <f aca="false">IF(OR(AC877&lt;&gt;"Completed",AB877="Failed"),"Excluded","Included")</f>
        <v>Included</v>
      </c>
      <c r="AN877" s="3" t="str">
        <f aca="false">IF(OR(D877="Invalid/Unrecognized",E877="Invalid/Unrecognized",G877="Invalid - Ship Before Order",X877="Negative - Invalid",X877="Above Allowed Range - Invalid",AG877="Mismatch",AH877="Mismatch",AK877="Conflicting Duplicate - Flagged for Review"),"Invalid",IF(OR(L877="Filled - Unknown",S877="Filled - Unknown",X877="Missing - Defaulted to 0",AL877="Yes",AC877="Cancelled",AC877="Returned"),"Warning","Clean"))</f>
        <v>Clean</v>
      </c>
    </row>
    <row r="878" customFormat="false" ht="15" hidden="false" customHeight="false" outlineLevel="0" collapsed="false">
      <c r="A878" s="3" t="str">
        <f aca="false">raw_data!A878</f>
        <v>ORD-2024-10877</v>
      </c>
      <c r="B878" s="4" t="n">
        <f aca="false">IFERROR(IF(MID(raw_data!B878,3,1)="/",DATE(VALUE(RIGHT(raw_data!B878,4)),VALUE(LEFT(raw_data!B878,2)),VALUE(MID(raw_data!B878,4,2))),IF(MID(raw_data!B878,3,1)="-",DATE(VALUE(RIGHT(raw_data!B878,4)),VALUE(MID(raw_data!B878,4,2)),VALUE(LEFT(raw_data!B878,2))),IF(MID(raw_data!B878,5,1)="-",DATE(VALUE(LEFT(raw_data!B878,4)),VALUE(MID(raw_data!B878,6,2)),VALUE(RIGHT(raw_data!B878,2))),DATE(VALUE(RIGHT(raw_data!B878,4)),MATCH(MID(raw_data!B878,4,3),{"Jan","Feb","Mar","Apr","May","Jun","Jul","Aug","Sep","Oct","Nov","Dec"},0),VALUE(LEFT(raw_data!B878,2)))))),"")</f>
        <v>45614</v>
      </c>
      <c r="C878" s="4" t="n">
        <f aca="false">IFERROR(IF(MID(raw_data!C878,3,1)="/",DATE(VALUE(RIGHT(raw_data!C878,4)),VALUE(LEFT(raw_data!C878,2)),VALUE(MID(raw_data!C878,4,2))),IF(MID(raw_data!C878,3,1)="-",DATE(VALUE(RIGHT(raw_data!C878,4)),VALUE(MID(raw_data!C878,4,2)),VALUE(LEFT(raw_data!C878,2))),IF(MID(raw_data!C878,5,1)="-",DATE(VALUE(LEFT(raw_data!C878,4)),VALUE(MID(raw_data!C878,6,2)),VALUE(RIGHT(raw_data!C878,2))),DATE(VALUE(RIGHT(raw_data!C878,4)),MATCH(MID(raw_data!C878,4,3),{"Jan","Feb","Mar","Apr","May","Jun","Jul","Aug","Sep","Oct","Nov","Dec"},0),VALUE(LEFT(raw_data!C878,2)))))),"")</f>
        <v>45616</v>
      </c>
      <c r="D878" s="3" t="str">
        <f aca="false">IF(TRIM(raw_data!B878)="","Missing",IF(B878="","Invalid/Unrecognized","Valid"))</f>
        <v>Valid</v>
      </c>
      <c r="E878" s="3" t="str">
        <f aca="false">IF(TRIM(raw_data!C878)="","Missing",IF(C878="","Invalid/Unrecognized","Valid"))</f>
        <v>Valid</v>
      </c>
      <c r="F878" s="5" t="n">
        <f aca="false">IF(OR(B878="",C878=""),"",C878-B878)</f>
        <v>2</v>
      </c>
      <c r="G878" s="3" t="str">
        <f aca="false">IF(F878="","N/A",IF(F878&lt;0,"Invalid - Ship Before Order","OK"))</f>
        <v>OK</v>
      </c>
      <c r="H878" s="3" t="str">
        <f aca="false">raw_data!D878</f>
        <v>CUST-9044</v>
      </c>
      <c r="I878" s="3" t="str">
        <f aca="false">PROPER(TRIM(raw_data!E878))</f>
        <v>Priya Menon</v>
      </c>
      <c r="J878" s="3" t="str">
        <f aca="false">PROPER(TRIM(raw_data!F878))</f>
        <v>Consumer</v>
      </c>
      <c r="K878" s="3" t="str">
        <f aca="false">IF(TRIM(raw_data!G878)="","Unknown",PROPER(TRIM(raw_data!G878)))</f>
        <v>West</v>
      </c>
      <c r="L878" s="3" t="str">
        <f aca="false">IF(TRIM(raw_data!G878)="","Filled - Unknown","OK")</f>
        <v>OK</v>
      </c>
      <c r="M878" s="3" t="str">
        <f aca="false">PROPER(TRIM(raw_data!H878))</f>
        <v>Rajasthan</v>
      </c>
      <c r="N878" s="3" t="str">
        <f aca="false">PROPER(TRIM(raw_data!I878))</f>
        <v>Udaipur</v>
      </c>
      <c r="O878" s="3" t="str">
        <f aca="false">PROPER(TRIM(raw_data!J878))</f>
        <v>Furniture</v>
      </c>
      <c r="P878" s="3" t="str">
        <f aca="false">PROPER(TRIM(raw_data!K878))</f>
        <v>Chairs</v>
      </c>
      <c r="Q878" s="3" t="str">
        <f aca="false">TRIM(raw_data!L878)</f>
        <v>Pro Chairs 316</v>
      </c>
      <c r="R878" s="3" t="str">
        <f aca="false">IF(TRIM(raw_data!M878)="","Unknown",PROPER(TRIM(raw_data!M878)))</f>
        <v>First Class</v>
      </c>
      <c r="S878" s="3" t="str">
        <f aca="false">IF(TRIM(raw_data!M878)="","Filled - Unknown","OK")</f>
        <v>OK</v>
      </c>
      <c r="T878" s="6" t="n">
        <f aca="false">raw_data!N878</f>
        <v>6</v>
      </c>
      <c r="U878" s="7" t="n">
        <f aca="false">raw_data!O878</f>
        <v>3790.22</v>
      </c>
      <c r="V878" s="8" t="n">
        <f aca="false">raw_data!P878</f>
        <v>0</v>
      </c>
      <c r="W878" s="8" t="n">
        <f aca="false">IF(raw_data!P878="",0,IF(ISTEXT(raw_data!P878),IF(RIGHT(raw_data!P878,1)="%",VALUE(LEFT(raw_data!P878,LEN(raw_data!P878)-1))/100,VALUE(raw_data!P878)),raw_data!P878))</f>
        <v>0</v>
      </c>
      <c r="X878" s="3" t="str">
        <f aca="false">IF(raw_data!P878="","Missing - Defaulted to 0",IF(W878&lt;0,"Negative - Invalid",IF(W878&gt;0.3,"Above Allowed Range - Invalid","Valid")))</f>
        <v>Valid</v>
      </c>
      <c r="Y878" s="7" t="n">
        <f aca="false">raw_data!Q878</f>
        <v>22741.32</v>
      </c>
      <c r="Z878" s="7" t="n">
        <f aca="false">raw_data!R878</f>
        <v>16388.57</v>
      </c>
      <c r="AA878" s="7" t="n">
        <f aca="false">raw_data!S878</f>
        <v>6352.75</v>
      </c>
      <c r="AB878" s="3" t="str">
        <f aca="false">PROPER(TRIM(raw_data!T878))</f>
        <v>Paid</v>
      </c>
      <c r="AC878" s="3" t="str">
        <f aca="false">PROPER(TRIM(raw_data!U878))</f>
        <v>Completed</v>
      </c>
      <c r="AD878" s="7" t="n">
        <f aca="false">T878*U878*(1-W878)</f>
        <v>22741.32</v>
      </c>
      <c r="AE878" s="7" t="n">
        <f aca="false">AD878-Z878</f>
        <v>6352.75</v>
      </c>
      <c r="AF878" s="8" t="n">
        <f aca="false">IF(AD878=0,0,AE878/AD878)</f>
        <v>0.279348340377779</v>
      </c>
      <c r="AG878" s="3" t="str">
        <f aca="false">IF(ABS(Y878-AD878)&gt;1,"Mismatch","OK")</f>
        <v>OK</v>
      </c>
      <c r="AH878" s="3" t="str">
        <f aca="false">IF(ABS(AA878-AE878)&gt;1,"Mismatch","OK")</f>
        <v>OK</v>
      </c>
      <c r="AI878" s="6" t="n">
        <f aca="false">IF(B878="","",MONTH(B878))</f>
        <v>11</v>
      </c>
      <c r="AJ878" s="6" t="n">
        <f aca="false">IF(B878="","",YEAR(B878))</f>
        <v>2024</v>
      </c>
      <c r="AK878" s="3" t="str">
        <f aca="false">IF(COUNTIF(raw_data!$A$2:$A$913,A878)&gt;1,"Conflicting Duplicate - Flagged for Review","Unique")</f>
        <v>Unique</v>
      </c>
      <c r="AL878" s="3" t="str">
        <f aca="false">IF(AB878="Refunded","Yes","No")</f>
        <v>No</v>
      </c>
      <c r="AM878" s="3" t="str">
        <f aca="false">IF(OR(AC878&lt;&gt;"Completed",AB878="Failed"),"Excluded","Included")</f>
        <v>Included</v>
      </c>
      <c r="AN878" s="3" t="str">
        <f aca="false">IF(OR(D878="Invalid/Unrecognized",E878="Invalid/Unrecognized",G878="Invalid - Ship Before Order",X878="Negative - Invalid",X878="Above Allowed Range - Invalid",AG878="Mismatch",AH878="Mismatch",AK878="Conflicting Duplicate - Flagged for Review"),"Invalid",IF(OR(L878="Filled - Unknown",S878="Filled - Unknown",X878="Missing - Defaulted to 0",AL878="Yes",AC878="Cancelled",AC878="Returned"),"Warning","Clean"))</f>
        <v>Clean</v>
      </c>
    </row>
    <row r="879" customFormat="false" ht="15" hidden="false" customHeight="false" outlineLevel="0" collapsed="false">
      <c r="A879" s="3" t="str">
        <f aca="false">raw_data!A879</f>
        <v>ORD-2025-10878</v>
      </c>
      <c r="B879" s="4" t="n">
        <f aca="false">IFERROR(IF(MID(raw_data!B879,3,1)="/",DATE(VALUE(RIGHT(raw_data!B879,4)),VALUE(LEFT(raw_data!B879,2)),VALUE(MID(raw_data!B879,4,2))),IF(MID(raw_data!B879,3,1)="-",DATE(VALUE(RIGHT(raw_data!B879,4)),VALUE(MID(raw_data!B879,4,2)),VALUE(LEFT(raw_data!B879,2))),IF(MID(raw_data!B879,5,1)="-",DATE(VALUE(LEFT(raw_data!B879,4)),VALUE(MID(raw_data!B879,6,2)),VALUE(RIGHT(raw_data!B879,2))),DATE(VALUE(RIGHT(raw_data!B879,4)),MATCH(MID(raw_data!B879,4,3),{"Jan","Feb","Mar","Apr","May","Jun","Jul","Aug","Sep","Oct","Nov","Dec"},0),VALUE(LEFT(raw_data!B879,2)))))),"")</f>
        <v>45895</v>
      </c>
      <c r="C879" s="4" t="n">
        <f aca="false">IFERROR(IF(MID(raw_data!C879,3,1)="/",DATE(VALUE(RIGHT(raw_data!C879,4)),VALUE(LEFT(raw_data!C879,2)),VALUE(MID(raw_data!C879,4,2))),IF(MID(raw_data!C879,3,1)="-",DATE(VALUE(RIGHT(raw_data!C879,4)),VALUE(MID(raw_data!C879,4,2)),VALUE(LEFT(raw_data!C879,2))),IF(MID(raw_data!C879,5,1)="-",DATE(VALUE(LEFT(raw_data!C879,4)),VALUE(MID(raw_data!C879,6,2)),VALUE(RIGHT(raw_data!C879,2))),DATE(VALUE(RIGHT(raw_data!C879,4)),MATCH(MID(raw_data!C879,4,3),{"Jan","Feb","Mar","Apr","May","Jun","Jul","Aug","Sep","Oct","Nov","Dec"},0),VALUE(LEFT(raw_data!C879,2)))))),"")</f>
        <v>45903</v>
      </c>
      <c r="D879" s="3" t="str">
        <f aca="false">IF(TRIM(raw_data!B879)="","Missing",IF(B879="","Invalid/Unrecognized","Valid"))</f>
        <v>Valid</v>
      </c>
      <c r="E879" s="3" t="str">
        <f aca="false">IF(TRIM(raw_data!C879)="","Missing",IF(C879="","Invalid/Unrecognized","Valid"))</f>
        <v>Valid</v>
      </c>
      <c r="F879" s="5" t="n">
        <f aca="false">IF(OR(B879="",C879=""),"",C879-B879)</f>
        <v>8</v>
      </c>
      <c r="G879" s="3" t="str">
        <f aca="false">IF(F879="","N/A",IF(F879&lt;0,"Invalid - Ship Before Order","OK"))</f>
        <v>OK</v>
      </c>
      <c r="H879" s="3" t="str">
        <f aca="false">raw_data!D879</f>
        <v>CUST-7146</v>
      </c>
      <c r="I879" s="3" t="str">
        <f aca="false">PROPER(TRIM(raw_data!E879))</f>
        <v>Aarav Sharma</v>
      </c>
      <c r="J879" s="3" t="str">
        <f aca="false">PROPER(TRIM(raw_data!F879))</f>
        <v>Consumer</v>
      </c>
      <c r="K879" s="3" t="str">
        <f aca="false">IF(TRIM(raw_data!G879)="","Unknown",PROPER(TRIM(raw_data!G879)))</f>
        <v>West</v>
      </c>
      <c r="L879" s="3" t="str">
        <f aca="false">IF(TRIM(raw_data!G879)="","Filled - Unknown","OK")</f>
        <v>OK</v>
      </c>
      <c r="M879" s="3" t="str">
        <f aca="false">PROPER(TRIM(raw_data!H879))</f>
        <v>Rajasthan</v>
      </c>
      <c r="N879" s="3" t="str">
        <f aca="false">PROPER(TRIM(raw_data!I879))</f>
        <v>Udaipur</v>
      </c>
      <c r="O879" s="3" t="str">
        <f aca="false">PROPER(TRIM(raw_data!J879))</f>
        <v>Office Supplies</v>
      </c>
      <c r="P879" s="3" t="str">
        <f aca="false">PROPER(TRIM(raw_data!K879))</f>
        <v>Storage</v>
      </c>
      <c r="Q879" s="3" t="str">
        <f aca="false">TRIM(raw_data!L879)</f>
        <v>Max Storage 438</v>
      </c>
      <c r="R879" s="3" t="str">
        <f aca="false">IF(TRIM(raw_data!M879)="","Unknown",PROPER(TRIM(raw_data!M879)))</f>
        <v>Second Class</v>
      </c>
      <c r="S879" s="3" t="str">
        <f aca="false">IF(TRIM(raw_data!M879)="","Filled - Unknown","OK")</f>
        <v>OK</v>
      </c>
      <c r="T879" s="6" t="n">
        <f aca="false">raw_data!N879</f>
        <v>6</v>
      </c>
      <c r="U879" s="7" t="n">
        <f aca="false">raw_data!O879</f>
        <v>674.36</v>
      </c>
      <c r="V879" s="8" t="n">
        <f aca="false">raw_data!P879</f>
        <v>0.1</v>
      </c>
      <c r="W879" s="8" t="n">
        <f aca="false">IF(raw_data!P879="",0,IF(ISTEXT(raw_data!P879),IF(RIGHT(raw_data!P879,1)="%",VALUE(LEFT(raw_data!P879,LEN(raw_data!P879)-1))/100,VALUE(raw_data!P879)),raw_data!P879))</f>
        <v>0.1</v>
      </c>
      <c r="X879" s="3" t="str">
        <f aca="false">IF(raw_data!P879="","Missing - Defaulted to 0",IF(W879&lt;0,"Negative - Invalid",IF(W879&gt;0.3,"Above Allowed Range - Invalid","Valid")))</f>
        <v>Valid</v>
      </c>
      <c r="Y879" s="7" t="n">
        <f aca="false">raw_data!Q879</f>
        <v>3641.54</v>
      </c>
      <c r="Z879" s="7" t="n">
        <f aca="false">raw_data!R879</f>
        <v>2690.37</v>
      </c>
      <c r="AA879" s="7" t="n">
        <f aca="false">raw_data!S879</f>
        <v>951.17</v>
      </c>
      <c r="AB879" s="3" t="str">
        <f aca="false">PROPER(TRIM(raw_data!T879))</f>
        <v>Paid</v>
      </c>
      <c r="AC879" s="3" t="str">
        <f aca="false">PROPER(TRIM(raw_data!U879))</f>
        <v>Completed</v>
      </c>
      <c r="AD879" s="7" t="n">
        <f aca="false">T879*U879*(1-W879)</f>
        <v>3641.544</v>
      </c>
      <c r="AE879" s="7" t="n">
        <f aca="false">AD879-Z879</f>
        <v>951.174</v>
      </c>
      <c r="AF879" s="8" t="n">
        <f aca="false">IF(AD879=0,0,AE879/AD879)</f>
        <v>0.261200743420923</v>
      </c>
      <c r="AG879" s="3" t="str">
        <f aca="false">IF(ABS(Y879-AD879)&gt;1,"Mismatch","OK")</f>
        <v>OK</v>
      </c>
      <c r="AH879" s="3" t="str">
        <f aca="false">IF(ABS(AA879-AE879)&gt;1,"Mismatch","OK")</f>
        <v>OK</v>
      </c>
      <c r="AI879" s="6" t="n">
        <f aca="false">IF(B879="","",MONTH(B879))</f>
        <v>8</v>
      </c>
      <c r="AJ879" s="6" t="n">
        <f aca="false">IF(B879="","",YEAR(B879))</f>
        <v>2025</v>
      </c>
      <c r="AK879" s="3" t="str">
        <f aca="false">IF(COUNTIF(raw_data!$A$2:$A$913,A879)&gt;1,"Conflicting Duplicate - Flagged for Review","Unique")</f>
        <v>Unique</v>
      </c>
      <c r="AL879" s="3" t="str">
        <f aca="false">IF(AB879="Refunded","Yes","No")</f>
        <v>No</v>
      </c>
      <c r="AM879" s="3" t="str">
        <f aca="false">IF(OR(AC879&lt;&gt;"Completed",AB879="Failed"),"Excluded","Included")</f>
        <v>Included</v>
      </c>
      <c r="AN879" s="3" t="str">
        <f aca="false">IF(OR(D879="Invalid/Unrecognized",E879="Invalid/Unrecognized",G879="Invalid - Ship Before Order",X879="Negative - Invalid",X879="Above Allowed Range - Invalid",AG879="Mismatch",AH879="Mismatch",AK879="Conflicting Duplicate - Flagged for Review"),"Invalid",IF(OR(L879="Filled - Unknown",S879="Filled - Unknown",X879="Missing - Defaulted to 0",AL879="Yes",AC879="Cancelled",AC879="Returned"),"Warning","Clean"))</f>
        <v>Clean</v>
      </c>
    </row>
    <row r="880" customFormat="false" ht="15" hidden="false" customHeight="false" outlineLevel="0" collapsed="false">
      <c r="A880" s="3" t="str">
        <f aca="false">raw_data!A880</f>
        <v>ORD-2024-10879</v>
      </c>
      <c r="B880" s="4" t="n">
        <f aca="false">IFERROR(IF(MID(raw_data!B880,3,1)="/",DATE(VALUE(RIGHT(raw_data!B880,4)),VALUE(LEFT(raw_data!B880,2)),VALUE(MID(raw_data!B880,4,2))),IF(MID(raw_data!B880,3,1)="-",DATE(VALUE(RIGHT(raw_data!B880,4)),VALUE(MID(raw_data!B880,4,2)),VALUE(LEFT(raw_data!B880,2))),IF(MID(raw_data!B880,5,1)="-",DATE(VALUE(LEFT(raw_data!B880,4)),VALUE(MID(raw_data!B880,6,2)),VALUE(RIGHT(raw_data!B880,2))),DATE(VALUE(RIGHT(raw_data!B880,4)),MATCH(MID(raw_data!B880,4,3),{"Jan","Feb","Mar","Apr","May","Jun","Jul","Aug","Sep","Oct","Nov","Dec"},0),VALUE(LEFT(raw_data!B880,2)))))),"")</f>
        <v>45313</v>
      </c>
      <c r="C880" s="4" t="n">
        <f aca="false">IFERROR(IF(MID(raw_data!C880,3,1)="/",DATE(VALUE(RIGHT(raw_data!C880,4)),VALUE(LEFT(raw_data!C880,2)),VALUE(MID(raw_data!C880,4,2))),IF(MID(raw_data!C880,3,1)="-",DATE(VALUE(RIGHT(raw_data!C880,4)),VALUE(MID(raw_data!C880,4,2)),VALUE(LEFT(raw_data!C880,2))),IF(MID(raw_data!C880,5,1)="-",DATE(VALUE(LEFT(raw_data!C880,4)),VALUE(MID(raw_data!C880,6,2)),VALUE(RIGHT(raw_data!C880,2))),DATE(VALUE(RIGHT(raw_data!C880,4)),MATCH(MID(raw_data!C880,4,3),{"Jan","Feb","Mar","Apr","May","Jun","Jul","Aug","Sep","Oct","Nov","Dec"},0),VALUE(LEFT(raw_data!C880,2)))))),"")</f>
        <v>45313</v>
      </c>
      <c r="D880" s="3" t="str">
        <f aca="false">IF(TRIM(raw_data!B880)="","Missing",IF(B880="","Invalid/Unrecognized","Valid"))</f>
        <v>Valid</v>
      </c>
      <c r="E880" s="3" t="str">
        <f aca="false">IF(TRIM(raw_data!C880)="","Missing",IF(C880="","Invalid/Unrecognized","Valid"))</f>
        <v>Valid</v>
      </c>
      <c r="F880" s="5" t="n">
        <f aca="false">IF(OR(B880="",C880=""),"",C880-B880)</f>
        <v>0</v>
      </c>
      <c r="G880" s="3" t="str">
        <f aca="false">IF(F880="","N/A",IF(F880&lt;0,"Invalid - Ship Before Order","OK"))</f>
        <v>OK</v>
      </c>
      <c r="H880" s="3" t="str">
        <f aca="false">raw_data!D880</f>
        <v>CUST-8534</v>
      </c>
      <c r="I880" s="3" t="str">
        <f aca="false">PROPER(TRIM(raw_data!E880))</f>
        <v>Karan Malhotra</v>
      </c>
      <c r="J880" s="3" t="str">
        <f aca="false">PROPER(TRIM(raw_data!F880))</f>
        <v>Corporate</v>
      </c>
      <c r="K880" s="3" t="str">
        <f aca="false">IF(TRIM(raw_data!G880)="","Unknown",PROPER(TRIM(raw_data!G880)))</f>
        <v>East</v>
      </c>
      <c r="L880" s="3" t="str">
        <f aca="false">IF(TRIM(raw_data!G880)="","Filled - Unknown","OK")</f>
        <v>OK</v>
      </c>
      <c r="M880" s="3" t="str">
        <f aca="false">PROPER(TRIM(raw_data!H880))</f>
        <v>West Bengal</v>
      </c>
      <c r="N880" s="3" t="str">
        <f aca="false">PROPER(TRIM(raw_data!I880))</f>
        <v>Kolkata</v>
      </c>
      <c r="O880" s="3" t="str">
        <f aca="false">PROPER(TRIM(raw_data!J880))</f>
        <v>Office Supplies</v>
      </c>
      <c r="P880" s="3" t="str">
        <f aca="false">PROPER(TRIM(raw_data!K880))</f>
        <v>Paper</v>
      </c>
      <c r="Q880" s="3" t="str">
        <f aca="false">TRIM(raw_data!L880)</f>
        <v>Basic Paper 904</v>
      </c>
      <c r="R880" s="3" t="str">
        <f aca="false">IF(TRIM(raw_data!M880)="","Unknown",PROPER(TRIM(raw_data!M880)))</f>
        <v>First Class</v>
      </c>
      <c r="S880" s="3" t="str">
        <f aca="false">IF(TRIM(raw_data!M880)="","Filled - Unknown","OK")</f>
        <v>OK</v>
      </c>
      <c r="T880" s="6" t="n">
        <f aca="false">raw_data!N880</f>
        <v>8</v>
      </c>
      <c r="U880" s="7" t="n">
        <f aca="false">raw_data!O880</f>
        <v>1557.21</v>
      </c>
      <c r="V880" s="8" t="n">
        <f aca="false">raw_data!P880</f>
        <v>0.05</v>
      </c>
      <c r="W880" s="8" t="n">
        <f aca="false">IF(raw_data!P880="",0,IF(ISTEXT(raw_data!P880),IF(RIGHT(raw_data!P880,1)="%",VALUE(LEFT(raw_data!P880,LEN(raw_data!P880)-1))/100,VALUE(raw_data!P880)),raw_data!P880))</f>
        <v>0.05</v>
      </c>
      <c r="X880" s="3" t="str">
        <f aca="false">IF(raw_data!P880="","Missing - Defaulted to 0",IF(W880&lt;0,"Negative - Invalid",IF(W880&gt;0.3,"Above Allowed Range - Invalid","Valid")))</f>
        <v>Valid</v>
      </c>
      <c r="Y880" s="7" t="n">
        <f aca="false">raw_data!Q880</f>
        <v>11834.8</v>
      </c>
      <c r="Z880" s="7" t="n">
        <f aca="false">raw_data!R880</f>
        <v>9322.36</v>
      </c>
      <c r="AA880" s="7" t="n">
        <f aca="false">raw_data!S880</f>
        <v>2512.44</v>
      </c>
      <c r="AB880" s="3" t="str">
        <f aca="false">PROPER(TRIM(raw_data!T880))</f>
        <v>Paid</v>
      </c>
      <c r="AC880" s="3" t="str">
        <f aca="false">PROPER(TRIM(raw_data!U880))</f>
        <v>Completed</v>
      </c>
      <c r="AD880" s="7" t="n">
        <f aca="false">T880*U880*(1-W880)</f>
        <v>11834.796</v>
      </c>
      <c r="AE880" s="7" t="n">
        <f aca="false">AD880-Z880</f>
        <v>2512.436</v>
      </c>
      <c r="AF880" s="8" t="n">
        <f aca="false">IF(AD880=0,0,AE880/AD880)</f>
        <v>0.212292294687631</v>
      </c>
      <c r="AG880" s="3" t="str">
        <f aca="false">IF(ABS(Y880-AD880)&gt;1,"Mismatch","OK")</f>
        <v>OK</v>
      </c>
      <c r="AH880" s="3" t="str">
        <f aca="false">IF(ABS(AA880-AE880)&gt;1,"Mismatch","OK")</f>
        <v>OK</v>
      </c>
      <c r="AI880" s="6" t="n">
        <f aca="false">IF(B880="","",MONTH(B880))</f>
        <v>1</v>
      </c>
      <c r="AJ880" s="6" t="n">
        <f aca="false">IF(B880="","",YEAR(B880))</f>
        <v>2024</v>
      </c>
      <c r="AK880" s="3" t="str">
        <f aca="false">IF(COUNTIF(raw_data!$A$2:$A$913,A880)&gt;1,"Conflicting Duplicate - Flagged for Review","Unique")</f>
        <v>Unique</v>
      </c>
      <c r="AL880" s="3" t="str">
        <f aca="false">IF(AB880="Refunded","Yes","No")</f>
        <v>No</v>
      </c>
      <c r="AM880" s="3" t="str">
        <f aca="false">IF(OR(AC880&lt;&gt;"Completed",AB880="Failed"),"Excluded","Included")</f>
        <v>Included</v>
      </c>
      <c r="AN880" s="3" t="str">
        <f aca="false">IF(OR(D880="Invalid/Unrecognized",E880="Invalid/Unrecognized",G880="Invalid - Ship Before Order",X880="Negative - Invalid",X880="Above Allowed Range - Invalid",AG880="Mismatch",AH880="Mismatch",AK880="Conflicting Duplicate - Flagged for Review"),"Invalid",IF(OR(L880="Filled - Unknown",S880="Filled - Unknown",X880="Missing - Defaulted to 0",AL880="Yes",AC880="Cancelled",AC880="Returned"),"Warning","Clean"))</f>
        <v>Clean</v>
      </c>
    </row>
    <row r="881" customFormat="false" ht="15" hidden="false" customHeight="false" outlineLevel="0" collapsed="false">
      <c r="A881" s="3" t="str">
        <f aca="false">raw_data!A881</f>
        <v>ORD-2025-10880</v>
      </c>
      <c r="B881" s="4" t="n">
        <f aca="false">IFERROR(IF(MID(raw_data!B881,3,1)="/",DATE(VALUE(RIGHT(raw_data!B881,4)),VALUE(LEFT(raw_data!B881,2)),VALUE(MID(raw_data!B881,4,2))),IF(MID(raw_data!B881,3,1)="-",DATE(VALUE(RIGHT(raw_data!B881,4)),VALUE(MID(raw_data!B881,4,2)),VALUE(LEFT(raw_data!B881,2))),IF(MID(raw_data!B881,5,1)="-",DATE(VALUE(LEFT(raw_data!B881,4)),VALUE(MID(raw_data!B881,6,2)),VALUE(RIGHT(raw_data!B881,2))),DATE(VALUE(RIGHT(raw_data!B881,4)),MATCH(MID(raw_data!B881,4,3),{"Jan","Feb","Mar","Apr","May","Jun","Jul","Aug","Sep","Oct","Nov","Dec"},0),VALUE(LEFT(raw_data!B881,2)))))),"")</f>
        <v>45896</v>
      </c>
      <c r="C881" s="4" t="n">
        <f aca="false">IFERROR(IF(MID(raw_data!C881,3,1)="/",DATE(VALUE(RIGHT(raw_data!C881,4)),VALUE(LEFT(raw_data!C881,2)),VALUE(MID(raw_data!C881,4,2))),IF(MID(raw_data!C881,3,1)="-",DATE(VALUE(RIGHT(raw_data!C881,4)),VALUE(MID(raw_data!C881,4,2)),VALUE(LEFT(raw_data!C881,2))),IF(MID(raw_data!C881,5,1)="-",DATE(VALUE(LEFT(raw_data!C881,4)),VALUE(MID(raw_data!C881,6,2)),VALUE(RIGHT(raw_data!C881,2))),DATE(VALUE(RIGHT(raw_data!C881,4)),MATCH(MID(raw_data!C881,4,3),{"Jan","Feb","Mar","Apr","May","Jun","Jul","Aug","Sep","Oct","Nov","Dec"},0),VALUE(LEFT(raw_data!C881,2)))))),"")</f>
        <v>45897</v>
      </c>
      <c r="D881" s="3" t="str">
        <f aca="false">IF(TRIM(raw_data!B881)="","Missing",IF(B881="","Invalid/Unrecognized","Valid"))</f>
        <v>Valid</v>
      </c>
      <c r="E881" s="3" t="str">
        <f aca="false">IF(TRIM(raw_data!C881)="","Missing",IF(C881="","Invalid/Unrecognized","Valid"))</f>
        <v>Valid</v>
      </c>
      <c r="F881" s="5" t="n">
        <f aca="false">IF(OR(B881="",C881=""),"",C881-B881)</f>
        <v>1</v>
      </c>
      <c r="G881" s="3" t="str">
        <f aca="false">IF(F881="","N/A",IF(F881&lt;0,"Invalid - Ship Before Order","OK"))</f>
        <v>OK</v>
      </c>
      <c r="H881" s="3" t="str">
        <f aca="false">raw_data!D881</f>
        <v>CUST-4486</v>
      </c>
      <c r="I881" s="3" t="str">
        <f aca="false">PROPER(TRIM(raw_data!E881))</f>
        <v>Ananya Rao</v>
      </c>
      <c r="J881" s="3" t="str">
        <f aca="false">PROPER(TRIM(raw_data!F881))</f>
        <v>Home Office</v>
      </c>
      <c r="K881" s="3" t="str">
        <f aca="false">IF(TRIM(raw_data!G881)="","Unknown",PROPER(TRIM(raw_data!G881)))</f>
        <v>North</v>
      </c>
      <c r="L881" s="3" t="str">
        <f aca="false">IF(TRIM(raw_data!G881)="","Filled - Unknown","OK")</f>
        <v>OK</v>
      </c>
      <c r="M881" s="3" t="str">
        <f aca="false">PROPER(TRIM(raw_data!H881))</f>
        <v>Uttar Pradesh</v>
      </c>
      <c r="N881" s="3" t="str">
        <f aca="false">PROPER(TRIM(raw_data!I881))</f>
        <v>Noida</v>
      </c>
      <c r="O881" s="3" t="str">
        <f aca="false">PROPER(TRIM(raw_data!J881))</f>
        <v>Office Supplies</v>
      </c>
      <c r="P881" s="3" t="str">
        <f aca="false">PROPER(TRIM(raw_data!K881))</f>
        <v>Art</v>
      </c>
      <c r="Q881" s="3" t="str">
        <f aca="false">TRIM(raw_data!L881)</f>
        <v>Smart Art 990</v>
      </c>
      <c r="R881" s="3" t="str">
        <f aca="false">IF(TRIM(raw_data!M881)="","Unknown",PROPER(TRIM(raw_data!M881)))</f>
        <v>Standard Class</v>
      </c>
      <c r="S881" s="3" t="str">
        <f aca="false">IF(TRIM(raw_data!M881)="","Filled - Unknown","OK")</f>
        <v>OK</v>
      </c>
      <c r="T881" s="6" t="n">
        <f aca="false">raw_data!N881</f>
        <v>6</v>
      </c>
      <c r="U881" s="7" t="n">
        <f aca="false">raw_data!O881</f>
        <v>1182.03</v>
      </c>
      <c r="V881" s="8" t="n">
        <f aca="false">raw_data!P881</f>
        <v>0.15</v>
      </c>
      <c r="W881" s="8" t="n">
        <f aca="false">IF(raw_data!P881="",0,IF(ISTEXT(raw_data!P881),IF(RIGHT(raw_data!P881,1)="%",VALUE(LEFT(raw_data!P881,LEN(raw_data!P881)-1))/100,VALUE(raw_data!P881)),raw_data!P881))</f>
        <v>0.15</v>
      </c>
      <c r="X881" s="3" t="str">
        <f aca="false">IF(raw_data!P881="","Missing - Defaulted to 0",IF(W881&lt;0,"Negative - Invalid",IF(W881&gt;0.3,"Above Allowed Range - Invalid","Valid")))</f>
        <v>Valid</v>
      </c>
      <c r="Y881" s="7" t="n">
        <f aca="false">raw_data!Q881</f>
        <v>6028.35</v>
      </c>
      <c r="Z881" s="7" t="n">
        <f aca="false">raw_data!R881</f>
        <v>4433.63</v>
      </c>
      <c r="AA881" s="7" t="n">
        <f aca="false">raw_data!S881</f>
        <v>1594.72</v>
      </c>
      <c r="AB881" s="3" t="str">
        <f aca="false">PROPER(TRIM(raw_data!T881))</f>
        <v>Paid</v>
      </c>
      <c r="AC881" s="3" t="str">
        <f aca="false">PROPER(TRIM(raw_data!U881))</f>
        <v>Completed</v>
      </c>
      <c r="AD881" s="7" t="n">
        <f aca="false">T881*U881*(1-W881)</f>
        <v>6028.353</v>
      </c>
      <c r="AE881" s="7" t="n">
        <f aca="false">AD881-Z881</f>
        <v>1594.723</v>
      </c>
      <c r="AF881" s="8" t="n">
        <f aca="false">IF(AD881=0,0,AE881/AD881)</f>
        <v>0.264537096616605</v>
      </c>
      <c r="AG881" s="3" t="str">
        <f aca="false">IF(ABS(Y881-AD881)&gt;1,"Mismatch","OK")</f>
        <v>OK</v>
      </c>
      <c r="AH881" s="3" t="str">
        <f aca="false">IF(ABS(AA881-AE881)&gt;1,"Mismatch","OK")</f>
        <v>OK</v>
      </c>
      <c r="AI881" s="6" t="n">
        <f aca="false">IF(B881="","",MONTH(B881))</f>
        <v>8</v>
      </c>
      <c r="AJ881" s="6" t="n">
        <f aca="false">IF(B881="","",YEAR(B881))</f>
        <v>2025</v>
      </c>
      <c r="AK881" s="3" t="str">
        <f aca="false">IF(COUNTIF(raw_data!$A$2:$A$913,A881)&gt;1,"Conflicting Duplicate - Flagged for Review","Unique")</f>
        <v>Unique</v>
      </c>
      <c r="AL881" s="3" t="str">
        <f aca="false">IF(AB881="Refunded","Yes","No")</f>
        <v>No</v>
      </c>
      <c r="AM881" s="3" t="str">
        <f aca="false">IF(OR(AC881&lt;&gt;"Completed",AB881="Failed"),"Excluded","Included")</f>
        <v>Included</v>
      </c>
      <c r="AN881" s="3" t="str">
        <f aca="false">IF(OR(D881="Invalid/Unrecognized",E881="Invalid/Unrecognized",G881="Invalid - Ship Before Order",X881="Negative - Invalid",X881="Above Allowed Range - Invalid",AG881="Mismatch",AH881="Mismatch",AK881="Conflicting Duplicate - Flagged for Review"),"Invalid",IF(OR(L881="Filled - Unknown",S881="Filled - Unknown",X881="Missing - Defaulted to 0",AL881="Yes",AC881="Cancelled",AC881="Returned"),"Warning","Clean"))</f>
        <v>Clean</v>
      </c>
    </row>
    <row r="882" customFormat="false" ht="15" hidden="false" customHeight="false" outlineLevel="0" collapsed="false">
      <c r="A882" s="3" t="str">
        <f aca="false">raw_data!A882</f>
        <v>ORD-2024-10881</v>
      </c>
      <c r="B882" s="4" t="n">
        <f aca="false">IFERROR(IF(MID(raw_data!B882,3,1)="/",DATE(VALUE(RIGHT(raw_data!B882,4)),VALUE(LEFT(raw_data!B882,2)),VALUE(MID(raw_data!B882,4,2))),IF(MID(raw_data!B882,3,1)="-",DATE(VALUE(RIGHT(raw_data!B882,4)),VALUE(MID(raw_data!B882,4,2)),VALUE(LEFT(raw_data!B882,2))),IF(MID(raw_data!B882,5,1)="-",DATE(VALUE(LEFT(raw_data!B882,4)),VALUE(MID(raw_data!B882,6,2)),VALUE(RIGHT(raw_data!B882,2))),DATE(VALUE(RIGHT(raw_data!B882,4)),MATCH(MID(raw_data!B882,4,3),{"Jan","Feb","Mar","Apr","May","Jun","Jul","Aug","Sep","Oct","Nov","Dec"},0),VALUE(LEFT(raw_data!B882,2)))))),"")</f>
        <v>45359</v>
      </c>
      <c r="C882" s="4" t="n">
        <f aca="false">IFERROR(IF(MID(raw_data!C882,3,1)="/",DATE(VALUE(RIGHT(raw_data!C882,4)),VALUE(LEFT(raw_data!C882,2)),VALUE(MID(raw_data!C882,4,2))),IF(MID(raw_data!C882,3,1)="-",DATE(VALUE(RIGHT(raw_data!C882,4)),VALUE(MID(raw_data!C882,4,2)),VALUE(LEFT(raw_data!C882,2))),IF(MID(raw_data!C882,5,1)="-",DATE(VALUE(LEFT(raw_data!C882,4)),VALUE(MID(raw_data!C882,6,2)),VALUE(RIGHT(raw_data!C882,2))),DATE(VALUE(RIGHT(raw_data!C882,4)),MATCH(MID(raw_data!C882,4,3),{"Jan","Feb","Mar","Apr","May","Jun","Jul","Aug","Sep","Oct","Nov","Dec"},0),VALUE(LEFT(raw_data!C882,2)))))),"")</f>
        <v>45366</v>
      </c>
      <c r="D882" s="3" t="str">
        <f aca="false">IF(TRIM(raw_data!B882)="","Missing",IF(B882="","Invalid/Unrecognized","Valid"))</f>
        <v>Valid</v>
      </c>
      <c r="E882" s="3" t="str">
        <f aca="false">IF(TRIM(raw_data!C882)="","Missing",IF(C882="","Invalid/Unrecognized","Valid"))</f>
        <v>Valid</v>
      </c>
      <c r="F882" s="5" t="n">
        <f aca="false">IF(OR(B882="",C882=""),"",C882-B882)</f>
        <v>7</v>
      </c>
      <c r="G882" s="3" t="str">
        <f aca="false">IF(F882="","N/A",IF(F882&lt;0,"Invalid - Ship Before Order","OK"))</f>
        <v>OK</v>
      </c>
      <c r="H882" s="3" t="str">
        <f aca="false">raw_data!D882</f>
        <v>CUST-5287</v>
      </c>
      <c r="I882" s="3" t="str">
        <f aca="false">PROPER(TRIM(raw_data!E882))</f>
        <v>Aarav Sharma</v>
      </c>
      <c r="J882" s="3" t="str">
        <f aca="false">PROPER(TRIM(raw_data!F882))</f>
        <v>Small Business</v>
      </c>
      <c r="K882" s="3" t="str">
        <f aca="false">IF(TRIM(raw_data!G882)="","Unknown",PROPER(TRIM(raw_data!G882)))</f>
        <v>Unknown</v>
      </c>
      <c r="L882" s="3" t="str">
        <f aca="false">IF(TRIM(raw_data!G882)="","Filled - Unknown","OK")</f>
        <v>Filled - Unknown</v>
      </c>
      <c r="M882" s="3" t="str">
        <f aca="false">PROPER(TRIM(raw_data!H882))</f>
        <v>Punjab</v>
      </c>
      <c r="N882" s="3" t="str">
        <f aca="false">PROPER(TRIM(raw_data!I882))</f>
        <v>Ludhiana</v>
      </c>
      <c r="O882" s="3" t="str">
        <f aca="false">PROPER(TRIM(raw_data!J882))</f>
        <v>Furniture</v>
      </c>
      <c r="P882" s="3" t="str">
        <f aca="false">PROPER(TRIM(raw_data!K882))</f>
        <v>Chairs</v>
      </c>
      <c r="Q882" s="3" t="str">
        <f aca="false">TRIM(raw_data!L882)</f>
        <v>Basic Chairs 327</v>
      </c>
      <c r="R882" s="3" t="str">
        <f aca="false">IF(TRIM(raw_data!M882)="","Unknown",PROPER(TRIM(raw_data!M882)))</f>
        <v>First Class</v>
      </c>
      <c r="S882" s="3" t="str">
        <f aca="false">IF(TRIM(raw_data!M882)="","Filled - Unknown","OK")</f>
        <v>OK</v>
      </c>
      <c r="T882" s="6" t="n">
        <f aca="false">raw_data!N882</f>
        <v>5</v>
      </c>
      <c r="U882" s="7" t="n">
        <f aca="false">raw_data!O882</f>
        <v>3234.77</v>
      </c>
      <c r="V882" s="8" t="n">
        <f aca="false">raw_data!P882</f>
        <v>0</v>
      </c>
      <c r="W882" s="8" t="n">
        <f aca="false">IF(raw_data!P882="",0,IF(ISTEXT(raw_data!P882),IF(RIGHT(raw_data!P882,1)="%",VALUE(LEFT(raw_data!P882,LEN(raw_data!P882)-1))/100,VALUE(raw_data!P882)),raw_data!P882))</f>
        <v>0</v>
      </c>
      <c r="X882" s="3" t="str">
        <f aca="false">IF(raw_data!P882="","Missing - Defaulted to 0",IF(W882&lt;0,"Negative - Invalid",IF(W882&gt;0.3,"Above Allowed Range - Invalid","Valid")))</f>
        <v>Valid</v>
      </c>
      <c r="Y882" s="7" t="n">
        <f aca="false">raw_data!Q882</f>
        <v>16173.85</v>
      </c>
      <c r="Z882" s="7" t="n">
        <f aca="false">raw_data!R882</f>
        <v>13636.34</v>
      </c>
      <c r="AA882" s="7" t="n">
        <f aca="false">raw_data!S882</f>
        <v>2537.51</v>
      </c>
      <c r="AB882" s="3" t="str">
        <f aca="false">PROPER(TRIM(raw_data!T882))</f>
        <v>Paid</v>
      </c>
      <c r="AC882" s="3" t="str">
        <f aca="false">PROPER(TRIM(raw_data!U882))</f>
        <v>Completed</v>
      </c>
      <c r="AD882" s="7" t="n">
        <f aca="false">T882*U882*(1-W882)</f>
        <v>16173.85</v>
      </c>
      <c r="AE882" s="7" t="n">
        <f aca="false">AD882-Z882</f>
        <v>2537.51</v>
      </c>
      <c r="AF882" s="8" t="n">
        <f aca="false">IF(AD882=0,0,AE882/AD882)</f>
        <v>0.156889670672103</v>
      </c>
      <c r="AG882" s="3" t="str">
        <f aca="false">IF(ABS(Y882-AD882)&gt;1,"Mismatch","OK")</f>
        <v>OK</v>
      </c>
      <c r="AH882" s="3" t="str">
        <f aca="false">IF(ABS(AA882-AE882)&gt;1,"Mismatch","OK")</f>
        <v>OK</v>
      </c>
      <c r="AI882" s="6" t="n">
        <f aca="false">IF(B882="","",MONTH(B882))</f>
        <v>3</v>
      </c>
      <c r="AJ882" s="6" t="n">
        <f aca="false">IF(B882="","",YEAR(B882))</f>
        <v>2024</v>
      </c>
      <c r="AK882" s="3" t="str">
        <f aca="false">IF(COUNTIF(raw_data!$A$2:$A$913,A882)&gt;1,"Conflicting Duplicate - Flagged for Review","Unique")</f>
        <v>Unique</v>
      </c>
      <c r="AL882" s="3" t="str">
        <f aca="false">IF(AB882="Refunded","Yes","No")</f>
        <v>No</v>
      </c>
      <c r="AM882" s="3" t="str">
        <f aca="false">IF(OR(AC882&lt;&gt;"Completed",AB882="Failed"),"Excluded","Included")</f>
        <v>Included</v>
      </c>
      <c r="AN882" s="3" t="str">
        <f aca="false">IF(OR(D882="Invalid/Unrecognized",E882="Invalid/Unrecognized",G882="Invalid - Ship Before Order",X882="Negative - Invalid",X882="Above Allowed Range - Invalid",AG882="Mismatch",AH882="Mismatch",AK882="Conflicting Duplicate - Flagged for Review"),"Invalid",IF(OR(L882="Filled - Unknown",S882="Filled - Unknown",X882="Missing - Defaulted to 0",AL882="Yes",AC882="Cancelled",AC882="Returned"),"Warning","Clean"))</f>
        <v>Warning</v>
      </c>
    </row>
    <row r="883" customFormat="false" ht="15" hidden="false" customHeight="false" outlineLevel="0" collapsed="false">
      <c r="A883" s="3" t="str">
        <f aca="false">raw_data!A883</f>
        <v>ORD-2024-10882</v>
      </c>
      <c r="B883" s="4" t="n">
        <f aca="false">IFERROR(IF(MID(raw_data!B883,3,1)="/",DATE(VALUE(RIGHT(raw_data!B883,4)),VALUE(LEFT(raw_data!B883,2)),VALUE(MID(raw_data!B883,4,2))),IF(MID(raw_data!B883,3,1)="-",DATE(VALUE(RIGHT(raw_data!B883,4)),VALUE(MID(raw_data!B883,4,2)),VALUE(LEFT(raw_data!B883,2))),IF(MID(raw_data!B883,5,1)="-",DATE(VALUE(LEFT(raw_data!B883,4)),VALUE(MID(raw_data!B883,6,2)),VALUE(RIGHT(raw_data!B883,2))),DATE(VALUE(RIGHT(raw_data!B883,4)),MATCH(MID(raw_data!B883,4,3),{"Jan","Feb","Mar","Apr","May","Jun","Jul","Aug","Sep","Oct","Nov","Dec"},0),VALUE(LEFT(raw_data!B883,2)))))),"")</f>
        <v>45627</v>
      </c>
      <c r="C883" s="4" t="n">
        <f aca="false">IFERROR(IF(MID(raw_data!C883,3,1)="/",DATE(VALUE(RIGHT(raw_data!C883,4)),VALUE(LEFT(raw_data!C883,2)),VALUE(MID(raw_data!C883,4,2))),IF(MID(raw_data!C883,3,1)="-",DATE(VALUE(RIGHT(raw_data!C883,4)),VALUE(MID(raw_data!C883,4,2)),VALUE(LEFT(raw_data!C883,2))),IF(MID(raw_data!C883,5,1)="-",DATE(VALUE(LEFT(raw_data!C883,4)),VALUE(MID(raw_data!C883,6,2)),VALUE(RIGHT(raw_data!C883,2))),DATE(VALUE(RIGHT(raw_data!C883,4)),MATCH(MID(raw_data!C883,4,3),{"Jan","Feb","Mar","Apr","May","Jun","Jul","Aug","Sep","Oct","Nov","Dec"},0),VALUE(LEFT(raw_data!C883,2)))))),"")</f>
        <v>45631</v>
      </c>
      <c r="D883" s="3" t="str">
        <f aca="false">IF(TRIM(raw_data!B883)="","Missing",IF(B883="","Invalid/Unrecognized","Valid"))</f>
        <v>Valid</v>
      </c>
      <c r="E883" s="3" t="str">
        <f aca="false">IF(TRIM(raw_data!C883)="","Missing",IF(C883="","Invalid/Unrecognized","Valid"))</f>
        <v>Valid</v>
      </c>
      <c r="F883" s="5" t="n">
        <f aca="false">IF(OR(B883="",C883=""),"",C883-B883)</f>
        <v>4</v>
      </c>
      <c r="G883" s="3" t="str">
        <f aca="false">IF(F883="","N/A",IF(F883&lt;0,"Invalid - Ship Before Order","OK"))</f>
        <v>OK</v>
      </c>
      <c r="H883" s="3" t="str">
        <f aca="false">raw_data!D883</f>
        <v>CUST-3445</v>
      </c>
      <c r="I883" s="3" t="str">
        <f aca="false">PROPER(TRIM(raw_data!E883))</f>
        <v>Ananya Rao</v>
      </c>
      <c r="J883" s="3" t="str">
        <f aca="false">PROPER(TRIM(raw_data!F883))</f>
        <v>Small Business</v>
      </c>
      <c r="K883" s="3" t="str">
        <f aca="false">IF(TRIM(raw_data!G883)="","Unknown",PROPER(TRIM(raw_data!G883)))</f>
        <v>South</v>
      </c>
      <c r="L883" s="3" t="str">
        <f aca="false">IF(TRIM(raw_data!G883)="","Filled - Unknown","OK")</f>
        <v>OK</v>
      </c>
      <c r="M883" s="3" t="str">
        <f aca="false">PROPER(TRIM(raw_data!H883))</f>
        <v>Andhra Pradesh</v>
      </c>
      <c r="N883" s="3" t="str">
        <f aca="false">PROPER(TRIM(raw_data!I883))</f>
        <v>Vijayawada</v>
      </c>
      <c r="O883" s="3" t="str">
        <f aca="false">PROPER(TRIM(raw_data!J883))</f>
        <v>Technology</v>
      </c>
      <c r="P883" s="3" t="str">
        <f aca="false">PROPER(TRIM(raw_data!K883))</f>
        <v>Copiers</v>
      </c>
      <c r="Q883" s="3" t="str">
        <f aca="false">TRIM(raw_data!L883)</f>
        <v>Eco Copiers 987</v>
      </c>
      <c r="R883" s="3" t="str">
        <f aca="false">IF(TRIM(raw_data!M883)="","Unknown",PROPER(TRIM(raw_data!M883)))</f>
        <v>Second Class</v>
      </c>
      <c r="S883" s="3" t="str">
        <f aca="false">IF(TRIM(raw_data!M883)="","Filled - Unknown","OK")</f>
        <v>OK</v>
      </c>
      <c r="T883" s="6" t="n">
        <f aca="false">raw_data!N883</f>
        <v>9</v>
      </c>
      <c r="U883" s="7" t="n">
        <f aca="false">raw_data!O883</f>
        <v>3726.75</v>
      </c>
      <c r="V883" s="8" t="n">
        <f aca="false">raw_data!P883</f>
        <v>0.25</v>
      </c>
      <c r="W883" s="8" t="n">
        <f aca="false">IF(raw_data!P883="",0,IF(ISTEXT(raw_data!P883),IF(RIGHT(raw_data!P883,1)="%",VALUE(LEFT(raw_data!P883,LEN(raw_data!P883)-1))/100,VALUE(raw_data!P883)),raw_data!P883))</f>
        <v>0.25</v>
      </c>
      <c r="X883" s="3" t="str">
        <f aca="false">IF(raw_data!P883="","Missing - Defaulted to 0",IF(W883&lt;0,"Negative - Invalid",IF(W883&gt;0.3,"Above Allowed Range - Invalid","Valid")))</f>
        <v>Valid</v>
      </c>
      <c r="Y883" s="7" t="n">
        <f aca="false">raw_data!Q883</f>
        <v>25155.56</v>
      </c>
      <c r="Z883" s="7" t="n">
        <f aca="false">raw_data!R883</f>
        <v>17592.69</v>
      </c>
      <c r="AA883" s="7" t="n">
        <f aca="false">raw_data!S883</f>
        <v>7562.87</v>
      </c>
      <c r="AB883" s="3" t="str">
        <f aca="false">PROPER(TRIM(raw_data!T883))</f>
        <v>Paid</v>
      </c>
      <c r="AC883" s="3" t="str">
        <f aca="false">PROPER(TRIM(raw_data!U883))</f>
        <v>Completed</v>
      </c>
      <c r="AD883" s="7" t="n">
        <f aca="false">T883*U883*(1-W883)</f>
        <v>25155.5625</v>
      </c>
      <c r="AE883" s="7" t="n">
        <f aca="false">AD883-Z883</f>
        <v>7562.8725</v>
      </c>
      <c r="AF883" s="8" t="n">
        <f aca="false">IF(AD883=0,0,AE883/AD883)</f>
        <v>0.300644141827479</v>
      </c>
      <c r="AG883" s="3" t="str">
        <f aca="false">IF(ABS(Y883-AD883)&gt;1,"Mismatch","OK")</f>
        <v>OK</v>
      </c>
      <c r="AH883" s="3" t="str">
        <f aca="false">IF(ABS(AA883-AE883)&gt;1,"Mismatch","OK")</f>
        <v>OK</v>
      </c>
      <c r="AI883" s="6" t="n">
        <f aca="false">IF(B883="","",MONTH(B883))</f>
        <v>12</v>
      </c>
      <c r="AJ883" s="6" t="n">
        <f aca="false">IF(B883="","",YEAR(B883))</f>
        <v>2024</v>
      </c>
      <c r="AK883" s="3" t="str">
        <f aca="false">IF(COUNTIF(raw_data!$A$2:$A$913,A883)&gt;1,"Conflicting Duplicate - Flagged for Review","Unique")</f>
        <v>Unique</v>
      </c>
      <c r="AL883" s="3" t="str">
        <f aca="false">IF(AB883="Refunded","Yes","No")</f>
        <v>No</v>
      </c>
      <c r="AM883" s="3" t="str">
        <f aca="false">IF(OR(AC883&lt;&gt;"Completed",AB883="Failed"),"Excluded","Included")</f>
        <v>Included</v>
      </c>
      <c r="AN883" s="3" t="str">
        <f aca="false">IF(OR(D883="Invalid/Unrecognized",E883="Invalid/Unrecognized",G883="Invalid - Ship Before Order",X883="Negative - Invalid",X883="Above Allowed Range - Invalid",AG883="Mismatch",AH883="Mismatch",AK883="Conflicting Duplicate - Flagged for Review"),"Invalid",IF(OR(L883="Filled - Unknown",S883="Filled - Unknown",X883="Missing - Defaulted to 0",AL883="Yes",AC883="Cancelled",AC883="Returned"),"Warning","Clean"))</f>
        <v>Clean</v>
      </c>
    </row>
    <row r="884" customFormat="false" ht="15" hidden="false" customHeight="false" outlineLevel="0" collapsed="false">
      <c r="A884" s="3" t="str">
        <f aca="false">raw_data!A884</f>
        <v>ORD-2025-10883</v>
      </c>
      <c r="B884" s="4" t="n">
        <f aca="false">IFERROR(IF(MID(raw_data!B884,3,1)="/",DATE(VALUE(RIGHT(raw_data!B884,4)),VALUE(LEFT(raw_data!B884,2)),VALUE(MID(raw_data!B884,4,2))),IF(MID(raw_data!B884,3,1)="-",DATE(VALUE(RIGHT(raw_data!B884,4)),VALUE(MID(raw_data!B884,4,2)),VALUE(LEFT(raw_data!B884,2))),IF(MID(raw_data!B884,5,1)="-",DATE(VALUE(LEFT(raw_data!B884,4)),VALUE(MID(raw_data!B884,6,2)),VALUE(RIGHT(raw_data!B884,2))),DATE(VALUE(RIGHT(raw_data!B884,4)),MATCH(MID(raw_data!B884,4,3),{"Jan","Feb","Mar","Apr","May","Jun","Jul","Aug","Sep","Oct","Nov","Dec"},0),VALUE(LEFT(raw_data!B884,2)))))),"")</f>
        <v>45690</v>
      </c>
      <c r="C884" s="4" t="n">
        <f aca="false">IFERROR(IF(MID(raw_data!C884,3,1)="/",DATE(VALUE(RIGHT(raw_data!C884,4)),VALUE(LEFT(raw_data!C884,2)),VALUE(MID(raw_data!C884,4,2))),IF(MID(raw_data!C884,3,1)="-",DATE(VALUE(RIGHT(raw_data!C884,4)),VALUE(MID(raw_data!C884,4,2)),VALUE(LEFT(raw_data!C884,2))),IF(MID(raw_data!C884,5,1)="-",DATE(VALUE(LEFT(raw_data!C884,4)),VALUE(MID(raw_data!C884,6,2)),VALUE(RIGHT(raw_data!C884,2))),DATE(VALUE(RIGHT(raw_data!C884,4)),MATCH(MID(raw_data!C884,4,3),{"Jan","Feb","Mar","Apr","May","Jun","Jul","Aug","Sep","Oct","Nov","Dec"},0),VALUE(LEFT(raw_data!C884,2)))))),"")</f>
        <v>45698</v>
      </c>
      <c r="D884" s="3" t="str">
        <f aca="false">IF(TRIM(raw_data!B884)="","Missing",IF(B884="","Invalid/Unrecognized","Valid"))</f>
        <v>Valid</v>
      </c>
      <c r="E884" s="3" t="str">
        <f aca="false">IF(TRIM(raw_data!C884)="","Missing",IF(C884="","Invalid/Unrecognized","Valid"))</f>
        <v>Valid</v>
      </c>
      <c r="F884" s="5" t="n">
        <f aca="false">IF(OR(B884="",C884=""),"",C884-B884)</f>
        <v>8</v>
      </c>
      <c r="G884" s="3" t="str">
        <f aca="false">IF(F884="","N/A",IF(F884&lt;0,"Invalid - Ship Before Order","OK"))</f>
        <v>OK</v>
      </c>
      <c r="H884" s="3" t="str">
        <f aca="false">raw_data!D884</f>
        <v>CUST-4983</v>
      </c>
      <c r="I884" s="3" t="str">
        <f aca="false">PROPER(TRIM(raw_data!E884))</f>
        <v>Sneha Kapoor</v>
      </c>
      <c r="J884" s="3" t="str">
        <f aca="false">PROPER(TRIM(raw_data!F884))</f>
        <v>Corporate</v>
      </c>
      <c r="K884" s="3" t="str">
        <f aca="false">IF(TRIM(raw_data!G884)="","Unknown",PROPER(TRIM(raw_data!G884)))</f>
        <v>East</v>
      </c>
      <c r="L884" s="3" t="str">
        <f aca="false">IF(TRIM(raw_data!G884)="","Filled - Unknown","OK")</f>
        <v>OK</v>
      </c>
      <c r="M884" s="3" t="str">
        <f aca="false">PROPER(TRIM(raw_data!H884))</f>
        <v>Bihar</v>
      </c>
      <c r="N884" s="3" t="str">
        <f aca="false">PROPER(TRIM(raw_data!I884))</f>
        <v>Patna</v>
      </c>
      <c r="O884" s="3" t="str">
        <f aca="false">PROPER(TRIM(raw_data!J884))</f>
        <v>Technology</v>
      </c>
      <c r="P884" s="3" t="str">
        <f aca="false">PROPER(TRIM(raw_data!K884))</f>
        <v>Accessories</v>
      </c>
      <c r="Q884" s="3" t="str">
        <f aca="false">TRIM(raw_data!L884)</f>
        <v>Basic Accessories 607</v>
      </c>
      <c r="R884" s="3" t="str">
        <f aca="false">IF(TRIM(raw_data!M884)="","Unknown",PROPER(TRIM(raw_data!M884)))</f>
        <v>Standard Class</v>
      </c>
      <c r="S884" s="3" t="str">
        <f aca="false">IF(TRIM(raw_data!M884)="","Filled - Unknown","OK")</f>
        <v>OK</v>
      </c>
      <c r="T884" s="6" t="n">
        <f aca="false">raw_data!N884</f>
        <v>4</v>
      </c>
      <c r="U884" s="7" t="n">
        <f aca="false">raw_data!O884</f>
        <v>1912.45</v>
      </c>
      <c r="V884" s="8" t="n">
        <f aca="false">raw_data!P884</f>
        <v>0</v>
      </c>
      <c r="W884" s="8" t="n">
        <f aca="false">IF(raw_data!P884="",0,IF(ISTEXT(raw_data!P884),IF(RIGHT(raw_data!P884,1)="%",VALUE(LEFT(raw_data!P884,LEN(raw_data!P884)-1))/100,VALUE(raw_data!P884)),raw_data!P884))</f>
        <v>0</v>
      </c>
      <c r="X884" s="3" t="str">
        <f aca="false">IF(raw_data!P884="","Missing - Defaulted to 0",IF(W884&lt;0,"Negative - Invalid",IF(W884&gt;0.3,"Above Allowed Range - Invalid","Valid")))</f>
        <v>Valid</v>
      </c>
      <c r="Y884" s="7" t="n">
        <f aca="false">raw_data!Q884</f>
        <v>7649.8</v>
      </c>
      <c r="Z884" s="7" t="n">
        <f aca="false">raw_data!R884</f>
        <v>4894.53</v>
      </c>
      <c r="AA884" s="7" t="n">
        <f aca="false">raw_data!S884</f>
        <v>2755.27</v>
      </c>
      <c r="AB884" s="3" t="str">
        <f aca="false">PROPER(TRIM(raw_data!T884))</f>
        <v>Pending</v>
      </c>
      <c r="AC884" s="3" t="str">
        <f aca="false">PROPER(TRIM(raw_data!U884))</f>
        <v>Returned</v>
      </c>
      <c r="AD884" s="7" t="n">
        <f aca="false">T884*U884*(1-W884)</f>
        <v>7649.8</v>
      </c>
      <c r="AE884" s="7" t="n">
        <f aca="false">AD884-Z884</f>
        <v>2755.27</v>
      </c>
      <c r="AF884" s="8" t="n">
        <f aca="false">IF(AD884=0,0,AE884/AD884)</f>
        <v>0.360175429422992</v>
      </c>
      <c r="AG884" s="3" t="str">
        <f aca="false">IF(ABS(Y884-AD884)&gt;1,"Mismatch","OK")</f>
        <v>OK</v>
      </c>
      <c r="AH884" s="3" t="str">
        <f aca="false">IF(ABS(AA884-AE884)&gt;1,"Mismatch","OK")</f>
        <v>OK</v>
      </c>
      <c r="AI884" s="6" t="n">
        <f aca="false">IF(B884="","",MONTH(B884))</f>
        <v>2</v>
      </c>
      <c r="AJ884" s="6" t="n">
        <f aca="false">IF(B884="","",YEAR(B884))</f>
        <v>2025</v>
      </c>
      <c r="AK884" s="3" t="str">
        <f aca="false">IF(COUNTIF(raw_data!$A$2:$A$913,A884)&gt;1,"Conflicting Duplicate - Flagged for Review","Unique")</f>
        <v>Unique</v>
      </c>
      <c r="AL884" s="3" t="str">
        <f aca="false">IF(AB884="Refunded","Yes","No")</f>
        <v>No</v>
      </c>
      <c r="AM884" s="3" t="str">
        <f aca="false">IF(OR(AC884&lt;&gt;"Completed",AB884="Failed"),"Excluded","Included")</f>
        <v>Excluded</v>
      </c>
      <c r="AN884" s="3" t="str">
        <f aca="false">IF(OR(D884="Invalid/Unrecognized",E884="Invalid/Unrecognized",G884="Invalid - Ship Before Order",X884="Negative - Invalid",X884="Above Allowed Range - Invalid",AG884="Mismatch",AH884="Mismatch",AK884="Conflicting Duplicate - Flagged for Review"),"Invalid",IF(OR(L884="Filled - Unknown",S884="Filled - Unknown",X884="Missing - Defaulted to 0",AL884="Yes",AC884="Cancelled",AC884="Returned"),"Warning","Clean"))</f>
        <v>Warning</v>
      </c>
    </row>
    <row r="885" customFormat="false" ht="15" hidden="false" customHeight="false" outlineLevel="0" collapsed="false">
      <c r="A885" s="3" t="str">
        <f aca="false">raw_data!A885</f>
        <v>ORD-2025-10884</v>
      </c>
      <c r="B885" s="4" t="n">
        <f aca="false">IFERROR(IF(MID(raw_data!B885,3,1)="/",DATE(VALUE(RIGHT(raw_data!B885,4)),VALUE(LEFT(raw_data!B885,2)),VALUE(MID(raw_data!B885,4,2))),IF(MID(raw_data!B885,3,1)="-",DATE(VALUE(RIGHT(raw_data!B885,4)),VALUE(MID(raw_data!B885,4,2)),VALUE(LEFT(raw_data!B885,2))),IF(MID(raw_data!B885,5,1)="-",DATE(VALUE(LEFT(raw_data!B885,4)),VALUE(MID(raw_data!B885,6,2)),VALUE(RIGHT(raw_data!B885,2))),DATE(VALUE(RIGHT(raw_data!B885,4)),MATCH(MID(raw_data!B885,4,3),{"Jan","Feb","Mar","Apr","May","Jun","Jul","Aug","Sep","Oct","Nov","Dec"},0),VALUE(LEFT(raw_data!B885,2)))))),"")</f>
        <v>45775</v>
      </c>
      <c r="C885" s="4" t="n">
        <f aca="false">IFERROR(IF(MID(raw_data!C885,3,1)="/",DATE(VALUE(RIGHT(raw_data!C885,4)),VALUE(LEFT(raw_data!C885,2)),VALUE(MID(raw_data!C885,4,2))),IF(MID(raw_data!C885,3,1)="-",DATE(VALUE(RIGHT(raw_data!C885,4)),VALUE(MID(raw_data!C885,4,2)),VALUE(LEFT(raw_data!C885,2))),IF(MID(raw_data!C885,5,1)="-",DATE(VALUE(LEFT(raw_data!C885,4)),VALUE(MID(raw_data!C885,6,2)),VALUE(RIGHT(raw_data!C885,2))),DATE(VALUE(RIGHT(raw_data!C885,4)),MATCH(MID(raw_data!C885,4,3),{"Jan","Feb","Mar","Apr","May","Jun","Jul","Aug","Sep","Oct","Nov","Dec"},0),VALUE(LEFT(raw_data!C885,2)))))),"")</f>
        <v>45778</v>
      </c>
      <c r="D885" s="3" t="str">
        <f aca="false">IF(TRIM(raw_data!B885)="","Missing",IF(B885="","Invalid/Unrecognized","Valid"))</f>
        <v>Valid</v>
      </c>
      <c r="E885" s="3" t="str">
        <f aca="false">IF(TRIM(raw_data!C885)="","Missing",IF(C885="","Invalid/Unrecognized","Valid"))</f>
        <v>Valid</v>
      </c>
      <c r="F885" s="5" t="n">
        <f aca="false">IF(OR(B885="",C885=""),"",C885-B885)</f>
        <v>3</v>
      </c>
      <c r="G885" s="3" t="str">
        <f aca="false">IF(F885="","N/A",IF(F885&lt;0,"Invalid - Ship Before Order","OK"))</f>
        <v>OK</v>
      </c>
      <c r="H885" s="3" t="str">
        <f aca="false">raw_data!D885</f>
        <v>CUST-2597</v>
      </c>
      <c r="I885" s="3" t="str">
        <f aca="false">PROPER(TRIM(raw_data!E885))</f>
        <v>Aarav Sharma</v>
      </c>
      <c r="J885" s="3" t="str">
        <f aca="false">PROPER(TRIM(raw_data!F885))</f>
        <v>Small Business</v>
      </c>
      <c r="K885" s="3" t="str">
        <f aca="false">IF(TRIM(raw_data!G885)="","Unknown",PROPER(TRIM(raw_data!G885)))</f>
        <v>West</v>
      </c>
      <c r="L885" s="3" t="str">
        <f aca="false">IF(TRIM(raw_data!G885)="","Filled - Unknown","OK")</f>
        <v>OK</v>
      </c>
      <c r="M885" s="3" t="str">
        <f aca="false">PROPER(TRIM(raw_data!H885))</f>
        <v>Goa</v>
      </c>
      <c r="N885" s="3" t="str">
        <f aca="false">PROPER(TRIM(raw_data!I885))</f>
        <v>Panaji</v>
      </c>
      <c r="O885" s="3" t="str">
        <f aca="false">PROPER(TRIM(raw_data!J885))</f>
        <v>Office Supplies</v>
      </c>
      <c r="P885" s="3" t="str">
        <f aca="false">PROPER(TRIM(raw_data!K885))</f>
        <v>Storage</v>
      </c>
      <c r="Q885" s="3" t="str">
        <f aca="false">TRIM(raw_data!L885)</f>
        <v>Classic Storage 211</v>
      </c>
      <c r="R885" s="3" t="str">
        <f aca="false">IF(TRIM(raw_data!M885)="","Unknown",PROPER(TRIM(raw_data!M885)))</f>
        <v>Same Day</v>
      </c>
      <c r="S885" s="3" t="str">
        <f aca="false">IF(TRIM(raw_data!M885)="","Filled - Unknown","OK")</f>
        <v>OK</v>
      </c>
      <c r="T885" s="6" t="n">
        <f aca="false">raw_data!N885</f>
        <v>1</v>
      </c>
      <c r="U885" s="7" t="n">
        <f aca="false">raw_data!O885</f>
        <v>1620.87</v>
      </c>
      <c r="V885" s="8" t="n">
        <f aca="false">raw_data!P885</f>
        <v>0</v>
      </c>
      <c r="W885" s="8" t="n">
        <f aca="false">IF(raw_data!P885="",0,IF(ISTEXT(raw_data!P885),IF(RIGHT(raw_data!P885,1)="%",VALUE(LEFT(raw_data!P885,LEN(raw_data!P885)-1))/100,VALUE(raw_data!P885)),raw_data!P885))</f>
        <v>0</v>
      </c>
      <c r="X885" s="3" t="str">
        <f aca="false">IF(raw_data!P885="","Missing - Defaulted to 0",IF(W885&lt;0,"Negative - Invalid",IF(W885&gt;0.3,"Above Allowed Range - Invalid","Valid")))</f>
        <v>Valid</v>
      </c>
      <c r="Y885" s="7" t="n">
        <f aca="false">raw_data!Q885</f>
        <v>1620.87</v>
      </c>
      <c r="Z885" s="7" t="n">
        <f aca="false">raw_data!R885</f>
        <v>1103.61</v>
      </c>
      <c r="AA885" s="7" t="n">
        <f aca="false">raw_data!S885</f>
        <v>517.26</v>
      </c>
      <c r="AB885" s="3" t="str">
        <f aca="false">PROPER(TRIM(raw_data!T885))</f>
        <v>Paid</v>
      </c>
      <c r="AC885" s="3" t="str">
        <f aca="false">PROPER(TRIM(raw_data!U885))</f>
        <v>Completed</v>
      </c>
      <c r="AD885" s="7" t="n">
        <f aca="false">T885*U885*(1-W885)</f>
        <v>1620.87</v>
      </c>
      <c r="AE885" s="7" t="n">
        <f aca="false">AD885-Z885</f>
        <v>517.26</v>
      </c>
      <c r="AF885" s="8" t="n">
        <f aca="false">IF(AD885=0,0,AE885/AD885)</f>
        <v>0.319124914397823</v>
      </c>
      <c r="AG885" s="3" t="str">
        <f aca="false">IF(ABS(Y885-AD885)&gt;1,"Mismatch","OK")</f>
        <v>OK</v>
      </c>
      <c r="AH885" s="3" t="str">
        <f aca="false">IF(ABS(AA885-AE885)&gt;1,"Mismatch","OK")</f>
        <v>OK</v>
      </c>
      <c r="AI885" s="6" t="n">
        <f aca="false">IF(B885="","",MONTH(B885))</f>
        <v>4</v>
      </c>
      <c r="AJ885" s="6" t="n">
        <f aca="false">IF(B885="","",YEAR(B885))</f>
        <v>2025</v>
      </c>
      <c r="AK885" s="3" t="str">
        <f aca="false">IF(COUNTIF(raw_data!$A$2:$A$913,A885)&gt;1,"Conflicting Duplicate - Flagged for Review","Unique")</f>
        <v>Unique</v>
      </c>
      <c r="AL885" s="3" t="str">
        <f aca="false">IF(AB885="Refunded","Yes","No")</f>
        <v>No</v>
      </c>
      <c r="AM885" s="3" t="str">
        <f aca="false">IF(OR(AC885&lt;&gt;"Completed",AB885="Failed"),"Excluded","Included")</f>
        <v>Included</v>
      </c>
      <c r="AN885" s="3" t="str">
        <f aca="false">IF(OR(D885="Invalid/Unrecognized",E885="Invalid/Unrecognized",G885="Invalid - Ship Before Order",X885="Negative - Invalid",X885="Above Allowed Range - Invalid",AG885="Mismatch",AH885="Mismatch",AK885="Conflicting Duplicate - Flagged for Review"),"Invalid",IF(OR(L885="Filled - Unknown",S885="Filled - Unknown",X885="Missing - Defaulted to 0",AL885="Yes",AC885="Cancelled",AC885="Returned"),"Warning","Clean"))</f>
        <v>Clean</v>
      </c>
    </row>
    <row r="886" customFormat="false" ht="15" hidden="false" customHeight="false" outlineLevel="0" collapsed="false">
      <c r="A886" s="3" t="str">
        <f aca="false">raw_data!A886</f>
        <v>ORD-2025-10885</v>
      </c>
      <c r="B886" s="4" t="n">
        <f aca="false">IFERROR(IF(MID(raw_data!B886,3,1)="/",DATE(VALUE(RIGHT(raw_data!B886,4)),VALUE(LEFT(raw_data!B886,2)),VALUE(MID(raw_data!B886,4,2))),IF(MID(raw_data!B886,3,1)="-",DATE(VALUE(RIGHT(raw_data!B886,4)),VALUE(MID(raw_data!B886,4,2)),VALUE(LEFT(raw_data!B886,2))),IF(MID(raw_data!B886,5,1)="-",DATE(VALUE(LEFT(raw_data!B886,4)),VALUE(MID(raw_data!B886,6,2)),VALUE(RIGHT(raw_data!B886,2))),DATE(VALUE(RIGHT(raw_data!B886,4)),MATCH(MID(raw_data!B886,4,3),{"Jan","Feb","Mar","Apr","May","Jun","Jul","Aug","Sep","Oct","Nov","Dec"},0),VALUE(LEFT(raw_data!B886,2)))))),"")</f>
        <v>45675</v>
      </c>
      <c r="C886" s="4" t="n">
        <f aca="false">IFERROR(IF(MID(raw_data!C886,3,1)="/",DATE(VALUE(RIGHT(raw_data!C886,4)),VALUE(LEFT(raw_data!C886,2)),VALUE(MID(raw_data!C886,4,2))),IF(MID(raw_data!C886,3,1)="-",DATE(VALUE(RIGHT(raw_data!C886,4)),VALUE(MID(raw_data!C886,4,2)),VALUE(LEFT(raw_data!C886,2))),IF(MID(raw_data!C886,5,1)="-",DATE(VALUE(LEFT(raw_data!C886,4)),VALUE(MID(raw_data!C886,6,2)),VALUE(RIGHT(raw_data!C886,2))),DATE(VALUE(RIGHT(raw_data!C886,4)),MATCH(MID(raw_data!C886,4,3),{"Jan","Feb","Mar","Apr","May","Jun","Jul","Aug","Sep","Oct","Nov","Dec"},0),VALUE(LEFT(raw_data!C886,2)))))),"")</f>
        <v>45682</v>
      </c>
      <c r="D886" s="3" t="str">
        <f aca="false">IF(TRIM(raw_data!B886)="","Missing",IF(B886="","Invalid/Unrecognized","Valid"))</f>
        <v>Valid</v>
      </c>
      <c r="E886" s="3" t="str">
        <f aca="false">IF(TRIM(raw_data!C886)="","Missing",IF(C886="","Invalid/Unrecognized","Valid"))</f>
        <v>Valid</v>
      </c>
      <c r="F886" s="5" t="n">
        <f aca="false">IF(OR(B886="",C886=""),"",C886-B886)</f>
        <v>7</v>
      </c>
      <c r="G886" s="3" t="str">
        <f aca="false">IF(F886="","N/A",IF(F886&lt;0,"Invalid - Ship Before Order","OK"))</f>
        <v>OK</v>
      </c>
      <c r="H886" s="3" t="str">
        <f aca="false">raw_data!D886</f>
        <v>CUST-7505</v>
      </c>
      <c r="I886" s="3" t="str">
        <f aca="false">PROPER(TRIM(raw_data!E886))</f>
        <v>Neha Gupta</v>
      </c>
      <c r="J886" s="3" t="str">
        <f aca="false">PROPER(TRIM(raw_data!F886))</f>
        <v>Home Office</v>
      </c>
      <c r="K886" s="3" t="str">
        <f aca="false">IF(TRIM(raw_data!G886)="","Unknown",PROPER(TRIM(raw_data!G886)))</f>
        <v>South</v>
      </c>
      <c r="L886" s="3" t="str">
        <f aca="false">IF(TRIM(raw_data!G886)="","Filled - Unknown","OK")</f>
        <v>OK</v>
      </c>
      <c r="M886" s="3" t="str">
        <f aca="false">PROPER(TRIM(raw_data!H886))</f>
        <v>Karnataka</v>
      </c>
      <c r="N886" s="3" t="str">
        <f aca="false">PROPER(TRIM(raw_data!I886))</f>
        <v>Bengaluru</v>
      </c>
      <c r="O886" s="3" t="str">
        <f aca="false">PROPER(TRIM(raw_data!J886))</f>
        <v>Office Supplies</v>
      </c>
      <c r="P886" s="3" t="str">
        <f aca="false">PROPER(TRIM(raw_data!K886))</f>
        <v>Storage</v>
      </c>
      <c r="Q886" s="3" t="str">
        <f aca="false">TRIM(raw_data!L886)</f>
        <v>Eco Storage 783</v>
      </c>
      <c r="R886" s="3" t="str">
        <f aca="false">IF(TRIM(raw_data!M886)="","Unknown",PROPER(TRIM(raw_data!M886)))</f>
        <v>Same Day</v>
      </c>
      <c r="S886" s="3" t="str">
        <f aca="false">IF(TRIM(raw_data!M886)="","Filled - Unknown","OK")</f>
        <v>OK</v>
      </c>
      <c r="T886" s="6" t="n">
        <f aca="false">raw_data!N886</f>
        <v>2</v>
      </c>
      <c r="U886" s="7" t="n">
        <f aca="false">raw_data!O886</f>
        <v>2098.54</v>
      </c>
      <c r="V886" s="8" t="n">
        <f aca="false">raw_data!P886</f>
        <v>0.15</v>
      </c>
      <c r="W886" s="8" t="n">
        <f aca="false">IF(raw_data!P886="",0,IF(ISTEXT(raw_data!P886),IF(RIGHT(raw_data!P886,1)="%",VALUE(LEFT(raw_data!P886,LEN(raw_data!P886)-1))/100,VALUE(raw_data!P886)),raw_data!P886))</f>
        <v>0.15</v>
      </c>
      <c r="X886" s="3" t="str">
        <f aca="false">IF(raw_data!P886="","Missing - Defaulted to 0",IF(W886&lt;0,"Negative - Invalid",IF(W886&gt;0.3,"Above Allowed Range - Invalid","Valid")))</f>
        <v>Valid</v>
      </c>
      <c r="Y886" s="7" t="n">
        <f aca="false">raw_data!Q886</f>
        <v>3567.52</v>
      </c>
      <c r="Z886" s="7" t="n">
        <f aca="false">raw_data!R886</f>
        <v>2411.8</v>
      </c>
      <c r="AA886" s="7" t="n">
        <f aca="false">raw_data!S886</f>
        <v>1155.72</v>
      </c>
      <c r="AB886" s="3" t="str">
        <f aca="false">PROPER(TRIM(raw_data!T886))</f>
        <v>Paid</v>
      </c>
      <c r="AC886" s="3" t="str">
        <f aca="false">PROPER(TRIM(raw_data!U886))</f>
        <v>Completed</v>
      </c>
      <c r="AD886" s="7" t="n">
        <f aca="false">T886*U886*(1-W886)</f>
        <v>3567.518</v>
      </c>
      <c r="AE886" s="7" t="n">
        <f aca="false">AD886-Z886</f>
        <v>1155.718</v>
      </c>
      <c r="AF886" s="8" t="n">
        <f aca="false">IF(AD886=0,0,AE886/AD886)</f>
        <v>0.323955758597434</v>
      </c>
      <c r="AG886" s="3" t="str">
        <f aca="false">IF(ABS(Y886-AD886)&gt;1,"Mismatch","OK")</f>
        <v>OK</v>
      </c>
      <c r="AH886" s="3" t="str">
        <f aca="false">IF(ABS(AA886-AE886)&gt;1,"Mismatch","OK")</f>
        <v>OK</v>
      </c>
      <c r="AI886" s="6" t="n">
        <f aca="false">IF(B886="","",MONTH(B886))</f>
        <v>1</v>
      </c>
      <c r="AJ886" s="6" t="n">
        <f aca="false">IF(B886="","",YEAR(B886))</f>
        <v>2025</v>
      </c>
      <c r="AK886" s="3" t="str">
        <f aca="false">IF(COUNTIF(raw_data!$A$2:$A$913,A886)&gt;1,"Conflicting Duplicate - Flagged for Review","Unique")</f>
        <v>Unique</v>
      </c>
      <c r="AL886" s="3" t="str">
        <f aca="false">IF(AB886="Refunded","Yes","No")</f>
        <v>No</v>
      </c>
      <c r="AM886" s="3" t="str">
        <f aca="false">IF(OR(AC886&lt;&gt;"Completed",AB886="Failed"),"Excluded","Included")</f>
        <v>Included</v>
      </c>
      <c r="AN886" s="3" t="str">
        <f aca="false">IF(OR(D886="Invalid/Unrecognized",E886="Invalid/Unrecognized",G886="Invalid - Ship Before Order",X886="Negative - Invalid",X886="Above Allowed Range - Invalid",AG886="Mismatch",AH886="Mismatch",AK886="Conflicting Duplicate - Flagged for Review"),"Invalid",IF(OR(L886="Filled - Unknown",S886="Filled - Unknown",X886="Missing - Defaulted to 0",AL886="Yes",AC886="Cancelled",AC886="Returned"),"Warning","Clean"))</f>
        <v>Clean</v>
      </c>
    </row>
    <row r="887" customFormat="false" ht="15" hidden="false" customHeight="false" outlineLevel="0" collapsed="false">
      <c r="A887" s="3" t="str">
        <f aca="false">raw_data!A887</f>
        <v>ORD-2024-10886</v>
      </c>
      <c r="B887" s="4" t="n">
        <f aca="false">IFERROR(IF(MID(raw_data!B887,3,1)="/",DATE(VALUE(RIGHT(raw_data!B887,4)),VALUE(LEFT(raw_data!B887,2)),VALUE(MID(raw_data!B887,4,2))),IF(MID(raw_data!B887,3,1)="-",DATE(VALUE(RIGHT(raw_data!B887,4)),VALUE(MID(raw_data!B887,4,2)),VALUE(LEFT(raw_data!B887,2))),IF(MID(raw_data!B887,5,1)="-",DATE(VALUE(LEFT(raw_data!B887,4)),VALUE(MID(raw_data!B887,6,2)),VALUE(RIGHT(raw_data!B887,2))),DATE(VALUE(RIGHT(raw_data!B887,4)),MATCH(MID(raw_data!B887,4,3),{"Jan","Feb","Mar","Apr","May","Jun","Jul","Aug","Sep","Oct","Nov","Dec"},0),VALUE(LEFT(raw_data!B887,2)))))),"")</f>
        <v>45296</v>
      </c>
      <c r="C887" s="4" t="n">
        <f aca="false">IFERROR(IF(MID(raw_data!C887,3,1)="/",DATE(VALUE(RIGHT(raw_data!C887,4)),VALUE(LEFT(raw_data!C887,2)),VALUE(MID(raw_data!C887,4,2))),IF(MID(raw_data!C887,3,1)="-",DATE(VALUE(RIGHT(raw_data!C887,4)),VALUE(MID(raw_data!C887,4,2)),VALUE(LEFT(raw_data!C887,2))),IF(MID(raw_data!C887,5,1)="-",DATE(VALUE(LEFT(raw_data!C887,4)),VALUE(MID(raw_data!C887,6,2)),VALUE(RIGHT(raw_data!C887,2))),DATE(VALUE(RIGHT(raw_data!C887,4)),MATCH(MID(raw_data!C887,4,3),{"Jan","Feb","Mar","Apr","May","Jun","Jul","Aug","Sep","Oct","Nov","Dec"},0),VALUE(LEFT(raw_data!C887,2)))))),"")</f>
        <v>45296</v>
      </c>
      <c r="D887" s="3" t="str">
        <f aca="false">IF(TRIM(raw_data!B887)="","Missing",IF(B887="","Invalid/Unrecognized","Valid"))</f>
        <v>Valid</v>
      </c>
      <c r="E887" s="3" t="str">
        <f aca="false">IF(TRIM(raw_data!C887)="","Missing",IF(C887="","Invalid/Unrecognized","Valid"))</f>
        <v>Valid</v>
      </c>
      <c r="F887" s="5" t="n">
        <f aca="false">IF(OR(B887="",C887=""),"",C887-B887)</f>
        <v>0</v>
      </c>
      <c r="G887" s="3" t="str">
        <f aca="false">IF(F887="","N/A",IF(F887&lt;0,"Invalid - Ship Before Order","OK"))</f>
        <v>OK</v>
      </c>
      <c r="H887" s="3" t="str">
        <f aca="false">raw_data!D887</f>
        <v>CUST-3446</v>
      </c>
      <c r="I887" s="3" t="str">
        <f aca="false">PROPER(TRIM(raw_data!E887))</f>
        <v>Diya Patel</v>
      </c>
      <c r="J887" s="3" t="str">
        <f aca="false">PROPER(TRIM(raw_data!F887))</f>
        <v>Consumer</v>
      </c>
      <c r="K887" s="3" t="str">
        <f aca="false">IF(TRIM(raw_data!G887)="","Unknown",PROPER(TRIM(raw_data!G887)))</f>
        <v>North</v>
      </c>
      <c r="L887" s="3" t="str">
        <f aca="false">IF(TRIM(raw_data!G887)="","Filled - Unknown","OK")</f>
        <v>OK</v>
      </c>
      <c r="M887" s="3" t="str">
        <f aca="false">PROPER(TRIM(raw_data!H887))</f>
        <v>Rajasthan</v>
      </c>
      <c r="N887" s="3" t="str">
        <f aca="false">PROPER(TRIM(raw_data!I887))</f>
        <v>Jaipur</v>
      </c>
      <c r="O887" s="3" t="str">
        <f aca="false">PROPER(TRIM(raw_data!J887))</f>
        <v>Furniture</v>
      </c>
      <c r="P887" s="3" t="str">
        <f aca="false">PROPER(TRIM(raw_data!K887))</f>
        <v>Tables</v>
      </c>
      <c r="Q887" s="3" t="str">
        <f aca="false">TRIM(raw_data!L887)</f>
        <v>Pro Tables 866</v>
      </c>
      <c r="R887" s="3" t="str">
        <f aca="false">IF(TRIM(raw_data!M887)="","Unknown",PROPER(TRIM(raw_data!M887)))</f>
        <v>Standard Class</v>
      </c>
      <c r="S887" s="3" t="str">
        <f aca="false">IF(TRIM(raw_data!M887)="","Filled - Unknown","OK")</f>
        <v>OK</v>
      </c>
      <c r="T887" s="6" t="n">
        <f aca="false">raw_data!N887</f>
        <v>1</v>
      </c>
      <c r="U887" s="7" t="n">
        <f aca="false">raw_data!O887</f>
        <v>2167.08</v>
      </c>
      <c r="V887" s="8" t="n">
        <f aca="false">raw_data!P887</f>
        <v>0.25</v>
      </c>
      <c r="W887" s="8" t="n">
        <f aca="false">IF(raw_data!P887="",0,IF(ISTEXT(raw_data!P887),IF(RIGHT(raw_data!P887,1)="%",VALUE(LEFT(raw_data!P887,LEN(raw_data!P887)-1))/100,VALUE(raw_data!P887)),raw_data!P887))</f>
        <v>0.25</v>
      </c>
      <c r="X887" s="3" t="str">
        <f aca="false">IF(raw_data!P887="","Missing - Defaulted to 0",IF(W887&lt;0,"Negative - Invalid",IF(W887&gt;0.3,"Above Allowed Range - Invalid","Valid")))</f>
        <v>Valid</v>
      </c>
      <c r="Y887" s="7" t="n">
        <f aca="false">raw_data!Q887</f>
        <v>1625.31</v>
      </c>
      <c r="Z887" s="7" t="n">
        <f aca="false">raw_data!R887</f>
        <v>1157.89</v>
      </c>
      <c r="AA887" s="7" t="n">
        <f aca="false">raw_data!S887</f>
        <v>467.42</v>
      </c>
      <c r="AB887" s="3" t="str">
        <f aca="false">PROPER(TRIM(raw_data!T887))</f>
        <v>Paid</v>
      </c>
      <c r="AC887" s="3" t="str">
        <f aca="false">PROPER(TRIM(raw_data!U887))</f>
        <v>Completed</v>
      </c>
      <c r="AD887" s="7" t="n">
        <f aca="false">T887*U887*(1-W887)</f>
        <v>1625.31</v>
      </c>
      <c r="AE887" s="7" t="n">
        <f aca="false">AD887-Z887</f>
        <v>467.42</v>
      </c>
      <c r="AF887" s="8" t="n">
        <f aca="false">IF(AD887=0,0,AE887/AD887)</f>
        <v>0.287588213940725</v>
      </c>
      <c r="AG887" s="3" t="str">
        <f aca="false">IF(ABS(Y887-AD887)&gt;1,"Mismatch","OK")</f>
        <v>OK</v>
      </c>
      <c r="AH887" s="3" t="str">
        <f aca="false">IF(ABS(AA887-AE887)&gt;1,"Mismatch","OK")</f>
        <v>OK</v>
      </c>
      <c r="AI887" s="6" t="n">
        <f aca="false">IF(B887="","",MONTH(B887))</f>
        <v>1</v>
      </c>
      <c r="AJ887" s="6" t="n">
        <f aca="false">IF(B887="","",YEAR(B887))</f>
        <v>2024</v>
      </c>
      <c r="AK887" s="3" t="str">
        <f aca="false">IF(COUNTIF(raw_data!$A$2:$A$913,A887)&gt;1,"Conflicting Duplicate - Flagged for Review","Unique")</f>
        <v>Unique</v>
      </c>
      <c r="AL887" s="3" t="str">
        <f aca="false">IF(AB887="Refunded","Yes","No")</f>
        <v>No</v>
      </c>
      <c r="AM887" s="3" t="str">
        <f aca="false">IF(OR(AC887&lt;&gt;"Completed",AB887="Failed"),"Excluded","Included")</f>
        <v>Included</v>
      </c>
      <c r="AN887" s="3" t="str">
        <f aca="false">IF(OR(D887="Invalid/Unrecognized",E887="Invalid/Unrecognized",G887="Invalid - Ship Before Order",X887="Negative - Invalid",X887="Above Allowed Range - Invalid",AG887="Mismatch",AH887="Mismatch",AK887="Conflicting Duplicate - Flagged for Review"),"Invalid",IF(OR(L887="Filled - Unknown",S887="Filled - Unknown",X887="Missing - Defaulted to 0",AL887="Yes",AC887="Cancelled",AC887="Returned"),"Warning","Clean"))</f>
        <v>Clean</v>
      </c>
    </row>
    <row r="888" customFormat="false" ht="15" hidden="false" customHeight="false" outlineLevel="0" collapsed="false">
      <c r="A888" s="3" t="str">
        <f aca="false">raw_data!A888</f>
        <v>ORD-2025-10887</v>
      </c>
      <c r="B888" s="4" t="n">
        <f aca="false">IFERROR(IF(MID(raw_data!B888,3,1)="/",DATE(VALUE(RIGHT(raw_data!B888,4)),VALUE(LEFT(raw_data!B888,2)),VALUE(MID(raw_data!B888,4,2))),IF(MID(raw_data!B888,3,1)="-",DATE(VALUE(RIGHT(raw_data!B888,4)),VALUE(MID(raw_data!B888,4,2)),VALUE(LEFT(raw_data!B888,2))),IF(MID(raw_data!B888,5,1)="-",DATE(VALUE(LEFT(raw_data!B888,4)),VALUE(MID(raw_data!B888,6,2)),VALUE(RIGHT(raw_data!B888,2))),DATE(VALUE(RIGHT(raw_data!B888,4)),MATCH(MID(raw_data!B888,4,3),{"Jan","Feb","Mar","Apr","May","Jun","Jul","Aug","Sep","Oct","Nov","Dec"},0),VALUE(LEFT(raw_data!B888,2)))))),"")</f>
        <v>45773</v>
      </c>
      <c r="C888" s="4" t="n">
        <f aca="false">IFERROR(IF(MID(raw_data!C888,3,1)="/",DATE(VALUE(RIGHT(raw_data!C888,4)),VALUE(LEFT(raw_data!C888,2)),VALUE(MID(raw_data!C888,4,2))),IF(MID(raw_data!C888,3,1)="-",DATE(VALUE(RIGHT(raw_data!C888,4)),VALUE(MID(raw_data!C888,4,2)),VALUE(LEFT(raw_data!C888,2))),IF(MID(raw_data!C888,5,1)="-",DATE(VALUE(LEFT(raw_data!C888,4)),VALUE(MID(raw_data!C888,6,2)),VALUE(RIGHT(raw_data!C888,2))),DATE(VALUE(RIGHT(raw_data!C888,4)),MATCH(MID(raw_data!C888,4,3),{"Jan","Feb","Mar","Apr","May","Jun","Jul","Aug","Sep","Oct","Nov","Dec"},0),VALUE(LEFT(raw_data!C888,2)))))),"")</f>
        <v>45780</v>
      </c>
      <c r="D888" s="3" t="str">
        <f aca="false">IF(TRIM(raw_data!B888)="","Missing",IF(B888="","Invalid/Unrecognized","Valid"))</f>
        <v>Valid</v>
      </c>
      <c r="E888" s="3" t="str">
        <f aca="false">IF(TRIM(raw_data!C888)="","Missing",IF(C888="","Invalid/Unrecognized","Valid"))</f>
        <v>Valid</v>
      </c>
      <c r="F888" s="5" t="n">
        <f aca="false">IF(OR(B888="",C888=""),"",C888-B888)</f>
        <v>7</v>
      </c>
      <c r="G888" s="3" t="str">
        <f aca="false">IF(F888="","N/A",IF(F888&lt;0,"Invalid - Ship Before Order","OK"))</f>
        <v>OK</v>
      </c>
      <c r="H888" s="3" t="str">
        <f aca="false">raw_data!D888</f>
        <v>CUST-3549</v>
      </c>
      <c r="I888" s="3" t="str">
        <f aca="false">PROPER(TRIM(raw_data!E888))</f>
        <v>Arjun Bose</v>
      </c>
      <c r="J888" s="3" t="str">
        <f aca="false">PROPER(TRIM(raw_data!F888))</f>
        <v>Home Office</v>
      </c>
      <c r="K888" s="3" t="str">
        <f aca="false">IF(TRIM(raw_data!G888)="","Unknown",PROPER(TRIM(raw_data!G888)))</f>
        <v>South</v>
      </c>
      <c r="L888" s="3" t="str">
        <f aca="false">IF(TRIM(raw_data!G888)="","Filled - Unknown","OK")</f>
        <v>OK</v>
      </c>
      <c r="M888" s="3" t="str">
        <f aca="false">PROPER(TRIM(raw_data!H888))</f>
        <v>Tamil Nadu</v>
      </c>
      <c r="N888" s="3" t="str">
        <f aca="false">PROPER(TRIM(raw_data!I888))</f>
        <v>Chennai</v>
      </c>
      <c r="O888" s="3" t="str">
        <f aca="false">PROPER(TRIM(raw_data!J888))</f>
        <v>Technology</v>
      </c>
      <c r="P888" s="3" t="str">
        <f aca="false">PROPER(TRIM(raw_data!K888))</f>
        <v>Accessories</v>
      </c>
      <c r="Q888" s="3" t="str">
        <f aca="false">TRIM(raw_data!L888)</f>
        <v>Max Accessories 541</v>
      </c>
      <c r="R888" s="3" t="str">
        <f aca="false">IF(TRIM(raw_data!M888)="","Unknown",PROPER(TRIM(raw_data!M888)))</f>
        <v>First Class</v>
      </c>
      <c r="S888" s="3" t="str">
        <f aca="false">IF(TRIM(raw_data!M888)="","Filled - Unknown","OK")</f>
        <v>OK</v>
      </c>
      <c r="T888" s="6" t="n">
        <f aca="false">raw_data!N888</f>
        <v>7</v>
      </c>
      <c r="U888" s="7" t="n">
        <f aca="false">raw_data!O888</f>
        <v>3989.9</v>
      </c>
      <c r="V888" s="8" t="n">
        <f aca="false">raw_data!P888</f>
        <v>0.15</v>
      </c>
      <c r="W888" s="8" t="n">
        <f aca="false">IF(raw_data!P888="",0,IF(ISTEXT(raw_data!P888),IF(RIGHT(raw_data!P888,1)="%",VALUE(LEFT(raw_data!P888,LEN(raw_data!P888)-1))/100,VALUE(raw_data!P888)),raw_data!P888))</f>
        <v>0.15</v>
      </c>
      <c r="X888" s="3" t="str">
        <f aca="false">IF(raw_data!P888="","Missing - Defaulted to 0",IF(W888&lt;0,"Negative - Invalid",IF(W888&gt;0.3,"Above Allowed Range - Invalid","Valid")))</f>
        <v>Valid</v>
      </c>
      <c r="Y888" s="7" t="n">
        <f aca="false">raw_data!Q888</f>
        <v>23739.9</v>
      </c>
      <c r="Z888" s="7" t="n">
        <f aca="false">raw_data!R888</f>
        <v>17716.52</v>
      </c>
      <c r="AA888" s="7" t="n">
        <f aca="false">raw_data!S888</f>
        <v>6023.38</v>
      </c>
      <c r="AB888" s="3" t="str">
        <f aca="false">PROPER(TRIM(raw_data!T888))</f>
        <v>Paid</v>
      </c>
      <c r="AC888" s="3" t="str">
        <f aca="false">PROPER(TRIM(raw_data!U888))</f>
        <v>Cancelled</v>
      </c>
      <c r="AD888" s="7" t="n">
        <f aca="false">T888*U888*(1-W888)</f>
        <v>23739.905</v>
      </c>
      <c r="AE888" s="7" t="n">
        <f aca="false">AD888-Z888</f>
        <v>6023.385</v>
      </c>
      <c r="AF888" s="8" t="n">
        <f aca="false">IF(AD888=0,0,AE888/AD888)</f>
        <v>0.25372405660427</v>
      </c>
      <c r="AG888" s="3" t="str">
        <f aca="false">IF(ABS(Y888-AD888)&gt;1,"Mismatch","OK")</f>
        <v>OK</v>
      </c>
      <c r="AH888" s="3" t="str">
        <f aca="false">IF(ABS(AA888-AE888)&gt;1,"Mismatch","OK")</f>
        <v>OK</v>
      </c>
      <c r="AI888" s="6" t="n">
        <f aca="false">IF(B888="","",MONTH(B888))</f>
        <v>4</v>
      </c>
      <c r="AJ888" s="6" t="n">
        <f aca="false">IF(B888="","",YEAR(B888))</f>
        <v>2025</v>
      </c>
      <c r="AK888" s="3" t="str">
        <f aca="false">IF(COUNTIF(raw_data!$A$2:$A$913,A888)&gt;1,"Conflicting Duplicate - Flagged for Review","Unique")</f>
        <v>Unique</v>
      </c>
      <c r="AL888" s="3" t="str">
        <f aca="false">IF(AB888="Refunded","Yes","No")</f>
        <v>No</v>
      </c>
      <c r="AM888" s="3" t="str">
        <f aca="false">IF(OR(AC888&lt;&gt;"Completed",AB888="Failed"),"Excluded","Included")</f>
        <v>Excluded</v>
      </c>
      <c r="AN888" s="3" t="str">
        <f aca="false">IF(OR(D888="Invalid/Unrecognized",E888="Invalid/Unrecognized",G888="Invalid - Ship Before Order",X888="Negative - Invalid",X888="Above Allowed Range - Invalid",AG888="Mismatch",AH888="Mismatch",AK888="Conflicting Duplicate - Flagged for Review"),"Invalid",IF(OR(L888="Filled - Unknown",S888="Filled - Unknown",X888="Missing - Defaulted to 0",AL888="Yes",AC888="Cancelled",AC888="Returned"),"Warning","Clean"))</f>
        <v>Warning</v>
      </c>
    </row>
    <row r="889" customFormat="false" ht="15" hidden="false" customHeight="false" outlineLevel="0" collapsed="false">
      <c r="A889" s="3" t="str">
        <f aca="false">raw_data!A889</f>
        <v>ORD-2024-10888</v>
      </c>
      <c r="B889" s="4" t="n">
        <f aca="false">IFERROR(IF(MID(raw_data!B889,3,1)="/",DATE(VALUE(RIGHT(raw_data!B889,4)),VALUE(LEFT(raw_data!B889,2)),VALUE(MID(raw_data!B889,4,2))),IF(MID(raw_data!B889,3,1)="-",DATE(VALUE(RIGHT(raw_data!B889,4)),VALUE(MID(raw_data!B889,4,2)),VALUE(LEFT(raw_data!B889,2))),IF(MID(raw_data!B889,5,1)="-",DATE(VALUE(LEFT(raw_data!B889,4)),VALUE(MID(raw_data!B889,6,2)),VALUE(RIGHT(raw_data!B889,2))),DATE(VALUE(RIGHT(raw_data!B889,4)),MATCH(MID(raw_data!B889,4,3),{"Jan","Feb","Mar","Apr","May","Jun","Jul","Aug","Sep","Oct","Nov","Dec"},0),VALUE(LEFT(raw_data!B889,2)))))),"")</f>
        <v>45455</v>
      </c>
      <c r="C889" s="4" t="n">
        <f aca="false">IFERROR(IF(MID(raw_data!C889,3,1)="/",DATE(VALUE(RIGHT(raw_data!C889,4)),VALUE(LEFT(raw_data!C889,2)),VALUE(MID(raw_data!C889,4,2))),IF(MID(raw_data!C889,3,1)="-",DATE(VALUE(RIGHT(raw_data!C889,4)),VALUE(MID(raw_data!C889,4,2)),VALUE(LEFT(raw_data!C889,2))),IF(MID(raw_data!C889,5,1)="-",DATE(VALUE(LEFT(raw_data!C889,4)),VALUE(MID(raw_data!C889,6,2)),VALUE(RIGHT(raw_data!C889,2))),DATE(VALUE(RIGHT(raw_data!C889,4)),MATCH(MID(raw_data!C889,4,3),{"Jan","Feb","Mar","Apr","May","Jun","Jul","Aug","Sep","Oct","Nov","Dec"},0),VALUE(LEFT(raw_data!C889,2)))))),"")</f>
        <v>45461</v>
      </c>
      <c r="D889" s="3" t="str">
        <f aca="false">IF(TRIM(raw_data!B889)="","Missing",IF(B889="","Invalid/Unrecognized","Valid"))</f>
        <v>Valid</v>
      </c>
      <c r="E889" s="3" t="str">
        <f aca="false">IF(TRIM(raw_data!C889)="","Missing",IF(C889="","Invalid/Unrecognized","Valid"))</f>
        <v>Valid</v>
      </c>
      <c r="F889" s="5" t="n">
        <f aca="false">IF(OR(B889="",C889=""),"",C889-B889)</f>
        <v>6</v>
      </c>
      <c r="G889" s="3" t="str">
        <f aca="false">IF(F889="","N/A",IF(F889&lt;0,"Invalid - Ship Before Order","OK"))</f>
        <v>OK</v>
      </c>
      <c r="H889" s="3" t="str">
        <f aca="false">raw_data!D889</f>
        <v>CUST-2795</v>
      </c>
      <c r="I889" s="3" t="str">
        <f aca="false">PROPER(TRIM(raw_data!E889))</f>
        <v>Aarav Sharma</v>
      </c>
      <c r="J889" s="3" t="str">
        <f aca="false">PROPER(TRIM(raw_data!F889))</f>
        <v>Small Business</v>
      </c>
      <c r="K889" s="3" t="str">
        <f aca="false">IF(TRIM(raw_data!G889)="","Unknown",PROPER(TRIM(raw_data!G889)))</f>
        <v>South</v>
      </c>
      <c r="L889" s="3" t="str">
        <f aca="false">IF(TRIM(raw_data!G889)="","Filled - Unknown","OK")</f>
        <v>OK</v>
      </c>
      <c r="M889" s="3" t="str">
        <f aca="false">PROPER(TRIM(raw_data!H889))</f>
        <v>Andhra Pradesh</v>
      </c>
      <c r="N889" s="3" t="str">
        <f aca="false">PROPER(TRIM(raw_data!I889))</f>
        <v>Vijayawada</v>
      </c>
      <c r="O889" s="3" t="str">
        <f aca="false">PROPER(TRIM(raw_data!J889))</f>
        <v>Office Supplies</v>
      </c>
      <c r="P889" s="3" t="str">
        <f aca="false">PROPER(TRIM(raw_data!K889))</f>
        <v>Art</v>
      </c>
      <c r="Q889" s="3" t="str">
        <f aca="false">TRIM(raw_data!L889)</f>
        <v>Prime Art 596</v>
      </c>
      <c r="R889" s="3" t="str">
        <f aca="false">IF(TRIM(raw_data!M889)="","Unknown",PROPER(TRIM(raw_data!M889)))</f>
        <v>Standard Class</v>
      </c>
      <c r="S889" s="3" t="str">
        <f aca="false">IF(TRIM(raw_data!M889)="","Filled - Unknown","OK")</f>
        <v>OK</v>
      </c>
      <c r="T889" s="6" t="n">
        <f aca="false">raw_data!N889</f>
        <v>4</v>
      </c>
      <c r="U889" s="7" t="n">
        <f aca="false">raw_data!O889</f>
        <v>4176.13</v>
      </c>
      <c r="V889" s="8" t="n">
        <f aca="false">raw_data!P889</f>
        <v>0</v>
      </c>
      <c r="W889" s="8" t="n">
        <f aca="false">IF(raw_data!P889="",0,IF(ISTEXT(raw_data!P889),IF(RIGHT(raw_data!P889,1)="%",VALUE(LEFT(raw_data!P889,LEN(raw_data!P889)-1))/100,VALUE(raw_data!P889)),raw_data!P889))</f>
        <v>0</v>
      </c>
      <c r="X889" s="3" t="str">
        <f aca="false">IF(raw_data!P889="","Missing - Defaulted to 0",IF(W889&lt;0,"Negative - Invalid",IF(W889&gt;0.3,"Above Allowed Range - Invalid","Valid")))</f>
        <v>Valid</v>
      </c>
      <c r="Y889" s="7" t="n">
        <f aca="false">raw_data!Q889</f>
        <v>16704.52</v>
      </c>
      <c r="Z889" s="7" t="n">
        <f aca="false">raw_data!R889</f>
        <v>10158.28</v>
      </c>
      <c r="AA889" s="7" t="n">
        <f aca="false">raw_data!S889</f>
        <v>6546.24</v>
      </c>
      <c r="AB889" s="3" t="str">
        <f aca="false">PROPER(TRIM(raw_data!T889))</f>
        <v>Paid</v>
      </c>
      <c r="AC889" s="3" t="str">
        <f aca="false">PROPER(TRIM(raw_data!U889))</f>
        <v>Completed</v>
      </c>
      <c r="AD889" s="7" t="n">
        <f aca="false">T889*U889*(1-W889)</f>
        <v>16704.52</v>
      </c>
      <c r="AE889" s="7" t="n">
        <f aca="false">AD889-Z889</f>
        <v>6546.24</v>
      </c>
      <c r="AF889" s="8" t="n">
        <f aca="false">IF(AD889=0,0,AE889/AD889)</f>
        <v>0.391884352259149</v>
      </c>
      <c r="AG889" s="3" t="str">
        <f aca="false">IF(ABS(Y889-AD889)&gt;1,"Mismatch","OK")</f>
        <v>OK</v>
      </c>
      <c r="AH889" s="3" t="str">
        <f aca="false">IF(ABS(AA889-AE889)&gt;1,"Mismatch","OK")</f>
        <v>OK</v>
      </c>
      <c r="AI889" s="6" t="n">
        <f aca="false">IF(B889="","",MONTH(B889))</f>
        <v>6</v>
      </c>
      <c r="AJ889" s="6" t="n">
        <f aca="false">IF(B889="","",YEAR(B889))</f>
        <v>2024</v>
      </c>
      <c r="AK889" s="3" t="str">
        <f aca="false">IF(COUNTIF(raw_data!$A$2:$A$913,A889)&gt;1,"Conflicting Duplicate - Flagged for Review","Unique")</f>
        <v>Unique</v>
      </c>
      <c r="AL889" s="3" t="str">
        <f aca="false">IF(AB889="Refunded","Yes","No")</f>
        <v>No</v>
      </c>
      <c r="AM889" s="3" t="str">
        <f aca="false">IF(OR(AC889&lt;&gt;"Completed",AB889="Failed"),"Excluded","Included")</f>
        <v>Included</v>
      </c>
      <c r="AN889" s="3" t="str">
        <f aca="false">IF(OR(D889="Invalid/Unrecognized",E889="Invalid/Unrecognized",G889="Invalid - Ship Before Order",X889="Negative - Invalid",X889="Above Allowed Range - Invalid",AG889="Mismatch",AH889="Mismatch",AK889="Conflicting Duplicate - Flagged for Review"),"Invalid",IF(OR(L889="Filled - Unknown",S889="Filled - Unknown",X889="Missing - Defaulted to 0",AL889="Yes",AC889="Cancelled",AC889="Returned"),"Warning","Clean"))</f>
        <v>Clean</v>
      </c>
    </row>
    <row r="890" customFormat="false" ht="15" hidden="false" customHeight="false" outlineLevel="0" collapsed="false">
      <c r="A890" s="3" t="str">
        <f aca="false">raw_data!A890</f>
        <v>ORD-2025-10889</v>
      </c>
      <c r="B890" s="4" t="n">
        <f aca="false">IFERROR(IF(MID(raw_data!B890,3,1)="/",DATE(VALUE(RIGHT(raw_data!B890,4)),VALUE(LEFT(raw_data!B890,2)),VALUE(MID(raw_data!B890,4,2))),IF(MID(raw_data!B890,3,1)="-",DATE(VALUE(RIGHT(raw_data!B890,4)),VALUE(MID(raw_data!B890,4,2)),VALUE(LEFT(raw_data!B890,2))),IF(MID(raw_data!B890,5,1)="-",DATE(VALUE(LEFT(raw_data!B890,4)),VALUE(MID(raw_data!B890,6,2)),VALUE(RIGHT(raw_data!B890,2))),DATE(VALUE(RIGHT(raw_data!B890,4)),MATCH(MID(raw_data!B890,4,3),{"Jan","Feb","Mar","Apr","May","Jun","Jul","Aug","Sep","Oct","Nov","Dec"},0),VALUE(LEFT(raw_data!B890,2)))))),"")</f>
        <v>45875</v>
      </c>
      <c r="C890" s="4" t="n">
        <f aca="false">IFERROR(IF(MID(raw_data!C890,3,1)="/",DATE(VALUE(RIGHT(raw_data!C890,4)),VALUE(LEFT(raw_data!C890,2)),VALUE(MID(raw_data!C890,4,2))),IF(MID(raw_data!C890,3,1)="-",DATE(VALUE(RIGHT(raw_data!C890,4)),VALUE(MID(raw_data!C890,4,2)),VALUE(LEFT(raw_data!C890,2))),IF(MID(raw_data!C890,5,1)="-",DATE(VALUE(LEFT(raw_data!C890,4)),VALUE(MID(raw_data!C890,6,2)),VALUE(RIGHT(raw_data!C890,2))),DATE(VALUE(RIGHT(raw_data!C890,4)),MATCH(MID(raw_data!C890,4,3),{"Jan","Feb","Mar","Apr","May","Jun","Jul","Aug","Sep","Oct","Nov","Dec"},0),VALUE(LEFT(raw_data!C890,2)))))),"")</f>
        <v>45876</v>
      </c>
      <c r="D890" s="3" t="str">
        <f aca="false">IF(TRIM(raw_data!B890)="","Missing",IF(B890="","Invalid/Unrecognized","Valid"))</f>
        <v>Valid</v>
      </c>
      <c r="E890" s="3" t="str">
        <f aca="false">IF(TRIM(raw_data!C890)="","Missing",IF(C890="","Invalid/Unrecognized","Valid"))</f>
        <v>Valid</v>
      </c>
      <c r="F890" s="5" t="n">
        <f aca="false">IF(OR(B890="",C890=""),"",C890-B890)</f>
        <v>1</v>
      </c>
      <c r="G890" s="3" t="str">
        <f aca="false">IF(F890="","N/A",IF(F890&lt;0,"Invalid - Ship Before Order","OK"))</f>
        <v>OK</v>
      </c>
      <c r="H890" s="3" t="str">
        <f aca="false">raw_data!D890</f>
        <v>CUST-1081</v>
      </c>
      <c r="I890" s="3" t="str">
        <f aca="false">PROPER(TRIM(raw_data!E890))</f>
        <v>Rahul Verma</v>
      </c>
      <c r="J890" s="3" t="str">
        <f aca="false">PROPER(TRIM(raw_data!F890))</f>
        <v>Small Business</v>
      </c>
      <c r="K890" s="3" t="str">
        <f aca="false">IF(TRIM(raw_data!G890)="","Unknown",PROPER(TRIM(raw_data!G890)))</f>
        <v>West</v>
      </c>
      <c r="L890" s="3" t="str">
        <f aca="false">IF(TRIM(raw_data!G890)="","Filled - Unknown","OK")</f>
        <v>OK</v>
      </c>
      <c r="M890" s="3" t="str">
        <f aca="false">PROPER(TRIM(raw_data!H890))</f>
        <v>Maharashtra</v>
      </c>
      <c r="N890" s="3" t="str">
        <f aca="false">PROPER(TRIM(raw_data!I890))</f>
        <v>Mumbai</v>
      </c>
      <c r="O890" s="3" t="str">
        <f aca="false">PROPER(TRIM(raw_data!J890))</f>
        <v>Office Supplies</v>
      </c>
      <c r="P890" s="3" t="str">
        <f aca="false">PROPER(TRIM(raw_data!K890))</f>
        <v>Art</v>
      </c>
      <c r="Q890" s="3" t="str">
        <f aca="false">TRIM(raw_data!L890)</f>
        <v>Pro Art 620</v>
      </c>
      <c r="R890" s="3" t="str">
        <f aca="false">IF(TRIM(raw_data!M890)="","Unknown",PROPER(TRIM(raw_data!M890)))</f>
        <v>Standard Class</v>
      </c>
      <c r="S890" s="3" t="str">
        <f aca="false">IF(TRIM(raw_data!M890)="","Filled - Unknown","OK")</f>
        <v>OK</v>
      </c>
      <c r="T890" s="6" t="n">
        <f aca="false">raw_data!N890</f>
        <v>4</v>
      </c>
      <c r="U890" s="7" t="n">
        <f aca="false">raw_data!O890</f>
        <v>3523.64</v>
      </c>
      <c r="V890" s="8" t="n">
        <f aca="false">raw_data!P890</f>
        <v>0.1</v>
      </c>
      <c r="W890" s="8" t="n">
        <f aca="false">IF(raw_data!P890="",0,IF(ISTEXT(raw_data!P890),IF(RIGHT(raw_data!P890,1)="%",VALUE(LEFT(raw_data!P890,LEN(raw_data!P890)-1))/100,VALUE(raw_data!P890)),raw_data!P890))</f>
        <v>0.1</v>
      </c>
      <c r="X890" s="3" t="str">
        <f aca="false">IF(raw_data!P890="","Missing - Defaulted to 0",IF(W890&lt;0,"Negative - Invalid",IF(W890&gt;0.3,"Above Allowed Range - Invalid","Valid")))</f>
        <v>Valid</v>
      </c>
      <c r="Y890" s="7" t="n">
        <f aca="false">raw_data!Q890</f>
        <v>12685.1</v>
      </c>
      <c r="Z890" s="7" t="n">
        <f aca="false">raw_data!R890</f>
        <v>10779.56</v>
      </c>
      <c r="AA890" s="7" t="n">
        <f aca="false">raw_data!S890</f>
        <v>1905.54</v>
      </c>
      <c r="AB890" s="3" t="str">
        <f aca="false">PROPER(TRIM(raw_data!T890))</f>
        <v>Refunded</v>
      </c>
      <c r="AC890" s="3" t="str">
        <f aca="false">PROPER(TRIM(raw_data!U890))</f>
        <v>Cancelled</v>
      </c>
      <c r="AD890" s="7" t="n">
        <f aca="false">T890*U890*(1-W890)</f>
        <v>12685.104</v>
      </c>
      <c r="AE890" s="7" t="n">
        <f aca="false">AD890-Z890</f>
        <v>1905.544</v>
      </c>
      <c r="AF890" s="8" t="n">
        <f aca="false">IF(AD890=0,0,AE890/AD890)</f>
        <v>0.150219028555067</v>
      </c>
      <c r="AG890" s="3" t="str">
        <f aca="false">IF(ABS(Y890-AD890)&gt;1,"Mismatch","OK")</f>
        <v>OK</v>
      </c>
      <c r="AH890" s="3" t="str">
        <f aca="false">IF(ABS(AA890-AE890)&gt;1,"Mismatch","OK")</f>
        <v>OK</v>
      </c>
      <c r="AI890" s="6" t="n">
        <f aca="false">IF(B890="","",MONTH(B890))</f>
        <v>8</v>
      </c>
      <c r="AJ890" s="6" t="n">
        <f aca="false">IF(B890="","",YEAR(B890))</f>
        <v>2025</v>
      </c>
      <c r="AK890" s="3" t="str">
        <f aca="false">IF(COUNTIF(raw_data!$A$2:$A$913,A890)&gt;1,"Conflicting Duplicate - Flagged for Review","Unique")</f>
        <v>Unique</v>
      </c>
      <c r="AL890" s="3" t="str">
        <f aca="false">IF(AB890="Refunded","Yes","No")</f>
        <v>Yes</v>
      </c>
      <c r="AM890" s="3" t="str">
        <f aca="false">IF(OR(AC890&lt;&gt;"Completed",AB890="Failed"),"Excluded","Included")</f>
        <v>Excluded</v>
      </c>
      <c r="AN890" s="3" t="str">
        <f aca="false">IF(OR(D890="Invalid/Unrecognized",E890="Invalid/Unrecognized",G890="Invalid - Ship Before Order",X890="Negative - Invalid",X890="Above Allowed Range - Invalid",AG890="Mismatch",AH890="Mismatch",AK890="Conflicting Duplicate - Flagged for Review"),"Invalid",IF(OR(L890="Filled - Unknown",S890="Filled - Unknown",X890="Missing - Defaulted to 0",AL890="Yes",AC890="Cancelled",AC890="Returned"),"Warning","Clean"))</f>
        <v>Warning</v>
      </c>
    </row>
    <row r="891" customFormat="false" ht="15" hidden="false" customHeight="false" outlineLevel="0" collapsed="false">
      <c r="A891" s="3" t="str">
        <f aca="false">raw_data!A891</f>
        <v>ORD-2025-10890</v>
      </c>
      <c r="B891" s="4" t="n">
        <f aca="false">IFERROR(IF(MID(raw_data!B891,3,1)="/",DATE(VALUE(RIGHT(raw_data!B891,4)),VALUE(LEFT(raw_data!B891,2)),VALUE(MID(raw_data!B891,4,2))),IF(MID(raw_data!B891,3,1)="-",DATE(VALUE(RIGHT(raw_data!B891,4)),VALUE(MID(raw_data!B891,4,2)),VALUE(LEFT(raw_data!B891,2))),IF(MID(raw_data!B891,5,1)="-",DATE(VALUE(LEFT(raw_data!B891,4)),VALUE(MID(raw_data!B891,6,2)),VALUE(RIGHT(raw_data!B891,2))),DATE(VALUE(RIGHT(raw_data!B891,4)),MATCH(MID(raw_data!B891,4,3),{"Jan","Feb","Mar","Apr","May","Jun","Jul","Aug","Sep","Oct","Nov","Dec"},0),VALUE(LEFT(raw_data!B891,2)))))),"")</f>
        <v>45726</v>
      </c>
      <c r="C891" s="4" t="n">
        <f aca="false">IFERROR(IF(MID(raw_data!C891,3,1)="/",DATE(VALUE(RIGHT(raw_data!C891,4)),VALUE(LEFT(raw_data!C891,2)),VALUE(MID(raw_data!C891,4,2))),IF(MID(raw_data!C891,3,1)="-",DATE(VALUE(RIGHT(raw_data!C891,4)),VALUE(MID(raw_data!C891,4,2)),VALUE(LEFT(raw_data!C891,2))),IF(MID(raw_data!C891,5,1)="-",DATE(VALUE(LEFT(raw_data!C891,4)),VALUE(MID(raw_data!C891,6,2)),VALUE(RIGHT(raw_data!C891,2))),DATE(VALUE(RIGHT(raw_data!C891,4)),MATCH(MID(raw_data!C891,4,3),{"Jan","Feb","Mar","Apr","May","Jun","Jul","Aug","Sep","Oct","Nov","Dec"},0),VALUE(LEFT(raw_data!C891,2)))))),"")</f>
        <v>45727</v>
      </c>
      <c r="D891" s="3" t="str">
        <f aca="false">IF(TRIM(raw_data!B891)="","Missing",IF(B891="","Invalid/Unrecognized","Valid"))</f>
        <v>Valid</v>
      </c>
      <c r="E891" s="3" t="str">
        <f aca="false">IF(TRIM(raw_data!C891)="","Missing",IF(C891="","Invalid/Unrecognized","Valid"))</f>
        <v>Valid</v>
      </c>
      <c r="F891" s="5" t="n">
        <f aca="false">IF(OR(B891="",C891=""),"",C891-B891)</f>
        <v>1</v>
      </c>
      <c r="G891" s="3" t="str">
        <f aca="false">IF(F891="","N/A",IF(F891&lt;0,"Invalid - Ship Before Order","OK"))</f>
        <v>OK</v>
      </c>
      <c r="H891" s="3" t="str">
        <f aca="false">raw_data!D891</f>
        <v>CUST-8467</v>
      </c>
      <c r="I891" s="3" t="str">
        <f aca="false">PROPER(TRIM(raw_data!E891))</f>
        <v>Aditi Sen</v>
      </c>
      <c r="J891" s="3" t="str">
        <f aca="false">PROPER(TRIM(raw_data!F891))</f>
        <v>Home Office</v>
      </c>
      <c r="K891" s="3" t="str">
        <f aca="false">IF(TRIM(raw_data!G891)="","Unknown",PROPER(TRIM(raw_data!G891)))</f>
        <v>West</v>
      </c>
      <c r="L891" s="3" t="str">
        <f aca="false">IF(TRIM(raw_data!G891)="","Filled - Unknown","OK")</f>
        <v>OK</v>
      </c>
      <c r="M891" s="3" t="str">
        <f aca="false">PROPER(TRIM(raw_data!H891))</f>
        <v>Madhya Pradesh</v>
      </c>
      <c r="N891" s="3" t="str">
        <f aca="false">PROPER(TRIM(raw_data!I891))</f>
        <v>Indore</v>
      </c>
      <c r="O891" s="3" t="str">
        <f aca="false">PROPER(TRIM(raw_data!J891))</f>
        <v>Office Supplies</v>
      </c>
      <c r="P891" s="3" t="str">
        <f aca="false">PROPER(TRIM(raw_data!K891))</f>
        <v>Storage</v>
      </c>
      <c r="Q891" s="3" t="str">
        <f aca="false">TRIM(raw_data!L891)</f>
        <v>Prime Storage 806</v>
      </c>
      <c r="R891" s="3" t="str">
        <f aca="false">IF(TRIM(raw_data!M891)="","Unknown",PROPER(TRIM(raw_data!M891)))</f>
        <v>First Class</v>
      </c>
      <c r="S891" s="3" t="str">
        <f aca="false">IF(TRIM(raw_data!M891)="","Filled - Unknown","OK")</f>
        <v>OK</v>
      </c>
      <c r="T891" s="6" t="n">
        <f aca="false">raw_data!N891</f>
        <v>2</v>
      </c>
      <c r="U891" s="7" t="n">
        <f aca="false">raw_data!O891</f>
        <v>3922.08</v>
      </c>
      <c r="V891" s="8" t="n">
        <f aca="false">raw_data!P891</f>
        <v>0.25</v>
      </c>
      <c r="W891" s="8" t="n">
        <f aca="false">IF(raw_data!P891="",0,IF(ISTEXT(raw_data!P891),IF(RIGHT(raw_data!P891,1)="%",VALUE(LEFT(raw_data!P891,LEN(raw_data!P891)-1))/100,VALUE(raw_data!P891)),raw_data!P891))</f>
        <v>0.25</v>
      </c>
      <c r="X891" s="3" t="str">
        <f aca="false">IF(raw_data!P891="","Missing - Defaulted to 0",IF(W891&lt;0,"Negative - Invalid",IF(W891&gt;0.3,"Above Allowed Range - Invalid","Valid")))</f>
        <v>Valid</v>
      </c>
      <c r="Y891" s="7" t="n">
        <f aca="false">raw_data!Q891</f>
        <v>5883.12</v>
      </c>
      <c r="Z891" s="7" t="n">
        <f aca="false">raw_data!R891</f>
        <v>4647.91</v>
      </c>
      <c r="AA891" s="7" t="n">
        <f aca="false">raw_data!S891</f>
        <v>1235.21</v>
      </c>
      <c r="AB891" s="3" t="str">
        <f aca="false">PROPER(TRIM(raw_data!T891))</f>
        <v>Paid</v>
      </c>
      <c r="AC891" s="3" t="str">
        <f aca="false">PROPER(TRIM(raw_data!U891))</f>
        <v>Returned</v>
      </c>
      <c r="AD891" s="7" t="n">
        <f aca="false">T891*U891*(1-W891)</f>
        <v>5883.12</v>
      </c>
      <c r="AE891" s="7" t="n">
        <f aca="false">AD891-Z891</f>
        <v>1235.21</v>
      </c>
      <c r="AF891" s="8" t="n">
        <f aca="false">IF(AD891=0,0,AE891/AD891)</f>
        <v>0.209958321434885</v>
      </c>
      <c r="AG891" s="3" t="str">
        <f aca="false">IF(ABS(Y891-AD891)&gt;1,"Mismatch","OK")</f>
        <v>OK</v>
      </c>
      <c r="AH891" s="3" t="str">
        <f aca="false">IF(ABS(AA891-AE891)&gt;1,"Mismatch","OK")</f>
        <v>OK</v>
      </c>
      <c r="AI891" s="6" t="n">
        <f aca="false">IF(B891="","",MONTH(B891))</f>
        <v>3</v>
      </c>
      <c r="AJ891" s="6" t="n">
        <f aca="false">IF(B891="","",YEAR(B891))</f>
        <v>2025</v>
      </c>
      <c r="AK891" s="3" t="str">
        <f aca="false">IF(COUNTIF(raw_data!$A$2:$A$913,A891)&gt;1,"Conflicting Duplicate - Flagged for Review","Unique")</f>
        <v>Unique</v>
      </c>
      <c r="AL891" s="3" t="str">
        <f aca="false">IF(AB891="Refunded","Yes","No")</f>
        <v>No</v>
      </c>
      <c r="AM891" s="3" t="str">
        <f aca="false">IF(OR(AC891&lt;&gt;"Completed",AB891="Failed"),"Excluded","Included")</f>
        <v>Excluded</v>
      </c>
      <c r="AN891" s="3" t="str">
        <f aca="false">IF(OR(D891="Invalid/Unrecognized",E891="Invalid/Unrecognized",G891="Invalid - Ship Before Order",X891="Negative - Invalid",X891="Above Allowed Range - Invalid",AG891="Mismatch",AH891="Mismatch",AK891="Conflicting Duplicate - Flagged for Review"),"Invalid",IF(OR(L891="Filled - Unknown",S891="Filled - Unknown",X891="Missing - Defaulted to 0",AL891="Yes",AC891="Cancelled",AC891="Returned"),"Warning","Clean"))</f>
        <v>Warning</v>
      </c>
    </row>
    <row r="892" customFormat="false" ht="15" hidden="false" customHeight="false" outlineLevel="0" collapsed="false">
      <c r="A892" s="3" t="str">
        <f aca="false">raw_data!A892</f>
        <v>ORD-2024-10891</v>
      </c>
      <c r="B892" s="4" t="n">
        <f aca="false">IFERROR(IF(MID(raw_data!B892,3,1)="/",DATE(VALUE(RIGHT(raw_data!B892,4)),VALUE(LEFT(raw_data!B892,2)),VALUE(MID(raw_data!B892,4,2))),IF(MID(raw_data!B892,3,1)="-",DATE(VALUE(RIGHT(raw_data!B892,4)),VALUE(MID(raw_data!B892,4,2)),VALUE(LEFT(raw_data!B892,2))),IF(MID(raw_data!B892,5,1)="-",DATE(VALUE(LEFT(raw_data!B892,4)),VALUE(MID(raw_data!B892,6,2)),VALUE(RIGHT(raw_data!B892,2))),DATE(VALUE(RIGHT(raw_data!B892,4)),MATCH(MID(raw_data!B892,4,3),{"Jan","Feb","Mar","Apr","May","Jun","Jul","Aug","Sep","Oct","Nov","Dec"},0),VALUE(LEFT(raw_data!B892,2)))))),"")</f>
        <v>45427</v>
      </c>
      <c r="C892" s="4" t="n">
        <f aca="false">IFERROR(IF(MID(raw_data!C892,3,1)="/",DATE(VALUE(RIGHT(raw_data!C892,4)),VALUE(LEFT(raw_data!C892,2)),VALUE(MID(raw_data!C892,4,2))),IF(MID(raw_data!C892,3,1)="-",DATE(VALUE(RIGHT(raw_data!C892,4)),VALUE(MID(raw_data!C892,4,2)),VALUE(LEFT(raw_data!C892,2))),IF(MID(raw_data!C892,5,1)="-",DATE(VALUE(LEFT(raw_data!C892,4)),VALUE(MID(raw_data!C892,6,2)),VALUE(RIGHT(raw_data!C892,2))),DATE(VALUE(RIGHT(raw_data!C892,4)),MATCH(MID(raw_data!C892,4,3),{"Jan","Feb","Mar","Apr","May","Jun","Jul","Aug","Sep","Oct","Nov","Dec"},0),VALUE(LEFT(raw_data!C892,2)))))),"")</f>
        <v>45433</v>
      </c>
      <c r="D892" s="3" t="str">
        <f aca="false">IF(TRIM(raw_data!B892)="","Missing",IF(B892="","Invalid/Unrecognized","Valid"))</f>
        <v>Valid</v>
      </c>
      <c r="E892" s="3" t="str">
        <f aca="false">IF(TRIM(raw_data!C892)="","Missing",IF(C892="","Invalid/Unrecognized","Valid"))</f>
        <v>Valid</v>
      </c>
      <c r="F892" s="5" t="n">
        <f aca="false">IF(OR(B892="",C892=""),"",C892-B892)</f>
        <v>6</v>
      </c>
      <c r="G892" s="3" t="str">
        <f aca="false">IF(F892="","N/A",IF(F892&lt;0,"Invalid - Ship Before Order","OK"))</f>
        <v>OK</v>
      </c>
      <c r="H892" s="3" t="str">
        <f aca="false">raw_data!D892</f>
        <v>CUST-3992</v>
      </c>
      <c r="I892" s="3" t="str">
        <f aca="false">PROPER(TRIM(raw_data!E892))</f>
        <v>Karan Malhotra</v>
      </c>
      <c r="J892" s="3" t="str">
        <f aca="false">PROPER(TRIM(raw_data!F892))</f>
        <v>Consumer</v>
      </c>
      <c r="K892" s="3" t="str">
        <f aca="false">IF(TRIM(raw_data!G892)="","Unknown",PROPER(TRIM(raw_data!G892)))</f>
        <v>West</v>
      </c>
      <c r="L892" s="3" t="str">
        <f aca="false">IF(TRIM(raw_data!G892)="","Filled - Unknown","OK")</f>
        <v>OK</v>
      </c>
      <c r="M892" s="3" t="str">
        <f aca="false">PROPER(TRIM(raw_data!H892))</f>
        <v>Goa</v>
      </c>
      <c r="N892" s="3" t="str">
        <f aca="false">PROPER(TRIM(raw_data!I892))</f>
        <v>Panaji</v>
      </c>
      <c r="O892" s="3" t="str">
        <f aca="false">PROPER(TRIM(raw_data!J892))</f>
        <v>Office Supplies</v>
      </c>
      <c r="P892" s="3" t="str">
        <f aca="false">PROPER(TRIM(raw_data!K892))</f>
        <v>Storage</v>
      </c>
      <c r="Q892" s="3" t="str">
        <f aca="false">TRIM(raw_data!L892)</f>
        <v>Smart Storage 288</v>
      </c>
      <c r="R892" s="3" t="str">
        <f aca="false">IF(TRIM(raw_data!M892)="","Unknown",PROPER(TRIM(raw_data!M892)))</f>
        <v>Standard Class</v>
      </c>
      <c r="S892" s="3" t="str">
        <f aca="false">IF(TRIM(raw_data!M892)="","Filled - Unknown","OK")</f>
        <v>OK</v>
      </c>
      <c r="T892" s="6" t="n">
        <f aca="false">raw_data!N892</f>
        <v>6</v>
      </c>
      <c r="U892" s="7" t="n">
        <f aca="false">raw_data!O892</f>
        <v>2909.56</v>
      </c>
      <c r="V892" s="8" t="n">
        <f aca="false">raw_data!P892</f>
        <v>0.2</v>
      </c>
      <c r="W892" s="8" t="n">
        <f aca="false">IF(raw_data!P892="",0,IF(ISTEXT(raw_data!P892),IF(RIGHT(raw_data!P892,1)="%",VALUE(LEFT(raw_data!P892,LEN(raw_data!P892)-1))/100,VALUE(raw_data!P892)),raw_data!P892))</f>
        <v>0.2</v>
      </c>
      <c r="X892" s="3" t="str">
        <f aca="false">IF(raw_data!P892="","Missing - Defaulted to 0",IF(W892&lt;0,"Negative - Invalid",IF(W892&gt;0.3,"Above Allowed Range - Invalid","Valid")))</f>
        <v>Valid</v>
      </c>
      <c r="Y892" s="7" t="n">
        <f aca="false">raw_data!Q892</f>
        <v>13965.89</v>
      </c>
      <c r="Z892" s="7" t="n">
        <f aca="false">raw_data!R892</f>
        <v>11646.12</v>
      </c>
      <c r="AA892" s="7" t="n">
        <f aca="false">raw_data!S892</f>
        <v>2319.77</v>
      </c>
      <c r="AB892" s="3" t="str">
        <f aca="false">PROPER(TRIM(raw_data!T892))</f>
        <v>Paid</v>
      </c>
      <c r="AC892" s="3" t="str">
        <f aca="false">PROPER(TRIM(raw_data!U892))</f>
        <v>Completed</v>
      </c>
      <c r="AD892" s="7" t="n">
        <f aca="false">T892*U892*(1-W892)</f>
        <v>13965.888</v>
      </c>
      <c r="AE892" s="7" t="n">
        <f aca="false">AD892-Z892</f>
        <v>2319.768</v>
      </c>
      <c r="AF892" s="8" t="n">
        <f aca="false">IF(AD892=0,0,AE892/AD892)</f>
        <v>0.166102434732399</v>
      </c>
      <c r="AG892" s="3" t="str">
        <f aca="false">IF(ABS(Y892-AD892)&gt;1,"Mismatch","OK")</f>
        <v>OK</v>
      </c>
      <c r="AH892" s="3" t="str">
        <f aca="false">IF(ABS(AA892-AE892)&gt;1,"Mismatch","OK")</f>
        <v>OK</v>
      </c>
      <c r="AI892" s="6" t="n">
        <f aca="false">IF(B892="","",MONTH(B892))</f>
        <v>5</v>
      </c>
      <c r="AJ892" s="6" t="n">
        <f aca="false">IF(B892="","",YEAR(B892))</f>
        <v>2024</v>
      </c>
      <c r="AK892" s="3" t="str">
        <f aca="false">IF(COUNTIF(raw_data!$A$2:$A$913,A892)&gt;1,"Conflicting Duplicate - Flagged for Review","Unique")</f>
        <v>Unique</v>
      </c>
      <c r="AL892" s="3" t="str">
        <f aca="false">IF(AB892="Refunded","Yes","No")</f>
        <v>No</v>
      </c>
      <c r="AM892" s="3" t="str">
        <f aca="false">IF(OR(AC892&lt;&gt;"Completed",AB892="Failed"),"Excluded","Included")</f>
        <v>Included</v>
      </c>
      <c r="AN892" s="3" t="str">
        <f aca="false">IF(OR(D892="Invalid/Unrecognized",E892="Invalid/Unrecognized",G892="Invalid - Ship Before Order",X892="Negative - Invalid",X892="Above Allowed Range - Invalid",AG892="Mismatch",AH892="Mismatch",AK892="Conflicting Duplicate - Flagged for Review"),"Invalid",IF(OR(L892="Filled - Unknown",S892="Filled - Unknown",X892="Missing - Defaulted to 0",AL892="Yes",AC892="Cancelled",AC892="Returned"),"Warning","Clean"))</f>
        <v>Clean</v>
      </c>
    </row>
    <row r="893" customFormat="false" ht="15" hidden="false" customHeight="false" outlineLevel="0" collapsed="false">
      <c r="A893" s="3" t="str">
        <f aca="false">raw_data!A893</f>
        <v>ORD-2024-10892</v>
      </c>
      <c r="B893" s="4" t="n">
        <f aca="false">IFERROR(IF(MID(raw_data!B893,3,1)="/",DATE(VALUE(RIGHT(raw_data!B893,4)),VALUE(LEFT(raw_data!B893,2)),VALUE(MID(raw_data!B893,4,2))),IF(MID(raw_data!B893,3,1)="-",DATE(VALUE(RIGHT(raw_data!B893,4)),VALUE(MID(raw_data!B893,4,2)),VALUE(LEFT(raw_data!B893,2))),IF(MID(raw_data!B893,5,1)="-",DATE(VALUE(LEFT(raw_data!B893,4)),VALUE(MID(raw_data!B893,6,2)),VALUE(RIGHT(raw_data!B893,2))),DATE(VALUE(RIGHT(raw_data!B893,4)),MATCH(MID(raw_data!B893,4,3),{"Jan","Feb","Mar","Apr","May","Jun","Jul","Aug","Sep","Oct","Nov","Dec"},0),VALUE(LEFT(raw_data!B893,2)))))),"")</f>
        <v>45573</v>
      </c>
      <c r="C893" s="4" t="n">
        <f aca="false">IFERROR(IF(MID(raw_data!C893,3,1)="/",DATE(VALUE(RIGHT(raw_data!C893,4)),VALUE(LEFT(raw_data!C893,2)),VALUE(MID(raw_data!C893,4,2))),IF(MID(raw_data!C893,3,1)="-",DATE(VALUE(RIGHT(raw_data!C893,4)),VALUE(MID(raw_data!C893,4,2)),VALUE(LEFT(raw_data!C893,2))),IF(MID(raw_data!C893,5,1)="-",DATE(VALUE(LEFT(raw_data!C893,4)),VALUE(MID(raw_data!C893,6,2)),VALUE(RIGHT(raw_data!C893,2))),DATE(VALUE(RIGHT(raw_data!C893,4)),MATCH(MID(raw_data!C893,4,3),{"Jan","Feb","Mar","Apr","May","Jun","Jul","Aug","Sep","Oct","Nov","Dec"},0),VALUE(LEFT(raw_data!C893,2)))))),"")</f>
        <v>45574</v>
      </c>
      <c r="D893" s="3" t="str">
        <f aca="false">IF(TRIM(raw_data!B893)="","Missing",IF(B893="","Invalid/Unrecognized","Valid"))</f>
        <v>Valid</v>
      </c>
      <c r="E893" s="3" t="str">
        <f aca="false">IF(TRIM(raw_data!C893)="","Missing",IF(C893="","Invalid/Unrecognized","Valid"))</f>
        <v>Valid</v>
      </c>
      <c r="F893" s="5" t="n">
        <f aca="false">IF(OR(B893="",C893=""),"",C893-B893)</f>
        <v>1</v>
      </c>
      <c r="G893" s="3" t="str">
        <f aca="false">IF(F893="","N/A",IF(F893&lt;0,"Invalid - Ship Before Order","OK"))</f>
        <v>OK</v>
      </c>
      <c r="H893" s="3" t="str">
        <f aca="false">raw_data!D893</f>
        <v>CUST-6647</v>
      </c>
      <c r="I893" s="3" t="str">
        <f aca="false">PROPER(TRIM(raw_data!E893))</f>
        <v>Kabir Singh</v>
      </c>
      <c r="J893" s="3" t="str">
        <f aca="false">PROPER(TRIM(raw_data!F893))</f>
        <v>Corporate</v>
      </c>
      <c r="K893" s="3" t="str">
        <f aca="false">IF(TRIM(raw_data!G893)="","Unknown",PROPER(TRIM(raw_data!G893)))</f>
        <v>South</v>
      </c>
      <c r="L893" s="3" t="str">
        <f aca="false">IF(TRIM(raw_data!G893)="","Filled - Unknown","OK")</f>
        <v>OK</v>
      </c>
      <c r="M893" s="3" t="str">
        <f aca="false">PROPER(TRIM(raw_data!H893))</f>
        <v>Tamil Nadu</v>
      </c>
      <c r="N893" s="3" t="str">
        <f aca="false">PROPER(TRIM(raw_data!I893))</f>
        <v>Chennai</v>
      </c>
      <c r="O893" s="3" t="str">
        <f aca="false">PROPER(TRIM(raw_data!J893))</f>
        <v>Technology</v>
      </c>
      <c r="P893" s="3" t="str">
        <f aca="false">PROPER(TRIM(raw_data!K893))</f>
        <v>Machines</v>
      </c>
      <c r="Q893" s="3" t="str">
        <f aca="false">TRIM(raw_data!L893)</f>
        <v>Elite Machines 281</v>
      </c>
      <c r="R893" s="3" t="str">
        <f aca="false">IF(TRIM(raw_data!M893)="","Unknown",PROPER(TRIM(raw_data!M893)))</f>
        <v>Same Day</v>
      </c>
      <c r="S893" s="3" t="str">
        <f aca="false">IF(TRIM(raw_data!M893)="","Filled - Unknown","OK")</f>
        <v>OK</v>
      </c>
      <c r="T893" s="6" t="n">
        <f aca="false">raw_data!N893</f>
        <v>5</v>
      </c>
      <c r="U893" s="7" t="n">
        <f aca="false">raw_data!O893</f>
        <v>2407.97</v>
      </c>
      <c r="V893" s="8" t="n">
        <f aca="false">raw_data!P893</f>
        <v>0.1</v>
      </c>
      <c r="W893" s="8" t="n">
        <f aca="false">IF(raw_data!P893="",0,IF(ISTEXT(raw_data!P893),IF(RIGHT(raw_data!P893,1)="%",VALUE(LEFT(raw_data!P893,LEN(raw_data!P893)-1))/100,VALUE(raw_data!P893)),raw_data!P893))</f>
        <v>0.1</v>
      </c>
      <c r="X893" s="3" t="str">
        <f aca="false">IF(raw_data!P893="","Missing - Defaulted to 0",IF(W893&lt;0,"Negative - Invalid",IF(W893&gt;0.3,"Above Allowed Range - Invalid","Valid")))</f>
        <v>Valid</v>
      </c>
      <c r="Y893" s="7" t="n">
        <f aca="false">raw_data!Q893</f>
        <v>10835.86</v>
      </c>
      <c r="Z893" s="7" t="n">
        <f aca="false">raw_data!R893</f>
        <v>6419.92</v>
      </c>
      <c r="AA893" s="7" t="n">
        <f aca="false">raw_data!S893</f>
        <v>4415.94</v>
      </c>
      <c r="AB893" s="3" t="str">
        <f aca="false">PROPER(TRIM(raw_data!T893))</f>
        <v>Failed</v>
      </c>
      <c r="AC893" s="3" t="str">
        <f aca="false">PROPER(TRIM(raw_data!U893))</f>
        <v>Cancelled</v>
      </c>
      <c r="AD893" s="7" t="n">
        <f aca="false">T893*U893*(1-W893)</f>
        <v>10835.865</v>
      </c>
      <c r="AE893" s="7" t="n">
        <f aca="false">AD893-Z893</f>
        <v>4415.945</v>
      </c>
      <c r="AF893" s="8" t="n">
        <f aca="false">IF(AD893=0,0,AE893/AD893)</f>
        <v>0.407530455575074</v>
      </c>
      <c r="AG893" s="3" t="str">
        <f aca="false">IF(ABS(Y893-AD893)&gt;1,"Mismatch","OK")</f>
        <v>OK</v>
      </c>
      <c r="AH893" s="3" t="str">
        <f aca="false">IF(ABS(AA893-AE893)&gt;1,"Mismatch","OK")</f>
        <v>OK</v>
      </c>
      <c r="AI893" s="6" t="n">
        <f aca="false">IF(B893="","",MONTH(B893))</f>
        <v>10</v>
      </c>
      <c r="AJ893" s="6" t="n">
        <f aca="false">IF(B893="","",YEAR(B893))</f>
        <v>2024</v>
      </c>
      <c r="AK893" s="3" t="str">
        <f aca="false">IF(COUNTIF(raw_data!$A$2:$A$913,A893)&gt;1,"Conflicting Duplicate - Flagged for Review","Unique")</f>
        <v>Unique</v>
      </c>
      <c r="AL893" s="3" t="str">
        <f aca="false">IF(AB893="Refunded","Yes","No")</f>
        <v>No</v>
      </c>
      <c r="AM893" s="3" t="str">
        <f aca="false">IF(OR(AC893&lt;&gt;"Completed",AB893="Failed"),"Excluded","Included")</f>
        <v>Excluded</v>
      </c>
      <c r="AN893" s="3" t="str">
        <f aca="false">IF(OR(D893="Invalid/Unrecognized",E893="Invalid/Unrecognized",G893="Invalid - Ship Before Order",X893="Negative - Invalid",X893="Above Allowed Range - Invalid",AG893="Mismatch",AH893="Mismatch",AK893="Conflicting Duplicate - Flagged for Review"),"Invalid",IF(OR(L893="Filled - Unknown",S893="Filled - Unknown",X893="Missing - Defaulted to 0",AL893="Yes",AC893="Cancelled",AC893="Returned"),"Warning","Clean"))</f>
        <v>Warning</v>
      </c>
    </row>
    <row r="894" customFormat="false" ht="15" hidden="false" customHeight="false" outlineLevel="0" collapsed="false">
      <c r="A894" s="3" t="str">
        <f aca="false">raw_data!A894</f>
        <v>ORD-2025-10893</v>
      </c>
      <c r="B894" s="4" t="n">
        <f aca="false">IFERROR(IF(MID(raw_data!B894,3,1)="/",DATE(VALUE(RIGHT(raw_data!B894,4)),VALUE(LEFT(raw_data!B894,2)),VALUE(MID(raw_data!B894,4,2))),IF(MID(raw_data!B894,3,1)="-",DATE(VALUE(RIGHT(raw_data!B894,4)),VALUE(MID(raw_data!B894,4,2)),VALUE(LEFT(raw_data!B894,2))),IF(MID(raw_data!B894,5,1)="-",DATE(VALUE(LEFT(raw_data!B894,4)),VALUE(MID(raw_data!B894,6,2)),VALUE(RIGHT(raw_data!B894,2))),DATE(VALUE(RIGHT(raw_data!B894,4)),MATCH(MID(raw_data!B894,4,3),{"Jan","Feb","Mar","Apr","May","Jun","Jul","Aug","Sep","Oct","Nov","Dec"},0),VALUE(LEFT(raw_data!B894,2)))))),"")</f>
        <v>45759</v>
      </c>
      <c r="C894" s="4" t="n">
        <f aca="false">IFERROR(IF(MID(raw_data!C894,3,1)="/",DATE(VALUE(RIGHT(raw_data!C894,4)),VALUE(LEFT(raw_data!C894,2)),VALUE(MID(raw_data!C894,4,2))),IF(MID(raw_data!C894,3,1)="-",DATE(VALUE(RIGHT(raw_data!C894,4)),VALUE(MID(raw_data!C894,4,2)),VALUE(LEFT(raw_data!C894,2))),IF(MID(raw_data!C894,5,1)="-",DATE(VALUE(LEFT(raw_data!C894,4)),VALUE(MID(raw_data!C894,6,2)),VALUE(RIGHT(raw_data!C894,2))),DATE(VALUE(RIGHT(raw_data!C894,4)),MATCH(MID(raw_data!C894,4,3),{"Jan","Feb","Mar","Apr","May","Jun","Jul","Aug","Sep","Oct","Nov","Dec"},0),VALUE(LEFT(raw_data!C894,2)))))),"")</f>
        <v>45765</v>
      </c>
      <c r="D894" s="3" t="str">
        <f aca="false">IF(TRIM(raw_data!B894)="","Missing",IF(B894="","Invalid/Unrecognized","Valid"))</f>
        <v>Valid</v>
      </c>
      <c r="E894" s="3" t="str">
        <f aca="false">IF(TRIM(raw_data!C894)="","Missing",IF(C894="","Invalid/Unrecognized","Valid"))</f>
        <v>Valid</v>
      </c>
      <c r="F894" s="5" t="n">
        <f aca="false">IF(OR(B894="",C894=""),"",C894-B894)</f>
        <v>6</v>
      </c>
      <c r="G894" s="3" t="str">
        <f aca="false">IF(F894="","N/A",IF(F894&lt;0,"Invalid - Ship Before Order","OK"))</f>
        <v>OK</v>
      </c>
      <c r="H894" s="3" t="str">
        <f aca="false">raw_data!D894</f>
        <v>CUST-5087</v>
      </c>
      <c r="I894" s="3" t="str">
        <f aca="false">PROPER(TRIM(raw_data!E894))</f>
        <v>Isha Nair</v>
      </c>
      <c r="J894" s="3" t="str">
        <f aca="false">PROPER(TRIM(raw_data!F894))</f>
        <v>Small Business</v>
      </c>
      <c r="K894" s="3" t="str">
        <f aca="false">IF(TRIM(raw_data!G894)="","Unknown",PROPER(TRIM(raw_data!G894)))</f>
        <v>East</v>
      </c>
      <c r="L894" s="3" t="str">
        <f aca="false">IF(TRIM(raw_data!G894)="","Filled - Unknown","OK")</f>
        <v>OK</v>
      </c>
      <c r="M894" s="3" t="str">
        <f aca="false">PROPER(TRIM(raw_data!H894))</f>
        <v>Jharkhand</v>
      </c>
      <c r="N894" s="3" t="str">
        <f aca="false">PROPER(TRIM(raw_data!I894))</f>
        <v>Ranchi</v>
      </c>
      <c r="O894" s="3" t="str">
        <f aca="false">PROPER(TRIM(raw_data!J894))</f>
        <v>Technology</v>
      </c>
      <c r="P894" s="3" t="str">
        <f aca="false">PROPER(TRIM(raw_data!K894))</f>
        <v>Copiers</v>
      </c>
      <c r="Q894" s="3" t="str">
        <f aca="false">TRIM(raw_data!L894)</f>
        <v>Elite Copiers 221</v>
      </c>
      <c r="R894" s="3" t="str">
        <f aca="false">IF(TRIM(raw_data!M894)="","Unknown",PROPER(TRIM(raw_data!M894)))</f>
        <v>Same Day</v>
      </c>
      <c r="S894" s="3" t="str">
        <f aca="false">IF(TRIM(raw_data!M894)="","Filled - Unknown","OK")</f>
        <v>OK</v>
      </c>
      <c r="T894" s="6" t="n">
        <f aca="false">raw_data!N894</f>
        <v>1</v>
      </c>
      <c r="U894" s="7" t="n">
        <f aca="false">raw_data!O894</f>
        <v>726.89</v>
      </c>
      <c r="V894" s="8" t="n">
        <f aca="false">raw_data!P894</f>
        <v>0.2</v>
      </c>
      <c r="W894" s="8" t="n">
        <f aca="false">IF(raw_data!P894="",0,IF(ISTEXT(raw_data!P894),IF(RIGHT(raw_data!P894,1)="%",VALUE(LEFT(raw_data!P894,LEN(raw_data!P894)-1))/100,VALUE(raw_data!P894)),raw_data!P894))</f>
        <v>0.2</v>
      </c>
      <c r="X894" s="3" t="str">
        <f aca="false">IF(raw_data!P894="","Missing - Defaulted to 0",IF(W894&lt;0,"Negative - Invalid",IF(W894&gt;0.3,"Above Allowed Range - Invalid","Valid")))</f>
        <v>Valid</v>
      </c>
      <c r="Y894" s="7" t="n">
        <f aca="false">raw_data!Q894</f>
        <v>581.51</v>
      </c>
      <c r="Z894" s="7" t="n">
        <f aca="false">raw_data!R894</f>
        <v>423.86</v>
      </c>
      <c r="AA894" s="7" t="n">
        <f aca="false">raw_data!S894</f>
        <v>157.65</v>
      </c>
      <c r="AB894" s="3" t="str">
        <f aca="false">PROPER(TRIM(raw_data!T894))</f>
        <v>Paid</v>
      </c>
      <c r="AC894" s="3" t="str">
        <f aca="false">PROPER(TRIM(raw_data!U894))</f>
        <v>Completed</v>
      </c>
      <c r="AD894" s="7" t="n">
        <f aca="false">T894*U894*(1-W894)</f>
        <v>581.512</v>
      </c>
      <c r="AE894" s="7" t="n">
        <f aca="false">AD894-Z894</f>
        <v>157.652</v>
      </c>
      <c r="AF894" s="8" t="n">
        <f aca="false">IF(AD894=0,0,AE894/AD894)</f>
        <v>0.271107045082475</v>
      </c>
      <c r="AG894" s="3" t="str">
        <f aca="false">IF(ABS(Y894-AD894)&gt;1,"Mismatch","OK")</f>
        <v>OK</v>
      </c>
      <c r="AH894" s="3" t="str">
        <f aca="false">IF(ABS(AA894-AE894)&gt;1,"Mismatch","OK")</f>
        <v>OK</v>
      </c>
      <c r="AI894" s="6" t="n">
        <f aca="false">IF(B894="","",MONTH(B894))</f>
        <v>4</v>
      </c>
      <c r="AJ894" s="6" t="n">
        <f aca="false">IF(B894="","",YEAR(B894))</f>
        <v>2025</v>
      </c>
      <c r="AK894" s="3" t="str">
        <f aca="false">IF(COUNTIF(raw_data!$A$2:$A$913,A894)&gt;1,"Conflicting Duplicate - Flagged for Review","Unique")</f>
        <v>Unique</v>
      </c>
      <c r="AL894" s="3" t="str">
        <f aca="false">IF(AB894="Refunded","Yes","No")</f>
        <v>No</v>
      </c>
      <c r="AM894" s="3" t="str">
        <f aca="false">IF(OR(AC894&lt;&gt;"Completed",AB894="Failed"),"Excluded","Included")</f>
        <v>Included</v>
      </c>
      <c r="AN894" s="3" t="str">
        <f aca="false">IF(OR(D894="Invalid/Unrecognized",E894="Invalid/Unrecognized",G894="Invalid - Ship Before Order",X894="Negative - Invalid",X894="Above Allowed Range - Invalid",AG894="Mismatch",AH894="Mismatch",AK894="Conflicting Duplicate - Flagged for Review"),"Invalid",IF(OR(L894="Filled - Unknown",S894="Filled - Unknown",X894="Missing - Defaulted to 0",AL894="Yes",AC894="Cancelled",AC894="Returned"),"Warning","Clean"))</f>
        <v>Clean</v>
      </c>
    </row>
    <row r="895" customFormat="false" ht="15" hidden="false" customHeight="false" outlineLevel="0" collapsed="false">
      <c r="A895" s="3" t="str">
        <f aca="false">raw_data!A895</f>
        <v>ORD-2024-10894</v>
      </c>
      <c r="B895" s="4" t="n">
        <f aca="false">IFERROR(IF(MID(raw_data!B895,3,1)="/",DATE(VALUE(RIGHT(raw_data!B895,4)),VALUE(LEFT(raw_data!B895,2)),VALUE(MID(raw_data!B895,4,2))),IF(MID(raw_data!B895,3,1)="-",DATE(VALUE(RIGHT(raw_data!B895,4)),VALUE(MID(raw_data!B895,4,2)),VALUE(LEFT(raw_data!B895,2))),IF(MID(raw_data!B895,5,1)="-",DATE(VALUE(LEFT(raw_data!B895,4)),VALUE(MID(raw_data!B895,6,2)),VALUE(RIGHT(raw_data!B895,2))),DATE(VALUE(RIGHT(raw_data!B895,4)),MATCH(MID(raw_data!B895,4,3),{"Jan","Feb","Mar","Apr","May","Jun","Jul","Aug","Sep","Oct","Nov","Dec"},0),VALUE(LEFT(raw_data!B895,2)))))),"")</f>
        <v>45449</v>
      </c>
      <c r="C895" s="4" t="n">
        <f aca="false">IFERROR(IF(MID(raw_data!C895,3,1)="/",DATE(VALUE(RIGHT(raw_data!C895,4)),VALUE(LEFT(raw_data!C895,2)),VALUE(MID(raw_data!C895,4,2))),IF(MID(raw_data!C895,3,1)="-",DATE(VALUE(RIGHT(raw_data!C895,4)),VALUE(MID(raw_data!C895,4,2)),VALUE(LEFT(raw_data!C895,2))),IF(MID(raw_data!C895,5,1)="-",DATE(VALUE(LEFT(raw_data!C895,4)),VALUE(MID(raw_data!C895,6,2)),VALUE(RIGHT(raw_data!C895,2))),DATE(VALUE(RIGHT(raw_data!C895,4)),MATCH(MID(raw_data!C895,4,3),{"Jan","Feb","Mar","Apr","May","Jun","Jul","Aug","Sep","Oct","Nov","Dec"},0),VALUE(LEFT(raw_data!C895,2)))))),"")</f>
        <v>45451</v>
      </c>
      <c r="D895" s="3" t="str">
        <f aca="false">IF(TRIM(raw_data!B895)="","Missing",IF(B895="","Invalid/Unrecognized","Valid"))</f>
        <v>Valid</v>
      </c>
      <c r="E895" s="3" t="str">
        <f aca="false">IF(TRIM(raw_data!C895)="","Missing",IF(C895="","Invalid/Unrecognized","Valid"))</f>
        <v>Valid</v>
      </c>
      <c r="F895" s="5" t="n">
        <f aca="false">IF(OR(B895="",C895=""),"",C895-B895)</f>
        <v>2</v>
      </c>
      <c r="G895" s="3" t="str">
        <f aca="false">IF(F895="","N/A",IF(F895&lt;0,"Invalid - Ship Before Order","OK"))</f>
        <v>OK</v>
      </c>
      <c r="H895" s="3" t="str">
        <f aca="false">raw_data!D895</f>
        <v>CUST-9297</v>
      </c>
      <c r="I895" s="3" t="str">
        <f aca="false">PROPER(TRIM(raw_data!E895))</f>
        <v>Aarav Sharma</v>
      </c>
      <c r="J895" s="3" t="str">
        <f aca="false">PROPER(TRIM(raw_data!F895))</f>
        <v>Corporate</v>
      </c>
      <c r="K895" s="3" t="str">
        <f aca="false">IF(TRIM(raw_data!G895)="","Unknown",PROPER(TRIM(raw_data!G895)))</f>
        <v>South</v>
      </c>
      <c r="L895" s="3" t="str">
        <f aca="false">IF(TRIM(raw_data!G895)="","Filled - Unknown","OK")</f>
        <v>OK</v>
      </c>
      <c r="M895" s="3" t="str">
        <f aca="false">PROPER(TRIM(raw_data!H895))</f>
        <v>Karnataka</v>
      </c>
      <c r="N895" s="3" t="str">
        <f aca="false">PROPER(TRIM(raw_data!I895))</f>
        <v>Bengaluru</v>
      </c>
      <c r="O895" s="3" t="str">
        <f aca="false">PROPER(TRIM(raw_data!J895))</f>
        <v>Furniture</v>
      </c>
      <c r="P895" s="3" t="str">
        <f aca="false">PROPER(TRIM(raw_data!K895))</f>
        <v>Tables</v>
      </c>
      <c r="Q895" s="3" t="str">
        <f aca="false">TRIM(raw_data!L895)</f>
        <v>Max Tables 291</v>
      </c>
      <c r="R895" s="3" t="str">
        <f aca="false">IF(TRIM(raw_data!M895)="","Unknown",PROPER(TRIM(raw_data!M895)))</f>
        <v>Second Class</v>
      </c>
      <c r="S895" s="3" t="str">
        <f aca="false">IF(TRIM(raw_data!M895)="","Filled - Unknown","OK")</f>
        <v>OK</v>
      </c>
      <c r="T895" s="6" t="n">
        <f aca="false">raw_data!N895</f>
        <v>3</v>
      </c>
      <c r="U895" s="7" t="n">
        <f aca="false">raw_data!O895</f>
        <v>395.49</v>
      </c>
      <c r="V895" s="8" t="n">
        <f aca="false">raw_data!P895</f>
        <v>0.05</v>
      </c>
      <c r="W895" s="8" t="n">
        <f aca="false">IF(raw_data!P895="",0,IF(ISTEXT(raw_data!P895),IF(RIGHT(raw_data!P895,1)="%",VALUE(LEFT(raw_data!P895,LEN(raw_data!P895)-1))/100,VALUE(raw_data!P895)),raw_data!P895))</f>
        <v>0.05</v>
      </c>
      <c r="X895" s="3" t="str">
        <f aca="false">IF(raw_data!P895="","Missing - Defaulted to 0",IF(W895&lt;0,"Negative - Invalid",IF(W895&gt;0.3,"Above Allowed Range - Invalid","Valid")))</f>
        <v>Valid</v>
      </c>
      <c r="Y895" s="7" t="n">
        <f aca="false">raw_data!Q895</f>
        <v>1127.15</v>
      </c>
      <c r="Z895" s="7" t="n">
        <f aca="false">raw_data!R895</f>
        <v>845.62</v>
      </c>
      <c r="AA895" s="7" t="n">
        <f aca="false">raw_data!S895</f>
        <v>281.53</v>
      </c>
      <c r="AB895" s="3" t="str">
        <f aca="false">PROPER(TRIM(raw_data!T895))</f>
        <v>Paid</v>
      </c>
      <c r="AC895" s="3" t="str">
        <f aca="false">PROPER(TRIM(raw_data!U895))</f>
        <v>Returned</v>
      </c>
      <c r="AD895" s="7" t="n">
        <f aca="false">T895*U895*(1-W895)</f>
        <v>1127.1465</v>
      </c>
      <c r="AE895" s="7" t="n">
        <f aca="false">AD895-Z895</f>
        <v>281.5265</v>
      </c>
      <c r="AF895" s="8" t="n">
        <f aca="false">IF(AD895=0,0,AE895/AD895)</f>
        <v>0.249769218109625</v>
      </c>
      <c r="AG895" s="3" t="str">
        <f aca="false">IF(ABS(Y895-AD895)&gt;1,"Mismatch","OK")</f>
        <v>OK</v>
      </c>
      <c r="AH895" s="3" t="str">
        <f aca="false">IF(ABS(AA895-AE895)&gt;1,"Mismatch","OK")</f>
        <v>OK</v>
      </c>
      <c r="AI895" s="6" t="n">
        <f aca="false">IF(B895="","",MONTH(B895))</f>
        <v>6</v>
      </c>
      <c r="AJ895" s="6" t="n">
        <f aca="false">IF(B895="","",YEAR(B895))</f>
        <v>2024</v>
      </c>
      <c r="AK895" s="3" t="str">
        <f aca="false">IF(COUNTIF(raw_data!$A$2:$A$913,A895)&gt;1,"Conflicting Duplicate - Flagged for Review","Unique")</f>
        <v>Unique</v>
      </c>
      <c r="AL895" s="3" t="str">
        <f aca="false">IF(AB895="Refunded","Yes","No")</f>
        <v>No</v>
      </c>
      <c r="AM895" s="3" t="str">
        <f aca="false">IF(OR(AC895&lt;&gt;"Completed",AB895="Failed"),"Excluded","Included")</f>
        <v>Excluded</v>
      </c>
      <c r="AN895" s="3" t="str">
        <f aca="false">IF(OR(D895="Invalid/Unrecognized",E895="Invalid/Unrecognized",G895="Invalid - Ship Before Order",X895="Negative - Invalid",X895="Above Allowed Range - Invalid",AG895="Mismatch",AH895="Mismatch",AK895="Conflicting Duplicate - Flagged for Review"),"Invalid",IF(OR(L895="Filled - Unknown",S895="Filled - Unknown",X895="Missing - Defaulted to 0",AL895="Yes",AC895="Cancelled",AC895="Returned"),"Warning","Clean"))</f>
        <v>Warning</v>
      </c>
    </row>
    <row r="896" customFormat="false" ht="15" hidden="false" customHeight="false" outlineLevel="0" collapsed="false">
      <c r="A896" s="3" t="str">
        <f aca="false">raw_data!A896</f>
        <v>ORD-2024-10895</v>
      </c>
      <c r="B896" s="4" t="n">
        <f aca="false">IFERROR(IF(MID(raw_data!B896,3,1)="/",DATE(VALUE(RIGHT(raw_data!B896,4)),VALUE(LEFT(raw_data!B896,2)),VALUE(MID(raw_data!B896,4,2))),IF(MID(raw_data!B896,3,1)="-",DATE(VALUE(RIGHT(raw_data!B896,4)),VALUE(MID(raw_data!B896,4,2)),VALUE(LEFT(raw_data!B896,2))),IF(MID(raw_data!B896,5,1)="-",DATE(VALUE(LEFT(raw_data!B896,4)),VALUE(MID(raw_data!B896,6,2)),VALUE(RIGHT(raw_data!B896,2))),DATE(VALUE(RIGHT(raw_data!B896,4)),MATCH(MID(raw_data!B896,4,3),{"Jan","Feb","Mar","Apr","May","Jun","Jul","Aug","Sep","Oct","Nov","Dec"},0),VALUE(LEFT(raw_data!B896,2)))))),"")</f>
        <v>45344</v>
      </c>
      <c r="C896" s="4" t="n">
        <f aca="false">IFERROR(IF(MID(raw_data!C896,3,1)="/",DATE(VALUE(RIGHT(raw_data!C896,4)),VALUE(LEFT(raw_data!C896,2)),VALUE(MID(raw_data!C896,4,2))),IF(MID(raw_data!C896,3,1)="-",DATE(VALUE(RIGHT(raw_data!C896,4)),VALUE(MID(raw_data!C896,4,2)),VALUE(LEFT(raw_data!C896,2))),IF(MID(raw_data!C896,5,1)="-",DATE(VALUE(LEFT(raw_data!C896,4)),VALUE(MID(raw_data!C896,6,2)),VALUE(RIGHT(raw_data!C896,2))),DATE(VALUE(RIGHT(raw_data!C896,4)),MATCH(MID(raw_data!C896,4,3),{"Jan","Feb","Mar","Apr","May","Jun","Jul","Aug","Sep","Oct","Nov","Dec"},0),VALUE(LEFT(raw_data!C896,2)))))),"")</f>
        <v>45351</v>
      </c>
      <c r="D896" s="3" t="str">
        <f aca="false">IF(TRIM(raw_data!B896)="","Missing",IF(B896="","Invalid/Unrecognized","Valid"))</f>
        <v>Valid</v>
      </c>
      <c r="E896" s="3" t="str">
        <f aca="false">IF(TRIM(raw_data!C896)="","Missing",IF(C896="","Invalid/Unrecognized","Valid"))</f>
        <v>Valid</v>
      </c>
      <c r="F896" s="5" t="n">
        <f aca="false">IF(OR(B896="",C896=""),"",C896-B896)</f>
        <v>7</v>
      </c>
      <c r="G896" s="3" t="str">
        <f aca="false">IF(F896="","N/A",IF(F896&lt;0,"Invalid - Ship Before Order","OK"))</f>
        <v>OK</v>
      </c>
      <c r="H896" s="3" t="str">
        <f aca="false">raw_data!D896</f>
        <v>CUST-7996</v>
      </c>
      <c r="I896" s="3" t="str">
        <f aca="false">PROPER(TRIM(raw_data!E896))</f>
        <v>Isha Nair</v>
      </c>
      <c r="J896" s="3" t="str">
        <f aca="false">PROPER(TRIM(raw_data!F896))</f>
        <v>Home Office</v>
      </c>
      <c r="K896" s="3" t="str">
        <f aca="false">IF(TRIM(raw_data!G896)="","Unknown",PROPER(TRIM(raw_data!G896)))</f>
        <v>South</v>
      </c>
      <c r="L896" s="3" t="str">
        <f aca="false">IF(TRIM(raw_data!G896)="","Filled - Unknown","OK")</f>
        <v>OK</v>
      </c>
      <c r="M896" s="3" t="str">
        <f aca="false">PROPER(TRIM(raw_data!H896))</f>
        <v>Telangana</v>
      </c>
      <c r="N896" s="3" t="str">
        <f aca="false">PROPER(TRIM(raw_data!I896))</f>
        <v>Hyderabad</v>
      </c>
      <c r="O896" s="3" t="str">
        <f aca="false">PROPER(TRIM(raw_data!J896))</f>
        <v>Furniture</v>
      </c>
      <c r="P896" s="3" t="str">
        <f aca="false">PROPER(TRIM(raw_data!K896))</f>
        <v>Tables</v>
      </c>
      <c r="Q896" s="3" t="str">
        <f aca="false">TRIM(raw_data!L896)</f>
        <v>Classic Tables 638</v>
      </c>
      <c r="R896" s="3" t="str">
        <f aca="false">IF(TRIM(raw_data!M896)="","Unknown",PROPER(TRIM(raw_data!M896)))</f>
        <v>First Class</v>
      </c>
      <c r="S896" s="3" t="str">
        <f aca="false">IF(TRIM(raw_data!M896)="","Filled - Unknown","OK")</f>
        <v>OK</v>
      </c>
      <c r="T896" s="6" t="n">
        <f aca="false">raw_data!N896</f>
        <v>6</v>
      </c>
      <c r="U896" s="7" t="n">
        <f aca="false">raw_data!O896</f>
        <v>4254.05</v>
      </c>
      <c r="V896" s="8" t="n">
        <f aca="false">raw_data!P896</f>
        <v>0</v>
      </c>
      <c r="W896" s="8" t="n">
        <f aca="false">IF(raw_data!P896="",0,IF(ISTEXT(raw_data!P896),IF(RIGHT(raw_data!P896,1)="%",VALUE(LEFT(raw_data!P896,LEN(raw_data!P896)-1))/100,VALUE(raw_data!P896)),raw_data!P896))</f>
        <v>0</v>
      </c>
      <c r="X896" s="3" t="str">
        <f aca="false">IF(raw_data!P896="","Missing - Defaulted to 0",IF(W896&lt;0,"Negative - Invalid",IF(W896&gt;0.3,"Above Allowed Range - Invalid","Valid")))</f>
        <v>Valid</v>
      </c>
      <c r="Y896" s="7" t="n">
        <f aca="false">raw_data!Q896</f>
        <v>25524.3</v>
      </c>
      <c r="Z896" s="7" t="n">
        <f aca="false">raw_data!R896</f>
        <v>16711.93</v>
      </c>
      <c r="AA896" s="7" t="n">
        <f aca="false">raw_data!S896</f>
        <v>8812.37</v>
      </c>
      <c r="AB896" s="3" t="str">
        <f aca="false">PROPER(TRIM(raw_data!T896))</f>
        <v>Paid</v>
      </c>
      <c r="AC896" s="3" t="str">
        <f aca="false">PROPER(TRIM(raw_data!U896))</f>
        <v>Completed</v>
      </c>
      <c r="AD896" s="7" t="n">
        <f aca="false">T896*U896*(1-W896)</f>
        <v>25524.3</v>
      </c>
      <c r="AE896" s="7" t="n">
        <f aca="false">AD896-Z896</f>
        <v>8812.37</v>
      </c>
      <c r="AF896" s="8" t="n">
        <f aca="false">IF(AD896=0,0,AE896/AD896)</f>
        <v>0.345254130377719</v>
      </c>
      <c r="AG896" s="3" t="str">
        <f aca="false">IF(ABS(Y896-AD896)&gt;1,"Mismatch","OK")</f>
        <v>OK</v>
      </c>
      <c r="AH896" s="3" t="str">
        <f aca="false">IF(ABS(AA896-AE896)&gt;1,"Mismatch","OK")</f>
        <v>OK</v>
      </c>
      <c r="AI896" s="6" t="n">
        <f aca="false">IF(B896="","",MONTH(B896))</f>
        <v>2</v>
      </c>
      <c r="AJ896" s="6" t="n">
        <f aca="false">IF(B896="","",YEAR(B896))</f>
        <v>2024</v>
      </c>
      <c r="AK896" s="3" t="str">
        <f aca="false">IF(COUNTIF(raw_data!$A$2:$A$913,A896)&gt;1,"Conflicting Duplicate - Flagged for Review","Unique")</f>
        <v>Unique</v>
      </c>
      <c r="AL896" s="3" t="str">
        <f aca="false">IF(AB896="Refunded","Yes","No")</f>
        <v>No</v>
      </c>
      <c r="AM896" s="3" t="str">
        <f aca="false">IF(OR(AC896&lt;&gt;"Completed",AB896="Failed"),"Excluded","Included")</f>
        <v>Included</v>
      </c>
      <c r="AN896" s="3" t="str">
        <f aca="false">IF(OR(D896="Invalid/Unrecognized",E896="Invalid/Unrecognized",G896="Invalid - Ship Before Order",X896="Negative - Invalid",X896="Above Allowed Range - Invalid",AG896="Mismatch",AH896="Mismatch",AK896="Conflicting Duplicate - Flagged for Review"),"Invalid",IF(OR(L896="Filled - Unknown",S896="Filled - Unknown",X896="Missing - Defaulted to 0",AL896="Yes",AC896="Cancelled",AC896="Returned"),"Warning","Clean"))</f>
        <v>Clean</v>
      </c>
    </row>
    <row r="897" customFormat="false" ht="15" hidden="false" customHeight="false" outlineLevel="0" collapsed="false">
      <c r="A897" s="3" t="str">
        <f aca="false">raw_data!A897</f>
        <v>ORD-2024-10896</v>
      </c>
      <c r="B897" s="4" t="n">
        <f aca="false">IFERROR(IF(MID(raw_data!B897,3,1)="/",DATE(VALUE(RIGHT(raw_data!B897,4)),VALUE(LEFT(raw_data!B897,2)),VALUE(MID(raw_data!B897,4,2))),IF(MID(raw_data!B897,3,1)="-",DATE(VALUE(RIGHT(raw_data!B897,4)),VALUE(MID(raw_data!B897,4,2)),VALUE(LEFT(raw_data!B897,2))),IF(MID(raw_data!B897,5,1)="-",DATE(VALUE(LEFT(raw_data!B897,4)),VALUE(MID(raw_data!B897,6,2)),VALUE(RIGHT(raw_data!B897,2))),DATE(VALUE(RIGHT(raw_data!B897,4)),MATCH(MID(raw_data!B897,4,3),{"Jan","Feb","Mar","Apr","May","Jun","Jul","Aug","Sep","Oct","Nov","Dec"},0),VALUE(LEFT(raw_data!B897,2)))))),"")</f>
        <v>45601</v>
      </c>
      <c r="C897" s="4" t="n">
        <f aca="false">IFERROR(IF(MID(raw_data!C897,3,1)="/",DATE(VALUE(RIGHT(raw_data!C897,4)),VALUE(LEFT(raw_data!C897,2)),VALUE(MID(raw_data!C897,4,2))),IF(MID(raw_data!C897,3,1)="-",DATE(VALUE(RIGHT(raw_data!C897,4)),VALUE(MID(raw_data!C897,4,2)),VALUE(LEFT(raw_data!C897,2))),IF(MID(raw_data!C897,5,1)="-",DATE(VALUE(LEFT(raw_data!C897,4)),VALUE(MID(raw_data!C897,6,2)),VALUE(RIGHT(raw_data!C897,2))),DATE(VALUE(RIGHT(raw_data!C897,4)),MATCH(MID(raw_data!C897,4,3),{"Jan","Feb","Mar","Apr","May","Jun","Jul","Aug","Sep","Oct","Nov","Dec"},0),VALUE(LEFT(raw_data!C897,2)))))),"")</f>
        <v>45606</v>
      </c>
      <c r="D897" s="3" t="str">
        <f aca="false">IF(TRIM(raw_data!B897)="","Missing",IF(B897="","Invalid/Unrecognized","Valid"))</f>
        <v>Valid</v>
      </c>
      <c r="E897" s="3" t="str">
        <f aca="false">IF(TRIM(raw_data!C897)="","Missing",IF(C897="","Invalid/Unrecognized","Valid"))</f>
        <v>Valid</v>
      </c>
      <c r="F897" s="5" t="n">
        <f aca="false">IF(OR(B897="",C897=""),"",C897-B897)</f>
        <v>5</v>
      </c>
      <c r="G897" s="3" t="str">
        <f aca="false">IF(F897="","N/A",IF(F897&lt;0,"Invalid - Ship Before Order","OK"))</f>
        <v>OK</v>
      </c>
      <c r="H897" s="3" t="str">
        <f aca="false">raw_data!D897</f>
        <v>CUST-4117</v>
      </c>
      <c r="I897" s="3" t="str">
        <f aca="false">PROPER(TRIM(raw_data!E897))</f>
        <v>Arjun Bose</v>
      </c>
      <c r="J897" s="3" t="str">
        <f aca="false">PROPER(TRIM(raw_data!F897))</f>
        <v>Consumer</v>
      </c>
      <c r="K897" s="3" t="str">
        <f aca="false">IF(TRIM(raw_data!G897)="","Unknown",PROPER(TRIM(raw_data!G897)))</f>
        <v>South</v>
      </c>
      <c r="L897" s="3" t="str">
        <f aca="false">IF(TRIM(raw_data!G897)="","Filled - Unknown","OK")</f>
        <v>OK</v>
      </c>
      <c r="M897" s="3" t="str">
        <f aca="false">PROPER(TRIM(raw_data!H897))</f>
        <v>Kerala</v>
      </c>
      <c r="N897" s="3" t="str">
        <f aca="false">PROPER(TRIM(raw_data!I897))</f>
        <v>Kochi</v>
      </c>
      <c r="O897" s="3" t="str">
        <f aca="false">PROPER(TRIM(raw_data!J897))</f>
        <v>Furniture</v>
      </c>
      <c r="P897" s="3" t="str">
        <f aca="false">PROPER(TRIM(raw_data!K897))</f>
        <v>Chairs</v>
      </c>
      <c r="Q897" s="3" t="str">
        <f aca="false">TRIM(raw_data!L897)</f>
        <v>Basic Chairs 212</v>
      </c>
      <c r="R897" s="3" t="str">
        <f aca="false">IF(TRIM(raw_data!M897)="","Unknown",PROPER(TRIM(raw_data!M897)))</f>
        <v>Same Day</v>
      </c>
      <c r="S897" s="3" t="str">
        <f aca="false">IF(TRIM(raw_data!M897)="","Filled - Unknown","OK")</f>
        <v>OK</v>
      </c>
      <c r="T897" s="6" t="n">
        <f aca="false">raw_data!N897</f>
        <v>4</v>
      </c>
      <c r="U897" s="7" t="n">
        <f aca="false">raw_data!O897</f>
        <v>711.18</v>
      </c>
      <c r="V897" s="8" t="n">
        <f aca="false">raw_data!P897</f>
        <v>0.15</v>
      </c>
      <c r="W897" s="8" t="n">
        <f aca="false">IF(raw_data!P897="",0,IF(ISTEXT(raw_data!P897),IF(RIGHT(raw_data!P897,1)="%",VALUE(LEFT(raw_data!P897,LEN(raw_data!P897)-1))/100,VALUE(raw_data!P897)),raw_data!P897))</f>
        <v>0.15</v>
      </c>
      <c r="X897" s="3" t="str">
        <f aca="false">IF(raw_data!P897="","Missing - Defaulted to 0",IF(W897&lt;0,"Negative - Invalid",IF(W897&gt;0.3,"Above Allowed Range - Invalid","Valid")))</f>
        <v>Valid</v>
      </c>
      <c r="Y897" s="7" t="n">
        <f aca="false">raw_data!Q897</f>
        <v>2418.01</v>
      </c>
      <c r="Z897" s="7" t="n">
        <f aca="false">raw_data!R897</f>
        <v>1441.89</v>
      </c>
      <c r="AA897" s="7" t="n">
        <f aca="false">raw_data!S897</f>
        <v>976.12</v>
      </c>
      <c r="AB897" s="3" t="str">
        <f aca="false">PROPER(TRIM(raw_data!T897))</f>
        <v>Pending</v>
      </c>
      <c r="AC897" s="3" t="str">
        <f aca="false">PROPER(TRIM(raw_data!U897))</f>
        <v>Returned</v>
      </c>
      <c r="AD897" s="7" t="n">
        <f aca="false">T897*U897*(1-W897)</f>
        <v>2418.012</v>
      </c>
      <c r="AE897" s="7" t="n">
        <f aca="false">AD897-Z897</f>
        <v>976.122</v>
      </c>
      <c r="AF897" s="8" t="n">
        <f aca="false">IF(AD897=0,0,AE897/AD897)</f>
        <v>0.403687822889216</v>
      </c>
      <c r="AG897" s="3" t="str">
        <f aca="false">IF(ABS(Y897-AD897)&gt;1,"Mismatch","OK")</f>
        <v>OK</v>
      </c>
      <c r="AH897" s="3" t="str">
        <f aca="false">IF(ABS(AA897-AE897)&gt;1,"Mismatch","OK")</f>
        <v>OK</v>
      </c>
      <c r="AI897" s="6" t="n">
        <f aca="false">IF(B897="","",MONTH(B897))</f>
        <v>11</v>
      </c>
      <c r="AJ897" s="6" t="n">
        <f aca="false">IF(B897="","",YEAR(B897))</f>
        <v>2024</v>
      </c>
      <c r="AK897" s="3" t="str">
        <f aca="false">IF(COUNTIF(raw_data!$A$2:$A$913,A897)&gt;1,"Conflicting Duplicate - Flagged for Review","Unique")</f>
        <v>Unique</v>
      </c>
      <c r="AL897" s="3" t="str">
        <f aca="false">IF(AB897="Refunded","Yes","No")</f>
        <v>No</v>
      </c>
      <c r="AM897" s="3" t="str">
        <f aca="false">IF(OR(AC897&lt;&gt;"Completed",AB897="Failed"),"Excluded","Included")</f>
        <v>Excluded</v>
      </c>
      <c r="AN897" s="3" t="str">
        <f aca="false">IF(OR(D897="Invalid/Unrecognized",E897="Invalid/Unrecognized",G897="Invalid - Ship Before Order",X897="Negative - Invalid",X897="Above Allowed Range - Invalid",AG897="Mismatch",AH897="Mismatch",AK897="Conflicting Duplicate - Flagged for Review"),"Invalid",IF(OR(L897="Filled - Unknown",S897="Filled - Unknown",X897="Missing - Defaulted to 0",AL897="Yes",AC897="Cancelled",AC897="Returned"),"Warning","Clean"))</f>
        <v>Warning</v>
      </c>
    </row>
    <row r="898" customFormat="false" ht="15" hidden="false" customHeight="false" outlineLevel="0" collapsed="false">
      <c r="A898" s="3" t="str">
        <f aca="false">raw_data!A898</f>
        <v>ORD-2024-10897</v>
      </c>
      <c r="B898" s="4" t="n">
        <f aca="false">IFERROR(IF(MID(raw_data!B898,3,1)="/",DATE(VALUE(RIGHT(raw_data!B898,4)),VALUE(LEFT(raw_data!B898,2)),VALUE(MID(raw_data!B898,4,2))),IF(MID(raw_data!B898,3,1)="-",DATE(VALUE(RIGHT(raw_data!B898,4)),VALUE(MID(raw_data!B898,4,2)),VALUE(LEFT(raw_data!B898,2))),IF(MID(raw_data!B898,5,1)="-",DATE(VALUE(LEFT(raw_data!B898,4)),VALUE(MID(raw_data!B898,6,2)),VALUE(RIGHT(raw_data!B898,2))),DATE(VALUE(RIGHT(raw_data!B898,4)),MATCH(MID(raw_data!B898,4,3),{"Jan","Feb","Mar","Apr","May","Jun","Jul","Aug","Sep","Oct","Nov","Dec"},0),VALUE(LEFT(raw_data!B898,2)))))),"")</f>
        <v>45650</v>
      </c>
      <c r="C898" s="4" t="n">
        <f aca="false">IFERROR(IF(MID(raw_data!C898,3,1)="/",DATE(VALUE(RIGHT(raw_data!C898,4)),VALUE(LEFT(raw_data!C898,2)),VALUE(MID(raw_data!C898,4,2))),IF(MID(raw_data!C898,3,1)="-",DATE(VALUE(RIGHT(raw_data!C898,4)),VALUE(MID(raw_data!C898,4,2)),VALUE(LEFT(raw_data!C898,2))),IF(MID(raw_data!C898,5,1)="-",DATE(VALUE(LEFT(raw_data!C898,4)),VALUE(MID(raw_data!C898,6,2)),VALUE(RIGHT(raw_data!C898,2))),DATE(VALUE(RIGHT(raw_data!C898,4)),MATCH(MID(raw_data!C898,4,3),{"Jan","Feb","Mar","Apr","May","Jun","Jul","Aug","Sep","Oct","Nov","Dec"},0),VALUE(LEFT(raw_data!C898,2)))))),"")</f>
        <v>45651</v>
      </c>
      <c r="D898" s="3" t="str">
        <f aca="false">IF(TRIM(raw_data!B898)="","Missing",IF(B898="","Invalid/Unrecognized","Valid"))</f>
        <v>Valid</v>
      </c>
      <c r="E898" s="3" t="str">
        <f aca="false">IF(TRIM(raw_data!C898)="","Missing",IF(C898="","Invalid/Unrecognized","Valid"))</f>
        <v>Valid</v>
      </c>
      <c r="F898" s="5" t="n">
        <f aca="false">IF(OR(B898="",C898=""),"",C898-B898)</f>
        <v>1</v>
      </c>
      <c r="G898" s="3" t="str">
        <f aca="false">IF(F898="","N/A",IF(F898&lt;0,"Invalid - Ship Before Order","OK"))</f>
        <v>OK</v>
      </c>
      <c r="H898" s="3" t="str">
        <f aca="false">raw_data!D898</f>
        <v>CUST-4848</v>
      </c>
      <c r="I898" s="3" t="str">
        <f aca="false">PROPER(TRIM(raw_data!E898))</f>
        <v>Ananya Rao</v>
      </c>
      <c r="J898" s="3" t="str">
        <f aca="false">PROPER(TRIM(raw_data!F898))</f>
        <v>Small Business</v>
      </c>
      <c r="K898" s="3" t="str">
        <f aca="false">IF(TRIM(raw_data!G898)="","Unknown",PROPER(TRIM(raw_data!G898)))</f>
        <v>South</v>
      </c>
      <c r="L898" s="3" t="str">
        <f aca="false">IF(TRIM(raw_data!G898)="","Filled - Unknown","OK")</f>
        <v>OK</v>
      </c>
      <c r="M898" s="3" t="str">
        <f aca="false">PROPER(TRIM(raw_data!H898))</f>
        <v>Tamil Nadu</v>
      </c>
      <c r="N898" s="3" t="str">
        <f aca="false">PROPER(TRIM(raw_data!I898))</f>
        <v>Chennai</v>
      </c>
      <c r="O898" s="3" t="str">
        <f aca="false">PROPER(TRIM(raw_data!J898))</f>
        <v>Technology</v>
      </c>
      <c r="P898" s="3" t="str">
        <f aca="false">PROPER(TRIM(raw_data!K898))</f>
        <v>Copiers</v>
      </c>
      <c r="Q898" s="3" t="str">
        <f aca="false">TRIM(raw_data!L898)</f>
        <v>Max Copiers 121</v>
      </c>
      <c r="R898" s="3" t="str">
        <f aca="false">IF(TRIM(raw_data!M898)="","Unknown",PROPER(TRIM(raw_data!M898)))</f>
        <v>Second Class</v>
      </c>
      <c r="S898" s="3" t="str">
        <f aca="false">IF(TRIM(raw_data!M898)="","Filled - Unknown","OK")</f>
        <v>OK</v>
      </c>
      <c r="T898" s="6" t="n">
        <f aca="false">raw_data!N898</f>
        <v>1</v>
      </c>
      <c r="U898" s="7" t="n">
        <f aca="false">raw_data!O898</f>
        <v>3693.03</v>
      </c>
      <c r="V898" s="8" t="n">
        <f aca="false">raw_data!P898</f>
        <v>0.05</v>
      </c>
      <c r="W898" s="8" t="n">
        <f aca="false">IF(raw_data!P898="",0,IF(ISTEXT(raw_data!P898),IF(RIGHT(raw_data!P898,1)="%",VALUE(LEFT(raw_data!P898,LEN(raw_data!P898)-1))/100,VALUE(raw_data!P898)),raw_data!P898))</f>
        <v>0.05</v>
      </c>
      <c r="X898" s="3" t="str">
        <f aca="false">IF(raw_data!P898="","Missing - Defaulted to 0",IF(W898&lt;0,"Negative - Invalid",IF(W898&gt;0.3,"Above Allowed Range - Invalid","Valid")))</f>
        <v>Valid</v>
      </c>
      <c r="Y898" s="7" t="n">
        <f aca="false">raw_data!Q898</f>
        <v>3508.38</v>
      </c>
      <c r="Z898" s="7" t="n">
        <f aca="false">raw_data!R898</f>
        <v>2828.06</v>
      </c>
      <c r="AA898" s="7" t="n">
        <f aca="false">raw_data!S898</f>
        <v>680.32</v>
      </c>
      <c r="AB898" s="3" t="str">
        <f aca="false">PROPER(TRIM(raw_data!T898))</f>
        <v>Failed</v>
      </c>
      <c r="AC898" s="3" t="str">
        <f aca="false">PROPER(TRIM(raw_data!U898))</f>
        <v>Returned</v>
      </c>
      <c r="AD898" s="7" t="n">
        <f aca="false">T898*U898*(1-W898)</f>
        <v>3508.3785</v>
      </c>
      <c r="AE898" s="7" t="n">
        <f aca="false">AD898-Z898</f>
        <v>680.3185</v>
      </c>
      <c r="AF898" s="8" t="n">
        <f aca="false">IF(AD898=0,0,AE898/AD898)</f>
        <v>0.193912515425573</v>
      </c>
      <c r="AG898" s="3" t="str">
        <f aca="false">IF(ABS(Y898-AD898)&gt;1,"Mismatch","OK")</f>
        <v>OK</v>
      </c>
      <c r="AH898" s="3" t="str">
        <f aca="false">IF(ABS(AA898-AE898)&gt;1,"Mismatch","OK")</f>
        <v>OK</v>
      </c>
      <c r="AI898" s="6" t="n">
        <f aca="false">IF(B898="","",MONTH(B898))</f>
        <v>12</v>
      </c>
      <c r="AJ898" s="6" t="n">
        <f aca="false">IF(B898="","",YEAR(B898))</f>
        <v>2024</v>
      </c>
      <c r="AK898" s="3" t="str">
        <f aca="false">IF(COUNTIF(raw_data!$A$2:$A$913,A898)&gt;1,"Conflicting Duplicate - Flagged for Review","Unique")</f>
        <v>Unique</v>
      </c>
      <c r="AL898" s="3" t="str">
        <f aca="false">IF(AB898="Refunded","Yes","No")</f>
        <v>No</v>
      </c>
      <c r="AM898" s="3" t="str">
        <f aca="false">IF(OR(AC898&lt;&gt;"Completed",AB898="Failed"),"Excluded","Included")</f>
        <v>Excluded</v>
      </c>
      <c r="AN898" s="3" t="str">
        <f aca="false">IF(OR(D898="Invalid/Unrecognized",E898="Invalid/Unrecognized",G898="Invalid - Ship Before Order",X898="Negative - Invalid",X898="Above Allowed Range - Invalid",AG898="Mismatch",AH898="Mismatch",AK898="Conflicting Duplicate - Flagged for Review"),"Invalid",IF(OR(L898="Filled - Unknown",S898="Filled - Unknown",X898="Missing - Defaulted to 0",AL898="Yes",AC898="Cancelled",AC898="Returned"),"Warning","Clean"))</f>
        <v>Warning</v>
      </c>
    </row>
    <row r="899" customFormat="false" ht="15" hidden="false" customHeight="false" outlineLevel="0" collapsed="false">
      <c r="A899" s="3" t="str">
        <f aca="false">raw_data!A899</f>
        <v>ORD-2025-10898</v>
      </c>
      <c r="B899" s="4" t="n">
        <f aca="false">IFERROR(IF(MID(raw_data!B899,3,1)="/",DATE(VALUE(RIGHT(raw_data!B899,4)),VALUE(LEFT(raw_data!B899,2)),VALUE(MID(raw_data!B899,4,2))),IF(MID(raw_data!B899,3,1)="-",DATE(VALUE(RIGHT(raw_data!B899,4)),VALUE(MID(raw_data!B899,4,2)),VALUE(LEFT(raw_data!B899,2))),IF(MID(raw_data!B899,5,1)="-",DATE(VALUE(LEFT(raw_data!B899,4)),VALUE(MID(raw_data!B899,6,2)),VALUE(RIGHT(raw_data!B899,2))),DATE(VALUE(RIGHT(raw_data!B899,4)),MATCH(MID(raw_data!B899,4,3),{"Jan","Feb","Mar","Apr","May","Jun","Jul","Aug","Sep","Oct","Nov","Dec"},0),VALUE(LEFT(raw_data!B899,2)))))),"")</f>
        <v>45776</v>
      </c>
      <c r="C899" s="4" t="n">
        <f aca="false">IFERROR(IF(MID(raw_data!C899,3,1)="/",DATE(VALUE(RIGHT(raw_data!C899,4)),VALUE(LEFT(raw_data!C899,2)),VALUE(MID(raw_data!C899,4,2))),IF(MID(raw_data!C899,3,1)="-",DATE(VALUE(RIGHT(raw_data!C899,4)),VALUE(MID(raw_data!C899,4,2)),VALUE(LEFT(raw_data!C899,2))),IF(MID(raw_data!C899,5,1)="-",DATE(VALUE(LEFT(raw_data!C899,4)),VALUE(MID(raw_data!C899,6,2)),VALUE(RIGHT(raw_data!C899,2))),DATE(VALUE(RIGHT(raw_data!C899,4)),MATCH(MID(raw_data!C899,4,3),{"Jan","Feb","Mar","Apr","May","Jun","Jul","Aug","Sep","Oct","Nov","Dec"},0),VALUE(LEFT(raw_data!C899,2)))))),"")</f>
        <v>45780</v>
      </c>
      <c r="D899" s="3" t="str">
        <f aca="false">IF(TRIM(raw_data!B899)="","Missing",IF(B899="","Invalid/Unrecognized","Valid"))</f>
        <v>Valid</v>
      </c>
      <c r="E899" s="3" t="str">
        <f aca="false">IF(TRIM(raw_data!C899)="","Missing",IF(C899="","Invalid/Unrecognized","Valid"))</f>
        <v>Valid</v>
      </c>
      <c r="F899" s="5" t="n">
        <f aca="false">IF(OR(B899="",C899=""),"",C899-B899)</f>
        <v>4</v>
      </c>
      <c r="G899" s="3" t="str">
        <f aca="false">IF(F899="","N/A",IF(F899&lt;0,"Invalid - Ship Before Order","OK"))</f>
        <v>OK</v>
      </c>
      <c r="H899" s="3" t="str">
        <f aca="false">raw_data!D899</f>
        <v>CUST-2897</v>
      </c>
      <c r="I899" s="3" t="str">
        <f aca="false">PROPER(TRIM(raw_data!E899))</f>
        <v>Rohan Mehta</v>
      </c>
      <c r="J899" s="3" t="str">
        <f aca="false">PROPER(TRIM(raw_data!F899))</f>
        <v>Corporate</v>
      </c>
      <c r="K899" s="3" t="str">
        <f aca="false">IF(TRIM(raw_data!G899)="","Unknown",PROPER(TRIM(raw_data!G899)))</f>
        <v>North</v>
      </c>
      <c r="L899" s="3" t="str">
        <f aca="false">IF(TRIM(raw_data!G899)="","Filled - Unknown","OK")</f>
        <v>OK</v>
      </c>
      <c r="M899" s="3" t="str">
        <f aca="false">PROPER(TRIM(raw_data!H899))</f>
        <v>Haryana</v>
      </c>
      <c r="N899" s="3" t="str">
        <f aca="false">PROPER(TRIM(raw_data!I899))</f>
        <v>Gurugram</v>
      </c>
      <c r="O899" s="3" t="str">
        <f aca="false">PROPER(TRIM(raw_data!J899))</f>
        <v>Office Supplies</v>
      </c>
      <c r="P899" s="3" t="str">
        <f aca="false">PROPER(TRIM(raw_data!K899))</f>
        <v>Paper</v>
      </c>
      <c r="Q899" s="3" t="str">
        <f aca="false">TRIM(raw_data!L899)</f>
        <v>Eco Paper 747</v>
      </c>
      <c r="R899" s="3" t="str">
        <f aca="false">IF(TRIM(raw_data!M899)="","Unknown",PROPER(TRIM(raw_data!M899)))</f>
        <v>First Class</v>
      </c>
      <c r="S899" s="3" t="str">
        <f aca="false">IF(TRIM(raw_data!M899)="","Filled - Unknown","OK")</f>
        <v>OK</v>
      </c>
      <c r="T899" s="6" t="n">
        <f aca="false">raw_data!N899</f>
        <v>4</v>
      </c>
      <c r="U899" s="7" t="n">
        <f aca="false">raw_data!O899</f>
        <v>1786.65</v>
      </c>
      <c r="V899" s="8" t="n">
        <f aca="false">raw_data!P899</f>
        <v>0.05</v>
      </c>
      <c r="W899" s="8" t="n">
        <f aca="false">IF(raw_data!P899="",0,IF(ISTEXT(raw_data!P899),IF(RIGHT(raw_data!P899,1)="%",VALUE(LEFT(raw_data!P899,LEN(raw_data!P899)-1))/100,VALUE(raw_data!P899)),raw_data!P899))</f>
        <v>0.05</v>
      </c>
      <c r="X899" s="3" t="str">
        <f aca="false">IF(raw_data!P899="","Missing - Defaulted to 0",IF(W899&lt;0,"Negative - Invalid",IF(W899&gt;0.3,"Above Allowed Range - Invalid","Valid")))</f>
        <v>Valid</v>
      </c>
      <c r="Y899" s="7" t="n">
        <f aca="false">raw_data!Q899</f>
        <v>6789.27</v>
      </c>
      <c r="Z899" s="7" t="n">
        <f aca="false">raw_data!R899</f>
        <v>5626.43</v>
      </c>
      <c r="AA899" s="7" t="n">
        <f aca="false">raw_data!S899</f>
        <v>1162.84</v>
      </c>
      <c r="AB899" s="3" t="str">
        <f aca="false">PROPER(TRIM(raw_data!T899))</f>
        <v>Paid</v>
      </c>
      <c r="AC899" s="3" t="str">
        <f aca="false">PROPER(TRIM(raw_data!U899))</f>
        <v>Completed</v>
      </c>
      <c r="AD899" s="7" t="n">
        <f aca="false">T899*U899*(1-W899)</f>
        <v>6789.27</v>
      </c>
      <c r="AE899" s="7" t="n">
        <f aca="false">AD899-Z899</f>
        <v>1162.84</v>
      </c>
      <c r="AF899" s="8" t="n">
        <f aca="false">IF(AD899=0,0,AE899/AD899)</f>
        <v>0.171276146036319</v>
      </c>
      <c r="AG899" s="3" t="str">
        <f aca="false">IF(ABS(Y899-AD899)&gt;1,"Mismatch","OK")</f>
        <v>OK</v>
      </c>
      <c r="AH899" s="3" t="str">
        <f aca="false">IF(ABS(AA899-AE899)&gt;1,"Mismatch","OK")</f>
        <v>OK</v>
      </c>
      <c r="AI899" s="6" t="n">
        <f aca="false">IF(B899="","",MONTH(B899))</f>
        <v>4</v>
      </c>
      <c r="AJ899" s="6" t="n">
        <f aca="false">IF(B899="","",YEAR(B899))</f>
        <v>2025</v>
      </c>
      <c r="AK899" s="3" t="str">
        <f aca="false">IF(COUNTIF(raw_data!$A$2:$A$913,A899)&gt;1,"Conflicting Duplicate - Flagged for Review","Unique")</f>
        <v>Unique</v>
      </c>
      <c r="AL899" s="3" t="str">
        <f aca="false">IF(AB899="Refunded","Yes","No")</f>
        <v>No</v>
      </c>
      <c r="AM899" s="3" t="str">
        <f aca="false">IF(OR(AC899&lt;&gt;"Completed",AB899="Failed"),"Excluded","Included")</f>
        <v>Included</v>
      </c>
      <c r="AN899" s="3" t="str">
        <f aca="false">IF(OR(D899="Invalid/Unrecognized",E899="Invalid/Unrecognized",G899="Invalid - Ship Before Order",X899="Negative - Invalid",X899="Above Allowed Range - Invalid",AG899="Mismatch",AH899="Mismatch",AK899="Conflicting Duplicate - Flagged for Review"),"Invalid",IF(OR(L899="Filled - Unknown",S899="Filled - Unknown",X899="Missing - Defaulted to 0",AL899="Yes",AC899="Cancelled",AC899="Returned"),"Warning","Clean"))</f>
        <v>Clean</v>
      </c>
    </row>
    <row r="900" customFormat="false" ht="15" hidden="false" customHeight="false" outlineLevel="0" collapsed="false">
      <c r="A900" s="3" t="str">
        <f aca="false">raw_data!A900</f>
        <v>ORD-2024-10899</v>
      </c>
      <c r="B900" s="4" t="n">
        <f aca="false">IFERROR(IF(MID(raw_data!B900,3,1)="/",DATE(VALUE(RIGHT(raw_data!B900,4)),VALUE(LEFT(raw_data!B900,2)),VALUE(MID(raw_data!B900,4,2))),IF(MID(raw_data!B900,3,1)="-",DATE(VALUE(RIGHT(raw_data!B900,4)),VALUE(MID(raw_data!B900,4,2)),VALUE(LEFT(raw_data!B900,2))),IF(MID(raw_data!B900,5,1)="-",DATE(VALUE(LEFT(raw_data!B900,4)),VALUE(MID(raw_data!B900,6,2)),VALUE(RIGHT(raw_data!B900,2))),DATE(VALUE(RIGHT(raw_data!B900,4)),MATCH(MID(raw_data!B900,4,3),{"Jan","Feb","Mar","Apr","May","Jun","Jul","Aug","Sep","Oct","Nov","Dec"},0),VALUE(LEFT(raw_data!B900,2)))))),"")</f>
        <v>45445</v>
      </c>
      <c r="C900" s="4" t="n">
        <f aca="false">IFERROR(IF(MID(raw_data!C900,3,1)="/",DATE(VALUE(RIGHT(raw_data!C900,4)),VALUE(LEFT(raw_data!C900,2)),VALUE(MID(raw_data!C900,4,2))),IF(MID(raw_data!C900,3,1)="-",DATE(VALUE(RIGHT(raw_data!C900,4)),VALUE(MID(raw_data!C900,4,2)),VALUE(LEFT(raw_data!C900,2))),IF(MID(raw_data!C900,5,1)="-",DATE(VALUE(LEFT(raw_data!C900,4)),VALUE(MID(raw_data!C900,6,2)),VALUE(RIGHT(raw_data!C900,2))),DATE(VALUE(RIGHT(raw_data!C900,4)),MATCH(MID(raw_data!C900,4,3),{"Jan","Feb","Mar","Apr","May","Jun","Jul","Aug","Sep","Oct","Nov","Dec"},0),VALUE(LEFT(raw_data!C900,2)))))),"")</f>
        <v>45451</v>
      </c>
      <c r="D900" s="3" t="str">
        <f aca="false">IF(TRIM(raw_data!B900)="","Missing",IF(B900="","Invalid/Unrecognized","Valid"))</f>
        <v>Valid</v>
      </c>
      <c r="E900" s="3" t="str">
        <f aca="false">IF(TRIM(raw_data!C900)="","Missing",IF(C900="","Invalid/Unrecognized","Valid"))</f>
        <v>Valid</v>
      </c>
      <c r="F900" s="5" t="n">
        <f aca="false">IF(OR(B900="",C900=""),"",C900-B900)</f>
        <v>6</v>
      </c>
      <c r="G900" s="3" t="str">
        <f aca="false">IF(F900="","N/A",IF(F900&lt;0,"Invalid - Ship Before Order","OK"))</f>
        <v>OK</v>
      </c>
      <c r="H900" s="3" t="str">
        <f aca="false">raw_data!D900</f>
        <v>CUST-6046</v>
      </c>
      <c r="I900" s="3" t="str">
        <f aca="false">PROPER(TRIM(raw_data!E900))</f>
        <v>Vikram Iyer</v>
      </c>
      <c r="J900" s="3" t="str">
        <f aca="false">PROPER(TRIM(raw_data!F900))</f>
        <v>Consumer</v>
      </c>
      <c r="K900" s="3" t="str">
        <f aca="false">IF(TRIM(raw_data!G900)="","Unknown",PROPER(TRIM(raw_data!G900)))</f>
        <v>North</v>
      </c>
      <c r="L900" s="3" t="str">
        <f aca="false">IF(TRIM(raw_data!G900)="","Filled - Unknown","OK")</f>
        <v>OK</v>
      </c>
      <c r="M900" s="3" t="str">
        <f aca="false">PROPER(TRIM(raw_data!H900))</f>
        <v>Delhi</v>
      </c>
      <c r="N900" s="3" t="str">
        <f aca="false">PROPER(TRIM(raw_data!I900))</f>
        <v>New Delhi</v>
      </c>
      <c r="O900" s="3" t="str">
        <f aca="false">PROPER(TRIM(raw_data!J900))</f>
        <v>Furniture</v>
      </c>
      <c r="P900" s="3" t="str">
        <f aca="false">PROPER(TRIM(raw_data!K900))</f>
        <v>Tables</v>
      </c>
      <c r="Q900" s="3" t="str">
        <f aca="false">TRIM(raw_data!L900)</f>
        <v>Classic Tables 535</v>
      </c>
      <c r="R900" s="3" t="str">
        <f aca="false">IF(TRIM(raw_data!M900)="","Unknown",PROPER(TRIM(raw_data!M900)))</f>
        <v>First Class</v>
      </c>
      <c r="S900" s="3" t="str">
        <f aca="false">IF(TRIM(raw_data!M900)="","Filled - Unknown","OK")</f>
        <v>OK</v>
      </c>
      <c r="T900" s="6" t="n">
        <f aca="false">raw_data!N900</f>
        <v>4</v>
      </c>
      <c r="U900" s="7" t="n">
        <f aca="false">raw_data!O900</f>
        <v>1536.7</v>
      </c>
      <c r="V900" s="8" t="n">
        <f aca="false">raw_data!P900</f>
        <v>0.2</v>
      </c>
      <c r="W900" s="8" t="n">
        <f aca="false">IF(raw_data!P900="",0,IF(ISTEXT(raw_data!P900),IF(RIGHT(raw_data!P900,1)="%",VALUE(LEFT(raw_data!P900,LEN(raw_data!P900)-1))/100,VALUE(raw_data!P900)),raw_data!P900))</f>
        <v>0.2</v>
      </c>
      <c r="X900" s="3" t="str">
        <f aca="false">IF(raw_data!P900="","Missing - Defaulted to 0",IF(W900&lt;0,"Negative - Invalid",IF(W900&gt;0.3,"Above Allowed Range - Invalid","Valid")))</f>
        <v>Valid</v>
      </c>
      <c r="Y900" s="7" t="n">
        <f aca="false">raw_data!Q900</f>
        <v>4917.44</v>
      </c>
      <c r="Z900" s="7" t="n">
        <f aca="false">raw_data!R900</f>
        <v>3846.77</v>
      </c>
      <c r="AA900" s="7" t="n">
        <f aca="false">raw_data!S900</f>
        <v>1070.67</v>
      </c>
      <c r="AB900" s="3" t="str">
        <f aca="false">PROPER(TRIM(raw_data!T900))</f>
        <v>Paid</v>
      </c>
      <c r="AC900" s="3" t="str">
        <f aca="false">PROPER(TRIM(raw_data!U900))</f>
        <v>Completed</v>
      </c>
      <c r="AD900" s="7" t="n">
        <f aca="false">T900*U900*(1-W900)</f>
        <v>4917.44</v>
      </c>
      <c r="AE900" s="7" t="n">
        <f aca="false">AD900-Z900</f>
        <v>1070.67</v>
      </c>
      <c r="AF900" s="8" t="n">
        <f aca="false">IF(AD900=0,0,AE900/AD900)</f>
        <v>0.217729143619444</v>
      </c>
      <c r="AG900" s="3" t="str">
        <f aca="false">IF(ABS(Y900-AD900)&gt;1,"Mismatch","OK")</f>
        <v>OK</v>
      </c>
      <c r="AH900" s="3" t="str">
        <f aca="false">IF(ABS(AA900-AE900)&gt;1,"Mismatch","OK")</f>
        <v>OK</v>
      </c>
      <c r="AI900" s="6" t="n">
        <f aca="false">IF(B900="","",MONTH(B900))</f>
        <v>6</v>
      </c>
      <c r="AJ900" s="6" t="n">
        <f aca="false">IF(B900="","",YEAR(B900))</f>
        <v>2024</v>
      </c>
      <c r="AK900" s="3" t="str">
        <f aca="false">IF(COUNTIF(raw_data!$A$2:$A$913,A900)&gt;1,"Conflicting Duplicate - Flagged for Review","Unique")</f>
        <v>Unique</v>
      </c>
      <c r="AL900" s="3" t="str">
        <f aca="false">IF(AB900="Refunded","Yes","No")</f>
        <v>No</v>
      </c>
      <c r="AM900" s="3" t="str">
        <f aca="false">IF(OR(AC900&lt;&gt;"Completed",AB900="Failed"),"Excluded","Included")</f>
        <v>Included</v>
      </c>
      <c r="AN900" s="3" t="str">
        <f aca="false">IF(OR(D900="Invalid/Unrecognized",E900="Invalid/Unrecognized",G900="Invalid - Ship Before Order",X900="Negative - Invalid",X900="Above Allowed Range - Invalid",AG900="Mismatch",AH900="Mismatch",AK900="Conflicting Duplicate - Flagged for Review"),"Invalid",IF(OR(L900="Filled - Unknown",S900="Filled - Unknown",X900="Missing - Defaulted to 0",AL900="Yes",AC900="Cancelled",AC900="Returned"),"Warning","Clean"))</f>
        <v>Clean</v>
      </c>
    </row>
    <row r="901" customFormat="false" ht="15" hidden="false" customHeight="false" outlineLevel="0" collapsed="false">
      <c r="A901" s="3" t="str">
        <f aca="false">raw_data!A901</f>
        <v>ORD-2025-10900</v>
      </c>
      <c r="B901" s="4" t="n">
        <f aca="false">IFERROR(IF(MID(raw_data!B901,3,1)="/",DATE(VALUE(RIGHT(raw_data!B901,4)),VALUE(LEFT(raw_data!B901,2)),VALUE(MID(raw_data!B901,4,2))),IF(MID(raw_data!B901,3,1)="-",DATE(VALUE(RIGHT(raw_data!B901,4)),VALUE(MID(raw_data!B901,4,2)),VALUE(LEFT(raw_data!B901,2))),IF(MID(raw_data!B901,5,1)="-",DATE(VALUE(LEFT(raw_data!B901,4)),VALUE(MID(raw_data!B901,6,2)),VALUE(RIGHT(raw_data!B901,2))),DATE(VALUE(RIGHT(raw_data!B901,4)),MATCH(MID(raw_data!B901,4,3),{"Jan","Feb","Mar","Apr","May","Jun","Jul","Aug","Sep","Oct","Nov","Dec"},0),VALUE(LEFT(raw_data!B901,2)))))),"")</f>
        <v>45804</v>
      </c>
      <c r="C901" s="4" t="n">
        <f aca="false">IFERROR(IF(MID(raw_data!C901,3,1)="/",DATE(VALUE(RIGHT(raw_data!C901,4)),VALUE(LEFT(raw_data!C901,2)),VALUE(MID(raw_data!C901,4,2))),IF(MID(raw_data!C901,3,1)="-",DATE(VALUE(RIGHT(raw_data!C901,4)),VALUE(MID(raw_data!C901,4,2)),VALUE(LEFT(raw_data!C901,2))),IF(MID(raw_data!C901,5,1)="-",DATE(VALUE(LEFT(raw_data!C901,4)),VALUE(MID(raw_data!C901,6,2)),VALUE(RIGHT(raw_data!C901,2))),DATE(VALUE(RIGHT(raw_data!C901,4)),MATCH(MID(raw_data!C901,4,3),{"Jan","Feb","Mar","Apr","May","Jun","Jul","Aug","Sep","Oct","Nov","Dec"},0),VALUE(LEFT(raw_data!C901,2)))))),"")</f>
        <v>45811</v>
      </c>
      <c r="D901" s="3" t="str">
        <f aca="false">IF(TRIM(raw_data!B901)="","Missing",IF(B901="","Invalid/Unrecognized","Valid"))</f>
        <v>Valid</v>
      </c>
      <c r="E901" s="3" t="str">
        <f aca="false">IF(TRIM(raw_data!C901)="","Missing",IF(C901="","Invalid/Unrecognized","Valid"))</f>
        <v>Valid</v>
      </c>
      <c r="F901" s="5" t="n">
        <f aca="false">IF(OR(B901="",C901=""),"",C901-B901)</f>
        <v>7</v>
      </c>
      <c r="G901" s="3" t="str">
        <f aca="false">IF(F901="","N/A",IF(F901&lt;0,"Invalid - Ship Before Order","OK"))</f>
        <v>OK</v>
      </c>
      <c r="H901" s="3" t="str">
        <f aca="false">raw_data!D901</f>
        <v>CUST-3789</v>
      </c>
      <c r="I901" s="3" t="str">
        <f aca="false">PROPER(TRIM(raw_data!E901))</f>
        <v>Karan Malhotra</v>
      </c>
      <c r="J901" s="3" t="str">
        <f aca="false">PROPER(TRIM(raw_data!F901))</f>
        <v>Consumer</v>
      </c>
      <c r="K901" s="3" t="str">
        <f aca="false">IF(TRIM(raw_data!G901)="","Unknown",PROPER(TRIM(raw_data!G901)))</f>
        <v>North</v>
      </c>
      <c r="L901" s="3" t="str">
        <f aca="false">IF(TRIM(raw_data!G901)="","Filled - Unknown","OK")</f>
        <v>OK</v>
      </c>
      <c r="M901" s="3" t="str">
        <f aca="false">PROPER(TRIM(raw_data!H901))</f>
        <v>Punjab</v>
      </c>
      <c r="N901" s="3" t="str">
        <f aca="false">PROPER(TRIM(raw_data!I901))</f>
        <v>Ludhiana</v>
      </c>
      <c r="O901" s="3" t="str">
        <f aca="false">PROPER(TRIM(raw_data!J901))</f>
        <v>Furniture</v>
      </c>
      <c r="P901" s="3" t="str">
        <f aca="false">PROPER(TRIM(raw_data!K901))</f>
        <v>Chairs</v>
      </c>
      <c r="Q901" s="3" t="str">
        <f aca="false">TRIM(raw_data!L901)</f>
        <v>Elite Chairs 971</v>
      </c>
      <c r="R901" s="3" t="str">
        <f aca="false">IF(TRIM(raw_data!M901)="","Unknown",PROPER(TRIM(raw_data!M901)))</f>
        <v>First Class</v>
      </c>
      <c r="S901" s="3" t="str">
        <f aca="false">IF(TRIM(raw_data!M901)="","Filled - Unknown","OK")</f>
        <v>OK</v>
      </c>
      <c r="T901" s="6" t="n">
        <f aca="false">raw_data!N901</f>
        <v>5</v>
      </c>
      <c r="U901" s="7" t="n">
        <f aca="false">raw_data!O901</f>
        <v>881.08</v>
      </c>
      <c r="V901" s="8" t="n">
        <f aca="false">raw_data!P901</f>
        <v>0.25</v>
      </c>
      <c r="W901" s="8" t="n">
        <f aca="false">IF(raw_data!P901="",0,IF(ISTEXT(raw_data!P901),IF(RIGHT(raw_data!P901,1)="%",VALUE(LEFT(raw_data!P901,LEN(raw_data!P901)-1))/100,VALUE(raw_data!P901)),raw_data!P901))</f>
        <v>0.25</v>
      </c>
      <c r="X901" s="3" t="str">
        <f aca="false">IF(raw_data!P901="","Missing - Defaulted to 0",IF(W901&lt;0,"Negative - Invalid",IF(W901&gt;0.3,"Above Allowed Range - Invalid","Valid")))</f>
        <v>Valid</v>
      </c>
      <c r="Y901" s="7" t="n">
        <f aca="false">raw_data!Q901</f>
        <v>3304.05</v>
      </c>
      <c r="Z901" s="7" t="n">
        <f aca="false">raw_data!R901</f>
        <v>2279.41</v>
      </c>
      <c r="AA901" s="7" t="n">
        <f aca="false">raw_data!S901</f>
        <v>1024.64</v>
      </c>
      <c r="AB901" s="3" t="str">
        <f aca="false">PROPER(TRIM(raw_data!T901))</f>
        <v>Failed</v>
      </c>
      <c r="AC901" s="3" t="str">
        <f aca="false">PROPER(TRIM(raw_data!U901))</f>
        <v>Cancelled</v>
      </c>
      <c r="AD901" s="7" t="n">
        <f aca="false">T901*U901*(1-W901)</f>
        <v>3304.05</v>
      </c>
      <c r="AE901" s="7" t="n">
        <f aca="false">AD901-Z901</f>
        <v>1024.64</v>
      </c>
      <c r="AF901" s="8" t="n">
        <f aca="false">IF(AD901=0,0,AE901/AD901)</f>
        <v>0.310116372330927</v>
      </c>
      <c r="AG901" s="3" t="str">
        <f aca="false">IF(ABS(Y901-AD901)&gt;1,"Mismatch","OK")</f>
        <v>OK</v>
      </c>
      <c r="AH901" s="3" t="str">
        <f aca="false">IF(ABS(AA901-AE901)&gt;1,"Mismatch","OK")</f>
        <v>OK</v>
      </c>
      <c r="AI901" s="6" t="n">
        <f aca="false">IF(B901="","",MONTH(B901))</f>
        <v>5</v>
      </c>
      <c r="AJ901" s="6" t="n">
        <f aca="false">IF(B901="","",YEAR(B901))</f>
        <v>2025</v>
      </c>
      <c r="AK901" s="3" t="str">
        <f aca="false">IF(COUNTIF(raw_data!$A$2:$A$913,A901)&gt;1,"Conflicting Duplicate - Flagged for Review","Unique")</f>
        <v>Unique</v>
      </c>
      <c r="AL901" s="3" t="str">
        <f aca="false">IF(AB901="Refunded","Yes","No")</f>
        <v>No</v>
      </c>
      <c r="AM901" s="3" t="str">
        <f aca="false">IF(OR(AC901&lt;&gt;"Completed",AB901="Failed"),"Excluded","Included")</f>
        <v>Excluded</v>
      </c>
      <c r="AN901" s="3" t="str">
        <f aca="false">IF(OR(D901="Invalid/Unrecognized",E901="Invalid/Unrecognized",G901="Invalid - Ship Before Order",X901="Negative - Invalid",X901="Above Allowed Range - Invalid",AG901="Mismatch",AH901="Mismatch",AK901="Conflicting Duplicate - Flagged for Review"),"Invalid",IF(OR(L901="Filled - Unknown",S901="Filled - Unknown",X901="Missing - Defaulted to 0",AL901="Yes",AC901="Cancelled",AC901="Returned"),"Warning","Clean"))</f>
        <v>Warning</v>
      </c>
    </row>
    <row r="902" customFormat="false" ht="15" hidden="false" customHeight="false" outlineLevel="0" collapsed="false">
      <c r="A902" s="3" t="str">
        <f aca="false">raw_data!A902</f>
        <v>ORD-2024-10332</v>
      </c>
      <c r="B902" s="4" t="n">
        <f aca="false">IFERROR(IF(MID(raw_data!B902,3,1)="/",DATE(VALUE(RIGHT(raw_data!B902,4)),VALUE(LEFT(raw_data!B902,2)),VALUE(MID(raw_data!B902,4,2))),IF(MID(raw_data!B902,3,1)="-",DATE(VALUE(RIGHT(raw_data!B902,4)),VALUE(MID(raw_data!B902,4,2)),VALUE(LEFT(raw_data!B902,2))),IF(MID(raw_data!B902,5,1)="-",DATE(VALUE(LEFT(raw_data!B902,4)),VALUE(MID(raw_data!B902,6,2)),VALUE(RIGHT(raw_data!B902,2))),DATE(VALUE(RIGHT(raw_data!B902,4)),MATCH(MID(raw_data!B902,4,3),{"Jan","Feb","Mar","Apr","May","Jun","Jul","Aug","Sep","Oct","Nov","Dec"},0),VALUE(LEFT(raw_data!B902,2)))))),"")</f>
        <v>45630</v>
      </c>
      <c r="C902" s="4" t="n">
        <f aca="false">IFERROR(IF(MID(raw_data!C902,3,1)="/",DATE(VALUE(RIGHT(raw_data!C902,4)),VALUE(LEFT(raw_data!C902,2)),VALUE(MID(raw_data!C902,4,2))),IF(MID(raw_data!C902,3,1)="-",DATE(VALUE(RIGHT(raw_data!C902,4)),VALUE(MID(raw_data!C902,4,2)),VALUE(LEFT(raw_data!C902,2))),IF(MID(raw_data!C902,5,1)="-",DATE(VALUE(LEFT(raw_data!C902,4)),VALUE(MID(raw_data!C902,6,2)),VALUE(RIGHT(raw_data!C902,2))),DATE(VALUE(RIGHT(raw_data!C902,4)),MATCH(MID(raw_data!C902,4,3),{"Jan","Feb","Mar","Apr","May","Jun","Jul","Aug","Sep","Oct","Nov","Dec"},0),VALUE(LEFT(raw_data!C902,2)))))),"")</f>
        <v>45632</v>
      </c>
      <c r="D902" s="3" t="str">
        <f aca="false">IF(TRIM(raw_data!B902)="","Missing",IF(B902="","Invalid/Unrecognized","Valid"))</f>
        <v>Valid</v>
      </c>
      <c r="E902" s="3" t="str">
        <f aca="false">IF(TRIM(raw_data!C902)="","Missing",IF(C902="","Invalid/Unrecognized","Valid"))</f>
        <v>Valid</v>
      </c>
      <c r="F902" s="5" t="n">
        <f aca="false">IF(OR(B902="",C902=""),"",C902-B902)</f>
        <v>2</v>
      </c>
      <c r="G902" s="3" t="str">
        <f aca="false">IF(F902="","N/A",IF(F902&lt;0,"Invalid - Ship Before Order","OK"))</f>
        <v>OK</v>
      </c>
      <c r="H902" s="3" t="str">
        <f aca="false">raw_data!D902</f>
        <v>CUST-9346</v>
      </c>
      <c r="I902" s="3" t="str">
        <f aca="false">PROPER(TRIM(raw_data!E902))</f>
        <v>Sneha Kapoor</v>
      </c>
      <c r="J902" s="3" t="str">
        <f aca="false">PROPER(TRIM(raw_data!F902))</f>
        <v>Home Office</v>
      </c>
      <c r="K902" s="3" t="str">
        <f aca="false">IF(TRIM(raw_data!G902)="","Unknown",PROPER(TRIM(raw_data!G902)))</f>
        <v>East</v>
      </c>
      <c r="L902" s="3" t="str">
        <f aca="false">IF(TRIM(raw_data!G902)="","Filled - Unknown","OK")</f>
        <v>OK</v>
      </c>
      <c r="M902" s="3" t="str">
        <f aca="false">PROPER(TRIM(raw_data!H902))</f>
        <v>Odisha</v>
      </c>
      <c r="N902" s="3" t="str">
        <f aca="false">PROPER(TRIM(raw_data!I902))</f>
        <v>Bhubaneswar</v>
      </c>
      <c r="O902" s="3" t="str">
        <f aca="false">PROPER(TRIM(raw_data!J902))</f>
        <v>Office Supplies</v>
      </c>
      <c r="P902" s="3" t="str">
        <f aca="false">PROPER(TRIM(raw_data!K902))</f>
        <v>Binders</v>
      </c>
      <c r="Q902" s="3" t="str">
        <f aca="false">TRIM(raw_data!L902)</f>
        <v>Smart Binders 939</v>
      </c>
      <c r="R902" s="3" t="str">
        <f aca="false">IF(TRIM(raw_data!M902)="","Unknown",PROPER(TRIM(raw_data!M902)))</f>
        <v>Second Class</v>
      </c>
      <c r="S902" s="3" t="str">
        <f aca="false">IF(TRIM(raw_data!M902)="","Filled - Unknown","OK")</f>
        <v>OK</v>
      </c>
      <c r="T902" s="6" t="n">
        <f aca="false">raw_data!N902</f>
        <v>4</v>
      </c>
      <c r="U902" s="7" t="n">
        <f aca="false">raw_data!O902</f>
        <v>2685.66</v>
      </c>
      <c r="V902" s="8" t="n">
        <f aca="false">raw_data!P902</f>
        <v>0</v>
      </c>
      <c r="W902" s="8" t="n">
        <f aca="false">IF(raw_data!P902="",0,IF(ISTEXT(raw_data!P902),IF(RIGHT(raw_data!P902,1)="%",VALUE(LEFT(raw_data!P902,LEN(raw_data!P902)-1))/100,VALUE(raw_data!P902)),raw_data!P902))</f>
        <v>0</v>
      </c>
      <c r="X902" s="3" t="str">
        <f aca="false">IF(raw_data!P902="","Missing - Defaulted to 0",IF(W902&lt;0,"Negative - Invalid",IF(W902&gt;0.3,"Above Allowed Range - Invalid","Valid")))</f>
        <v>Valid</v>
      </c>
      <c r="Y902" s="7" t="n">
        <f aca="false">raw_data!Q902</f>
        <v>10989.89</v>
      </c>
      <c r="Z902" s="7" t="n">
        <f aca="false">raw_data!R902</f>
        <v>6477.37</v>
      </c>
      <c r="AA902" s="7" t="n">
        <f aca="false">raw_data!S902</f>
        <v>4265.27</v>
      </c>
      <c r="AB902" s="3" t="str">
        <f aca="false">PROPER(TRIM(raw_data!T902))</f>
        <v>Paid</v>
      </c>
      <c r="AC902" s="3" t="str">
        <f aca="false">PROPER(TRIM(raw_data!U902))</f>
        <v>Completed</v>
      </c>
      <c r="AD902" s="7" t="n">
        <f aca="false">T902*U902*(1-W902)</f>
        <v>10742.64</v>
      </c>
      <c r="AE902" s="7" t="n">
        <f aca="false">AD902-Z902</f>
        <v>4265.27</v>
      </c>
      <c r="AF902" s="8" t="n">
        <f aca="false">IF(AD902=0,0,AE902/AD902)</f>
        <v>0.397041137001705</v>
      </c>
      <c r="AG902" s="3" t="str">
        <f aca="false">IF(ABS(Y902-AD902)&gt;1,"Mismatch","OK")</f>
        <v>Mismatch</v>
      </c>
      <c r="AH902" s="3" t="str">
        <f aca="false">IF(ABS(AA902-AE902)&gt;1,"Mismatch","OK")</f>
        <v>OK</v>
      </c>
      <c r="AI902" s="6" t="n">
        <f aca="false">IF(B902="","",MONTH(B902))</f>
        <v>12</v>
      </c>
      <c r="AJ902" s="6" t="n">
        <f aca="false">IF(B902="","",YEAR(B902))</f>
        <v>2024</v>
      </c>
      <c r="AK902" s="3" t="str">
        <f aca="false">IF(COUNTIF(raw_data!$A$2:$A$913,A902)&gt;1,"Conflicting Duplicate - Flagged for Review","Unique")</f>
        <v>Conflicting Duplicate - Flagged for Review</v>
      </c>
      <c r="AL902" s="3" t="str">
        <f aca="false">IF(AB902="Refunded","Yes","No")</f>
        <v>No</v>
      </c>
      <c r="AM902" s="3" t="str">
        <f aca="false">IF(OR(AC902&lt;&gt;"Completed",AB902="Failed"),"Excluded","Included")</f>
        <v>Included</v>
      </c>
      <c r="AN902" s="3" t="str">
        <f aca="false">IF(OR(D902="Invalid/Unrecognized",E902="Invalid/Unrecognized",G902="Invalid - Ship Before Order",X902="Negative - Invalid",X902="Above Allowed Range - Invalid",AG902="Mismatch",AH902="Mismatch",AK902="Conflicting Duplicate - Flagged for Review"),"Invalid",IF(OR(L902="Filled - Unknown",S902="Filled - Unknown",X902="Missing - Defaulted to 0",AL902="Yes",AC902="Cancelled",AC902="Returned"),"Warning","Clean"))</f>
        <v>Invalid</v>
      </c>
    </row>
    <row r="903" customFormat="false" ht="15" hidden="false" customHeight="false" outlineLevel="0" collapsed="false">
      <c r="A903" s="3" t="str">
        <f aca="false">raw_data!A903</f>
        <v>ORD-2025-10091</v>
      </c>
      <c r="B903" s="4" t="n">
        <f aca="false">IFERROR(IF(MID(raw_data!B903,3,1)="/",DATE(VALUE(RIGHT(raw_data!B903,4)),VALUE(LEFT(raw_data!B903,2)),VALUE(MID(raw_data!B903,4,2))),IF(MID(raw_data!B903,3,1)="-",DATE(VALUE(RIGHT(raw_data!B903,4)),VALUE(MID(raw_data!B903,4,2)),VALUE(LEFT(raw_data!B903,2))),IF(MID(raw_data!B903,5,1)="-",DATE(VALUE(LEFT(raw_data!B903,4)),VALUE(MID(raw_data!B903,6,2)),VALUE(RIGHT(raw_data!B903,2))),DATE(VALUE(RIGHT(raw_data!B903,4)),MATCH(MID(raw_data!B903,4,3),{"Jan","Feb","Mar","Apr","May","Jun","Jul","Aug","Sep","Oct","Nov","Dec"},0),VALUE(LEFT(raw_data!B903,2)))))),"")</f>
        <v>45893</v>
      </c>
      <c r="C903" s="4" t="n">
        <f aca="false">IFERROR(IF(MID(raw_data!C903,3,1)="/",DATE(VALUE(RIGHT(raw_data!C903,4)),VALUE(LEFT(raw_data!C903,2)),VALUE(MID(raw_data!C903,4,2))),IF(MID(raw_data!C903,3,1)="-",DATE(VALUE(RIGHT(raw_data!C903,4)),VALUE(MID(raw_data!C903,4,2)),VALUE(LEFT(raw_data!C903,2))),IF(MID(raw_data!C903,5,1)="-",DATE(VALUE(LEFT(raw_data!C903,4)),VALUE(MID(raw_data!C903,6,2)),VALUE(RIGHT(raw_data!C903,2))),DATE(VALUE(RIGHT(raw_data!C903,4)),MATCH(MID(raw_data!C903,4,3),{"Jan","Feb","Mar","Apr","May","Jun","Jul","Aug","Sep","Oct","Nov","Dec"},0),VALUE(LEFT(raw_data!C903,2)))))),"")</f>
        <v>45898</v>
      </c>
      <c r="D903" s="3" t="str">
        <f aca="false">IF(TRIM(raw_data!B903)="","Missing",IF(B903="","Invalid/Unrecognized","Valid"))</f>
        <v>Valid</v>
      </c>
      <c r="E903" s="3" t="str">
        <f aca="false">IF(TRIM(raw_data!C903)="","Missing",IF(C903="","Invalid/Unrecognized","Valid"))</f>
        <v>Valid</v>
      </c>
      <c r="F903" s="5" t="n">
        <f aca="false">IF(OR(B903="",C903=""),"",C903-B903)</f>
        <v>5</v>
      </c>
      <c r="G903" s="3" t="str">
        <f aca="false">IF(F903="","N/A",IF(F903&lt;0,"Invalid - Ship Before Order","OK"))</f>
        <v>OK</v>
      </c>
      <c r="H903" s="3" t="str">
        <f aca="false">raw_data!D903</f>
        <v>CUST-5909</v>
      </c>
      <c r="I903" s="3" t="str">
        <f aca="false">PROPER(TRIM(raw_data!E903))</f>
        <v>Aarav Sharma</v>
      </c>
      <c r="J903" s="3" t="str">
        <f aca="false">PROPER(TRIM(raw_data!F903))</f>
        <v>Small Business</v>
      </c>
      <c r="K903" s="3" t="str">
        <f aca="false">IF(TRIM(raw_data!G903)="","Unknown",PROPER(TRIM(raw_data!G903)))</f>
        <v>East</v>
      </c>
      <c r="L903" s="3" t="str">
        <f aca="false">IF(TRIM(raw_data!G903)="","Filled - Unknown","OK")</f>
        <v>OK</v>
      </c>
      <c r="M903" s="3" t="str">
        <f aca="false">PROPER(TRIM(raw_data!H903))</f>
        <v>Bihar</v>
      </c>
      <c r="N903" s="3" t="str">
        <f aca="false">PROPER(TRIM(raw_data!I903))</f>
        <v>Patna</v>
      </c>
      <c r="O903" s="3" t="str">
        <f aca="false">PROPER(TRIM(raw_data!J903))</f>
        <v>Technology</v>
      </c>
      <c r="P903" s="3" t="str">
        <f aca="false">PROPER(TRIM(raw_data!K903))</f>
        <v>Copiers</v>
      </c>
      <c r="Q903" s="3" t="str">
        <f aca="false">TRIM(raw_data!L903)</f>
        <v>Smart Copiers 556</v>
      </c>
      <c r="R903" s="3" t="str">
        <f aca="false">IF(TRIM(raw_data!M903)="","Unknown",PROPER(TRIM(raw_data!M903)))</f>
        <v>First Class</v>
      </c>
      <c r="S903" s="3" t="str">
        <f aca="false">IF(TRIM(raw_data!M903)="","Filled - Unknown","OK")</f>
        <v>OK</v>
      </c>
      <c r="T903" s="6" t="n">
        <f aca="false">raw_data!N903</f>
        <v>3</v>
      </c>
      <c r="U903" s="7" t="n">
        <f aca="false">raw_data!O903</f>
        <v>3703.96</v>
      </c>
      <c r="V903" s="8" t="n">
        <f aca="false">raw_data!P903</f>
        <v>0.15</v>
      </c>
      <c r="W903" s="8" t="n">
        <f aca="false">IF(raw_data!P903="",0,IF(ISTEXT(raw_data!P903),IF(RIGHT(raw_data!P903,1)="%",VALUE(LEFT(raw_data!P903,LEN(raw_data!P903)-1))/100,VALUE(raw_data!P903)),raw_data!P903))</f>
        <v>0.15</v>
      </c>
      <c r="X903" s="3" t="str">
        <f aca="false">IF(raw_data!P903="","Missing - Defaulted to 0",IF(W903&lt;0,"Negative - Invalid",IF(W903&gt;0.3,"Above Allowed Range - Invalid","Valid")))</f>
        <v>Valid</v>
      </c>
      <c r="Y903" s="7" t="n">
        <f aca="false">raw_data!Q903</f>
        <v>9549.44</v>
      </c>
      <c r="Z903" s="7" t="n">
        <f aca="false">raw_data!R903</f>
        <v>5586.28</v>
      </c>
      <c r="AA903" s="7" t="n">
        <f aca="false">raw_data!S903</f>
        <v>3858.82</v>
      </c>
      <c r="AB903" s="3" t="str">
        <f aca="false">PROPER(TRIM(raw_data!T903))</f>
        <v>Paid</v>
      </c>
      <c r="AC903" s="3" t="str">
        <f aca="false">PROPER(TRIM(raw_data!U903))</f>
        <v>Returned</v>
      </c>
      <c r="AD903" s="7" t="n">
        <f aca="false">T903*U903*(1-W903)</f>
        <v>9445.098</v>
      </c>
      <c r="AE903" s="7" t="n">
        <f aca="false">AD903-Z903</f>
        <v>3858.818</v>
      </c>
      <c r="AF903" s="8" t="n">
        <f aca="false">IF(AD903=0,0,AE903/AD903)</f>
        <v>0.4085524575817</v>
      </c>
      <c r="AG903" s="3" t="str">
        <f aca="false">IF(ABS(Y903-AD903)&gt;1,"Mismatch","OK")</f>
        <v>Mismatch</v>
      </c>
      <c r="AH903" s="3" t="str">
        <f aca="false">IF(ABS(AA903-AE903)&gt;1,"Mismatch","OK")</f>
        <v>OK</v>
      </c>
      <c r="AI903" s="6" t="n">
        <f aca="false">IF(B903="","",MONTH(B903))</f>
        <v>8</v>
      </c>
      <c r="AJ903" s="6" t="n">
        <f aca="false">IF(B903="","",YEAR(B903))</f>
        <v>2025</v>
      </c>
      <c r="AK903" s="3" t="str">
        <f aca="false">IF(COUNTIF(raw_data!$A$2:$A$913,A903)&gt;1,"Conflicting Duplicate - Flagged for Review","Unique")</f>
        <v>Conflicting Duplicate - Flagged for Review</v>
      </c>
      <c r="AL903" s="3" t="str">
        <f aca="false">IF(AB903="Refunded","Yes","No")</f>
        <v>No</v>
      </c>
      <c r="AM903" s="3" t="str">
        <f aca="false">IF(OR(AC903&lt;&gt;"Completed",AB903="Failed"),"Excluded","Included")</f>
        <v>Excluded</v>
      </c>
      <c r="AN903" s="3" t="str">
        <f aca="false">IF(OR(D903="Invalid/Unrecognized",E903="Invalid/Unrecognized",G903="Invalid - Ship Before Order",X903="Negative - Invalid",X903="Above Allowed Range - Invalid",AG903="Mismatch",AH903="Mismatch",AK903="Conflicting Duplicate - Flagged for Review"),"Invalid",IF(OR(L903="Filled - Unknown",S903="Filled - Unknown",X903="Missing - Defaulted to 0",AL903="Yes",AC903="Cancelled",AC903="Returned"),"Warning","Clean"))</f>
        <v>Invalid</v>
      </c>
    </row>
    <row r="904" customFormat="false" ht="15" hidden="false" customHeight="false" outlineLevel="0" collapsed="false">
      <c r="A904" s="3" t="str">
        <f aca="false">raw_data!A904</f>
        <v>ORD-2025-10374</v>
      </c>
      <c r="B904" s="4" t="n">
        <f aca="false">IFERROR(IF(MID(raw_data!B904,3,1)="/",DATE(VALUE(RIGHT(raw_data!B904,4)),VALUE(LEFT(raw_data!B904,2)),VALUE(MID(raw_data!B904,4,2))),IF(MID(raw_data!B904,3,1)="-",DATE(VALUE(RIGHT(raw_data!B904,4)),VALUE(MID(raw_data!B904,4,2)),VALUE(LEFT(raw_data!B904,2))),IF(MID(raw_data!B904,5,1)="-",DATE(VALUE(LEFT(raw_data!B904,4)),VALUE(MID(raw_data!B904,6,2)),VALUE(RIGHT(raw_data!B904,2))),DATE(VALUE(RIGHT(raw_data!B904,4)),MATCH(MID(raw_data!B904,4,3),{"Jan","Feb","Mar","Apr","May","Jun","Jul","Aug","Sep","Oct","Nov","Dec"},0),VALUE(LEFT(raw_data!B904,2)))))),"")</f>
        <v>45760</v>
      </c>
      <c r="C904" s="4" t="n">
        <f aca="false">IFERROR(IF(MID(raw_data!C904,3,1)="/",DATE(VALUE(RIGHT(raw_data!C904,4)),VALUE(LEFT(raw_data!C904,2)),VALUE(MID(raw_data!C904,4,2))),IF(MID(raw_data!C904,3,1)="-",DATE(VALUE(RIGHT(raw_data!C904,4)),VALUE(MID(raw_data!C904,4,2)),VALUE(LEFT(raw_data!C904,2))),IF(MID(raw_data!C904,5,1)="-",DATE(VALUE(LEFT(raw_data!C904,4)),VALUE(MID(raw_data!C904,6,2)),VALUE(RIGHT(raw_data!C904,2))),DATE(VALUE(RIGHT(raw_data!C904,4)),MATCH(MID(raw_data!C904,4,3),{"Jan","Feb","Mar","Apr","May","Jun","Jul","Aug","Sep","Oct","Nov","Dec"},0),VALUE(LEFT(raw_data!C904,2)))))),"")</f>
        <v>45760</v>
      </c>
      <c r="D904" s="3" t="str">
        <f aca="false">IF(TRIM(raw_data!B904)="","Missing",IF(B904="","Invalid/Unrecognized","Valid"))</f>
        <v>Valid</v>
      </c>
      <c r="E904" s="3" t="str">
        <f aca="false">IF(TRIM(raw_data!C904)="","Missing",IF(C904="","Invalid/Unrecognized","Valid"))</f>
        <v>Valid</v>
      </c>
      <c r="F904" s="5" t="n">
        <f aca="false">IF(OR(B904="",C904=""),"",C904-B904)</f>
        <v>0</v>
      </c>
      <c r="G904" s="3" t="str">
        <f aca="false">IF(F904="","N/A",IF(F904&lt;0,"Invalid - Ship Before Order","OK"))</f>
        <v>OK</v>
      </c>
      <c r="H904" s="3" t="str">
        <f aca="false">raw_data!D904</f>
        <v>CUST-8566</v>
      </c>
      <c r="I904" s="3" t="str">
        <f aca="false">PROPER(TRIM(raw_data!E904))</f>
        <v>Sneha Kapoor</v>
      </c>
      <c r="J904" s="3" t="str">
        <f aca="false">PROPER(TRIM(raw_data!F904))</f>
        <v>Small Business</v>
      </c>
      <c r="K904" s="3" t="str">
        <f aca="false">IF(TRIM(raw_data!G904)="","Unknown",PROPER(TRIM(raw_data!G904)))</f>
        <v>North</v>
      </c>
      <c r="L904" s="3" t="str">
        <f aca="false">IF(TRIM(raw_data!G904)="","Filled - Unknown","OK")</f>
        <v>OK</v>
      </c>
      <c r="M904" s="3" t="str">
        <f aca="false">PROPER(TRIM(raw_data!H904))</f>
        <v>Uttar Pradesh</v>
      </c>
      <c r="N904" s="3" t="str">
        <f aca="false">PROPER(TRIM(raw_data!I904))</f>
        <v>Noida</v>
      </c>
      <c r="O904" s="3" t="str">
        <f aca="false">PROPER(TRIM(raw_data!J904))</f>
        <v>Office Supplies</v>
      </c>
      <c r="P904" s="3" t="str">
        <f aca="false">PROPER(TRIM(raw_data!K904))</f>
        <v>Storage</v>
      </c>
      <c r="Q904" s="3" t="str">
        <f aca="false">TRIM(raw_data!L904)</f>
        <v>Prime Storage 951</v>
      </c>
      <c r="R904" s="3" t="str">
        <f aca="false">IF(TRIM(raw_data!M904)="","Unknown",PROPER(TRIM(raw_data!M904)))</f>
        <v>Second Class</v>
      </c>
      <c r="S904" s="3" t="str">
        <f aca="false">IF(TRIM(raw_data!M904)="","Filled - Unknown","OK")</f>
        <v>OK</v>
      </c>
      <c r="T904" s="6" t="n">
        <f aca="false">raw_data!N904</f>
        <v>9</v>
      </c>
      <c r="U904" s="7" t="n">
        <f aca="false">raw_data!O904</f>
        <v>1118.68</v>
      </c>
      <c r="V904" s="8" t="n">
        <f aca="false">raw_data!P904</f>
        <v>0</v>
      </c>
      <c r="W904" s="8" t="n">
        <f aca="false">IF(raw_data!P904="",0,IF(ISTEXT(raw_data!P904),IF(RIGHT(raw_data!P904,1)="%",VALUE(LEFT(raw_data!P904,LEN(raw_data!P904)-1))/100,VALUE(raw_data!P904)),raw_data!P904))</f>
        <v>0</v>
      </c>
      <c r="X904" s="3" t="str">
        <f aca="false">IF(raw_data!P904="","Missing - Defaulted to 0",IF(W904&lt;0,"Negative - Invalid",IF(W904&gt;0.3,"Above Allowed Range - Invalid","Valid")))</f>
        <v>Valid</v>
      </c>
      <c r="Y904" s="7" t="n">
        <f aca="false">raw_data!Q904</f>
        <v>10348.43</v>
      </c>
      <c r="Z904" s="7" t="n">
        <f aca="false">raw_data!R904</f>
        <v>8595.37</v>
      </c>
      <c r="AA904" s="7" t="n">
        <f aca="false">raw_data!S904</f>
        <v>1472.75</v>
      </c>
      <c r="AB904" s="3" t="str">
        <f aca="false">PROPER(TRIM(raw_data!T904))</f>
        <v>Paid</v>
      </c>
      <c r="AC904" s="3" t="str">
        <f aca="false">PROPER(TRIM(raw_data!U904))</f>
        <v>Returned</v>
      </c>
      <c r="AD904" s="7" t="n">
        <f aca="false">T904*U904*(1-W904)</f>
        <v>10068.12</v>
      </c>
      <c r="AE904" s="7" t="n">
        <f aca="false">AD904-Z904</f>
        <v>1472.75</v>
      </c>
      <c r="AF904" s="8" t="n">
        <f aca="false">IF(AD904=0,0,AE904/AD904)</f>
        <v>0.146278550513899</v>
      </c>
      <c r="AG904" s="3" t="str">
        <f aca="false">IF(ABS(Y904-AD904)&gt;1,"Mismatch","OK")</f>
        <v>Mismatch</v>
      </c>
      <c r="AH904" s="3" t="str">
        <f aca="false">IF(ABS(AA904-AE904)&gt;1,"Mismatch","OK")</f>
        <v>OK</v>
      </c>
      <c r="AI904" s="6" t="n">
        <f aca="false">IF(B904="","",MONTH(B904))</f>
        <v>4</v>
      </c>
      <c r="AJ904" s="6" t="n">
        <f aca="false">IF(B904="","",YEAR(B904))</f>
        <v>2025</v>
      </c>
      <c r="AK904" s="3" t="str">
        <f aca="false">IF(COUNTIF(raw_data!$A$2:$A$913,A904)&gt;1,"Conflicting Duplicate - Flagged for Review","Unique")</f>
        <v>Conflicting Duplicate - Flagged for Review</v>
      </c>
      <c r="AL904" s="3" t="str">
        <f aca="false">IF(AB904="Refunded","Yes","No")</f>
        <v>No</v>
      </c>
      <c r="AM904" s="3" t="str">
        <f aca="false">IF(OR(AC904&lt;&gt;"Completed",AB904="Failed"),"Excluded","Included")</f>
        <v>Excluded</v>
      </c>
      <c r="AN904" s="3" t="str">
        <f aca="false">IF(OR(D904="Invalid/Unrecognized",E904="Invalid/Unrecognized",G904="Invalid - Ship Before Order",X904="Negative - Invalid",X904="Above Allowed Range - Invalid",AG904="Mismatch",AH904="Mismatch",AK904="Conflicting Duplicate - Flagged for Review"),"Invalid",IF(OR(L904="Filled - Unknown",S904="Filled - Unknown",X904="Missing - Defaulted to 0",AL904="Yes",AC904="Cancelled",AC904="Returned"),"Warning","Clean"))</f>
        <v>Invalid</v>
      </c>
    </row>
    <row r="905" customFormat="false" ht="15" hidden="false" customHeight="false" outlineLevel="0" collapsed="false">
      <c r="A905" s="3" t="str">
        <f aca="false">raw_data!A905</f>
        <v>ORD-2025-10225</v>
      </c>
      <c r="B905" s="4" t="n">
        <f aca="false">IFERROR(IF(MID(raw_data!B905,3,1)="/",DATE(VALUE(RIGHT(raw_data!B905,4)),VALUE(LEFT(raw_data!B905,2)),VALUE(MID(raw_data!B905,4,2))),IF(MID(raw_data!B905,3,1)="-",DATE(VALUE(RIGHT(raw_data!B905,4)),VALUE(MID(raw_data!B905,4,2)),VALUE(LEFT(raw_data!B905,2))),IF(MID(raw_data!B905,5,1)="-",DATE(VALUE(LEFT(raw_data!B905,4)),VALUE(MID(raw_data!B905,6,2)),VALUE(RIGHT(raw_data!B905,2))),DATE(VALUE(RIGHT(raw_data!B905,4)),MATCH(MID(raw_data!B905,4,3),{"Jan","Feb","Mar","Apr","May","Jun","Jul","Aug","Sep","Oct","Nov","Dec"},0),VALUE(LEFT(raw_data!B905,2)))))),"")</f>
        <v>45932</v>
      </c>
      <c r="C905" s="4" t="n">
        <f aca="false">IFERROR(IF(MID(raw_data!C905,3,1)="/",DATE(VALUE(RIGHT(raw_data!C905,4)),VALUE(LEFT(raw_data!C905,2)),VALUE(MID(raw_data!C905,4,2))),IF(MID(raw_data!C905,3,1)="-",DATE(VALUE(RIGHT(raw_data!C905,4)),VALUE(MID(raw_data!C905,4,2)),VALUE(LEFT(raw_data!C905,2))),IF(MID(raw_data!C905,5,1)="-",DATE(VALUE(LEFT(raw_data!C905,4)),VALUE(MID(raw_data!C905,6,2)),VALUE(RIGHT(raw_data!C905,2))),DATE(VALUE(RIGHT(raw_data!C905,4)),MATCH(MID(raw_data!C905,4,3),{"Jan","Feb","Mar","Apr","May","Jun","Jul","Aug","Sep","Oct","Nov","Dec"},0),VALUE(LEFT(raw_data!C905,2)))))),"")</f>
        <v>45938</v>
      </c>
      <c r="D905" s="3" t="str">
        <f aca="false">IF(TRIM(raw_data!B905)="","Missing",IF(B905="","Invalid/Unrecognized","Valid"))</f>
        <v>Valid</v>
      </c>
      <c r="E905" s="3" t="str">
        <f aca="false">IF(TRIM(raw_data!C905)="","Missing",IF(C905="","Invalid/Unrecognized","Valid"))</f>
        <v>Valid</v>
      </c>
      <c r="F905" s="5" t="n">
        <f aca="false">IF(OR(B905="",C905=""),"",C905-B905)</f>
        <v>6</v>
      </c>
      <c r="G905" s="3" t="str">
        <f aca="false">IF(F905="","N/A",IF(F905&lt;0,"Invalid - Ship Before Order","OK"))</f>
        <v>OK</v>
      </c>
      <c r="H905" s="3" t="str">
        <f aca="false">raw_data!D905</f>
        <v>CUST-9871</v>
      </c>
      <c r="I905" s="3" t="str">
        <f aca="false">PROPER(TRIM(raw_data!E905))</f>
        <v>Isha Nair</v>
      </c>
      <c r="J905" s="3" t="str">
        <f aca="false">PROPER(TRIM(raw_data!F905))</f>
        <v>Small Business</v>
      </c>
      <c r="K905" s="3" t="str">
        <f aca="false">IF(TRIM(raw_data!G905)="","Unknown",PROPER(TRIM(raw_data!G905)))</f>
        <v>North</v>
      </c>
      <c r="L905" s="3" t="str">
        <f aca="false">IF(TRIM(raw_data!G905)="","Filled - Unknown","OK")</f>
        <v>OK</v>
      </c>
      <c r="M905" s="3" t="str">
        <f aca="false">PROPER(TRIM(raw_data!H905))</f>
        <v>Punjab</v>
      </c>
      <c r="N905" s="3" t="str">
        <f aca="false">PROPER(TRIM(raw_data!I905))</f>
        <v>Ludhiana</v>
      </c>
      <c r="O905" s="3" t="str">
        <f aca="false">PROPER(TRIM(raw_data!J905))</f>
        <v>Furniture</v>
      </c>
      <c r="P905" s="3" t="str">
        <f aca="false">PROPER(TRIM(raw_data!K905))</f>
        <v>Furnishings</v>
      </c>
      <c r="Q905" s="3" t="str">
        <f aca="false">TRIM(raw_data!L905)</f>
        <v>Classic Furnishings 109</v>
      </c>
      <c r="R905" s="3" t="str">
        <f aca="false">IF(TRIM(raw_data!M905)="","Unknown",PROPER(TRIM(raw_data!M905)))</f>
        <v>Standard Class</v>
      </c>
      <c r="S905" s="3" t="str">
        <f aca="false">IF(TRIM(raw_data!M905)="","Filled - Unknown","OK")</f>
        <v>OK</v>
      </c>
      <c r="T905" s="6" t="n">
        <f aca="false">raw_data!N905</f>
        <v>4</v>
      </c>
      <c r="U905" s="7" t="n">
        <f aca="false">raw_data!O905</f>
        <v>3944.64</v>
      </c>
      <c r="V905" s="8" t="n">
        <f aca="false">raw_data!P905</f>
        <v>0.25</v>
      </c>
      <c r="W905" s="8" t="n">
        <f aca="false">IF(raw_data!P905="",0,IF(ISTEXT(raw_data!P905),IF(RIGHT(raw_data!P905,1)="%",VALUE(LEFT(raw_data!P905,LEN(raw_data!P905)-1))/100,VALUE(raw_data!P905)),raw_data!P905))</f>
        <v>0.25</v>
      </c>
      <c r="X905" s="3" t="str">
        <f aca="false">IF(raw_data!P905="","Missing - Defaulted to 0",IF(W905&lt;0,"Negative - Invalid",IF(W905&gt;0.3,"Above Allowed Range - Invalid","Valid")))</f>
        <v>Valid</v>
      </c>
      <c r="Y905" s="7" t="n">
        <f aca="false">raw_data!Q905</f>
        <v>12116.89</v>
      </c>
      <c r="Z905" s="7" t="n">
        <f aca="false">raw_data!R905</f>
        <v>6682.92</v>
      </c>
      <c r="AA905" s="7" t="n">
        <f aca="false">raw_data!S905</f>
        <v>5151</v>
      </c>
      <c r="AB905" s="3" t="str">
        <f aca="false">PROPER(TRIM(raw_data!T905))</f>
        <v>Paid</v>
      </c>
      <c r="AC905" s="3" t="str">
        <f aca="false">PROPER(TRIM(raw_data!U905))</f>
        <v>Returned</v>
      </c>
      <c r="AD905" s="7" t="n">
        <f aca="false">T905*U905*(1-W905)</f>
        <v>11833.92</v>
      </c>
      <c r="AE905" s="7" t="n">
        <f aca="false">AD905-Z905</f>
        <v>5151</v>
      </c>
      <c r="AF905" s="8" t="n">
        <f aca="false">IF(AD905=0,0,AE905/AD905)</f>
        <v>0.435274194856818</v>
      </c>
      <c r="AG905" s="3" t="str">
        <f aca="false">IF(ABS(Y905-AD905)&gt;1,"Mismatch","OK")</f>
        <v>Mismatch</v>
      </c>
      <c r="AH905" s="3" t="str">
        <f aca="false">IF(ABS(AA905-AE905)&gt;1,"Mismatch","OK")</f>
        <v>OK</v>
      </c>
      <c r="AI905" s="6" t="n">
        <f aca="false">IF(B905="","",MONTH(B905))</f>
        <v>10</v>
      </c>
      <c r="AJ905" s="6" t="n">
        <f aca="false">IF(B905="","",YEAR(B905))</f>
        <v>2025</v>
      </c>
      <c r="AK905" s="3" t="str">
        <f aca="false">IF(COUNTIF(raw_data!$A$2:$A$913,A905)&gt;1,"Conflicting Duplicate - Flagged for Review","Unique")</f>
        <v>Conflicting Duplicate - Flagged for Review</v>
      </c>
      <c r="AL905" s="3" t="str">
        <f aca="false">IF(AB905="Refunded","Yes","No")</f>
        <v>No</v>
      </c>
      <c r="AM905" s="3" t="str">
        <f aca="false">IF(OR(AC905&lt;&gt;"Completed",AB905="Failed"),"Excluded","Included")</f>
        <v>Excluded</v>
      </c>
      <c r="AN905" s="3" t="str">
        <f aca="false">IF(OR(D905="Invalid/Unrecognized",E905="Invalid/Unrecognized",G905="Invalid - Ship Before Order",X905="Negative - Invalid",X905="Above Allowed Range - Invalid",AG905="Mismatch",AH905="Mismatch",AK905="Conflicting Duplicate - Flagged for Review"),"Invalid",IF(OR(L905="Filled - Unknown",S905="Filled - Unknown",X905="Missing - Defaulted to 0",AL905="Yes",AC905="Cancelled",AC905="Returned"),"Warning","Clean"))</f>
        <v>Invalid</v>
      </c>
    </row>
    <row r="906" customFormat="false" ht="15" hidden="false" customHeight="false" outlineLevel="0" collapsed="false">
      <c r="A906" s="3" t="str">
        <f aca="false">raw_data!A906</f>
        <v>ORD-2025-10315</v>
      </c>
      <c r="B906" s="4" t="n">
        <f aca="false">IFERROR(IF(MID(raw_data!B906,3,1)="/",DATE(VALUE(RIGHT(raw_data!B906,4)),VALUE(LEFT(raw_data!B906,2)),VALUE(MID(raw_data!B906,4,2))),IF(MID(raw_data!B906,3,1)="-",DATE(VALUE(RIGHT(raw_data!B906,4)),VALUE(MID(raw_data!B906,4,2)),VALUE(LEFT(raw_data!B906,2))),IF(MID(raw_data!B906,5,1)="-",DATE(VALUE(LEFT(raw_data!B906,4)),VALUE(MID(raw_data!B906,6,2)),VALUE(RIGHT(raw_data!B906,2))),DATE(VALUE(RIGHT(raw_data!B906,4)),MATCH(MID(raw_data!B906,4,3),{"Jan","Feb","Mar","Apr","May","Jun","Jul","Aug","Sep","Oct","Nov","Dec"},0),VALUE(LEFT(raw_data!B906,2)))))),"")</f>
        <v>45795</v>
      </c>
      <c r="C906" s="4" t="n">
        <f aca="false">IFERROR(IF(MID(raw_data!C906,3,1)="/",DATE(VALUE(RIGHT(raw_data!C906,4)),VALUE(LEFT(raw_data!C906,2)),VALUE(MID(raw_data!C906,4,2))),IF(MID(raw_data!C906,3,1)="-",DATE(VALUE(RIGHT(raw_data!C906,4)),VALUE(MID(raw_data!C906,4,2)),VALUE(LEFT(raw_data!C906,2))),IF(MID(raw_data!C906,5,1)="-",DATE(VALUE(LEFT(raw_data!C906,4)),VALUE(MID(raw_data!C906,6,2)),VALUE(RIGHT(raw_data!C906,2))),DATE(VALUE(RIGHT(raw_data!C906,4)),MATCH(MID(raw_data!C906,4,3),{"Jan","Feb","Mar","Apr","May","Jun","Jul","Aug","Sep","Oct","Nov","Dec"},0),VALUE(LEFT(raw_data!C906,2)))))),"")</f>
        <v>45797</v>
      </c>
      <c r="D906" s="3" t="str">
        <f aca="false">IF(TRIM(raw_data!B906)="","Missing",IF(B906="","Invalid/Unrecognized","Valid"))</f>
        <v>Valid</v>
      </c>
      <c r="E906" s="3" t="str">
        <f aca="false">IF(TRIM(raw_data!C906)="","Missing",IF(C906="","Invalid/Unrecognized","Valid"))</f>
        <v>Valid</v>
      </c>
      <c r="F906" s="5" t="n">
        <f aca="false">IF(OR(B906="",C906=""),"",C906-B906)</f>
        <v>2</v>
      </c>
      <c r="G906" s="3" t="str">
        <f aca="false">IF(F906="","N/A",IF(F906&lt;0,"Invalid - Ship Before Order","OK"))</f>
        <v>OK</v>
      </c>
      <c r="H906" s="3" t="str">
        <f aca="false">raw_data!D906</f>
        <v>CUST-1945</v>
      </c>
      <c r="I906" s="3" t="str">
        <f aca="false">PROPER(TRIM(raw_data!E906))</f>
        <v>Isha Nair</v>
      </c>
      <c r="J906" s="3" t="str">
        <f aca="false">PROPER(TRIM(raw_data!F906))</f>
        <v>Corporate</v>
      </c>
      <c r="K906" s="3" t="str">
        <f aca="false">IF(TRIM(raw_data!G906)="","Unknown",PROPER(TRIM(raw_data!G906)))</f>
        <v>West</v>
      </c>
      <c r="L906" s="3" t="str">
        <f aca="false">IF(TRIM(raw_data!G906)="","Filled - Unknown","OK")</f>
        <v>OK</v>
      </c>
      <c r="M906" s="3" t="str">
        <f aca="false">PROPER(TRIM(raw_data!H906))</f>
        <v>Madhya Pradesh</v>
      </c>
      <c r="N906" s="3" t="str">
        <f aca="false">PROPER(TRIM(raw_data!I906))</f>
        <v>Indore</v>
      </c>
      <c r="O906" s="3" t="str">
        <f aca="false">PROPER(TRIM(raw_data!J906))</f>
        <v>Office Supplies</v>
      </c>
      <c r="P906" s="3" t="str">
        <f aca="false">PROPER(TRIM(raw_data!K906))</f>
        <v>Labels</v>
      </c>
      <c r="Q906" s="3" t="str">
        <f aca="false">TRIM(raw_data!L906)</f>
        <v>Elite Labels 544</v>
      </c>
      <c r="R906" s="3" t="str">
        <f aca="false">IF(TRIM(raw_data!M906)="","Unknown",PROPER(TRIM(raw_data!M906)))</f>
        <v>Standard Class</v>
      </c>
      <c r="S906" s="3" t="str">
        <f aca="false">IF(TRIM(raw_data!M906)="","Filled - Unknown","OK")</f>
        <v>OK</v>
      </c>
      <c r="T906" s="6" t="n">
        <f aca="false">raw_data!N906</f>
        <v>9</v>
      </c>
      <c r="U906" s="7" t="n">
        <f aca="false">raw_data!O906</f>
        <v>847.76</v>
      </c>
      <c r="V906" s="8" t="n">
        <f aca="false">raw_data!P906</f>
        <v>0.15</v>
      </c>
      <c r="W906" s="8" t="n">
        <f aca="false">IF(raw_data!P906="",0,IF(ISTEXT(raw_data!P906),IF(RIGHT(raw_data!P906,1)="%",VALUE(LEFT(raw_data!P906,LEN(raw_data!P906)-1))/100,VALUE(raw_data!P906)),raw_data!P906))</f>
        <v>0.15</v>
      </c>
      <c r="X906" s="3" t="str">
        <f aca="false">IF(raw_data!P906="","Missing - Defaulted to 0",IF(W906&lt;0,"Negative - Invalid",IF(W906&gt;0.3,"Above Allowed Range - Invalid","Valid")))</f>
        <v>Valid</v>
      </c>
      <c r="Y906" s="7" t="n">
        <f aca="false">raw_data!Q906</f>
        <v>6589.37</v>
      </c>
      <c r="Z906" s="7" t="n">
        <f aca="false">raw_data!R906</f>
        <v>5376.17</v>
      </c>
      <c r="AA906" s="7" t="n">
        <f aca="false">raw_data!S906</f>
        <v>1109.19</v>
      </c>
      <c r="AB906" s="3" t="str">
        <f aca="false">PROPER(TRIM(raw_data!T906))</f>
        <v>Failed</v>
      </c>
      <c r="AC906" s="3" t="str">
        <f aca="false">PROPER(TRIM(raw_data!U906))</f>
        <v>Completed</v>
      </c>
      <c r="AD906" s="7" t="n">
        <f aca="false">T906*U906*(1-W906)</f>
        <v>6485.364</v>
      </c>
      <c r="AE906" s="7" t="n">
        <f aca="false">AD906-Z906</f>
        <v>1109.194</v>
      </c>
      <c r="AF906" s="8" t="n">
        <f aca="false">IF(AD906=0,0,AE906/AD906)</f>
        <v>0.171030338466738</v>
      </c>
      <c r="AG906" s="3" t="str">
        <f aca="false">IF(ABS(Y906-AD906)&gt;1,"Mismatch","OK")</f>
        <v>Mismatch</v>
      </c>
      <c r="AH906" s="3" t="str">
        <f aca="false">IF(ABS(AA906-AE906)&gt;1,"Mismatch","OK")</f>
        <v>OK</v>
      </c>
      <c r="AI906" s="6" t="n">
        <f aca="false">IF(B906="","",MONTH(B906))</f>
        <v>5</v>
      </c>
      <c r="AJ906" s="6" t="n">
        <f aca="false">IF(B906="","",YEAR(B906))</f>
        <v>2025</v>
      </c>
      <c r="AK906" s="3" t="str">
        <f aca="false">IF(COUNTIF(raw_data!$A$2:$A$913,A906)&gt;1,"Conflicting Duplicate - Flagged for Review","Unique")</f>
        <v>Conflicting Duplicate - Flagged for Review</v>
      </c>
      <c r="AL906" s="3" t="str">
        <f aca="false">IF(AB906="Refunded","Yes","No")</f>
        <v>No</v>
      </c>
      <c r="AM906" s="3" t="str">
        <f aca="false">IF(OR(AC906&lt;&gt;"Completed",AB906="Failed"),"Excluded","Included")</f>
        <v>Excluded</v>
      </c>
      <c r="AN906" s="3" t="str">
        <f aca="false">IF(OR(D906="Invalid/Unrecognized",E906="Invalid/Unrecognized",G906="Invalid - Ship Before Order",X906="Negative - Invalid",X906="Above Allowed Range - Invalid",AG906="Mismatch",AH906="Mismatch",AK906="Conflicting Duplicate - Flagged for Review"),"Invalid",IF(OR(L906="Filled - Unknown",S906="Filled - Unknown",X906="Missing - Defaulted to 0",AL906="Yes",AC906="Cancelled",AC906="Returned"),"Warning","Clean"))</f>
        <v>Invalid</v>
      </c>
    </row>
    <row r="907" customFormat="false" ht="15" hidden="false" customHeight="false" outlineLevel="0" collapsed="false">
      <c r="A907" s="3" t="str">
        <f aca="false">raw_data!A907</f>
        <v>ORD-2025-10171</v>
      </c>
      <c r="B907" s="4" t="n">
        <f aca="false">IFERROR(IF(MID(raw_data!B907,3,1)="/",DATE(VALUE(RIGHT(raw_data!B907,4)),VALUE(LEFT(raw_data!B907,2)),VALUE(MID(raw_data!B907,4,2))),IF(MID(raw_data!B907,3,1)="-",DATE(VALUE(RIGHT(raw_data!B907,4)),VALUE(MID(raw_data!B907,4,2)),VALUE(LEFT(raw_data!B907,2))),IF(MID(raw_data!B907,5,1)="-",DATE(VALUE(LEFT(raw_data!B907,4)),VALUE(MID(raw_data!B907,6,2)),VALUE(RIGHT(raw_data!B907,2))),DATE(VALUE(RIGHT(raw_data!B907,4)),MATCH(MID(raw_data!B907,4,3),{"Jan","Feb","Mar","Apr","May","Jun","Jul","Aug","Sep","Oct","Nov","Dec"},0),VALUE(LEFT(raw_data!B907,2)))))),"")</f>
        <v>45907</v>
      </c>
      <c r="C907" s="4" t="n">
        <f aca="false">IFERROR(IF(MID(raw_data!C907,3,1)="/",DATE(VALUE(RIGHT(raw_data!C907,4)),VALUE(LEFT(raw_data!C907,2)),VALUE(MID(raw_data!C907,4,2))),IF(MID(raw_data!C907,3,1)="-",DATE(VALUE(RIGHT(raw_data!C907,4)),VALUE(MID(raw_data!C907,4,2)),VALUE(LEFT(raw_data!C907,2))),IF(MID(raw_data!C907,5,1)="-",DATE(VALUE(LEFT(raw_data!C907,4)),VALUE(MID(raw_data!C907,6,2)),VALUE(RIGHT(raw_data!C907,2))),DATE(VALUE(RIGHT(raw_data!C907,4)),MATCH(MID(raw_data!C907,4,3),{"Jan","Feb","Mar","Apr","May","Jun","Jul","Aug","Sep","Oct","Nov","Dec"},0),VALUE(LEFT(raw_data!C907,2)))))),"")</f>
        <v>45915</v>
      </c>
      <c r="D907" s="3" t="str">
        <f aca="false">IF(TRIM(raw_data!B907)="","Missing",IF(B907="","Invalid/Unrecognized","Valid"))</f>
        <v>Valid</v>
      </c>
      <c r="E907" s="3" t="str">
        <f aca="false">IF(TRIM(raw_data!C907)="","Missing",IF(C907="","Invalid/Unrecognized","Valid"))</f>
        <v>Valid</v>
      </c>
      <c r="F907" s="5" t="n">
        <f aca="false">IF(OR(B907="",C907=""),"",C907-B907)</f>
        <v>8</v>
      </c>
      <c r="G907" s="3" t="str">
        <f aca="false">IF(F907="","N/A",IF(F907&lt;0,"Invalid - Ship Before Order","OK"))</f>
        <v>OK</v>
      </c>
      <c r="H907" s="3" t="str">
        <f aca="false">raw_data!D907</f>
        <v>CUST-3734</v>
      </c>
      <c r="I907" s="3" t="str">
        <f aca="false">PROPER(TRIM(raw_data!E907))</f>
        <v>Rohan Mehta</v>
      </c>
      <c r="J907" s="3" t="str">
        <f aca="false">PROPER(TRIM(raw_data!F907))</f>
        <v>Corporate</v>
      </c>
      <c r="K907" s="3" t="str">
        <f aca="false">IF(TRIM(raw_data!G907)="","Unknown",PROPER(TRIM(raw_data!G907)))</f>
        <v>East</v>
      </c>
      <c r="L907" s="3" t="str">
        <f aca="false">IF(TRIM(raw_data!G907)="","Filled - Unknown","OK")</f>
        <v>OK</v>
      </c>
      <c r="M907" s="3" t="str">
        <f aca="false">PROPER(TRIM(raw_data!H907))</f>
        <v>Bihar</v>
      </c>
      <c r="N907" s="3" t="str">
        <f aca="false">PROPER(TRIM(raw_data!I907))</f>
        <v>Patna</v>
      </c>
      <c r="O907" s="3" t="str">
        <f aca="false">PROPER(TRIM(raw_data!J907))</f>
        <v>Technology</v>
      </c>
      <c r="P907" s="3" t="str">
        <f aca="false">PROPER(TRIM(raw_data!K907))</f>
        <v>Copiers</v>
      </c>
      <c r="Q907" s="3" t="str">
        <f aca="false">TRIM(raw_data!L907)</f>
        <v>Eco Copiers 102</v>
      </c>
      <c r="R907" s="3" t="str">
        <f aca="false">IF(TRIM(raw_data!M907)="","Unknown",PROPER(TRIM(raw_data!M907)))</f>
        <v>Standard Class</v>
      </c>
      <c r="S907" s="3" t="str">
        <f aca="false">IF(TRIM(raw_data!M907)="","Filled - Unknown","OK")</f>
        <v>OK</v>
      </c>
      <c r="T907" s="6" t="n">
        <f aca="false">raw_data!N907</f>
        <v>3</v>
      </c>
      <c r="U907" s="7" t="n">
        <f aca="false">raw_data!O907</f>
        <v>1711.32</v>
      </c>
      <c r="V907" s="8" t="n">
        <f aca="false">raw_data!P907</f>
        <v>0</v>
      </c>
      <c r="W907" s="8" t="n">
        <f aca="false">IF(raw_data!P907="",0,IF(ISTEXT(raw_data!P907),IF(RIGHT(raw_data!P907,1)="%",VALUE(LEFT(raw_data!P907,LEN(raw_data!P907)-1))/100,VALUE(raw_data!P907)),raw_data!P907))</f>
        <v>0</v>
      </c>
      <c r="X907" s="3" t="str">
        <f aca="false">IF(raw_data!P907="","Missing - Defaulted to 0",IF(W907&lt;0,"Negative - Invalid",IF(W907&gt;0.3,"Above Allowed Range - Invalid","Valid")))</f>
        <v>Valid</v>
      </c>
      <c r="Y907" s="7" t="n">
        <f aca="false">raw_data!Q907</f>
        <v>5206.53</v>
      </c>
      <c r="Z907" s="7" t="n">
        <f aca="false">raw_data!R907</f>
        <v>3930</v>
      </c>
      <c r="AA907" s="7" t="n">
        <f aca="false">raw_data!S907</f>
        <v>1203.96</v>
      </c>
      <c r="AB907" s="3" t="str">
        <f aca="false">PROPER(TRIM(raw_data!T907))</f>
        <v>Paid</v>
      </c>
      <c r="AC907" s="3" t="str">
        <f aca="false">PROPER(TRIM(raw_data!U907))</f>
        <v>Returned</v>
      </c>
      <c r="AD907" s="7" t="n">
        <f aca="false">T907*U907*(1-W907)</f>
        <v>5133.96</v>
      </c>
      <c r="AE907" s="7" t="n">
        <f aca="false">AD907-Z907</f>
        <v>1203.96</v>
      </c>
      <c r="AF907" s="8" t="n">
        <f aca="false">IF(AD907=0,0,AE907/AD907)</f>
        <v>0.234509033962088</v>
      </c>
      <c r="AG907" s="3" t="str">
        <f aca="false">IF(ABS(Y907-AD907)&gt;1,"Mismatch","OK")</f>
        <v>Mismatch</v>
      </c>
      <c r="AH907" s="3" t="str">
        <f aca="false">IF(ABS(AA907-AE907)&gt;1,"Mismatch","OK")</f>
        <v>OK</v>
      </c>
      <c r="AI907" s="6" t="n">
        <f aca="false">IF(B907="","",MONTH(B907))</f>
        <v>9</v>
      </c>
      <c r="AJ907" s="6" t="n">
        <f aca="false">IF(B907="","",YEAR(B907))</f>
        <v>2025</v>
      </c>
      <c r="AK907" s="3" t="str">
        <f aca="false">IF(COUNTIF(raw_data!$A$2:$A$913,A907)&gt;1,"Conflicting Duplicate - Flagged for Review","Unique")</f>
        <v>Conflicting Duplicate - Flagged for Review</v>
      </c>
      <c r="AL907" s="3" t="str">
        <f aca="false">IF(AB907="Refunded","Yes","No")</f>
        <v>No</v>
      </c>
      <c r="AM907" s="3" t="str">
        <f aca="false">IF(OR(AC907&lt;&gt;"Completed",AB907="Failed"),"Excluded","Included")</f>
        <v>Excluded</v>
      </c>
      <c r="AN907" s="3" t="str">
        <f aca="false">IF(OR(D907="Invalid/Unrecognized",E907="Invalid/Unrecognized",G907="Invalid - Ship Before Order",X907="Negative - Invalid",X907="Above Allowed Range - Invalid",AG907="Mismatch",AH907="Mismatch",AK907="Conflicting Duplicate - Flagged for Review"),"Invalid",IF(OR(L907="Filled - Unknown",S907="Filled - Unknown",X907="Missing - Defaulted to 0",AL907="Yes",AC907="Cancelled",AC907="Returned"),"Warning","Clean"))</f>
        <v>Invalid</v>
      </c>
    </row>
    <row r="908" customFormat="false" ht="15" hidden="false" customHeight="false" outlineLevel="0" collapsed="false">
      <c r="A908" s="3" t="str">
        <f aca="false">raw_data!A908</f>
        <v>ORD-2024-10424</v>
      </c>
      <c r="B908" s="4" t="n">
        <f aca="false">IFERROR(IF(MID(raw_data!B908,3,1)="/",DATE(VALUE(RIGHT(raw_data!B908,4)),VALUE(LEFT(raw_data!B908,2)),VALUE(MID(raw_data!B908,4,2))),IF(MID(raw_data!B908,3,1)="-",DATE(VALUE(RIGHT(raw_data!B908,4)),VALUE(MID(raw_data!B908,4,2)),VALUE(LEFT(raw_data!B908,2))),IF(MID(raw_data!B908,5,1)="-",DATE(VALUE(LEFT(raw_data!B908,4)),VALUE(MID(raw_data!B908,6,2)),VALUE(RIGHT(raw_data!B908,2))),DATE(VALUE(RIGHT(raw_data!B908,4)),MATCH(MID(raw_data!B908,4,3),{"Jan","Feb","Mar","Apr","May","Jun","Jul","Aug","Sep","Oct","Nov","Dec"},0),VALUE(LEFT(raw_data!B908,2)))))),"")</f>
        <v>45342</v>
      </c>
      <c r="C908" s="4" t="n">
        <f aca="false">IFERROR(IF(MID(raw_data!C908,3,1)="/",DATE(VALUE(RIGHT(raw_data!C908,4)),VALUE(LEFT(raw_data!C908,2)),VALUE(MID(raw_data!C908,4,2))),IF(MID(raw_data!C908,3,1)="-",DATE(VALUE(RIGHT(raw_data!C908,4)),VALUE(MID(raw_data!C908,4,2)),VALUE(LEFT(raw_data!C908,2))),IF(MID(raw_data!C908,5,1)="-",DATE(VALUE(LEFT(raw_data!C908,4)),VALUE(MID(raw_data!C908,6,2)),VALUE(RIGHT(raw_data!C908,2))),DATE(VALUE(RIGHT(raw_data!C908,4)),MATCH(MID(raw_data!C908,4,3),{"Jan","Feb","Mar","Apr","May","Jun","Jul","Aug","Sep","Oct","Nov","Dec"},0),VALUE(LEFT(raw_data!C908,2)))))),"")</f>
        <v>45349</v>
      </c>
      <c r="D908" s="3" t="str">
        <f aca="false">IF(TRIM(raw_data!B908)="","Missing",IF(B908="","Invalid/Unrecognized","Valid"))</f>
        <v>Valid</v>
      </c>
      <c r="E908" s="3" t="str">
        <f aca="false">IF(TRIM(raw_data!C908)="","Missing",IF(C908="","Invalid/Unrecognized","Valid"))</f>
        <v>Valid</v>
      </c>
      <c r="F908" s="5" t="n">
        <f aca="false">IF(OR(B908="",C908=""),"",C908-B908)</f>
        <v>7</v>
      </c>
      <c r="G908" s="3" t="str">
        <f aca="false">IF(F908="","N/A",IF(F908&lt;0,"Invalid - Ship Before Order","OK"))</f>
        <v>OK</v>
      </c>
      <c r="H908" s="3" t="str">
        <f aca="false">raw_data!D908</f>
        <v>CUST-6169</v>
      </c>
      <c r="I908" s="3" t="str">
        <f aca="false">PROPER(TRIM(raw_data!E908))</f>
        <v>Diya Patel</v>
      </c>
      <c r="J908" s="3" t="str">
        <f aca="false">PROPER(TRIM(raw_data!F908))</f>
        <v>Consumer</v>
      </c>
      <c r="K908" s="3" t="str">
        <f aca="false">IF(TRIM(raw_data!G908)="","Unknown",PROPER(TRIM(raw_data!G908)))</f>
        <v>South</v>
      </c>
      <c r="L908" s="3" t="str">
        <f aca="false">IF(TRIM(raw_data!G908)="","Filled - Unknown","OK")</f>
        <v>OK</v>
      </c>
      <c r="M908" s="3" t="str">
        <f aca="false">PROPER(TRIM(raw_data!H908))</f>
        <v>Kerala</v>
      </c>
      <c r="N908" s="3" t="str">
        <f aca="false">PROPER(TRIM(raw_data!I908))</f>
        <v>Kochi</v>
      </c>
      <c r="O908" s="3" t="str">
        <f aca="false">PROPER(TRIM(raw_data!J908))</f>
        <v>Technology</v>
      </c>
      <c r="P908" s="3" t="str">
        <f aca="false">PROPER(TRIM(raw_data!K908))</f>
        <v>Accessories</v>
      </c>
      <c r="Q908" s="3" t="str">
        <f aca="false">TRIM(raw_data!L908)</f>
        <v>Prime Accessories 236</v>
      </c>
      <c r="R908" s="3" t="str">
        <f aca="false">IF(TRIM(raw_data!M908)="","Unknown",PROPER(TRIM(raw_data!M908)))</f>
        <v>First Class</v>
      </c>
      <c r="S908" s="3" t="str">
        <f aca="false">IF(TRIM(raw_data!M908)="","Filled - Unknown","OK")</f>
        <v>OK</v>
      </c>
      <c r="T908" s="6" t="n">
        <f aca="false">raw_data!N908</f>
        <v>9</v>
      </c>
      <c r="U908" s="7" t="n">
        <f aca="false">raw_data!O908</f>
        <v>3779.31</v>
      </c>
      <c r="V908" s="8" t="n">
        <f aca="false">raw_data!P908</f>
        <v>0.2</v>
      </c>
      <c r="W908" s="8" t="n">
        <f aca="false">IF(raw_data!P908="",0,IF(ISTEXT(raw_data!P908),IF(RIGHT(raw_data!P908,1)="%",VALUE(LEFT(raw_data!P908,LEN(raw_data!P908)-1))/100,VALUE(raw_data!P908)),raw_data!P908))</f>
        <v>0.2</v>
      </c>
      <c r="X908" s="3" t="str">
        <f aca="false">IF(raw_data!P908="","Missing - Defaulted to 0",IF(W908&lt;0,"Negative - Invalid",IF(W908&gt;0.3,"Above Allowed Range - Invalid","Valid")))</f>
        <v>Valid</v>
      </c>
      <c r="Y908" s="7" t="n">
        <f aca="false">raw_data!Q908</f>
        <v>27322.9</v>
      </c>
      <c r="Z908" s="7" t="n">
        <f aca="false">raw_data!R908</f>
        <v>17940.43</v>
      </c>
      <c r="AA908" s="7" t="n">
        <f aca="false">raw_data!S908</f>
        <v>9270.6</v>
      </c>
      <c r="AB908" s="3" t="str">
        <f aca="false">PROPER(TRIM(raw_data!T908))</f>
        <v>Paid</v>
      </c>
      <c r="AC908" s="3" t="str">
        <f aca="false">PROPER(TRIM(raw_data!U908))</f>
        <v>Returned</v>
      </c>
      <c r="AD908" s="7" t="n">
        <f aca="false">T908*U908*(1-W908)</f>
        <v>27211.032</v>
      </c>
      <c r="AE908" s="7" t="n">
        <f aca="false">AD908-Z908</f>
        <v>9270.602</v>
      </c>
      <c r="AF908" s="8" t="n">
        <f aca="false">IF(AD908=0,0,AE908/AD908)</f>
        <v>0.340692774901003</v>
      </c>
      <c r="AG908" s="3" t="str">
        <f aca="false">IF(ABS(Y908-AD908)&gt;1,"Mismatch","OK")</f>
        <v>Mismatch</v>
      </c>
      <c r="AH908" s="3" t="str">
        <f aca="false">IF(ABS(AA908-AE908)&gt;1,"Mismatch","OK")</f>
        <v>OK</v>
      </c>
      <c r="AI908" s="6" t="n">
        <f aca="false">IF(B908="","",MONTH(B908))</f>
        <v>2</v>
      </c>
      <c r="AJ908" s="6" t="n">
        <f aca="false">IF(B908="","",YEAR(B908))</f>
        <v>2024</v>
      </c>
      <c r="AK908" s="3" t="str">
        <f aca="false">IF(COUNTIF(raw_data!$A$2:$A$913,A908)&gt;1,"Conflicting Duplicate - Flagged for Review","Unique")</f>
        <v>Conflicting Duplicate - Flagged for Review</v>
      </c>
      <c r="AL908" s="3" t="str">
        <f aca="false">IF(AB908="Refunded","Yes","No")</f>
        <v>No</v>
      </c>
      <c r="AM908" s="3" t="str">
        <f aca="false">IF(OR(AC908&lt;&gt;"Completed",AB908="Failed"),"Excluded","Included")</f>
        <v>Excluded</v>
      </c>
      <c r="AN908" s="3" t="str">
        <f aca="false">IF(OR(D908="Invalid/Unrecognized",E908="Invalid/Unrecognized",G908="Invalid - Ship Before Order",X908="Negative - Invalid",X908="Above Allowed Range - Invalid",AG908="Mismatch",AH908="Mismatch",AK908="Conflicting Duplicate - Flagged for Review"),"Invalid",IF(OR(L908="Filled - Unknown",S908="Filled - Unknown",X908="Missing - Defaulted to 0",AL908="Yes",AC908="Cancelled",AC908="Returned"),"Warning","Clean"))</f>
        <v>Invalid</v>
      </c>
    </row>
    <row r="909" customFormat="false" ht="15" hidden="false" customHeight="false" outlineLevel="0" collapsed="false">
      <c r="A909" s="3" t="str">
        <f aca="false">raw_data!A909</f>
        <v>ORD-2025-10572</v>
      </c>
      <c r="B909" s="4" t="n">
        <f aca="false">IFERROR(IF(MID(raw_data!B909,3,1)="/",DATE(VALUE(RIGHT(raw_data!B909,4)),VALUE(LEFT(raw_data!B909,2)),VALUE(MID(raw_data!B909,4,2))),IF(MID(raw_data!B909,3,1)="-",DATE(VALUE(RIGHT(raw_data!B909,4)),VALUE(MID(raw_data!B909,4,2)),VALUE(LEFT(raw_data!B909,2))),IF(MID(raw_data!B909,5,1)="-",DATE(VALUE(LEFT(raw_data!B909,4)),VALUE(MID(raw_data!B909,6,2)),VALUE(RIGHT(raw_data!B909,2))),DATE(VALUE(RIGHT(raw_data!B909,4)),MATCH(MID(raw_data!B909,4,3),{"Jan","Feb","Mar","Apr","May","Jun","Jul","Aug","Sep","Oct","Nov","Dec"},0),VALUE(LEFT(raw_data!B909,2)))))),"")</f>
        <v>45698</v>
      </c>
      <c r="C909" s="4" t="n">
        <f aca="false">IFERROR(IF(MID(raw_data!C909,3,1)="/",DATE(VALUE(RIGHT(raw_data!C909,4)),VALUE(LEFT(raw_data!C909,2)),VALUE(MID(raw_data!C909,4,2))),IF(MID(raw_data!C909,3,1)="-",DATE(VALUE(RIGHT(raw_data!C909,4)),VALUE(MID(raw_data!C909,4,2)),VALUE(LEFT(raw_data!C909,2))),IF(MID(raw_data!C909,5,1)="-",DATE(VALUE(LEFT(raw_data!C909,4)),VALUE(MID(raw_data!C909,6,2)),VALUE(RIGHT(raw_data!C909,2))),DATE(VALUE(RIGHT(raw_data!C909,4)),MATCH(MID(raw_data!C909,4,3),{"Jan","Feb","Mar","Apr","May","Jun","Jul","Aug","Sep","Oct","Nov","Dec"},0),VALUE(LEFT(raw_data!C909,2)))))),"")</f>
        <v>45702</v>
      </c>
      <c r="D909" s="3" t="str">
        <f aca="false">IF(TRIM(raw_data!B909)="","Missing",IF(B909="","Invalid/Unrecognized","Valid"))</f>
        <v>Valid</v>
      </c>
      <c r="E909" s="3" t="str">
        <f aca="false">IF(TRIM(raw_data!C909)="","Missing",IF(C909="","Invalid/Unrecognized","Valid"))</f>
        <v>Valid</v>
      </c>
      <c r="F909" s="5" t="n">
        <f aca="false">IF(OR(B909="",C909=""),"",C909-B909)</f>
        <v>4</v>
      </c>
      <c r="G909" s="3" t="str">
        <f aca="false">IF(F909="","N/A",IF(F909&lt;0,"Invalid - Ship Before Order","OK"))</f>
        <v>OK</v>
      </c>
      <c r="H909" s="3" t="str">
        <f aca="false">raw_data!D909</f>
        <v>CUST-3425</v>
      </c>
      <c r="I909" s="3" t="str">
        <f aca="false">PROPER(TRIM(raw_data!E909))</f>
        <v>Priya Menon</v>
      </c>
      <c r="J909" s="3" t="str">
        <f aca="false">PROPER(TRIM(raw_data!F909))</f>
        <v>Small Business</v>
      </c>
      <c r="K909" s="3" t="str">
        <f aca="false">IF(TRIM(raw_data!G909)="","Unknown",PROPER(TRIM(raw_data!G909)))</f>
        <v>North</v>
      </c>
      <c r="L909" s="3" t="str">
        <f aca="false">IF(TRIM(raw_data!G909)="","Filled - Unknown","OK")</f>
        <v>OK</v>
      </c>
      <c r="M909" s="3" t="str">
        <f aca="false">PROPER(TRIM(raw_data!H909))</f>
        <v>Uttar Pradesh</v>
      </c>
      <c r="N909" s="3" t="str">
        <f aca="false">PROPER(TRIM(raw_data!I909))</f>
        <v>Noida</v>
      </c>
      <c r="O909" s="3" t="str">
        <f aca="false">PROPER(TRIM(raw_data!J909))</f>
        <v>Technology</v>
      </c>
      <c r="P909" s="3" t="str">
        <f aca="false">PROPER(TRIM(raw_data!K909))</f>
        <v>Phones</v>
      </c>
      <c r="Q909" s="3" t="str">
        <f aca="false">TRIM(raw_data!L909)</f>
        <v>Prime Phones 895</v>
      </c>
      <c r="R909" s="3" t="str">
        <f aca="false">IF(TRIM(raw_data!M909)="","Unknown",PROPER(TRIM(raw_data!M909)))</f>
        <v>Unknown</v>
      </c>
      <c r="S909" s="3" t="str">
        <f aca="false">IF(TRIM(raw_data!M909)="","Filled - Unknown","OK")</f>
        <v>Filled - Unknown</v>
      </c>
      <c r="T909" s="6" t="n">
        <f aca="false">raw_data!N909</f>
        <v>5</v>
      </c>
      <c r="U909" s="7" t="n">
        <f aca="false">raw_data!O909</f>
        <v>4276.29</v>
      </c>
      <c r="V909" s="8" t="n">
        <f aca="false">raw_data!P909</f>
        <v>0</v>
      </c>
      <c r="W909" s="8" t="n">
        <f aca="false">IF(raw_data!P909="",0,IF(ISTEXT(raw_data!P909),IF(RIGHT(raw_data!P909,1)="%",VALUE(LEFT(raw_data!P909,LEN(raw_data!P909)-1))/100,VALUE(raw_data!P909)),raw_data!P909))</f>
        <v>0</v>
      </c>
      <c r="X909" s="3" t="str">
        <f aca="false">IF(raw_data!P909="","Missing - Defaulted to 0",IF(W909&lt;0,"Negative - Invalid",IF(W909&gt;0.3,"Above Allowed Range - Invalid","Valid")))</f>
        <v>Valid</v>
      </c>
      <c r="Y909" s="7" t="n">
        <f aca="false">raw_data!Q909</f>
        <v>21443.63</v>
      </c>
      <c r="Z909" s="7" t="n">
        <f aca="false">raw_data!R909</f>
        <v>13240.21</v>
      </c>
      <c r="AA909" s="7" t="n">
        <f aca="false">raw_data!S909</f>
        <v>8141.24</v>
      </c>
      <c r="AB909" s="3" t="str">
        <f aca="false">PROPER(TRIM(raw_data!T909))</f>
        <v>Failed</v>
      </c>
      <c r="AC909" s="3" t="str">
        <f aca="false">PROPER(TRIM(raw_data!U909))</f>
        <v>Completed</v>
      </c>
      <c r="AD909" s="7" t="n">
        <f aca="false">T909*U909*(1-W909)</f>
        <v>21381.45</v>
      </c>
      <c r="AE909" s="7" t="n">
        <f aca="false">AD909-Z909</f>
        <v>8141.24</v>
      </c>
      <c r="AF909" s="8" t="n">
        <f aca="false">IF(AD909=0,0,AE909/AD909)</f>
        <v>0.380761828594413</v>
      </c>
      <c r="AG909" s="3" t="str">
        <f aca="false">IF(ABS(Y909-AD909)&gt;1,"Mismatch","OK")</f>
        <v>Mismatch</v>
      </c>
      <c r="AH909" s="3" t="str">
        <f aca="false">IF(ABS(AA909-AE909)&gt;1,"Mismatch","OK")</f>
        <v>OK</v>
      </c>
      <c r="AI909" s="6" t="n">
        <f aca="false">IF(B909="","",MONTH(B909))</f>
        <v>2</v>
      </c>
      <c r="AJ909" s="6" t="n">
        <f aca="false">IF(B909="","",YEAR(B909))</f>
        <v>2025</v>
      </c>
      <c r="AK909" s="3" t="str">
        <f aca="false">IF(COUNTIF(raw_data!$A$2:$A$913,A909)&gt;1,"Conflicting Duplicate - Flagged for Review","Unique")</f>
        <v>Conflicting Duplicate - Flagged for Review</v>
      </c>
      <c r="AL909" s="3" t="str">
        <f aca="false">IF(AB909="Refunded","Yes","No")</f>
        <v>No</v>
      </c>
      <c r="AM909" s="3" t="str">
        <f aca="false">IF(OR(AC909&lt;&gt;"Completed",AB909="Failed"),"Excluded","Included")</f>
        <v>Excluded</v>
      </c>
      <c r="AN909" s="3" t="str">
        <f aca="false">IF(OR(D909="Invalid/Unrecognized",E909="Invalid/Unrecognized",G909="Invalid - Ship Before Order",X909="Negative - Invalid",X909="Above Allowed Range - Invalid",AG909="Mismatch",AH909="Mismatch",AK909="Conflicting Duplicate - Flagged for Review"),"Invalid",IF(OR(L909="Filled - Unknown",S909="Filled - Unknown",X909="Missing - Defaulted to 0",AL909="Yes",AC909="Cancelled",AC909="Returned"),"Warning","Clean"))</f>
        <v>Invalid</v>
      </c>
    </row>
    <row r="910" customFormat="false" ht="15" hidden="false" customHeight="false" outlineLevel="0" collapsed="false">
      <c r="A910" s="3" t="str">
        <f aca="false">raw_data!A910</f>
        <v>ORD-2024-10143</v>
      </c>
      <c r="B910" s="4" t="n">
        <f aca="false">IFERROR(IF(MID(raw_data!B910,3,1)="/",DATE(VALUE(RIGHT(raw_data!B910,4)),VALUE(LEFT(raw_data!B910,2)),VALUE(MID(raw_data!B910,4,2))),IF(MID(raw_data!B910,3,1)="-",DATE(VALUE(RIGHT(raw_data!B910,4)),VALUE(MID(raw_data!B910,4,2)),VALUE(LEFT(raw_data!B910,2))),IF(MID(raw_data!B910,5,1)="-",DATE(VALUE(LEFT(raw_data!B910,4)),VALUE(MID(raw_data!B910,6,2)),VALUE(RIGHT(raw_data!B910,2))),DATE(VALUE(RIGHT(raw_data!B910,4)),MATCH(MID(raw_data!B910,4,3),{"Jan","Feb","Mar","Apr","May","Jun","Jul","Aug","Sep","Oct","Nov","Dec"},0),VALUE(LEFT(raw_data!B910,2)))))),"")</f>
        <v>45381</v>
      </c>
      <c r="C910" s="4" t="n">
        <f aca="false">IFERROR(IF(MID(raw_data!C910,3,1)="/",DATE(VALUE(RIGHT(raw_data!C910,4)),VALUE(LEFT(raw_data!C910,2)),VALUE(MID(raw_data!C910,4,2))),IF(MID(raw_data!C910,3,1)="-",DATE(VALUE(RIGHT(raw_data!C910,4)),VALUE(MID(raw_data!C910,4,2)),VALUE(LEFT(raw_data!C910,2))),IF(MID(raw_data!C910,5,1)="-",DATE(VALUE(LEFT(raw_data!C910,4)),VALUE(MID(raw_data!C910,6,2)),VALUE(RIGHT(raw_data!C910,2))),DATE(VALUE(RIGHT(raw_data!C910,4)),MATCH(MID(raw_data!C910,4,3),{"Jan","Feb","Mar","Apr","May","Jun","Jul","Aug","Sep","Oct","Nov","Dec"},0),VALUE(LEFT(raw_data!C910,2)))))),"")</f>
        <v>45377</v>
      </c>
      <c r="D910" s="3" t="str">
        <f aca="false">IF(TRIM(raw_data!B910)="","Missing",IF(B910="","Invalid/Unrecognized","Valid"))</f>
        <v>Valid</v>
      </c>
      <c r="E910" s="3" t="str">
        <f aca="false">IF(TRIM(raw_data!C910)="","Missing",IF(C910="","Invalid/Unrecognized","Valid"))</f>
        <v>Valid</v>
      </c>
      <c r="F910" s="5" t="n">
        <f aca="false">IF(OR(B910="",C910=""),"",C910-B910)</f>
        <v>-4</v>
      </c>
      <c r="G910" s="3" t="str">
        <f aca="false">IF(F910="","N/A",IF(F910&lt;0,"Invalid - Ship Before Order","OK"))</f>
        <v>Invalid - Ship Before Order</v>
      </c>
      <c r="H910" s="3" t="str">
        <f aca="false">raw_data!D910</f>
        <v>CUST-8944</v>
      </c>
      <c r="I910" s="3" t="str">
        <f aca="false">PROPER(TRIM(raw_data!E910))</f>
        <v>Aditi Sen</v>
      </c>
      <c r="J910" s="3" t="str">
        <f aca="false">PROPER(TRIM(raw_data!F910))</f>
        <v>Home Office</v>
      </c>
      <c r="K910" s="3" t="str">
        <f aca="false">IF(TRIM(raw_data!G910)="","Unknown",PROPER(TRIM(raw_data!G910)))</f>
        <v>North</v>
      </c>
      <c r="L910" s="3" t="str">
        <f aca="false">IF(TRIM(raw_data!G910)="","Filled - Unknown","OK")</f>
        <v>OK</v>
      </c>
      <c r="M910" s="3" t="str">
        <f aca="false">PROPER(TRIM(raw_data!H910))</f>
        <v>Rajasthan</v>
      </c>
      <c r="N910" s="3" t="str">
        <f aca="false">PROPER(TRIM(raw_data!I910))</f>
        <v>Jaipur</v>
      </c>
      <c r="O910" s="3" t="str">
        <f aca="false">PROPER(TRIM(raw_data!J910))</f>
        <v>Technology</v>
      </c>
      <c r="P910" s="3" t="str">
        <f aca="false">PROPER(TRIM(raw_data!K910))</f>
        <v>Phones</v>
      </c>
      <c r="Q910" s="3" t="str">
        <f aca="false">TRIM(raw_data!L910)</f>
        <v>Classic Phones 142</v>
      </c>
      <c r="R910" s="3" t="str">
        <f aca="false">IF(TRIM(raw_data!M910)="","Unknown",PROPER(TRIM(raw_data!M910)))</f>
        <v>Second Class</v>
      </c>
      <c r="S910" s="3" t="str">
        <f aca="false">IF(TRIM(raw_data!M910)="","Filled - Unknown","OK")</f>
        <v>OK</v>
      </c>
      <c r="T910" s="6" t="n">
        <f aca="false">raw_data!N910</f>
        <v>5</v>
      </c>
      <c r="U910" s="7" t="n">
        <f aca="false">raw_data!O910</f>
        <v>907.54</v>
      </c>
      <c r="V910" s="8" t="n">
        <f aca="false">raw_data!P910</f>
        <v>0.15</v>
      </c>
      <c r="W910" s="8" t="n">
        <f aca="false">IF(raw_data!P910="",0,IF(ISTEXT(raw_data!P910),IF(RIGHT(raw_data!P910,1)="%",VALUE(LEFT(raw_data!P910,LEN(raw_data!P910)-1))/100,VALUE(raw_data!P910)),raw_data!P910))</f>
        <v>0.15</v>
      </c>
      <c r="X910" s="3" t="str">
        <f aca="false">IF(raw_data!P910="","Missing - Defaulted to 0",IF(W910&lt;0,"Negative - Invalid",IF(W910&gt;0.3,"Above Allowed Range - Invalid","Valid")))</f>
        <v>Valid</v>
      </c>
      <c r="Y910" s="7" t="n">
        <f aca="false">raw_data!Q910</f>
        <v>4099.69</v>
      </c>
      <c r="Z910" s="7" t="n">
        <f aca="false">raw_data!R910</f>
        <v>2769.26</v>
      </c>
      <c r="AA910" s="7" t="n">
        <f aca="false">raw_data!S910</f>
        <v>1087.78</v>
      </c>
      <c r="AB910" s="3" t="str">
        <f aca="false">PROPER(TRIM(raw_data!T910))</f>
        <v>Paid</v>
      </c>
      <c r="AC910" s="3" t="str">
        <f aca="false">PROPER(TRIM(raw_data!U910))</f>
        <v>Returned</v>
      </c>
      <c r="AD910" s="7" t="n">
        <f aca="false">T910*U910*(1-W910)</f>
        <v>3857.045</v>
      </c>
      <c r="AE910" s="7" t="n">
        <f aca="false">AD910-Z910</f>
        <v>1087.785</v>
      </c>
      <c r="AF910" s="8" t="n">
        <f aca="false">IF(AD910=0,0,AE910/AD910)</f>
        <v>0.282025488424428</v>
      </c>
      <c r="AG910" s="3" t="str">
        <f aca="false">IF(ABS(Y910-AD910)&gt;1,"Mismatch","OK")</f>
        <v>Mismatch</v>
      </c>
      <c r="AH910" s="3" t="str">
        <f aca="false">IF(ABS(AA910-AE910)&gt;1,"Mismatch","OK")</f>
        <v>OK</v>
      </c>
      <c r="AI910" s="6" t="n">
        <f aca="false">IF(B910="","",MONTH(B910))</f>
        <v>3</v>
      </c>
      <c r="AJ910" s="6" t="n">
        <f aca="false">IF(B910="","",YEAR(B910))</f>
        <v>2024</v>
      </c>
      <c r="AK910" s="3" t="str">
        <f aca="false">IF(COUNTIF(raw_data!$A$2:$A$913,A910)&gt;1,"Conflicting Duplicate - Flagged for Review","Unique")</f>
        <v>Conflicting Duplicate - Flagged for Review</v>
      </c>
      <c r="AL910" s="3" t="str">
        <f aca="false">IF(AB910="Refunded","Yes","No")</f>
        <v>No</v>
      </c>
      <c r="AM910" s="3" t="str">
        <f aca="false">IF(OR(AC910&lt;&gt;"Completed",AB910="Failed"),"Excluded","Included")</f>
        <v>Excluded</v>
      </c>
      <c r="AN910" s="3" t="str">
        <f aca="false">IF(OR(D910="Invalid/Unrecognized",E910="Invalid/Unrecognized",G910="Invalid - Ship Before Order",X910="Negative - Invalid",X910="Above Allowed Range - Invalid",AG910="Mismatch",AH910="Mismatch",AK910="Conflicting Duplicate - Flagged for Review"),"Invalid",IF(OR(L910="Filled - Unknown",S910="Filled - Unknown",X910="Missing - Defaulted to 0",AL910="Yes",AC910="Cancelled",AC910="Returned"),"Warning","Clean"))</f>
        <v>Invalid</v>
      </c>
    </row>
    <row r="911" customFormat="false" ht="15" hidden="false" customHeight="false" outlineLevel="0" collapsed="false">
      <c r="A911" s="3" t="str">
        <f aca="false">raw_data!A911</f>
        <v>ORD-2024-10273</v>
      </c>
      <c r="B911" s="4" t="n">
        <f aca="false">IFERROR(IF(MID(raw_data!B911,3,1)="/",DATE(VALUE(RIGHT(raw_data!B911,4)),VALUE(LEFT(raw_data!B911,2)),VALUE(MID(raw_data!B911,4,2))),IF(MID(raw_data!B911,3,1)="-",DATE(VALUE(RIGHT(raw_data!B911,4)),VALUE(MID(raw_data!B911,4,2)),VALUE(LEFT(raw_data!B911,2))),IF(MID(raw_data!B911,5,1)="-",DATE(VALUE(LEFT(raw_data!B911,4)),VALUE(MID(raw_data!B911,6,2)),VALUE(RIGHT(raw_data!B911,2))),DATE(VALUE(RIGHT(raw_data!B911,4)),MATCH(MID(raw_data!B911,4,3),{"Jan","Feb","Mar","Apr","May","Jun","Jul","Aug","Sep","Oct","Nov","Dec"},0),VALUE(LEFT(raw_data!B911,2)))))),"")</f>
        <v>45522</v>
      </c>
      <c r="C911" s="4" t="n">
        <f aca="false">IFERROR(IF(MID(raw_data!C911,3,1)="/",DATE(VALUE(RIGHT(raw_data!C911,4)),VALUE(LEFT(raw_data!C911,2)),VALUE(MID(raw_data!C911,4,2))),IF(MID(raw_data!C911,3,1)="-",DATE(VALUE(RIGHT(raw_data!C911,4)),VALUE(MID(raw_data!C911,4,2)),VALUE(LEFT(raw_data!C911,2))),IF(MID(raw_data!C911,5,1)="-",DATE(VALUE(LEFT(raw_data!C911,4)),VALUE(MID(raw_data!C911,6,2)),VALUE(RIGHT(raw_data!C911,2))),DATE(VALUE(RIGHT(raw_data!C911,4)),MATCH(MID(raw_data!C911,4,3),{"Jan","Feb","Mar","Apr","May","Jun","Jul","Aug","Sep","Oct","Nov","Dec"},0),VALUE(LEFT(raw_data!C911,2)))))),"")</f>
        <v>45528</v>
      </c>
      <c r="D911" s="3" t="str">
        <f aca="false">IF(TRIM(raw_data!B911)="","Missing",IF(B911="","Invalid/Unrecognized","Valid"))</f>
        <v>Valid</v>
      </c>
      <c r="E911" s="3" t="str">
        <f aca="false">IF(TRIM(raw_data!C911)="","Missing",IF(C911="","Invalid/Unrecognized","Valid"))</f>
        <v>Valid</v>
      </c>
      <c r="F911" s="5" t="n">
        <f aca="false">IF(OR(B911="",C911=""),"",C911-B911)</f>
        <v>6</v>
      </c>
      <c r="G911" s="3" t="str">
        <f aca="false">IF(F911="","N/A",IF(F911&lt;0,"Invalid - Ship Before Order","OK"))</f>
        <v>OK</v>
      </c>
      <c r="H911" s="3" t="str">
        <f aca="false">raw_data!D911</f>
        <v>CUST-7389</v>
      </c>
      <c r="I911" s="3" t="str">
        <f aca="false">PROPER(TRIM(raw_data!E911))</f>
        <v>Arjun Bose</v>
      </c>
      <c r="J911" s="3" t="str">
        <f aca="false">PROPER(TRIM(raw_data!F911))</f>
        <v>Consumer</v>
      </c>
      <c r="K911" s="3" t="str">
        <f aca="false">IF(TRIM(raw_data!G911)="","Unknown",PROPER(TRIM(raw_data!G911)))</f>
        <v>South</v>
      </c>
      <c r="L911" s="3" t="str">
        <f aca="false">IF(TRIM(raw_data!G911)="","Filled - Unknown","OK")</f>
        <v>OK</v>
      </c>
      <c r="M911" s="3" t="str">
        <f aca="false">PROPER(TRIM(raw_data!H911))</f>
        <v>Andhra Pradesh</v>
      </c>
      <c r="N911" s="3" t="str">
        <f aca="false">PROPER(TRIM(raw_data!I911))</f>
        <v>Vijayawada</v>
      </c>
      <c r="O911" s="3" t="str">
        <f aca="false">PROPER(TRIM(raw_data!J911))</f>
        <v>Furniture</v>
      </c>
      <c r="P911" s="3" t="str">
        <f aca="false">PROPER(TRIM(raw_data!K911))</f>
        <v>Chairs</v>
      </c>
      <c r="Q911" s="3" t="str">
        <f aca="false">TRIM(raw_data!L911)</f>
        <v>Eco Chairs 314</v>
      </c>
      <c r="R911" s="3" t="str">
        <f aca="false">IF(TRIM(raw_data!M911)="","Unknown",PROPER(TRIM(raw_data!M911)))</f>
        <v>First Class</v>
      </c>
      <c r="S911" s="3" t="str">
        <f aca="false">IF(TRIM(raw_data!M911)="","Filled - Unknown","OK")</f>
        <v>OK</v>
      </c>
      <c r="T911" s="6" t="n">
        <f aca="false">raw_data!N911</f>
        <v>7</v>
      </c>
      <c r="U911" s="7" t="n">
        <f aca="false">raw_data!O911</f>
        <v>557.21</v>
      </c>
      <c r="V911" s="8" t="n">
        <f aca="false">raw_data!P911</f>
        <v>0.1</v>
      </c>
      <c r="W911" s="8" t="n">
        <f aca="false">IF(raw_data!P911="",0,IF(ISTEXT(raw_data!P911),IF(RIGHT(raw_data!P911,1)="%",VALUE(LEFT(raw_data!P911,LEN(raw_data!P911)-1))/100,VALUE(raw_data!P911)),raw_data!P911))</f>
        <v>0.1</v>
      </c>
      <c r="X911" s="3" t="str">
        <f aca="false">IF(raw_data!P911="","Missing - Defaulted to 0",IF(W911&lt;0,"Negative - Invalid",IF(W911&gt;0.3,"Above Allowed Range - Invalid","Valid")))</f>
        <v>Valid</v>
      </c>
      <c r="Y911" s="7" t="n">
        <f aca="false">raw_data!Q911</f>
        <v>3797.79</v>
      </c>
      <c r="Z911" s="7" t="n">
        <f aca="false">raw_data!R911</f>
        <v>2191.5</v>
      </c>
      <c r="AA911" s="7" t="n">
        <f aca="false">raw_data!S911</f>
        <v>1213.48</v>
      </c>
      <c r="AB911" s="3" t="str">
        <f aca="false">PROPER(TRIM(raw_data!T911))</f>
        <v>Paid</v>
      </c>
      <c r="AC911" s="3" t="str">
        <f aca="false">PROPER(TRIM(raw_data!U911))</f>
        <v>Returned</v>
      </c>
      <c r="AD911" s="7" t="n">
        <f aca="false">T911*U911*(1-W911)</f>
        <v>3510.423</v>
      </c>
      <c r="AE911" s="7" t="n">
        <f aca="false">AD911-Z911</f>
        <v>1318.923</v>
      </c>
      <c r="AF911" s="8" t="n">
        <f aca="false">IF(AD911=0,0,AE911/AD911)</f>
        <v>0.375716259835353</v>
      </c>
      <c r="AG911" s="3" t="str">
        <f aca="false">IF(ABS(Y911-AD911)&gt;1,"Mismatch","OK")</f>
        <v>Mismatch</v>
      </c>
      <c r="AH911" s="3" t="str">
        <f aca="false">IF(ABS(AA911-AE911)&gt;1,"Mismatch","OK")</f>
        <v>Mismatch</v>
      </c>
      <c r="AI911" s="6" t="n">
        <f aca="false">IF(B911="","",MONTH(B911))</f>
        <v>8</v>
      </c>
      <c r="AJ911" s="6" t="n">
        <f aca="false">IF(B911="","",YEAR(B911))</f>
        <v>2024</v>
      </c>
      <c r="AK911" s="3" t="str">
        <f aca="false">IF(COUNTIF(raw_data!$A$2:$A$913,A911)&gt;1,"Conflicting Duplicate - Flagged for Review","Unique")</f>
        <v>Conflicting Duplicate - Flagged for Review</v>
      </c>
      <c r="AL911" s="3" t="str">
        <f aca="false">IF(AB911="Refunded","Yes","No")</f>
        <v>No</v>
      </c>
      <c r="AM911" s="3" t="str">
        <f aca="false">IF(OR(AC911&lt;&gt;"Completed",AB911="Failed"),"Excluded","Included")</f>
        <v>Excluded</v>
      </c>
      <c r="AN911" s="3" t="str">
        <f aca="false">IF(OR(D911="Invalid/Unrecognized",E911="Invalid/Unrecognized",G911="Invalid - Ship Before Order",X911="Negative - Invalid",X911="Above Allowed Range - Invalid",AG911="Mismatch",AH911="Mismatch",AK911="Conflicting Duplicate - Flagged for Review"),"Invalid",IF(OR(L911="Filled - Unknown",S911="Filled - Unknown",X911="Missing - Defaulted to 0",AL911="Yes",AC911="Cancelled",AC911="Returned"),"Warning","Clean"))</f>
        <v>Invalid</v>
      </c>
    </row>
    <row r="912" customFormat="false" ht="15" hidden="false" customHeight="false" outlineLevel="0" collapsed="false">
      <c r="A912" s="3" t="str">
        <f aca="false">raw_data!A912</f>
        <v>ORD-2024-10124</v>
      </c>
      <c r="B912" s="4" t="n">
        <f aca="false">IFERROR(IF(MID(raw_data!B912,3,1)="/",DATE(VALUE(RIGHT(raw_data!B912,4)),VALUE(LEFT(raw_data!B912,2)),VALUE(MID(raw_data!B912,4,2))),IF(MID(raw_data!B912,3,1)="-",DATE(VALUE(RIGHT(raw_data!B912,4)),VALUE(MID(raw_data!B912,4,2)),VALUE(LEFT(raw_data!B912,2))),IF(MID(raw_data!B912,5,1)="-",DATE(VALUE(LEFT(raw_data!B912,4)),VALUE(MID(raw_data!B912,6,2)),VALUE(RIGHT(raw_data!B912,2))),DATE(VALUE(RIGHT(raw_data!B912,4)),MATCH(MID(raw_data!B912,4,3),{"Jan","Feb","Mar","Apr","May","Jun","Jul","Aug","Sep","Oct","Nov","Dec"},0),VALUE(LEFT(raw_data!B912,2)))))),"")</f>
        <v>45436</v>
      </c>
      <c r="C912" s="4" t="n">
        <f aca="false">IFERROR(IF(MID(raw_data!C912,3,1)="/",DATE(VALUE(RIGHT(raw_data!C912,4)),VALUE(LEFT(raw_data!C912,2)),VALUE(MID(raw_data!C912,4,2))),IF(MID(raw_data!C912,3,1)="-",DATE(VALUE(RIGHT(raw_data!C912,4)),VALUE(MID(raw_data!C912,4,2)),VALUE(LEFT(raw_data!C912,2))),IF(MID(raw_data!C912,5,1)="-",DATE(VALUE(LEFT(raw_data!C912,4)),VALUE(MID(raw_data!C912,6,2)),VALUE(RIGHT(raw_data!C912,2))),DATE(VALUE(RIGHT(raw_data!C912,4)),MATCH(MID(raw_data!C912,4,3),{"Jan","Feb","Mar","Apr","May","Jun","Jul","Aug","Sep","Oct","Nov","Dec"},0),VALUE(LEFT(raw_data!C912,2)))))),"")</f>
        <v>45437</v>
      </c>
      <c r="D912" s="3" t="str">
        <f aca="false">IF(TRIM(raw_data!B912)="","Missing",IF(B912="","Invalid/Unrecognized","Valid"))</f>
        <v>Valid</v>
      </c>
      <c r="E912" s="3" t="str">
        <f aca="false">IF(TRIM(raw_data!C912)="","Missing",IF(C912="","Invalid/Unrecognized","Valid"))</f>
        <v>Valid</v>
      </c>
      <c r="F912" s="5" t="n">
        <f aca="false">IF(OR(B912="",C912=""),"",C912-B912)</f>
        <v>1</v>
      </c>
      <c r="G912" s="3" t="str">
        <f aca="false">IF(F912="","N/A",IF(F912&lt;0,"Invalid - Ship Before Order","OK"))</f>
        <v>OK</v>
      </c>
      <c r="H912" s="3" t="str">
        <f aca="false">raw_data!D912</f>
        <v>CUST-1007</v>
      </c>
      <c r="I912" s="3" t="str">
        <f aca="false">PROPER(TRIM(raw_data!E912))</f>
        <v>Sneha Kapoor</v>
      </c>
      <c r="J912" s="3" t="str">
        <f aca="false">PROPER(TRIM(raw_data!F912))</f>
        <v>Small Business</v>
      </c>
      <c r="K912" s="3" t="str">
        <f aca="false">IF(TRIM(raw_data!G912)="","Unknown",PROPER(TRIM(raw_data!G912)))</f>
        <v>North</v>
      </c>
      <c r="L912" s="3" t="str">
        <f aca="false">IF(TRIM(raw_data!G912)="","Filled - Unknown","OK")</f>
        <v>OK</v>
      </c>
      <c r="M912" s="3" t="str">
        <f aca="false">PROPER(TRIM(raw_data!H912))</f>
        <v>Punjab</v>
      </c>
      <c r="N912" s="3" t="str">
        <f aca="false">PROPER(TRIM(raw_data!I912))</f>
        <v>Ludhiana</v>
      </c>
      <c r="O912" s="3" t="str">
        <f aca="false">PROPER(TRIM(raw_data!J912))</f>
        <v>Technology</v>
      </c>
      <c r="P912" s="3" t="str">
        <f aca="false">PROPER(TRIM(raw_data!K912))</f>
        <v>Copiers</v>
      </c>
      <c r="Q912" s="3" t="str">
        <f aca="false">TRIM(raw_data!L912)</f>
        <v>Max Copiers 970</v>
      </c>
      <c r="R912" s="3" t="str">
        <f aca="false">IF(TRIM(raw_data!M912)="","Unknown",PROPER(TRIM(raw_data!M912)))</f>
        <v>Same Day</v>
      </c>
      <c r="S912" s="3" t="str">
        <f aca="false">IF(TRIM(raw_data!M912)="","Filled - Unknown","OK")</f>
        <v>OK</v>
      </c>
      <c r="T912" s="6" t="n">
        <f aca="false">raw_data!N912</f>
        <v>1</v>
      </c>
      <c r="U912" s="7" t="n">
        <f aca="false">raw_data!O912</f>
        <v>634.13</v>
      </c>
      <c r="V912" s="8" t="n">
        <f aca="false">raw_data!P912</f>
        <v>0</v>
      </c>
      <c r="W912" s="8" t="n">
        <f aca="false">IF(raw_data!P912="",0,IF(ISTEXT(raw_data!P912),IF(RIGHT(raw_data!P912,1)="%",VALUE(LEFT(raw_data!P912,LEN(raw_data!P912)-1))/100,VALUE(raw_data!P912)),raw_data!P912))</f>
        <v>0</v>
      </c>
      <c r="X912" s="3" t="str">
        <f aca="false">IF(raw_data!P912="","Missing - Defaulted to 0",IF(W912&lt;0,"Negative - Invalid",IF(W912&gt;0.3,"Above Allowed Range - Invalid","Valid")))</f>
        <v>Valid</v>
      </c>
      <c r="Y912" s="7" t="n">
        <f aca="false">raw_data!Q912</f>
        <v>808.67</v>
      </c>
      <c r="Z912" s="7" t="n">
        <f aca="false">raw_data!R912</f>
        <v>453.35</v>
      </c>
      <c r="AA912" s="7" t="n">
        <f aca="false">raw_data!S912</f>
        <v>180.78</v>
      </c>
      <c r="AB912" s="3" t="str">
        <f aca="false">PROPER(TRIM(raw_data!T912))</f>
        <v>Refunded</v>
      </c>
      <c r="AC912" s="3" t="str">
        <f aca="false">PROPER(TRIM(raw_data!U912))</f>
        <v>Returned</v>
      </c>
      <c r="AD912" s="7" t="n">
        <f aca="false">T912*U912*(1-W912)</f>
        <v>634.13</v>
      </c>
      <c r="AE912" s="7" t="n">
        <f aca="false">AD912-Z912</f>
        <v>180.78</v>
      </c>
      <c r="AF912" s="8" t="n">
        <f aca="false">IF(AD912=0,0,AE912/AD912)</f>
        <v>0.28508350022866</v>
      </c>
      <c r="AG912" s="3" t="str">
        <f aca="false">IF(ABS(Y912-AD912)&gt;1,"Mismatch","OK")</f>
        <v>Mismatch</v>
      </c>
      <c r="AH912" s="3" t="str">
        <f aca="false">IF(ABS(AA912-AE912)&gt;1,"Mismatch","OK")</f>
        <v>OK</v>
      </c>
      <c r="AI912" s="6" t="n">
        <f aca="false">IF(B912="","",MONTH(B912))</f>
        <v>5</v>
      </c>
      <c r="AJ912" s="6" t="n">
        <f aca="false">IF(B912="","",YEAR(B912))</f>
        <v>2024</v>
      </c>
      <c r="AK912" s="3" t="str">
        <f aca="false">IF(COUNTIF(raw_data!$A$2:$A$913,A912)&gt;1,"Conflicting Duplicate - Flagged for Review","Unique")</f>
        <v>Conflicting Duplicate - Flagged for Review</v>
      </c>
      <c r="AL912" s="3" t="str">
        <f aca="false">IF(AB912="Refunded","Yes","No")</f>
        <v>Yes</v>
      </c>
      <c r="AM912" s="3" t="str">
        <f aca="false">IF(OR(AC912&lt;&gt;"Completed",AB912="Failed"),"Excluded","Included")</f>
        <v>Excluded</v>
      </c>
      <c r="AN912" s="3" t="str">
        <f aca="false">IF(OR(D912="Invalid/Unrecognized",E912="Invalid/Unrecognized",G912="Invalid - Ship Before Order",X912="Negative - Invalid",X912="Above Allowed Range - Invalid",AG912="Mismatch",AH912="Mismatch",AK912="Conflicting Duplicate - Flagged for Review"),"Invalid",IF(OR(L912="Filled - Unknown",S912="Filled - Unknown",X912="Missing - Defaulted to 0",AL912="Yes",AC912="Cancelled",AC912="Returned"),"Warning","Clean"))</f>
        <v>Invalid</v>
      </c>
    </row>
    <row r="913" customFormat="false" ht="15" hidden="false" customHeight="false" outlineLevel="0" collapsed="false">
      <c r="A913" s="3" t="str">
        <f aca="false">raw_data!A913</f>
        <v>ORD-2025-10336</v>
      </c>
      <c r="B913" s="4" t="n">
        <f aca="false">IFERROR(IF(MID(raw_data!B913,3,1)="/",DATE(VALUE(RIGHT(raw_data!B913,4)),VALUE(LEFT(raw_data!B913,2)),VALUE(MID(raw_data!B913,4,2))),IF(MID(raw_data!B913,3,1)="-",DATE(VALUE(RIGHT(raw_data!B913,4)),VALUE(MID(raw_data!B913,4,2)),VALUE(LEFT(raw_data!B913,2))),IF(MID(raw_data!B913,5,1)="-",DATE(VALUE(LEFT(raw_data!B913,4)),VALUE(MID(raw_data!B913,6,2)),VALUE(RIGHT(raw_data!B913,2))),DATE(VALUE(RIGHT(raw_data!B913,4)),MATCH(MID(raw_data!B913,4,3),{"Jan","Feb","Mar","Apr","May","Jun","Jul","Aug","Sep","Oct","Nov","Dec"},0),VALUE(LEFT(raw_data!B913,2)))))),"")</f>
        <v>45824</v>
      </c>
      <c r="C913" s="4" t="n">
        <f aca="false">IFERROR(IF(MID(raw_data!C913,3,1)="/",DATE(VALUE(RIGHT(raw_data!C913,4)),VALUE(LEFT(raw_data!C913,2)),VALUE(MID(raw_data!C913,4,2))),IF(MID(raw_data!C913,3,1)="-",DATE(VALUE(RIGHT(raw_data!C913,4)),VALUE(MID(raw_data!C913,4,2)),VALUE(LEFT(raw_data!C913,2))),IF(MID(raw_data!C913,5,1)="-",DATE(VALUE(LEFT(raw_data!C913,4)),VALUE(MID(raw_data!C913,6,2)),VALUE(RIGHT(raw_data!C913,2))),DATE(VALUE(RIGHT(raw_data!C913,4)),MATCH(MID(raw_data!C913,4,3),{"Jan","Feb","Mar","Apr","May","Jun","Jul","Aug","Sep","Oct","Nov","Dec"},0),VALUE(LEFT(raw_data!C913,2)))))),"")</f>
        <v>45826</v>
      </c>
      <c r="D913" s="3" t="str">
        <f aca="false">IF(TRIM(raw_data!B913)="","Missing",IF(B913="","Invalid/Unrecognized","Valid"))</f>
        <v>Valid</v>
      </c>
      <c r="E913" s="3" t="str">
        <f aca="false">IF(TRIM(raw_data!C913)="","Missing",IF(C913="","Invalid/Unrecognized","Valid"))</f>
        <v>Valid</v>
      </c>
      <c r="F913" s="5" t="n">
        <f aca="false">IF(OR(B913="",C913=""),"",C913-B913)</f>
        <v>2</v>
      </c>
      <c r="G913" s="3" t="str">
        <f aca="false">IF(F913="","N/A",IF(F913&lt;0,"Invalid - Ship Before Order","OK"))</f>
        <v>OK</v>
      </c>
      <c r="H913" s="3" t="str">
        <f aca="false">raw_data!D913</f>
        <v>CUST-3621</v>
      </c>
      <c r="I913" s="3" t="str">
        <f aca="false">PROPER(TRIM(raw_data!E913))</f>
        <v>Rahul Verma</v>
      </c>
      <c r="J913" s="3" t="str">
        <f aca="false">PROPER(TRIM(raw_data!F913))</f>
        <v>Home Office</v>
      </c>
      <c r="K913" s="3" t="str">
        <f aca="false">IF(TRIM(raw_data!G913)="","Unknown",PROPER(TRIM(raw_data!G913)))</f>
        <v>West</v>
      </c>
      <c r="L913" s="3" t="str">
        <f aca="false">IF(TRIM(raw_data!G913)="","Filled - Unknown","OK")</f>
        <v>OK</v>
      </c>
      <c r="M913" s="3" t="str">
        <f aca="false">PROPER(TRIM(raw_data!H913))</f>
        <v>Madhya Pradesh</v>
      </c>
      <c r="N913" s="3" t="str">
        <f aca="false">PROPER(TRIM(raw_data!I913))</f>
        <v>Indore</v>
      </c>
      <c r="O913" s="3" t="str">
        <f aca="false">PROPER(TRIM(raw_data!J913))</f>
        <v>Office Supplies</v>
      </c>
      <c r="P913" s="3" t="str">
        <f aca="false">PROPER(TRIM(raw_data!K913))</f>
        <v>Paper</v>
      </c>
      <c r="Q913" s="3" t="str">
        <f aca="false">TRIM(raw_data!L913)</f>
        <v>Prime Paper 559</v>
      </c>
      <c r="R913" s="3" t="str">
        <f aca="false">IF(TRIM(raw_data!M913)="","Unknown",PROPER(TRIM(raw_data!M913)))</f>
        <v>First Class</v>
      </c>
      <c r="S913" s="3" t="str">
        <f aca="false">IF(TRIM(raw_data!M913)="","Filled - Unknown","OK")</f>
        <v>OK</v>
      </c>
      <c r="T913" s="6" t="n">
        <f aca="false">raw_data!N913</f>
        <v>3</v>
      </c>
      <c r="U913" s="7" t="n">
        <f aca="false">raw_data!O913</f>
        <v>4289.37</v>
      </c>
      <c r="V913" s="8" t="n">
        <f aca="false">raw_data!P913</f>
        <v>0.1</v>
      </c>
      <c r="W913" s="8" t="n">
        <f aca="false">IF(raw_data!P913="",0,IF(ISTEXT(raw_data!P913),IF(RIGHT(raw_data!P913,1)="%",VALUE(LEFT(raw_data!P913,LEN(raw_data!P913)-1))/100,VALUE(raw_data!P913)),raw_data!P913))</f>
        <v>0.1</v>
      </c>
      <c r="X913" s="3" t="str">
        <f aca="false">IF(raw_data!P913="","Missing - Defaulted to 0",IF(W913&lt;0,"Negative - Invalid",IF(W913&gt;0.3,"Above Allowed Range - Invalid","Valid")))</f>
        <v>Valid</v>
      </c>
      <c r="Y913" s="7" t="n">
        <f aca="false">raw_data!Q913</f>
        <v>11778.71</v>
      </c>
      <c r="Z913" s="7" t="n">
        <f aca="false">raw_data!R913</f>
        <v>6829.43</v>
      </c>
      <c r="AA913" s="7" t="n">
        <f aca="false">raw_data!S913</f>
        <v>4751.87</v>
      </c>
      <c r="AB913" s="3" t="str">
        <f aca="false">PROPER(TRIM(raw_data!T913))</f>
        <v>Paid</v>
      </c>
      <c r="AC913" s="3" t="str">
        <f aca="false">PROPER(TRIM(raw_data!U913))</f>
        <v>Returned</v>
      </c>
      <c r="AD913" s="7" t="n">
        <f aca="false">T913*U913*(1-W913)</f>
        <v>11581.299</v>
      </c>
      <c r="AE913" s="7" t="n">
        <f aca="false">AD913-Z913</f>
        <v>4751.869</v>
      </c>
      <c r="AF913" s="8" t="n">
        <f aca="false">IF(AD913=0,0,AE913/AD913)</f>
        <v>0.410305355211017</v>
      </c>
      <c r="AG913" s="3" t="str">
        <f aca="false">IF(ABS(Y913-AD913)&gt;1,"Mismatch","OK")</f>
        <v>Mismatch</v>
      </c>
      <c r="AH913" s="3" t="str">
        <f aca="false">IF(ABS(AA913-AE913)&gt;1,"Mismatch","OK")</f>
        <v>OK</v>
      </c>
      <c r="AI913" s="6" t="n">
        <f aca="false">IF(B913="","",MONTH(B913))</f>
        <v>6</v>
      </c>
      <c r="AJ913" s="6" t="n">
        <f aca="false">IF(B913="","",YEAR(B913))</f>
        <v>2025</v>
      </c>
      <c r="AK913" s="3" t="str">
        <f aca="false">IF(COUNTIF(raw_data!$A$2:$A$913,A913)&gt;1,"Conflicting Duplicate - Flagged for Review","Unique")</f>
        <v>Conflicting Duplicate - Flagged for Review</v>
      </c>
      <c r="AL913" s="3" t="str">
        <f aca="false">IF(AB913="Refunded","Yes","No")</f>
        <v>No</v>
      </c>
      <c r="AM913" s="3" t="str">
        <f aca="false">IF(OR(AC913&lt;&gt;"Completed",AB913="Failed"),"Excluded","Included")</f>
        <v>Excluded</v>
      </c>
      <c r="AN913" s="3" t="str">
        <f aca="false">IF(OR(D913="Invalid/Unrecognized",E913="Invalid/Unrecognized",G913="Invalid - Ship Before Order",X913="Negative - Invalid",X913="Above Allowed Range - Invalid",AG913="Mismatch",AH913="Mismatch",AK913="Conflicting Duplicate - Flagged for Review"),"Invalid",IF(OR(L913="Filled - Unknown",S913="Filled - Unknown",X913="Missing - Defaulted to 0",AL913="Yes",AC913="Cancelled",AC913="Returned"),"Warning","Clean"))</f>
        <v>Invalid</v>
      </c>
    </row>
  </sheetData>
  <autoFilter ref="A1:AN9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3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9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20"/>
    <col collapsed="false" customWidth="true" hidden="false" outlineLevel="0" max="13" min="13" style="1" width="15"/>
    <col collapsed="false" customWidth="true" hidden="false" outlineLevel="0" max="14" min="14" style="1" width="9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8" min="17" style="1" width="11"/>
    <col collapsed="false" customWidth="true" hidden="false" outlineLevel="0" max="19" min="19" style="1" width="10"/>
    <col collapsed="false" customWidth="true" hidden="false" outlineLevel="0" max="20" min="20" style="1" width="14"/>
    <col collapsed="false" customWidth="true" hidden="false" outlineLevel="0" max="21" min="21" style="1" width="12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19</v>
      </c>
      <c r="O1" s="2" t="s">
        <v>20</v>
      </c>
      <c r="P1" s="2" t="s">
        <v>40</v>
      </c>
      <c r="Q1" s="2" t="s">
        <v>41</v>
      </c>
      <c r="R1" s="2" t="s">
        <v>25</v>
      </c>
      <c r="S1" s="2" t="s">
        <v>42</v>
      </c>
      <c r="T1" s="2" t="s">
        <v>27</v>
      </c>
      <c r="U1" s="2" t="s">
        <v>28</v>
      </c>
    </row>
    <row r="2" customFormat="false" ht="15" hidden="false" customHeight="false" outlineLevel="0" collapsed="false">
      <c r="A2" s="9" t="s">
        <v>43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  <c r="J2" s="9" t="s">
        <v>52</v>
      </c>
      <c r="K2" s="9" t="s">
        <v>53</v>
      </c>
      <c r="L2" s="9" t="s">
        <v>54</v>
      </c>
      <c r="M2" s="9" t="s">
        <v>55</v>
      </c>
      <c r="N2" s="9" t="n">
        <v>8</v>
      </c>
      <c r="O2" s="9" t="n">
        <v>2976.45</v>
      </c>
      <c r="P2" s="9" t="n">
        <v>0.2</v>
      </c>
      <c r="Q2" s="9" t="n">
        <v>19049.28</v>
      </c>
      <c r="R2" s="9" t="n">
        <v>15841.89</v>
      </c>
      <c r="S2" s="9" t="n">
        <v>3207.39</v>
      </c>
      <c r="T2" s="9" t="s">
        <v>56</v>
      </c>
      <c r="U2" s="9" t="s">
        <v>57</v>
      </c>
    </row>
    <row r="3" customFormat="false" ht="15" hidden="false" customHeight="false" outlineLevel="0" collapsed="false">
      <c r="A3" s="9" t="s">
        <v>58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  <c r="J3" s="9" t="s">
        <v>67</v>
      </c>
      <c r="K3" s="9" t="s">
        <v>68</v>
      </c>
      <c r="L3" s="9" t="s">
        <v>69</v>
      </c>
      <c r="M3" s="9" t="s">
        <v>70</v>
      </c>
      <c r="N3" s="9" t="n">
        <v>3</v>
      </c>
      <c r="O3" s="9" t="n">
        <v>2437.5</v>
      </c>
      <c r="P3" s="9" t="n">
        <v>0</v>
      </c>
      <c r="Q3" s="9" t="n">
        <v>7312.5</v>
      </c>
      <c r="R3" s="9" t="n">
        <v>4904.73</v>
      </c>
      <c r="S3" s="9" t="n">
        <v>2407.77</v>
      </c>
      <c r="T3" s="9" t="s">
        <v>56</v>
      </c>
      <c r="U3" s="9" t="s">
        <v>57</v>
      </c>
    </row>
    <row r="4" customFormat="false" ht="15" hidden="false" customHeight="false" outlineLevel="0" collapsed="false">
      <c r="A4" s="9" t="s">
        <v>71</v>
      </c>
      <c r="B4" s="9" t="s">
        <v>72</v>
      </c>
      <c r="C4" s="9" t="s">
        <v>73</v>
      </c>
      <c r="D4" s="9" t="s">
        <v>74</v>
      </c>
      <c r="E4" s="9" t="s">
        <v>75</v>
      </c>
      <c r="F4" s="9" t="s">
        <v>48</v>
      </c>
      <c r="G4" s="9" t="s">
        <v>64</v>
      </c>
      <c r="H4" s="9" t="s">
        <v>65</v>
      </c>
      <c r="I4" s="9" t="s">
        <v>66</v>
      </c>
      <c r="J4" s="9" t="s">
        <v>52</v>
      </c>
      <c r="K4" s="9" t="s">
        <v>76</v>
      </c>
      <c r="L4" s="9" t="s">
        <v>77</v>
      </c>
      <c r="M4" s="9" t="s">
        <v>78</v>
      </c>
      <c r="N4" s="9" t="n">
        <v>4</v>
      </c>
      <c r="O4" s="9" t="n">
        <v>1065.43</v>
      </c>
      <c r="P4" s="9" t="n">
        <v>0.55</v>
      </c>
      <c r="Q4" s="9" t="n">
        <v>4261.72</v>
      </c>
      <c r="R4" s="9" t="n">
        <v>2465.69</v>
      </c>
      <c r="S4" s="9" t="n">
        <v>1796.03</v>
      </c>
      <c r="T4" s="9" t="s">
        <v>56</v>
      </c>
      <c r="U4" s="9" t="s">
        <v>57</v>
      </c>
    </row>
    <row r="5" customFormat="false" ht="15" hidden="false" customHeight="false" outlineLevel="0" collapsed="false">
      <c r="A5" s="9" t="s">
        <v>79</v>
      </c>
      <c r="B5" s="9" t="s">
        <v>80</v>
      </c>
      <c r="C5" s="9" t="s">
        <v>81</v>
      </c>
      <c r="D5" s="9" t="s">
        <v>82</v>
      </c>
      <c r="E5" s="9" t="s">
        <v>83</v>
      </c>
      <c r="F5" s="9" t="s">
        <v>63</v>
      </c>
      <c r="G5" s="9" t="s">
        <v>84</v>
      </c>
      <c r="H5" s="9" t="s">
        <v>85</v>
      </c>
      <c r="I5" s="9" t="s">
        <v>86</v>
      </c>
      <c r="J5" s="9" t="s">
        <v>67</v>
      </c>
      <c r="K5" s="9" t="s">
        <v>87</v>
      </c>
      <c r="L5" s="9" t="s">
        <v>88</v>
      </c>
      <c r="M5" s="9" t="s">
        <v>89</v>
      </c>
      <c r="N5" s="9" t="n">
        <v>6</v>
      </c>
      <c r="O5" s="9" t="n">
        <v>1848.43</v>
      </c>
      <c r="P5" s="9" t="n">
        <v>0.25</v>
      </c>
      <c r="Q5" s="9" t="n">
        <v>8317.93</v>
      </c>
      <c r="R5" s="9" t="n">
        <v>6796.77</v>
      </c>
      <c r="S5" s="9" t="n">
        <v>1521.16</v>
      </c>
      <c r="T5" s="9" t="s">
        <v>56</v>
      </c>
      <c r="U5" s="9" t="s">
        <v>57</v>
      </c>
    </row>
    <row r="6" customFormat="false" ht="15" hidden="false" customHeight="false" outlineLevel="0" collapsed="false">
      <c r="A6" s="9" t="s">
        <v>90</v>
      </c>
      <c r="B6" s="9" t="s">
        <v>91</v>
      </c>
      <c r="C6" s="9" t="s">
        <v>92</v>
      </c>
      <c r="D6" s="9" t="s">
        <v>93</v>
      </c>
      <c r="E6" s="9" t="s">
        <v>94</v>
      </c>
      <c r="F6" s="9" t="s">
        <v>63</v>
      </c>
      <c r="G6" s="9" t="s">
        <v>95</v>
      </c>
      <c r="H6" s="9" t="s">
        <v>96</v>
      </c>
      <c r="I6" s="9" t="s">
        <v>97</v>
      </c>
      <c r="J6" s="9" t="s">
        <v>67</v>
      </c>
      <c r="K6" s="9" t="s">
        <v>98</v>
      </c>
      <c r="L6" s="9" t="s">
        <v>99</v>
      </c>
      <c r="M6" s="9" t="s">
        <v>78</v>
      </c>
      <c r="N6" s="9" t="n">
        <v>7</v>
      </c>
      <c r="O6" s="9" t="n">
        <v>2973.76</v>
      </c>
      <c r="P6" s="9" t="n">
        <v>0</v>
      </c>
      <c r="Q6" s="9" t="n">
        <v>20816.32</v>
      </c>
      <c r="R6" s="9" t="n">
        <v>17705.37</v>
      </c>
      <c r="S6" s="9" t="n">
        <v>3110.95</v>
      </c>
      <c r="T6" s="9" t="s">
        <v>56</v>
      </c>
      <c r="U6" s="9" t="s">
        <v>100</v>
      </c>
    </row>
    <row r="7" customFormat="false" ht="15" hidden="false" customHeight="false" outlineLevel="0" collapsed="false">
      <c r="A7" s="9" t="s">
        <v>101</v>
      </c>
      <c r="B7" s="9" t="s">
        <v>102</v>
      </c>
      <c r="C7" s="9" t="s">
        <v>103</v>
      </c>
      <c r="D7" s="9" t="s">
        <v>104</v>
      </c>
      <c r="E7" s="9" t="s">
        <v>105</v>
      </c>
      <c r="F7" s="9" t="s">
        <v>63</v>
      </c>
      <c r="G7" s="9" t="s">
        <v>95</v>
      </c>
      <c r="H7" s="9" t="s">
        <v>106</v>
      </c>
      <c r="I7" s="9" t="s">
        <v>107</v>
      </c>
      <c r="J7" s="9" t="s">
        <v>108</v>
      </c>
      <c r="K7" s="9" t="s">
        <v>109</v>
      </c>
      <c r="L7" s="9" t="s">
        <v>110</v>
      </c>
      <c r="M7" s="9" t="s">
        <v>70</v>
      </c>
      <c r="N7" s="9" t="n">
        <v>3</v>
      </c>
      <c r="O7" s="9" t="n">
        <v>1053.11</v>
      </c>
      <c r="P7" s="9" t="n">
        <v>0.2</v>
      </c>
      <c r="Q7" s="9" t="n">
        <v>2527.46</v>
      </c>
      <c r="R7" s="9" t="n">
        <v>1533.58</v>
      </c>
      <c r="S7" s="9" t="n">
        <v>993.88</v>
      </c>
      <c r="T7" s="9" t="s">
        <v>56</v>
      </c>
      <c r="U7" s="9" t="s">
        <v>57</v>
      </c>
    </row>
    <row r="8" customFormat="false" ht="15" hidden="false" customHeight="false" outlineLevel="0" collapsed="false">
      <c r="A8" s="9" t="s">
        <v>111</v>
      </c>
      <c r="B8" s="9" t="s">
        <v>112</v>
      </c>
      <c r="C8" s="9" t="s">
        <v>113</v>
      </c>
      <c r="D8" s="9" t="s">
        <v>114</v>
      </c>
      <c r="E8" s="9" t="s">
        <v>115</v>
      </c>
      <c r="F8" s="9" t="s">
        <v>48</v>
      </c>
      <c r="G8" s="9" t="s">
        <v>64</v>
      </c>
      <c r="H8" s="9" t="s">
        <v>65</v>
      </c>
      <c r="I8" s="9" t="s">
        <v>66</v>
      </c>
      <c r="J8" s="9" t="s">
        <v>108</v>
      </c>
      <c r="K8" s="9" t="s">
        <v>116</v>
      </c>
      <c r="L8" s="9" t="s">
        <v>117</v>
      </c>
      <c r="M8" s="9" t="s">
        <v>89</v>
      </c>
      <c r="N8" s="9" t="n">
        <v>4</v>
      </c>
      <c r="O8" s="9" t="n">
        <v>1719.87</v>
      </c>
      <c r="P8" s="9" t="n">
        <v>0.15</v>
      </c>
      <c r="Q8" s="9" t="n">
        <v>5847.56</v>
      </c>
      <c r="R8" s="9" t="n">
        <v>4727.25</v>
      </c>
      <c r="S8" s="9" t="n">
        <v>1120.31</v>
      </c>
      <c r="T8" s="9" t="s">
        <v>56</v>
      </c>
      <c r="U8" s="9" t="s">
        <v>57</v>
      </c>
    </row>
    <row r="9" customFormat="false" ht="15" hidden="false" customHeight="false" outlineLevel="0" collapsed="false">
      <c r="A9" s="9" t="s">
        <v>118</v>
      </c>
      <c r="B9" s="9" t="s">
        <v>119</v>
      </c>
      <c r="C9" s="9" t="s">
        <v>120</v>
      </c>
      <c r="D9" s="9" t="s">
        <v>121</v>
      </c>
      <c r="E9" s="9" t="s">
        <v>75</v>
      </c>
      <c r="F9" s="9" t="s">
        <v>63</v>
      </c>
      <c r="G9" s="9" t="s">
        <v>84</v>
      </c>
      <c r="H9" s="9" t="s">
        <v>122</v>
      </c>
      <c r="I9" s="9" t="s">
        <v>123</v>
      </c>
      <c r="J9" s="9" t="s">
        <v>52</v>
      </c>
      <c r="K9" s="9" t="s">
        <v>76</v>
      </c>
      <c r="L9" s="9" t="s">
        <v>124</v>
      </c>
      <c r="M9" s="9" t="s">
        <v>78</v>
      </c>
      <c r="N9" s="9" t="n">
        <v>1</v>
      </c>
      <c r="O9" s="9" t="n">
        <v>2980.71</v>
      </c>
      <c r="P9" s="9" t="n">
        <v>0</v>
      </c>
      <c r="Q9" s="9" t="n">
        <v>2980.71</v>
      </c>
      <c r="R9" s="9" t="n">
        <v>2357.22</v>
      </c>
      <c r="S9" s="9" t="n">
        <v>623.49</v>
      </c>
      <c r="T9" s="9" t="s">
        <v>56</v>
      </c>
      <c r="U9" s="9" t="s">
        <v>57</v>
      </c>
    </row>
    <row r="10" customFormat="false" ht="15" hidden="false" customHeight="false" outlineLevel="0" collapsed="false">
      <c r="A10" s="9" t="s">
        <v>125</v>
      </c>
      <c r="B10" s="9" t="s">
        <v>126</v>
      </c>
      <c r="C10" s="9" t="s">
        <v>127</v>
      </c>
      <c r="D10" s="9" t="s">
        <v>128</v>
      </c>
      <c r="E10" s="9" t="s">
        <v>129</v>
      </c>
      <c r="F10" s="9" t="s">
        <v>130</v>
      </c>
      <c r="G10" s="9" t="s">
        <v>84</v>
      </c>
      <c r="H10" s="9" t="s">
        <v>85</v>
      </c>
      <c r="I10" s="9" t="s">
        <v>86</v>
      </c>
      <c r="J10" s="9" t="s">
        <v>52</v>
      </c>
      <c r="K10" s="9" t="s">
        <v>131</v>
      </c>
      <c r="L10" s="9" t="s">
        <v>132</v>
      </c>
      <c r="M10" s="9" t="s">
        <v>78</v>
      </c>
      <c r="N10" s="9" t="n">
        <v>8</v>
      </c>
      <c r="O10" s="9" t="n">
        <v>3134.2</v>
      </c>
      <c r="P10" s="9" t="n">
        <v>0</v>
      </c>
      <c r="Q10" s="9" t="n">
        <v>25073.6</v>
      </c>
      <c r="R10" s="9" t="n">
        <v>17347.23</v>
      </c>
      <c r="S10" s="9" t="n">
        <v>7726.37</v>
      </c>
      <c r="T10" s="9" t="s">
        <v>56</v>
      </c>
      <c r="U10" s="9" t="s">
        <v>57</v>
      </c>
    </row>
    <row r="11" customFormat="false" ht="15" hidden="false" customHeight="false" outlineLevel="0" collapsed="false">
      <c r="A11" s="9" t="s">
        <v>133</v>
      </c>
      <c r="B11" s="9" t="s">
        <v>134</v>
      </c>
      <c r="C11" s="9" t="s">
        <v>135</v>
      </c>
      <c r="D11" s="9" t="s">
        <v>136</v>
      </c>
      <c r="E11" s="9" t="s">
        <v>62</v>
      </c>
      <c r="F11" s="9" t="s">
        <v>137</v>
      </c>
      <c r="G11" s="9" t="s">
        <v>84</v>
      </c>
      <c r="H11" s="9" t="s">
        <v>85</v>
      </c>
      <c r="I11" s="9" t="s">
        <v>86</v>
      </c>
      <c r="J11" s="9" t="s">
        <v>52</v>
      </c>
      <c r="K11" s="9" t="s">
        <v>53</v>
      </c>
      <c r="L11" s="9" t="s">
        <v>138</v>
      </c>
      <c r="M11" s="9" t="s">
        <v>55</v>
      </c>
      <c r="N11" s="9" t="n">
        <v>9</v>
      </c>
      <c r="O11" s="9" t="n">
        <v>852.04</v>
      </c>
      <c r="P11" s="9" t="n">
        <v>0.2</v>
      </c>
      <c r="Q11" s="9" t="n">
        <v>6134.69</v>
      </c>
      <c r="R11" s="9" t="n">
        <v>3800.19</v>
      </c>
      <c r="S11" s="9" t="n">
        <v>2334.5</v>
      </c>
      <c r="T11" s="9" t="s">
        <v>56</v>
      </c>
      <c r="U11" s="9" t="s">
        <v>57</v>
      </c>
    </row>
    <row r="12" customFormat="false" ht="15" hidden="false" customHeight="false" outlineLevel="0" collapsed="false">
      <c r="A12" s="9" t="s">
        <v>139</v>
      </c>
      <c r="B12" s="9" t="s">
        <v>140</v>
      </c>
      <c r="C12" s="9" t="s">
        <v>141</v>
      </c>
      <c r="D12" s="9" t="s">
        <v>142</v>
      </c>
      <c r="E12" s="9" t="s">
        <v>94</v>
      </c>
      <c r="F12" s="9" t="s">
        <v>130</v>
      </c>
      <c r="G12" s="9" t="s">
        <v>64</v>
      </c>
      <c r="H12" s="9" t="s">
        <v>143</v>
      </c>
      <c r="I12" s="9" t="s">
        <v>144</v>
      </c>
      <c r="J12" s="9" t="s">
        <v>52</v>
      </c>
      <c r="K12" s="9" t="s">
        <v>131</v>
      </c>
      <c r="L12" s="9" t="s">
        <v>145</v>
      </c>
      <c r="M12" s="9" t="s">
        <v>55</v>
      </c>
      <c r="N12" s="9" t="n">
        <v>3</v>
      </c>
      <c r="O12" s="9" t="n">
        <v>3534.83</v>
      </c>
      <c r="P12" s="9" t="n">
        <v>0.05</v>
      </c>
      <c r="Q12" s="9" t="n">
        <v>10074.27</v>
      </c>
      <c r="R12" s="9" t="n">
        <v>6048.27</v>
      </c>
      <c r="S12" s="9" t="n">
        <v>4026</v>
      </c>
      <c r="T12" s="9" t="s">
        <v>146</v>
      </c>
      <c r="U12" s="9" t="s">
        <v>147</v>
      </c>
    </row>
    <row r="13" customFormat="false" ht="15" hidden="false" customHeight="false" outlineLevel="0" collapsed="false">
      <c r="A13" s="9" t="s">
        <v>148</v>
      </c>
      <c r="B13" s="9" t="s">
        <v>149</v>
      </c>
      <c r="C13" s="9" t="s">
        <v>150</v>
      </c>
      <c r="D13" s="9" t="s">
        <v>151</v>
      </c>
      <c r="E13" s="9" t="s">
        <v>105</v>
      </c>
      <c r="F13" s="9" t="s">
        <v>63</v>
      </c>
      <c r="G13" s="9" t="s">
        <v>64</v>
      </c>
      <c r="H13" s="9" t="s">
        <v>65</v>
      </c>
      <c r="I13" s="9" t="s">
        <v>66</v>
      </c>
      <c r="J13" s="9" t="s">
        <v>108</v>
      </c>
      <c r="K13" s="9" t="s">
        <v>109</v>
      </c>
      <c r="L13" s="9" t="s">
        <v>152</v>
      </c>
      <c r="M13" s="9" t="s">
        <v>70</v>
      </c>
      <c r="N13" s="9" t="n">
        <v>6</v>
      </c>
      <c r="O13" s="9" t="n">
        <v>2005.95</v>
      </c>
      <c r="P13" s="9" t="n">
        <v>0.2</v>
      </c>
      <c r="Q13" s="9" t="n">
        <v>9628.56</v>
      </c>
      <c r="R13" s="9" t="n">
        <v>8038.59</v>
      </c>
      <c r="S13" s="9" t="n">
        <v>1589.97</v>
      </c>
      <c r="T13" s="9" t="s">
        <v>56</v>
      </c>
      <c r="U13" s="9" t="s">
        <v>57</v>
      </c>
    </row>
    <row r="14" customFormat="false" ht="15" hidden="false" customHeight="false" outlineLevel="0" collapsed="false">
      <c r="A14" s="9" t="s">
        <v>153</v>
      </c>
      <c r="B14" s="9" t="s">
        <v>154</v>
      </c>
      <c r="C14" s="9" t="s">
        <v>155</v>
      </c>
      <c r="D14" s="9" t="s">
        <v>156</v>
      </c>
      <c r="E14" s="9" t="s">
        <v>94</v>
      </c>
      <c r="F14" s="9" t="s">
        <v>157</v>
      </c>
      <c r="G14" s="9" t="s">
        <v>95</v>
      </c>
      <c r="H14" s="9" t="s">
        <v>50</v>
      </c>
      <c r="I14" s="9" t="s">
        <v>158</v>
      </c>
      <c r="J14" s="9" t="s">
        <v>52</v>
      </c>
      <c r="K14" s="9" t="s">
        <v>53</v>
      </c>
      <c r="L14" s="9" t="s">
        <v>159</v>
      </c>
      <c r="M14" s="9" t="s">
        <v>78</v>
      </c>
      <c r="N14" s="9" t="n">
        <v>1</v>
      </c>
      <c r="O14" s="9" t="n">
        <v>702.14</v>
      </c>
      <c r="P14" s="9" t="n">
        <v>0.15</v>
      </c>
      <c r="Q14" s="9" t="n">
        <v>596.82</v>
      </c>
      <c r="R14" s="9" t="n">
        <v>380.25</v>
      </c>
      <c r="S14" s="9" t="n">
        <v>216.57</v>
      </c>
      <c r="T14" s="9" t="s">
        <v>160</v>
      </c>
      <c r="U14" s="9" t="s">
        <v>147</v>
      </c>
    </row>
    <row r="15" customFormat="false" ht="15" hidden="false" customHeight="false" outlineLevel="0" collapsed="false">
      <c r="A15" s="9" t="s">
        <v>161</v>
      </c>
      <c r="B15" s="9" t="s">
        <v>162</v>
      </c>
      <c r="C15" s="9" t="s">
        <v>163</v>
      </c>
      <c r="D15" s="9" t="s">
        <v>164</v>
      </c>
      <c r="E15" s="9" t="s">
        <v>165</v>
      </c>
      <c r="F15" s="9" t="s">
        <v>63</v>
      </c>
      <c r="G15" s="9" t="s">
        <v>95</v>
      </c>
      <c r="H15" s="9" t="s">
        <v>96</v>
      </c>
      <c r="I15" s="9" t="s">
        <v>97</v>
      </c>
      <c r="J15" s="9" t="s">
        <v>52</v>
      </c>
      <c r="K15" s="9" t="s">
        <v>76</v>
      </c>
      <c r="L15" s="9" t="s">
        <v>166</v>
      </c>
      <c r="M15" s="9" t="s">
        <v>55</v>
      </c>
      <c r="N15" s="9" t="n">
        <v>7</v>
      </c>
      <c r="O15" s="9" t="n">
        <v>3964.72</v>
      </c>
      <c r="P15" s="9" t="n">
        <v>0.05</v>
      </c>
      <c r="Q15" s="9" t="n">
        <v>26365.39</v>
      </c>
      <c r="R15" s="9" t="n">
        <v>22306.24</v>
      </c>
      <c r="S15" s="9" t="n">
        <v>4059.15</v>
      </c>
      <c r="T15" s="9" t="s">
        <v>56</v>
      </c>
      <c r="U15" s="9" t="s">
        <v>57</v>
      </c>
    </row>
    <row r="16" customFormat="false" ht="15" hidden="false" customHeight="false" outlineLevel="0" collapsed="false">
      <c r="A16" s="9" t="s">
        <v>167</v>
      </c>
      <c r="B16" s="9" t="s">
        <v>168</v>
      </c>
      <c r="C16" s="9" t="s">
        <v>169</v>
      </c>
      <c r="D16" s="9" t="s">
        <v>170</v>
      </c>
      <c r="E16" s="9" t="s">
        <v>171</v>
      </c>
      <c r="F16" s="9" t="s">
        <v>48</v>
      </c>
      <c r="G16" s="9" t="s">
        <v>95</v>
      </c>
      <c r="H16" s="9" t="s">
        <v>50</v>
      </c>
      <c r="I16" s="9" t="s">
        <v>158</v>
      </c>
      <c r="J16" s="9" t="s">
        <v>108</v>
      </c>
      <c r="K16" s="9" t="s">
        <v>116</v>
      </c>
      <c r="L16" s="9" t="s">
        <v>172</v>
      </c>
      <c r="M16" s="9" t="s">
        <v>89</v>
      </c>
      <c r="N16" s="9" t="n">
        <v>2</v>
      </c>
      <c r="O16" s="9" t="n">
        <v>2737.83</v>
      </c>
      <c r="P16" s="9" t="n">
        <v>0.25</v>
      </c>
      <c r="Q16" s="9" t="n">
        <v>4106.74</v>
      </c>
      <c r="R16" s="9" t="n">
        <v>2666.3</v>
      </c>
      <c r="S16" s="9" t="n">
        <v>1440.44</v>
      </c>
      <c r="T16" s="9" t="s">
        <v>56</v>
      </c>
      <c r="U16" s="9" t="s">
        <v>57</v>
      </c>
    </row>
    <row r="17" customFormat="false" ht="15" hidden="false" customHeight="false" outlineLevel="0" collapsed="false">
      <c r="A17" s="9" t="s">
        <v>173</v>
      </c>
      <c r="B17" s="9" t="s">
        <v>174</v>
      </c>
      <c r="C17" s="9" t="s">
        <v>175</v>
      </c>
      <c r="D17" s="9" t="s">
        <v>176</v>
      </c>
      <c r="E17" s="9" t="s">
        <v>47</v>
      </c>
      <c r="F17" s="9" t="s">
        <v>63</v>
      </c>
      <c r="G17" s="9" t="s">
        <v>177</v>
      </c>
      <c r="H17" s="9" t="s">
        <v>178</v>
      </c>
      <c r="I17" s="9" t="s">
        <v>179</v>
      </c>
      <c r="J17" s="9" t="s">
        <v>52</v>
      </c>
      <c r="K17" s="9" t="s">
        <v>180</v>
      </c>
      <c r="L17" s="9" t="s">
        <v>181</v>
      </c>
      <c r="M17" s="9" t="s">
        <v>55</v>
      </c>
      <c r="N17" s="9" t="n">
        <v>6</v>
      </c>
      <c r="O17" s="9" t="n">
        <v>3965.76</v>
      </c>
      <c r="P17" s="9" t="n">
        <v>0</v>
      </c>
      <c r="Q17" s="9" t="n">
        <v>23794.56</v>
      </c>
      <c r="R17" s="9" t="n">
        <v>15698.47</v>
      </c>
      <c r="S17" s="9" t="n">
        <v>8096.09</v>
      </c>
      <c r="T17" s="9" t="s">
        <v>56</v>
      </c>
      <c r="U17" s="9" t="s">
        <v>57</v>
      </c>
    </row>
    <row r="18" customFormat="false" ht="15" hidden="false" customHeight="false" outlineLevel="0" collapsed="false">
      <c r="A18" s="9" t="s">
        <v>182</v>
      </c>
      <c r="B18" s="9" t="s">
        <v>183</v>
      </c>
      <c r="C18" s="9" t="s">
        <v>184</v>
      </c>
      <c r="D18" s="9" t="s">
        <v>185</v>
      </c>
      <c r="E18" s="9" t="s">
        <v>186</v>
      </c>
      <c r="F18" s="9" t="s">
        <v>48</v>
      </c>
      <c r="G18" s="9" t="s">
        <v>84</v>
      </c>
      <c r="H18" s="9" t="s">
        <v>85</v>
      </c>
      <c r="I18" s="9" t="s">
        <v>86</v>
      </c>
      <c r="J18" s="9" t="s">
        <v>52</v>
      </c>
      <c r="K18" s="9" t="s">
        <v>76</v>
      </c>
      <c r="L18" s="9" t="s">
        <v>187</v>
      </c>
      <c r="M18" s="9" t="s">
        <v>78</v>
      </c>
      <c r="N18" s="9" t="n">
        <v>4</v>
      </c>
      <c r="O18" s="9" t="n">
        <v>3323.51</v>
      </c>
      <c r="P18" s="9" t="n">
        <v>0.25</v>
      </c>
      <c r="Q18" s="9" t="n">
        <v>9970.53</v>
      </c>
      <c r="R18" s="9" t="n">
        <v>5668.17</v>
      </c>
      <c r="S18" s="9" t="n">
        <v>4302.36</v>
      </c>
      <c r="T18" s="9" t="s">
        <v>56</v>
      </c>
      <c r="U18" s="9" t="s">
        <v>57</v>
      </c>
    </row>
    <row r="19" customFormat="false" ht="15" hidden="false" customHeight="false" outlineLevel="0" collapsed="false">
      <c r="A19" s="9" t="s">
        <v>188</v>
      </c>
      <c r="B19" s="9" t="s">
        <v>189</v>
      </c>
      <c r="C19" s="9" t="s">
        <v>190</v>
      </c>
      <c r="D19" s="9" t="s">
        <v>191</v>
      </c>
      <c r="E19" s="9" t="s">
        <v>192</v>
      </c>
      <c r="F19" s="9" t="s">
        <v>63</v>
      </c>
      <c r="G19" s="9" t="s">
        <v>177</v>
      </c>
      <c r="H19" s="9" t="s">
        <v>50</v>
      </c>
      <c r="I19" s="9" t="s">
        <v>51</v>
      </c>
      <c r="J19" s="9" t="s">
        <v>67</v>
      </c>
      <c r="K19" s="9" t="s">
        <v>87</v>
      </c>
      <c r="L19" s="9" t="s">
        <v>193</v>
      </c>
      <c r="M19" s="9" t="s">
        <v>70</v>
      </c>
      <c r="N19" s="9" t="n">
        <v>5</v>
      </c>
      <c r="O19" s="9" t="n">
        <v>1526.78</v>
      </c>
      <c r="P19" s="9" t="n">
        <v>0</v>
      </c>
      <c r="Q19" s="9" t="n">
        <v>7633.9</v>
      </c>
      <c r="R19" s="9" t="n">
        <v>4706.91</v>
      </c>
      <c r="S19" s="9" t="n">
        <v>2926.99</v>
      </c>
      <c r="T19" s="9" t="s">
        <v>56</v>
      </c>
      <c r="U19" s="9" t="s">
        <v>57</v>
      </c>
    </row>
    <row r="20" customFormat="false" ht="15" hidden="false" customHeight="false" outlineLevel="0" collapsed="false">
      <c r="A20" s="9" t="s">
        <v>194</v>
      </c>
      <c r="B20" s="9" t="s">
        <v>195</v>
      </c>
      <c r="C20" s="9" t="s">
        <v>196</v>
      </c>
      <c r="D20" s="9" t="s">
        <v>197</v>
      </c>
      <c r="E20" s="9" t="s">
        <v>186</v>
      </c>
      <c r="F20" s="9" t="s">
        <v>137</v>
      </c>
      <c r="G20" s="9" t="s">
        <v>177</v>
      </c>
      <c r="H20" s="9" t="s">
        <v>198</v>
      </c>
      <c r="I20" s="9" t="s">
        <v>199</v>
      </c>
      <c r="J20" s="9" t="s">
        <v>108</v>
      </c>
      <c r="K20" s="9" t="s">
        <v>116</v>
      </c>
      <c r="L20" s="9" t="s">
        <v>200</v>
      </c>
      <c r="M20" s="9" t="s">
        <v>78</v>
      </c>
      <c r="N20" s="9" t="n">
        <v>2</v>
      </c>
      <c r="O20" s="9" t="n">
        <v>1997.99</v>
      </c>
      <c r="P20" s="9" t="n">
        <v>0</v>
      </c>
      <c r="Q20" s="9" t="n">
        <v>3995.98</v>
      </c>
      <c r="R20" s="9" t="n">
        <v>2633.2</v>
      </c>
      <c r="S20" s="9" t="n">
        <v>1362.78</v>
      </c>
      <c r="T20" s="9" t="s">
        <v>146</v>
      </c>
      <c r="U20" s="9" t="s">
        <v>100</v>
      </c>
    </row>
    <row r="21" customFormat="false" ht="15" hidden="false" customHeight="false" outlineLevel="0" collapsed="false">
      <c r="A21" s="9" t="s">
        <v>201</v>
      </c>
      <c r="B21" s="9" t="s">
        <v>45</v>
      </c>
      <c r="C21" s="9" t="s">
        <v>202</v>
      </c>
      <c r="D21" s="9" t="s">
        <v>203</v>
      </c>
      <c r="E21" s="9" t="s">
        <v>204</v>
      </c>
      <c r="F21" s="9" t="s">
        <v>137</v>
      </c>
      <c r="G21" s="9" t="s">
        <v>95</v>
      </c>
      <c r="H21" s="9" t="s">
        <v>106</v>
      </c>
      <c r="I21" s="9" t="s">
        <v>107</v>
      </c>
      <c r="J21" s="9" t="s">
        <v>52</v>
      </c>
      <c r="K21" s="9" t="s">
        <v>180</v>
      </c>
      <c r="L21" s="9" t="s">
        <v>205</v>
      </c>
      <c r="M21" s="9" t="s">
        <v>55</v>
      </c>
      <c r="N21" s="9" t="n">
        <v>3</v>
      </c>
      <c r="O21" s="9" t="n">
        <v>3887.94</v>
      </c>
      <c r="P21" s="9" t="n">
        <v>-0.19</v>
      </c>
      <c r="Q21" s="9" t="n">
        <v>9331.06</v>
      </c>
      <c r="R21" s="9" t="n">
        <v>7529.31</v>
      </c>
      <c r="S21" s="9" t="n">
        <v>1801.75</v>
      </c>
      <c r="T21" s="9" t="s">
        <v>56</v>
      </c>
      <c r="U21" s="9" t="s">
        <v>57</v>
      </c>
    </row>
    <row r="22" customFormat="false" ht="15" hidden="false" customHeight="false" outlineLevel="0" collapsed="false">
      <c r="A22" s="9" t="s">
        <v>206</v>
      </c>
      <c r="B22" s="9" t="s">
        <v>207</v>
      </c>
      <c r="C22" s="9" t="s">
        <v>208</v>
      </c>
      <c r="D22" s="9" t="s">
        <v>209</v>
      </c>
      <c r="E22" s="9" t="s">
        <v>129</v>
      </c>
      <c r="F22" s="9" t="s">
        <v>137</v>
      </c>
      <c r="G22" s="9" t="s">
        <v>64</v>
      </c>
      <c r="H22" s="9" t="s">
        <v>210</v>
      </c>
      <c r="I22" s="9" t="s">
        <v>211</v>
      </c>
      <c r="J22" s="9" t="s">
        <v>108</v>
      </c>
      <c r="K22" s="9" t="s">
        <v>116</v>
      </c>
      <c r="L22" s="9" t="s">
        <v>212</v>
      </c>
      <c r="M22" s="9" t="s">
        <v>78</v>
      </c>
      <c r="N22" s="9" t="n">
        <v>5</v>
      </c>
      <c r="O22" s="9" t="n">
        <v>4373.06</v>
      </c>
      <c r="P22" s="9" t="n">
        <v>0.25</v>
      </c>
      <c r="Q22" s="9" t="n">
        <v>16398.98</v>
      </c>
      <c r="R22" s="9" t="n">
        <v>9556.52</v>
      </c>
      <c r="S22" s="9" t="n">
        <v>6842.46</v>
      </c>
      <c r="T22" s="9" t="s">
        <v>56</v>
      </c>
      <c r="U22" s="9" t="s">
        <v>57</v>
      </c>
    </row>
    <row r="23" customFormat="false" ht="15" hidden="false" customHeight="false" outlineLevel="0" collapsed="false">
      <c r="A23" s="9" t="s">
        <v>213</v>
      </c>
      <c r="B23" s="9" t="s">
        <v>214</v>
      </c>
      <c r="C23" s="9" t="s">
        <v>215</v>
      </c>
      <c r="D23" s="9" t="s">
        <v>216</v>
      </c>
      <c r="E23" s="9" t="s">
        <v>192</v>
      </c>
      <c r="F23" s="9" t="s">
        <v>48</v>
      </c>
      <c r="G23" s="9" t="s">
        <v>95</v>
      </c>
      <c r="H23" s="9" t="s">
        <v>106</v>
      </c>
      <c r="I23" s="9" t="s">
        <v>107</v>
      </c>
      <c r="J23" s="9" t="s">
        <v>67</v>
      </c>
      <c r="K23" s="9" t="s">
        <v>87</v>
      </c>
      <c r="L23" s="9" t="s">
        <v>217</v>
      </c>
      <c r="M23" s="9" t="s">
        <v>55</v>
      </c>
      <c r="N23" s="9" t="n">
        <v>4</v>
      </c>
      <c r="O23" s="9" t="n">
        <v>697.69</v>
      </c>
      <c r="P23" s="9" t="n">
        <v>-0.23</v>
      </c>
      <c r="Q23" s="9" t="n">
        <v>2790.76</v>
      </c>
      <c r="R23" s="9" t="n">
        <v>2037.71</v>
      </c>
      <c r="S23" s="9" t="n">
        <v>753.05</v>
      </c>
      <c r="T23" s="9" t="s">
        <v>56</v>
      </c>
      <c r="U23" s="9" t="s">
        <v>57</v>
      </c>
    </row>
    <row r="24" customFormat="false" ht="15" hidden="false" customHeight="false" outlineLevel="0" collapsed="false">
      <c r="A24" s="9" t="s">
        <v>218</v>
      </c>
      <c r="B24" s="9" t="s">
        <v>219</v>
      </c>
      <c r="C24" s="9" t="s">
        <v>220</v>
      </c>
      <c r="D24" s="9" t="s">
        <v>221</v>
      </c>
      <c r="E24" s="9" t="s">
        <v>62</v>
      </c>
      <c r="F24" s="9" t="s">
        <v>48</v>
      </c>
      <c r="G24" s="9" t="s">
        <v>84</v>
      </c>
      <c r="H24" s="9" t="s">
        <v>85</v>
      </c>
      <c r="I24" s="9" t="s">
        <v>86</v>
      </c>
      <c r="J24" s="9" t="s">
        <v>52</v>
      </c>
      <c r="K24" s="9" t="s">
        <v>222</v>
      </c>
      <c r="L24" s="9" t="s">
        <v>223</v>
      </c>
      <c r="M24" s="9" t="s">
        <v>89</v>
      </c>
      <c r="N24" s="9" t="n">
        <v>8</v>
      </c>
      <c r="O24" s="9" t="n">
        <v>1219.34</v>
      </c>
      <c r="P24" s="9" t="n">
        <v>0.15</v>
      </c>
      <c r="Q24" s="9" t="n">
        <v>8291.51</v>
      </c>
      <c r="R24" s="9" t="n">
        <v>6685.03</v>
      </c>
      <c r="S24" s="9" t="n">
        <v>1606.48</v>
      </c>
      <c r="T24" s="9" t="s">
        <v>224</v>
      </c>
      <c r="U24" s="9" t="s">
        <v>147</v>
      </c>
    </row>
    <row r="25" customFormat="false" ht="15" hidden="false" customHeight="false" outlineLevel="0" collapsed="false">
      <c r="A25" s="9" t="s">
        <v>225</v>
      </c>
      <c r="B25" s="9" t="s">
        <v>91</v>
      </c>
      <c r="C25" s="9" t="s">
        <v>226</v>
      </c>
      <c r="D25" s="9" t="s">
        <v>227</v>
      </c>
      <c r="E25" s="9" t="s">
        <v>171</v>
      </c>
      <c r="F25" s="9" t="s">
        <v>137</v>
      </c>
      <c r="G25" s="9" t="s">
        <v>64</v>
      </c>
      <c r="H25" s="9" t="s">
        <v>210</v>
      </c>
      <c r="I25" s="9" t="s">
        <v>211</v>
      </c>
      <c r="J25" s="9" t="s">
        <v>67</v>
      </c>
      <c r="K25" s="9" t="s">
        <v>228</v>
      </c>
      <c r="L25" s="9" t="s">
        <v>229</v>
      </c>
      <c r="M25" s="9" t="s">
        <v>78</v>
      </c>
      <c r="N25" s="9" t="n">
        <v>4</v>
      </c>
      <c r="O25" s="9" t="n">
        <v>1958.01</v>
      </c>
      <c r="P25" s="9" t="n">
        <v>0.2</v>
      </c>
      <c r="Q25" s="9" t="n">
        <v>6265.63</v>
      </c>
      <c r="R25" s="9" t="n">
        <v>4321.86</v>
      </c>
      <c r="S25" s="9" t="n">
        <v>1943.77</v>
      </c>
      <c r="T25" s="9" t="s">
        <v>56</v>
      </c>
      <c r="U25" s="9" t="s">
        <v>57</v>
      </c>
    </row>
    <row r="26" customFormat="false" ht="15" hidden="false" customHeight="false" outlineLevel="0" collapsed="false">
      <c r="A26" s="9" t="s">
        <v>230</v>
      </c>
      <c r="B26" s="9" t="s">
        <v>231</v>
      </c>
      <c r="C26" s="9" t="s">
        <v>232</v>
      </c>
      <c r="D26" s="9" t="s">
        <v>233</v>
      </c>
      <c r="E26" s="9" t="s">
        <v>234</v>
      </c>
      <c r="F26" s="9" t="s">
        <v>48</v>
      </c>
      <c r="G26" s="9" t="s">
        <v>177</v>
      </c>
      <c r="H26" s="9" t="s">
        <v>178</v>
      </c>
      <c r="I26" s="9" t="s">
        <v>179</v>
      </c>
      <c r="J26" s="9" t="s">
        <v>52</v>
      </c>
      <c r="K26" s="9" t="s">
        <v>76</v>
      </c>
      <c r="L26" s="9" t="s">
        <v>235</v>
      </c>
      <c r="M26" s="9" t="s">
        <v>89</v>
      </c>
      <c r="N26" s="9" t="n">
        <v>4</v>
      </c>
      <c r="O26" s="9" t="n">
        <v>4492.94</v>
      </c>
      <c r="P26" s="9" t="n">
        <v>0.25</v>
      </c>
      <c r="Q26" s="9" t="n">
        <v>13478.82</v>
      </c>
      <c r="R26" s="9" t="n">
        <v>10937.35</v>
      </c>
      <c r="S26" s="9" t="n">
        <v>2541.47</v>
      </c>
      <c r="T26" s="9" t="s">
        <v>160</v>
      </c>
      <c r="U26" s="9" t="s">
        <v>100</v>
      </c>
    </row>
    <row r="27" customFormat="false" ht="15" hidden="false" customHeight="false" outlineLevel="0" collapsed="false">
      <c r="A27" s="9" t="s">
        <v>236</v>
      </c>
      <c r="B27" s="9" t="s">
        <v>237</v>
      </c>
      <c r="C27" s="9" t="s">
        <v>238</v>
      </c>
      <c r="D27" s="9" t="s">
        <v>239</v>
      </c>
      <c r="E27" s="9" t="s">
        <v>83</v>
      </c>
      <c r="F27" s="9" t="s">
        <v>130</v>
      </c>
      <c r="G27" s="9" t="s">
        <v>64</v>
      </c>
      <c r="H27" s="9" t="s">
        <v>240</v>
      </c>
      <c r="I27" s="9" t="s">
        <v>241</v>
      </c>
      <c r="J27" s="9" t="s">
        <v>108</v>
      </c>
      <c r="K27" s="9" t="s">
        <v>109</v>
      </c>
      <c r="L27" s="9" t="s">
        <v>242</v>
      </c>
      <c r="M27" s="9" t="s">
        <v>78</v>
      </c>
      <c r="N27" s="9" t="n">
        <v>2</v>
      </c>
      <c r="O27" s="9" t="n">
        <v>4315.2</v>
      </c>
      <c r="P27" s="9" t="n">
        <v>0.15</v>
      </c>
      <c r="Q27" s="9" t="n">
        <v>7335.84</v>
      </c>
      <c r="R27" s="9" t="n">
        <v>4968.41</v>
      </c>
      <c r="S27" s="9" t="n">
        <v>2367.43</v>
      </c>
      <c r="T27" s="9" t="s">
        <v>56</v>
      </c>
      <c r="U27" s="9" t="s">
        <v>57</v>
      </c>
    </row>
    <row r="28" customFormat="false" ht="15" hidden="false" customHeight="false" outlineLevel="0" collapsed="false">
      <c r="A28" s="9" t="s">
        <v>243</v>
      </c>
      <c r="B28" s="9" t="s">
        <v>244</v>
      </c>
      <c r="C28" s="9" t="s">
        <v>245</v>
      </c>
      <c r="D28" s="9" t="s">
        <v>246</v>
      </c>
      <c r="E28" s="9" t="s">
        <v>234</v>
      </c>
      <c r="F28" s="9" t="s">
        <v>130</v>
      </c>
      <c r="G28" s="9" t="s">
        <v>177</v>
      </c>
      <c r="H28" s="9" t="s">
        <v>198</v>
      </c>
      <c r="I28" s="9" t="s">
        <v>199</v>
      </c>
      <c r="J28" s="9" t="s">
        <v>108</v>
      </c>
      <c r="K28" s="9" t="s">
        <v>247</v>
      </c>
      <c r="L28" s="9" t="s">
        <v>248</v>
      </c>
      <c r="M28" s="9" t="s">
        <v>89</v>
      </c>
      <c r="N28" s="9" t="n">
        <v>4</v>
      </c>
      <c r="O28" s="9" t="n">
        <v>716.13</v>
      </c>
      <c r="P28" s="9" t="n">
        <v>0.1</v>
      </c>
      <c r="Q28" s="9" t="n">
        <v>2578.07</v>
      </c>
      <c r="R28" s="9" t="n">
        <v>1527.55</v>
      </c>
      <c r="S28" s="9" t="n">
        <v>1050.52</v>
      </c>
      <c r="T28" s="9" t="s">
        <v>249</v>
      </c>
      <c r="U28" s="9" t="s">
        <v>147</v>
      </c>
    </row>
    <row r="29" customFormat="false" ht="15" hidden="false" customHeight="false" outlineLevel="0" collapsed="false">
      <c r="A29" s="9" t="s">
        <v>250</v>
      </c>
      <c r="B29" s="9" t="s">
        <v>251</v>
      </c>
      <c r="C29" s="9" t="s">
        <v>252</v>
      </c>
      <c r="D29" s="9" t="s">
        <v>253</v>
      </c>
      <c r="E29" s="9" t="s">
        <v>83</v>
      </c>
      <c r="F29" s="9" t="s">
        <v>63</v>
      </c>
      <c r="G29" s="9" t="s">
        <v>84</v>
      </c>
      <c r="H29" s="9" t="s">
        <v>254</v>
      </c>
      <c r="I29" s="9" t="s">
        <v>255</v>
      </c>
      <c r="J29" s="9" t="s">
        <v>52</v>
      </c>
      <c r="K29" s="9" t="s">
        <v>53</v>
      </c>
      <c r="L29" s="9" t="s">
        <v>256</v>
      </c>
      <c r="M29" s="9" t="s">
        <v>55</v>
      </c>
      <c r="N29" s="9" t="n">
        <v>5</v>
      </c>
      <c r="O29" s="9" t="n">
        <v>1806.51</v>
      </c>
      <c r="P29" s="9" t="n">
        <v>0.25</v>
      </c>
      <c r="Q29" s="9" t="n">
        <v>6774.41</v>
      </c>
      <c r="R29" s="9" t="n">
        <v>4710.36</v>
      </c>
      <c r="S29" s="9" t="n">
        <v>2064.05</v>
      </c>
      <c r="T29" s="9" t="s">
        <v>224</v>
      </c>
      <c r="U29" s="9" t="s">
        <v>147</v>
      </c>
    </row>
    <row r="30" customFormat="false" ht="15" hidden="false" customHeight="false" outlineLevel="0" collapsed="false">
      <c r="A30" s="9" t="s">
        <v>257</v>
      </c>
      <c r="B30" s="9" t="s">
        <v>237</v>
      </c>
      <c r="C30" s="9" t="s">
        <v>258</v>
      </c>
      <c r="D30" s="9" t="s">
        <v>259</v>
      </c>
      <c r="E30" s="9" t="s">
        <v>94</v>
      </c>
      <c r="F30" s="9" t="s">
        <v>137</v>
      </c>
      <c r="G30" s="9" t="s">
        <v>95</v>
      </c>
      <c r="H30" s="9" t="s">
        <v>260</v>
      </c>
      <c r="I30" s="9" t="s">
        <v>261</v>
      </c>
      <c r="J30" s="9" t="s">
        <v>108</v>
      </c>
      <c r="K30" s="9" t="s">
        <v>247</v>
      </c>
      <c r="L30" s="9" t="s">
        <v>262</v>
      </c>
      <c r="M30" s="9" t="s">
        <v>55</v>
      </c>
      <c r="N30" s="9" t="n">
        <v>2</v>
      </c>
      <c r="O30" s="9" t="n">
        <v>1942.22</v>
      </c>
      <c r="P30" s="9" t="n">
        <v>0.25</v>
      </c>
      <c r="Q30" s="9" t="n">
        <v>2913.33</v>
      </c>
      <c r="R30" s="9" t="n">
        <v>2122.33</v>
      </c>
      <c r="S30" s="9" t="n">
        <v>791</v>
      </c>
      <c r="T30" s="9" t="s">
        <v>146</v>
      </c>
      <c r="U30" s="9" t="s">
        <v>100</v>
      </c>
    </row>
    <row r="31" customFormat="false" ht="15" hidden="false" customHeight="false" outlineLevel="0" collapsed="false">
      <c r="A31" s="9" t="s">
        <v>263</v>
      </c>
      <c r="B31" s="9" t="s">
        <v>264</v>
      </c>
      <c r="C31" s="9" t="s">
        <v>265</v>
      </c>
      <c r="D31" s="9" t="s">
        <v>266</v>
      </c>
      <c r="E31" s="9" t="s">
        <v>204</v>
      </c>
      <c r="F31" s="9" t="s">
        <v>137</v>
      </c>
      <c r="G31" s="9" t="s">
        <v>84</v>
      </c>
      <c r="H31" s="9" t="s">
        <v>267</v>
      </c>
      <c r="I31" s="9" t="s">
        <v>268</v>
      </c>
      <c r="J31" s="9" t="s">
        <v>108</v>
      </c>
      <c r="K31" s="9" t="s">
        <v>247</v>
      </c>
      <c r="L31" s="9" t="s">
        <v>269</v>
      </c>
      <c r="M31" s="9" t="s">
        <v>89</v>
      </c>
      <c r="N31" s="9" t="n">
        <v>1</v>
      </c>
      <c r="O31" s="9" t="n">
        <v>256.01</v>
      </c>
      <c r="P31" s="9" t="n">
        <v>0.15</v>
      </c>
      <c r="Q31" s="9" t="n">
        <v>217.61</v>
      </c>
      <c r="R31" s="9" t="n">
        <v>119.77</v>
      </c>
      <c r="S31" s="9" t="n">
        <v>97.84</v>
      </c>
      <c r="T31" s="9" t="s">
        <v>56</v>
      </c>
      <c r="U31" s="9" t="s">
        <v>57</v>
      </c>
    </row>
    <row r="32" customFormat="false" ht="15" hidden="false" customHeight="false" outlineLevel="0" collapsed="false">
      <c r="A32" s="9" t="s">
        <v>270</v>
      </c>
      <c r="B32" s="9" t="s">
        <v>271</v>
      </c>
      <c r="C32" s="9" t="s">
        <v>272</v>
      </c>
      <c r="D32" s="9" t="s">
        <v>273</v>
      </c>
      <c r="E32" s="9" t="s">
        <v>94</v>
      </c>
      <c r="F32" s="9" t="s">
        <v>130</v>
      </c>
      <c r="G32" s="9" t="s">
        <v>95</v>
      </c>
      <c r="H32" s="9" t="s">
        <v>274</v>
      </c>
      <c r="I32" s="9" t="s">
        <v>275</v>
      </c>
      <c r="J32" s="9" t="s">
        <v>52</v>
      </c>
      <c r="K32" s="9" t="s">
        <v>131</v>
      </c>
      <c r="L32" s="9" t="s">
        <v>276</v>
      </c>
      <c r="M32" s="9" t="s">
        <v>78</v>
      </c>
      <c r="N32" s="9" t="n">
        <v>1</v>
      </c>
      <c r="O32" s="9" t="n">
        <v>3421.77</v>
      </c>
      <c r="P32" s="9" t="n">
        <v>0.1</v>
      </c>
      <c r="Q32" s="9" t="n">
        <v>3079.59</v>
      </c>
      <c r="R32" s="9" t="n">
        <v>2001.89</v>
      </c>
      <c r="S32" s="9" t="n">
        <v>1077.7</v>
      </c>
      <c r="T32" s="9" t="s">
        <v>56</v>
      </c>
      <c r="U32" s="9" t="s">
        <v>57</v>
      </c>
    </row>
    <row r="33" customFormat="false" ht="15" hidden="false" customHeight="false" outlineLevel="0" collapsed="false">
      <c r="A33" s="9" t="s">
        <v>277</v>
      </c>
      <c r="B33" s="9" t="s">
        <v>278</v>
      </c>
      <c r="C33" s="9" t="s">
        <v>279</v>
      </c>
      <c r="D33" s="9" t="s">
        <v>280</v>
      </c>
      <c r="E33" s="9" t="s">
        <v>47</v>
      </c>
      <c r="F33" s="9" t="s">
        <v>63</v>
      </c>
      <c r="G33" s="9" t="s">
        <v>95</v>
      </c>
      <c r="H33" s="9" t="s">
        <v>106</v>
      </c>
      <c r="I33" s="9" t="s">
        <v>107</v>
      </c>
      <c r="J33" s="9" t="s">
        <v>52</v>
      </c>
      <c r="K33" s="9" t="s">
        <v>53</v>
      </c>
      <c r="L33" s="9" t="s">
        <v>281</v>
      </c>
      <c r="M33" s="9" t="s">
        <v>55</v>
      </c>
      <c r="N33" s="9" t="n">
        <v>9</v>
      </c>
      <c r="O33" s="9" t="n">
        <v>3092.55</v>
      </c>
      <c r="P33" s="9" t="n">
        <v>0</v>
      </c>
      <c r="Q33" s="9" t="n">
        <v>27832.95</v>
      </c>
      <c r="R33" s="9" t="n">
        <v>17769.75</v>
      </c>
      <c r="S33" s="9" t="n">
        <v>10063.2</v>
      </c>
      <c r="T33" s="9" t="s">
        <v>224</v>
      </c>
      <c r="U33" s="9" t="s">
        <v>147</v>
      </c>
    </row>
    <row r="34" customFormat="false" ht="15" hidden="false" customHeight="false" outlineLevel="0" collapsed="false">
      <c r="A34" s="9" t="s">
        <v>282</v>
      </c>
      <c r="B34" s="9" t="s">
        <v>283</v>
      </c>
      <c r="C34" s="9" t="s">
        <v>284</v>
      </c>
      <c r="D34" s="9" t="s">
        <v>285</v>
      </c>
      <c r="E34" s="9" t="s">
        <v>186</v>
      </c>
      <c r="F34" s="9" t="s">
        <v>130</v>
      </c>
      <c r="G34" s="9" t="s">
        <v>84</v>
      </c>
      <c r="H34" s="9" t="s">
        <v>122</v>
      </c>
      <c r="I34" s="9" t="s">
        <v>123</v>
      </c>
      <c r="J34" s="9" t="s">
        <v>108</v>
      </c>
      <c r="K34" s="9" t="s">
        <v>247</v>
      </c>
      <c r="L34" s="9" t="s">
        <v>286</v>
      </c>
      <c r="M34" s="9" t="s">
        <v>55</v>
      </c>
      <c r="N34" s="9" t="n">
        <v>3</v>
      </c>
      <c r="O34" s="9" t="n">
        <v>4001.25</v>
      </c>
      <c r="P34" s="9"/>
      <c r="Q34" s="9" t="n">
        <v>9002.81</v>
      </c>
      <c r="R34" s="9" t="n">
        <v>7529.92</v>
      </c>
      <c r="S34" s="9" t="n">
        <v>1472.89</v>
      </c>
      <c r="T34" s="9" t="s">
        <v>56</v>
      </c>
      <c r="U34" s="9" t="s">
        <v>57</v>
      </c>
    </row>
    <row r="35" customFormat="false" ht="15" hidden="false" customHeight="false" outlineLevel="0" collapsed="false">
      <c r="A35" s="9" t="s">
        <v>287</v>
      </c>
      <c r="B35" s="9" t="s">
        <v>288</v>
      </c>
      <c r="C35" s="9" t="s">
        <v>289</v>
      </c>
      <c r="D35" s="9" t="s">
        <v>290</v>
      </c>
      <c r="E35" s="9" t="s">
        <v>165</v>
      </c>
      <c r="F35" s="9" t="s">
        <v>137</v>
      </c>
      <c r="G35" s="9" t="s">
        <v>95</v>
      </c>
      <c r="H35" s="9" t="s">
        <v>274</v>
      </c>
      <c r="I35" s="9" t="s">
        <v>275</v>
      </c>
      <c r="J35" s="9" t="s">
        <v>67</v>
      </c>
      <c r="K35" s="9" t="s">
        <v>68</v>
      </c>
      <c r="L35" s="9" t="s">
        <v>291</v>
      </c>
      <c r="M35" s="9" t="s">
        <v>70</v>
      </c>
      <c r="N35" s="9" t="n">
        <v>7</v>
      </c>
      <c r="O35" s="9" t="n">
        <v>492.41</v>
      </c>
      <c r="P35" s="9" t="n">
        <v>0.25</v>
      </c>
      <c r="Q35" s="9" t="n">
        <v>2585.15</v>
      </c>
      <c r="R35" s="9" t="n">
        <v>2070.73</v>
      </c>
      <c r="S35" s="9" t="n">
        <v>514.42</v>
      </c>
      <c r="T35" s="9" t="s">
        <v>56</v>
      </c>
      <c r="U35" s="9" t="s">
        <v>57</v>
      </c>
    </row>
    <row r="36" customFormat="false" ht="15" hidden="false" customHeight="false" outlineLevel="0" collapsed="false">
      <c r="A36" s="9" t="s">
        <v>292</v>
      </c>
      <c r="B36" s="9" t="s">
        <v>293</v>
      </c>
      <c r="C36" s="9" t="s">
        <v>294</v>
      </c>
      <c r="D36" s="9" t="s">
        <v>295</v>
      </c>
      <c r="E36" s="9" t="s">
        <v>165</v>
      </c>
      <c r="F36" s="9" t="s">
        <v>137</v>
      </c>
      <c r="G36" s="9" t="s">
        <v>64</v>
      </c>
      <c r="H36" s="9" t="s">
        <v>143</v>
      </c>
      <c r="I36" s="9" t="s">
        <v>144</v>
      </c>
      <c r="J36" s="9" t="s">
        <v>67</v>
      </c>
      <c r="K36" s="9" t="s">
        <v>98</v>
      </c>
      <c r="L36" s="9" t="s">
        <v>296</v>
      </c>
      <c r="M36" s="9"/>
      <c r="N36" s="9" t="n">
        <v>2</v>
      </c>
      <c r="O36" s="9" t="n">
        <v>4159.69</v>
      </c>
      <c r="P36" s="9" t="n">
        <v>0.2</v>
      </c>
      <c r="Q36" s="9" t="n">
        <v>6655.5</v>
      </c>
      <c r="R36" s="9" t="n">
        <v>4340.21</v>
      </c>
      <c r="S36" s="9" t="n">
        <v>2607.32</v>
      </c>
      <c r="T36" s="9" t="s">
        <v>56</v>
      </c>
      <c r="U36" s="9" t="s">
        <v>57</v>
      </c>
    </row>
    <row r="37" customFormat="false" ht="15" hidden="false" customHeight="false" outlineLevel="0" collapsed="false">
      <c r="A37" s="9" t="s">
        <v>297</v>
      </c>
      <c r="B37" s="9" t="s">
        <v>298</v>
      </c>
      <c r="C37" s="9" t="s">
        <v>299</v>
      </c>
      <c r="D37" s="9" t="s">
        <v>300</v>
      </c>
      <c r="E37" s="9" t="s">
        <v>192</v>
      </c>
      <c r="F37" s="9" t="s">
        <v>63</v>
      </c>
      <c r="G37" s="9" t="s">
        <v>95</v>
      </c>
      <c r="H37" s="9" t="s">
        <v>260</v>
      </c>
      <c r="I37" s="9" t="s">
        <v>261</v>
      </c>
      <c r="J37" s="9" t="s">
        <v>67</v>
      </c>
      <c r="K37" s="9" t="s">
        <v>228</v>
      </c>
      <c r="L37" s="9" t="s">
        <v>301</v>
      </c>
      <c r="M37" s="9" t="s">
        <v>55</v>
      </c>
      <c r="N37" s="9" t="n">
        <v>8</v>
      </c>
      <c r="O37" s="9" t="n">
        <v>2507.12</v>
      </c>
      <c r="P37" s="9" t="n">
        <v>0.05</v>
      </c>
      <c r="Q37" s="9" t="n">
        <v>19054.11</v>
      </c>
      <c r="R37" s="9" t="n">
        <v>15313.83</v>
      </c>
      <c r="S37" s="9" t="n">
        <v>3740.28</v>
      </c>
      <c r="T37" s="9" t="s">
        <v>160</v>
      </c>
      <c r="U37" s="9" t="s">
        <v>147</v>
      </c>
    </row>
    <row r="38" customFormat="false" ht="15" hidden="false" customHeight="false" outlineLevel="0" collapsed="false">
      <c r="A38" s="9" t="s">
        <v>302</v>
      </c>
      <c r="B38" s="9" t="s">
        <v>303</v>
      </c>
      <c r="C38" s="9" t="s">
        <v>304</v>
      </c>
      <c r="D38" s="9" t="s">
        <v>305</v>
      </c>
      <c r="E38" s="9" t="s">
        <v>204</v>
      </c>
      <c r="F38" s="9" t="s">
        <v>130</v>
      </c>
      <c r="G38" s="9" t="s">
        <v>95</v>
      </c>
      <c r="H38" s="9" t="s">
        <v>96</v>
      </c>
      <c r="I38" s="9" t="s">
        <v>97</v>
      </c>
      <c r="J38" s="9" t="s">
        <v>67</v>
      </c>
      <c r="K38" s="9" t="s">
        <v>228</v>
      </c>
      <c r="L38" s="9" t="s">
        <v>306</v>
      </c>
      <c r="M38" s="9" t="s">
        <v>55</v>
      </c>
      <c r="N38" s="9" t="n">
        <v>3</v>
      </c>
      <c r="O38" s="9" t="n">
        <v>3126.47</v>
      </c>
      <c r="P38" s="9" t="n">
        <v>0</v>
      </c>
      <c r="Q38" s="9" t="n">
        <v>9379.41</v>
      </c>
      <c r="R38" s="9" t="n">
        <v>6670.85</v>
      </c>
      <c r="S38" s="9" t="n">
        <v>2708.56</v>
      </c>
      <c r="T38" s="9" t="s">
        <v>56</v>
      </c>
      <c r="U38" s="9" t="s">
        <v>147</v>
      </c>
    </row>
    <row r="39" customFormat="false" ht="15" hidden="false" customHeight="false" outlineLevel="0" collapsed="false">
      <c r="A39" s="9" t="s">
        <v>307</v>
      </c>
      <c r="B39" s="9" t="s">
        <v>308</v>
      </c>
      <c r="C39" s="9" t="s">
        <v>308</v>
      </c>
      <c r="D39" s="9" t="s">
        <v>309</v>
      </c>
      <c r="E39" s="9" t="s">
        <v>234</v>
      </c>
      <c r="F39" s="9" t="s">
        <v>48</v>
      </c>
      <c r="G39" s="9" t="s">
        <v>95</v>
      </c>
      <c r="H39" s="9" t="s">
        <v>96</v>
      </c>
      <c r="I39" s="9" t="s">
        <v>97</v>
      </c>
      <c r="J39" s="9" t="s">
        <v>108</v>
      </c>
      <c r="K39" s="9" t="s">
        <v>116</v>
      </c>
      <c r="L39" s="9" t="s">
        <v>310</v>
      </c>
      <c r="M39" s="9" t="s">
        <v>311</v>
      </c>
      <c r="N39" s="9" t="n">
        <v>4</v>
      </c>
      <c r="O39" s="9" t="n">
        <v>1327.54</v>
      </c>
      <c r="P39" s="9" t="n">
        <v>0.2</v>
      </c>
      <c r="Q39" s="9" t="n">
        <v>4248.13</v>
      </c>
      <c r="R39" s="9" t="n">
        <v>3321.09</v>
      </c>
      <c r="S39" s="9" t="n">
        <v>927.04</v>
      </c>
      <c r="T39" s="9" t="s">
        <v>56</v>
      </c>
      <c r="U39" s="9" t="s">
        <v>57</v>
      </c>
    </row>
    <row r="40" customFormat="false" ht="15" hidden="false" customHeight="false" outlineLevel="0" collapsed="false">
      <c r="A40" s="9" t="s">
        <v>312</v>
      </c>
      <c r="B40" s="9" t="s">
        <v>313</v>
      </c>
      <c r="C40" s="9" t="s">
        <v>314</v>
      </c>
      <c r="D40" s="9" t="s">
        <v>315</v>
      </c>
      <c r="E40" s="9" t="s">
        <v>186</v>
      </c>
      <c r="F40" s="9" t="s">
        <v>130</v>
      </c>
      <c r="G40" s="9" t="s">
        <v>95</v>
      </c>
      <c r="H40" s="9" t="s">
        <v>260</v>
      </c>
      <c r="I40" s="9" t="s">
        <v>261</v>
      </c>
      <c r="J40" s="9" t="s">
        <v>108</v>
      </c>
      <c r="K40" s="9" t="s">
        <v>247</v>
      </c>
      <c r="L40" s="9" t="s">
        <v>316</v>
      </c>
      <c r="M40" s="9" t="s">
        <v>78</v>
      </c>
      <c r="N40" s="9" t="n">
        <v>7</v>
      </c>
      <c r="O40" s="9" t="n">
        <v>2210.68</v>
      </c>
      <c r="P40" s="9" t="n">
        <v>0.1</v>
      </c>
      <c r="Q40" s="9" t="n">
        <v>13927.28</v>
      </c>
      <c r="R40" s="9" t="n">
        <v>10504.87</v>
      </c>
      <c r="S40" s="9" t="n">
        <v>3422.41</v>
      </c>
      <c r="T40" s="9" t="s">
        <v>56</v>
      </c>
      <c r="U40" s="9" t="s">
        <v>57</v>
      </c>
    </row>
    <row r="41" customFormat="false" ht="15" hidden="false" customHeight="false" outlineLevel="0" collapsed="false">
      <c r="A41" s="9" t="s">
        <v>317</v>
      </c>
      <c r="B41" s="9" t="s">
        <v>318</v>
      </c>
      <c r="C41" s="9" t="s">
        <v>319</v>
      </c>
      <c r="D41" s="9" t="s">
        <v>320</v>
      </c>
      <c r="E41" s="9" t="s">
        <v>62</v>
      </c>
      <c r="F41" s="9" t="s">
        <v>63</v>
      </c>
      <c r="G41" s="9" t="s">
        <v>95</v>
      </c>
      <c r="H41" s="9" t="s">
        <v>106</v>
      </c>
      <c r="I41" s="9" t="s">
        <v>107</v>
      </c>
      <c r="J41" s="9" t="s">
        <v>108</v>
      </c>
      <c r="K41" s="9" t="s">
        <v>116</v>
      </c>
      <c r="L41" s="9" t="s">
        <v>321</v>
      </c>
      <c r="M41" s="9" t="s">
        <v>78</v>
      </c>
      <c r="N41" s="9" t="n">
        <v>4</v>
      </c>
      <c r="O41" s="9" t="n">
        <v>1370.92</v>
      </c>
      <c r="P41" s="9" t="n">
        <v>0.1</v>
      </c>
      <c r="Q41" s="9" t="n">
        <v>4935.31</v>
      </c>
      <c r="R41" s="9" t="n">
        <v>3374.77</v>
      </c>
      <c r="S41" s="9" t="n">
        <v>1560.54</v>
      </c>
      <c r="T41" s="9" t="s">
        <v>160</v>
      </c>
      <c r="U41" s="9" t="s">
        <v>147</v>
      </c>
    </row>
    <row r="42" customFormat="false" ht="15" hidden="false" customHeight="false" outlineLevel="0" collapsed="false">
      <c r="A42" s="9" t="s">
        <v>322</v>
      </c>
      <c r="B42" s="9" t="s">
        <v>323</v>
      </c>
      <c r="C42" s="9" t="s">
        <v>324</v>
      </c>
      <c r="D42" s="9" t="s">
        <v>325</v>
      </c>
      <c r="E42" s="9" t="s">
        <v>75</v>
      </c>
      <c r="F42" s="9" t="s">
        <v>137</v>
      </c>
      <c r="G42" s="9" t="s">
        <v>95</v>
      </c>
      <c r="H42" s="9" t="s">
        <v>50</v>
      </c>
      <c r="I42" s="9" t="s">
        <v>158</v>
      </c>
      <c r="J42" s="9" t="s">
        <v>108</v>
      </c>
      <c r="K42" s="9" t="s">
        <v>116</v>
      </c>
      <c r="L42" s="9" t="s">
        <v>326</v>
      </c>
      <c r="M42" s="9" t="s">
        <v>89</v>
      </c>
      <c r="N42" s="9" t="n">
        <v>7</v>
      </c>
      <c r="O42" s="9" t="n">
        <v>2509.27</v>
      </c>
      <c r="P42" s="9" t="n">
        <v>0.2</v>
      </c>
      <c r="Q42" s="9" t="n">
        <v>14051.91</v>
      </c>
      <c r="R42" s="9" t="n">
        <v>11990.37</v>
      </c>
      <c r="S42" s="9" t="n">
        <v>2061.54</v>
      </c>
      <c r="T42" s="9" t="s">
        <v>56</v>
      </c>
      <c r="U42" s="9" t="s">
        <v>57</v>
      </c>
    </row>
    <row r="43" customFormat="false" ht="15" hidden="false" customHeight="false" outlineLevel="0" collapsed="false">
      <c r="A43" s="9" t="s">
        <v>327</v>
      </c>
      <c r="B43" s="9" t="s">
        <v>328</v>
      </c>
      <c r="C43" s="9" t="s">
        <v>329</v>
      </c>
      <c r="D43" s="9" t="s">
        <v>330</v>
      </c>
      <c r="E43" s="9" t="s">
        <v>186</v>
      </c>
      <c r="F43" s="9" t="s">
        <v>63</v>
      </c>
      <c r="G43" s="9" t="s">
        <v>64</v>
      </c>
      <c r="H43" s="9" t="s">
        <v>65</v>
      </c>
      <c r="I43" s="9" t="s">
        <v>66</v>
      </c>
      <c r="J43" s="9" t="s">
        <v>67</v>
      </c>
      <c r="K43" s="9" t="s">
        <v>228</v>
      </c>
      <c r="L43" s="9" t="s">
        <v>331</v>
      </c>
      <c r="M43" s="9" t="s">
        <v>70</v>
      </c>
      <c r="N43" s="9" t="n">
        <v>8</v>
      </c>
      <c r="O43" s="9" t="n">
        <v>855.81</v>
      </c>
      <c r="P43" s="9" t="n">
        <v>0</v>
      </c>
      <c r="Q43" s="9" t="n">
        <v>6846.48</v>
      </c>
      <c r="R43" s="9" t="n">
        <v>4239.89</v>
      </c>
      <c r="S43" s="9" t="n">
        <v>2606.59</v>
      </c>
      <c r="T43" s="9" t="s">
        <v>160</v>
      </c>
      <c r="U43" s="9" t="s">
        <v>100</v>
      </c>
    </row>
    <row r="44" customFormat="false" ht="15" hidden="false" customHeight="false" outlineLevel="0" collapsed="false">
      <c r="A44" s="9" t="s">
        <v>332</v>
      </c>
      <c r="B44" s="9" t="s">
        <v>333</v>
      </c>
      <c r="C44" s="9" t="s">
        <v>334</v>
      </c>
      <c r="D44" s="9" t="s">
        <v>335</v>
      </c>
      <c r="E44" s="9" t="s">
        <v>83</v>
      </c>
      <c r="F44" s="9" t="s">
        <v>130</v>
      </c>
      <c r="G44" s="9" t="s">
        <v>64</v>
      </c>
      <c r="H44" s="9" t="s">
        <v>336</v>
      </c>
      <c r="I44" s="9" t="s">
        <v>337</v>
      </c>
      <c r="J44" s="9" t="s">
        <v>108</v>
      </c>
      <c r="K44" s="9" t="s">
        <v>247</v>
      </c>
      <c r="L44" s="9" t="s">
        <v>338</v>
      </c>
      <c r="M44" s="9" t="s">
        <v>89</v>
      </c>
      <c r="N44" s="9" t="n">
        <v>8</v>
      </c>
      <c r="O44" s="9" t="n">
        <v>979.87</v>
      </c>
      <c r="P44" s="9" t="n">
        <v>0.05</v>
      </c>
      <c r="Q44" s="9" t="n">
        <v>7447.01</v>
      </c>
      <c r="R44" s="9" t="n">
        <v>4496.22</v>
      </c>
      <c r="S44" s="9" t="n">
        <v>2950.79</v>
      </c>
      <c r="T44" s="9" t="s">
        <v>56</v>
      </c>
      <c r="U44" s="9" t="s">
        <v>57</v>
      </c>
    </row>
    <row r="45" customFormat="false" ht="15" hidden="false" customHeight="false" outlineLevel="0" collapsed="false">
      <c r="A45" s="9" t="s">
        <v>339</v>
      </c>
      <c r="B45" s="9" t="s">
        <v>340</v>
      </c>
      <c r="C45" s="9" t="s">
        <v>341</v>
      </c>
      <c r="D45" s="9" t="s">
        <v>342</v>
      </c>
      <c r="E45" s="9" t="s">
        <v>165</v>
      </c>
      <c r="F45" s="9" t="s">
        <v>63</v>
      </c>
      <c r="G45" s="9" t="s">
        <v>64</v>
      </c>
      <c r="H45" s="9" t="s">
        <v>65</v>
      </c>
      <c r="I45" s="9" t="s">
        <v>66</v>
      </c>
      <c r="J45" s="9" t="s">
        <v>67</v>
      </c>
      <c r="K45" s="9" t="s">
        <v>87</v>
      </c>
      <c r="L45" s="9" t="s">
        <v>343</v>
      </c>
      <c r="M45" s="9" t="s">
        <v>70</v>
      </c>
      <c r="N45" s="9" t="n">
        <v>3</v>
      </c>
      <c r="O45" s="9" t="n">
        <v>1010.23</v>
      </c>
      <c r="P45" s="9" t="n">
        <v>0</v>
      </c>
      <c r="Q45" s="9" t="n">
        <v>3030.69</v>
      </c>
      <c r="R45" s="9" t="n">
        <v>1721.08</v>
      </c>
      <c r="S45" s="9" t="n">
        <v>1309.61</v>
      </c>
      <c r="T45" s="9" t="s">
        <v>56</v>
      </c>
      <c r="U45" s="9" t="s">
        <v>57</v>
      </c>
    </row>
    <row r="46" customFormat="false" ht="15" hidden="false" customHeight="false" outlineLevel="0" collapsed="false">
      <c r="A46" s="9" t="s">
        <v>344</v>
      </c>
      <c r="B46" s="9" t="s">
        <v>345</v>
      </c>
      <c r="C46" s="9" t="s">
        <v>346</v>
      </c>
      <c r="D46" s="9" t="s">
        <v>347</v>
      </c>
      <c r="E46" s="9" t="s">
        <v>204</v>
      </c>
      <c r="F46" s="9" t="s">
        <v>63</v>
      </c>
      <c r="G46" s="9" t="s">
        <v>177</v>
      </c>
      <c r="H46" s="9" t="s">
        <v>348</v>
      </c>
      <c r="I46" s="9" t="s">
        <v>349</v>
      </c>
      <c r="J46" s="9" t="s">
        <v>67</v>
      </c>
      <c r="K46" s="9" t="s">
        <v>98</v>
      </c>
      <c r="L46" s="9" t="s">
        <v>350</v>
      </c>
      <c r="M46" s="9" t="s">
        <v>89</v>
      </c>
      <c r="N46" s="9" t="n">
        <v>9</v>
      </c>
      <c r="O46" s="9" t="n">
        <v>3329.77</v>
      </c>
      <c r="P46" s="9" t="n">
        <v>0.1</v>
      </c>
      <c r="Q46" s="9" t="n">
        <v>26971.14</v>
      </c>
      <c r="R46" s="9" t="n">
        <v>17376.2</v>
      </c>
      <c r="S46" s="9" t="n">
        <v>9594.94</v>
      </c>
      <c r="T46" s="9" t="s">
        <v>56</v>
      </c>
      <c r="U46" s="9" t="s">
        <v>57</v>
      </c>
    </row>
    <row r="47" customFormat="false" ht="15" hidden="false" customHeight="false" outlineLevel="0" collapsed="false">
      <c r="A47" s="9" t="s">
        <v>351</v>
      </c>
      <c r="B47" s="9" t="s">
        <v>352</v>
      </c>
      <c r="C47" s="9" t="s">
        <v>353</v>
      </c>
      <c r="D47" s="9" t="s">
        <v>354</v>
      </c>
      <c r="E47" s="9" t="s">
        <v>75</v>
      </c>
      <c r="F47" s="9" t="s">
        <v>137</v>
      </c>
      <c r="G47" s="9" t="s">
        <v>64</v>
      </c>
      <c r="H47" s="9" t="s">
        <v>210</v>
      </c>
      <c r="I47" s="9" t="s">
        <v>211</v>
      </c>
      <c r="J47" s="9" t="s">
        <v>52</v>
      </c>
      <c r="K47" s="9" t="s">
        <v>76</v>
      </c>
      <c r="L47" s="9" t="s">
        <v>355</v>
      </c>
      <c r="M47" s="9" t="s">
        <v>55</v>
      </c>
      <c r="N47" s="9" t="n">
        <v>8</v>
      </c>
      <c r="O47" s="9" t="n">
        <v>3927.82</v>
      </c>
      <c r="P47" s="9" t="n">
        <v>0.05</v>
      </c>
      <c r="Q47" s="9" t="n">
        <v>29851.43</v>
      </c>
      <c r="R47" s="9" t="n">
        <v>17487.48</v>
      </c>
      <c r="S47" s="9" t="n">
        <v>12363.95</v>
      </c>
      <c r="T47" s="9" t="s">
        <v>160</v>
      </c>
      <c r="U47" s="9" t="s">
        <v>147</v>
      </c>
    </row>
    <row r="48" customFormat="false" ht="15" hidden="false" customHeight="false" outlineLevel="0" collapsed="false">
      <c r="A48" s="9" t="s">
        <v>356</v>
      </c>
      <c r="B48" s="9" t="s">
        <v>357</v>
      </c>
      <c r="C48" s="9" t="s">
        <v>357</v>
      </c>
      <c r="D48" s="9" t="s">
        <v>358</v>
      </c>
      <c r="E48" s="9" t="s">
        <v>94</v>
      </c>
      <c r="F48" s="9" t="s">
        <v>63</v>
      </c>
      <c r="G48" s="9" t="s">
        <v>84</v>
      </c>
      <c r="H48" s="9" t="s">
        <v>267</v>
      </c>
      <c r="I48" s="9" t="s">
        <v>268</v>
      </c>
      <c r="J48" s="9" t="s">
        <v>67</v>
      </c>
      <c r="K48" s="9" t="s">
        <v>228</v>
      </c>
      <c r="L48" s="9" t="s">
        <v>359</v>
      </c>
      <c r="M48" s="9" t="s">
        <v>89</v>
      </c>
      <c r="N48" s="9" t="n">
        <v>9</v>
      </c>
      <c r="O48" s="9" t="n">
        <v>2386.79</v>
      </c>
      <c r="P48" s="9" t="n">
        <v>0.25</v>
      </c>
      <c r="Q48" s="9" t="n">
        <v>16110.83</v>
      </c>
      <c r="R48" s="9" t="n">
        <v>10680.03</v>
      </c>
      <c r="S48" s="9" t="n">
        <v>5430.8</v>
      </c>
      <c r="T48" s="9" t="s">
        <v>146</v>
      </c>
      <c r="U48" s="9" t="s">
        <v>147</v>
      </c>
    </row>
    <row r="49" customFormat="false" ht="15" hidden="false" customHeight="false" outlineLevel="0" collapsed="false">
      <c r="A49" s="9" t="s">
        <v>360</v>
      </c>
      <c r="B49" s="9" t="s">
        <v>361</v>
      </c>
      <c r="C49" s="9" t="s">
        <v>362</v>
      </c>
      <c r="D49" s="9" t="s">
        <v>363</v>
      </c>
      <c r="E49" s="9" t="s">
        <v>171</v>
      </c>
      <c r="F49" s="9" t="s">
        <v>130</v>
      </c>
      <c r="G49" s="9" t="s">
        <v>84</v>
      </c>
      <c r="H49" s="9" t="s">
        <v>364</v>
      </c>
      <c r="I49" s="9" t="s">
        <v>365</v>
      </c>
      <c r="J49" s="9" t="s">
        <v>52</v>
      </c>
      <c r="K49" s="9" t="s">
        <v>180</v>
      </c>
      <c r="L49" s="9" t="s">
        <v>366</v>
      </c>
      <c r="M49" s="9" t="s">
        <v>89</v>
      </c>
      <c r="N49" s="9" t="n">
        <v>8</v>
      </c>
      <c r="O49" s="9" t="n">
        <v>2445.31</v>
      </c>
      <c r="P49" s="9" t="n">
        <v>0.1</v>
      </c>
      <c r="Q49" s="9" t="n">
        <v>17606.23</v>
      </c>
      <c r="R49" s="9" t="n">
        <v>12438.96</v>
      </c>
      <c r="S49" s="9" t="n">
        <v>5167.27</v>
      </c>
      <c r="T49" s="9" t="s">
        <v>56</v>
      </c>
      <c r="U49" s="9" t="s">
        <v>57</v>
      </c>
    </row>
    <row r="50" customFormat="false" ht="15" hidden="false" customHeight="false" outlineLevel="0" collapsed="false">
      <c r="A50" s="9" t="s">
        <v>367</v>
      </c>
      <c r="B50" s="9" t="s">
        <v>368</v>
      </c>
      <c r="C50" s="9" t="s">
        <v>369</v>
      </c>
      <c r="D50" s="9" t="s">
        <v>370</v>
      </c>
      <c r="E50" s="9" t="s">
        <v>115</v>
      </c>
      <c r="F50" s="9" t="s">
        <v>130</v>
      </c>
      <c r="G50" s="9" t="s">
        <v>95</v>
      </c>
      <c r="H50" s="9" t="s">
        <v>96</v>
      </c>
      <c r="I50" s="9" t="s">
        <v>97</v>
      </c>
      <c r="J50" s="9" t="s">
        <v>67</v>
      </c>
      <c r="K50" s="9" t="s">
        <v>98</v>
      </c>
      <c r="L50" s="9" t="s">
        <v>371</v>
      </c>
      <c r="M50" s="9" t="s">
        <v>372</v>
      </c>
      <c r="N50" s="9" t="n">
        <v>7</v>
      </c>
      <c r="O50" s="9" t="n">
        <v>4063.66</v>
      </c>
      <c r="P50" s="9" t="n">
        <v>0</v>
      </c>
      <c r="Q50" s="9" t="n">
        <v>28445.62</v>
      </c>
      <c r="R50" s="9" t="n">
        <v>20938.59</v>
      </c>
      <c r="S50" s="9" t="n">
        <v>7507.03</v>
      </c>
      <c r="T50" s="9" t="s">
        <v>56</v>
      </c>
      <c r="U50" s="9" t="s">
        <v>57</v>
      </c>
    </row>
    <row r="51" customFormat="false" ht="15" hidden="false" customHeight="false" outlineLevel="0" collapsed="false">
      <c r="A51" s="9" t="s">
        <v>373</v>
      </c>
      <c r="B51" s="9" t="s">
        <v>374</v>
      </c>
      <c r="C51" s="9" t="s">
        <v>375</v>
      </c>
      <c r="D51" s="9" t="s">
        <v>376</v>
      </c>
      <c r="E51" s="9" t="s">
        <v>186</v>
      </c>
      <c r="F51" s="9" t="s">
        <v>137</v>
      </c>
      <c r="G51" s="9" t="s">
        <v>177</v>
      </c>
      <c r="H51" s="9" t="s">
        <v>198</v>
      </c>
      <c r="I51" s="9" t="s">
        <v>199</v>
      </c>
      <c r="J51" s="9" t="s">
        <v>108</v>
      </c>
      <c r="K51" s="9" t="s">
        <v>116</v>
      </c>
      <c r="L51" s="9" t="s">
        <v>377</v>
      </c>
      <c r="M51" s="9" t="s">
        <v>55</v>
      </c>
      <c r="N51" s="9" t="n">
        <v>9</v>
      </c>
      <c r="O51" s="9" t="n">
        <v>792.11</v>
      </c>
      <c r="P51" s="9" t="n">
        <v>0.05</v>
      </c>
      <c r="Q51" s="9" t="n">
        <v>6772.54</v>
      </c>
      <c r="R51" s="9" t="n">
        <v>5755.46</v>
      </c>
      <c r="S51" s="9" t="n">
        <v>1017.08</v>
      </c>
      <c r="T51" s="9" t="s">
        <v>56</v>
      </c>
      <c r="U51" s="9" t="s">
        <v>57</v>
      </c>
    </row>
    <row r="52" customFormat="false" ht="15" hidden="false" customHeight="false" outlineLevel="0" collapsed="false">
      <c r="A52" s="9" t="s">
        <v>378</v>
      </c>
      <c r="B52" s="9" t="s">
        <v>379</v>
      </c>
      <c r="C52" s="9" t="s">
        <v>380</v>
      </c>
      <c r="D52" s="9" t="s">
        <v>381</v>
      </c>
      <c r="E52" s="9" t="s">
        <v>192</v>
      </c>
      <c r="F52" s="9" t="s">
        <v>48</v>
      </c>
      <c r="G52" s="9" t="s">
        <v>64</v>
      </c>
      <c r="H52" s="9" t="s">
        <v>143</v>
      </c>
      <c r="I52" s="9" t="s">
        <v>144</v>
      </c>
      <c r="J52" s="9" t="s">
        <v>108</v>
      </c>
      <c r="K52" s="9" t="s">
        <v>116</v>
      </c>
      <c r="L52" s="9" t="s">
        <v>382</v>
      </c>
      <c r="M52" s="9" t="s">
        <v>89</v>
      </c>
      <c r="N52" s="9" t="n">
        <v>1</v>
      </c>
      <c r="O52" s="9" t="n">
        <v>2382.8</v>
      </c>
      <c r="P52" s="9" t="n">
        <v>0.15</v>
      </c>
      <c r="Q52" s="9" t="n">
        <v>2025.38</v>
      </c>
      <c r="R52" s="9" t="n">
        <v>1140.65</v>
      </c>
      <c r="S52" s="9" t="n">
        <v>884.73</v>
      </c>
      <c r="T52" s="9" t="s">
        <v>56</v>
      </c>
      <c r="U52" s="9" t="s">
        <v>57</v>
      </c>
    </row>
    <row r="53" customFormat="false" ht="15" hidden="false" customHeight="false" outlineLevel="0" collapsed="false">
      <c r="A53" s="9" t="s">
        <v>383</v>
      </c>
      <c r="B53" s="9" t="s">
        <v>384</v>
      </c>
      <c r="C53" s="9" t="s">
        <v>385</v>
      </c>
      <c r="D53" s="9" t="s">
        <v>386</v>
      </c>
      <c r="E53" s="9" t="s">
        <v>387</v>
      </c>
      <c r="F53" s="9" t="s">
        <v>130</v>
      </c>
      <c r="G53" s="9" t="s">
        <v>84</v>
      </c>
      <c r="H53" s="9" t="s">
        <v>85</v>
      </c>
      <c r="I53" s="9" t="s">
        <v>86</v>
      </c>
      <c r="J53" s="9" t="s">
        <v>52</v>
      </c>
      <c r="K53" s="9" t="s">
        <v>76</v>
      </c>
      <c r="L53" s="9" t="s">
        <v>388</v>
      </c>
      <c r="M53" s="9" t="s">
        <v>89</v>
      </c>
      <c r="N53" s="9" t="n">
        <v>6</v>
      </c>
      <c r="O53" s="9" t="n">
        <v>1528.08</v>
      </c>
      <c r="P53" s="9" t="n">
        <v>0</v>
      </c>
      <c r="Q53" s="9" t="n">
        <v>9168.48</v>
      </c>
      <c r="R53" s="9" t="n">
        <v>7439.77</v>
      </c>
      <c r="S53" s="9" t="n">
        <v>1728.71</v>
      </c>
      <c r="T53" s="9" t="s">
        <v>56</v>
      </c>
      <c r="U53" s="9" t="s">
        <v>57</v>
      </c>
    </row>
    <row r="54" customFormat="false" ht="15" hidden="false" customHeight="false" outlineLevel="0" collapsed="false">
      <c r="A54" s="9" t="s">
        <v>389</v>
      </c>
      <c r="B54" s="9" t="s">
        <v>390</v>
      </c>
      <c r="C54" s="9" t="s">
        <v>391</v>
      </c>
      <c r="D54" s="9" t="s">
        <v>392</v>
      </c>
      <c r="E54" s="9" t="s">
        <v>393</v>
      </c>
      <c r="F54" s="9" t="s">
        <v>63</v>
      </c>
      <c r="G54" s="9" t="s">
        <v>177</v>
      </c>
      <c r="H54" s="9" t="s">
        <v>50</v>
      </c>
      <c r="I54" s="9" t="s">
        <v>51</v>
      </c>
      <c r="J54" s="9" t="s">
        <v>67</v>
      </c>
      <c r="K54" s="9" t="s">
        <v>98</v>
      </c>
      <c r="L54" s="9" t="s">
        <v>394</v>
      </c>
      <c r="M54" s="9" t="s">
        <v>78</v>
      </c>
      <c r="N54" s="9" t="n">
        <v>9</v>
      </c>
      <c r="O54" s="9" t="n">
        <v>1399.63</v>
      </c>
      <c r="P54" s="9" t="n">
        <v>0</v>
      </c>
      <c r="Q54" s="9" t="n">
        <v>12596.67</v>
      </c>
      <c r="R54" s="9" t="n">
        <v>10603.29</v>
      </c>
      <c r="S54" s="9" t="n">
        <v>1993.38</v>
      </c>
      <c r="T54" s="9" t="s">
        <v>224</v>
      </c>
      <c r="U54" s="9" t="s">
        <v>100</v>
      </c>
    </row>
    <row r="55" customFormat="false" ht="15" hidden="false" customHeight="false" outlineLevel="0" collapsed="false">
      <c r="A55" s="9" t="s">
        <v>395</v>
      </c>
      <c r="B55" s="9" t="s">
        <v>396</v>
      </c>
      <c r="C55" s="9" t="s">
        <v>397</v>
      </c>
      <c r="D55" s="9" t="s">
        <v>398</v>
      </c>
      <c r="E55" s="9" t="s">
        <v>393</v>
      </c>
      <c r="F55" s="9" t="s">
        <v>137</v>
      </c>
      <c r="G55" s="9" t="s">
        <v>95</v>
      </c>
      <c r="H55" s="9" t="s">
        <v>260</v>
      </c>
      <c r="I55" s="9" t="s">
        <v>261</v>
      </c>
      <c r="J55" s="9" t="s">
        <v>52</v>
      </c>
      <c r="K55" s="9" t="s">
        <v>180</v>
      </c>
      <c r="L55" s="9" t="s">
        <v>399</v>
      </c>
      <c r="M55" s="9" t="s">
        <v>78</v>
      </c>
      <c r="N55" s="9" t="n">
        <v>5</v>
      </c>
      <c r="O55" s="9" t="n">
        <v>1207.47</v>
      </c>
      <c r="P55" s="9" t="n">
        <v>0.15</v>
      </c>
      <c r="Q55" s="9" t="n">
        <v>5131.75</v>
      </c>
      <c r="R55" s="9" t="n">
        <v>2838.68</v>
      </c>
      <c r="S55" s="9" t="n">
        <v>2293.07</v>
      </c>
      <c r="T55" s="9" t="s">
        <v>56</v>
      </c>
      <c r="U55" s="9" t="s">
        <v>57</v>
      </c>
    </row>
    <row r="56" customFormat="false" ht="15" hidden="false" customHeight="false" outlineLevel="0" collapsed="false">
      <c r="A56" s="9" t="s">
        <v>400</v>
      </c>
      <c r="B56" s="9" t="s">
        <v>401</v>
      </c>
      <c r="C56" s="9" t="s">
        <v>402</v>
      </c>
      <c r="D56" s="9" t="s">
        <v>403</v>
      </c>
      <c r="E56" s="9" t="s">
        <v>83</v>
      </c>
      <c r="F56" s="9" t="s">
        <v>130</v>
      </c>
      <c r="G56" s="9" t="s">
        <v>84</v>
      </c>
      <c r="H56" s="9" t="s">
        <v>364</v>
      </c>
      <c r="I56" s="9" t="s">
        <v>365</v>
      </c>
      <c r="J56" s="9" t="s">
        <v>52</v>
      </c>
      <c r="K56" s="9" t="s">
        <v>131</v>
      </c>
      <c r="L56" s="9" t="s">
        <v>404</v>
      </c>
      <c r="M56" s="9" t="s">
        <v>70</v>
      </c>
      <c r="N56" s="9" t="n">
        <v>8</v>
      </c>
      <c r="O56" s="9" t="n">
        <v>474.37</v>
      </c>
      <c r="P56" s="9" t="n">
        <v>0.1</v>
      </c>
      <c r="Q56" s="9" t="n">
        <v>3415.46</v>
      </c>
      <c r="R56" s="9" t="n">
        <v>1993.23</v>
      </c>
      <c r="S56" s="9" t="n">
        <v>1422.23</v>
      </c>
      <c r="T56" s="9" t="s">
        <v>224</v>
      </c>
      <c r="U56" s="9" t="s">
        <v>100</v>
      </c>
    </row>
    <row r="57" customFormat="false" ht="15" hidden="false" customHeight="false" outlineLevel="0" collapsed="false">
      <c r="A57" s="9" t="s">
        <v>405</v>
      </c>
      <c r="B57" s="9" t="s">
        <v>406</v>
      </c>
      <c r="C57" s="9" t="s">
        <v>407</v>
      </c>
      <c r="D57" s="9" t="s">
        <v>408</v>
      </c>
      <c r="E57" s="9" t="s">
        <v>62</v>
      </c>
      <c r="F57" s="9" t="s">
        <v>63</v>
      </c>
      <c r="G57" s="9" t="s">
        <v>84</v>
      </c>
      <c r="H57" s="9" t="s">
        <v>122</v>
      </c>
      <c r="I57" s="9" t="s">
        <v>123</v>
      </c>
      <c r="J57" s="9" t="s">
        <v>108</v>
      </c>
      <c r="K57" s="9" t="s">
        <v>409</v>
      </c>
      <c r="L57" s="9" t="s">
        <v>410</v>
      </c>
      <c r="M57" s="9" t="s">
        <v>70</v>
      </c>
      <c r="N57" s="9" t="n">
        <v>3</v>
      </c>
      <c r="O57" s="9" t="n">
        <v>1516.24</v>
      </c>
      <c r="P57" s="9" t="n">
        <v>0.25</v>
      </c>
      <c r="Q57" s="9" t="n">
        <v>3411.54</v>
      </c>
      <c r="R57" s="9" t="n">
        <v>2803.13</v>
      </c>
      <c r="S57" s="9" t="n">
        <v>608.41</v>
      </c>
      <c r="T57" s="9" t="s">
        <v>56</v>
      </c>
      <c r="U57" s="9" t="s">
        <v>57</v>
      </c>
    </row>
    <row r="58" customFormat="false" ht="15" hidden="false" customHeight="false" outlineLevel="0" collapsed="false">
      <c r="A58" s="9" t="s">
        <v>411</v>
      </c>
      <c r="B58" s="9" t="s">
        <v>412</v>
      </c>
      <c r="C58" s="9" t="s">
        <v>413</v>
      </c>
      <c r="D58" s="9" t="s">
        <v>414</v>
      </c>
      <c r="E58" s="9" t="s">
        <v>47</v>
      </c>
      <c r="F58" s="9" t="s">
        <v>48</v>
      </c>
      <c r="G58" s="9" t="s">
        <v>84</v>
      </c>
      <c r="H58" s="9" t="s">
        <v>254</v>
      </c>
      <c r="I58" s="9" t="s">
        <v>255</v>
      </c>
      <c r="J58" s="9" t="s">
        <v>52</v>
      </c>
      <c r="K58" s="9" t="s">
        <v>222</v>
      </c>
      <c r="L58" s="9" t="s">
        <v>415</v>
      </c>
      <c r="M58" s="9" t="s">
        <v>55</v>
      </c>
      <c r="N58" s="9" t="n">
        <v>3</v>
      </c>
      <c r="O58" s="9" t="n">
        <v>3155.61</v>
      </c>
      <c r="P58" s="9" t="n">
        <v>0</v>
      </c>
      <c r="Q58" s="9" t="n">
        <v>9466.83</v>
      </c>
      <c r="R58" s="9" t="n">
        <v>6557.83</v>
      </c>
      <c r="S58" s="9" t="n">
        <v>2909</v>
      </c>
      <c r="T58" s="9" t="s">
        <v>146</v>
      </c>
      <c r="U58" s="9" t="s">
        <v>100</v>
      </c>
    </row>
    <row r="59" customFormat="false" ht="15" hidden="false" customHeight="false" outlineLevel="0" collapsed="false">
      <c r="A59" s="9" t="s">
        <v>416</v>
      </c>
      <c r="B59" s="9" t="s">
        <v>417</v>
      </c>
      <c r="C59" s="9" t="s">
        <v>418</v>
      </c>
      <c r="D59" s="9" t="s">
        <v>419</v>
      </c>
      <c r="E59" s="9" t="s">
        <v>165</v>
      </c>
      <c r="F59" s="9" t="s">
        <v>48</v>
      </c>
      <c r="G59" s="9" t="s">
        <v>95</v>
      </c>
      <c r="H59" s="9" t="s">
        <v>274</v>
      </c>
      <c r="I59" s="9" t="s">
        <v>275</v>
      </c>
      <c r="J59" s="9" t="s">
        <v>67</v>
      </c>
      <c r="K59" s="9" t="s">
        <v>98</v>
      </c>
      <c r="L59" s="9" t="s">
        <v>420</v>
      </c>
      <c r="M59" s="9" t="s">
        <v>70</v>
      </c>
      <c r="N59" s="9" t="n">
        <v>5</v>
      </c>
      <c r="O59" s="9" t="n">
        <v>255.87</v>
      </c>
      <c r="P59" s="9" t="n">
        <v>0</v>
      </c>
      <c r="Q59" s="9" t="n">
        <v>1279.35</v>
      </c>
      <c r="R59" s="9" t="n">
        <v>1091.54</v>
      </c>
      <c r="S59" s="9" t="n">
        <v>187.81</v>
      </c>
      <c r="T59" s="9" t="s">
        <v>56</v>
      </c>
      <c r="U59" s="9" t="s">
        <v>57</v>
      </c>
    </row>
    <row r="60" customFormat="false" ht="15" hidden="false" customHeight="false" outlineLevel="0" collapsed="false">
      <c r="A60" s="9" t="s">
        <v>421</v>
      </c>
      <c r="B60" s="9" t="s">
        <v>422</v>
      </c>
      <c r="C60" s="9" t="s">
        <v>423</v>
      </c>
      <c r="D60" s="9" t="s">
        <v>424</v>
      </c>
      <c r="E60" s="9" t="s">
        <v>75</v>
      </c>
      <c r="F60" s="9" t="s">
        <v>137</v>
      </c>
      <c r="G60" s="9" t="s">
        <v>177</v>
      </c>
      <c r="H60" s="9" t="s">
        <v>50</v>
      </c>
      <c r="I60" s="9" t="s">
        <v>51</v>
      </c>
      <c r="J60" s="9" t="s">
        <v>52</v>
      </c>
      <c r="K60" s="9" t="s">
        <v>180</v>
      </c>
      <c r="L60" s="9" t="s">
        <v>425</v>
      </c>
      <c r="M60" s="9"/>
      <c r="N60" s="9" t="n">
        <v>9</v>
      </c>
      <c r="O60" s="9" t="n">
        <v>1389.48</v>
      </c>
      <c r="P60" s="9" t="n">
        <v>0.1</v>
      </c>
      <c r="Q60" s="9" t="n">
        <v>11254.79</v>
      </c>
      <c r="R60" s="9" t="n">
        <v>6578.06</v>
      </c>
      <c r="S60" s="9" t="n">
        <v>4676.73</v>
      </c>
      <c r="T60" s="9" t="s">
        <v>160</v>
      </c>
      <c r="U60" s="9" t="s">
        <v>147</v>
      </c>
    </row>
    <row r="61" customFormat="false" ht="15" hidden="false" customHeight="false" outlineLevel="0" collapsed="false">
      <c r="A61" s="9" t="s">
        <v>426</v>
      </c>
      <c r="B61" s="9" t="s">
        <v>427</v>
      </c>
      <c r="C61" s="9" t="s">
        <v>428</v>
      </c>
      <c r="D61" s="9" t="s">
        <v>429</v>
      </c>
      <c r="E61" s="9" t="s">
        <v>165</v>
      </c>
      <c r="F61" s="9" t="s">
        <v>130</v>
      </c>
      <c r="G61" s="9" t="s">
        <v>64</v>
      </c>
      <c r="H61" s="9" t="s">
        <v>240</v>
      </c>
      <c r="I61" s="9" t="s">
        <v>241</v>
      </c>
      <c r="J61" s="9" t="s">
        <v>52</v>
      </c>
      <c r="K61" s="9" t="s">
        <v>131</v>
      </c>
      <c r="L61" s="9" t="s">
        <v>430</v>
      </c>
      <c r="M61" s="9" t="s">
        <v>70</v>
      </c>
      <c r="N61" s="9" t="n">
        <v>5</v>
      </c>
      <c r="O61" s="9" t="n">
        <v>4133.85</v>
      </c>
      <c r="P61" s="9" t="n">
        <v>0.2</v>
      </c>
      <c r="Q61" s="9" t="n">
        <v>16535.4</v>
      </c>
      <c r="R61" s="9" t="n">
        <v>12990.21</v>
      </c>
      <c r="S61" s="9" t="n">
        <v>3545.19</v>
      </c>
      <c r="T61" s="9" t="s">
        <v>56</v>
      </c>
      <c r="U61" s="9" t="s">
        <v>100</v>
      </c>
    </row>
    <row r="62" customFormat="false" ht="15" hidden="false" customHeight="false" outlineLevel="0" collapsed="false">
      <c r="A62" s="9" t="s">
        <v>431</v>
      </c>
      <c r="B62" s="9" t="s">
        <v>432</v>
      </c>
      <c r="C62" s="9" t="s">
        <v>433</v>
      </c>
      <c r="D62" s="9" t="s">
        <v>434</v>
      </c>
      <c r="E62" s="9" t="s">
        <v>94</v>
      </c>
      <c r="F62" s="9" t="s">
        <v>130</v>
      </c>
      <c r="G62" s="9" t="s">
        <v>64</v>
      </c>
      <c r="H62" s="9" t="s">
        <v>240</v>
      </c>
      <c r="I62" s="9" t="s">
        <v>241</v>
      </c>
      <c r="J62" s="9" t="s">
        <v>52</v>
      </c>
      <c r="K62" s="9" t="s">
        <v>131</v>
      </c>
      <c r="L62" s="9" t="s">
        <v>435</v>
      </c>
      <c r="M62" s="9" t="s">
        <v>70</v>
      </c>
      <c r="N62" s="9" t="n">
        <v>3</v>
      </c>
      <c r="O62" s="9" t="n">
        <v>275.76</v>
      </c>
      <c r="P62" s="9" t="n">
        <v>0.2</v>
      </c>
      <c r="Q62" s="9" t="n">
        <v>661.82</v>
      </c>
      <c r="R62" s="9" t="n">
        <v>481.47</v>
      </c>
      <c r="S62" s="9" t="n">
        <v>180.35</v>
      </c>
      <c r="T62" s="9" t="s">
        <v>146</v>
      </c>
      <c r="U62" s="9" t="s">
        <v>100</v>
      </c>
    </row>
    <row r="63" customFormat="false" ht="15" hidden="false" customHeight="false" outlineLevel="0" collapsed="false">
      <c r="A63" s="9" t="s">
        <v>436</v>
      </c>
      <c r="B63" s="9" t="s">
        <v>437</v>
      </c>
      <c r="C63" s="9" t="s">
        <v>438</v>
      </c>
      <c r="D63" s="9" t="s">
        <v>439</v>
      </c>
      <c r="E63" s="9" t="s">
        <v>105</v>
      </c>
      <c r="F63" s="9" t="s">
        <v>137</v>
      </c>
      <c r="G63" s="9" t="s">
        <v>64</v>
      </c>
      <c r="H63" s="9" t="s">
        <v>210</v>
      </c>
      <c r="I63" s="9" t="s">
        <v>211</v>
      </c>
      <c r="J63" s="9" t="s">
        <v>67</v>
      </c>
      <c r="K63" s="9" t="s">
        <v>228</v>
      </c>
      <c r="L63" s="9" t="s">
        <v>440</v>
      </c>
      <c r="M63" s="9" t="s">
        <v>89</v>
      </c>
      <c r="N63" s="9" t="n">
        <v>1</v>
      </c>
      <c r="O63" s="9" t="n">
        <v>949.59</v>
      </c>
      <c r="P63" s="9" t="n">
        <v>0</v>
      </c>
      <c r="Q63" s="9" t="n">
        <v>949.59</v>
      </c>
      <c r="R63" s="9" t="n">
        <v>751.25</v>
      </c>
      <c r="S63" s="9" t="n">
        <v>198.34</v>
      </c>
      <c r="T63" s="9" t="s">
        <v>56</v>
      </c>
      <c r="U63" s="9" t="s">
        <v>57</v>
      </c>
    </row>
    <row r="64" customFormat="false" ht="15" hidden="false" customHeight="false" outlineLevel="0" collapsed="false">
      <c r="A64" s="9" t="s">
        <v>441</v>
      </c>
      <c r="B64" s="9" t="s">
        <v>442</v>
      </c>
      <c r="C64" s="9" t="s">
        <v>443</v>
      </c>
      <c r="D64" s="9" t="s">
        <v>444</v>
      </c>
      <c r="E64" s="9" t="s">
        <v>192</v>
      </c>
      <c r="F64" s="9" t="s">
        <v>137</v>
      </c>
      <c r="G64" s="9" t="s">
        <v>177</v>
      </c>
      <c r="H64" s="9" t="s">
        <v>50</v>
      </c>
      <c r="I64" s="9" t="s">
        <v>51</v>
      </c>
      <c r="J64" s="9" t="s">
        <v>108</v>
      </c>
      <c r="K64" s="9" t="s">
        <v>247</v>
      </c>
      <c r="L64" s="9" t="s">
        <v>445</v>
      </c>
      <c r="M64" s="9" t="s">
        <v>89</v>
      </c>
      <c r="N64" s="9" t="n">
        <v>9</v>
      </c>
      <c r="O64" s="9" t="n">
        <v>3042.29</v>
      </c>
      <c r="P64" s="9" t="n">
        <v>0.2</v>
      </c>
      <c r="Q64" s="9" t="n">
        <v>21904.49</v>
      </c>
      <c r="R64" s="9" t="n">
        <v>13570.55</v>
      </c>
      <c r="S64" s="9" t="n">
        <v>8333.94</v>
      </c>
      <c r="T64" s="9" t="s">
        <v>56</v>
      </c>
      <c r="U64" s="9" t="s">
        <v>57</v>
      </c>
    </row>
    <row r="65" customFormat="false" ht="15" hidden="false" customHeight="false" outlineLevel="0" collapsed="false">
      <c r="A65" s="9" t="s">
        <v>446</v>
      </c>
      <c r="B65" s="9" t="s">
        <v>447</v>
      </c>
      <c r="C65" s="9" t="s">
        <v>448</v>
      </c>
      <c r="D65" s="9" t="s">
        <v>449</v>
      </c>
      <c r="E65" s="9" t="s">
        <v>192</v>
      </c>
      <c r="F65" s="9" t="s">
        <v>137</v>
      </c>
      <c r="G65" s="9" t="s">
        <v>177</v>
      </c>
      <c r="H65" s="9" t="s">
        <v>348</v>
      </c>
      <c r="I65" s="9" t="s">
        <v>349</v>
      </c>
      <c r="J65" s="9" t="s">
        <v>52</v>
      </c>
      <c r="K65" s="9" t="s">
        <v>222</v>
      </c>
      <c r="L65" s="9" t="s">
        <v>450</v>
      </c>
      <c r="M65" s="9" t="s">
        <v>70</v>
      </c>
      <c r="N65" s="9" t="n">
        <v>2</v>
      </c>
      <c r="O65" s="9" t="n">
        <v>2832.77</v>
      </c>
      <c r="P65" s="9" t="n">
        <v>0.15</v>
      </c>
      <c r="Q65" s="9" t="n">
        <v>4815.71</v>
      </c>
      <c r="R65" s="9" t="n">
        <v>3027.75</v>
      </c>
      <c r="S65" s="9" t="n">
        <v>1917.47</v>
      </c>
      <c r="T65" s="9" t="s">
        <v>249</v>
      </c>
      <c r="U65" s="9" t="s">
        <v>57</v>
      </c>
    </row>
    <row r="66" customFormat="false" ht="15" hidden="false" customHeight="false" outlineLevel="0" collapsed="false">
      <c r="A66" s="9" t="s">
        <v>451</v>
      </c>
      <c r="B66" s="9" t="s">
        <v>452</v>
      </c>
      <c r="C66" s="9" t="s">
        <v>453</v>
      </c>
      <c r="D66" s="9" t="s">
        <v>454</v>
      </c>
      <c r="E66" s="9" t="s">
        <v>186</v>
      </c>
      <c r="F66" s="9" t="s">
        <v>130</v>
      </c>
      <c r="G66" s="9" t="s">
        <v>64</v>
      </c>
      <c r="H66" s="9" t="s">
        <v>336</v>
      </c>
      <c r="I66" s="9" t="s">
        <v>337</v>
      </c>
      <c r="J66" s="9" t="s">
        <v>52</v>
      </c>
      <c r="K66" s="9" t="s">
        <v>53</v>
      </c>
      <c r="L66" s="9" t="s">
        <v>455</v>
      </c>
      <c r="M66" s="9" t="s">
        <v>78</v>
      </c>
      <c r="N66" s="9" t="n">
        <v>7</v>
      </c>
      <c r="O66" s="9" t="n">
        <v>447.84</v>
      </c>
      <c r="P66" s="9" t="n">
        <v>0</v>
      </c>
      <c r="Q66" s="9" t="n">
        <v>3134.88</v>
      </c>
      <c r="R66" s="9" t="n">
        <v>2367.63</v>
      </c>
      <c r="S66" s="9" t="n">
        <v>767.25</v>
      </c>
      <c r="T66" s="9" t="s">
        <v>146</v>
      </c>
      <c r="U66" s="9" t="s">
        <v>147</v>
      </c>
    </row>
    <row r="67" customFormat="false" ht="15" hidden="false" customHeight="false" outlineLevel="0" collapsed="false">
      <c r="A67" s="9" t="s">
        <v>456</v>
      </c>
      <c r="B67" s="9" t="s">
        <v>457</v>
      </c>
      <c r="C67" s="9" t="s">
        <v>458</v>
      </c>
      <c r="D67" s="9" t="s">
        <v>459</v>
      </c>
      <c r="E67" s="9" t="s">
        <v>62</v>
      </c>
      <c r="F67" s="9" t="s">
        <v>137</v>
      </c>
      <c r="G67" s="9" t="s">
        <v>95</v>
      </c>
      <c r="H67" s="9" t="s">
        <v>96</v>
      </c>
      <c r="I67" s="9" t="s">
        <v>97</v>
      </c>
      <c r="J67" s="9" t="s">
        <v>52</v>
      </c>
      <c r="K67" s="9" t="s">
        <v>53</v>
      </c>
      <c r="L67" s="9" t="s">
        <v>460</v>
      </c>
      <c r="M67" s="9" t="s">
        <v>55</v>
      </c>
      <c r="N67" s="9" t="n">
        <v>1</v>
      </c>
      <c r="O67" s="9" t="n">
        <v>4280.19</v>
      </c>
      <c r="P67" s="9" t="n">
        <v>0.05</v>
      </c>
      <c r="Q67" s="9" t="n">
        <v>4066.18</v>
      </c>
      <c r="R67" s="9" t="n">
        <v>2628.92</v>
      </c>
      <c r="S67" s="9" t="n">
        <v>1437.26</v>
      </c>
      <c r="T67" s="9" t="s">
        <v>56</v>
      </c>
      <c r="U67" s="9" t="s">
        <v>57</v>
      </c>
    </row>
    <row r="68" customFormat="false" ht="15" hidden="false" customHeight="false" outlineLevel="0" collapsed="false">
      <c r="A68" s="9" t="s">
        <v>461</v>
      </c>
      <c r="B68" s="9" t="s">
        <v>462</v>
      </c>
      <c r="C68" s="9" t="s">
        <v>463</v>
      </c>
      <c r="D68" s="9" t="s">
        <v>464</v>
      </c>
      <c r="E68" s="9" t="s">
        <v>47</v>
      </c>
      <c r="F68" s="9" t="s">
        <v>63</v>
      </c>
      <c r="G68" s="9" t="s">
        <v>84</v>
      </c>
      <c r="H68" s="9" t="s">
        <v>364</v>
      </c>
      <c r="I68" s="9" t="s">
        <v>365</v>
      </c>
      <c r="J68" s="9" t="s">
        <v>108</v>
      </c>
      <c r="K68" s="9" t="s">
        <v>109</v>
      </c>
      <c r="L68" s="9" t="s">
        <v>465</v>
      </c>
      <c r="M68" s="9" t="s">
        <v>70</v>
      </c>
      <c r="N68" s="9" t="n">
        <v>7</v>
      </c>
      <c r="O68" s="9" t="n">
        <v>1057.46</v>
      </c>
      <c r="P68" s="9" t="n">
        <v>0.05</v>
      </c>
      <c r="Q68" s="9" t="n">
        <v>7032.11</v>
      </c>
      <c r="R68" s="9" t="n">
        <v>4610.34</v>
      </c>
      <c r="S68" s="9" t="n">
        <v>2421.77</v>
      </c>
      <c r="T68" s="9" t="s">
        <v>56</v>
      </c>
      <c r="U68" s="9" t="s">
        <v>57</v>
      </c>
    </row>
    <row r="69" customFormat="false" ht="15" hidden="false" customHeight="false" outlineLevel="0" collapsed="false">
      <c r="A69" s="9" t="s">
        <v>466</v>
      </c>
      <c r="B69" s="9" t="s">
        <v>467</v>
      </c>
      <c r="C69" s="9" t="s">
        <v>468</v>
      </c>
      <c r="D69" s="9" t="s">
        <v>469</v>
      </c>
      <c r="E69" s="9" t="s">
        <v>393</v>
      </c>
      <c r="F69" s="9" t="s">
        <v>48</v>
      </c>
      <c r="G69" s="9" t="s">
        <v>177</v>
      </c>
      <c r="H69" s="9" t="s">
        <v>348</v>
      </c>
      <c r="I69" s="9" t="s">
        <v>349</v>
      </c>
      <c r="J69" s="9" t="s">
        <v>52</v>
      </c>
      <c r="K69" s="9" t="s">
        <v>53</v>
      </c>
      <c r="L69" s="9" t="s">
        <v>470</v>
      </c>
      <c r="M69" s="9" t="s">
        <v>78</v>
      </c>
      <c r="N69" s="9" t="n">
        <v>7</v>
      </c>
      <c r="O69" s="9" t="n">
        <v>3609.34</v>
      </c>
      <c r="P69" s="9" t="n">
        <v>0.05</v>
      </c>
      <c r="Q69" s="9" t="n">
        <v>24002.11</v>
      </c>
      <c r="R69" s="9" t="n">
        <v>18707.57</v>
      </c>
      <c r="S69" s="9" t="n">
        <v>5294.54</v>
      </c>
      <c r="T69" s="9" t="s">
        <v>56</v>
      </c>
      <c r="U69" s="9" t="s">
        <v>57</v>
      </c>
    </row>
    <row r="70" customFormat="false" ht="15" hidden="false" customHeight="false" outlineLevel="0" collapsed="false">
      <c r="A70" s="9" t="s">
        <v>471</v>
      </c>
      <c r="B70" s="9" t="s">
        <v>127</v>
      </c>
      <c r="C70" s="9" t="s">
        <v>472</v>
      </c>
      <c r="D70" s="9" t="s">
        <v>473</v>
      </c>
      <c r="E70" s="9" t="s">
        <v>75</v>
      </c>
      <c r="F70" s="9" t="s">
        <v>130</v>
      </c>
      <c r="G70" s="9" t="s">
        <v>64</v>
      </c>
      <c r="H70" s="9" t="s">
        <v>336</v>
      </c>
      <c r="I70" s="9" t="s">
        <v>337</v>
      </c>
      <c r="J70" s="9" t="s">
        <v>52</v>
      </c>
      <c r="K70" s="9" t="s">
        <v>180</v>
      </c>
      <c r="L70" s="9" t="s">
        <v>474</v>
      </c>
      <c r="M70" s="9" t="s">
        <v>55</v>
      </c>
      <c r="N70" s="9" t="n">
        <v>9</v>
      </c>
      <c r="O70" s="9" t="n">
        <v>2211.12</v>
      </c>
      <c r="P70" s="9" t="n">
        <v>0</v>
      </c>
      <c r="Q70" s="9" t="n">
        <v>19900.08</v>
      </c>
      <c r="R70" s="9" t="n">
        <v>10962.66</v>
      </c>
      <c r="S70" s="9" t="n">
        <v>8937.42</v>
      </c>
      <c r="T70" s="9" t="s">
        <v>224</v>
      </c>
      <c r="U70" s="9" t="s">
        <v>147</v>
      </c>
    </row>
    <row r="71" customFormat="false" ht="15" hidden="false" customHeight="false" outlineLevel="0" collapsed="false">
      <c r="A71" s="9" t="s">
        <v>475</v>
      </c>
      <c r="B71" s="9" t="s">
        <v>476</v>
      </c>
      <c r="C71" s="9" t="s">
        <v>477</v>
      </c>
      <c r="D71" s="9" t="s">
        <v>478</v>
      </c>
      <c r="E71" s="9" t="s">
        <v>115</v>
      </c>
      <c r="F71" s="9" t="s">
        <v>63</v>
      </c>
      <c r="G71" s="9" t="s">
        <v>95</v>
      </c>
      <c r="H71" s="9" t="s">
        <v>260</v>
      </c>
      <c r="I71" s="9" t="s">
        <v>261</v>
      </c>
      <c r="J71" s="9" t="s">
        <v>108</v>
      </c>
      <c r="K71" s="9" t="s">
        <v>409</v>
      </c>
      <c r="L71" s="9" t="s">
        <v>479</v>
      </c>
      <c r="M71" s="9" t="s">
        <v>70</v>
      </c>
      <c r="N71" s="9" t="n">
        <v>7</v>
      </c>
      <c r="O71" s="9" t="n">
        <v>3417.09</v>
      </c>
      <c r="P71" s="9" t="n">
        <v>0.1</v>
      </c>
      <c r="Q71" s="9" t="n">
        <v>21527.67</v>
      </c>
      <c r="R71" s="9" t="n">
        <v>18287.58</v>
      </c>
      <c r="S71" s="9" t="n">
        <v>3240.09</v>
      </c>
      <c r="T71" s="9" t="s">
        <v>146</v>
      </c>
      <c r="U71" s="9" t="s">
        <v>147</v>
      </c>
    </row>
    <row r="72" customFormat="false" ht="15" hidden="false" customHeight="false" outlineLevel="0" collapsed="false">
      <c r="A72" s="9" t="s">
        <v>480</v>
      </c>
      <c r="B72" s="9" t="s">
        <v>481</v>
      </c>
      <c r="C72" s="9" t="s">
        <v>482</v>
      </c>
      <c r="D72" s="9" t="s">
        <v>483</v>
      </c>
      <c r="E72" s="9" t="s">
        <v>47</v>
      </c>
      <c r="F72" s="9" t="s">
        <v>130</v>
      </c>
      <c r="G72" s="9" t="s">
        <v>84</v>
      </c>
      <c r="H72" s="9" t="s">
        <v>122</v>
      </c>
      <c r="I72" s="9" t="s">
        <v>123</v>
      </c>
      <c r="J72" s="9" t="s">
        <v>108</v>
      </c>
      <c r="K72" s="9" t="s">
        <v>247</v>
      </c>
      <c r="L72" s="9" t="s">
        <v>484</v>
      </c>
      <c r="M72" s="9" t="s">
        <v>78</v>
      </c>
      <c r="N72" s="9" t="n">
        <v>2</v>
      </c>
      <c r="O72" s="9" t="n">
        <v>905.87</v>
      </c>
      <c r="P72" s="9" t="n">
        <v>0.15</v>
      </c>
      <c r="Q72" s="9" t="n">
        <v>1539.98</v>
      </c>
      <c r="R72" s="9" t="n">
        <v>1070.2</v>
      </c>
      <c r="S72" s="9" t="n">
        <v>469.78</v>
      </c>
      <c r="T72" s="9" t="s">
        <v>56</v>
      </c>
      <c r="U72" s="9" t="s">
        <v>57</v>
      </c>
    </row>
    <row r="73" customFormat="false" ht="15" hidden="false" customHeight="false" outlineLevel="0" collapsed="false">
      <c r="A73" s="9" t="s">
        <v>485</v>
      </c>
      <c r="B73" s="9" t="s">
        <v>113</v>
      </c>
      <c r="C73" s="9" t="s">
        <v>486</v>
      </c>
      <c r="D73" s="9" t="s">
        <v>487</v>
      </c>
      <c r="E73" s="9" t="s">
        <v>62</v>
      </c>
      <c r="F73" s="9" t="s">
        <v>488</v>
      </c>
      <c r="G73" s="9" t="s">
        <v>95</v>
      </c>
      <c r="H73" s="9" t="s">
        <v>274</v>
      </c>
      <c r="I73" s="9" t="s">
        <v>275</v>
      </c>
      <c r="J73" s="9" t="s">
        <v>108</v>
      </c>
      <c r="K73" s="9" t="s">
        <v>409</v>
      </c>
      <c r="L73" s="9" t="s">
        <v>489</v>
      </c>
      <c r="M73" s="9" t="s">
        <v>89</v>
      </c>
      <c r="N73" s="9" t="n">
        <v>6</v>
      </c>
      <c r="O73" s="9" t="n">
        <v>2027.32</v>
      </c>
      <c r="P73" s="9" t="n">
        <v>0.1</v>
      </c>
      <c r="Q73" s="9" t="n">
        <v>10947.53</v>
      </c>
      <c r="R73" s="9" t="n">
        <v>6447.36</v>
      </c>
      <c r="S73" s="9" t="n">
        <v>4500.17</v>
      </c>
      <c r="T73" s="9" t="s">
        <v>56</v>
      </c>
      <c r="U73" s="9" t="s">
        <v>57</v>
      </c>
    </row>
    <row r="74" customFormat="false" ht="15" hidden="false" customHeight="false" outlineLevel="0" collapsed="false">
      <c r="A74" s="9" t="s">
        <v>490</v>
      </c>
      <c r="B74" s="9" t="s">
        <v>491</v>
      </c>
      <c r="C74" s="9" t="s">
        <v>492</v>
      </c>
      <c r="D74" s="9" t="s">
        <v>493</v>
      </c>
      <c r="E74" s="9" t="s">
        <v>47</v>
      </c>
      <c r="F74" s="9" t="s">
        <v>137</v>
      </c>
      <c r="G74" s="9" t="s">
        <v>84</v>
      </c>
      <c r="H74" s="9" t="s">
        <v>364</v>
      </c>
      <c r="I74" s="9" t="s">
        <v>365</v>
      </c>
      <c r="J74" s="9" t="s">
        <v>67</v>
      </c>
      <c r="K74" s="9" t="s">
        <v>68</v>
      </c>
      <c r="L74" s="9" t="s">
        <v>494</v>
      </c>
      <c r="M74" s="9" t="s">
        <v>78</v>
      </c>
      <c r="N74" s="9" t="n">
        <v>7</v>
      </c>
      <c r="O74" s="9" t="n">
        <v>2287.47</v>
      </c>
      <c r="P74" s="9" t="n">
        <v>0.15</v>
      </c>
      <c r="Q74" s="9" t="n">
        <v>13610.45</v>
      </c>
      <c r="R74" s="9" t="n">
        <v>10039.05</v>
      </c>
      <c r="S74" s="9" t="n">
        <v>3571.4</v>
      </c>
      <c r="T74" s="9" t="s">
        <v>56</v>
      </c>
      <c r="U74" s="9" t="s">
        <v>57</v>
      </c>
    </row>
    <row r="75" customFormat="false" ht="15" hidden="false" customHeight="false" outlineLevel="0" collapsed="false">
      <c r="A75" s="9" t="s">
        <v>495</v>
      </c>
      <c r="B75" s="9" t="s">
        <v>496</v>
      </c>
      <c r="C75" s="9" t="s">
        <v>497</v>
      </c>
      <c r="D75" s="9" t="s">
        <v>498</v>
      </c>
      <c r="E75" s="9" t="s">
        <v>192</v>
      </c>
      <c r="F75" s="9" t="s">
        <v>130</v>
      </c>
      <c r="G75" s="9" t="s">
        <v>64</v>
      </c>
      <c r="H75" s="9" t="s">
        <v>143</v>
      </c>
      <c r="I75" s="9" t="s">
        <v>144</v>
      </c>
      <c r="J75" s="9" t="s">
        <v>67</v>
      </c>
      <c r="K75" s="9" t="s">
        <v>228</v>
      </c>
      <c r="L75" s="9" t="s">
        <v>499</v>
      </c>
      <c r="M75" s="9" t="s">
        <v>78</v>
      </c>
      <c r="N75" s="9" t="n">
        <v>5</v>
      </c>
      <c r="O75" s="9" t="n">
        <v>1425.74</v>
      </c>
      <c r="P75" s="9" t="n">
        <v>0</v>
      </c>
      <c r="Q75" s="9" t="n">
        <v>7128.7</v>
      </c>
      <c r="R75" s="9" t="n">
        <v>4382.15</v>
      </c>
      <c r="S75" s="9" t="n">
        <v>2746.55</v>
      </c>
      <c r="T75" s="9" t="s">
        <v>56</v>
      </c>
      <c r="U75" s="9" t="s">
        <v>57</v>
      </c>
    </row>
    <row r="76" customFormat="false" ht="15" hidden="false" customHeight="false" outlineLevel="0" collapsed="false">
      <c r="A76" s="9" t="s">
        <v>500</v>
      </c>
      <c r="B76" s="9" t="s">
        <v>501</v>
      </c>
      <c r="C76" s="9" t="s">
        <v>502</v>
      </c>
      <c r="D76" s="9" t="s">
        <v>503</v>
      </c>
      <c r="E76" s="9" t="s">
        <v>105</v>
      </c>
      <c r="F76" s="9" t="s">
        <v>63</v>
      </c>
      <c r="G76" s="9" t="s">
        <v>64</v>
      </c>
      <c r="H76" s="9" t="s">
        <v>143</v>
      </c>
      <c r="I76" s="9" t="s">
        <v>144</v>
      </c>
      <c r="J76" s="9" t="s">
        <v>67</v>
      </c>
      <c r="K76" s="9" t="s">
        <v>98</v>
      </c>
      <c r="L76" s="9" t="s">
        <v>504</v>
      </c>
      <c r="M76" s="9" t="s">
        <v>89</v>
      </c>
      <c r="N76" s="9" t="n">
        <v>6</v>
      </c>
      <c r="O76" s="9" t="n">
        <v>551.64</v>
      </c>
      <c r="P76" s="9" t="n">
        <v>0</v>
      </c>
      <c r="Q76" s="9" t="n">
        <v>3309.84</v>
      </c>
      <c r="R76" s="9" t="n">
        <v>2671.08</v>
      </c>
      <c r="S76" s="9" t="n">
        <v>638.76</v>
      </c>
      <c r="T76" s="9" t="s">
        <v>56</v>
      </c>
      <c r="U76" s="9" t="s">
        <v>57</v>
      </c>
    </row>
    <row r="77" customFormat="false" ht="15" hidden="false" customHeight="false" outlineLevel="0" collapsed="false">
      <c r="A77" s="9" t="s">
        <v>505</v>
      </c>
      <c r="B77" s="9" t="s">
        <v>506</v>
      </c>
      <c r="C77" s="9" t="s">
        <v>507</v>
      </c>
      <c r="D77" s="9" t="s">
        <v>508</v>
      </c>
      <c r="E77" s="9" t="s">
        <v>165</v>
      </c>
      <c r="F77" s="9" t="s">
        <v>63</v>
      </c>
      <c r="G77" s="9" t="s">
        <v>64</v>
      </c>
      <c r="H77" s="9" t="s">
        <v>65</v>
      </c>
      <c r="I77" s="9" t="s">
        <v>66</v>
      </c>
      <c r="J77" s="9" t="s">
        <v>52</v>
      </c>
      <c r="K77" s="9" t="s">
        <v>131</v>
      </c>
      <c r="L77" s="9" t="s">
        <v>509</v>
      </c>
      <c r="M77" s="9" t="s">
        <v>78</v>
      </c>
      <c r="N77" s="9" t="n">
        <v>3</v>
      </c>
      <c r="O77" s="9" t="n">
        <v>3294.82</v>
      </c>
      <c r="P77" s="9" t="n">
        <v>0.2</v>
      </c>
      <c r="Q77" s="9" t="n">
        <v>7907.57</v>
      </c>
      <c r="R77" s="9" t="n">
        <v>5391.18</v>
      </c>
      <c r="S77" s="9" t="n">
        <v>2516.39</v>
      </c>
      <c r="T77" s="9" t="s">
        <v>56</v>
      </c>
      <c r="U77" s="9" t="s">
        <v>57</v>
      </c>
    </row>
    <row r="78" customFormat="false" ht="15" hidden="false" customHeight="false" outlineLevel="0" collapsed="false">
      <c r="A78" s="9" t="s">
        <v>510</v>
      </c>
      <c r="B78" s="9" t="s">
        <v>511</v>
      </c>
      <c r="C78" s="9" t="s">
        <v>512</v>
      </c>
      <c r="D78" s="9" t="s">
        <v>513</v>
      </c>
      <c r="E78" s="9" t="s">
        <v>94</v>
      </c>
      <c r="F78" s="9" t="s">
        <v>130</v>
      </c>
      <c r="G78" s="9" t="s">
        <v>64</v>
      </c>
      <c r="H78" s="9" t="s">
        <v>336</v>
      </c>
      <c r="I78" s="9" t="s">
        <v>337</v>
      </c>
      <c r="J78" s="9" t="s">
        <v>52</v>
      </c>
      <c r="K78" s="9" t="s">
        <v>131</v>
      </c>
      <c r="L78" s="9" t="s">
        <v>514</v>
      </c>
      <c r="M78" s="9" t="s">
        <v>55</v>
      </c>
      <c r="N78" s="9" t="n">
        <v>3</v>
      </c>
      <c r="O78" s="9" t="n">
        <v>3406.27</v>
      </c>
      <c r="P78" s="9" t="n">
        <v>0</v>
      </c>
      <c r="Q78" s="9" t="n">
        <v>10218.81</v>
      </c>
      <c r="R78" s="9" t="n">
        <v>7616.97</v>
      </c>
      <c r="S78" s="9" t="n">
        <v>2601.84</v>
      </c>
      <c r="T78" s="9" t="s">
        <v>56</v>
      </c>
      <c r="U78" s="9" t="s">
        <v>57</v>
      </c>
    </row>
    <row r="79" customFormat="false" ht="15" hidden="false" customHeight="false" outlineLevel="0" collapsed="false">
      <c r="A79" s="9" t="s">
        <v>515</v>
      </c>
      <c r="B79" s="9" t="s">
        <v>516</v>
      </c>
      <c r="C79" s="9" t="s">
        <v>517</v>
      </c>
      <c r="D79" s="9" t="s">
        <v>518</v>
      </c>
      <c r="E79" s="9" t="s">
        <v>204</v>
      </c>
      <c r="F79" s="9" t="s">
        <v>137</v>
      </c>
      <c r="G79" s="9" t="s">
        <v>177</v>
      </c>
      <c r="H79" s="9" t="s">
        <v>198</v>
      </c>
      <c r="I79" s="9" t="s">
        <v>199</v>
      </c>
      <c r="J79" s="9" t="s">
        <v>67</v>
      </c>
      <c r="K79" s="9" t="s">
        <v>87</v>
      </c>
      <c r="L79" s="9" t="s">
        <v>519</v>
      </c>
      <c r="M79" s="9" t="s">
        <v>89</v>
      </c>
      <c r="N79" s="9" t="n">
        <v>1</v>
      </c>
      <c r="O79" s="9" t="n">
        <v>2582.2</v>
      </c>
      <c r="P79" s="9" t="n">
        <v>0.15</v>
      </c>
      <c r="Q79" s="9" t="n">
        <v>2194.87</v>
      </c>
      <c r="R79" s="9" t="n">
        <v>1223.17</v>
      </c>
      <c r="S79" s="9" t="n">
        <v>971.7</v>
      </c>
      <c r="T79" s="9" t="s">
        <v>146</v>
      </c>
      <c r="U79" s="9" t="s">
        <v>100</v>
      </c>
    </row>
    <row r="80" customFormat="false" ht="15" hidden="false" customHeight="false" outlineLevel="0" collapsed="false">
      <c r="A80" s="9" t="s">
        <v>520</v>
      </c>
      <c r="B80" s="9" t="s">
        <v>521</v>
      </c>
      <c r="C80" s="9" t="s">
        <v>522</v>
      </c>
      <c r="D80" s="9" t="s">
        <v>523</v>
      </c>
      <c r="E80" s="9" t="s">
        <v>192</v>
      </c>
      <c r="F80" s="9" t="s">
        <v>130</v>
      </c>
      <c r="G80" s="9" t="s">
        <v>64</v>
      </c>
      <c r="H80" s="9" t="s">
        <v>143</v>
      </c>
      <c r="I80" s="9" t="s">
        <v>144</v>
      </c>
      <c r="J80" s="9" t="s">
        <v>67</v>
      </c>
      <c r="K80" s="9" t="s">
        <v>68</v>
      </c>
      <c r="L80" s="9" t="s">
        <v>524</v>
      </c>
      <c r="M80" s="9" t="s">
        <v>78</v>
      </c>
      <c r="N80" s="9" t="n">
        <v>5</v>
      </c>
      <c r="O80" s="9" t="n">
        <v>2129.51</v>
      </c>
      <c r="P80" s="9" t="n">
        <v>0.15</v>
      </c>
      <c r="Q80" s="9" t="n">
        <v>9050.42</v>
      </c>
      <c r="R80" s="9" t="n">
        <v>6778.85</v>
      </c>
      <c r="S80" s="9" t="n">
        <v>2271.57</v>
      </c>
      <c r="T80" s="9" t="s">
        <v>56</v>
      </c>
      <c r="U80" s="9" t="s">
        <v>57</v>
      </c>
    </row>
    <row r="81" customFormat="false" ht="15" hidden="false" customHeight="false" outlineLevel="0" collapsed="false">
      <c r="A81" s="9" t="s">
        <v>525</v>
      </c>
      <c r="B81" s="9" t="s">
        <v>526</v>
      </c>
      <c r="C81" s="9" t="s">
        <v>527</v>
      </c>
      <c r="D81" s="9" t="s">
        <v>528</v>
      </c>
      <c r="E81" s="9" t="s">
        <v>234</v>
      </c>
      <c r="F81" s="9" t="s">
        <v>137</v>
      </c>
      <c r="G81" s="9" t="s">
        <v>84</v>
      </c>
      <c r="H81" s="9" t="s">
        <v>364</v>
      </c>
      <c r="I81" s="9" t="s">
        <v>365</v>
      </c>
      <c r="J81" s="9" t="s">
        <v>529</v>
      </c>
      <c r="K81" s="9" t="s">
        <v>98</v>
      </c>
      <c r="L81" s="9" t="s">
        <v>530</v>
      </c>
      <c r="M81" s="9" t="s">
        <v>70</v>
      </c>
      <c r="N81" s="9" t="n">
        <v>9</v>
      </c>
      <c r="O81" s="9" t="n">
        <v>4131.52</v>
      </c>
      <c r="P81" s="9" t="n">
        <v>0.1</v>
      </c>
      <c r="Q81" s="9" t="n">
        <v>33465.31</v>
      </c>
      <c r="R81" s="9" t="n">
        <v>24781.26</v>
      </c>
      <c r="S81" s="9" t="n">
        <v>8684.05</v>
      </c>
      <c r="T81" s="9" t="s">
        <v>56</v>
      </c>
      <c r="U81" s="9" t="s">
        <v>57</v>
      </c>
    </row>
    <row r="82" customFormat="false" ht="15" hidden="false" customHeight="false" outlineLevel="0" collapsed="false">
      <c r="A82" s="9" t="s">
        <v>531</v>
      </c>
      <c r="B82" s="9" t="s">
        <v>532</v>
      </c>
      <c r="C82" s="9" t="s">
        <v>533</v>
      </c>
      <c r="D82" s="9" t="s">
        <v>534</v>
      </c>
      <c r="E82" s="9" t="s">
        <v>186</v>
      </c>
      <c r="F82" s="9" t="s">
        <v>63</v>
      </c>
      <c r="G82" s="9" t="s">
        <v>177</v>
      </c>
      <c r="H82" s="9" t="s">
        <v>535</v>
      </c>
      <c r="I82" s="9" t="s">
        <v>536</v>
      </c>
      <c r="J82" s="9" t="s">
        <v>52</v>
      </c>
      <c r="K82" s="9" t="s">
        <v>180</v>
      </c>
      <c r="L82" s="9" t="s">
        <v>537</v>
      </c>
      <c r="M82" s="9" t="s">
        <v>55</v>
      </c>
      <c r="N82" s="9" t="n">
        <v>4</v>
      </c>
      <c r="O82" s="9" t="n">
        <v>1182.32</v>
      </c>
      <c r="P82" s="9" t="n">
        <v>0.1</v>
      </c>
      <c r="Q82" s="9" t="n">
        <v>4256.35</v>
      </c>
      <c r="R82" s="9" t="n">
        <v>2495.33</v>
      </c>
      <c r="S82" s="9" t="n">
        <v>1761.02</v>
      </c>
      <c r="T82" s="9" t="s">
        <v>160</v>
      </c>
      <c r="U82" s="9" t="s">
        <v>147</v>
      </c>
    </row>
    <row r="83" customFormat="false" ht="15" hidden="false" customHeight="false" outlineLevel="0" collapsed="false">
      <c r="A83" s="9" t="s">
        <v>538</v>
      </c>
      <c r="B83" s="9" t="s">
        <v>539</v>
      </c>
      <c r="C83" s="9" t="s">
        <v>540</v>
      </c>
      <c r="D83" s="9" t="s">
        <v>541</v>
      </c>
      <c r="E83" s="9" t="s">
        <v>47</v>
      </c>
      <c r="F83" s="9" t="s">
        <v>137</v>
      </c>
      <c r="G83" s="9" t="s">
        <v>95</v>
      </c>
      <c r="H83" s="9" t="s">
        <v>274</v>
      </c>
      <c r="I83" s="9" t="s">
        <v>275</v>
      </c>
      <c r="J83" s="9" t="s">
        <v>52</v>
      </c>
      <c r="K83" s="9" t="s">
        <v>131</v>
      </c>
      <c r="L83" s="9" t="s">
        <v>542</v>
      </c>
      <c r="M83" s="9" t="s">
        <v>70</v>
      </c>
      <c r="N83" s="9" t="n">
        <v>3</v>
      </c>
      <c r="O83" s="9" t="n">
        <v>1841.91</v>
      </c>
      <c r="P83" s="9" t="n">
        <v>0</v>
      </c>
      <c r="Q83" s="9" t="n">
        <v>5525.73</v>
      </c>
      <c r="R83" s="9" t="n">
        <v>3093.42</v>
      </c>
      <c r="S83" s="9" t="n">
        <v>2432.31</v>
      </c>
      <c r="T83" s="9" t="s">
        <v>56</v>
      </c>
      <c r="U83" s="9" t="s">
        <v>57</v>
      </c>
    </row>
    <row r="84" customFormat="false" ht="15" hidden="false" customHeight="false" outlineLevel="0" collapsed="false">
      <c r="A84" s="9" t="s">
        <v>543</v>
      </c>
      <c r="B84" s="9" t="s">
        <v>544</v>
      </c>
      <c r="C84" s="9" t="s">
        <v>545</v>
      </c>
      <c r="D84" s="9" t="s">
        <v>546</v>
      </c>
      <c r="E84" s="9" t="s">
        <v>83</v>
      </c>
      <c r="F84" s="9" t="s">
        <v>48</v>
      </c>
      <c r="G84" s="9" t="s">
        <v>177</v>
      </c>
      <c r="H84" s="9" t="s">
        <v>198</v>
      </c>
      <c r="I84" s="9" t="s">
        <v>199</v>
      </c>
      <c r="J84" s="9" t="s">
        <v>108</v>
      </c>
      <c r="K84" s="9" t="s">
        <v>116</v>
      </c>
      <c r="L84" s="9" t="s">
        <v>547</v>
      </c>
      <c r="M84" s="9" t="s">
        <v>55</v>
      </c>
      <c r="N84" s="9" t="n">
        <v>6</v>
      </c>
      <c r="O84" s="9" t="n">
        <v>1001.73</v>
      </c>
      <c r="P84" s="9" t="n">
        <v>0</v>
      </c>
      <c r="Q84" s="9" t="n">
        <v>6010.38</v>
      </c>
      <c r="R84" s="9" t="n">
        <v>3762.85</v>
      </c>
      <c r="S84" s="9" t="n">
        <v>2247.53</v>
      </c>
      <c r="T84" s="9" t="s">
        <v>224</v>
      </c>
      <c r="U84" s="9" t="s">
        <v>147</v>
      </c>
    </row>
    <row r="85" customFormat="false" ht="15" hidden="false" customHeight="false" outlineLevel="0" collapsed="false">
      <c r="A85" s="9" t="s">
        <v>548</v>
      </c>
      <c r="B85" s="9" t="s">
        <v>390</v>
      </c>
      <c r="C85" s="9" t="s">
        <v>549</v>
      </c>
      <c r="D85" s="9" t="s">
        <v>550</v>
      </c>
      <c r="E85" s="9" t="s">
        <v>129</v>
      </c>
      <c r="F85" s="9" t="s">
        <v>137</v>
      </c>
      <c r="G85" s="9" t="s">
        <v>95</v>
      </c>
      <c r="H85" s="9" t="s">
        <v>96</v>
      </c>
      <c r="I85" s="9" t="s">
        <v>97</v>
      </c>
      <c r="J85" s="9" t="s">
        <v>67</v>
      </c>
      <c r="K85" s="9" t="s">
        <v>68</v>
      </c>
      <c r="L85" s="9" t="s">
        <v>551</v>
      </c>
      <c r="M85" s="9" t="s">
        <v>55</v>
      </c>
      <c r="N85" s="9" t="n">
        <v>9</v>
      </c>
      <c r="O85" s="9" t="n">
        <v>131.74</v>
      </c>
      <c r="P85" s="9" t="n">
        <v>0.2</v>
      </c>
      <c r="Q85" s="9" t="n">
        <v>948.53</v>
      </c>
      <c r="R85" s="9" t="n">
        <v>674.62</v>
      </c>
      <c r="S85" s="9" t="n">
        <v>273.91</v>
      </c>
      <c r="T85" s="9" t="s">
        <v>56</v>
      </c>
      <c r="U85" s="9" t="s">
        <v>57</v>
      </c>
    </row>
    <row r="86" customFormat="false" ht="15" hidden="false" customHeight="false" outlineLevel="0" collapsed="false">
      <c r="A86" s="9" t="s">
        <v>552</v>
      </c>
      <c r="B86" s="9" t="s">
        <v>553</v>
      </c>
      <c r="C86" s="9" t="s">
        <v>554</v>
      </c>
      <c r="D86" s="9" t="s">
        <v>555</v>
      </c>
      <c r="E86" s="9" t="s">
        <v>204</v>
      </c>
      <c r="F86" s="9" t="s">
        <v>130</v>
      </c>
      <c r="G86" s="9" t="s">
        <v>84</v>
      </c>
      <c r="H86" s="9" t="s">
        <v>364</v>
      </c>
      <c r="I86" s="9" t="s">
        <v>365</v>
      </c>
      <c r="J86" s="9" t="s">
        <v>556</v>
      </c>
      <c r="K86" s="9" t="s">
        <v>247</v>
      </c>
      <c r="L86" s="9" t="s">
        <v>557</v>
      </c>
      <c r="M86" s="9" t="s">
        <v>55</v>
      </c>
      <c r="N86" s="9" t="n">
        <v>6</v>
      </c>
      <c r="O86" s="9" t="n">
        <v>570.28</v>
      </c>
      <c r="P86" s="9" t="n">
        <v>0.2</v>
      </c>
      <c r="Q86" s="9" t="n">
        <v>2737.34</v>
      </c>
      <c r="R86" s="9" t="n">
        <v>2085.44</v>
      </c>
      <c r="S86" s="9" t="n">
        <v>651.9</v>
      </c>
      <c r="T86" s="9" t="s">
        <v>56</v>
      </c>
      <c r="U86" s="9" t="s">
        <v>57</v>
      </c>
    </row>
    <row r="87" customFormat="false" ht="15" hidden="false" customHeight="false" outlineLevel="0" collapsed="false">
      <c r="A87" s="9" t="s">
        <v>558</v>
      </c>
      <c r="B87" s="9" t="s">
        <v>559</v>
      </c>
      <c r="C87" s="9" t="s">
        <v>560</v>
      </c>
      <c r="D87" s="9" t="s">
        <v>561</v>
      </c>
      <c r="E87" s="9" t="s">
        <v>393</v>
      </c>
      <c r="F87" s="9" t="s">
        <v>130</v>
      </c>
      <c r="G87" s="9" t="s">
        <v>177</v>
      </c>
      <c r="H87" s="9" t="s">
        <v>535</v>
      </c>
      <c r="I87" s="9" t="s">
        <v>536</v>
      </c>
      <c r="J87" s="9" t="s">
        <v>52</v>
      </c>
      <c r="K87" s="9" t="s">
        <v>222</v>
      </c>
      <c r="L87" s="9" t="s">
        <v>562</v>
      </c>
      <c r="M87" s="9" t="s">
        <v>89</v>
      </c>
      <c r="N87" s="9" t="n">
        <v>1</v>
      </c>
      <c r="O87" s="9" t="n">
        <v>608.64</v>
      </c>
      <c r="P87" s="9" t="n">
        <v>0</v>
      </c>
      <c r="Q87" s="9" t="n">
        <v>608.64</v>
      </c>
      <c r="R87" s="9" t="n">
        <v>343.99</v>
      </c>
      <c r="S87" s="9" t="n">
        <v>264.65</v>
      </c>
      <c r="T87" s="9" t="s">
        <v>56</v>
      </c>
      <c r="U87" s="9" t="s">
        <v>100</v>
      </c>
    </row>
    <row r="88" customFormat="false" ht="15" hidden="false" customHeight="false" outlineLevel="0" collapsed="false">
      <c r="A88" s="9" t="s">
        <v>563</v>
      </c>
      <c r="B88" s="9" t="s">
        <v>564</v>
      </c>
      <c r="C88" s="9" t="s">
        <v>564</v>
      </c>
      <c r="D88" s="9" t="s">
        <v>565</v>
      </c>
      <c r="E88" s="9" t="s">
        <v>94</v>
      </c>
      <c r="F88" s="9" t="s">
        <v>63</v>
      </c>
      <c r="G88" s="9" t="s">
        <v>177</v>
      </c>
      <c r="H88" s="9" t="s">
        <v>535</v>
      </c>
      <c r="I88" s="9" t="s">
        <v>536</v>
      </c>
      <c r="J88" s="9" t="s">
        <v>108</v>
      </c>
      <c r="K88" s="9" t="s">
        <v>116</v>
      </c>
      <c r="L88" s="9" t="s">
        <v>566</v>
      </c>
      <c r="M88" s="9" t="s">
        <v>55</v>
      </c>
      <c r="N88" s="9" t="n">
        <v>3</v>
      </c>
      <c r="O88" s="9" t="n">
        <v>885.28</v>
      </c>
      <c r="P88" s="9" t="n">
        <v>0.1</v>
      </c>
      <c r="Q88" s="9" t="n">
        <v>2390.26</v>
      </c>
      <c r="R88" s="9" t="n">
        <v>1495.94</v>
      </c>
      <c r="S88" s="9" t="n">
        <v>894.32</v>
      </c>
      <c r="T88" s="9" t="s">
        <v>146</v>
      </c>
      <c r="U88" s="9" t="s">
        <v>100</v>
      </c>
    </row>
    <row r="89" customFormat="false" ht="15" hidden="false" customHeight="false" outlineLevel="0" collapsed="false">
      <c r="A89" s="9" t="s">
        <v>567</v>
      </c>
      <c r="B89" s="9" t="s">
        <v>568</v>
      </c>
      <c r="C89" s="9" t="s">
        <v>544</v>
      </c>
      <c r="D89" s="9" t="s">
        <v>569</v>
      </c>
      <c r="E89" s="9" t="s">
        <v>105</v>
      </c>
      <c r="F89" s="9" t="s">
        <v>48</v>
      </c>
      <c r="G89" s="9" t="s">
        <v>64</v>
      </c>
      <c r="H89" s="9" t="s">
        <v>240</v>
      </c>
      <c r="I89" s="9" t="s">
        <v>241</v>
      </c>
      <c r="J89" s="9" t="s">
        <v>52</v>
      </c>
      <c r="K89" s="9" t="s">
        <v>222</v>
      </c>
      <c r="L89" s="9" t="s">
        <v>570</v>
      </c>
      <c r="M89" s="9" t="s">
        <v>89</v>
      </c>
      <c r="N89" s="9" t="n">
        <v>7</v>
      </c>
      <c r="O89" s="9" t="n">
        <v>3345.22</v>
      </c>
      <c r="P89" s="9" t="n">
        <v>0</v>
      </c>
      <c r="Q89" s="9" t="n">
        <v>23416.54</v>
      </c>
      <c r="R89" s="9" t="n">
        <v>15490.89</v>
      </c>
      <c r="S89" s="9" t="n">
        <v>7925.65</v>
      </c>
      <c r="T89" s="9" t="s">
        <v>56</v>
      </c>
      <c r="U89" s="9" t="s">
        <v>57</v>
      </c>
    </row>
    <row r="90" customFormat="false" ht="15" hidden="false" customHeight="false" outlineLevel="0" collapsed="false">
      <c r="A90" s="9" t="s">
        <v>571</v>
      </c>
      <c r="B90" s="9" t="s">
        <v>572</v>
      </c>
      <c r="C90" s="9" t="s">
        <v>573</v>
      </c>
      <c r="D90" s="9" t="s">
        <v>574</v>
      </c>
      <c r="E90" s="9" t="s">
        <v>204</v>
      </c>
      <c r="F90" s="9" t="s">
        <v>63</v>
      </c>
      <c r="G90" s="9" t="s">
        <v>95</v>
      </c>
      <c r="H90" s="9" t="s">
        <v>96</v>
      </c>
      <c r="I90" s="9" t="s">
        <v>97</v>
      </c>
      <c r="J90" s="9" t="s">
        <v>67</v>
      </c>
      <c r="K90" s="9" t="s">
        <v>228</v>
      </c>
      <c r="L90" s="9" t="s">
        <v>575</v>
      </c>
      <c r="M90" s="9" t="s">
        <v>89</v>
      </c>
      <c r="N90" s="9" t="n">
        <v>2</v>
      </c>
      <c r="O90" s="9" t="n">
        <v>3284.75</v>
      </c>
      <c r="P90" s="9" t="n">
        <v>0.05</v>
      </c>
      <c r="Q90" s="9" t="n">
        <v>6241.02</v>
      </c>
      <c r="R90" s="9" t="n">
        <v>5345.88</v>
      </c>
      <c r="S90" s="9" t="n">
        <v>895.14</v>
      </c>
      <c r="T90" s="9" t="s">
        <v>56</v>
      </c>
      <c r="U90" s="9" t="s">
        <v>57</v>
      </c>
    </row>
    <row r="91" customFormat="false" ht="15" hidden="false" customHeight="false" outlineLevel="0" collapsed="false">
      <c r="A91" s="9" t="s">
        <v>576</v>
      </c>
      <c r="B91" s="9" t="s">
        <v>60</v>
      </c>
      <c r="C91" s="9" t="s">
        <v>60</v>
      </c>
      <c r="D91" s="9" t="s">
        <v>577</v>
      </c>
      <c r="E91" s="9" t="s">
        <v>393</v>
      </c>
      <c r="F91" s="9" t="s">
        <v>48</v>
      </c>
      <c r="G91" s="9" t="s">
        <v>84</v>
      </c>
      <c r="H91" s="9" t="s">
        <v>122</v>
      </c>
      <c r="I91" s="9" t="s">
        <v>123</v>
      </c>
      <c r="J91" s="9" t="s">
        <v>67</v>
      </c>
      <c r="K91" s="9" t="s">
        <v>228</v>
      </c>
      <c r="L91" s="9" t="s">
        <v>578</v>
      </c>
      <c r="M91" s="9" t="s">
        <v>89</v>
      </c>
      <c r="N91" s="9" t="n">
        <v>7</v>
      </c>
      <c r="O91" s="9" t="n">
        <v>3761.09</v>
      </c>
      <c r="P91" s="9" t="n">
        <v>0.2</v>
      </c>
      <c r="Q91" s="9" t="n">
        <v>21062.1</v>
      </c>
      <c r="R91" s="9" t="n">
        <v>12057.13</v>
      </c>
      <c r="S91" s="9" t="n">
        <v>9004.97</v>
      </c>
      <c r="T91" s="9" t="s">
        <v>160</v>
      </c>
      <c r="U91" s="9" t="s">
        <v>100</v>
      </c>
    </row>
    <row r="92" customFormat="false" ht="15" hidden="false" customHeight="false" outlineLevel="0" collapsed="false">
      <c r="A92" s="9" t="s">
        <v>579</v>
      </c>
      <c r="B92" s="9" t="s">
        <v>580</v>
      </c>
      <c r="C92" s="9" t="s">
        <v>91</v>
      </c>
      <c r="D92" s="9" t="s">
        <v>581</v>
      </c>
      <c r="E92" s="9" t="s">
        <v>186</v>
      </c>
      <c r="F92" s="9" t="s">
        <v>63</v>
      </c>
      <c r="G92" s="9" t="s">
        <v>64</v>
      </c>
      <c r="H92" s="9" t="s">
        <v>210</v>
      </c>
      <c r="I92" s="9" t="s">
        <v>211</v>
      </c>
      <c r="J92" s="9" t="s">
        <v>108</v>
      </c>
      <c r="K92" s="9" t="s">
        <v>116</v>
      </c>
      <c r="L92" s="9" t="s">
        <v>582</v>
      </c>
      <c r="M92" s="9" t="s">
        <v>78</v>
      </c>
      <c r="N92" s="9" t="n">
        <v>3</v>
      </c>
      <c r="O92" s="9" t="n">
        <v>3703.96</v>
      </c>
      <c r="P92" s="9" t="n">
        <v>0.15</v>
      </c>
      <c r="Q92" s="9" t="n">
        <v>9445.1</v>
      </c>
      <c r="R92" s="9" t="n">
        <v>5586.28</v>
      </c>
      <c r="S92" s="9" t="n">
        <v>3858.82</v>
      </c>
      <c r="T92" s="9" t="s">
        <v>56</v>
      </c>
      <c r="U92" s="9" t="s">
        <v>57</v>
      </c>
    </row>
    <row r="93" customFormat="false" ht="15" hidden="false" customHeight="false" outlineLevel="0" collapsed="false">
      <c r="A93" s="9" t="s">
        <v>583</v>
      </c>
      <c r="B93" s="9" t="s">
        <v>584</v>
      </c>
      <c r="C93" s="9" t="s">
        <v>585</v>
      </c>
      <c r="D93" s="9" t="s">
        <v>586</v>
      </c>
      <c r="E93" s="9" t="s">
        <v>192</v>
      </c>
      <c r="F93" s="9" t="s">
        <v>130</v>
      </c>
      <c r="G93" s="9" t="s">
        <v>95</v>
      </c>
      <c r="H93" s="9" t="s">
        <v>106</v>
      </c>
      <c r="I93" s="9" t="s">
        <v>107</v>
      </c>
      <c r="J93" s="9" t="s">
        <v>108</v>
      </c>
      <c r="K93" s="9" t="s">
        <v>116</v>
      </c>
      <c r="L93" s="9" t="s">
        <v>587</v>
      </c>
      <c r="M93" s="9" t="s">
        <v>55</v>
      </c>
      <c r="N93" s="9" t="n">
        <v>9</v>
      </c>
      <c r="O93" s="9" t="n">
        <v>269.68</v>
      </c>
      <c r="P93" s="9" t="n">
        <v>0</v>
      </c>
      <c r="Q93" s="9" t="n">
        <v>2427.12</v>
      </c>
      <c r="R93" s="9" t="n">
        <v>1538.35</v>
      </c>
      <c r="S93" s="9" t="n">
        <v>804.53</v>
      </c>
      <c r="T93" s="9" t="s">
        <v>56</v>
      </c>
      <c r="U93" s="9" t="s">
        <v>57</v>
      </c>
    </row>
    <row r="94" customFormat="false" ht="15" hidden="false" customHeight="false" outlineLevel="0" collapsed="false">
      <c r="A94" s="9" t="s">
        <v>588</v>
      </c>
      <c r="B94" s="9" t="s">
        <v>208</v>
      </c>
      <c r="C94" s="9" t="s">
        <v>589</v>
      </c>
      <c r="D94" s="9" t="s">
        <v>590</v>
      </c>
      <c r="E94" s="9" t="s">
        <v>186</v>
      </c>
      <c r="F94" s="9" t="s">
        <v>48</v>
      </c>
      <c r="G94" s="9" t="s">
        <v>95</v>
      </c>
      <c r="H94" s="9" t="s">
        <v>106</v>
      </c>
      <c r="I94" s="9" t="s">
        <v>107</v>
      </c>
      <c r="J94" s="9" t="s">
        <v>52</v>
      </c>
      <c r="K94" s="9" t="s">
        <v>53</v>
      </c>
      <c r="L94" s="9" t="s">
        <v>591</v>
      </c>
      <c r="M94" s="9" t="s">
        <v>89</v>
      </c>
      <c r="N94" s="9" t="n">
        <v>9</v>
      </c>
      <c r="O94" s="9" t="n">
        <v>4458.26</v>
      </c>
      <c r="P94" s="9" t="n">
        <v>0.1</v>
      </c>
      <c r="Q94" s="9" t="n">
        <v>36111.91</v>
      </c>
      <c r="R94" s="9" t="n">
        <v>29194.5</v>
      </c>
      <c r="S94" s="9" t="n">
        <v>6917.41</v>
      </c>
      <c r="T94" s="9" t="s">
        <v>56</v>
      </c>
      <c r="U94" s="9" t="s">
        <v>57</v>
      </c>
    </row>
    <row r="95" customFormat="false" ht="15" hidden="false" customHeight="false" outlineLevel="0" collapsed="false">
      <c r="A95" s="9" t="s">
        <v>592</v>
      </c>
      <c r="B95" s="9" t="s">
        <v>189</v>
      </c>
      <c r="C95" s="9" t="s">
        <v>593</v>
      </c>
      <c r="D95" s="9" t="s">
        <v>594</v>
      </c>
      <c r="E95" s="9" t="s">
        <v>204</v>
      </c>
      <c r="F95" s="9" t="s">
        <v>130</v>
      </c>
      <c r="G95" s="9" t="s">
        <v>177</v>
      </c>
      <c r="H95" s="9" t="s">
        <v>198</v>
      </c>
      <c r="I95" s="9" t="s">
        <v>199</v>
      </c>
      <c r="J95" s="9" t="s">
        <v>52</v>
      </c>
      <c r="K95" s="9" t="s">
        <v>222</v>
      </c>
      <c r="L95" s="9" t="s">
        <v>595</v>
      </c>
      <c r="M95" s="9" t="s">
        <v>89</v>
      </c>
      <c r="N95" s="9" t="n">
        <v>7</v>
      </c>
      <c r="O95" s="9" t="n">
        <v>2788.97</v>
      </c>
      <c r="P95" s="9" t="n">
        <v>-0.09</v>
      </c>
      <c r="Q95" s="9" t="n">
        <v>19522.79</v>
      </c>
      <c r="R95" s="9" t="n">
        <v>12455.78</v>
      </c>
      <c r="S95" s="9" t="n">
        <v>7067.01</v>
      </c>
      <c r="T95" s="9" t="s">
        <v>56</v>
      </c>
      <c r="U95" s="9" t="s">
        <v>57</v>
      </c>
    </row>
    <row r="96" customFormat="false" ht="15" hidden="false" customHeight="false" outlineLevel="0" collapsed="false">
      <c r="A96" s="9" t="s">
        <v>596</v>
      </c>
      <c r="B96" s="9" t="s">
        <v>597</v>
      </c>
      <c r="C96" s="9" t="s">
        <v>598</v>
      </c>
      <c r="D96" s="9" t="s">
        <v>599</v>
      </c>
      <c r="E96" s="9" t="s">
        <v>234</v>
      </c>
      <c r="F96" s="9" t="s">
        <v>48</v>
      </c>
      <c r="G96" s="9" t="s">
        <v>177</v>
      </c>
      <c r="H96" s="9" t="s">
        <v>348</v>
      </c>
      <c r="I96" s="9" t="s">
        <v>349</v>
      </c>
      <c r="J96" s="9" t="s">
        <v>108</v>
      </c>
      <c r="K96" s="9" t="s">
        <v>247</v>
      </c>
      <c r="L96" s="9" t="s">
        <v>600</v>
      </c>
      <c r="M96" s="9" t="s">
        <v>55</v>
      </c>
      <c r="N96" s="9" t="n">
        <v>7</v>
      </c>
      <c r="O96" s="9" t="n">
        <v>3781.53</v>
      </c>
      <c r="P96" s="9" t="n">
        <v>0</v>
      </c>
      <c r="Q96" s="9" t="n">
        <v>26470.71</v>
      </c>
      <c r="R96" s="9" t="n">
        <v>21367.6</v>
      </c>
      <c r="S96" s="9" t="n">
        <v>5103.11</v>
      </c>
      <c r="T96" s="9" t="s">
        <v>160</v>
      </c>
      <c r="U96" s="9" t="s">
        <v>100</v>
      </c>
    </row>
    <row r="97" customFormat="false" ht="15" hidden="false" customHeight="false" outlineLevel="0" collapsed="false">
      <c r="A97" s="9" t="s">
        <v>601</v>
      </c>
      <c r="B97" s="9" t="s">
        <v>602</v>
      </c>
      <c r="C97" s="9" t="s">
        <v>603</v>
      </c>
      <c r="D97" s="9" t="s">
        <v>604</v>
      </c>
      <c r="E97" s="9" t="s">
        <v>192</v>
      </c>
      <c r="F97" s="9" t="s">
        <v>130</v>
      </c>
      <c r="G97" s="9" t="s">
        <v>95</v>
      </c>
      <c r="H97" s="9" t="s">
        <v>274</v>
      </c>
      <c r="I97" s="9" t="s">
        <v>275</v>
      </c>
      <c r="J97" s="9" t="s">
        <v>67</v>
      </c>
      <c r="K97" s="9" t="s">
        <v>228</v>
      </c>
      <c r="L97" s="9" t="s">
        <v>605</v>
      </c>
      <c r="M97" s="9" t="s">
        <v>70</v>
      </c>
      <c r="N97" s="9" t="n">
        <v>6</v>
      </c>
      <c r="O97" s="9" t="n">
        <v>1754.13</v>
      </c>
      <c r="P97" s="9" t="n">
        <v>0</v>
      </c>
      <c r="Q97" s="9" t="n">
        <v>10524.78</v>
      </c>
      <c r="R97" s="9" t="n">
        <v>8841.05</v>
      </c>
      <c r="S97" s="9" t="n">
        <v>1683.73</v>
      </c>
      <c r="T97" s="9" t="s">
        <v>56</v>
      </c>
      <c r="U97" s="9" t="s">
        <v>57</v>
      </c>
    </row>
    <row r="98" customFormat="false" ht="15" hidden="false" customHeight="false" outlineLevel="0" collapsed="false">
      <c r="A98" s="9" t="s">
        <v>606</v>
      </c>
      <c r="B98" s="9" t="s">
        <v>607</v>
      </c>
      <c r="C98" s="9" t="s">
        <v>608</v>
      </c>
      <c r="D98" s="9" t="s">
        <v>609</v>
      </c>
      <c r="E98" s="9" t="s">
        <v>171</v>
      </c>
      <c r="F98" s="9" t="s">
        <v>137</v>
      </c>
      <c r="G98" s="9" t="s">
        <v>64</v>
      </c>
      <c r="H98" s="9" t="s">
        <v>65</v>
      </c>
      <c r="I98" s="9" t="s">
        <v>66</v>
      </c>
      <c r="J98" s="9" t="s">
        <v>108</v>
      </c>
      <c r="K98" s="9" t="s">
        <v>116</v>
      </c>
      <c r="L98" s="9" t="s">
        <v>610</v>
      </c>
      <c r="M98" s="9" t="s">
        <v>55</v>
      </c>
      <c r="N98" s="9" t="n">
        <v>2</v>
      </c>
      <c r="O98" s="9" t="n">
        <v>2259.24</v>
      </c>
      <c r="P98" s="9" t="n">
        <v>0.15</v>
      </c>
      <c r="Q98" s="9" t="n">
        <v>3840.71</v>
      </c>
      <c r="R98" s="9" t="n">
        <v>2516.29</v>
      </c>
      <c r="S98" s="9" t="n">
        <v>1324.42</v>
      </c>
      <c r="T98" s="9" t="s">
        <v>56</v>
      </c>
      <c r="U98" s="9" t="s">
        <v>57</v>
      </c>
    </row>
    <row r="99" customFormat="false" ht="15" hidden="false" customHeight="false" outlineLevel="0" collapsed="false">
      <c r="A99" s="9" t="s">
        <v>611</v>
      </c>
      <c r="B99" s="9" t="s">
        <v>612</v>
      </c>
      <c r="C99" s="9" t="s">
        <v>613</v>
      </c>
      <c r="D99" s="9" t="s">
        <v>614</v>
      </c>
      <c r="E99" s="9" t="s">
        <v>234</v>
      </c>
      <c r="F99" s="9" t="s">
        <v>63</v>
      </c>
      <c r="G99" s="9" t="s">
        <v>95</v>
      </c>
      <c r="H99" s="9" t="s">
        <v>260</v>
      </c>
      <c r="I99" s="9" t="s">
        <v>261</v>
      </c>
      <c r="J99" s="9" t="s">
        <v>52</v>
      </c>
      <c r="K99" s="9" t="s">
        <v>180</v>
      </c>
      <c r="L99" s="9" t="s">
        <v>615</v>
      </c>
      <c r="M99" s="9" t="s">
        <v>70</v>
      </c>
      <c r="N99" s="9" t="n">
        <v>5</v>
      </c>
      <c r="O99" s="9" t="n">
        <v>3602.36</v>
      </c>
      <c r="P99" s="9" t="n">
        <v>0.2</v>
      </c>
      <c r="Q99" s="9" t="n">
        <v>14409.44</v>
      </c>
      <c r="R99" s="9" t="n">
        <v>8809.97</v>
      </c>
      <c r="S99" s="9" t="n">
        <v>5599.47</v>
      </c>
      <c r="T99" s="9" t="s">
        <v>160</v>
      </c>
      <c r="U99" s="9" t="s">
        <v>147</v>
      </c>
    </row>
    <row r="100" customFormat="false" ht="15" hidden="false" customHeight="false" outlineLevel="0" collapsed="false">
      <c r="A100" s="9" t="s">
        <v>616</v>
      </c>
      <c r="B100" s="9" t="s">
        <v>617</v>
      </c>
      <c r="C100" s="9" t="s">
        <v>618</v>
      </c>
      <c r="D100" s="9" t="s">
        <v>619</v>
      </c>
      <c r="E100" s="9" t="s">
        <v>204</v>
      </c>
      <c r="F100" s="9" t="s">
        <v>137</v>
      </c>
      <c r="G100" s="9" t="s">
        <v>84</v>
      </c>
      <c r="H100" s="9" t="s">
        <v>267</v>
      </c>
      <c r="I100" s="9" t="s">
        <v>268</v>
      </c>
      <c r="J100" s="9" t="s">
        <v>108</v>
      </c>
      <c r="K100" s="9" t="s">
        <v>116</v>
      </c>
      <c r="L100" s="9" t="s">
        <v>620</v>
      </c>
      <c r="M100" s="9"/>
      <c r="N100" s="9" t="n">
        <v>8</v>
      </c>
      <c r="O100" s="9" t="n">
        <v>2108.93</v>
      </c>
      <c r="P100" s="9" t="n">
        <v>0.1</v>
      </c>
      <c r="Q100" s="9" t="n">
        <v>15184.3</v>
      </c>
      <c r="R100" s="9" t="n">
        <v>11270.74</v>
      </c>
      <c r="S100" s="9" t="n">
        <v>3913.56</v>
      </c>
      <c r="T100" s="9" t="s">
        <v>56</v>
      </c>
      <c r="U100" s="9" t="s">
        <v>57</v>
      </c>
    </row>
    <row r="101" customFormat="false" ht="15" hidden="false" customHeight="false" outlineLevel="0" collapsed="false">
      <c r="A101" s="9" t="s">
        <v>621</v>
      </c>
      <c r="B101" s="9" t="s">
        <v>622</v>
      </c>
      <c r="C101" s="9" t="s">
        <v>622</v>
      </c>
      <c r="D101" s="9" t="s">
        <v>623</v>
      </c>
      <c r="E101" s="9" t="s">
        <v>129</v>
      </c>
      <c r="F101" s="9" t="s">
        <v>63</v>
      </c>
      <c r="G101" s="9" t="s">
        <v>95</v>
      </c>
      <c r="H101" s="9" t="s">
        <v>50</v>
      </c>
      <c r="I101" s="9" t="s">
        <v>158</v>
      </c>
      <c r="J101" s="9" t="s">
        <v>108</v>
      </c>
      <c r="K101" s="9" t="s">
        <v>109</v>
      </c>
      <c r="L101" s="9" t="s">
        <v>624</v>
      </c>
      <c r="M101" s="9" t="s">
        <v>70</v>
      </c>
      <c r="N101" s="9" t="n">
        <v>3</v>
      </c>
      <c r="O101" s="9" t="n">
        <v>2165.29</v>
      </c>
      <c r="P101" s="9" t="n">
        <v>0</v>
      </c>
      <c r="Q101" s="9" t="n">
        <v>6495.87</v>
      </c>
      <c r="R101" s="9" t="n">
        <v>4700.89</v>
      </c>
      <c r="S101" s="9" t="n">
        <v>1794.98</v>
      </c>
      <c r="T101" s="9" t="s">
        <v>56</v>
      </c>
      <c r="U101" s="9" t="s">
        <v>57</v>
      </c>
    </row>
    <row r="102" customFormat="false" ht="15" hidden="false" customHeight="false" outlineLevel="0" collapsed="false">
      <c r="A102" s="9" t="s">
        <v>625</v>
      </c>
      <c r="B102" s="9" t="s">
        <v>626</v>
      </c>
      <c r="C102" s="9" t="s">
        <v>627</v>
      </c>
      <c r="D102" s="9" t="s">
        <v>628</v>
      </c>
      <c r="E102" s="9" t="s">
        <v>186</v>
      </c>
      <c r="F102" s="9" t="s">
        <v>137</v>
      </c>
      <c r="G102" s="9" t="s">
        <v>84</v>
      </c>
      <c r="H102" s="9" t="s">
        <v>267</v>
      </c>
      <c r="I102" s="9" t="s">
        <v>268</v>
      </c>
      <c r="J102" s="9" t="s">
        <v>52</v>
      </c>
      <c r="K102" s="9" t="s">
        <v>180</v>
      </c>
      <c r="L102" s="9" t="s">
        <v>629</v>
      </c>
      <c r="M102" s="9" t="s">
        <v>89</v>
      </c>
      <c r="N102" s="9" t="n">
        <v>6</v>
      </c>
      <c r="O102" s="9" t="n">
        <v>1673.8</v>
      </c>
      <c r="P102" s="9" t="n">
        <v>0.05</v>
      </c>
      <c r="Q102" s="9" t="n">
        <v>9540.66</v>
      </c>
      <c r="R102" s="9" t="n">
        <v>5561.49</v>
      </c>
      <c r="S102" s="9" t="n">
        <v>3979.17</v>
      </c>
      <c r="T102" s="9" t="s">
        <v>56</v>
      </c>
      <c r="U102" s="9" t="s">
        <v>57</v>
      </c>
    </row>
    <row r="103" customFormat="false" ht="15" hidden="false" customHeight="false" outlineLevel="0" collapsed="false">
      <c r="A103" s="9" t="s">
        <v>630</v>
      </c>
      <c r="B103" s="9" t="s">
        <v>345</v>
      </c>
      <c r="C103" s="9" t="s">
        <v>631</v>
      </c>
      <c r="D103" s="9" t="s">
        <v>632</v>
      </c>
      <c r="E103" s="9" t="s">
        <v>204</v>
      </c>
      <c r="F103" s="9" t="s">
        <v>633</v>
      </c>
      <c r="G103" s="9" t="s">
        <v>64</v>
      </c>
      <c r="H103" s="9" t="s">
        <v>210</v>
      </c>
      <c r="I103" s="9" t="s">
        <v>211</v>
      </c>
      <c r="J103" s="9" t="s">
        <v>67</v>
      </c>
      <c r="K103" s="9" t="s">
        <v>87</v>
      </c>
      <c r="L103" s="9" t="s">
        <v>634</v>
      </c>
      <c r="M103" s="9" t="s">
        <v>78</v>
      </c>
      <c r="N103" s="9" t="n">
        <v>5</v>
      </c>
      <c r="O103" s="9" t="n">
        <v>4396.52</v>
      </c>
      <c r="P103" s="9" t="n">
        <v>0.25</v>
      </c>
      <c r="Q103" s="9" t="n">
        <v>16486.95</v>
      </c>
      <c r="R103" s="9" t="n">
        <v>12054.14</v>
      </c>
      <c r="S103" s="9" t="n">
        <v>4432.81</v>
      </c>
      <c r="T103" s="9" t="s">
        <v>56</v>
      </c>
      <c r="U103" s="9" t="s">
        <v>57</v>
      </c>
    </row>
    <row r="104" customFormat="false" ht="15" hidden="false" customHeight="false" outlineLevel="0" collapsed="false">
      <c r="A104" s="9" t="s">
        <v>635</v>
      </c>
      <c r="B104" s="9" t="s">
        <v>636</v>
      </c>
      <c r="C104" s="9" t="s">
        <v>637</v>
      </c>
      <c r="D104" s="9" t="s">
        <v>638</v>
      </c>
      <c r="E104" s="9" t="s">
        <v>105</v>
      </c>
      <c r="F104" s="9" t="s">
        <v>48</v>
      </c>
      <c r="G104" s="9" t="s">
        <v>84</v>
      </c>
      <c r="H104" s="9" t="s">
        <v>254</v>
      </c>
      <c r="I104" s="9" t="s">
        <v>255</v>
      </c>
      <c r="J104" s="9" t="s">
        <v>67</v>
      </c>
      <c r="K104" s="9" t="s">
        <v>98</v>
      </c>
      <c r="L104" s="9" t="s">
        <v>639</v>
      </c>
      <c r="M104" s="9" t="s">
        <v>78</v>
      </c>
      <c r="N104" s="9" t="n">
        <v>4</v>
      </c>
      <c r="O104" s="9" t="n">
        <v>2865.71</v>
      </c>
      <c r="P104" s="9" t="n">
        <v>0</v>
      </c>
      <c r="Q104" s="9" t="n">
        <v>11462.84</v>
      </c>
      <c r="R104" s="9" t="n">
        <v>8979.78</v>
      </c>
      <c r="S104" s="9" t="n">
        <v>2483.06</v>
      </c>
      <c r="T104" s="9" t="s">
        <v>146</v>
      </c>
      <c r="U104" s="9" t="s">
        <v>100</v>
      </c>
    </row>
    <row r="105" customFormat="false" ht="15" hidden="false" customHeight="false" outlineLevel="0" collapsed="false">
      <c r="A105" s="9" t="s">
        <v>640</v>
      </c>
      <c r="B105" s="9" t="s">
        <v>641</v>
      </c>
      <c r="C105" s="9" t="s">
        <v>642</v>
      </c>
      <c r="D105" s="9" t="s">
        <v>643</v>
      </c>
      <c r="E105" s="9" t="s">
        <v>393</v>
      </c>
      <c r="F105" s="9" t="s">
        <v>130</v>
      </c>
      <c r="G105" s="9" t="s">
        <v>95</v>
      </c>
      <c r="H105" s="9" t="s">
        <v>96</v>
      </c>
      <c r="I105" s="9" t="s">
        <v>97</v>
      </c>
      <c r="J105" s="9" t="s">
        <v>67</v>
      </c>
      <c r="K105" s="9" t="s">
        <v>68</v>
      </c>
      <c r="L105" s="9" t="s">
        <v>644</v>
      </c>
      <c r="M105" s="9" t="s">
        <v>78</v>
      </c>
      <c r="N105" s="9" t="n">
        <v>4</v>
      </c>
      <c r="O105" s="9" t="n">
        <v>2440.34</v>
      </c>
      <c r="P105" s="9" t="n">
        <v>0.2</v>
      </c>
      <c r="Q105" s="9" t="n">
        <v>7809.09</v>
      </c>
      <c r="R105" s="9" t="n">
        <v>6657.75</v>
      </c>
      <c r="S105" s="9" t="n">
        <v>1151.34</v>
      </c>
      <c r="T105" s="9" t="s">
        <v>56</v>
      </c>
      <c r="U105" s="9" t="s">
        <v>57</v>
      </c>
    </row>
    <row r="106" customFormat="false" ht="15" hidden="false" customHeight="false" outlineLevel="0" collapsed="false">
      <c r="A106" s="9" t="s">
        <v>645</v>
      </c>
      <c r="B106" s="9" t="s">
        <v>646</v>
      </c>
      <c r="C106" s="9" t="s">
        <v>647</v>
      </c>
      <c r="D106" s="9" t="s">
        <v>648</v>
      </c>
      <c r="E106" s="9" t="s">
        <v>94</v>
      </c>
      <c r="F106" s="9" t="s">
        <v>48</v>
      </c>
      <c r="G106" s="9" t="s">
        <v>84</v>
      </c>
      <c r="H106" s="9" t="s">
        <v>254</v>
      </c>
      <c r="I106" s="9" t="s">
        <v>255</v>
      </c>
      <c r="J106" s="9" t="s">
        <v>52</v>
      </c>
      <c r="K106" s="9" t="s">
        <v>131</v>
      </c>
      <c r="L106" s="9" t="s">
        <v>649</v>
      </c>
      <c r="M106" s="9" t="s">
        <v>70</v>
      </c>
      <c r="N106" s="9" t="n">
        <v>5</v>
      </c>
      <c r="O106" s="9" t="n">
        <v>2112.54</v>
      </c>
      <c r="P106" s="9" t="n">
        <v>0.25</v>
      </c>
      <c r="Q106" s="9" t="n">
        <v>8260.46</v>
      </c>
      <c r="R106" s="9" t="n">
        <v>5619.95</v>
      </c>
      <c r="S106" s="9" t="n">
        <v>2302.08</v>
      </c>
      <c r="T106" s="9" t="s">
        <v>56</v>
      </c>
      <c r="U106" s="9" t="s">
        <v>100</v>
      </c>
    </row>
    <row r="107" customFormat="false" ht="15" hidden="false" customHeight="false" outlineLevel="0" collapsed="false">
      <c r="A107" s="9" t="s">
        <v>650</v>
      </c>
      <c r="B107" s="9" t="s">
        <v>651</v>
      </c>
      <c r="C107" s="9" t="s">
        <v>652</v>
      </c>
      <c r="D107" s="9" t="s">
        <v>653</v>
      </c>
      <c r="E107" s="9" t="s">
        <v>62</v>
      </c>
      <c r="F107" s="9" t="s">
        <v>137</v>
      </c>
      <c r="G107" s="9" t="s">
        <v>64</v>
      </c>
      <c r="H107" s="9" t="s">
        <v>143</v>
      </c>
      <c r="I107" s="9" t="s">
        <v>144</v>
      </c>
      <c r="J107" s="9" t="s">
        <v>67</v>
      </c>
      <c r="K107" s="9" t="s">
        <v>68</v>
      </c>
      <c r="L107" s="9" t="s">
        <v>654</v>
      </c>
      <c r="M107" s="9" t="s">
        <v>55</v>
      </c>
      <c r="N107" s="9" t="n">
        <v>2</v>
      </c>
      <c r="O107" s="9" t="n">
        <v>685</v>
      </c>
      <c r="P107" s="9" t="n">
        <v>0.1</v>
      </c>
      <c r="Q107" s="9" t="n">
        <v>1233</v>
      </c>
      <c r="R107" s="9" t="n">
        <v>1006.9</v>
      </c>
      <c r="S107" s="9" t="n">
        <v>226.1</v>
      </c>
      <c r="T107" s="9" t="s">
        <v>56</v>
      </c>
      <c r="U107" s="9" t="s">
        <v>57</v>
      </c>
    </row>
    <row r="108" customFormat="false" ht="15" hidden="false" customHeight="false" outlineLevel="0" collapsed="false">
      <c r="A108" s="9" t="s">
        <v>655</v>
      </c>
      <c r="B108" s="9" t="s">
        <v>656</v>
      </c>
      <c r="C108" s="9" t="s">
        <v>657</v>
      </c>
      <c r="D108" s="9" t="s">
        <v>658</v>
      </c>
      <c r="E108" s="9" t="s">
        <v>83</v>
      </c>
      <c r="F108" s="9" t="s">
        <v>137</v>
      </c>
      <c r="G108" s="9" t="s">
        <v>64</v>
      </c>
      <c r="H108" s="9" t="s">
        <v>143</v>
      </c>
      <c r="I108" s="9" t="s">
        <v>144</v>
      </c>
      <c r="J108" s="9" t="s">
        <v>52</v>
      </c>
      <c r="K108" s="9" t="s">
        <v>53</v>
      </c>
      <c r="L108" s="9" t="s">
        <v>659</v>
      </c>
      <c r="M108" s="9" t="s">
        <v>89</v>
      </c>
      <c r="N108" s="9" t="n">
        <v>2</v>
      </c>
      <c r="O108" s="9" t="n">
        <v>4004.04</v>
      </c>
      <c r="P108" s="9"/>
      <c r="Q108" s="9" t="n">
        <v>7207.27</v>
      </c>
      <c r="R108" s="9" t="n">
        <v>5709.39</v>
      </c>
      <c r="S108" s="9" t="n">
        <v>1497.88</v>
      </c>
      <c r="T108" s="9" t="s">
        <v>56</v>
      </c>
      <c r="U108" s="9" t="s">
        <v>100</v>
      </c>
    </row>
    <row r="109" customFormat="false" ht="15" hidden="false" customHeight="false" outlineLevel="0" collapsed="false">
      <c r="A109" s="9" t="s">
        <v>660</v>
      </c>
      <c r="B109" s="9" t="s">
        <v>661</v>
      </c>
      <c r="C109" s="9" t="s">
        <v>662</v>
      </c>
      <c r="D109" s="9" t="s">
        <v>663</v>
      </c>
      <c r="E109" s="9" t="s">
        <v>204</v>
      </c>
      <c r="F109" s="9" t="s">
        <v>137</v>
      </c>
      <c r="G109" s="9" t="s">
        <v>64</v>
      </c>
      <c r="H109" s="9" t="s">
        <v>143</v>
      </c>
      <c r="I109" s="9" t="s">
        <v>144</v>
      </c>
      <c r="J109" s="9" t="s">
        <v>67</v>
      </c>
      <c r="K109" s="9" t="s">
        <v>87</v>
      </c>
      <c r="L109" s="9" t="s">
        <v>664</v>
      </c>
      <c r="M109" s="9" t="s">
        <v>78</v>
      </c>
      <c r="N109" s="9" t="n">
        <v>3</v>
      </c>
      <c r="O109" s="9" t="n">
        <v>4302.89</v>
      </c>
      <c r="P109" s="9" t="n">
        <v>0.05</v>
      </c>
      <c r="Q109" s="9" t="n">
        <v>12263.24</v>
      </c>
      <c r="R109" s="9" t="n">
        <v>8925.57</v>
      </c>
      <c r="S109" s="9" t="n">
        <v>3337.67</v>
      </c>
      <c r="T109" s="9" t="s">
        <v>56</v>
      </c>
      <c r="U109" s="9" t="s">
        <v>57</v>
      </c>
    </row>
    <row r="110" customFormat="false" ht="15" hidden="false" customHeight="false" outlineLevel="0" collapsed="false">
      <c r="A110" s="9" t="s">
        <v>665</v>
      </c>
      <c r="B110" s="9" t="s">
        <v>666</v>
      </c>
      <c r="C110" s="9" t="s">
        <v>667</v>
      </c>
      <c r="D110" s="9" t="s">
        <v>668</v>
      </c>
      <c r="E110" s="9" t="s">
        <v>129</v>
      </c>
      <c r="F110" s="9" t="s">
        <v>63</v>
      </c>
      <c r="G110" s="9" t="s">
        <v>64</v>
      </c>
      <c r="H110" s="9" t="s">
        <v>65</v>
      </c>
      <c r="I110" s="9" t="s">
        <v>66</v>
      </c>
      <c r="J110" s="9" t="s">
        <v>67</v>
      </c>
      <c r="K110" s="9" t="s">
        <v>228</v>
      </c>
      <c r="L110" s="9" t="s">
        <v>669</v>
      </c>
      <c r="M110" s="9" t="s">
        <v>70</v>
      </c>
      <c r="N110" s="9" t="n">
        <v>2</v>
      </c>
      <c r="O110" s="9" t="n">
        <v>537.54</v>
      </c>
      <c r="P110" s="9" t="n">
        <v>0.25</v>
      </c>
      <c r="Q110" s="9" t="n">
        <v>806.31</v>
      </c>
      <c r="R110" s="9" t="n">
        <v>498.5</v>
      </c>
      <c r="S110" s="9" t="n">
        <v>307.81</v>
      </c>
      <c r="T110" s="9" t="s">
        <v>56</v>
      </c>
      <c r="U110" s="9" t="s">
        <v>57</v>
      </c>
    </row>
    <row r="111" customFormat="false" ht="15" hidden="false" customHeight="false" outlineLevel="0" collapsed="false">
      <c r="A111" s="9" t="s">
        <v>670</v>
      </c>
      <c r="B111" s="9" t="s">
        <v>671</v>
      </c>
      <c r="C111" s="9" t="s">
        <v>507</v>
      </c>
      <c r="D111" s="9" t="s">
        <v>672</v>
      </c>
      <c r="E111" s="9" t="s">
        <v>192</v>
      </c>
      <c r="F111" s="9" t="s">
        <v>48</v>
      </c>
      <c r="G111" s="9" t="s">
        <v>177</v>
      </c>
      <c r="H111" s="9" t="s">
        <v>535</v>
      </c>
      <c r="I111" s="9" t="s">
        <v>536</v>
      </c>
      <c r="J111" s="9" t="s">
        <v>52</v>
      </c>
      <c r="K111" s="9" t="s">
        <v>222</v>
      </c>
      <c r="L111" s="9" t="s">
        <v>673</v>
      </c>
      <c r="M111" s="9" t="s">
        <v>55</v>
      </c>
      <c r="N111" s="9" t="n">
        <v>1</v>
      </c>
      <c r="O111" s="9" t="n">
        <v>2788.62</v>
      </c>
      <c r="P111" s="9" t="n">
        <v>0.25</v>
      </c>
      <c r="Q111" s="9" t="n">
        <v>2091.47</v>
      </c>
      <c r="R111" s="9" t="n">
        <v>1317.22</v>
      </c>
      <c r="S111" s="9" t="n">
        <v>774.25</v>
      </c>
      <c r="T111" s="9" t="s">
        <v>56</v>
      </c>
      <c r="U111" s="9" t="s">
        <v>57</v>
      </c>
    </row>
    <row r="112" customFormat="false" ht="15" hidden="false" customHeight="false" outlineLevel="0" collapsed="false">
      <c r="A112" s="9" t="s">
        <v>674</v>
      </c>
      <c r="B112" s="9" t="s">
        <v>675</v>
      </c>
      <c r="C112" s="9" t="s">
        <v>676</v>
      </c>
      <c r="D112" s="9" t="s">
        <v>677</v>
      </c>
      <c r="E112" s="9" t="s">
        <v>105</v>
      </c>
      <c r="F112" s="9" t="s">
        <v>130</v>
      </c>
      <c r="G112" s="9" t="s">
        <v>84</v>
      </c>
      <c r="H112" s="9" t="s">
        <v>267</v>
      </c>
      <c r="I112" s="9" t="s">
        <v>268</v>
      </c>
      <c r="J112" s="9" t="s">
        <v>52</v>
      </c>
      <c r="K112" s="9" t="s">
        <v>131</v>
      </c>
      <c r="L112" s="9" t="s">
        <v>678</v>
      </c>
      <c r="M112" s="9" t="s">
        <v>78</v>
      </c>
      <c r="N112" s="9" t="n">
        <v>2</v>
      </c>
      <c r="O112" s="9" t="n">
        <v>2250.47</v>
      </c>
      <c r="P112" s="9" t="n">
        <v>0</v>
      </c>
      <c r="Q112" s="9" t="n">
        <v>4500.94</v>
      </c>
      <c r="R112" s="9" t="n">
        <v>2607.73</v>
      </c>
      <c r="S112" s="9" t="n">
        <v>1893.21</v>
      </c>
      <c r="T112" s="9" t="s">
        <v>146</v>
      </c>
      <c r="U112" s="9" t="s">
        <v>100</v>
      </c>
    </row>
    <row r="113" customFormat="false" ht="15" hidden="false" customHeight="false" outlineLevel="0" collapsed="false">
      <c r="A113" s="9" t="s">
        <v>679</v>
      </c>
      <c r="B113" s="9" t="s">
        <v>680</v>
      </c>
      <c r="C113" s="9" t="s">
        <v>681</v>
      </c>
      <c r="D113" s="9" t="s">
        <v>682</v>
      </c>
      <c r="E113" s="9" t="s">
        <v>115</v>
      </c>
      <c r="F113" s="9" t="s">
        <v>130</v>
      </c>
      <c r="G113" s="9" t="s">
        <v>64</v>
      </c>
      <c r="H113" s="9" t="s">
        <v>210</v>
      </c>
      <c r="I113" s="9" t="s">
        <v>211</v>
      </c>
      <c r="J113" s="9" t="s">
        <v>108</v>
      </c>
      <c r="K113" s="9" t="s">
        <v>109</v>
      </c>
      <c r="L113" s="9" t="s">
        <v>683</v>
      </c>
      <c r="M113" s="9" t="s">
        <v>78</v>
      </c>
      <c r="N113" s="9" t="n">
        <v>1</v>
      </c>
      <c r="O113" s="9" t="n">
        <v>1708.44</v>
      </c>
      <c r="P113" s="9" t="n">
        <v>0.05</v>
      </c>
      <c r="Q113" s="9" t="n">
        <v>1623.02</v>
      </c>
      <c r="R113" s="9" t="n">
        <v>1077.46</v>
      </c>
      <c r="S113" s="9" t="n">
        <v>545.56</v>
      </c>
      <c r="T113" s="9" t="s">
        <v>160</v>
      </c>
      <c r="U113" s="9" t="s">
        <v>100</v>
      </c>
    </row>
    <row r="114" customFormat="false" ht="15" hidden="false" customHeight="false" outlineLevel="0" collapsed="false">
      <c r="A114" s="9" t="s">
        <v>684</v>
      </c>
      <c r="B114" s="9" t="s">
        <v>685</v>
      </c>
      <c r="C114" s="9" t="s">
        <v>686</v>
      </c>
      <c r="D114" s="9" t="s">
        <v>687</v>
      </c>
      <c r="E114" s="9" t="s">
        <v>192</v>
      </c>
      <c r="F114" s="9" t="s">
        <v>688</v>
      </c>
      <c r="G114" s="9"/>
      <c r="H114" s="9" t="s">
        <v>260</v>
      </c>
      <c r="I114" s="9" t="s">
        <v>261</v>
      </c>
      <c r="J114" s="9" t="s">
        <v>108</v>
      </c>
      <c r="K114" s="9" t="s">
        <v>109</v>
      </c>
      <c r="L114" s="9" t="s">
        <v>689</v>
      </c>
      <c r="M114" s="9" t="s">
        <v>89</v>
      </c>
      <c r="N114" s="9" t="n">
        <v>3</v>
      </c>
      <c r="O114" s="9" t="n">
        <v>3829.48</v>
      </c>
      <c r="P114" s="9" t="n">
        <v>0.05</v>
      </c>
      <c r="Q114" s="9" t="n">
        <v>10914.02</v>
      </c>
      <c r="R114" s="9" t="n">
        <v>6548.74</v>
      </c>
      <c r="S114" s="9" t="n">
        <v>4365.28</v>
      </c>
      <c r="T114" s="9" t="s">
        <v>56</v>
      </c>
      <c r="U114" s="9" t="s">
        <v>57</v>
      </c>
    </row>
    <row r="115" customFormat="false" ht="15" hidden="false" customHeight="false" outlineLevel="0" collapsed="false">
      <c r="A115" s="9" t="s">
        <v>690</v>
      </c>
      <c r="B115" s="9" t="s">
        <v>691</v>
      </c>
      <c r="C115" s="9" t="s">
        <v>691</v>
      </c>
      <c r="D115" s="9" t="s">
        <v>550</v>
      </c>
      <c r="E115" s="9" t="s">
        <v>75</v>
      </c>
      <c r="F115" s="9" t="s">
        <v>137</v>
      </c>
      <c r="G115" s="9" t="s">
        <v>84</v>
      </c>
      <c r="H115" s="9" t="s">
        <v>364</v>
      </c>
      <c r="I115" s="9" t="s">
        <v>365</v>
      </c>
      <c r="J115" s="9" t="s">
        <v>67</v>
      </c>
      <c r="K115" s="9" t="s">
        <v>68</v>
      </c>
      <c r="L115" s="9" t="s">
        <v>692</v>
      </c>
      <c r="M115" s="9" t="s">
        <v>89</v>
      </c>
      <c r="N115" s="9" t="n">
        <v>3</v>
      </c>
      <c r="O115" s="9" t="n">
        <v>1089.15</v>
      </c>
      <c r="P115" s="9" t="n">
        <v>0.25</v>
      </c>
      <c r="Q115" s="9" t="n">
        <v>2450.59</v>
      </c>
      <c r="R115" s="9" t="n">
        <v>1639.89</v>
      </c>
      <c r="S115" s="9" t="n">
        <v>810.7</v>
      </c>
      <c r="T115" s="9" t="s">
        <v>56</v>
      </c>
      <c r="U115" s="9" t="s">
        <v>57</v>
      </c>
    </row>
    <row r="116" customFormat="false" ht="15" hidden="false" customHeight="false" outlineLevel="0" collapsed="false">
      <c r="A116" s="9" t="s">
        <v>693</v>
      </c>
      <c r="B116" s="9" t="s">
        <v>694</v>
      </c>
      <c r="C116" s="9" t="s">
        <v>695</v>
      </c>
      <c r="D116" s="9" t="s">
        <v>696</v>
      </c>
      <c r="E116" s="9" t="s">
        <v>115</v>
      </c>
      <c r="F116" s="9" t="s">
        <v>63</v>
      </c>
      <c r="G116" s="9" t="s">
        <v>177</v>
      </c>
      <c r="H116" s="9" t="s">
        <v>50</v>
      </c>
      <c r="I116" s="9" t="s">
        <v>51</v>
      </c>
      <c r="J116" s="9" t="s">
        <v>108</v>
      </c>
      <c r="K116" s="9" t="s">
        <v>109</v>
      </c>
      <c r="L116" s="9" t="s">
        <v>697</v>
      </c>
      <c r="M116" s="9" t="s">
        <v>55</v>
      </c>
      <c r="N116" s="9" t="n">
        <v>1</v>
      </c>
      <c r="O116" s="9" t="n">
        <v>4388.4</v>
      </c>
      <c r="P116" s="9" t="n">
        <v>0.1</v>
      </c>
      <c r="Q116" s="9" t="n">
        <v>3949.56</v>
      </c>
      <c r="R116" s="9" t="n">
        <v>3186.73</v>
      </c>
      <c r="S116" s="9" t="n">
        <v>762.83</v>
      </c>
      <c r="T116" s="9" t="s">
        <v>160</v>
      </c>
      <c r="U116" s="9" t="s">
        <v>100</v>
      </c>
    </row>
    <row r="117" customFormat="false" ht="15" hidden="false" customHeight="false" outlineLevel="0" collapsed="false">
      <c r="A117" s="9" t="s">
        <v>698</v>
      </c>
      <c r="B117" s="9" t="s">
        <v>699</v>
      </c>
      <c r="C117" s="9" t="s">
        <v>700</v>
      </c>
      <c r="D117" s="9" t="s">
        <v>701</v>
      </c>
      <c r="E117" s="9" t="s">
        <v>393</v>
      </c>
      <c r="F117" s="9" t="s">
        <v>130</v>
      </c>
      <c r="G117" s="9" t="s">
        <v>84</v>
      </c>
      <c r="H117" s="9" t="s">
        <v>364</v>
      </c>
      <c r="I117" s="9" t="s">
        <v>365</v>
      </c>
      <c r="J117" s="9" t="s">
        <v>52</v>
      </c>
      <c r="K117" s="9" t="s">
        <v>222</v>
      </c>
      <c r="L117" s="9" t="s">
        <v>702</v>
      </c>
      <c r="M117" s="9" t="s">
        <v>70</v>
      </c>
      <c r="N117" s="9" t="n">
        <v>2</v>
      </c>
      <c r="O117" s="9" t="n">
        <v>446.34</v>
      </c>
      <c r="P117" s="9" t="n">
        <v>0.15</v>
      </c>
      <c r="Q117" s="9" t="n">
        <v>758.78</v>
      </c>
      <c r="R117" s="9" t="n">
        <v>490.74</v>
      </c>
      <c r="S117" s="9" t="n">
        <v>268.04</v>
      </c>
      <c r="T117" s="9" t="s">
        <v>56</v>
      </c>
      <c r="U117" s="9" t="s">
        <v>100</v>
      </c>
    </row>
    <row r="118" customFormat="false" ht="15" hidden="false" customHeight="false" outlineLevel="0" collapsed="false">
      <c r="A118" s="9" t="s">
        <v>703</v>
      </c>
      <c r="B118" s="9" t="s">
        <v>704</v>
      </c>
      <c r="C118" s="9" t="s">
        <v>705</v>
      </c>
      <c r="D118" s="9" t="s">
        <v>706</v>
      </c>
      <c r="E118" s="9" t="s">
        <v>94</v>
      </c>
      <c r="F118" s="9" t="s">
        <v>63</v>
      </c>
      <c r="G118" s="9"/>
      <c r="H118" s="9" t="s">
        <v>106</v>
      </c>
      <c r="I118" s="9" t="s">
        <v>107</v>
      </c>
      <c r="J118" s="9" t="s">
        <v>52</v>
      </c>
      <c r="K118" s="9" t="s">
        <v>222</v>
      </c>
      <c r="L118" s="9" t="s">
        <v>707</v>
      </c>
      <c r="M118" s="9" t="s">
        <v>78</v>
      </c>
      <c r="N118" s="9" t="n">
        <v>9</v>
      </c>
      <c r="O118" s="9" t="n">
        <v>531.99</v>
      </c>
      <c r="P118" s="9" t="n">
        <v>0.25</v>
      </c>
      <c r="Q118" s="9" t="n">
        <v>3590.93</v>
      </c>
      <c r="R118" s="9" t="n">
        <v>3061.39</v>
      </c>
      <c r="S118" s="9" t="n">
        <v>529.54</v>
      </c>
      <c r="T118" s="9" t="s">
        <v>224</v>
      </c>
      <c r="U118" s="9" t="s">
        <v>100</v>
      </c>
    </row>
    <row r="119" customFormat="false" ht="15" hidden="false" customHeight="false" outlineLevel="0" collapsed="false">
      <c r="A119" s="9" t="s">
        <v>708</v>
      </c>
      <c r="B119" s="9" t="s">
        <v>709</v>
      </c>
      <c r="C119" s="9" t="s">
        <v>710</v>
      </c>
      <c r="D119" s="9" t="s">
        <v>711</v>
      </c>
      <c r="E119" s="9" t="s">
        <v>62</v>
      </c>
      <c r="F119" s="9" t="s">
        <v>137</v>
      </c>
      <c r="G119" s="9" t="s">
        <v>84</v>
      </c>
      <c r="H119" s="9" t="s">
        <v>364</v>
      </c>
      <c r="I119" s="9" t="s">
        <v>365</v>
      </c>
      <c r="J119" s="9" t="s">
        <v>108</v>
      </c>
      <c r="K119" s="9" t="s">
        <v>409</v>
      </c>
      <c r="L119" s="9" t="s">
        <v>712</v>
      </c>
      <c r="M119" s="9" t="s">
        <v>89</v>
      </c>
      <c r="N119" s="9" t="n">
        <v>9</v>
      </c>
      <c r="O119" s="9" t="n">
        <v>3324.55</v>
      </c>
      <c r="P119" s="9" t="s">
        <v>713</v>
      </c>
      <c r="Q119" s="9" t="n">
        <v>25432.81</v>
      </c>
      <c r="R119" s="9" t="n">
        <v>20370.16</v>
      </c>
      <c r="S119" s="9" t="n">
        <v>5062.65</v>
      </c>
      <c r="T119" s="9" t="s">
        <v>56</v>
      </c>
      <c r="U119" s="9" t="s">
        <v>57</v>
      </c>
    </row>
    <row r="120" customFormat="false" ht="15" hidden="false" customHeight="false" outlineLevel="0" collapsed="false">
      <c r="A120" s="9" t="s">
        <v>714</v>
      </c>
      <c r="B120" s="9" t="s">
        <v>715</v>
      </c>
      <c r="C120" s="9" t="s">
        <v>716</v>
      </c>
      <c r="D120" s="9" t="s">
        <v>717</v>
      </c>
      <c r="E120" s="9" t="s">
        <v>718</v>
      </c>
      <c r="F120" s="9" t="s">
        <v>137</v>
      </c>
      <c r="G120" s="9" t="s">
        <v>84</v>
      </c>
      <c r="H120" s="9" t="s">
        <v>122</v>
      </c>
      <c r="I120" s="9" t="s">
        <v>123</v>
      </c>
      <c r="J120" s="9" t="s">
        <v>108</v>
      </c>
      <c r="K120" s="9" t="s">
        <v>116</v>
      </c>
      <c r="L120" s="9" t="s">
        <v>719</v>
      </c>
      <c r="M120" s="9" t="s">
        <v>70</v>
      </c>
      <c r="N120" s="9" t="n">
        <v>5</v>
      </c>
      <c r="O120" s="9" t="n">
        <v>1580.27</v>
      </c>
      <c r="P120" s="9" t="n">
        <v>0.2</v>
      </c>
      <c r="Q120" s="9" t="n">
        <v>6321.08</v>
      </c>
      <c r="R120" s="9" t="n">
        <v>4407.22</v>
      </c>
      <c r="S120" s="9" t="n">
        <v>1913.86</v>
      </c>
      <c r="T120" s="9" t="s">
        <v>56</v>
      </c>
      <c r="U120" s="9" t="s">
        <v>57</v>
      </c>
    </row>
    <row r="121" customFormat="false" ht="15" hidden="false" customHeight="false" outlineLevel="0" collapsed="false">
      <c r="A121" s="9" t="s">
        <v>720</v>
      </c>
      <c r="B121" s="9" t="s">
        <v>721</v>
      </c>
      <c r="C121" s="9" t="s">
        <v>722</v>
      </c>
      <c r="D121" s="9" t="s">
        <v>723</v>
      </c>
      <c r="E121" s="9" t="s">
        <v>129</v>
      </c>
      <c r="F121" s="9" t="s">
        <v>724</v>
      </c>
      <c r="G121" s="9" t="s">
        <v>84</v>
      </c>
      <c r="H121" s="9" t="s">
        <v>267</v>
      </c>
      <c r="I121" s="9" t="s">
        <v>268</v>
      </c>
      <c r="J121" s="9" t="s">
        <v>67</v>
      </c>
      <c r="K121" s="9" t="s">
        <v>98</v>
      </c>
      <c r="L121" s="9" t="s">
        <v>725</v>
      </c>
      <c r="M121" s="9" t="s">
        <v>89</v>
      </c>
      <c r="N121" s="9" t="n">
        <v>8</v>
      </c>
      <c r="O121" s="9" t="n">
        <v>314.05</v>
      </c>
      <c r="P121" s="9" t="n">
        <v>0.25</v>
      </c>
      <c r="Q121" s="9" t="n">
        <v>1884.3</v>
      </c>
      <c r="R121" s="9" t="n">
        <v>1517.69</v>
      </c>
      <c r="S121" s="9" t="n">
        <v>366.61</v>
      </c>
      <c r="T121" s="9" t="s">
        <v>146</v>
      </c>
      <c r="U121" s="9" t="s">
        <v>147</v>
      </c>
    </row>
    <row r="122" customFormat="false" ht="15" hidden="false" customHeight="false" outlineLevel="0" collapsed="false">
      <c r="A122" s="9" t="s">
        <v>726</v>
      </c>
      <c r="B122" s="9" t="s">
        <v>532</v>
      </c>
      <c r="C122" s="9" t="s">
        <v>727</v>
      </c>
      <c r="D122" s="9" t="s">
        <v>728</v>
      </c>
      <c r="E122" s="9" t="s">
        <v>192</v>
      </c>
      <c r="F122" s="9" t="s">
        <v>63</v>
      </c>
      <c r="G122" s="9" t="s">
        <v>64</v>
      </c>
      <c r="H122" s="9" t="s">
        <v>210</v>
      </c>
      <c r="I122" s="9" t="s">
        <v>211</v>
      </c>
      <c r="J122" s="9" t="s">
        <v>108</v>
      </c>
      <c r="K122" s="9" t="s">
        <v>247</v>
      </c>
      <c r="L122" s="9" t="s">
        <v>729</v>
      </c>
      <c r="M122" s="9" t="s">
        <v>89</v>
      </c>
      <c r="N122" s="9" t="n">
        <v>1</v>
      </c>
      <c r="O122" s="9" t="n">
        <v>1823.67</v>
      </c>
      <c r="P122" s="9" t="n">
        <v>0.2</v>
      </c>
      <c r="Q122" s="9" t="n">
        <v>1458.94</v>
      </c>
      <c r="R122" s="9" t="n">
        <v>893.2</v>
      </c>
      <c r="S122" s="9" t="n">
        <v>565.74</v>
      </c>
      <c r="T122" s="9" t="s">
        <v>56</v>
      </c>
      <c r="U122" s="9" t="s">
        <v>147</v>
      </c>
    </row>
    <row r="123" customFormat="false" ht="15" hidden="false" customHeight="false" outlineLevel="0" collapsed="false">
      <c r="A123" s="9" t="s">
        <v>730</v>
      </c>
      <c r="B123" s="9" t="s">
        <v>731</v>
      </c>
      <c r="C123" s="9" t="s">
        <v>732</v>
      </c>
      <c r="D123" s="9" t="s">
        <v>733</v>
      </c>
      <c r="E123" s="9" t="s">
        <v>393</v>
      </c>
      <c r="F123" s="9" t="s">
        <v>734</v>
      </c>
      <c r="G123" s="9" t="s">
        <v>84</v>
      </c>
      <c r="H123" s="9" t="s">
        <v>122</v>
      </c>
      <c r="I123" s="9" t="s">
        <v>123</v>
      </c>
      <c r="J123" s="9" t="s">
        <v>108</v>
      </c>
      <c r="K123" s="9" t="s">
        <v>409</v>
      </c>
      <c r="L123" s="9" t="s">
        <v>735</v>
      </c>
      <c r="M123" s="9" t="s">
        <v>55</v>
      </c>
      <c r="N123" s="9" t="n">
        <v>5</v>
      </c>
      <c r="O123" s="9" t="n">
        <v>3482.92</v>
      </c>
      <c r="P123" s="9" t="n">
        <v>0</v>
      </c>
      <c r="Q123" s="9" t="n">
        <v>17414.6</v>
      </c>
      <c r="R123" s="9" t="n">
        <v>11760.91</v>
      </c>
      <c r="S123" s="9" t="n">
        <v>5653.69</v>
      </c>
      <c r="T123" s="9" t="s">
        <v>146</v>
      </c>
      <c r="U123" s="9" t="s">
        <v>100</v>
      </c>
    </row>
    <row r="124" customFormat="false" ht="15" hidden="false" customHeight="false" outlineLevel="0" collapsed="false">
      <c r="A124" s="9" t="s">
        <v>736</v>
      </c>
      <c r="B124" s="9" t="s">
        <v>737</v>
      </c>
      <c r="C124" s="9" t="s">
        <v>738</v>
      </c>
      <c r="D124" s="9" t="s">
        <v>739</v>
      </c>
      <c r="E124" s="9" t="s">
        <v>94</v>
      </c>
      <c r="F124" s="9" t="s">
        <v>63</v>
      </c>
      <c r="G124" s="9" t="s">
        <v>64</v>
      </c>
      <c r="H124" s="9" t="s">
        <v>240</v>
      </c>
      <c r="I124" s="9" t="s">
        <v>241</v>
      </c>
      <c r="J124" s="9" t="s">
        <v>67</v>
      </c>
      <c r="K124" s="9" t="s">
        <v>98</v>
      </c>
      <c r="L124" s="9" t="s">
        <v>740</v>
      </c>
      <c r="M124" s="9" t="s">
        <v>55</v>
      </c>
      <c r="N124" s="9" t="n">
        <v>3</v>
      </c>
      <c r="O124" s="9" t="n">
        <v>170.35</v>
      </c>
      <c r="P124" s="9" t="n">
        <v>0</v>
      </c>
      <c r="Q124" s="9" t="n">
        <v>511.05</v>
      </c>
      <c r="R124" s="9" t="n">
        <v>367.18</v>
      </c>
      <c r="S124" s="9" t="n">
        <v>143.87</v>
      </c>
      <c r="T124" s="9" t="s">
        <v>56</v>
      </c>
      <c r="U124" s="9" t="s">
        <v>57</v>
      </c>
    </row>
    <row r="125" customFormat="false" ht="15" hidden="false" customHeight="false" outlineLevel="0" collapsed="false">
      <c r="A125" s="9" t="s">
        <v>741</v>
      </c>
      <c r="B125" s="9" t="s">
        <v>742</v>
      </c>
      <c r="C125" s="9" t="s">
        <v>743</v>
      </c>
      <c r="D125" s="9" t="s">
        <v>744</v>
      </c>
      <c r="E125" s="9" t="s">
        <v>192</v>
      </c>
      <c r="F125" s="9" t="s">
        <v>63</v>
      </c>
      <c r="G125" s="9" t="s">
        <v>745</v>
      </c>
      <c r="H125" s="9" t="s">
        <v>178</v>
      </c>
      <c r="I125" s="9" t="s">
        <v>179</v>
      </c>
      <c r="J125" s="9" t="s">
        <v>108</v>
      </c>
      <c r="K125" s="9" t="s">
        <v>116</v>
      </c>
      <c r="L125" s="9" t="s">
        <v>746</v>
      </c>
      <c r="M125" s="9" t="s">
        <v>70</v>
      </c>
      <c r="N125" s="9" t="n">
        <v>1</v>
      </c>
      <c r="O125" s="9" t="n">
        <v>634.13</v>
      </c>
      <c r="P125" s="9" t="n">
        <v>0</v>
      </c>
      <c r="Q125" s="9" t="n">
        <v>634.13</v>
      </c>
      <c r="R125" s="9" t="n">
        <v>453.35</v>
      </c>
      <c r="S125" s="9" t="n">
        <v>180.78</v>
      </c>
      <c r="T125" s="9" t="s">
        <v>146</v>
      </c>
      <c r="U125" s="9" t="s">
        <v>100</v>
      </c>
    </row>
    <row r="126" customFormat="false" ht="15" hidden="false" customHeight="false" outlineLevel="0" collapsed="false">
      <c r="A126" s="9" t="s">
        <v>747</v>
      </c>
      <c r="B126" s="9" t="s">
        <v>44</v>
      </c>
      <c r="C126" s="9" t="s">
        <v>748</v>
      </c>
      <c r="D126" s="9" t="s">
        <v>749</v>
      </c>
      <c r="E126" s="9" t="s">
        <v>75</v>
      </c>
      <c r="F126" s="9" t="s">
        <v>130</v>
      </c>
      <c r="G126" s="9" t="s">
        <v>84</v>
      </c>
      <c r="H126" s="9" t="s">
        <v>254</v>
      </c>
      <c r="I126" s="9" t="s">
        <v>255</v>
      </c>
      <c r="J126" s="9" t="s">
        <v>108</v>
      </c>
      <c r="K126" s="9" t="s">
        <v>116</v>
      </c>
      <c r="L126" s="9" t="s">
        <v>750</v>
      </c>
      <c r="M126" s="9" t="s">
        <v>89</v>
      </c>
      <c r="N126" s="9" t="n">
        <v>9</v>
      </c>
      <c r="O126" s="9" t="n">
        <v>465.06</v>
      </c>
      <c r="P126" s="9" t="n">
        <v>-0.15</v>
      </c>
      <c r="Q126" s="9" t="n">
        <v>4185.54</v>
      </c>
      <c r="R126" s="9" t="n">
        <v>3443.74</v>
      </c>
      <c r="S126" s="9" t="n">
        <v>741.8</v>
      </c>
      <c r="T126" s="9" t="s">
        <v>56</v>
      </c>
      <c r="U126" s="9" t="s">
        <v>751</v>
      </c>
    </row>
    <row r="127" customFormat="false" ht="15" hidden="false" customHeight="false" outlineLevel="0" collapsed="false">
      <c r="A127" s="9" t="s">
        <v>752</v>
      </c>
      <c r="B127" s="9" t="s">
        <v>753</v>
      </c>
      <c r="C127" s="9" t="s">
        <v>754</v>
      </c>
      <c r="D127" s="9" t="s">
        <v>755</v>
      </c>
      <c r="E127" s="9" t="s">
        <v>115</v>
      </c>
      <c r="F127" s="9" t="s">
        <v>63</v>
      </c>
      <c r="G127" s="9" t="s">
        <v>95</v>
      </c>
      <c r="H127" s="9" t="s">
        <v>50</v>
      </c>
      <c r="I127" s="9" t="s">
        <v>158</v>
      </c>
      <c r="J127" s="9" t="s">
        <v>67</v>
      </c>
      <c r="K127" s="9" t="s">
        <v>68</v>
      </c>
      <c r="L127" s="9" t="s">
        <v>756</v>
      </c>
      <c r="M127" s="9" t="s">
        <v>70</v>
      </c>
      <c r="N127" s="9" t="n">
        <v>6</v>
      </c>
      <c r="O127" s="9" t="n">
        <v>3235.27</v>
      </c>
      <c r="P127" s="9" t="n">
        <v>0.25</v>
      </c>
      <c r="Q127" s="9" t="n">
        <v>14558.72</v>
      </c>
      <c r="R127" s="9" t="n">
        <v>9591.48</v>
      </c>
      <c r="S127" s="9" t="n">
        <v>4967.24</v>
      </c>
      <c r="T127" s="9" t="s">
        <v>146</v>
      </c>
      <c r="U127" s="9" t="s">
        <v>147</v>
      </c>
    </row>
    <row r="128" customFormat="false" ht="15" hidden="false" customHeight="false" outlineLevel="0" collapsed="false">
      <c r="A128" s="9" t="s">
        <v>757</v>
      </c>
      <c r="B128" s="9" t="s">
        <v>758</v>
      </c>
      <c r="C128" s="9" t="s">
        <v>759</v>
      </c>
      <c r="D128" s="9" t="s">
        <v>760</v>
      </c>
      <c r="E128" s="9" t="s">
        <v>165</v>
      </c>
      <c r="F128" s="9" t="s">
        <v>130</v>
      </c>
      <c r="G128" s="9" t="s">
        <v>177</v>
      </c>
      <c r="H128" s="9" t="s">
        <v>535</v>
      </c>
      <c r="I128" s="9" t="s">
        <v>536</v>
      </c>
      <c r="J128" s="9" t="s">
        <v>108</v>
      </c>
      <c r="K128" s="9" t="s">
        <v>116</v>
      </c>
      <c r="L128" s="9" t="s">
        <v>761</v>
      </c>
      <c r="M128" s="9" t="s">
        <v>89</v>
      </c>
      <c r="N128" s="9" t="n">
        <v>3</v>
      </c>
      <c r="O128" s="9" t="n">
        <v>1593.86</v>
      </c>
      <c r="P128" s="9" t="n">
        <v>0.1</v>
      </c>
      <c r="Q128" s="9" t="n">
        <v>4303.42</v>
      </c>
      <c r="R128" s="9" t="n">
        <v>2568.57</v>
      </c>
      <c r="S128" s="9" t="n">
        <v>1734.85</v>
      </c>
      <c r="T128" s="9" t="s">
        <v>56</v>
      </c>
      <c r="U128" s="9" t="s">
        <v>57</v>
      </c>
    </row>
    <row r="129" customFormat="false" ht="15" hidden="false" customHeight="false" outlineLevel="0" collapsed="false">
      <c r="A129" s="9" t="s">
        <v>762</v>
      </c>
      <c r="B129" s="9" t="s">
        <v>215</v>
      </c>
      <c r="C129" s="9" t="s">
        <v>763</v>
      </c>
      <c r="D129" s="9" t="s">
        <v>764</v>
      </c>
      <c r="E129" s="9" t="s">
        <v>165</v>
      </c>
      <c r="F129" s="9" t="s">
        <v>130</v>
      </c>
      <c r="G129" s="9" t="s">
        <v>95</v>
      </c>
      <c r="H129" s="9" t="s">
        <v>106</v>
      </c>
      <c r="I129" s="9" t="s">
        <v>107</v>
      </c>
      <c r="J129" s="9" t="s">
        <v>52</v>
      </c>
      <c r="K129" s="9" t="s">
        <v>180</v>
      </c>
      <c r="L129" s="9" t="s">
        <v>765</v>
      </c>
      <c r="M129" s="9" t="s">
        <v>55</v>
      </c>
      <c r="N129" s="9" t="n">
        <v>2</v>
      </c>
      <c r="O129" s="9" t="n">
        <v>3039.3</v>
      </c>
      <c r="P129" s="9" t="n">
        <v>0.05</v>
      </c>
      <c r="Q129" s="9" t="n">
        <v>5774.67</v>
      </c>
      <c r="R129" s="9" t="n">
        <v>3518.36</v>
      </c>
      <c r="S129" s="9" t="n">
        <v>2256.31</v>
      </c>
      <c r="T129" s="9" t="s">
        <v>56</v>
      </c>
      <c r="U129" s="9" t="s">
        <v>57</v>
      </c>
    </row>
    <row r="130" customFormat="false" ht="15" hidden="false" customHeight="false" outlineLevel="0" collapsed="false">
      <c r="A130" s="9" t="s">
        <v>766</v>
      </c>
      <c r="B130" s="9" t="s">
        <v>767</v>
      </c>
      <c r="C130" s="9" t="s">
        <v>768</v>
      </c>
      <c r="D130" s="9" t="s">
        <v>769</v>
      </c>
      <c r="E130" s="9" t="s">
        <v>115</v>
      </c>
      <c r="F130" s="9" t="s">
        <v>63</v>
      </c>
      <c r="G130" s="9" t="s">
        <v>64</v>
      </c>
      <c r="H130" s="9" t="s">
        <v>65</v>
      </c>
      <c r="I130" s="9" t="s">
        <v>66</v>
      </c>
      <c r="J130" s="9" t="s">
        <v>67</v>
      </c>
      <c r="K130" s="9" t="s">
        <v>87</v>
      </c>
      <c r="L130" s="9" t="s">
        <v>770</v>
      </c>
      <c r="M130" s="9" t="s">
        <v>89</v>
      </c>
      <c r="N130" s="9" t="n">
        <v>5</v>
      </c>
      <c r="O130" s="9" t="n">
        <v>923.45</v>
      </c>
      <c r="P130" s="9" t="n">
        <v>0.05</v>
      </c>
      <c r="Q130" s="9" t="n">
        <v>4386.39</v>
      </c>
      <c r="R130" s="9" t="n">
        <v>3366.88</v>
      </c>
      <c r="S130" s="9" t="n">
        <v>1019.51</v>
      </c>
      <c r="T130" s="9" t="s">
        <v>56</v>
      </c>
      <c r="U130" s="9" t="s">
        <v>147</v>
      </c>
    </row>
    <row r="131" customFormat="false" ht="15" hidden="false" customHeight="false" outlineLevel="0" collapsed="false">
      <c r="A131" s="9" t="s">
        <v>771</v>
      </c>
      <c r="B131" s="9" t="s">
        <v>433</v>
      </c>
      <c r="C131" s="9" t="s">
        <v>772</v>
      </c>
      <c r="D131" s="9" t="s">
        <v>773</v>
      </c>
      <c r="E131" s="9" t="s">
        <v>75</v>
      </c>
      <c r="F131" s="9" t="s">
        <v>63</v>
      </c>
      <c r="G131" s="9" t="s">
        <v>95</v>
      </c>
      <c r="H131" s="9" t="s">
        <v>274</v>
      </c>
      <c r="I131" s="9" t="s">
        <v>275</v>
      </c>
      <c r="J131" s="9" t="s">
        <v>52</v>
      </c>
      <c r="K131" s="9" t="s">
        <v>222</v>
      </c>
      <c r="L131" s="9" t="s">
        <v>774</v>
      </c>
      <c r="M131" s="9" t="s">
        <v>89</v>
      </c>
      <c r="N131" s="9" t="n">
        <v>7</v>
      </c>
      <c r="O131" s="9" t="n">
        <v>2741.29</v>
      </c>
      <c r="P131" s="9" t="n">
        <v>0.05</v>
      </c>
      <c r="Q131" s="9" t="n">
        <v>18229.58</v>
      </c>
      <c r="R131" s="9" t="n">
        <v>15139.15</v>
      </c>
      <c r="S131" s="9" t="n">
        <v>3090.43</v>
      </c>
      <c r="T131" s="9" t="s">
        <v>56</v>
      </c>
      <c r="U131" s="9" t="s">
        <v>57</v>
      </c>
    </row>
    <row r="132" customFormat="false" ht="15" hidden="false" customHeight="false" outlineLevel="0" collapsed="false">
      <c r="A132" s="9" t="s">
        <v>775</v>
      </c>
      <c r="B132" s="9" t="s">
        <v>776</v>
      </c>
      <c r="C132" s="9" t="s">
        <v>777</v>
      </c>
      <c r="D132" s="9" t="s">
        <v>778</v>
      </c>
      <c r="E132" s="9" t="s">
        <v>83</v>
      </c>
      <c r="F132" s="9" t="s">
        <v>48</v>
      </c>
      <c r="G132" s="9" t="s">
        <v>95</v>
      </c>
      <c r="H132" s="9" t="s">
        <v>260</v>
      </c>
      <c r="I132" s="9" t="s">
        <v>261</v>
      </c>
      <c r="J132" s="9" t="s">
        <v>52</v>
      </c>
      <c r="K132" s="9" t="s">
        <v>131</v>
      </c>
      <c r="L132" s="9" t="s">
        <v>779</v>
      </c>
      <c r="M132" s="9" t="s">
        <v>70</v>
      </c>
      <c r="N132" s="9" t="n">
        <v>5</v>
      </c>
      <c r="O132" s="9" t="n">
        <v>218.42</v>
      </c>
      <c r="P132" s="9" t="n">
        <v>0.2</v>
      </c>
      <c r="Q132" s="9" t="n">
        <v>873.68</v>
      </c>
      <c r="R132" s="9" t="n">
        <v>661.72</v>
      </c>
      <c r="S132" s="9" t="n">
        <v>211.96</v>
      </c>
      <c r="T132" s="9" t="s">
        <v>160</v>
      </c>
      <c r="U132" s="9" t="s">
        <v>100</v>
      </c>
    </row>
    <row r="133" customFormat="false" ht="15" hidden="false" customHeight="false" outlineLevel="0" collapsed="false">
      <c r="A133" s="9" t="s">
        <v>780</v>
      </c>
      <c r="B133" s="9" t="s">
        <v>781</v>
      </c>
      <c r="C133" s="9" t="s">
        <v>782</v>
      </c>
      <c r="D133" s="9" t="s">
        <v>783</v>
      </c>
      <c r="E133" s="9" t="s">
        <v>94</v>
      </c>
      <c r="F133" s="9" t="s">
        <v>137</v>
      </c>
      <c r="G133" s="9" t="s">
        <v>64</v>
      </c>
      <c r="H133" s="9" t="s">
        <v>336</v>
      </c>
      <c r="I133" s="9" t="s">
        <v>337</v>
      </c>
      <c r="J133" s="9" t="s">
        <v>52</v>
      </c>
      <c r="K133" s="9" t="s">
        <v>53</v>
      </c>
      <c r="L133" s="9" t="s">
        <v>784</v>
      </c>
      <c r="M133" s="9" t="s">
        <v>70</v>
      </c>
      <c r="N133" s="9" t="n">
        <v>9</v>
      </c>
      <c r="O133" s="9" t="n">
        <v>373.91</v>
      </c>
      <c r="P133" s="9" t="n">
        <v>0.2</v>
      </c>
      <c r="Q133" s="9" t="n">
        <v>2692.15</v>
      </c>
      <c r="R133" s="9" t="n">
        <v>2044.49</v>
      </c>
      <c r="S133" s="9" t="n">
        <v>647.66</v>
      </c>
      <c r="T133" s="9" t="s">
        <v>56</v>
      </c>
      <c r="U133" s="9" t="s">
        <v>57</v>
      </c>
    </row>
    <row r="134" customFormat="false" ht="15" hidden="false" customHeight="false" outlineLevel="0" collapsed="false">
      <c r="A134" s="9" t="s">
        <v>785</v>
      </c>
      <c r="B134" s="9" t="s">
        <v>786</v>
      </c>
      <c r="C134" s="9" t="s">
        <v>786</v>
      </c>
      <c r="D134" s="9" t="s">
        <v>787</v>
      </c>
      <c r="E134" s="9" t="s">
        <v>393</v>
      </c>
      <c r="F134" s="9" t="s">
        <v>130</v>
      </c>
      <c r="G134" s="9" t="s">
        <v>64</v>
      </c>
      <c r="H134" s="9" t="s">
        <v>240</v>
      </c>
      <c r="I134" s="9" t="s">
        <v>241</v>
      </c>
      <c r="J134" s="9" t="s">
        <v>108</v>
      </c>
      <c r="K134" s="9" t="s">
        <v>409</v>
      </c>
      <c r="L134" s="9" t="s">
        <v>788</v>
      </c>
      <c r="M134" s="9" t="s">
        <v>78</v>
      </c>
      <c r="N134" s="9" t="n">
        <v>2</v>
      </c>
      <c r="O134" s="9" t="n">
        <v>533.08</v>
      </c>
      <c r="P134" s="9" t="n">
        <v>0</v>
      </c>
      <c r="Q134" s="9" t="n">
        <v>1066.16</v>
      </c>
      <c r="R134" s="9" t="n">
        <v>656.3</v>
      </c>
      <c r="S134" s="9" t="n">
        <v>409.86</v>
      </c>
      <c r="T134" s="9" t="s">
        <v>224</v>
      </c>
      <c r="U134" s="9" t="s">
        <v>100</v>
      </c>
    </row>
    <row r="135" customFormat="false" ht="15" hidden="false" customHeight="false" outlineLevel="0" collapsed="false">
      <c r="A135" s="9" t="s">
        <v>789</v>
      </c>
      <c r="B135" s="9" t="s">
        <v>790</v>
      </c>
      <c r="C135" s="9" t="s">
        <v>791</v>
      </c>
      <c r="D135" s="9" t="s">
        <v>792</v>
      </c>
      <c r="E135" s="9" t="s">
        <v>47</v>
      </c>
      <c r="F135" s="9" t="s">
        <v>48</v>
      </c>
      <c r="G135" s="9" t="s">
        <v>95</v>
      </c>
      <c r="H135" s="9" t="s">
        <v>274</v>
      </c>
      <c r="I135" s="9" t="s">
        <v>275</v>
      </c>
      <c r="J135" s="9" t="s">
        <v>108</v>
      </c>
      <c r="K135" s="9" t="s">
        <v>247</v>
      </c>
      <c r="L135" s="9" t="s">
        <v>793</v>
      </c>
      <c r="M135" s="9" t="s">
        <v>55</v>
      </c>
      <c r="N135" s="9" t="n">
        <v>8</v>
      </c>
      <c r="O135" s="9" t="n">
        <v>3372.15</v>
      </c>
      <c r="P135" s="9" t="n">
        <v>0.15</v>
      </c>
      <c r="Q135" s="9" t="n">
        <v>22930.62</v>
      </c>
      <c r="R135" s="9" t="n">
        <v>16875.55</v>
      </c>
      <c r="S135" s="9" t="n">
        <v>6055.07</v>
      </c>
      <c r="T135" s="9" t="s">
        <v>56</v>
      </c>
      <c r="U135" s="9" t="s">
        <v>57</v>
      </c>
    </row>
    <row r="136" customFormat="false" ht="15" hidden="false" customHeight="false" outlineLevel="0" collapsed="false">
      <c r="A136" s="9" t="s">
        <v>794</v>
      </c>
      <c r="B136" s="9" t="s">
        <v>795</v>
      </c>
      <c r="C136" s="9" t="s">
        <v>796</v>
      </c>
      <c r="D136" s="9" t="s">
        <v>797</v>
      </c>
      <c r="E136" s="9" t="s">
        <v>105</v>
      </c>
      <c r="F136" s="9" t="s">
        <v>137</v>
      </c>
      <c r="G136" s="9" t="s">
        <v>64</v>
      </c>
      <c r="H136" s="9" t="s">
        <v>143</v>
      </c>
      <c r="I136" s="9" t="s">
        <v>144</v>
      </c>
      <c r="J136" s="9" t="s">
        <v>67</v>
      </c>
      <c r="K136" s="9" t="s">
        <v>228</v>
      </c>
      <c r="L136" s="9" t="s">
        <v>798</v>
      </c>
      <c r="M136" s="9"/>
      <c r="N136" s="9" t="n">
        <v>5</v>
      </c>
      <c r="O136" s="9" t="n">
        <v>383.1</v>
      </c>
      <c r="P136" s="9" t="n">
        <v>0.25</v>
      </c>
      <c r="Q136" s="9" t="n">
        <v>1436.62</v>
      </c>
      <c r="R136" s="9" t="n">
        <v>912.52</v>
      </c>
      <c r="S136" s="9" t="n">
        <v>524.1</v>
      </c>
      <c r="T136" s="9" t="s">
        <v>160</v>
      </c>
      <c r="U136" s="9" t="s">
        <v>100</v>
      </c>
    </row>
    <row r="137" customFormat="false" ht="15" hidden="false" customHeight="false" outlineLevel="0" collapsed="false">
      <c r="A137" s="9" t="s">
        <v>799</v>
      </c>
      <c r="B137" s="9" t="s">
        <v>800</v>
      </c>
      <c r="C137" s="9" t="s">
        <v>800</v>
      </c>
      <c r="D137" s="9" t="s">
        <v>801</v>
      </c>
      <c r="E137" s="9" t="s">
        <v>234</v>
      </c>
      <c r="F137" s="9" t="s">
        <v>63</v>
      </c>
      <c r="G137" s="9" t="s">
        <v>84</v>
      </c>
      <c r="H137" s="9" t="s">
        <v>267</v>
      </c>
      <c r="I137" s="9" t="s">
        <v>268</v>
      </c>
      <c r="J137" s="9" t="s">
        <v>802</v>
      </c>
      <c r="K137" s="9" t="s">
        <v>228</v>
      </c>
      <c r="L137" s="9" t="s">
        <v>803</v>
      </c>
      <c r="M137" s="9" t="s">
        <v>89</v>
      </c>
      <c r="N137" s="9" t="n">
        <v>1</v>
      </c>
      <c r="O137" s="9" t="n">
        <v>3424.78</v>
      </c>
      <c r="P137" s="9" t="n">
        <v>0</v>
      </c>
      <c r="Q137" s="9" t="n">
        <v>3424.78</v>
      </c>
      <c r="R137" s="9" t="n">
        <v>1951.45</v>
      </c>
      <c r="S137" s="9" t="n">
        <v>1473.33</v>
      </c>
      <c r="T137" s="9" t="s">
        <v>56</v>
      </c>
      <c r="U137" s="9" t="s">
        <v>57</v>
      </c>
    </row>
    <row r="138" customFormat="false" ht="15" hidden="false" customHeight="false" outlineLevel="0" collapsed="false">
      <c r="A138" s="9" t="s">
        <v>804</v>
      </c>
      <c r="B138" s="9" t="s">
        <v>805</v>
      </c>
      <c r="C138" s="9" t="s">
        <v>806</v>
      </c>
      <c r="D138" s="9" t="s">
        <v>807</v>
      </c>
      <c r="E138" s="9" t="s">
        <v>62</v>
      </c>
      <c r="F138" s="9" t="s">
        <v>137</v>
      </c>
      <c r="G138" s="9" t="s">
        <v>64</v>
      </c>
      <c r="H138" s="9" t="s">
        <v>336</v>
      </c>
      <c r="I138" s="9" t="s">
        <v>337</v>
      </c>
      <c r="J138" s="9" t="s">
        <v>52</v>
      </c>
      <c r="K138" s="9" t="s">
        <v>222</v>
      </c>
      <c r="L138" s="9" t="s">
        <v>808</v>
      </c>
      <c r="M138" s="9" t="s">
        <v>809</v>
      </c>
      <c r="N138" s="9" t="n">
        <v>9</v>
      </c>
      <c r="O138" s="9" t="n">
        <v>4330.33</v>
      </c>
      <c r="P138" s="9" t="n">
        <v>0.2</v>
      </c>
      <c r="Q138" s="9" t="n">
        <v>31178.38</v>
      </c>
      <c r="R138" s="9" t="n">
        <v>21421.09</v>
      </c>
      <c r="S138" s="9" t="n">
        <v>9757.29</v>
      </c>
      <c r="T138" s="9" t="s">
        <v>56</v>
      </c>
      <c r="U138" s="9" t="s">
        <v>57</v>
      </c>
    </row>
    <row r="139" customFormat="false" ht="15" hidden="false" customHeight="false" outlineLevel="0" collapsed="false">
      <c r="A139" s="9" t="s">
        <v>810</v>
      </c>
      <c r="B139" s="9" t="s">
        <v>811</v>
      </c>
      <c r="C139" s="9" t="s">
        <v>812</v>
      </c>
      <c r="D139" s="9" t="s">
        <v>813</v>
      </c>
      <c r="E139" s="9" t="s">
        <v>192</v>
      </c>
      <c r="F139" s="9" t="s">
        <v>63</v>
      </c>
      <c r="G139" s="9" t="s">
        <v>177</v>
      </c>
      <c r="H139" s="9" t="s">
        <v>50</v>
      </c>
      <c r="I139" s="9" t="s">
        <v>51</v>
      </c>
      <c r="J139" s="9" t="s">
        <v>67</v>
      </c>
      <c r="K139" s="9" t="s">
        <v>98</v>
      </c>
      <c r="L139" s="9" t="s">
        <v>814</v>
      </c>
      <c r="M139" s="9" t="s">
        <v>70</v>
      </c>
      <c r="N139" s="9" t="n">
        <v>8</v>
      </c>
      <c r="O139" s="9" t="n">
        <v>2667.07</v>
      </c>
      <c r="P139" s="9" t="n">
        <v>0.1</v>
      </c>
      <c r="Q139" s="9" t="n">
        <v>19202.9</v>
      </c>
      <c r="R139" s="9" t="n">
        <v>15526.62</v>
      </c>
      <c r="S139" s="9" t="n">
        <v>3676.28</v>
      </c>
      <c r="T139" s="9" t="s">
        <v>56</v>
      </c>
      <c r="U139" s="9" t="s">
        <v>57</v>
      </c>
    </row>
    <row r="140" customFormat="false" ht="15" hidden="false" customHeight="false" outlineLevel="0" collapsed="false">
      <c r="A140" s="9" t="s">
        <v>815</v>
      </c>
      <c r="B140" s="9" t="s">
        <v>816</v>
      </c>
      <c r="C140" s="9" t="s">
        <v>817</v>
      </c>
      <c r="D140" s="9" t="s">
        <v>818</v>
      </c>
      <c r="E140" s="9" t="s">
        <v>234</v>
      </c>
      <c r="F140" s="9" t="s">
        <v>137</v>
      </c>
      <c r="G140" s="9" t="s">
        <v>64</v>
      </c>
      <c r="H140" s="9" t="s">
        <v>336</v>
      </c>
      <c r="I140" s="9" t="s">
        <v>337</v>
      </c>
      <c r="J140" s="9" t="s">
        <v>108</v>
      </c>
      <c r="K140" s="9" t="s">
        <v>409</v>
      </c>
      <c r="L140" s="9" t="s">
        <v>819</v>
      </c>
      <c r="M140" s="9" t="s">
        <v>89</v>
      </c>
      <c r="N140" s="9" t="n">
        <v>8</v>
      </c>
      <c r="O140" s="9" t="n">
        <v>4003.05</v>
      </c>
      <c r="P140" s="9" t="n">
        <v>0.25</v>
      </c>
      <c r="Q140" s="9" t="n">
        <v>24018.3</v>
      </c>
      <c r="R140" s="9" t="n">
        <v>14070.78</v>
      </c>
      <c r="S140" s="9" t="n">
        <v>9947.52</v>
      </c>
      <c r="T140" s="9" t="s">
        <v>56</v>
      </c>
      <c r="U140" s="9" t="s">
        <v>57</v>
      </c>
    </row>
    <row r="141" customFormat="false" ht="15" hidden="false" customHeight="false" outlineLevel="0" collapsed="false">
      <c r="A141" s="9" t="s">
        <v>820</v>
      </c>
      <c r="B141" s="9" t="s">
        <v>821</v>
      </c>
      <c r="C141" s="9" t="s">
        <v>822</v>
      </c>
      <c r="D141" s="9" t="s">
        <v>823</v>
      </c>
      <c r="E141" s="9" t="s">
        <v>115</v>
      </c>
      <c r="F141" s="9" t="s">
        <v>137</v>
      </c>
      <c r="G141" s="9" t="s">
        <v>84</v>
      </c>
      <c r="H141" s="9" t="s">
        <v>254</v>
      </c>
      <c r="I141" s="9" t="s">
        <v>255</v>
      </c>
      <c r="J141" s="9" t="s">
        <v>52</v>
      </c>
      <c r="K141" s="9" t="s">
        <v>131</v>
      </c>
      <c r="L141" s="9" t="s">
        <v>824</v>
      </c>
      <c r="M141" s="9" t="s">
        <v>89</v>
      </c>
      <c r="N141" s="9" t="n">
        <v>8</v>
      </c>
      <c r="O141" s="9" t="n">
        <v>1287.63</v>
      </c>
      <c r="P141" s="9" t="n">
        <v>0</v>
      </c>
      <c r="Q141" s="9" t="n">
        <v>10301.04</v>
      </c>
      <c r="R141" s="9" t="n">
        <v>6564.06</v>
      </c>
      <c r="S141" s="9" t="n">
        <v>3736.98</v>
      </c>
      <c r="T141" s="9" t="s">
        <v>56</v>
      </c>
      <c r="U141" s="9" t="s">
        <v>57</v>
      </c>
    </row>
    <row r="142" customFormat="false" ht="15" hidden="false" customHeight="false" outlineLevel="0" collapsed="false">
      <c r="A142" s="9" t="s">
        <v>825</v>
      </c>
      <c r="B142" s="9" t="s">
        <v>826</v>
      </c>
      <c r="C142" s="9" t="s">
        <v>827</v>
      </c>
      <c r="D142" s="9" t="s">
        <v>828</v>
      </c>
      <c r="E142" s="9" t="s">
        <v>62</v>
      </c>
      <c r="F142" s="9" t="s">
        <v>130</v>
      </c>
      <c r="G142" s="9" t="s">
        <v>84</v>
      </c>
      <c r="H142" s="9" t="s">
        <v>254</v>
      </c>
      <c r="I142" s="9" t="s">
        <v>255</v>
      </c>
      <c r="J142" s="9" t="s">
        <v>67</v>
      </c>
      <c r="K142" s="9" t="s">
        <v>228</v>
      </c>
      <c r="L142" s="9" t="s">
        <v>829</v>
      </c>
      <c r="M142" s="9" t="s">
        <v>70</v>
      </c>
      <c r="N142" s="9" t="n">
        <v>3</v>
      </c>
      <c r="O142" s="9" t="n">
        <v>2914.55</v>
      </c>
      <c r="P142" s="9" t="n">
        <v>0</v>
      </c>
      <c r="Q142" s="9" t="n">
        <v>8743.65</v>
      </c>
      <c r="R142" s="9" t="n">
        <v>6603.76</v>
      </c>
      <c r="S142" s="9" t="n">
        <v>2139.89</v>
      </c>
      <c r="T142" s="9" t="s">
        <v>56</v>
      </c>
      <c r="U142" s="9" t="s">
        <v>57</v>
      </c>
    </row>
    <row r="143" customFormat="false" ht="15" hidden="false" customHeight="false" outlineLevel="0" collapsed="false">
      <c r="A143" s="9" t="s">
        <v>830</v>
      </c>
      <c r="B143" s="9" t="s">
        <v>831</v>
      </c>
      <c r="C143" s="9" t="s">
        <v>832</v>
      </c>
      <c r="D143" s="9" t="s">
        <v>833</v>
      </c>
      <c r="E143" s="9" t="s">
        <v>165</v>
      </c>
      <c r="F143" s="9" t="s">
        <v>130</v>
      </c>
      <c r="G143" s="9" t="s">
        <v>177</v>
      </c>
      <c r="H143" s="9" t="s">
        <v>535</v>
      </c>
      <c r="I143" s="9" t="s">
        <v>536</v>
      </c>
      <c r="J143" s="9" t="s">
        <v>67</v>
      </c>
      <c r="K143" s="9" t="s">
        <v>228</v>
      </c>
      <c r="L143" s="9" t="s">
        <v>834</v>
      </c>
      <c r="M143" s="9" t="s">
        <v>70</v>
      </c>
      <c r="N143" s="9" t="n">
        <v>7</v>
      </c>
      <c r="O143" s="9" t="n">
        <v>634.29</v>
      </c>
      <c r="P143" s="9" t="n">
        <v>0.1</v>
      </c>
      <c r="Q143" s="9" t="n">
        <v>3996.03</v>
      </c>
      <c r="R143" s="9" t="n">
        <v>2859.51</v>
      </c>
      <c r="S143" s="9" t="n">
        <v>1136.52</v>
      </c>
      <c r="T143" s="9" t="s">
        <v>56</v>
      </c>
      <c r="U143" s="9" t="s">
        <v>147</v>
      </c>
    </row>
    <row r="144" customFormat="false" ht="15" hidden="false" customHeight="false" outlineLevel="0" collapsed="false">
      <c r="A144" s="9" t="s">
        <v>835</v>
      </c>
      <c r="B144" s="9" t="s">
        <v>836</v>
      </c>
      <c r="C144" s="9" t="s">
        <v>837</v>
      </c>
      <c r="D144" s="9" t="s">
        <v>838</v>
      </c>
      <c r="E144" s="9" t="s">
        <v>129</v>
      </c>
      <c r="F144" s="9" t="s">
        <v>137</v>
      </c>
      <c r="G144" s="9" t="s">
        <v>177</v>
      </c>
      <c r="H144" s="9" t="s">
        <v>50</v>
      </c>
      <c r="I144" s="9" t="s">
        <v>51</v>
      </c>
      <c r="J144" s="9" t="s">
        <v>108</v>
      </c>
      <c r="K144" s="9" t="s">
        <v>247</v>
      </c>
      <c r="L144" s="9" t="s">
        <v>839</v>
      </c>
      <c r="M144" s="9" t="s">
        <v>55</v>
      </c>
      <c r="N144" s="9" t="n">
        <v>5</v>
      </c>
      <c r="O144" s="9" t="n">
        <v>907.54</v>
      </c>
      <c r="P144" s="9" t="n">
        <v>0.15</v>
      </c>
      <c r="Q144" s="9" t="n">
        <v>3857.04</v>
      </c>
      <c r="R144" s="9" t="n">
        <v>2769.26</v>
      </c>
      <c r="S144" s="9" t="n">
        <v>1087.78</v>
      </c>
      <c r="T144" s="9" t="s">
        <v>56</v>
      </c>
      <c r="U144" s="9" t="s">
        <v>57</v>
      </c>
    </row>
    <row r="145" customFormat="false" ht="15" hidden="false" customHeight="false" outlineLevel="0" collapsed="false">
      <c r="A145" s="9" t="s">
        <v>840</v>
      </c>
      <c r="B145" s="9" t="s">
        <v>572</v>
      </c>
      <c r="C145" s="9" t="s">
        <v>841</v>
      </c>
      <c r="D145" s="9" t="s">
        <v>842</v>
      </c>
      <c r="E145" s="9" t="s">
        <v>165</v>
      </c>
      <c r="F145" s="9" t="s">
        <v>48</v>
      </c>
      <c r="G145" s="9" t="s">
        <v>95</v>
      </c>
      <c r="H145" s="9" t="s">
        <v>260</v>
      </c>
      <c r="I145" s="9" t="s">
        <v>261</v>
      </c>
      <c r="J145" s="9" t="s">
        <v>52</v>
      </c>
      <c r="K145" s="9" t="s">
        <v>53</v>
      </c>
      <c r="L145" s="9" t="s">
        <v>843</v>
      </c>
      <c r="M145" s="9" t="s">
        <v>55</v>
      </c>
      <c r="N145" s="9" t="n">
        <v>1</v>
      </c>
      <c r="O145" s="9" t="n">
        <v>3409.5</v>
      </c>
      <c r="P145" s="9" t="n">
        <v>0.1</v>
      </c>
      <c r="Q145" s="9" t="n">
        <v>3068.55</v>
      </c>
      <c r="R145" s="9" t="n">
        <v>1916.16</v>
      </c>
      <c r="S145" s="9" t="n">
        <v>1152.39</v>
      </c>
      <c r="T145" s="9" t="s">
        <v>56</v>
      </c>
      <c r="U145" s="9" t="s">
        <v>147</v>
      </c>
    </row>
    <row r="146" customFormat="false" ht="15" hidden="false" customHeight="false" outlineLevel="0" collapsed="false">
      <c r="A146" s="9" t="s">
        <v>844</v>
      </c>
      <c r="B146" s="9" t="s">
        <v>608</v>
      </c>
      <c r="C146" s="9" t="s">
        <v>845</v>
      </c>
      <c r="D146" s="9" t="s">
        <v>846</v>
      </c>
      <c r="E146" s="9" t="s">
        <v>393</v>
      </c>
      <c r="F146" s="9" t="s">
        <v>63</v>
      </c>
      <c r="G146" s="9" t="s">
        <v>84</v>
      </c>
      <c r="H146" s="9" t="s">
        <v>85</v>
      </c>
      <c r="I146" s="9" t="s">
        <v>86</v>
      </c>
      <c r="J146" s="9" t="s">
        <v>108</v>
      </c>
      <c r="K146" s="9" t="s">
        <v>109</v>
      </c>
      <c r="L146" s="9" t="s">
        <v>847</v>
      </c>
      <c r="M146" s="9" t="s">
        <v>78</v>
      </c>
      <c r="N146" s="9" t="n">
        <v>7</v>
      </c>
      <c r="O146" s="9" t="n">
        <v>2147.99</v>
      </c>
      <c r="P146" s="9" t="n">
        <v>0.25</v>
      </c>
      <c r="Q146" s="9" t="n">
        <v>11276.95</v>
      </c>
      <c r="R146" s="9" t="n">
        <v>6908.76</v>
      </c>
      <c r="S146" s="9" t="n">
        <v>4368.19</v>
      </c>
      <c r="T146" s="9" t="s">
        <v>146</v>
      </c>
      <c r="U146" s="9" t="s">
        <v>147</v>
      </c>
    </row>
    <row r="147" customFormat="false" ht="15" hidden="false" customHeight="false" outlineLevel="0" collapsed="false">
      <c r="A147" s="9" t="s">
        <v>848</v>
      </c>
      <c r="B147" s="9" t="s">
        <v>849</v>
      </c>
      <c r="C147" s="9" t="s">
        <v>850</v>
      </c>
      <c r="D147" s="9" t="s">
        <v>851</v>
      </c>
      <c r="E147" s="9" t="s">
        <v>62</v>
      </c>
      <c r="F147" s="9" t="s">
        <v>63</v>
      </c>
      <c r="G147" s="9" t="s">
        <v>95</v>
      </c>
      <c r="H147" s="9" t="s">
        <v>274</v>
      </c>
      <c r="I147" s="9" t="s">
        <v>275</v>
      </c>
      <c r="J147" s="9" t="s">
        <v>52</v>
      </c>
      <c r="K147" s="9" t="s">
        <v>53</v>
      </c>
      <c r="L147" s="9" t="s">
        <v>852</v>
      </c>
      <c r="M147" s="9" t="s">
        <v>89</v>
      </c>
      <c r="N147" s="9" t="n">
        <v>4</v>
      </c>
      <c r="O147" s="9" t="n">
        <v>4182.15</v>
      </c>
      <c r="P147" s="9" t="n">
        <v>0.1</v>
      </c>
      <c r="Q147" s="9" t="n">
        <v>15055.74</v>
      </c>
      <c r="R147" s="9" t="n">
        <v>9808.83</v>
      </c>
      <c r="S147" s="9" t="n">
        <v>5246.91</v>
      </c>
      <c r="T147" s="9" t="s">
        <v>56</v>
      </c>
      <c r="U147" s="9" t="s">
        <v>57</v>
      </c>
    </row>
    <row r="148" customFormat="false" ht="15" hidden="false" customHeight="false" outlineLevel="0" collapsed="false">
      <c r="A148" s="9" t="s">
        <v>853</v>
      </c>
      <c r="B148" s="9" t="s">
        <v>854</v>
      </c>
      <c r="C148" s="9" t="s">
        <v>855</v>
      </c>
      <c r="D148" s="9" t="s">
        <v>856</v>
      </c>
      <c r="E148" s="9" t="s">
        <v>192</v>
      </c>
      <c r="F148" s="9" t="s">
        <v>63</v>
      </c>
      <c r="G148" s="9" t="s">
        <v>84</v>
      </c>
      <c r="H148" s="9" t="s">
        <v>364</v>
      </c>
      <c r="I148" s="9" t="s">
        <v>365</v>
      </c>
      <c r="J148" s="9" t="s">
        <v>52</v>
      </c>
      <c r="K148" s="9" t="s">
        <v>180</v>
      </c>
      <c r="L148" s="9" t="s">
        <v>857</v>
      </c>
      <c r="M148" s="9" t="s">
        <v>70</v>
      </c>
      <c r="N148" s="9" t="n">
        <v>9</v>
      </c>
      <c r="O148" s="9" t="n">
        <v>3165.43</v>
      </c>
      <c r="P148" s="9" t="n">
        <v>0.1</v>
      </c>
      <c r="Q148" s="9" t="n">
        <v>25639.98</v>
      </c>
      <c r="R148" s="9" t="n">
        <v>21635.08</v>
      </c>
      <c r="S148" s="9" t="n">
        <v>4004.9</v>
      </c>
      <c r="T148" s="9" t="s">
        <v>56</v>
      </c>
      <c r="U148" s="9" t="s">
        <v>57</v>
      </c>
    </row>
    <row r="149" customFormat="false" ht="15" hidden="false" customHeight="false" outlineLevel="0" collapsed="false">
      <c r="A149" s="9" t="s">
        <v>858</v>
      </c>
      <c r="B149" s="9" t="s">
        <v>859</v>
      </c>
      <c r="C149" s="9" t="s">
        <v>860</v>
      </c>
      <c r="D149" s="9" t="s">
        <v>861</v>
      </c>
      <c r="E149" s="9" t="s">
        <v>165</v>
      </c>
      <c r="F149" s="9" t="s">
        <v>137</v>
      </c>
      <c r="G149" s="9" t="s">
        <v>95</v>
      </c>
      <c r="H149" s="9" t="s">
        <v>274</v>
      </c>
      <c r="I149" s="9" t="s">
        <v>275</v>
      </c>
      <c r="J149" s="9" t="s">
        <v>67</v>
      </c>
      <c r="K149" s="9" t="s">
        <v>87</v>
      </c>
      <c r="L149" s="9" t="s">
        <v>862</v>
      </c>
      <c r="M149" s="9" t="s">
        <v>78</v>
      </c>
      <c r="N149" s="9" t="n">
        <v>8</v>
      </c>
      <c r="O149" s="9" t="n">
        <v>386.1</v>
      </c>
      <c r="P149" s="9" t="n">
        <v>0.1</v>
      </c>
      <c r="Q149" s="9" t="n">
        <v>2779.92</v>
      </c>
      <c r="R149" s="9" t="n">
        <v>1744.05</v>
      </c>
      <c r="S149" s="9" t="n">
        <v>1035.87</v>
      </c>
      <c r="T149" s="9" t="s">
        <v>56</v>
      </c>
      <c r="U149" s="9" t="s">
        <v>57</v>
      </c>
    </row>
    <row r="150" customFormat="false" ht="15" hidden="false" customHeight="false" outlineLevel="0" collapsed="false">
      <c r="A150" s="9" t="s">
        <v>863</v>
      </c>
      <c r="B150" s="9" t="s">
        <v>864</v>
      </c>
      <c r="C150" s="9" t="s">
        <v>865</v>
      </c>
      <c r="D150" s="9" t="s">
        <v>866</v>
      </c>
      <c r="E150" s="9" t="s">
        <v>62</v>
      </c>
      <c r="F150" s="9" t="s">
        <v>137</v>
      </c>
      <c r="G150" s="9" t="s">
        <v>95</v>
      </c>
      <c r="H150" s="9" t="s">
        <v>106</v>
      </c>
      <c r="I150" s="9" t="s">
        <v>107</v>
      </c>
      <c r="J150" s="9" t="s">
        <v>108</v>
      </c>
      <c r="K150" s="9" t="s">
        <v>247</v>
      </c>
      <c r="L150" s="9" t="s">
        <v>867</v>
      </c>
      <c r="M150" s="9"/>
      <c r="N150" s="9" t="n">
        <v>8</v>
      </c>
      <c r="O150" s="9" t="n">
        <v>1696.07</v>
      </c>
      <c r="P150" s="9" t="n">
        <v>0.25</v>
      </c>
      <c r="Q150" s="9" t="n">
        <v>10176.42</v>
      </c>
      <c r="R150" s="9" t="n">
        <v>7604.47</v>
      </c>
      <c r="S150" s="9" t="n">
        <v>2571.95</v>
      </c>
      <c r="T150" s="9" t="s">
        <v>56</v>
      </c>
      <c r="U150" s="9" t="s">
        <v>57</v>
      </c>
    </row>
    <row r="151" customFormat="false" ht="15" hidden="false" customHeight="false" outlineLevel="0" collapsed="false">
      <c r="A151" s="9" t="s">
        <v>868</v>
      </c>
      <c r="B151" s="9" t="s">
        <v>869</v>
      </c>
      <c r="C151" s="9" t="s">
        <v>869</v>
      </c>
      <c r="D151" s="9" t="s">
        <v>870</v>
      </c>
      <c r="E151" s="9" t="s">
        <v>186</v>
      </c>
      <c r="F151" s="9" t="s">
        <v>63</v>
      </c>
      <c r="G151" s="9" t="s">
        <v>871</v>
      </c>
      <c r="H151" s="9" t="s">
        <v>50</v>
      </c>
      <c r="I151" s="9" t="s">
        <v>158</v>
      </c>
      <c r="J151" s="9" t="s">
        <v>108</v>
      </c>
      <c r="K151" s="9" t="s">
        <v>116</v>
      </c>
      <c r="L151" s="9" t="s">
        <v>872</v>
      </c>
      <c r="M151" s="9" t="s">
        <v>70</v>
      </c>
      <c r="N151" s="9" t="n">
        <v>7</v>
      </c>
      <c r="O151" s="9" t="n">
        <v>2527.61</v>
      </c>
      <c r="P151" s="9" t="n">
        <v>0.25</v>
      </c>
      <c r="Q151" s="9" t="n">
        <v>13269.95</v>
      </c>
      <c r="R151" s="9" t="n">
        <v>8977.1</v>
      </c>
      <c r="S151" s="9" t="n">
        <v>4292.85</v>
      </c>
      <c r="T151" s="9" t="s">
        <v>56</v>
      </c>
      <c r="U151" s="9" t="s">
        <v>57</v>
      </c>
    </row>
    <row r="152" customFormat="false" ht="15" hidden="false" customHeight="false" outlineLevel="0" collapsed="false">
      <c r="A152" s="9" t="s">
        <v>873</v>
      </c>
      <c r="B152" s="9" t="s">
        <v>874</v>
      </c>
      <c r="C152" s="9" t="s">
        <v>875</v>
      </c>
      <c r="D152" s="9" t="s">
        <v>876</v>
      </c>
      <c r="E152" s="9" t="s">
        <v>83</v>
      </c>
      <c r="F152" s="9" t="s">
        <v>48</v>
      </c>
      <c r="G152" s="9"/>
      <c r="H152" s="9" t="s">
        <v>260</v>
      </c>
      <c r="I152" s="9" t="s">
        <v>261</v>
      </c>
      <c r="J152" s="9" t="s">
        <v>67</v>
      </c>
      <c r="K152" s="9" t="s">
        <v>228</v>
      </c>
      <c r="L152" s="9" t="s">
        <v>877</v>
      </c>
      <c r="M152" s="9" t="s">
        <v>78</v>
      </c>
      <c r="N152" s="9" t="n">
        <v>1</v>
      </c>
      <c r="O152" s="9" t="n">
        <v>1554.12</v>
      </c>
      <c r="P152" s="9" t="n">
        <v>0.1</v>
      </c>
      <c r="Q152" s="9" t="n">
        <v>1398.71</v>
      </c>
      <c r="R152" s="9" t="n">
        <v>1056.92</v>
      </c>
      <c r="S152" s="9" t="n">
        <v>341.79</v>
      </c>
      <c r="T152" s="9" t="s">
        <v>56</v>
      </c>
      <c r="U152" s="9" t="s">
        <v>57</v>
      </c>
    </row>
    <row r="153" customFormat="false" ht="15" hidden="false" customHeight="false" outlineLevel="0" collapsed="false">
      <c r="A153" s="9" t="s">
        <v>878</v>
      </c>
      <c r="B153" s="9" t="s">
        <v>879</v>
      </c>
      <c r="C153" s="9" t="s">
        <v>880</v>
      </c>
      <c r="D153" s="9" t="s">
        <v>881</v>
      </c>
      <c r="E153" s="9" t="s">
        <v>115</v>
      </c>
      <c r="F153" s="9" t="s">
        <v>137</v>
      </c>
      <c r="G153" s="9"/>
      <c r="H153" s="9" t="s">
        <v>106</v>
      </c>
      <c r="I153" s="9" t="s">
        <v>107</v>
      </c>
      <c r="J153" s="9" t="s">
        <v>108</v>
      </c>
      <c r="K153" s="9" t="s">
        <v>116</v>
      </c>
      <c r="L153" s="9" t="s">
        <v>882</v>
      </c>
      <c r="M153" s="9" t="s">
        <v>89</v>
      </c>
      <c r="N153" s="9" t="n">
        <v>2</v>
      </c>
      <c r="O153" s="9" t="n">
        <v>3859.11</v>
      </c>
      <c r="P153" s="9" t="n">
        <v>0</v>
      </c>
      <c r="Q153" s="9" t="n">
        <v>7718.22</v>
      </c>
      <c r="R153" s="9" t="n">
        <v>5355.93</v>
      </c>
      <c r="S153" s="9" t="n">
        <v>2362.29</v>
      </c>
      <c r="T153" s="9" t="s">
        <v>160</v>
      </c>
      <c r="U153" s="9" t="s">
        <v>147</v>
      </c>
    </row>
    <row r="154" customFormat="false" ht="15" hidden="false" customHeight="false" outlineLevel="0" collapsed="false">
      <c r="A154" s="9" t="s">
        <v>883</v>
      </c>
      <c r="B154" s="9" t="s">
        <v>884</v>
      </c>
      <c r="C154" s="9" t="s">
        <v>885</v>
      </c>
      <c r="D154" s="9" t="s">
        <v>886</v>
      </c>
      <c r="E154" s="9" t="s">
        <v>393</v>
      </c>
      <c r="F154" s="9" t="s">
        <v>63</v>
      </c>
      <c r="G154" s="9" t="s">
        <v>84</v>
      </c>
      <c r="H154" s="9" t="s">
        <v>267</v>
      </c>
      <c r="I154" s="9" t="s">
        <v>268</v>
      </c>
      <c r="J154" s="9" t="s">
        <v>67</v>
      </c>
      <c r="K154" s="9" t="s">
        <v>68</v>
      </c>
      <c r="L154" s="9" t="s">
        <v>887</v>
      </c>
      <c r="M154" s="9" t="s">
        <v>55</v>
      </c>
      <c r="N154" s="9" t="n">
        <v>6</v>
      </c>
      <c r="O154" s="9" t="n">
        <v>1088.04</v>
      </c>
      <c r="P154" s="9" t="n">
        <v>0.1</v>
      </c>
      <c r="Q154" s="9" t="n">
        <v>5875.42</v>
      </c>
      <c r="R154" s="9" t="n">
        <v>4380.55</v>
      </c>
      <c r="S154" s="9" t="n">
        <v>1494.87</v>
      </c>
      <c r="T154" s="9" t="s">
        <v>160</v>
      </c>
      <c r="U154" s="9" t="s">
        <v>147</v>
      </c>
    </row>
    <row r="155" customFormat="false" ht="15" hidden="false" customHeight="false" outlineLevel="0" collapsed="false">
      <c r="A155" s="9" t="s">
        <v>888</v>
      </c>
      <c r="B155" s="9" t="s">
        <v>889</v>
      </c>
      <c r="C155" s="9" t="s">
        <v>890</v>
      </c>
      <c r="D155" s="9" t="s">
        <v>891</v>
      </c>
      <c r="E155" s="9" t="s">
        <v>129</v>
      </c>
      <c r="F155" s="9" t="s">
        <v>48</v>
      </c>
      <c r="G155" s="9" t="s">
        <v>64</v>
      </c>
      <c r="H155" s="9" t="s">
        <v>65</v>
      </c>
      <c r="I155" s="9" t="s">
        <v>66</v>
      </c>
      <c r="J155" s="9" t="s">
        <v>52</v>
      </c>
      <c r="K155" s="9" t="s">
        <v>131</v>
      </c>
      <c r="L155" s="9" t="s">
        <v>892</v>
      </c>
      <c r="M155" s="9" t="s">
        <v>89</v>
      </c>
      <c r="N155" s="9" t="n">
        <v>7</v>
      </c>
      <c r="O155" s="9" t="n">
        <v>3280.31</v>
      </c>
      <c r="P155" s="9" t="n">
        <v>0</v>
      </c>
      <c r="Q155" s="9" t="n">
        <v>22962.17</v>
      </c>
      <c r="R155" s="9" t="n">
        <v>15716.5</v>
      </c>
      <c r="S155" s="9" t="n">
        <v>7245.67</v>
      </c>
      <c r="T155" s="9" t="s">
        <v>146</v>
      </c>
      <c r="U155" s="9" t="s">
        <v>147</v>
      </c>
    </row>
    <row r="156" customFormat="false" ht="15" hidden="false" customHeight="false" outlineLevel="0" collapsed="false">
      <c r="A156" s="9" t="s">
        <v>893</v>
      </c>
      <c r="B156" s="9" t="s">
        <v>894</v>
      </c>
      <c r="C156" s="9" t="s">
        <v>895</v>
      </c>
      <c r="D156" s="9" t="s">
        <v>701</v>
      </c>
      <c r="E156" s="9" t="s">
        <v>165</v>
      </c>
      <c r="F156" s="9" t="s">
        <v>48</v>
      </c>
      <c r="G156" s="9" t="s">
        <v>84</v>
      </c>
      <c r="H156" s="9" t="s">
        <v>364</v>
      </c>
      <c r="I156" s="9" t="s">
        <v>365</v>
      </c>
      <c r="J156" s="9" t="s">
        <v>67</v>
      </c>
      <c r="K156" s="9" t="s">
        <v>228</v>
      </c>
      <c r="L156" s="9" t="s">
        <v>896</v>
      </c>
      <c r="M156" s="9" t="s">
        <v>70</v>
      </c>
      <c r="N156" s="9" t="n">
        <v>1</v>
      </c>
      <c r="O156" s="9" t="n">
        <v>2599.12</v>
      </c>
      <c r="P156" s="9" t="n">
        <v>0.15</v>
      </c>
      <c r="Q156" s="9" t="n">
        <v>2209.25</v>
      </c>
      <c r="R156" s="9" t="n">
        <v>1523.78</v>
      </c>
      <c r="S156" s="9" t="n">
        <v>685.47</v>
      </c>
      <c r="T156" s="9" t="s">
        <v>56</v>
      </c>
      <c r="U156" s="9" t="s">
        <v>57</v>
      </c>
    </row>
    <row r="157" customFormat="false" ht="15" hidden="false" customHeight="false" outlineLevel="0" collapsed="false">
      <c r="A157" s="9" t="s">
        <v>897</v>
      </c>
      <c r="B157" s="9" t="s">
        <v>589</v>
      </c>
      <c r="C157" s="9" t="s">
        <v>467</v>
      </c>
      <c r="D157" s="9" t="s">
        <v>898</v>
      </c>
      <c r="E157" s="9" t="s">
        <v>47</v>
      </c>
      <c r="F157" s="9" t="s">
        <v>130</v>
      </c>
      <c r="G157" s="9" t="s">
        <v>95</v>
      </c>
      <c r="H157" s="9" t="s">
        <v>50</v>
      </c>
      <c r="I157" s="9" t="s">
        <v>158</v>
      </c>
      <c r="J157" s="9" t="s">
        <v>67</v>
      </c>
      <c r="K157" s="9" t="s">
        <v>87</v>
      </c>
      <c r="L157" s="9" t="s">
        <v>899</v>
      </c>
      <c r="M157" s="9" t="s">
        <v>70</v>
      </c>
      <c r="N157" s="9" t="n">
        <v>3</v>
      </c>
      <c r="O157" s="9" t="n">
        <v>2859.32</v>
      </c>
      <c r="P157" s="9" t="n">
        <v>0.1</v>
      </c>
      <c r="Q157" s="9" t="n">
        <v>7720.16</v>
      </c>
      <c r="R157" s="9" t="n">
        <v>5881</v>
      </c>
      <c r="S157" s="9" t="n">
        <v>1839.16</v>
      </c>
      <c r="T157" s="9" t="s">
        <v>146</v>
      </c>
      <c r="U157" s="9" t="s">
        <v>147</v>
      </c>
    </row>
    <row r="158" customFormat="false" ht="15" hidden="false" customHeight="false" outlineLevel="0" collapsed="false">
      <c r="A158" s="9" t="s">
        <v>900</v>
      </c>
      <c r="B158" s="9" t="s">
        <v>901</v>
      </c>
      <c r="C158" s="9" t="s">
        <v>902</v>
      </c>
      <c r="D158" s="9" t="s">
        <v>903</v>
      </c>
      <c r="E158" s="9" t="s">
        <v>105</v>
      </c>
      <c r="F158" s="9" t="s">
        <v>63</v>
      </c>
      <c r="G158" s="9" t="s">
        <v>64</v>
      </c>
      <c r="H158" s="9" t="s">
        <v>210</v>
      </c>
      <c r="I158" s="9" t="s">
        <v>211</v>
      </c>
      <c r="J158" s="9" t="s">
        <v>108</v>
      </c>
      <c r="K158" s="9" t="s">
        <v>409</v>
      </c>
      <c r="L158" s="9" t="s">
        <v>904</v>
      </c>
      <c r="M158" s="9" t="s">
        <v>55</v>
      </c>
      <c r="N158" s="9" t="n">
        <v>7</v>
      </c>
      <c r="O158" s="9" t="n">
        <v>2305.37</v>
      </c>
      <c r="P158" s="9" t="n">
        <v>0.25</v>
      </c>
      <c r="Q158" s="9" t="n">
        <v>12103.19</v>
      </c>
      <c r="R158" s="9" t="n">
        <v>6717.87</v>
      </c>
      <c r="S158" s="9" t="n">
        <v>5385.32</v>
      </c>
      <c r="T158" s="9" t="s">
        <v>56</v>
      </c>
      <c r="U158" s="9" t="s">
        <v>751</v>
      </c>
    </row>
    <row r="159" customFormat="false" ht="15" hidden="false" customHeight="false" outlineLevel="0" collapsed="false">
      <c r="A159" s="9" t="s">
        <v>905</v>
      </c>
      <c r="B159" s="9" t="s">
        <v>906</v>
      </c>
      <c r="C159" s="9" t="s">
        <v>907</v>
      </c>
      <c r="D159" s="9" t="s">
        <v>908</v>
      </c>
      <c r="E159" s="9" t="s">
        <v>204</v>
      </c>
      <c r="F159" s="9" t="s">
        <v>63</v>
      </c>
      <c r="G159" s="9" t="s">
        <v>84</v>
      </c>
      <c r="H159" s="9" t="s">
        <v>122</v>
      </c>
      <c r="I159" s="9" t="s">
        <v>123</v>
      </c>
      <c r="J159" s="9" t="s">
        <v>67</v>
      </c>
      <c r="K159" s="9" t="s">
        <v>228</v>
      </c>
      <c r="L159" s="9" t="s">
        <v>909</v>
      </c>
      <c r="M159" s="9" t="s">
        <v>89</v>
      </c>
      <c r="N159" s="9" t="n">
        <v>3</v>
      </c>
      <c r="O159" s="9" t="n">
        <v>915.84</v>
      </c>
      <c r="P159" s="9" t="n">
        <v>0.15</v>
      </c>
      <c r="Q159" s="9" t="n">
        <v>2335.39</v>
      </c>
      <c r="R159" s="9" t="n">
        <v>1466.15</v>
      </c>
      <c r="S159" s="9" t="n">
        <v>869.24</v>
      </c>
      <c r="T159" s="9" t="s">
        <v>56</v>
      </c>
      <c r="U159" s="9" t="s">
        <v>57</v>
      </c>
    </row>
    <row r="160" customFormat="false" ht="15" hidden="false" customHeight="false" outlineLevel="0" collapsed="false">
      <c r="A160" s="9" t="s">
        <v>910</v>
      </c>
      <c r="B160" s="9" t="s">
        <v>911</v>
      </c>
      <c r="C160" s="9" t="s">
        <v>912</v>
      </c>
      <c r="D160" s="9" t="s">
        <v>913</v>
      </c>
      <c r="E160" s="9" t="s">
        <v>115</v>
      </c>
      <c r="F160" s="9" t="s">
        <v>137</v>
      </c>
      <c r="G160" s="9" t="s">
        <v>84</v>
      </c>
      <c r="H160" s="9" t="s">
        <v>85</v>
      </c>
      <c r="I160" s="9" t="s">
        <v>86</v>
      </c>
      <c r="J160" s="9" t="s">
        <v>67</v>
      </c>
      <c r="K160" s="9" t="s">
        <v>228</v>
      </c>
      <c r="L160" s="9" t="s">
        <v>914</v>
      </c>
      <c r="M160" s="9" t="s">
        <v>78</v>
      </c>
      <c r="N160" s="9" t="n">
        <v>1</v>
      </c>
      <c r="O160" s="9" t="n">
        <v>4199.54</v>
      </c>
      <c r="P160" s="9" t="n">
        <v>0.05</v>
      </c>
      <c r="Q160" s="9" t="n">
        <v>3989.56</v>
      </c>
      <c r="R160" s="9" t="n">
        <v>2381.38</v>
      </c>
      <c r="S160" s="9" t="n">
        <v>1608.18</v>
      </c>
      <c r="T160" s="9" t="s">
        <v>56</v>
      </c>
      <c r="U160" s="9" t="s">
        <v>57</v>
      </c>
    </row>
    <row r="161" customFormat="false" ht="15" hidden="false" customHeight="false" outlineLevel="0" collapsed="false">
      <c r="A161" s="9" t="s">
        <v>915</v>
      </c>
      <c r="B161" s="9" t="s">
        <v>916</v>
      </c>
      <c r="C161" s="9" t="s">
        <v>917</v>
      </c>
      <c r="D161" s="9" t="s">
        <v>918</v>
      </c>
      <c r="E161" s="9" t="s">
        <v>165</v>
      </c>
      <c r="F161" s="9" t="s">
        <v>130</v>
      </c>
      <c r="G161" s="9" t="s">
        <v>177</v>
      </c>
      <c r="H161" s="9" t="s">
        <v>348</v>
      </c>
      <c r="I161" s="9" t="s">
        <v>349</v>
      </c>
      <c r="J161" s="9" t="s">
        <v>67</v>
      </c>
      <c r="K161" s="9" t="s">
        <v>98</v>
      </c>
      <c r="L161" s="9" t="s">
        <v>919</v>
      </c>
      <c r="M161" s="9" t="s">
        <v>70</v>
      </c>
      <c r="N161" s="9" t="n">
        <v>9</v>
      </c>
      <c r="O161" s="9" t="n">
        <v>4430.5</v>
      </c>
      <c r="P161" s="9" t="n">
        <v>0.15</v>
      </c>
      <c r="Q161" s="9" t="n">
        <v>33893.32</v>
      </c>
      <c r="R161" s="9" t="n">
        <v>25750.35</v>
      </c>
      <c r="S161" s="9" t="n">
        <v>8142.97</v>
      </c>
      <c r="T161" s="9" t="s">
        <v>160</v>
      </c>
      <c r="U161" s="9" t="s">
        <v>100</v>
      </c>
    </row>
    <row r="162" customFormat="false" ht="15" hidden="false" customHeight="false" outlineLevel="0" collapsed="false">
      <c r="A162" s="9" t="s">
        <v>920</v>
      </c>
      <c r="B162" s="9" t="s">
        <v>921</v>
      </c>
      <c r="C162" s="9" t="s">
        <v>922</v>
      </c>
      <c r="D162" s="9" t="s">
        <v>923</v>
      </c>
      <c r="E162" s="9" t="s">
        <v>105</v>
      </c>
      <c r="F162" s="9" t="s">
        <v>63</v>
      </c>
      <c r="G162" s="9" t="s">
        <v>95</v>
      </c>
      <c r="H162" s="9" t="s">
        <v>96</v>
      </c>
      <c r="I162" s="9" t="s">
        <v>97</v>
      </c>
      <c r="J162" s="9" t="s">
        <v>52</v>
      </c>
      <c r="K162" s="9" t="s">
        <v>53</v>
      </c>
      <c r="L162" s="9" t="s">
        <v>924</v>
      </c>
      <c r="M162" s="9" t="s">
        <v>55</v>
      </c>
      <c r="N162" s="9" t="n">
        <v>4</v>
      </c>
      <c r="O162" s="9" t="n">
        <v>1260.42</v>
      </c>
      <c r="P162" s="9" t="n">
        <v>0.05</v>
      </c>
      <c r="Q162" s="9" t="n">
        <v>4789.6</v>
      </c>
      <c r="R162" s="9" t="n">
        <v>4037.64</v>
      </c>
      <c r="S162" s="9" t="n">
        <v>751.96</v>
      </c>
      <c r="T162" s="9" t="s">
        <v>160</v>
      </c>
      <c r="U162" s="9" t="s">
        <v>100</v>
      </c>
    </row>
    <row r="163" customFormat="false" ht="15" hidden="false" customHeight="false" outlineLevel="0" collapsed="false">
      <c r="A163" s="9" t="s">
        <v>925</v>
      </c>
      <c r="B163" s="9" t="s">
        <v>926</v>
      </c>
      <c r="C163" s="9" t="s">
        <v>927</v>
      </c>
      <c r="D163" s="9" t="s">
        <v>928</v>
      </c>
      <c r="E163" s="9" t="s">
        <v>83</v>
      </c>
      <c r="F163" s="9" t="s">
        <v>929</v>
      </c>
      <c r="G163" s="9" t="s">
        <v>95</v>
      </c>
      <c r="H163" s="9" t="s">
        <v>50</v>
      </c>
      <c r="I163" s="9" t="s">
        <v>158</v>
      </c>
      <c r="J163" s="9" t="s">
        <v>52</v>
      </c>
      <c r="K163" s="9" t="s">
        <v>222</v>
      </c>
      <c r="L163" s="9" t="s">
        <v>930</v>
      </c>
      <c r="M163" s="9" t="s">
        <v>89</v>
      </c>
      <c r="N163" s="9" t="n">
        <v>1</v>
      </c>
      <c r="O163" s="9" t="n">
        <v>1643.41</v>
      </c>
      <c r="P163" s="9" t="n">
        <v>0</v>
      </c>
      <c r="Q163" s="9" t="n">
        <v>1643.41</v>
      </c>
      <c r="R163" s="9" t="n">
        <v>907.4</v>
      </c>
      <c r="S163" s="9" t="n">
        <v>736.01</v>
      </c>
      <c r="T163" s="9" t="s">
        <v>160</v>
      </c>
      <c r="U163" s="9" t="s">
        <v>100</v>
      </c>
    </row>
    <row r="164" customFormat="false" ht="15" hidden="false" customHeight="false" outlineLevel="0" collapsed="false">
      <c r="A164" s="9" t="s">
        <v>931</v>
      </c>
      <c r="B164" s="9" t="s">
        <v>932</v>
      </c>
      <c r="C164" s="9" t="s">
        <v>933</v>
      </c>
      <c r="D164" s="9" t="s">
        <v>934</v>
      </c>
      <c r="E164" s="9" t="s">
        <v>115</v>
      </c>
      <c r="F164" s="9" t="s">
        <v>63</v>
      </c>
      <c r="G164" s="9" t="s">
        <v>95</v>
      </c>
      <c r="H164" s="9" t="s">
        <v>274</v>
      </c>
      <c r="I164" s="9" t="s">
        <v>275</v>
      </c>
      <c r="J164" s="9" t="s">
        <v>67</v>
      </c>
      <c r="K164" s="9" t="s">
        <v>87</v>
      </c>
      <c r="L164" s="9" t="s">
        <v>935</v>
      </c>
      <c r="M164" s="9" t="s">
        <v>55</v>
      </c>
      <c r="N164" s="9" t="n">
        <v>8</v>
      </c>
      <c r="O164" s="9" t="n">
        <v>4472.84</v>
      </c>
      <c r="P164" s="9" t="n">
        <v>0</v>
      </c>
      <c r="Q164" s="9" t="n">
        <v>35997.62</v>
      </c>
      <c r="R164" s="9" t="n">
        <v>26424.41</v>
      </c>
      <c r="S164" s="9" t="n">
        <v>9358.31</v>
      </c>
      <c r="T164" s="9" t="s">
        <v>160</v>
      </c>
      <c r="U164" s="9" t="s">
        <v>147</v>
      </c>
    </row>
    <row r="165" customFormat="false" ht="15" hidden="false" customHeight="false" outlineLevel="0" collapsed="false">
      <c r="A165" s="9" t="s">
        <v>936</v>
      </c>
      <c r="B165" s="9" t="s">
        <v>937</v>
      </c>
      <c r="C165" s="9" t="s">
        <v>759</v>
      </c>
      <c r="D165" s="9" t="s">
        <v>938</v>
      </c>
      <c r="E165" s="9" t="s">
        <v>204</v>
      </c>
      <c r="F165" s="9" t="s">
        <v>137</v>
      </c>
      <c r="G165" s="9" t="s">
        <v>95</v>
      </c>
      <c r="H165" s="9" t="s">
        <v>260</v>
      </c>
      <c r="I165" s="9" t="s">
        <v>261</v>
      </c>
      <c r="J165" s="9" t="s">
        <v>67</v>
      </c>
      <c r="K165" s="9" t="s">
        <v>68</v>
      </c>
      <c r="L165" s="9" t="s">
        <v>939</v>
      </c>
      <c r="M165" s="9"/>
      <c r="N165" s="9" t="n">
        <v>6</v>
      </c>
      <c r="O165" s="9" t="n">
        <v>2903.58</v>
      </c>
      <c r="P165" s="9" t="n">
        <v>0.1</v>
      </c>
      <c r="Q165" s="9" t="n">
        <v>15679.33</v>
      </c>
      <c r="R165" s="9" t="n">
        <v>12477.82</v>
      </c>
      <c r="S165" s="9" t="n">
        <v>3201.51</v>
      </c>
      <c r="T165" s="9" t="s">
        <v>160</v>
      </c>
      <c r="U165" s="9" t="s">
        <v>147</v>
      </c>
    </row>
    <row r="166" customFormat="false" ht="15" hidden="false" customHeight="false" outlineLevel="0" collapsed="false">
      <c r="A166" s="9" t="s">
        <v>940</v>
      </c>
      <c r="B166" s="9" t="s">
        <v>941</v>
      </c>
      <c r="C166" s="9" t="s">
        <v>942</v>
      </c>
      <c r="D166" s="9" t="s">
        <v>943</v>
      </c>
      <c r="E166" s="9" t="s">
        <v>171</v>
      </c>
      <c r="F166" s="9" t="s">
        <v>63</v>
      </c>
      <c r="G166" s="9" t="s">
        <v>64</v>
      </c>
      <c r="H166" s="9" t="s">
        <v>143</v>
      </c>
      <c r="I166" s="9" t="s">
        <v>144</v>
      </c>
      <c r="J166" s="9" t="s">
        <v>67</v>
      </c>
      <c r="K166" s="9" t="s">
        <v>228</v>
      </c>
      <c r="L166" s="9" t="s">
        <v>944</v>
      </c>
      <c r="M166" s="9" t="s">
        <v>55</v>
      </c>
      <c r="N166" s="9" t="n">
        <v>1</v>
      </c>
      <c r="O166" s="9" t="n">
        <v>3154.42</v>
      </c>
      <c r="P166" s="9" t="n">
        <v>0.25</v>
      </c>
      <c r="Q166" s="9" t="n">
        <v>2365.82</v>
      </c>
      <c r="R166" s="9" t="n">
        <v>1547.99</v>
      </c>
      <c r="S166" s="9" t="n">
        <v>817.83</v>
      </c>
      <c r="T166" s="9" t="s">
        <v>56</v>
      </c>
      <c r="U166" s="9" t="s">
        <v>57</v>
      </c>
    </row>
    <row r="167" customFormat="false" ht="15" hidden="false" customHeight="false" outlineLevel="0" collapsed="false">
      <c r="A167" s="9" t="s">
        <v>945</v>
      </c>
      <c r="B167" s="9" t="s">
        <v>946</v>
      </c>
      <c r="C167" s="9" t="s">
        <v>947</v>
      </c>
      <c r="D167" s="9" t="s">
        <v>948</v>
      </c>
      <c r="E167" s="9" t="s">
        <v>62</v>
      </c>
      <c r="F167" s="9" t="s">
        <v>137</v>
      </c>
      <c r="G167" s="9" t="s">
        <v>64</v>
      </c>
      <c r="H167" s="9" t="s">
        <v>210</v>
      </c>
      <c r="I167" s="9" t="s">
        <v>211</v>
      </c>
      <c r="J167" s="9" t="s">
        <v>67</v>
      </c>
      <c r="K167" s="9" t="s">
        <v>98</v>
      </c>
      <c r="L167" s="9" t="s">
        <v>949</v>
      </c>
      <c r="M167" s="9" t="s">
        <v>89</v>
      </c>
      <c r="N167" s="9" t="n">
        <v>4</v>
      </c>
      <c r="O167" s="9" t="n">
        <v>3422.99</v>
      </c>
      <c r="P167" s="9" t="n">
        <v>0.25</v>
      </c>
      <c r="Q167" s="9" t="n">
        <v>10268.97</v>
      </c>
      <c r="R167" s="9" t="n">
        <v>6470.92</v>
      </c>
      <c r="S167" s="9" t="n">
        <v>3798.05</v>
      </c>
      <c r="T167" s="9" t="s">
        <v>56</v>
      </c>
      <c r="U167" s="9" t="s">
        <v>57</v>
      </c>
    </row>
    <row r="168" customFormat="false" ht="15" hidden="false" customHeight="false" outlineLevel="0" collapsed="false">
      <c r="A168" s="9" t="s">
        <v>950</v>
      </c>
      <c r="B168" s="9" t="s">
        <v>951</v>
      </c>
      <c r="C168" s="9" t="s">
        <v>120</v>
      </c>
      <c r="D168" s="9" t="s">
        <v>952</v>
      </c>
      <c r="E168" s="9" t="s">
        <v>47</v>
      </c>
      <c r="F168" s="9" t="s">
        <v>63</v>
      </c>
      <c r="G168" s="9" t="s">
        <v>95</v>
      </c>
      <c r="H168" s="9" t="s">
        <v>260</v>
      </c>
      <c r="I168" s="9" t="s">
        <v>261</v>
      </c>
      <c r="J168" s="9" t="s">
        <v>953</v>
      </c>
      <c r="K168" s="9" t="s">
        <v>131</v>
      </c>
      <c r="L168" s="9" t="s">
        <v>954</v>
      </c>
      <c r="M168" s="9" t="s">
        <v>78</v>
      </c>
      <c r="N168" s="9" t="n">
        <v>1</v>
      </c>
      <c r="O168" s="9" t="n">
        <v>2557.85</v>
      </c>
      <c r="P168" s="9" t="n">
        <v>0.2</v>
      </c>
      <c r="Q168" s="9" t="n">
        <v>2046.28</v>
      </c>
      <c r="R168" s="9" t="n">
        <v>1449.54</v>
      </c>
      <c r="S168" s="9" t="n">
        <v>596.74</v>
      </c>
      <c r="T168" s="9" t="s">
        <v>56</v>
      </c>
      <c r="U168" s="9" t="s">
        <v>57</v>
      </c>
    </row>
    <row r="169" customFormat="false" ht="15" hidden="false" customHeight="false" outlineLevel="0" collapsed="false">
      <c r="A169" s="9" t="s">
        <v>955</v>
      </c>
      <c r="B169" s="9" t="s">
        <v>956</v>
      </c>
      <c r="C169" s="9" t="s">
        <v>957</v>
      </c>
      <c r="D169" s="9" t="s">
        <v>958</v>
      </c>
      <c r="E169" s="9" t="s">
        <v>83</v>
      </c>
      <c r="F169" s="9" t="s">
        <v>137</v>
      </c>
      <c r="G169" s="9" t="s">
        <v>84</v>
      </c>
      <c r="H169" s="9" t="s">
        <v>254</v>
      </c>
      <c r="I169" s="9" t="s">
        <v>255</v>
      </c>
      <c r="J169" s="9" t="s">
        <v>52</v>
      </c>
      <c r="K169" s="9" t="s">
        <v>180</v>
      </c>
      <c r="L169" s="9" t="s">
        <v>959</v>
      </c>
      <c r="M169" s="9" t="s">
        <v>78</v>
      </c>
      <c r="N169" s="9" t="n">
        <v>9</v>
      </c>
      <c r="O169" s="9" t="n">
        <v>3030.93</v>
      </c>
      <c r="P169" s="9" t="n">
        <v>0.15</v>
      </c>
      <c r="Q169" s="9" t="n">
        <v>23186.61</v>
      </c>
      <c r="R169" s="9" t="n">
        <v>17906.54</v>
      </c>
      <c r="S169" s="9" t="n">
        <v>5280.07</v>
      </c>
      <c r="T169" s="9" t="s">
        <v>56</v>
      </c>
      <c r="U169" s="9" t="s">
        <v>147</v>
      </c>
    </row>
    <row r="170" customFormat="false" ht="15" hidden="false" customHeight="false" outlineLevel="0" collapsed="false">
      <c r="A170" s="9" t="s">
        <v>960</v>
      </c>
      <c r="B170" s="9" t="s">
        <v>961</v>
      </c>
      <c r="C170" s="9" t="s">
        <v>208</v>
      </c>
      <c r="D170" s="9" t="s">
        <v>962</v>
      </c>
      <c r="E170" s="9" t="s">
        <v>393</v>
      </c>
      <c r="F170" s="9" t="s">
        <v>48</v>
      </c>
      <c r="G170" s="9" t="s">
        <v>95</v>
      </c>
      <c r="H170" s="9" t="s">
        <v>96</v>
      </c>
      <c r="I170" s="9" t="s">
        <v>97</v>
      </c>
      <c r="J170" s="9" t="s">
        <v>108</v>
      </c>
      <c r="K170" s="9" t="s">
        <v>109</v>
      </c>
      <c r="L170" s="9" t="s">
        <v>963</v>
      </c>
      <c r="M170" s="9" t="s">
        <v>70</v>
      </c>
      <c r="N170" s="9" t="n">
        <v>5</v>
      </c>
      <c r="O170" s="9" t="n">
        <v>639.27</v>
      </c>
      <c r="P170" s="9" t="n">
        <v>0.2</v>
      </c>
      <c r="Q170" s="9" t="n">
        <v>2557.08</v>
      </c>
      <c r="R170" s="9" t="n">
        <v>2025.69</v>
      </c>
      <c r="S170" s="9" t="n">
        <v>531.39</v>
      </c>
      <c r="T170" s="9" t="s">
        <v>56</v>
      </c>
      <c r="U170" s="9" t="s">
        <v>100</v>
      </c>
    </row>
    <row r="171" customFormat="false" ht="15" hidden="false" customHeight="false" outlineLevel="0" collapsed="false">
      <c r="A171" s="9" t="s">
        <v>964</v>
      </c>
      <c r="B171" s="9" t="s">
        <v>965</v>
      </c>
      <c r="C171" s="9" t="s">
        <v>966</v>
      </c>
      <c r="D171" s="9" t="s">
        <v>967</v>
      </c>
      <c r="E171" s="9" t="s">
        <v>234</v>
      </c>
      <c r="F171" s="9" t="s">
        <v>48</v>
      </c>
      <c r="G171" s="9" t="s">
        <v>64</v>
      </c>
      <c r="H171" s="9" t="s">
        <v>240</v>
      </c>
      <c r="I171" s="9" t="s">
        <v>241</v>
      </c>
      <c r="J171" s="9" t="s">
        <v>52</v>
      </c>
      <c r="K171" s="9" t="s">
        <v>76</v>
      </c>
      <c r="L171" s="9" t="s">
        <v>968</v>
      </c>
      <c r="M171" s="9" t="s">
        <v>89</v>
      </c>
      <c r="N171" s="9" t="n">
        <v>8</v>
      </c>
      <c r="O171" s="9" t="n">
        <v>733.9</v>
      </c>
      <c r="P171" s="9" t="n">
        <v>0.05</v>
      </c>
      <c r="Q171" s="9" t="n">
        <v>5577.64</v>
      </c>
      <c r="R171" s="9" t="n">
        <v>3541.29</v>
      </c>
      <c r="S171" s="9" t="n">
        <v>2036.35</v>
      </c>
      <c r="T171" s="9" t="s">
        <v>160</v>
      </c>
      <c r="U171" s="9" t="s">
        <v>147</v>
      </c>
    </row>
    <row r="172" customFormat="false" ht="15" hidden="false" customHeight="false" outlineLevel="0" collapsed="false">
      <c r="A172" s="9" t="s">
        <v>969</v>
      </c>
      <c r="B172" s="9" t="s">
        <v>134</v>
      </c>
      <c r="C172" s="9" t="s">
        <v>970</v>
      </c>
      <c r="D172" s="9" t="s">
        <v>971</v>
      </c>
      <c r="E172" s="9" t="s">
        <v>204</v>
      </c>
      <c r="F172" s="9" t="s">
        <v>130</v>
      </c>
      <c r="G172" s="9" t="s">
        <v>64</v>
      </c>
      <c r="H172" s="9" t="s">
        <v>210</v>
      </c>
      <c r="I172" s="9" t="s">
        <v>211</v>
      </c>
      <c r="J172" s="9" t="s">
        <v>108</v>
      </c>
      <c r="K172" s="9" t="s">
        <v>116</v>
      </c>
      <c r="L172" s="9" t="s">
        <v>972</v>
      </c>
      <c r="M172" s="9" t="s">
        <v>89</v>
      </c>
      <c r="N172" s="9" t="n">
        <v>3</v>
      </c>
      <c r="O172" s="9" t="n">
        <v>1711.32</v>
      </c>
      <c r="P172" s="9" t="n">
        <v>0</v>
      </c>
      <c r="Q172" s="9" t="n">
        <v>5133.96</v>
      </c>
      <c r="R172" s="9" t="n">
        <v>3930</v>
      </c>
      <c r="S172" s="9" t="n">
        <v>1203.96</v>
      </c>
      <c r="T172" s="9" t="s">
        <v>56</v>
      </c>
      <c r="U172" s="9" t="s">
        <v>57</v>
      </c>
    </row>
    <row r="173" customFormat="false" ht="15" hidden="false" customHeight="false" outlineLevel="0" collapsed="false">
      <c r="A173" s="9" t="s">
        <v>973</v>
      </c>
      <c r="B173" s="9" t="s">
        <v>119</v>
      </c>
      <c r="C173" s="9" t="s">
        <v>974</v>
      </c>
      <c r="D173" s="9" t="s">
        <v>975</v>
      </c>
      <c r="E173" s="9" t="s">
        <v>47</v>
      </c>
      <c r="F173" s="9" t="s">
        <v>130</v>
      </c>
      <c r="G173" s="9" t="s">
        <v>64</v>
      </c>
      <c r="H173" s="9" t="s">
        <v>210</v>
      </c>
      <c r="I173" s="9" t="s">
        <v>211</v>
      </c>
      <c r="J173" s="9" t="s">
        <v>52</v>
      </c>
      <c r="K173" s="9" t="s">
        <v>131</v>
      </c>
      <c r="L173" s="9" t="s">
        <v>976</v>
      </c>
      <c r="M173" s="9" t="s">
        <v>70</v>
      </c>
      <c r="N173" s="9" t="n">
        <v>5</v>
      </c>
      <c r="O173" s="9" t="n">
        <v>4246.27</v>
      </c>
      <c r="P173" s="9" t="n">
        <v>0.25</v>
      </c>
      <c r="Q173" s="9" t="n">
        <v>15923.51</v>
      </c>
      <c r="R173" s="9" t="n">
        <v>11291.8</v>
      </c>
      <c r="S173" s="9" t="n">
        <v>4631.71</v>
      </c>
      <c r="T173" s="9" t="s">
        <v>56</v>
      </c>
      <c r="U173" s="9" t="s">
        <v>57</v>
      </c>
    </row>
    <row r="174" customFormat="false" ht="15" hidden="false" customHeight="false" outlineLevel="0" collapsed="false">
      <c r="A174" s="9" t="s">
        <v>977</v>
      </c>
      <c r="B174" s="9" t="s">
        <v>978</v>
      </c>
      <c r="C174" s="9" t="s">
        <v>979</v>
      </c>
      <c r="D174" s="9" t="s">
        <v>980</v>
      </c>
      <c r="E174" s="9" t="s">
        <v>47</v>
      </c>
      <c r="F174" s="9" t="s">
        <v>130</v>
      </c>
      <c r="G174" s="9" t="s">
        <v>177</v>
      </c>
      <c r="H174" s="9" t="s">
        <v>535</v>
      </c>
      <c r="I174" s="9" t="s">
        <v>536</v>
      </c>
      <c r="J174" s="9" t="s">
        <v>67</v>
      </c>
      <c r="K174" s="9" t="s">
        <v>87</v>
      </c>
      <c r="L174" s="9" t="s">
        <v>981</v>
      </c>
      <c r="M174" s="9" t="s">
        <v>70</v>
      </c>
      <c r="N174" s="9" t="n">
        <v>9</v>
      </c>
      <c r="O174" s="9" t="n">
        <v>2962.62</v>
      </c>
      <c r="P174" s="9" t="n">
        <v>0.1</v>
      </c>
      <c r="Q174" s="9" t="n">
        <v>23997.22</v>
      </c>
      <c r="R174" s="9" t="n">
        <v>16134.63</v>
      </c>
      <c r="S174" s="9" t="n">
        <v>7862.59</v>
      </c>
      <c r="T174" s="9" t="s">
        <v>146</v>
      </c>
      <c r="U174" s="9" t="s">
        <v>147</v>
      </c>
    </row>
    <row r="175" customFormat="false" ht="15" hidden="false" customHeight="false" outlineLevel="0" collapsed="false">
      <c r="A175" s="9" t="s">
        <v>982</v>
      </c>
      <c r="B175" s="9" t="s">
        <v>983</v>
      </c>
      <c r="C175" s="9" t="s">
        <v>984</v>
      </c>
      <c r="D175" s="9" t="s">
        <v>985</v>
      </c>
      <c r="E175" s="9" t="s">
        <v>986</v>
      </c>
      <c r="F175" s="9" t="s">
        <v>137</v>
      </c>
      <c r="G175" s="9" t="s">
        <v>177</v>
      </c>
      <c r="H175" s="9" t="s">
        <v>178</v>
      </c>
      <c r="I175" s="9" t="s">
        <v>179</v>
      </c>
      <c r="J175" s="9" t="s">
        <v>108</v>
      </c>
      <c r="K175" s="9" t="s">
        <v>116</v>
      </c>
      <c r="L175" s="9" t="s">
        <v>987</v>
      </c>
      <c r="M175" s="9" t="s">
        <v>55</v>
      </c>
      <c r="N175" s="9" t="n">
        <v>1</v>
      </c>
      <c r="O175" s="9" t="n">
        <v>2312.25</v>
      </c>
      <c r="P175" s="9" t="n">
        <v>0.25</v>
      </c>
      <c r="Q175" s="9" t="n">
        <v>1734.19</v>
      </c>
      <c r="R175" s="9" t="n">
        <v>1386.07</v>
      </c>
      <c r="S175" s="9" t="n">
        <v>348.12</v>
      </c>
      <c r="T175" s="9" t="s">
        <v>56</v>
      </c>
      <c r="U175" s="9" t="s">
        <v>57</v>
      </c>
    </row>
    <row r="176" customFormat="false" ht="15" hidden="false" customHeight="false" outlineLevel="0" collapsed="false">
      <c r="A176" s="9" t="s">
        <v>988</v>
      </c>
      <c r="B176" s="9" t="s">
        <v>989</v>
      </c>
      <c r="C176" s="9" t="s">
        <v>990</v>
      </c>
      <c r="D176" s="9" t="s">
        <v>991</v>
      </c>
      <c r="E176" s="9" t="s">
        <v>47</v>
      </c>
      <c r="F176" s="9" t="s">
        <v>63</v>
      </c>
      <c r="G176" s="9" t="s">
        <v>84</v>
      </c>
      <c r="H176" s="9" t="s">
        <v>254</v>
      </c>
      <c r="I176" s="9" t="s">
        <v>255</v>
      </c>
      <c r="J176" s="9" t="s">
        <v>67</v>
      </c>
      <c r="K176" s="9" t="s">
        <v>228</v>
      </c>
      <c r="L176" s="9" t="s">
        <v>992</v>
      </c>
      <c r="M176" s="9" t="s">
        <v>78</v>
      </c>
      <c r="N176" s="9" t="n">
        <v>6</v>
      </c>
      <c r="O176" s="9" t="n">
        <v>1620.53</v>
      </c>
      <c r="P176" s="9" t="n">
        <v>0.15</v>
      </c>
      <c r="Q176" s="9" t="n">
        <v>8264.7</v>
      </c>
      <c r="R176" s="9" t="n">
        <v>4768.75</v>
      </c>
      <c r="S176" s="9" t="n">
        <v>3495.95</v>
      </c>
      <c r="T176" s="9" t="s">
        <v>160</v>
      </c>
      <c r="U176" s="9" t="s">
        <v>147</v>
      </c>
    </row>
    <row r="177" customFormat="false" ht="15" hidden="false" customHeight="false" outlineLevel="0" collapsed="false">
      <c r="A177" s="9" t="s">
        <v>993</v>
      </c>
      <c r="B177" s="9" t="s">
        <v>776</v>
      </c>
      <c r="C177" s="9" t="s">
        <v>994</v>
      </c>
      <c r="D177" s="9" t="s">
        <v>995</v>
      </c>
      <c r="E177" s="9" t="s">
        <v>83</v>
      </c>
      <c r="F177" s="9" t="s">
        <v>63</v>
      </c>
      <c r="G177" s="9" t="s">
        <v>64</v>
      </c>
      <c r="H177" s="9" t="s">
        <v>210</v>
      </c>
      <c r="I177" s="9" t="s">
        <v>211</v>
      </c>
      <c r="J177" s="9" t="s">
        <v>108</v>
      </c>
      <c r="K177" s="9" t="s">
        <v>409</v>
      </c>
      <c r="L177" s="9" t="s">
        <v>996</v>
      </c>
      <c r="M177" s="9" t="s">
        <v>70</v>
      </c>
      <c r="N177" s="9" t="n">
        <v>7</v>
      </c>
      <c r="O177" s="9" t="n">
        <v>2673.42</v>
      </c>
      <c r="P177" s="9" t="n">
        <v>0.15</v>
      </c>
      <c r="Q177" s="9" t="n">
        <v>15906.85</v>
      </c>
      <c r="R177" s="9" t="n">
        <v>11014.46</v>
      </c>
      <c r="S177" s="9" t="n">
        <v>4892.39</v>
      </c>
      <c r="T177" s="9" t="s">
        <v>56</v>
      </c>
      <c r="U177" s="9" t="s">
        <v>147</v>
      </c>
    </row>
    <row r="178" customFormat="false" ht="15" hidden="false" customHeight="false" outlineLevel="0" collapsed="false">
      <c r="A178" s="9" t="s">
        <v>997</v>
      </c>
      <c r="B178" s="9" t="s">
        <v>998</v>
      </c>
      <c r="C178" s="9" t="s">
        <v>999</v>
      </c>
      <c r="D178" s="9" t="s">
        <v>1000</v>
      </c>
      <c r="E178" s="9" t="s">
        <v>105</v>
      </c>
      <c r="F178" s="9" t="s">
        <v>130</v>
      </c>
      <c r="G178" s="9" t="s">
        <v>64</v>
      </c>
      <c r="H178" s="9" t="s">
        <v>336</v>
      </c>
      <c r="I178" s="9" t="s">
        <v>337</v>
      </c>
      <c r="J178" s="9" t="s">
        <v>67</v>
      </c>
      <c r="K178" s="9" t="s">
        <v>228</v>
      </c>
      <c r="L178" s="9" t="s">
        <v>1001</v>
      </c>
      <c r="M178" s="9" t="s">
        <v>89</v>
      </c>
      <c r="N178" s="9" t="n">
        <v>8</v>
      </c>
      <c r="O178" s="9" t="n">
        <v>3563.09</v>
      </c>
      <c r="P178" s="9" t="n">
        <v>0.15</v>
      </c>
      <c r="Q178" s="9" t="n">
        <v>24229.01</v>
      </c>
      <c r="R178" s="9" t="n">
        <v>13910.64</v>
      </c>
      <c r="S178" s="9" t="n">
        <v>10318.37</v>
      </c>
      <c r="T178" s="9" t="s">
        <v>56</v>
      </c>
      <c r="U178" s="9" t="s">
        <v>57</v>
      </c>
    </row>
    <row r="179" customFormat="false" ht="15" hidden="false" customHeight="false" outlineLevel="0" collapsed="false">
      <c r="A179" s="9" t="s">
        <v>1002</v>
      </c>
      <c r="B179" s="9" t="s">
        <v>1003</v>
      </c>
      <c r="C179" s="9" t="s">
        <v>1004</v>
      </c>
      <c r="D179" s="9" t="s">
        <v>1005</v>
      </c>
      <c r="E179" s="9" t="s">
        <v>192</v>
      </c>
      <c r="F179" s="9" t="s">
        <v>137</v>
      </c>
      <c r="G179" s="9"/>
      <c r="H179" s="9" t="s">
        <v>210</v>
      </c>
      <c r="I179" s="9" t="s">
        <v>211</v>
      </c>
      <c r="J179" s="9" t="s">
        <v>52</v>
      </c>
      <c r="K179" s="9" t="s">
        <v>76</v>
      </c>
      <c r="L179" s="9" t="s">
        <v>1006</v>
      </c>
      <c r="M179" s="9" t="s">
        <v>70</v>
      </c>
      <c r="N179" s="9" t="n">
        <v>8</v>
      </c>
      <c r="O179" s="9" t="n">
        <v>3879.95</v>
      </c>
      <c r="P179" s="9" t="n">
        <v>0</v>
      </c>
      <c r="Q179" s="9" t="n">
        <v>31039.6</v>
      </c>
      <c r="R179" s="9" t="n">
        <v>20866.72</v>
      </c>
      <c r="S179" s="9" t="n">
        <v>10172.88</v>
      </c>
      <c r="T179" s="9" t="s">
        <v>56</v>
      </c>
      <c r="U179" s="9" t="s">
        <v>57</v>
      </c>
    </row>
    <row r="180" customFormat="false" ht="15" hidden="false" customHeight="false" outlineLevel="0" collapsed="false">
      <c r="A180" s="9" t="s">
        <v>1007</v>
      </c>
      <c r="B180" s="9" t="s">
        <v>1008</v>
      </c>
      <c r="C180" s="9" t="s">
        <v>1009</v>
      </c>
      <c r="D180" s="9" t="s">
        <v>1010</v>
      </c>
      <c r="E180" s="9" t="s">
        <v>75</v>
      </c>
      <c r="F180" s="9" t="s">
        <v>130</v>
      </c>
      <c r="G180" s="9" t="s">
        <v>84</v>
      </c>
      <c r="H180" s="9" t="s">
        <v>85</v>
      </c>
      <c r="I180" s="9" t="s">
        <v>86</v>
      </c>
      <c r="J180" s="9" t="s">
        <v>52</v>
      </c>
      <c r="K180" s="9" t="s">
        <v>76</v>
      </c>
      <c r="L180" s="9" t="s">
        <v>1011</v>
      </c>
      <c r="M180" s="9" t="s">
        <v>89</v>
      </c>
      <c r="N180" s="9" t="n">
        <v>4</v>
      </c>
      <c r="O180" s="9" t="n">
        <v>3281.74</v>
      </c>
      <c r="P180" s="9" t="n">
        <v>0</v>
      </c>
      <c r="Q180" s="9" t="n">
        <v>13126.96</v>
      </c>
      <c r="R180" s="9" t="n">
        <v>10732.44</v>
      </c>
      <c r="S180" s="9" t="n">
        <v>2394.52</v>
      </c>
      <c r="T180" s="9" t="s">
        <v>56</v>
      </c>
      <c r="U180" s="9" t="s">
        <v>57</v>
      </c>
    </row>
    <row r="181" customFormat="false" ht="15" hidden="false" customHeight="false" outlineLevel="0" collapsed="false">
      <c r="A181" s="9" t="s">
        <v>1012</v>
      </c>
      <c r="B181" s="9" t="s">
        <v>1013</v>
      </c>
      <c r="C181" s="9" t="s">
        <v>1014</v>
      </c>
      <c r="D181" s="9" t="s">
        <v>1015</v>
      </c>
      <c r="E181" s="9" t="s">
        <v>94</v>
      </c>
      <c r="F181" s="9" t="s">
        <v>63</v>
      </c>
      <c r="G181" s="9" t="s">
        <v>84</v>
      </c>
      <c r="H181" s="9" t="s">
        <v>364</v>
      </c>
      <c r="I181" s="9" t="s">
        <v>365</v>
      </c>
      <c r="J181" s="9" t="s">
        <v>67</v>
      </c>
      <c r="K181" s="9" t="s">
        <v>87</v>
      </c>
      <c r="L181" s="9" t="s">
        <v>1016</v>
      </c>
      <c r="M181" s="9" t="s">
        <v>89</v>
      </c>
      <c r="N181" s="9" t="n">
        <v>4</v>
      </c>
      <c r="O181" s="9" t="n">
        <v>3186.3</v>
      </c>
      <c r="P181" s="9" t="n">
        <v>0.25</v>
      </c>
      <c r="Q181" s="9" t="n">
        <v>9558.9</v>
      </c>
      <c r="R181" s="9" t="n">
        <v>5516.76</v>
      </c>
      <c r="S181" s="9" t="n">
        <v>4042.14</v>
      </c>
      <c r="T181" s="9" t="s">
        <v>146</v>
      </c>
      <c r="U181" s="9" t="s">
        <v>147</v>
      </c>
    </row>
    <row r="182" customFormat="false" ht="15" hidden="false" customHeight="false" outlineLevel="0" collapsed="false">
      <c r="A182" s="9" t="s">
        <v>1017</v>
      </c>
      <c r="B182" s="9" t="s">
        <v>1018</v>
      </c>
      <c r="C182" s="9" t="s">
        <v>1019</v>
      </c>
      <c r="D182" s="9" t="s">
        <v>1020</v>
      </c>
      <c r="E182" s="9" t="s">
        <v>62</v>
      </c>
      <c r="F182" s="9" t="s">
        <v>137</v>
      </c>
      <c r="G182" s="9" t="s">
        <v>177</v>
      </c>
      <c r="H182" s="9" t="s">
        <v>198</v>
      </c>
      <c r="I182" s="9" t="s">
        <v>199</v>
      </c>
      <c r="J182" s="9" t="s">
        <v>953</v>
      </c>
      <c r="K182" s="9" t="s">
        <v>222</v>
      </c>
      <c r="L182" s="9" t="s">
        <v>1021</v>
      </c>
      <c r="M182" s="9" t="s">
        <v>78</v>
      </c>
      <c r="N182" s="9" t="n">
        <v>7</v>
      </c>
      <c r="O182" s="9" t="n">
        <v>844.59</v>
      </c>
      <c r="P182" s="9" t="n">
        <v>0.1</v>
      </c>
      <c r="Q182" s="9" t="n">
        <v>5320.92</v>
      </c>
      <c r="R182" s="9" t="n">
        <v>3041.5</v>
      </c>
      <c r="S182" s="9" t="n">
        <v>2279.42</v>
      </c>
      <c r="T182" s="9" t="s">
        <v>56</v>
      </c>
      <c r="U182" s="9" t="s">
        <v>57</v>
      </c>
    </row>
    <row r="183" customFormat="false" ht="15" hidden="false" customHeight="false" outlineLevel="0" collapsed="false">
      <c r="A183" s="9" t="s">
        <v>1022</v>
      </c>
      <c r="B183" s="9" t="s">
        <v>1023</v>
      </c>
      <c r="C183" s="9" t="s">
        <v>1024</v>
      </c>
      <c r="D183" s="9" t="s">
        <v>1025</v>
      </c>
      <c r="E183" s="9" t="s">
        <v>165</v>
      </c>
      <c r="F183" s="9" t="s">
        <v>137</v>
      </c>
      <c r="G183" s="9" t="s">
        <v>84</v>
      </c>
      <c r="H183" s="9" t="s">
        <v>364</v>
      </c>
      <c r="I183" s="9" t="s">
        <v>365</v>
      </c>
      <c r="J183" s="9" t="s">
        <v>52</v>
      </c>
      <c r="K183" s="9" t="s">
        <v>76</v>
      </c>
      <c r="L183" s="9" t="s">
        <v>1026</v>
      </c>
      <c r="M183" s="9" t="s">
        <v>55</v>
      </c>
      <c r="N183" s="9" t="n">
        <v>4</v>
      </c>
      <c r="O183" s="9" t="n">
        <v>2551.45</v>
      </c>
      <c r="P183" s="9" t="n">
        <v>0</v>
      </c>
      <c r="Q183" s="9" t="n">
        <v>10205.8</v>
      </c>
      <c r="R183" s="9" t="n">
        <v>5986.31</v>
      </c>
      <c r="S183" s="9" t="n">
        <v>4219.49</v>
      </c>
      <c r="T183" s="9" t="s">
        <v>56</v>
      </c>
      <c r="U183" s="9" t="s">
        <v>57</v>
      </c>
    </row>
    <row r="184" customFormat="false" ht="15" hidden="false" customHeight="false" outlineLevel="0" collapsed="false">
      <c r="A184" s="9" t="s">
        <v>1027</v>
      </c>
      <c r="B184" s="9" t="s">
        <v>324</v>
      </c>
      <c r="C184" s="9" t="s">
        <v>324</v>
      </c>
      <c r="D184" s="9" t="s">
        <v>1028</v>
      </c>
      <c r="E184" s="9" t="s">
        <v>94</v>
      </c>
      <c r="F184" s="9" t="s">
        <v>137</v>
      </c>
      <c r="G184" s="9" t="s">
        <v>64</v>
      </c>
      <c r="H184" s="9" t="s">
        <v>210</v>
      </c>
      <c r="I184" s="9" t="s">
        <v>211</v>
      </c>
      <c r="J184" s="9" t="s">
        <v>108</v>
      </c>
      <c r="K184" s="9" t="s">
        <v>409</v>
      </c>
      <c r="L184" s="9" t="s">
        <v>1029</v>
      </c>
      <c r="M184" s="9" t="s">
        <v>89</v>
      </c>
      <c r="N184" s="9" t="n">
        <v>7</v>
      </c>
      <c r="O184" s="9" t="n">
        <v>775.77</v>
      </c>
      <c r="P184" s="9" t="n">
        <v>0</v>
      </c>
      <c r="Q184" s="9" t="n">
        <v>5430.39</v>
      </c>
      <c r="R184" s="9" t="n">
        <v>3707.66</v>
      </c>
      <c r="S184" s="9" t="n">
        <v>1722.73</v>
      </c>
      <c r="T184" s="9" t="s">
        <v>56</v>
      </c>
      <c r="U184" s="9" t="s">
        <v>57</v>
      </c>
    </row>
    <row r="185" customFormat="false" ht="15" hidden="false" customHeight="false" outlineLevel="0" collapsed="false">
      <c r="A185" s="9" t="s">
        <v>1030</v>
      </c>
      <c r="B185" s="9" t="s">
        <v>1031</v>
      </c>
      <c r="C185" s="9" t="s">
        <v>1032</v>
      </c>
      <c r="D185" s="9" t="s">
        <v>1033</v>
      </c>
      <c r="E185" s="9" t="s">
        <v>105</v>
      </c>
      <c r="F185" s="9" t="s">
        <v>137</v>
      </c>
      <c r="G185" s="9" t="s">
        <v>84</v>
      </c>
      <c r="H185" s="9" t="s">
        <v>85</v>
      </c>
      <c r="I185" s="9" t="s">
        <v>86</v>
      </c>
      <c r="J185" s="9" t="s">
        <v>108</v>
      </c>
      <c r="K185" s="9" t="s">
        <v>116</v>
      </c>
      <c r="L185" s="9" t="s">
        <v>1034</v>
      </c>
      <c r="M185" s="9" t="s">
        <v>89</v>
      </c>
      <c r="N185" s="9" t="n">
        <v>7</v>
      </c>
      <c r="O185" s="9" t="n">
        <v>2304.86</v>
      </c>
      <c r="P185" s="9" t="n">
        <v>0.2</v>
      </c>
      <c r="Q185" s="9" t="n">
        <v>12907.22</v>
      </c>
      <c r="R185" s="9" t="n">
        <v>8327.89</v>
      </c>
      <c r="S185" s="9" t="n">
        <v>4579.33</v>
      </c>
      <c r="T185" s="9" t="s">
        <v>56</v>
      </c>
      <c r="U185" s="9" t="s">
        <v>147</v>
      </c>
    </row>
    <row r="186" customFormat="false" ht="15" hidden="false" customHeight="false" outlineLevel="0" collapsed="false">
      <c r="A186" s="9" t="s">
        <v>1035</v>
      </c>
      <c r="B186" s="9" t="s">
        <v>1036</v>
      </c>
      <c r="C186" s="9" t="s">
        <v>374</v>
      </c>
      <c r="D186" s="9" t="s">
        <v>1037</v>
      </c>
      <c r="E186" s="9" t="s">
        <v>105</v>
      </c>
      <c r="F186" s="9" t="s">
        <v>130</v>
      </c>
      <c r="G186" s="9" t="s">
        <v>95</v>
      </c>
      <c r="H186" s="9" t="s">
        <v>106</v>
      </c>
      <c r="I186" s="9" t="s">
        <v>107</v>
      </c>
      <c r="J186" s="9" t="s">
        <v>67</v>
      </c>
      <c r="K186" s="9" t="s">
        <v>228</v>
      </c>
      <c r="L186" s="9" t="s">
        <v>1038</v>
      </c>
      <c r="M186" s="9" t="s">
        <v>89</v>
      </c>
      <c r="N186" s="9" t="n">
        <v>2</v>
      </c>
      <c r="O186" s="9" t="n">
        <v>888.98</v>
      </c>
      <c r="P186" s="9" t="n">
        <v>0</v>
      </c>
      <c r="Q186" s="9" t="n">
        <v>1777.96</v>
      </c>
      <c r="R186" s="9" t="n">
        <v>1021.16</v>
      </c>
      <c r="S186" s="9" t="n">
        <v>756.8</v>
      </c>
      <c r="T186" s="9" t="s">
        <v>146</v>
      </c>
      <c r="U186" s="9" t="s">
        <v>147</v>
      </c>
    </row>
    <row r="187" customFormat="false" ht="15" hidden="false" customHeight="false" outlineLevel="0" collapsed="false">
      <c r="A187" s="9" t="s">
        <v>1039</v>
      </c>
      <c r="B187" s="9" t="s">
        <v>126</v>
      </c>
      <c r="C187" s="9" t="s">
        <v>1040</v>
      </c>
      <c r="D187" s="9" t="s">
        <v>1041</v>
      </c>
      <c r="E187" s="9" t="s">
        <v>83</v>
      </c>
      <c r="F187" s="9" t="s">
        <v>48</v>
      </c>
      <c r="G187" s="9"/>
      <c r="H187" s="9" t="s">
        <v>178</v>
      </c>
      <c r="I187" s="9" t="s">
        <v>179</v>
      </c>
      <c r="J187" s="9" t="s">
        <v>52</v>
      </c>
      <c r="K187" s="9" t="s">
        <v>131</v>
      </c>
      <c r="L187" s="9" t="s">
        <v>1042</v>
      </c>
      <c r="M187" s="9" t="s">
        <v>55</v>
      </c>
      <c r="N187" s="9" t="n">
        <v>2</v>
      </c>
      <c r="O187" s="9" t="n">
        <v>1003.17</v>
      </c>
      <c r="P187" s="9" t="n">
        <v>0.2</v>
      </c>
      <c r="Q187" s="9" t="n">
        <v>1605.07</v>
      </c>
      <c r="R187" s="9" t="n">
        <v>1337.28</v>
      </c>
      <c r="S187" s="9" t="n">
        <v>267.79</v>
      </c>
      <c r="T187" s="9" t="s">
        <v>56</v>
      </c>
      <c r="U187" s="9" t="s">
        <v>57</v>
      </c>
    </row>
    <row r="188" customFormat="false" ht="15" hidden="false" customHeight="false" outlineLevel="0" collapsed="false">
      <c r="A188" s="9" t="s">
        <v>1043</v>
      </c>
      <c r="B188" s="9" t="s">
        <v>357</v>
      </c>
      <c r="C188" s="9" t="s">
        <v>1044</v>
      </c>
      <c r="D188" s="9" t="s">
        <v>392</v>
      </c>
      <c r="E188" s="9" t="s">
        <v>105</v>
      </c>
      <c r="F188" s="9" t="s">
        <v>48</v>
      </c>
      <c r="G188" s="9" t="s">
        <v>84</v>
      </c>
      <c r="H188" s="9" t="s">
        <v>364</v>
      </c>
      <c r="I188" s="9" t="s">
        <v>365</v>
      </c>
      <c r="J188" s="9" t="s">
        <v>67</v>
      </c>
      <c r="K188" s="9" t="s">
        <v>68</v>
      </c>
      <c r="L188" s="9" t="s">
        <v>1045</v>
      </c>
      <c r="M188" s="9" t="s">
        <v>78</v>
      </c>
      <c r="N188" s="9" t="n">
        <v>7</v>
      </c>
      <c r="O188" s="9" t="n">
        <v>3608.43</v>
      </c>
      <c r="P188" s="9" t="n">
        <v>0.05</v>
      </c>
      <c r="Q188" s="9" t="n">
        <v>23996.06</v>
      </c>
      <c r="R188" s="9" t="n">
        <v>20167.28</v>
      </c>
      <c r="S188" s="9" t="n">
        <v>3828.78</v>
      </c>
      <c r="T188" s="9" t="s">
        <v>56</v>
      </c>
      <c r="U188" s="9" t="s">
        <v>57</v>
      </c>
    </row>
    <row r="189" customFormat="false" ht="15" hidden="false" customHeight="false" outlineLevel="0" collapsed="false">
      <c r="A189" s="9" t="s">
        <v>1046</v>
      </c>
      <c r="B189" s="9" t="s">
        <v>1047</v>
      </c>
      <c r="C189" s="9" t="s">
        <v>1048</v>
      </c>
      <c r="D189" s="9" t="s">
        <v>1049</v>
      </c>
      <c r="E189" s="9" t="s">
        <v>62</v>
      </c>
      <c r="F189" s="9" t="s">
        <v>48</v>
      </c>
      <c r="G189" s="9" t="s">
        <v>95</v>
      </c>
      <c r="H189" s="9" t="s">
        <v>106</v>
      </c>
      <c r="I189" s="9" t="s">
        <v>107</v>
      </c>
      <c r="J189" s="9" t="s">
        <v>67</v>
      </c>
      <c r="K189" s="9" t="s">
        <v>98</v>
      </c>
      <c r="L189" s="9" t="s">
        <v>1050</v>
      </c>
      <c r="M189" s="9" t="s">
        <v>70</v>
      </c>
      <c r="N189" s="9" t="n">
        <v>3</v>
      </c>
      <c r="O189" s="9" t="n">
        <v>2905.74</v>
      </c>
      <c r="P189" s="9" t="n">
        <v>0</v>
      </c>
      <c r="Q189" s="9" t="n">
        <v>8717.22</v>
      </c>
      <c r="R189" s="9" t="n">
        <v>6215.96</v>
      </c>
      <c r="S189" s="9" t="n">
        <v>2501.26</v>
      </c>
      <c r="T189" s="9" t="s">
        <v>56</v>
      </c>
      <c r="U189" s="9" t="s">
        <v>147</v>
      </c>
    </row>
    <row r="190" customFormat="false" ht="15" hidden="false" customHeight="false" outlineLevel="0" collapsed="false">
      <c r="A190" s="9" t="s">
        <v>1051</v>
      </c>
      <c r="B190" s="9" t="s">
        <v>1052</v>
      </c>
      <c r="C190" s="9" t="s">
        <v>1053</v>
      </c>
      <c r="D190" s="9" t="s">
        <v>1054</v>
      </c>
      <c r="E190" s="9" t="s">
        <v>165</v>
      </c>
      <c r="F190" s="9" t="s">
        <v>130</v>
      </c>
      <c r="G190" s="9" t="s">
        <v>64</v>
      </c>
      <c r="H190" s="9" t="s">
        <v>143</v>
      </c>
      <c r="I190" s="9" t="s">
        <v>144</v>
      </c>
      <c r="J190" s="9" t="s">
        <v>67</v>
      </c>
      <c r="K190" s="9" t="s">
        <v>228</v>
      </c>
      <c r="L190" s="9" t="s">
        <v>1055</v>
      </c>
      <c r="M190" s="9" t="s">
        <v>70</v>
      </c>
      <c r="N190" s="9" t="n">
        <v>2</v>
      </c>
      <c r="O190" s="9" t="n">
        <v>3559.57</v>
      </c>
      <c r="P190" s="9" t="n">
        <v>0.1</v>
      </c>
      <c r="Q190" s="9" t="n">
        <v>6553.95</v>
      </c>
      <c r="R190" s="9" t="n">
        <v>4923.09</v>
      </c>
      <c r="S190" s="9" t="n">
        <v>1484.14</v>
      </c>
      <c r="T190" s="9" t="s">
        <v>56</v>
      </c>
      <c r="U190" s="9" t="s">
        <v>57</v>
      </c>
    </row>
    <row r="191" customFormat="false" ht="15" hidden="false" customHeight="false" outlineLevel="0" collapsed="false">
      <c r="A191" s="9" t="s">
        <v>1056</v>
      </c>
      <c r="B191" s="9" t="s">
        <v>1057</v>
      </c>
      <c r="C191" s="9" t="s">
        <v>1058</v>
      </c>
      <c r="D191" s="9" t="s">
        <v>1059</v>
      </c>
      <c r="E191" s="9" t="s">
        <v>83</v>
      </c>
      <c r="F191" s="9" t="s">
        <v>48</v>
      </c>
      <c r="G191" s="9" t="s">
        <v>95</v>
      </c>
      <c r="H191" s="9" t="s">
        <v>50</v>
      </c>
      <c r="I191" s="9" t="s">
        <v>158</v>
      </c>
      <c r="J191" s="9" t="s">
        <v>67</v>
      </c>
      <c r="K191" s="9" t="s">
        <v>228</v>
      </c>
      <c r="L191" s="9" t="s">
        <v>1060</v>
      </c>
      <c r="M191" s="9" t="s">
        <v>78</v>
      </c>
      <c r="N191" s="9" t="n">
        <v>9</v>
      </c>
      <c r="O191" s="9" t="n">
        <v>3318.24</v>
      </c>
      <c r="P191" s="9"/>
      <c r="Q191" s="9" t="n">
        <v>25384.54</v>
      </c>
      <c r="R191" s="9" t="n">
        <v>16872.39</v>
      </c>
      <c r="S191" s="9" t="n">
        <v>8512.15</v>
      </c>
      <c r="T191" s="9" t="s">
        <v>56</v>
      </c>
      <c r="U191" s="9" t="s">
        <v>1061</v>
      </c>
    </row>
    <row r="192" customFormat="false" ht="15" hidden="false" customHeight="false" outlineLevel="0" collapsed="false">
      <c r="A192" s="9" t="s">
        <v>1062</v>
      </c>
      <c r="B192" s="9" t="s">
        <v>1063</v>
      </c>
      <c r="C192" s="9" t="s">
        <v>1064</v>
      </c>
      <c r="D192" s="9" t="s">
        <v>1065</v>
      </c>
      <c r="E192" s="9" t="s">
        <v>129</v>
      </c>
      <c r="F192" s="9" t="s">
        <v>48</v>
      </c>
      <c r="G192" s="9" t="s">
        <v>84</v>
      </c>
      <c r="H192" s="9" t="s">
        <v>364</v>
      </c>
      <c r="I192" s="9" t="s">
        <v>365</v>
      </c>
      <c r="J192" s="9" t="s">
        <v>52</v>
      </c>
      <c r="K192" s="9" t="s">
        <v>180</v>
      </c>
      <c r="L192" s="9" t="s">
        <v>1066</v>
      </c>
      <c r="M192" s="9" t="s">
        <v>78</v>
      </c>
      <c r="N192" s="9" t="n">
        <v>3</v>
      </c>
      <c r="O192" s="9" t="n">
        <v>540.09</v>
      </c>
      <c r="P192" s="9" t="n">
        <v>0.1</v>
      </c>
      <c r="Q192" s="9" t="n">
        <v>1458.24</v>
      </c>
      <c r="R192" s="9" t="n">
        <v>943.32</v>
      </c>
      <c r="S192" s="9" t="n">
        <v>514.92</v>
      </c>
      <c r="T192" s="9" t="s">
        <v>56</v>
      </c>
      <c r="U192" s="9" t="s">
        <v>1067</v>
      </c>
    </row>
    <row r="193" customFormat="false" ht="15" hidden="false" customHeight="false" outlineLevel="0" collapsed="false">
      <c r="A193" s="9" t="s">
        <v>1068</v>
      </c>
      <c r="B193" s="9" t="s">
        <v>1069</v>
      </c>
      <c r="C193" s="9" t="s">
        <v>676</v>
      </c>
      <c r="D193" s="9" t="s">
        <v>1070</v>
      </c>
      <c r="E193" s="9" t="s">
        <v>192</v>
      </c>
      <c r="F193" s="9" t="s">
        <v>63</v>
      </c>
      <c r="G193" s="9" t="s">
        <v>84</v>
      </c>
      <c r="H193" s="9" t="s">
        <v>364</v>
      </c>
      <c r="I193" s="9" t="s">
        <v>365</v>
      </c>
      <c r="J193" s="9" t="s">
        <v>67</v>
      </c>
      <c r="K193" s="9" t="s">
        <v>228</v>
      </c>
      <c r="L193" s="9" t="s">
        <v>1071</v>
      </c>
      <c r="M193" s="9" t="s">
        <v>55</v>
      </c>
      <c r="N193" s="9" t="n">
        <v>6</v>
      </c>
      <c r="O193" s="9" t="n">
        <v>4308.4</v>
      </c>
      <c r="P193" s="9" t="n">
        <v>0.65</v>
      </c>
      <c r="Q193" s="9" t="n">
        <v>25850.4</v>
      </c>
      <c r="R193" s="9" t="n">
        <v>19397.68</v>
      </c>
      <c r="S193" s="9" t="n">
        <v>6452.72</v>
      </c>
      <c r="T193" s="9" t="s">
        <v>56</v>
      </c>
      <c r="U193" s="9" t="s">
        <v>57</v>
      </c>
    </row>
    <row r="194" customFormat="false" ht="15" hidden="false" customHeight="false" outlineLevel="0" collapsed="false">
      <c r="A194" s="9" t="s">
        <v>1072</v>
      </c>
      <c r="B194" s="9" t="s">
        <v>1073</v>
      </c>
      <c r="C194" s="9" t="s">
        <v>1074</v>
      </c>
      <c r="D194" s="9" t="s">
        <v>1075</v>
      </c>
      <c r="E194" s="9" t="s">
        <v>75</v>
      </c>
      <c r="F194" s="9" t="s">
        <v>137</v>
      </c>
      <c r="G194" s="9" t="s">
        <v>95</v>
      </c>
      <c r="H194" s="9" t="s">
        <v>260</v>
      </c>
      <c r="I194" s="9" t="s">
        <v>261</v>
      </c>
      <c r="J194" s="9" t="s">
        <v>67</v>
      </c>
      <c r="K194" s="9" t="s">
        <v>98</v>
      </c>
      <c r="L194" s="9" t="s">
        <v>1076</v>
      </c>
      <c r="M194" s="9" t="s">
        <v>78</v>
      </c>
      <c r="N194" s="9" t="n">
        <v>4</v>
      </c>
      <c r="O194" s="9" t="n">
        <v>2191.03</v>
      </c>
      <c r="P194" s="9" t="n">
        <v>0</v>
      </c>
      <c r="Q194" s="9" t="n">
        <v>8764.12</v>
      </c>
      <c r="R194" s="9" t="n">
        <v>7220.05</v>
      </c>
      <c r="S194" s="9" t="n">
        <v>1544.07</v>
      </c>
      <c r="T194" s="9" t="s">
        <v>56</v>
      </c>
      <c r="U194" s="9" t="s">
        <v>57</v>
      </c>
    </row>
    <row r="195" customFormat="false" ht="15" hidden="false" customHeight="false" outlineLevel="0" collapsed="false">
      <c r="A195" s="9" t="s">
        <v>1077</v>
      </c>
      <c r="B195" s="9" t="s">
        <v>1078</v>
      </c>
      <c r="C195" s="9" t="s">
        <v>1079</v>
      </c>
      <c r="D195" s="9" t="s">
        <v>1080</v>
      </c>
      <c r="E195" s="9" t="s">
        <v>165</v>
      </c>
      <c r="F195" s="9" t="s">
        <v>63</v>
      </c>
      <c r="G195" s="9" t="s">
        <v>177</v>
      </c>
      <c r="H195" s="9" t="s">
        <v>178</v>
      </c>
      <c r="I195" s="9" t="s">
        <v>179</v>
      </c>
      <c r="J195" s="9" t="s">
        <v>108</v>
      </c>
      <c r="K195" s="9" t="s">
        <v>116</v>
      </c>
      <c r="L195" s="9" t="s">
        <v>1081</v>
      </c>
      <c r="M195" s="9" t="s">
        <v>70</v>
      </c>
      <c r="N195" s="9" t="n">
        <v>6</v>
      </c>
      <c r="O195" s="9" t="n">
        <v>1956.63</v>
      </c>
      <c r="P195" s="9" t="n">
        <v>0.2</v>
      </c>
      <c r="Q195" s="9" t="n">
        <v>9391.82</v>
      </c>
      <c r="R195" s="9" t="n">
        <v>6013.22</v>
      </c>
      <c r="S195" s="9" t="n">
        <v>3378.6</v>
      </c>
      <c r="T195" s="9" t="s">
        <v>146</v>
      </c>
      <c r="U195" s="9" t="s">
        <v>147</v>
      </c>
    </row>
    <row r="196" customFormat="false" ht="15" hidden="false" customHeight="false" outlineLevel="0" collapsed="false">
      <c r="A196" s="9" t="s">
        <v>1082</v>
      </c>
      <c r="B196" s="9" t="s">
        <v>1083</v>
      </c>
      <c r="C196" s="9" t="s">
        <v>1084</v>
      </c>
      <c r="D196" s="9" t="s">
        <v>1085</v>
      </c>
      <c r="E196" s="9" t="s">
        <v>165</v>
      </c>
      <c r="F196" s="9" t="s">
        <v>48</v>
      </c>
      <c r="G196" s="9" t="s">
        <v>1086</v>
      </c>
      <c r="H196" s="9" t="s">
        <v>96</v>
      </c>
      <c r="I196" s="9" t="s">
        <v>97</v>
      </c>
      <c r="J196" s="9" t="s">
        <v>67</v>
      </c>
      <c r="K196" s="9" t="s">
        <v>87</v>
      </c>
      <c r="L196" s="9" t="s">
        <v>1087</v>
      </c>
      <c r="M196" s="9" t="s">
        <v>78</v>
      </c>
      <c r="N196" s="9" t="n">
        <v>9</v>
      </c>
      <c r="O196" s="9" t="n">
        <v>858.39</v>
      </c>
      <c r="P196" s="9" t="n">
        <v>0.05</v>
      </c>
      <c r="Q196" s="9" t="n">
        <v>7339.23</v>
      </c>
      <c r="R196" s="9" t="n">
        <v>5434.12</v>
      </c>
      <c r="S196" s="9" t="n">
        <v>1905.11</v>
      </c>
      <c r="T196" s="9" t="s">
        <v>160</v>
      </c>
      <c r="U196" s="9" t="s">
        <v>147</v>
      </c>
    </row>
    <row r="197" customFormat="false" ht="15" hidden="false" customHeight="false" outlineLevel="0" collapsed="false">
      <c r="A197" s="9" t="s">
        <v>1088</v>
      </c>
      <c r="B197" s="9" t="s">
        <v>1089</v>
      </c>
      <c r="C197" s="9" t="s">
        <v>1090</v>
      </c>
      <c r="D197" s="9" t="s">
        <v>1091</v>
      </c>
      <c r="E197" s="9" t="s">
        <v>115</v>
      </c>
      <c r="F197" s="9" t="s">
        <v>137</v>
      </c>
      <c r="G197" s="9" t="s">
        <v>84</v>
      </c>
      <c r="H197" s="9" t="s">
        <v>122</v>
      </c>
      <c r="I197" s="9" t="s">
        <v>123</v>
      </c>
      <c r="J197" s="9" t="s">
        <v>67</v>
      </c>
      <c r="K197" s="9" t="s">
        <v>87</v>
      </c>
      <c r="L197" s="9" t="s">
        <v>1092</v>
      </c>
      <c r="M197" s="9" t="s">
        <v>70</v>
      </c>
      <c r="N197" s="9" t="n">
        <v>5</v>
      </c>
      <c r="O197" s="9" t="n">
        <v>1922.83</v>
      </c>
      <c r="P197" s="9" t="n">
        <v>0</v>
      </c>
      <c r="Q197" s="9" t="n">
        <v>9614.15</v>
      </c>
      <c r="R197" s="9" t="n">
        <v>7576.84</v>
      </c>
      <c r="S197" s="9" t="n">
        <v>2037.31</v>
      </c>
      <c r="T197" s="9" t="s">
        <v>56</v>
      </c>
      <c r="U197" s="9" t="s">
        <v>57</v>
      </c>
    </row>
    <row r="198" customFormat="false" ht="15" hidden="false" customHeight="false" outlineLevel="0" collapsed="false">
      <c r="A198" s="9" t="s">
        <v>1093</v>
      </c>
      <c r="B198" s="9" t="s">
        <v>1094</v>
      </c>
      <c r="C198" s="9" t="s">
        <v>1095</v>
      </c>
      <c r="D198" s="9" t="s">
        <v>1096</v>
      </c>
      <c r="E198" s="9" t="s">
        <v>393</v>
      </c>
      <c r="F198" s="9" t="s">
        <v>137</v>
      </c>
      <c r="G198" s="9" t="s">
        <v>177</v>
      </c>
      <c r="H198" s="9" t="s">
        <v>198</v>
      </c>
      <c r="I198" s="9" t="s">
        <v>199</v>
      </c>
      <c r="J198" s="9" t="s">
        <v>52</v>
      </c>
      <c r="K198" s="9" t="s">
        <v>180</v>
      </c>
      <c r="L198" s="9" t="s">
        <v>1097</v>
      </c>
      <c r="M198" s="9" t="s">
        <v>78</v>
      </c>
      <c r="N198" s="9" t="n">
        <v>3</v>
      </c>
      <c r="O198" s="9" t="n">
        <v>1212.03</v>
      </c>
      <c r="P198" s="9" t="n">
        <v>0.1</v>
      </c>
      <c r="Q198" s="9" t="n">
        <v>3272.48</v>
      </c>
      <c r="R198" s="9" t="n">
        <v>2517.44</v>
      </c>
      <c r="S198" s="9" t="n">
        <v>755.04</v>
      </c>
      <c r="T198" s="9" t="s">
        <v>56</v>
      </c>
      <c r="U198" s="9" t="s">
        <v>57</v>
      </c>
    </row>
    <row r="199" customFormat="false" ht="15" hidden="false" customHeight="false" outlineLevel="0" collapsed="false">
      <c r="A199" s="9" t="s">
        <v>1098</v>
      </c>
      <c r="B199" s="9" t="s">
        <v>396</v>
      </c>
      <c r="C199" s="9" t="s">
        <v>1099</v>
      </c>
      <c r="D199" s="9" t="s">
        <v>594</v>
      </c>
      <c r="E199" s="9" t="s">
        <v>171</v>
      </c>
      <c r="F199" s="9" t="s">
        <v>734</v>
      </c>
      <c r="G199" s="9" t="s">
        <v>64</v>
      </c>
      <c r="H199" s="9" t="s">
        <v>210</v>
      </c>
      <c r="I199" s="9" t="s">
        <v>211</v>
      </c>
      <c r="J199" s="9" t="s">
        <v>52</v>
      </c>
      <c r="K199" s="9" t="s">
        <v>180</v>
      </c>
      <c r="L199" s="9" t="s">
        <v>1100</v>
      </c>
      <c r="M199" s="9" t="s">
        <v>55</v>
      </c>
      <c r="N199" s="9" t="n">
        <v>5</v>
      </c>
      <c r="O199" s="9" t="n">
        <v>4096.44</v>
      </c>
      <c r="P199" s="9" t="n">
        <v>0.15</v>
      </c>
      <c r="Q199" s="9" t="n">
        <v>17409.87</v>
      </c>
      <c r="R199" s="9" t="n">
        <v>14076.25</v>
      </c>
      <c r="S199" s="9" t="n">
        <v>3333.62</v>
      </c>
      <c r="T199" s="9" t="s">
        <v>56</v>
      </c>
      <c r="U199" s="9" t="s">
        <v>57</v>
      </c>
    </row>
    <row r="200" customFormat="false" ht="15" hidden="false" customHeight="false" outlineLevel="0" collapsed="false">
      <c r="A200" s="9" t="s">
        <v>1101</v>
      </c>
      <c r="B200" s="9" t="s">
        <v>1102</v>
      </c>
      <c r="C200" s="9" t="s">
        <v>1103</v>
      </c>
      <c r="D200" s="9" t="s">
        <v>1104</v>
      </c>
      <c r="E200" s="9" t="s">
        <v>192</v>
      </c>
      <c r="F200" s="9" t="s">
        <v>48</v>
      </c>
      <c r="G200" s="9" t="s">
        <v>95</v>
      </c>
      <c r="H200" s="9" t="s">
        <v>260</v>
      </c>
      <c r="I200" s="9" t="s">
        <v>261</v>
      </c>
      <c r="J200" s="9" t="s">
        <v>52</v>
      </c>
      <c r="K200" s="9" t="s">
        <v>76</v>
      </c>
      <c r="L200" s="9" t="s">
        <v>1105</v>
      </c>
      <c r="M200" s="9" t="s">
        <v>55</v>
      </c>
      <c r="N200" s="9" t="n">
        <v>1</v>
      </c>
      <c r="O200" s="9" t="n">
        <v>1184.58</v>
      </c>
      <c r="P200" s="9" t="n">
        <v>0.05</v>
      </c>
      <c r="Q200" s="9" t="n">
        <v>1125.35</v>
      </c>
      <c r="R200" s="9" t="n">
        <v>676.97</v>
      </c>
      <c r="S200" s="9" t="n">
        <v>448.38</v>
      </c>
      <c r="T200" s="9" t="s">
        <v>224</v>
      </c>
      <c r="U200" s="9" t="s">
        <v>100</v>
      </c>
    </row>
    <row r="201" customFormat="false" ht="15" hidden="false" customHeight="false" outlineLevel="0" collapsed="false">
      <c r="A201" s="9" t="s">
        <v>1106</v>
      </c>
      <c r="B201" s="9" t="s">
        <v>328</v>
      </c>
      <c r="C201" s="9" t="s">
        <v>1107</v>
      </c>
      <c r="D201" s="9" t="s">
        <v>1108</v>
      </c>
      <c r="E201" s="9" t="s">
        <v>171</v>
      </c>
      <c r="F201" s="9" t="s">
        <v>137</v>
      </c>
      <c r="G201" s="9" t="s">
        <v>64</v>
      </c>
      <c r="H201" s="9" t="s">
        <v>210</v>
      </c>
      <c r="I201" s="9" t="s">
        <v>211</v>
      </c>
      <c r="J201" s="9" t="s">
        <v>108</v>
      </c>
      <c r="K201" s="9" t="s">
        <v>409</v>
      </c>
      <c r="L201" s="9" t="s">
        <v>1109</v>
      </c>
      <c r="M201" s="9"/>
      <c r="N201" s="9" t="n">
        <v>6</v>
      </c>
      <c r="O201" s="9" t="n">
        <v>2185.58</v>
      </c>
      <c r="P201" s="9" t="n">
        <v>0.25</v>
      </c>
      <c r="Q201" s="9" t="n">
        <v>9835.11</v>
      </c>
      <c r="R201" s="9" t="n">
        <v>5437.64</v>
      </c>
      <c r="S201" s="9" t="n">
        <v>4397.47</v>
      </c>
      <c r="T201" s="9" t="s">
        <v>56</v>
      </c>
      <c r="U201" s="9" t="s">
        <v>57</v>
      </c>
    </row>
    <row r="202" customFormat="false" ht="15" hidden="false" customHeight="false" outlineLevel="0" collapsed="false">
      <c r="A202" s="9" t="s">
        <v>1110</v>
      </c>
      <c r="B202" s="9" t="s">
        <v>1032</v>
      </c>
      <c r="C202" s="9" t="s">
        <v>1111</v>
      </c>
      <c r="D202" s="9" t="s">
        <v>1112</v>
      </c>
      <c r="E202" s="9" t="s">
        <v>165</v>
      </c>
      <c r="F202" s="9" t="s">
        <v>63</v>
      </c>
      <c r="G202" s="9" t="s">
        <v>177</v>
      </c>
      <c r="H202" s="9" t="s">
        <v>50</v>
      </c>
      <c r="I202" s="9" t="s">
        <v>51</v>
      </c>
      <c r="J202" s="9" t="s">
        <v>108</v>
      </c>
      <c r="K202" s="9" t="s">
        <v>116</v>
      </c>
      <c r="L202" s="9" t="s">
        <v>1113</v>
      </c>
      <c r="M202" s="9" t="s">
        <v>78</v>
      </c>
      <c r="N202" s="9" t="n">
        <v>5</v>
      </c>
      <c r="O202" s="9" t="n">
        <v>2868.44</v>
      </c>
      <c r="P202" s="9" t="n">
        <v>0.1</v>
      </c>
      <c r="Q202" s="9" t="n">
        <v>12907.98</v>
      </c>
      <c r="R202" s="9" t="n">
        <v>9197.08</v>
      </c>
      <c r="S202" s="9" t="n">
        <v>3710.9</v>
      </c>
      <c r="T202" s="9" t="s">
        <v>160</v>
      </c>
      <c r="U202" s="9" t="s">
        <v>100</v>
      </c>
    </row>
    <row r="203" customFormat="false" ht="15" hidden="false" customHeight="false" outlineLevel="0" collapsed="false">
      <c r="A203" s="9" t="s">
        <v>1114</v>
      </c>
      <c r="B203" s="9" t="s">
        <v>1115</v>
      </c>
      <c r="C203" s="9" t="s">
        <v>1116</v>
      </c>
      <c r="D203" s="9" t="s">
        <v>1117</v>
      </c>
      <c r="E203" s="9" t="s">
        <v>105</v>
      </c>
      <c r="F203" s="9" t="s">
        <v>48</v>
      </c>
      <c r="G203" s="9" t="s">
        <v>95</v>
      </c>
      <c r="H203" s="9" t="s">
        <v>106</v>
      </c>
      <c r="I203" s="9" t="s">
        <v>107</v>
      </c>
      <c r="J203" s="9" t="s">
        <v>52</v>
      </c>
      <c r="K203" s="9" t="s">
        <v>131</v>
      </c>
      <c r="L203" s="9" t="s">
        <v>1118</v>
      </c>
      <c r="M203" s="9" t="s">
        <v>55</v>
      </c>
      <c r="N203" s="9" t="n">
        <v>2</v>
      </c>
      <c r="O203" s="9" t="n">
        <v>2503.53</v>
      </c>
      <c r="P203" s="9" t="n">
        <v>-0.16</v>
      </c>
      <c r="Q203" s="9" t="n">
        <v>4756.71</v>
      </c>
      <c r="R203" s="9" t="n">
        <v>2954.86</v>
      </c>
      <c r="S203" s="9" t="n">
        <v>1801.85</v>
      </c>
      <c r="T203" s="9" t="s">
        <v>146</v>
      </c>
      <c r="U203" s="9" t="s">
        <v>100</v>
      </c>
    </row>
    <row r="204" customFormat="false" ht="15" hidden="false" customHeight="false" outlineLevel="0" collapsed="false">
      <c r="A204" s="9" t="s">
        <v>1119</v>
      </c>
      <c r="B204" s="9" t="s">
        <v>1120</v>
      </c>
      <c r="C204" s="9" t="s">
        <v>1121</v>
      </c>
      <c r="D204" s="9" t="s">
        <v>1122</v>
      </c>
      <c r="E204" s="9" t="s">
        <v>192</v>
      </c>
      <c r="F204" s="9" t="s">
        <v>130</v>
      </c>
      <c r="G204" s="9" t="s">
        <v>95</v>
      </c>
      <c r="H204" s="9" t="s">
        <v>274</v>
      </c>
      <c r="I204" s="9" t="s">
        <v>275</v>
      </c>
      <c r="J204" s="9" t="s">
        <v>108</v>
      </c>
      <c r="K204" s="9" t="s">
        <v>109</v>
      </c>
      <c r="L204" s="9" t="s">
        <v>1123</v>
      </c>
      <c r="M204" s="9" t="s">
        <v>89</v>
      </c>
      <c r="N204" s="9" t="n">
        <v>8</v>
      </c>
      <c r="O204" s="9" t="n">
        <v>1740.94</v>
      </c>
      <c r="P204" s="9" t="n">
        <v>0.05</v>
      </c>
      <c r="Q204" s="9" t="n">
        <v>13231.14</v>
      </c>
      <c r="R204" s="9" t="n">
        <v>11290.06</v>
      </c>
      <c r="S204" s="9" t="n">
        <v>1941.08</v>
      </c>
      <c r="T204" s="9" t="s">
        <v>56</v>
      </c>
      <c r="U204" s="9" t="s">
        <v>57</v>
      </c>
    </row>
    <row r="205" customFormat="false" ht="15" hidden="false" customHeight="false" outlineLevel="0" collapsed="false">
      <c r="A205" s="9" t="s">
        <v>1124</v>
      </c>
      <c r="B205" s="9" t="s">
        <v>1125</v>
      </c>
      <c r="C205" s="9" t="s">
        <v>1126</v>
      </c>
      <c r="D205" s="9" t="s">
        <v>1127</v>
      </c>
      <c r="E205" s="9" t="s">
        <v>192</v>
      </c>
      <c r="F205" s="9" t="s">
        <v>130</v>
      </c>
      <c r="G205" s="9" t="s">
        <v>95</v>
      </c>
      <c r="H205" s="9" t="s">
        <v>50</v>
      </c>
      <c r="I205" s="9" t="s">
        <v>158</v>
      </c>
      <c r="J205" s="9" t="s">
        <v>108</v>
      </c>
      <c r="K205" s="9" t="s">
        <v>109</v>
      </c>
      <c r="L205" s="9" t="s">
        <v>1128</v>
      </c>
      <c r="M205" s="9" t="s">
        <v>55</v>
      </c>
      <c r="N205" s="9" t="n">
        <v>1</v>
      </c>
      <c r="O205" s="9" t="n">
        <v>570.34</v>
      </c>
      <c r="P205" s="9" t="n">
        <v>0.15</v>
      </c>
      <c r="Q205" s="9" t="n">
        <v>484.79</v>
      </c>
      <c r="R205" s="9" t="n">
        <v>333.54</v>
      </c>
      <c r="S205" s="9" t="n">
        <v>151.25</v>
      </c>
      <c r="T205" s="9" t="s">
        <v>56</v>
      </c>
      <c r="U205" s="9" t="s">
        <v>57</v>
      </c>
    </row>
    <row r="206" customFormat="false" ht="15" hidden="false" customHeight="false" outlineLevel="0" collapsed="false">
      <c r="A206" s="9" t="s">
        <v>1129</v>
      </c>
      <c r="B206" s="9" t="s">
        <v>1130</v>
      </c>
      <c r="C206" s="9" t="s">
        <v>1131</v>
      </c>
      <c r="D206" s="9" t="s">
        <v>1132</v>
      </c>
      <c r="E206" s="9" t="s">
        <v>62</v>
      </c>
      <c r="F206" s="9" t="s">
        <v>137</v>
      </c>
      <c r="G206" s="9" t="s">
        <v>64</v>
      </c>
      <c r="H206" s="9" t="s">
        <v>143</v>
      </c>
      <c r="I206" s="9" t="s">
        <v>144</v>
      </c>
      <c r="J206" s="9" t="s">
        <v>67</v>
      </c>
      <c r="K206" s="9" t="s">
        <v>68</v>
      </c>
      <c r="L206" s="9" t="s">
        <v>1133</v>
      </c>
      <c r="M206" s="9" t="s">
        <v>55</v>
      </c>
      <c r="N206" s="9" t="n">
        <v>4</v>
      </c>
      <c r="O206" s="9" t="n">
        <v>477.69</v>
      </c>
      <c r="P206" s="9" t="n">
        <v>0.15</v>
      </c>
      <c r="Q206" s="9" t="n">
        <v>1624.15</v>
      </c>
      <c r="R206" s="9" t="n">
        <v>1217.99</v>
      </c>
      <c r="S206" s="9" t="n">
        <v>406.16</v>
      </c>
      <c r="T206" s="9" t="s">
        <v>56</v>
      </c>
      <c r="U206" s="9" t="s">
        <v>57</v>
      </c>
    </row>
    <row r="207" customFormat="false" ht="15" hidden="false" customHeight="false" outlineLevel="0" collapsed="false">
      <c r="A207" s="9" t="s">
        <v>1134</v>
      </c>
      <c r="B207" s="9" t="s">
        <v>1135</v>
      </c>
      <c r="C207" s="9" t="s">
        <v>1136</v>
      </c>
      <c r="D207" s="9" t="s">
        <v>1137</v>
      </c>
      <c r="E207" s="9" t="s">
        <v>94</v>
      </c>
      <c r="F207" s="9" t="s">
        <v>48</v>
      </c>
      <c r="G207" s="9" t="s">
        <v>95</v>
      </c>
      <c r="H207" s="9" t="s">
        <v>96</v>
      </c>
      <c r="I207" s="9" t="s">
        <v>97</v>
      </c>
      <c r="J207" s="9" t="s">
        <v>953</v>
      </c>
      <c r="K207" s="9" t="s">
        <v>131</v>
      </c>
      <c r="L207" s="9" t="s">
        <v>1138</v>
      </c>
      <c r="M207" s="9" t="s">
        <v>70</v>
      </c>
      <c r="N207" s="9" t="n">
        <v>6</v>
      </c>
      <c r="O207" s="9" t="n">
        <v>873.59</v>
      </c>
      <c r="P207" s="9" t="n">
        <v>0.2</v>
      </c>
      <c r="Q207" s="9" t="n">
        <v>4193.23</v>
      </c>
      <c r="R207" s="9" t="n">
        <v>3329.99</v>
      </c>
      <c r="S207" s="9" t="n">
        <v>863.24</v>
      </c>
      <c r="T207" s="9" t="s">
        <v>56</v>
      </c>
      <c r="U207" s="9" t="s">
        <v>57</v>
      </c>
    </row>
    <row r="208" customFormat="false" ht="15" hidden="false" customHeight="false" outlineLevel="0" collapsed="false">
      <c r="A208" s="9" t="s">
        <v>1139</v>
      </c>
      <c r="B208" s="9" t="s">
        <v>1140</v>
      </c>
      <c r="C208" s="9" t="s">
        <v>140</v>
      </c>
      <c r="D208" s="9" t="s">
        <v>1141</v>
      </c>
      <c r="E208" s="9" t="s">
        <v>234</v>
      </c>
      <c r="F208" s="9" t="s">
        <v>63</v>
      </c>
      <c r="G208" s="9" t="s">
        <v>49</v>
      </c>
      <c r="H208" s="9" t="s">
        <v>198</v>
      </c>
      <c r="I208" s="9" t="s">
        <v>199</v>
      </c>
      <c r="J208" s="9" t="s">
        <v>67</v>
      </c>
      <c r="K208" s="9" t="s">
        <v>87</v>
      </c>
      <c r="L208" s="9" t="s">
        <v>1142</v>
      </c>
      <c r="M208" s="9" t="s">
        <v>78</v>
      </c>
      <c r="N208" s="9" t="n">
        <v>2</v>
      </c>
      <c r="O208" s="9" t="n">
        <v>215.13</v>
      </c>
      <c r="P208" s="9" t="n">
        <v>0</v>
      </c>
      <c r="Q208" s="9" t="n">
        <v>430.26</v>
      </c>
      <c r="R208" s="9" t="n">
        <v>286.38</v>
      </c>
      <c r="S208" s="9" t="n">
        <v>143.88</v>
      </c>
      <c r="T208" s="9" t="s">
        <v>56</v>
      </c>
      <c r="U208" s="9" t="s">
        <v>57</v>
      </c>
    </row>
    <row r="209" customFormat="false" ht="15" hidden="false" customHeight="false" outlineLevel="0" collapsed="false">
      <c r="A209" s="9" t="s">
        <v>1143</v>
      </c>
      <c r="B209" s="9" t="s">
        <v>1144</v>
      </c>
      <c r="C209" s="9" t="s">
        <v>1145</v>
      </c>
      <c r="D209" s="9" t="s">
        <v>1146</v>
      </c>
      <c r="E209" s="9" t="s">
        <v>186</v>
      </c>
      <c r="F209" s="9" t="s">
        <v>137</v>
      </c>
      <c r="G209" s="9" t="s">
        <v>95</v>
      </c>
      <c r="H209" s="9" t="s">
        <v>274</v>
      </c>
      <c r="I209" s="9" t="s">
        <v>275</v>
      </c>
      <c r="J209" s="9" t="s">
        <v>67</v>
      </c>
      <c r="K209" s="9" t="s">
        <v>228</v>
      </c>
      <c r="L209" s="9" t="s">
        <v>1147</v>
      </c>
      <c r="M209" s="9" t="s">
        <v>55</v>
      </c>
      <c r="N209" s="9" t="n">
        <v>2</v>
      </c>
      <c r="O209" s="9" t="n">
        <v>1095.45</v>
      </c>
      <c r="P209" s="9" t="n">
        <v>0.2</v>
      </c>
      <c r="Q209" s="9" t="n">
        <v>1752.72</v>
      </c>
      <c r="R209" s="9" t="n">
        <v>996.41</v>
      </c>
      <c r="S209" s="9" t="n">
        <v>756.31</v>
      </c>
      <c r="T209" s="9" t="s">
        <v>56</v>
      </c>
      <c r="U209" s="9" t="s">
        <v>57</v>
      </c>
    </row>
    <row r="210" customFormat="false" ht="15" hidden="false" customHeight="false" outlineLevel="0" collapsed="false">
      <c r="A210" s="9" t="s">
        <v>1148</v>
      </c>
      <c r="B210" s="9" t="s">
        <v>1149</v>
      </c>
      <c r="C210" s="9" t="s">
        <v>1150</v>
      </c>
      <c r="D210" s="9" t="s">
        <v>1151</v>
      </c>
      <c r="E210" s="9" t="s">
        <v>234</v>
      </c>
      <c r="F210" s="9" t="s">
        <v>48</v>
      </c>
      <c r="G210" s="9" t="s">
        <v>177</v>
      </c>
      <c r="H210" s="9" t="s">
        <v>178</v>
      </c>
      <c r="I210" s="9" t="s">
        <v>179</v>
      </c>
      <c r="J210" s="9" t="s">
        <v>67</v>
      </c>
      <c r="K210" s="9" t="s">
        <v>98</v>
      </c>
      <c r="L210" s="9" t="s">
        <v>1152</v>
      </c>
      <c r="M210" s="9" t="s">
        <v>70</v>
      </c>
      <c r="N210" s="9" t="n">
        <v>1</v>
      </c>
      <c r="O210" s="9" t="n">
        <v>999.83</v>
      </c>
      <c r="P210" s="9" t="n">
        <v>0</v>
      </c>
      <c r="Q210" s="9" t="n">
        <v>999.83</v>
      </c>
      <c r="R210" s="9" t="n">
        <v>634.91</v>
      </c>
      <c r="S210" s="9" t="n">
        <v>364.92</v>
      </c>
      <c r="T210" s="9" t="s">
        <v>56</v>
      </c>
      <c r="U210" s="9" t="s">
        <v>57</v>
      </c>
    </row>
    <row r="211" customFormat="false" ht="15" hidden="false" customHeight="false" outlineLevel="0" collapsed="false">
      <c r="A211" s="9" t="s">
        <v>1153</v>
      </c>
      <c r="B211" s="9" t="s">
        <v>1154</v>
      </c>
      <c r="C211" s="9" t="s">
        <v>1155</v>
      </c>
      <c r="D211" s="9" t="s">
        <v>1156</v>
      </c>
      <c r="E211" s="9" t="s">
        <v>204</v>
      </c>
      <c r="F211" s="9" t="s">
        <v>63</v>
      </c>
      <c r="G211" s="9" t="s">
        <v>84</v>
      </c>
      <c r="H211" s="9" t="s">
        <v>122</v>
      </c>
      <c r="I211" s="9" t="s">
        <v>123</v>
      </c>
      <c r="J211" s="9" t="s">
        <v>52</v>
      </c>
      <c r="K211" s="9" t="s">
        <v>53</v>
      </c>
      <c r="L211" s="9" t="s">
        <v>1157</v>
      </c>
      <c r="M211" s="9" t="s">
        <v>78</v>
      </c>
      <c r="N211" s="9" t="n">
        <v>9</v>
      </c>
      <c r="O211" s="9" t="n">
        <v>864.98</v>
      </c>
      <c r="P211" s="9" t="n">
        <v>0.1</v>
      </c>
      <c r="Q211" s="9" t="n">
        <v>7006.34</v>
      </c>
      <c r="R211" s="9" t="n">
        <v>4640.88</v>
      </c>
      <c r="S211" s="9" t="n">
        <v>2365.46</v>
      </c>
      <c r="T211" s="9" t="s">
        <v>56</v>
      </c>
      <c r="U211" s="9" t="s">
        <v>57</v>
      </c>
    </row>
    <row r="212" customFormat="false" ht="15" hidden="false" customHeight="false" outlineLevel="0" collapsed="false">
      <c r="A212" s="9" t="s">
        <v>1158</v>
      </c>
      <c r="B212" s="9" t="s">
        <v>1159</v>
      </c>
      <c r="C212" s="9" t="s">
        <v>1160</v>
      </c>
      <c r="D212" s="9" t="s">
        <v>1161</v>
      </c>
      <c r="E212" s="9" t="s">
        <v>393</v>
      </c>
      <c r="F212" s="9" t="s">
        <v>137</v>
      </c>
      <c r="G212" s="9" t="s">
        <v>84</v>
      </c>
      <c r="H212" s="9" t="s">
        <v>254</v>
      </c>
      <c r="I212" s="9" t="s">
        <v>255</v>
      </c>
      <c r="J212" s="9" t="s">
        <v>108</v>
      </c>
      <c r="K212" s="9" t="s">
        <v>409</v>
      </c>
      <c r="L212" s="9" t="s">
        <v>1162</v>
      </c>
      <c r="M212" s="9" t="s">
        <v>55</v>
      </c>
      <c r="N212" s="9" t="n">
        <v>1</v>
      </c>
      <c r="O212" s="9" t="n">
        <v>4131.36</v>
      </c>
      <c r="P212" s="9" t="n">
        <v>0</v>
      </c>
      <c r="Q212" s="9" t="n">
        <v>4131.36</v>
      </c>
      <c r="R212" s="9" t="n">
        <v>2937.07</v>
      </c>
      <c r="S212" s="9" t="n">
        <v>1194.29</v>
      </c>
      <c r="T212" s="9" t="s">
        <v>224</v>
      </c>
      <c r="U212" s="9" t="s">
        <v>147</v>
      </c>
    </row>
    <row r="213" customFormat="false" ht="15" hidden="false" customHeight="false" outlineLevel="0" collapsed="false">
      <c r="A213" s="9" t="s">
        <v>1163</v>
      </c>
      <c r="B213" s="9" t="s">
        <v>1164</v>
      </c>
      <c r="C213" s="9" t="s">
        <v>1165</v>
      </c>
      <c r="D213" s="9" t="s">
        <v>1166</v>
      </c>
      <c r="E213" s="9" t="s">
        <v>204</v>
      </c>
      <c r="F213" s="9" t="s">
        <v>130</v>
      </c>
      <c r="G213" s="9" t="s">
        <v>1167</v>
      </c>
      <c r="H213" s="9" t="s">
        <v>143</v>
      </c>
      <c r="I213" s="9" t="s">
        <v>144</v>
      </c>
      <c r="J213" s="9" t="s">
        <v>108</v>
      </c>
      <c r="K213" s="9" t="s">
        <v>116</v>
      </c>
      <c r="L213" s="9" t="s">
        <v>1168</v>
      </c>
      <c r="M213" s="9" t="s">
        <v>55</v>
      </c>
      <c r="N213" s="9" t="n">
        <v>8</v>
      </c>
      <c r="O213" s="9" t="n">
        <v>4221.95</v>
      </c>
      <c r="P213" s="9" t="n">
        <v>0.2</v>
      </c>
      <c r="Q213" s="9" t="n">
        <v>27020.48</v>
      </c>
      <c r="R213" s="9" t="n">
        <v>22885.24</v>
      </c>
      <c r="S213" s="9" t="n">
        <v>4135.24</v>
      </c>
      <c r="T213" s="9" t="s">
        <v>56</v>
      </c>
      <c r="U213" s="9" t="s">
        <v>57</v>
      </c>
    </row>
    <row r="214" customFormat="false" ht="15" hidden="false" customHeight="false" outlineLevel="0" collapsed="false">
      <c r="A214" s="9" t="s">
        <v>1169</v>
      </c>
      <c r="B214" s="9" t="s">
        <v>1170</v>
      </c>
      <c r="C214" s="9" t="s">
        <v>1171</v>
      </c>
      <c r="D214" s="9" t="s">
        <v>1172</v>
      </c>
      <c r="E214" s="9" t="s">
        <v>94</v>
      </c>
      <c r="F214" s="9" t="s">
        <v>63</v>
      </c>
      <c r="G214" s="9" t="s">
        <v>64</v>
      </c>
      <c r="H214" s="9" t="s">
        <v>65</v>
      </c>
      <c r="I214" s="9" t="s">
        <v>66</v>
      </c>
      <c r="J214" s="9" t="s">
        <v>108</v>
      </c>
      <c r="K214" s="9" t="s">
        <v>247</v>
      </c>
      <c r="L214" s="9" t="s">
        <v>1173</v>
      </c>
      <c r="M214" s="9" t="s">
        <v>70</v>
      </c>
      <c r="N214" s="9" t="n">
        <v>2</v>
      </c>
      <c r="O214" s="9" t="n">
        <v>214.5</v>
      </c>
      <c r="P214" s="9" t="n">
        <v>0.15</v>
      </c>
      <c r="Q214" s="9" t="n">
        <v>364.65</v>
      </c>
      <c r="R214" s="9" t="n">
        <v>280.74</v>
      </c>
      <c r="S214" s="9" t="n">
        <v>83.91</v>
      </c>
      <c r="T214" s="9" t="s">
        <v>56</v>
      </c>
      <c r="U214" s="9" t="s">
        <v>57</v>
      </c>
    </row>
    <row r="215" customFormat="false" ht="15" hidden="false" customHeight="false" outlineLevel="0" collapsed="false">
      <c r="A215" s="9" t="s">
        <v>1174</v>
      </c>
      <c r="B215" s="9" t="s">
        <v>1175</v>
      </c>
      <c r="C215" s="9" t="s">
        <v>1176</v>
      </c>
      <c r="D215" s="9" t="s">
        <v>1177</v>
      </c>
      <c r="E215" s="9" t="s">
        <v>75</v>
      </c>
      <c r="F215" s="9" t="s">
        <v>63</v>
      </c>
      <c r="G215" s="9" t="s">
        <v>64</v>
      </c>
      <c r="H215" s="9" t="s">
        <v>210</v>
      </c>
      <c r="I215" s="9" t="s">
        <v>211</v>
      </c>
      <c r="J215" s="9" t="s">
        <v>108</v>
      </c>
      <c r="K215" s="9" t="s">
        <v>109</v>
      </c>
      <c r="L215" s="9" t="s">
        <v>1178</v>
      </c>
      <c r="M215" s="9" t="s">
        <v>1179</v>
      </c>
      <c r="N215" s="9" t="n">
        <v>4</v>
      </c>
      <c r="O215" s="9" t="n">
        <v>4332.73</v>
      </c>
      <c r="P215" s="9" t="n">
        <v>0.2</v>
      </c>
      <c r="Q215" s="9" t="n">
        <v>13864.74</v>
      </c>
      <c r="R215" s="9" t="n">
        <v>11294.06</v>
      </c>
      <c r="S215" s="9" t="n">
        <v>2570.68</v>
      </c>
      <c r="T215" s="9" t="s">
        <v>56</v>
      </c>
      <c r="U215" s="9" t="s">
        <v>57</v>
      </c>
    </row>
    <row r="216" customFormat="false" ht="15" hidden="false" customHeight="false" outlineLevel="0" collapsed="false">
      <c r="A216" s="9" t="s">
        <v>1180</v>
      </c>
      <c r="B216" s="9" t="s">
        <v>1181</v>
      </c>
      <c r="C216" s="9" t="s">
        <v>1182</v>
      </c>
      <c r="D216" s="9" t="s">
        <v>1183</v>
      </c>
      <c r="E216" s="9" t="s">
        <v>171</v>
      </c>
      <c r="F216" s="9" t="s">
        <v>48</v>
      </c>
      <c r="G216" s="9" t="s">
        <v>177</v>
      </c>
      <c r="H216" s="9" t="s">
        <v>348</v>
      </c>
      <c r="I216" s="9" t="s">
        <v>349</v>
      </c>
      <c r="J216" s="9" t="s">
        <v>108</v>
      </c>
      <c r="K216" s="9" t="s">
        <v>109</v>
      </c>
      <c r="L216" s="9" t="s">
        <v>1184</v>
      </c>
      <c r="M216" s="9" t="s">
        <v>1185</v>
      </c>
      <c r="N216" s="9" t="n">
        <v>3</v>
      </c>
      <c r="O216" s="9" t="n">
        <v>248.18</v>
      </c>
      <c r="P216" s="9" t="n">
        <v>0.05</v>
      </c>
      <c r="Q216" s="9" t="n">
        <v>707.31</v>
      </c>
      <c r="R216" s="9" t="n">
        <v>569</v>
      </c>
      <c r="S216" s="9" t="n">
        <v>138.31</v>
      </c>
      <c r="T216" s="9" t="s">
        <v>56</v>
      </c>
      <c r="U216" s="9" t="s">
        <v>57</v>
      </c>
    </row>
    <row r="217" customFormat="false" ht="15" hidden="false" customHeight="false" outlineLevel="0" collapsed="false">
      <c r="A217" s="9" t="s">
        <v>1186</v>
      </c>
      <c r="B217" s="9" t="s">
        <v>1187</v>
      </c>
      <c r="C217" s="9" t="s">
        <v>231</v>
      </c>
      <c r="D217" s="9" t="s">
        <v>1188</v>
      </c>
      <c r="E217" s="9" t="s">
        <v>62</v>
      </c>
      <c r="F217" s="9" t="s">
        <v>48</v>
      </c>
      <c r="G217" s="9" t="s">
        <v>95</v>
      </c>
      <c r="H217" s="9" t="s">
        <v>106</v>
      </c>
      <c r="I217" s="9" t="s">
        <v>107</v>
      </c>
      <c r="J217" s="9" t="s">
        <v>52</v>
      </c>
      <c r="K217" s="9" t="s">
        <v>53</v>
      </c>
      <c r="L217" s="9" t="s">
        <v>1189</v>
      </c>
      <c r="M217" s="9" t="s">
        <v>78</v>
      </c>
      <c r="N217" s="9" t="n">
        <v>8</v>
      </c>
      <c r="O217" s="9" t="n">
        <v>3202.4</v>
      </c>
      <c r="P217" s="9" t="n">
        <v>0.25</v>
      </c>
      <c r="Q217" s="9" t="n">
        <v>19214.4</v>
      </c>
      <c r="R217" s="9" t="n">
        <v>10916.01</v>
      </c>
      <c r="S217" s="9" t="n">
        <v>8298.39</v>
      </c>
      <c r="T217" s="9" t="s">
        <v>56</v>
      </c>
      <c r="U217" s="9" t="s">
        <v>57</v>
      </c>
    </row>
    <row r="218" customFormat="false" ht="15" hidden="false" customHeight="false" outlineLevel="0" collapsed="false">
      <c r="A218" s="9" t="s">
        <v>1190</v>
      </c>
      <c r="B218" s="9" t="s">
        <v>112</v>
      </c>
      <c r="C218" s="9" t="s">
        <v>1191</v>
      </c>
      <c r="D218" s="9" t="s">
        <v>1192</v>
      </c>
      <c r="E218" s="9" t="s">
        <v>75</v>
      </c>
      <c r="F218" s="9" t="s">
        <v>48</v>
      </c>
      <c r="G218" s="9" t="s">
        <v>95</v>
      </c>
      <c r="H218" s="9" t="s">
        <v>260</v>
      </c>
      <c r="I218" s="9" t="s">
        <v>261</v>
      </c>
      <c r="J218" s="9" t="s">
        <v>67</v>
      </c>
      <c r="K218" s="9" t="s">
        <v>68</v>
      </c>
      <c r="L218" s="9" t="s">
        <v>1193</v>
      </c>
      <c r="M218" s="9" t="s">
        <v>89</v>
      </c>
      <c r="N218" s="9" t="n">
        <v>8</v>
      </c>
      <c r="O218" s="9" t="n">
        <v>1839.87</v>
      </c>
      <c r="P218" s="9" t="n">
        <v>0.25</v>
      </c>
      <c r="Q218" s="9" t="n">
        <v>11039.22</v>
      </c>
      <c r="R218" s="9" t="n">
        <v>7642.91</v>
      </c>
      <c r="S218" s="9" t="n">
        <v>3396.31</v>
      </c>
      <c r="T218" s="9" t="s">
        <v>224</v>
      </c>
      <c r="U218" s="9" t="s">
        <v>147</v>
      </c>
    </row>
    <row r="219" customFormat="false" ht="15" hidden="false" customHeight="false" outlineLevel="0" collapsed="false">
      <c r="A219" s="9" t="s">
        <v>1194</v>
      </c>
      <c r="B219" s="9" t="s">
        <v>1195</v>
      </c>
      <c r="C219" s="9" t="s">
        <v>1196</v>
      </c>
      <c r="D219" s="9" t="s">
        <v>1197</v>
      </c>
      <c r="E219" s="9" t="s">
        <v>129</v>
      </c>
      <c r="F219" s="9" t="s">
        <v>48</v>
      </c>
      <c r="G219" s="9" t="s">
        <v>64</v>
      </c>
      <c r="H219" s="9" t="s">
        <v>65</v>
      </c>
      <c r="I219" s="9" t="s">
        <v>66</v>
      </c>
      <c r="J219" s="9" t="s">
        <v>67</v>
      </c>
      <c r="K219" s="9" t="s">
        <v>228</v>
      </c>
      <c r="L219" s="9" t="s">
        <v>1198</v>
      </c>
      <c r="M219" s="9" t="s">
        <v>55</v>
      </c>
      <c r="N219" s="9" t="n">
        <v>5</v>
      </c>
      <c r="O219" s="9" t="n">
        <v>1021.28</v>
      </c>
      <c r="P219" s="9" t="n">
        <v>0.1</v>
      </c>
      <c r="Q219" s="9" t="n">
        <v>4595.76</v>
      </c>
      <c r="R219" s="9" t="n">
        <v>3396.8</v>
      </c>
      <c r="S219" s="9" t="n">
        <v>1198.96</v>
      </c>
      <c r="T219" s="9" t="s">
        <v>146</v>
      </c>
      <c r="U219" s="9" t="s">
        <v>100</v>
      </c>
    </row>
    <row r="220" customFormat="false" ht="15" hidden="false" customHeight="false" outlineLevel="0" collapsed="false">
      <c r="A220" s="9" t="s">
        <v>1199</v>
      </c>
      <c r="B220" s="9" t="s">
        <v>1200</v>
      </c>
      <c r="C220" s="9" t="s">
        <v>1201</v>
      </c>
      <c r="D220" s="9" t="s">
        <v>1202</v>
      </c>
      <c r="E220" s="9" t="s">
        <v>165</v>
      </c>
      <c r="F220" s="9" t="s">
        <v>130</v>
      </c>
      <c r="G220" s="9" t="s">
        <v>95</v>
      </c>
      <c r="H220" s="9" t="s">
        <v>260</v>
      </c>
      <c r="I220" s="9" t="s">
        <v>261</v>
      </c>
      <c r="J220" s="9" t="s">
        <v>67</v>
      </c>
      <c r="K220" s="9" t="s">
        <v>228</v>
      </c>
      <c r="L220" s="9" t="s">
        <v>1203</v>
      </c>
      <c r="M220" s="9" t="s">
        <v>89</v>
      </c>
      <c r="N220" s="9" t="n">
        <v>5</v>
      </c>
      <c r="O220" s="9" t="n">
        <v>258.28</v>
      </c>
      <c r="P220" s="9" t="n">
        <v>0</v>
      </c>
      <c r="Q220" s="9" t="n">
        <v>1291.4</v>
      </c>
      <c r="R220" s="9" t="n">
        <v>756.93</v>
      </c>
      <c r="S220" s="9" t="n">
        <v>534.47</v>
      </c>
      <c r="T220" s="9" t="s">
        <v>56</v>
      </c>
      <c r="U220" s="9" t="s">
        <v>57</v>
      </c>
    </row>
    <row r="221" customFormat="false" ht="15" hidden="false" customHeight="false" outlineLevel="0" collapsed="false">
      <c r="A221" s="9" t="s">
        <v>1204</v>
      </c>
      <c r="B221" s="9" t="s">
        <v>716</v>
      </c>
      <c r="C221" s="9" t="s">
        <v>1205</v>
      </c>
      <c r="D221" s="9" t="s">
        <v>1206</v>
      </c>
      <c r="E221" s="9" t="s">
        <v>171</v>
      </c>
      <c r="F221" s="9" t="s">
        <v>48</v>
      </c>
      <c r="G221" s="9" t="s">
        <v>64</v>
      </c>
      <c r="H221" s="9" t="s">
        <v>210</v>
      </c>
      <c r="I221" s="9" t="s">
        <v>211</v>
      </c>
      <c r="J221" s="9" t="s">
        <v>108</v>
      </c>
      <c r="K221" s="9" t="s">
        <v>409</v>
      </c>
      <c r="L221" s="9" t="s">
        <v>1207</v>
      </c>
      <c r="M221" s="9" t="s">
        <v>78</v>
      </c>
      <c r="N221" s="9" t="n">
        <v>2</v>
      </c>
      <c r="O221" s="9" t="n">
        <v>121.49</v>
      </c>
      <c r="P221" s="9" t="s">
        <v>1208</v>
      </c>
      <c r="Q221" s="9" t="n">
        <v>242.98</v>
      </c>
      <c r="R221" s="9" t="n">
        <v>161.42</v>
      </c>
      <c r="S221" s="9" t="n">
        <v>81.56</v>
      </c>
      <c r="T221" s="9" t="s">
        <v>56</v>
      </c>
      <c r="U221" s="9" t="s">
        <v>57</v>
      </c>
    </row>
    <row r="222" customFormat="false" ht="15" hidden="false" customHeight="false" outlineLevel="0" collapsed="false">
      <c r="A222" s="9" t="s">
        <v>1209</v>
      </c>
      <c r="B222" s="9" t="s">
        <v>1210</v>
      </c>
      <c r="C222" s="9" t="s">
        <v>1210</v>
      </c>
      <c r="D222" s="9" t="s">
        <v>1211</v>
      </c>
      <c r="E222" s="9" t="s">
        <v>192</v>
      </c>
      <c r="F222" s="9" t="s">
        <v>48</v>
      </c>
      <c r="G222" s="9" t="s">
        <v>84</v>
      </c>
      <c r="H222" s="9" t="s">
        <v>267</v>
      </c>
      <c r="I222" s="9" t="s">
        <v>268</v>
      </c>
      <c r="J222" s="9" t="s">
        <v>52</v>
      </c>
      <c r="K222" s="9" t="s">
        <v>180</v>
      </c>
      <c r="L222" s="9" t="s">
        <v>1212</v>
      </c>
      <c r="M222" s="9" t="s">
        <v>78</v>
      </c>
      <c r="N222" s="9" t="n">
        <v>4</v>
      </c>
      <c r="O222" s="9" t="n">
        <v>2810.17</v>
      </c>
      <c r="P222" s="9" t="n">
        <v>0.15</v>
      </c>
      <c r="Q222" s="9" t="n">
        <v>9554.58</v>
      </c>
      <c r="R222" s="9" t="n">
        <v>6068.47</v>
      </c>
      <c r="S222" s="9" t="n">
        <v>3486.11</v>
      </c>
      <c r="T222" s="9" t="s">
        <v>146</v>
      </c>
      <c r="U222" s="9" t="s">
        <v>100</v>
      </c>
    </row>
    <row r="223" customFormat="false" ht="15" hidden="false" customHeight="false" outlineLevel="0" collapsed="false">
      <c r="A223" s="9" t="s">
        <v>1213</v>
      </c>
      <c r="B223" s="9" t="s">
        <v>1214</v>
      </c>
      <c r="C223" s="9" t="s">
        <v>1215</v>
      </c>
      <c r="D223" s="9" t="s">
        <v>1216</v>
      </c>
      <c r="E223" s="9" t="s">
        <v>62</v>
      </c>
      <c r="F223" s="9" t="s">
        <v>130</v>
      </c>
      <c r="G223" s="9" t="s">
        <v>84</v>
      </c>
      <c r="H223" s="9" t="s">
        <v>254</v>
      </c>
      <c r="I223" s="9" t="s">
        <v>255</v>
      </c>
      <c r="J223" s="9" t="s">
        <v>67</v>
      </c>
      <c r="K223" s="9" t="s">
        <v>98</v>
      </c>
      <c r="L223" s="9" t="s">
        <v>1217</v>
      </c>
      <c r="M223" s="9" t="s">
        <v>70</v>
      </c>
      <c r="N223" s="9" t="n">
        <v>4</v>
      </c>
      <c r="O223" s="9" t="n">
        <v>1531.53</v>
      </c>
      <c r="P223" s="9" t="n">
        <v>0.2</v>
      </c>
      <c r="Q223" s="9" t="n">
        <v>4900.9</v>
      </c>
      <c r="R223" s="9" t="n">
        <v>3552.69</v>
      </c>
      <c r="S223" s="9" t="n">
        <v>1348.21</v>
      </c>
      <c r="T223" s="9" t="s">
        <v>56</v>
      </c>
      <c r="U223" s="9" t="s">
        <v>57</v>
      </c>
    </row>
    <row r="224" customFormat="false" ht="15" hidden="false" customHeight="false" outlineLevel="0" collapsed="false">
      <c r="A224" s="9" t="s">
        <v>1218</v>
      </c>
      <c r="B224" s="9" t="s">
        <v>1219</v>
      </c>
      <c r="C224" s="9" t="s">
        <v>1048</v>
      </c>
      <c r="D224" s="9" t="s">
        <v>1220</v>
      </c>
      <c r="E224" s="9" t="s">
        <v>105</v>
      </c>
      <c r="F224" s="9" t="s">
        <v>63</v>
      </c>
      <c r="G224" s="9" t="s">
        <v>95</v>
      </c>
      <c r="H224" s="9" t="s">
        <v>274</v>
      </c>
      <c r="I224" s="9" t="s">
        <v>275</v>
      </c>
      <c r="J224" s="9" t="s">
        <v>52</v>
      </c>
      <c r="K224" s="9" t="s">
        <v>180</v>
      </c>
      <c r="L224" s="9" t="s">
        <v>1221</v>
      </c>
      <c r="M224" s="9" t="s">
        <v>78</v>
      </c>
      <c r="N224" s="9" t="n">
        <v>6</v>
      </c>
      <c r="O224" s="9" t="n">
        <v>4308.09</v>
      </c>
      <c r="P224" s="9" t="n">
        <v>0</v>
      </c>
      <c r="Q224" s="9" t="n">
        <v>25848.54</v>
      </c>
      <c r="R224" s="9" t="n">
        <v>17729.09</v>
      </c>
      <c r="S224" s="9" t="n">
        <v>8119.45</v>
      </c>
      <c r="T224" s="9" t="s">
        <v>56</v>
      </c>
      <c r="U224" s="9" t="s">
        <v>57</v>
      </c>
    </row>
    <row r="225" customFormat="false" ht="15" hidden="false" customHeight="false" outlineLevel="0" collapsed="false">
      <c r="A225" s="9" t="s">
        <v>1222</v>
      </c>
      <c r="B225" s="9" t="s">
        <v>1223</v>
      </c>
      <c r="C225" s="9" t="s">
        <v>1224</v>
      </c>
      <c r="D225" s="9" t="s">
        <v>1225</v>
      </c>
      <c r="E225" s="9" t="s">
        <v>62</v>
      </c>
      <c r="F225" s="9" t="s">
        <v>130</v>
      </c>
      <c r="G225" s="9" t="s">
        <v>95</v>
      </c>
      <c r="H225" s="9" t="s">
        <v>96</v>
      </c>
      <c r="I225" s="9" t="s">
        <v>97</v>
      </c>
      <c r="J225" s="9" t="s">
        <v>67</v>
      </c>
      <c r="K225" s="9" t="s">
        <v>87</v>
      </c>
      <c r="L225" s="9" t="s">
        <v>1226</v>
      </c>
      <c r="M225" s="9" t="s">
        <v>78</v>
      </c>
      <c r="N225" s="9" t="n">
        <v>3</v>
      </c>
      <c r="O225" s="9" t="n">
        <v>490.3</v>
      </c>
      <c r="P225" s="9" t="n">
        <v>0.2</v>
      </c>
      <c r="Q225" s="9" t="n">
        <v>1176.72</v>
      </c>
      <c r="R225" s="9" t="n">
        <v>654.33</v>
      </c>
      <c r="S225" s="9" t="n">
        <v>522.39</v>
      </c>
      <c r="T225" s="9" t="s">
        <v>160</v>
      </c>
      <c r="U225" s="9" t="s">
        <v>147</v>
      </c>
    </row>
    <row r="226" customFormat="false" ht="15" hidden="false" customHeight="false" outlineLevel="0" collapsed="false">
      <c r="A226" s="9" t="s">
        <v>1227</v>
      </c>
      <c r="B226" s="9" t="s">
        <v>1228</v>
      </c>
      <c r="C226" s="9" t="s">
        <v>1229</v>
      </c>
      <c r="D226" s="9" t="s">
        <v>1230</v>
      </c>
      <c r="E226" s="9" t="s">
        <v>75</v>
      </c>
      <c r="F226" s="9" t="s">
        <v>63</v>
      </c>
      <c r="G226" s="9" t="s">
        <v>177</v>
      </c>
      <c r="H226" s="9" t="s">
        <v>178</v>
      </c>
      <c r="I226" s="9" t="s">
        <v>179</v>
      </c>
      <c r="J226" s="9" t="s">
        <v>67</v>
      </c>
      <c r="K226" s="9" t="s">
        <v>87</v>
      </c>
      <c r="L226" s="9" t="s">
        <v>1231</v>
      </c>
      <c r="M226" s="9" t="s">
        <v>89</v>
      </c>
      <c r="N226" s="9" t="n">
        <v>4</v>
      </c>
      <c r="O226" s="9" t="n">
        <v>3944.64</v>
      </c>
      <c r="P226" s="9" t="n">
        <v>0.25</v>
      </c>
      <c r="Q226" s="9" t="n">
        <v>11833.92</v>
      </c>
      <c r="R226" s="9" t="n">
        <v>6682.92</v>
      </c>
      <c r="S226" s="9" t="n">
        <v>5151</v>
      </c>
      <c r="T226" s="9" t="s">
        <v>56</v>
      </c>
      <c r="U226" s="9" t="s">
        <v>100</v>
      </c>
    </row>
    <row r="227" customFormat="false" ht="15" hidden="false" customHeight="false" outlineLevel="0" collapsed="false">
      <c r="A227" s="9" t="s">
        <v>1232</v>
      </c>
      <c r="B227" s="9" t="s">
        <v>1233</v>
      </c>
      <c r="C227" s="9" t="s">
        <v>1234</v>
      </c>
      <c r="D227" s="9" t="s">
        <v>1235</v>
      </c>
      <c r="E227" s="9" t="s">
        <v>62</v>
      </c>
      <c r="F227" s="9" t="s">
        <v>130</v>
      </c>
      <c r="G227" s="9" t="s">
        <v>95</v>
      </c>
      <c r="H227" s="9" t="s">
        <v>274</v>
      </c>
      <c r="I227" s="9" t="s">
        <v>275</v>
      </c>
      <c r="J227" s="9" t="s">
        <v>108</v>
      </c>
      <c r="K227" s="9" t="s">
        <v>247</v>
      </c>
      <c r="L227" s="9" t="s">
        <v>1236</v>
      </c>
      <c r="M227" s="9" t="s">
        <v>89</v>
      </c>
      <c r="N227" s="9" t="n">
        <v>6</v>
      </c>
      <c r="O227" s="9" t="n">
        <v>1032.47</v>
      </c>
      <c r="P227" s="9" t="n">
        <v>0.15</v>
      </c>
      <c r="Q227" s="9" t="n">
        <v>5265.6</v>
      </c>
      <c r="R227" s="9" t="n">
        <v>4293.11</v>
      </c>
      <c r="S227" s="9" t="n">
        <v>787.57</v>
      </c>
      <c r="T227" s="9" t="s">
        <v>56</v>
      </c>
      <c r="U227" s="9" t="s">
        <v>57</v>
      </c>
    </row>
    <row r="228" customFormat="false" ht="15" hidden="false" customHeight="false" outlineLevel="0" collapsed="false">
      <c r="A228" s="9" t="s">
        <v>1237</v>
      </c>
      <c r="B228" s="9" t="s">
        <v>1238</v>
      </c>
      <c r="C228" s="9" t="s">
        <v>1191</v>
      </c>
      <c r="D228" s="9" t="s">
        <v>1239</v>
      </c>
      <c r="E228" s="9" t="s">
        <v>234</v>
      </c>
      <c r="F228" s="9" t="s">
        <v>137</v>
      </c>
      <c r="G228" s="9"/>
      <c r="H228" s="9" t="s">
        <v>267</v>
      </c>
      <c r="I228" s="9" t="s">
        <v>268</v>
      </c>
      <c r="J228" s="9" t="s">
        <v>108</v>
      </c>
      <c r="K228" s="9" t="s">
        <v>116</v>
      </c>
      <c r="L228" s="9" t="s">
        <v>1240</v>
      </c>
      <c r="M228" s="9" t="s">
        <v>70</v>
      </c>
      <c r="N228" s="9" t="n">
        <v>1</v>
      </c>
      <c r="O228" s="9" t="n">
        <v>2208.27</v>
      </c>
      <c r="P228" s="9" t="n">
        <v>0.1</v>
      </c>
      <c r="Q228" s="9" t="n">
        <v>1987.44</v>
      </c>
      <c r="R228" s="9" t="n">
        <v>1110.23</v>
      </c>
      <c r="S228" s="9" t="n">
        <v>877.21</v>
      </c>
      <c r="T228" s="9" t="s">
        <v>56</v>
      </c>
      <c r="U228" s="9" t="s">
        <v>57</v>
      </c>
    </row>
    <row r="229" customFormat="false" ht="15" hidden="false" customHeight="false" outlineLevel="0" collapsed="false">
      <c r="A229" s="9" t="s">
        <v>1241</v>
      </c>
      <c r="B229" s="9" t="s">
        <v>1242</v>
      </c>
      <c r="C229" s="9" t="s">
        <v>1243</v>
      </c>
      <c r="D229" s="9" t="s">
        <v>1244</v>
      </c>
      <c r="E229" s="9" t="s">
        <v>94</v>
      </c>
      <c r="F229" s="9" t="s">
        <v>1245</v>
      </c>
      <c r="G229" s="9" t="s">
        <v>95</v>
      </c>
      <c r="H229" s="9" t="s">
        <v>274</v>
      </c>
      <c r="I229" s="9" t="s">
        <v>275</v>
      </c>
      <c r="J229" s="9" t="s">
        <v>52</v>
      </c>
      <c r="K229" s="9" t="s">
        <v>222</v>
      </c>
      <c r="L229" s="9" t="s">
        <v>1246</v>
      </c>
      <c r="M229" s="9" t="s">
        <v>78</v>
      </c>
      <c r="N229" s="9" t="n">
        <v>3</v>
      </c>
      <c r="O229" s="9" t="n">
        <v>577.75</v>
      </c>
      <c r="P229" s="9" t="n">
        <v>0.15</v>
      </c>
      <c r="Q229" s="9" t="n">
        <v>1473.26</v>
      </c>
      <c r="R229" s="9" t="n">
        <v>899.86</v>
      </c>
      <c r="S229" s="9" t="n">
        <v>573.4</v>
      </c>
      <c r="T229" s="9" t="s">
        <v>56</v>
      </c>
      <c r="U229" s="9" t="s">
        <v>57</v>
      </c>
    </row>
    <row r="230" customFormat="false" ht="15" hidden="false" customHeight="false" outlineLevel="0" collapsed="false">
      <c r="A230" s="9" t="s">
        <v>1247</v>
      </c>
      <c r="B230" s="9" t="s">
        <v>1248</v>
      </c>
      <c r="C230" s="9" t="s">
        <v>1249</v>
      </c>
      <c r="D230" s="9" t="s">
        <v>1250</v>
      </c>
      <c r="E230" s="9" t="s">
        <v>47</v>
      </c>
      <c r="F230" s="9" t="s">
        <v>63</v>
      </c>
      <c r="G230" s="9" t="s">
        <v>84</v>
      </c>
      <c r="H230" s="9" t="s">
        <v>85</v>
      </c>
      <c r="I230" s="9" t="s">
        <v>86</v>
      </c>
      <c r="J230" s="9" t="s">
        <v>52</v>
      </c>
      <c r="K230" s="9" t="s">
        <v>131</v>
      </c>
      <c r="L230" s="9" t="s">
        <v>1251</v>
      </c>
      <c r="M230" s="9" t="s">
        <v>55</v>
      </c>
      <c r="N230" s="9" t="n">
        <v>1</v>
      </c>
      <c r="O230" s="9" t="n">
        <v>3194.37</v>
      </c>
      <c r="P230" s="9" t="n">
        <v>0.15</v>
      </c>
      <c r="Q230" s="9" t="n">
        <v>2715.21</v>
      </c>
      <c r="R230" s="9" t="n">
        <v>1551.55</v>
      </c>
      <c r="S230" s="9" t="n">
        <v>1163.66</v>
      </c>
      <c r="T230" s="9" t="s">
        <v>56</v>
      </c>
      <c r="U230" s="9" t="s">
        <v>57</v>
      </c>
    </row>
    <row r="231" customFormat="false" ht="15" hidden="false" customHeight="false" outlineLevel="0" collapsed="false">
      <c r="A231" s="9" t="s">
        <v>1252</v>
      </c>
      <c r="B231" s="9" t="s">
        <v>1253</v>
      </c>
      <c r="C231" s="9" t="s">
        <v>1254</v>
      </c>
      <c r="D231" s="9" t="s">
        <v>1255</v>
      </c>
      <c r="E231" s="9" t="s">
        <v>204</v>
      </c>
      <c r="F231" s="9" t="s">
        <v>48</v>
      </c>
      <c r="G231" s="9" t="s">
        <v>84</v>
      </c>
      <c r="H231" s="9" t="s">
        <v>85</v>
      </c>
      <c r="I231" s="9" t="s">
        <v>86</v>
      </c>
      <c r="J231" s="9" t="s">
        <v>67</v>
      </c>
      <c r="K231" s="9" t="s">
        <v>228</v>
      </c>
      <c r="L231" s="9" t="s">
        <v>1256</v>
      </c>
      <c r="M231" s="9" t="s">
        <v>78</v>
      </c>
      <c r="N231" s="9" t="n">
        <v>3</v>
      </c>
      <c r="O231" s="9" t="n">
        <v>2886.23</v>
      </c>
      <c r="P231" s="9" t="n">
        <v>0</v>
      </c>
      <c r="Q231" s="9" t="n">
        <v>8658.69</v>
      </c>
      <c r="R231" s="9" t="n">
        <v>5535.94</v>
      </c>
      <c r="S231" s="9" t="n">
        <v>3122.75</v>
      </c>
      <c r="T231" s="9" t="s">
        <v>146</v>
      </c>
      <c r="U231" s="9" t="s">
        <v>147</v>
      </c>
    </row>
    <row r="232" customFormat="false" ht="15" hidden="false" customHeight="false" outlineLevel="0" collapsed="false">
      <c r="A232" s="9" t="s">
        <v>1257</v>
      </c>
      <c r="B232" s="9" t="s">
        <v>103</v>
      </c>
      <c r="C232" s="9" t="s">
        <v>1258</v>
      </c>
      <c r="D232" s="9" t="s">
        <v>1259</v>
      </c>
      <c r="E232" s="9" t="s">
        <v>115</v>
      </c>
      <c r="F232" s="9" t="s">
        <v>63</v>
      </c>
      <c r="G232" s="9" t="s">
        <v>177</v>
      </c>
      <c r="H232" s="9" t="s">
        <v>50</v>
      </c>
      <c r="I232" s="9" t="s">
        <v>51</v>
      </c>
      <c r="J232" s="9" t="s">
        <v>52</v>
      </c>
      <c r="K232" s="9" t="s">
        <v>53</v>
      </c>
      <c r="L232" s="9" t="s">
        <v>1260</v>
      </c>
      <c r="M232" s="9" t="s">
        <v>89</v>
      </c>
      <c r="N232" s="9" t="n">
        <v>8</v>
      </c>
      <c r="O232" s="9" t="n">
        <v>1540.33</v>
      </c>
      <c r="P232" s="9" t="n">
        <v>0.1</v>
      </c>
      <c r="Q232" s="9" t="n">
        <v>11090.38</v>
      </c>
      <c r="R232" s="9" t="n">
        <v>8840.95</v>
      </c>
      <c r="S232" s="9" t="n">
        <v>2249.43</v>
      </c>
      <c r="T232" s="9" t="s">
        <v>56</v>
      </c>
      <c r="U232" s="9" t="s">
        <v>57</v>
      </c>
    </row>
    <row r="233" customFormat="false" ht="15" hidden="false" customHeight="false" outlineLevel="0" collapsed="false">
      <c r="A233" s="9" t="s">
        <v>1261</v>
      </c>
      <c r="B233" s="9" t="s">
        <v>1262</v>
      </c>
      <c r="C233" s="9" t="s">
        <v>1263</v>
      </c>
      <c r="D233" s="9" t="s">
        <v>1264</v>
      </c>
      <c r="E233" s="9" t="s">
        <v>94</v>
      </c>
      <c r="F233" s="9" t="s">
        <v>130</v>
      </c>
      <c r="G233" s="9" t="s">
        <v>177</v>
      </c>
      <c r="H233" s="9" t="s">
        <v>50</v>
      </c>
      <c r="I233" s="9" t="s">
        <v>51</v>
      </c>
      <c r="J233" s="9" t="s">
        <v>1265</v>
      </c>
      <c r="K233" s="9" t="s">
        <v>131</v>
      </c>
      <c r="L233" s="9" t="s">
        <v>1266</v>
      </c>
      <c r="M233" s="9" t="s">
        <v>78</v>
      </c>
      <c r="N233" s="9" t="n">
        <v>7</v>
      </c>
      <c r="O233" s="9" t="n">
        <v>2183.38</v>
      </c>
      <c r="P233" s="9" t="n">
        <v>0.25</v>
      </c>
      <c r="Q233" s="9" t="n">
        <v>11462.74</v>
      </c>
      <c r="R233" s="9" t="n">
        <v>7163.54</v>
      </c>
      <c r="S233" s="9" t="n">
        <v>4299.2</v>
      </c>
      <c r="T233" s="9" t="s">
        <v>146</v>
      </c>
      <c r="U233" s="9" t="s">
        <v>100</v>
      </c>
    </row>
    <row r="234" customFormat="false" ht="15" hidden="false" customHeight="false" outlineLevel="0" collapsed="false">
      <c r="A234" s="9" t="s">
        <v>1267</v>
      </c>
      <c r="B234" s="9" t="s">
        <v>1268</v>
      </c>
      <c r="C234" s="9" t="s">
        <v>1269</v>
      </c>
      <c r="D234" s="9" t="s">
        <v>1270</v>
      </c>
      <c r="E234" s="9" t="s">
        <v>171</v>
      </c>
      <c r="F234" s="9" t="s">
        <v>48</v>
      </c>
      <c r="G234" s="9" t="s">
        <v>84</v>
      </c>
      <c r="H234" s="9" t="s">
        <v>122</v>
      </c>
      <c r="I234" s="9" t="s">
        <v>123</v>
      </c>
      <c r="J234" s="9" t="s">
        <v>108</v>
      </c>
      <c r="K234" s="9" t="s">
        <v>247</v>
      </c>
      <c r="L234" s="9" t="s">
        <v>1271</v>
      </c>
      <c r="M234" s="9" t="s">
        <v>89</v>
      </c>
      <c r="N234" s="9" t="n">
        <v>4</v>
      </c>
      <c r="O234" s="9" t="n">
        <v>223.37</v>
      </c>
      <c r="P234" s="9" t="n">
        <v>0.25</v>
      </c>
      <c r="Q234" s="9" t="n">
        <v>670.11</v>
      </c>
      <c r="R234" s="9" t="n">
        <v>559.57</v>
      </c>
      <c r="S234" s="9" t="n">
        <v>110.54</v>
      </c>
      <c r="T234" s="9" t="s">
        <v>56</v>
      </c>
      <c r="U234" s="9" t="s">
        <v>57</v>
      </c>
    </row>
    <row r="235" customFormat="false" ht="15" hidden="false" customHeight="false" outlineLevel="0" collapsed="false">
      <c r="A235" s="9" t="s">
        <v>1272</v>
      </c>
      <c r="B235" s="9" t="s">
        <v>1273</v>
      </c>
      <c r="C235" s="9" t="s">
        <v>1274</v>
      </c>
      <c r="D235" s="9" t="s">
        <v>1275</v>
      </c>
      <c r="E235" s="9" t="s">
        <v>105</v>
      </c>
      <c r="F235" s="9" t="s">
        <v>130</v>
      </c>
      <c r="G235" s="9" t="s">
        <v>84</v>
      </c>
      <c r="H235" s="9" t="s">
        <v>254</v>
      </c>
      <c r="I235" s="9" t="s">
        <v>255</v>
      </c>
      <c r="J235" s="9" t="s">
        <v>67</v>
      </c>
      <c r="K235" s="9" t="s">
        <v>228</v>
      </c>
      <c r="L235" s="9" t="s">
        <v>1276</v>
      </c>
      <c r="M235" s="9"/>
      <c r="N235" s="9" t="n">
        <v>8</v>
      </c>
      <c r="O235" s="9" t="n">
        <v>3904.59</v>
      </c>
      <c r="P235" s="9" t="n">
        <v>0</v>
      </c>
      <c r="Q235" s="9" t="n">
        <v>31236.72</v>
      </c>
      <c r="R235" s="9" t="n">
        <v>26377.7</v>
      </c>
      <c r="S235" s="9" t="n">
        <v>4859.02</v>
      </c>
      <c r="T235" s="9" t="s">
        <v>56</v>
      </c>
      <c r="U235" s="9" t="s">
        <v>57</v>
      </c>
    </row>
    <row r="236" customFormat="false" ht="15" hidden="false" customHeight="false" outlineLevel="0" collapsed="false">
      <c r="A236" s="9" t="s">
        <v>1277</v>
      </c>
      <c r="B236" s="9" t="s">
        <v>1278</v>
      </c>
      <c r="C236" s="9" t="s">
        <v>1279</v>
      </c>
      <c r="D236" s="9" t="s">
        <v>1280</v>
      </c>
      <c r="E236" s="9" t="s">
        <v>393</v>
      </c>
      <c r="F236" s="9" t="s">
        <v>137</v>
      </c>
      <c r="G236" s="9" t="s">
        <v>177</v>
      </c>
      <c r="H236" s="9" t="s">
        <v>535</v>
      </c>
      <c r="I236" s="9" t="s">
        <v>536</v>
      </c>
      <c r="J236" s="9" t="s">
        <v>67</v>
      </c>
      <c r="K236" s="9" t="s">
        <v>87</v>
      </c>
      <c r="L236" s="9" t="s">
        <v>1281</v>
      </c>
      <c r="M236" s="9" t="s">
        <v>78</v>
      </c>
      <c r="N236" s="9" t="n">
        <v>9</v>
      </c>
      <c r="O236" s="9" t="n">
        <v>1353.61</v>
      </c>
      <c r="P236" s="9" t="n">
        <v>0.1</v>
      </c>
      <c r="Q236" s="9" t="n">
        <v>10964.24</v>
      </c>
      <c r="R236" s="9" t="n">
        <v>9262.47</v>
      </c>
      <c r="S236" s="9" t="n">
        <v>1701.77</v>
      </c>
      <c r="T236" s="9" t="s">
        <v>56</v>
      </c>
      <c r="U236" s="9" t="s">
        <v>57</v>
      </c>
    </row>
    <row r="237" customFormat="false" ht="15" hidden="false" customHeight="false" outlineLevel="0" collapsed="false">
      <c r="A237" s="9" t="s">
        <v>1282</v>
      </c>
      <c r="B237" s="9" t="s">
        <v>1283</v>
      </c>
      <c r="C237" s="9" t="s">
        <v>1284</v>
      </c>
      <c r="D237" s="9" t="s">
        <v>1285</v>
      </c>
      <c r="E237" s="9" t="s">
        <v>171</v>
      </c>
      <c r="F237" s="9" t="s">
        <v>63</v>
      </c>
      <c r="G237" s="9" t="s">
        <v>95</v>
      </c>
      <c r="H237" s="9" t="s">
        <v>50</v>
      </c>
      <c r="I237" s="9" t="s">
        <v>158</v>
      </c>
      <c r="J237" s="9" t="s">
        <v>52</v>
      </c>
      <c r="K237" s="9" t="s">
        <v>180</v>
      </c>
      <c r="L237" s="9" t="s">
        <v>1286</v>
      </c>
      <c r="M237" s="9" t="s">
        <v>89</v>
      </c>
      <c r="N237" s="9" t="n">
        <v>6</v>
      </c>
      <c r="O237" s="9" t="n">
        <v>2671.29</v>
      </c>
      <c r="P237" s="9" t="n">
        <v>0.05</v>
      </c>
      <c r="Q237" s="9" t="n">
        <v>15226.35</v>
      </c>
      <c r="R237" s="9" t="n">
        <v>11145.28</v>
      </c>
      <c r="S237" s="9" t="n">
        <v>4081.07</v>
      </c>
      <c r="T237" s="9" t="s">
        <v>56</v>
      </c>
      <c r="U237" s="9" t="s">
        <v>57</v>
      </c>
    </row>
    <row r="238" customFormat="false" ht="15" hidden="false" customHeight="false" outlineLevel="0" collapsed="false">
      <c r="A238" s="9" t="s">
        <v>1287</v>
      </c>
      <c r="B238" s="9" t="s">
        <v>1274</v>
      </c>
      <c r="C238" s="9" t="s">
        <v>1288</v>
      </c>
      <c r="D238" s="9" t="s">
        <v>1289</v>
      </c>
      <c r="E238" s="9" t="s">
        <v>165</v>
      </c>
      <c r="F238" s="9" t="s">
        <v>130</v>
      </c>
      <c r="G238" s="9" t="s">
        <v>177</v>
      </c>
      <c r="H238" s="9" t="s">
        <v>198</v>
      </c>
      <c r="I238" s="9" t="s">
        <v>199</v>
      </c>
      <c r="J238" s="9" t="s">
        <v>67</v>
      </c>
      <c r="K238" s="9" t="s">
        <v>228</v>
      </c>
      <c r="L238" s="9" t="s">
        <v>1290</v>
      </c>
      <c r="M238" s="9" t="s">
        <v>78</v>
      </c>
      <c r="N238" s="9" t="n">
        <v>6</v>
      </c>
      <c r="O238" s="9" t="n">
        <v>4062.78</v>
      </c>
      <c r="P238" s="9" t="n">
        <v>0</v>
      </c>
      <c r="Q238" s="9" t="n">
        <v>24376.68</v>
      </c>
      <c r="R238" s="9" t="n">
        <v>18533.39</v>
      </c>
      <c r="S238" s="9" t="n">
        <v>5843.29</v>
      </c>
      <c r="T238" s="9" t="s">
        <v>56</v>
      </c>
      <c r="U238" s="9" t="s">
        <v>57</v>
      </c>
    </row>
    <row r="239" customFormat="false" ht="15" hidden="false" customHeight="false" outlineLevel="0" collapsed="false">
      <c r="A239" s="9" t="s">
        <v>1291</v>
      </c>
      <c r="B239" s="9" t="s">
        <v>1292</v>
      </c>
      <c r="C239" s="9" t="s">
        <v>1292</v>
      </c>
      <c r="D239" s="9" t="s">
        <v>1293</v>
      </c>
      <c r="E239" s="9" t="s">
        <v>62</v>
      </c>
      <c r="F239" s="9" t="s">
        <v>48</v>
      </c>
      <c r="G239" s="9" t="s">
        <v>177</v>
      </c>
      <c r="H239" s="9" t="s">
        <v>348</v>
      </c>
      <c r="I239" s="9" t="s">
        <v>349</v>
      </c>
      <c r="J239" s="9" t="s">
        <v>108</v>
      </c>
      <c r="K239" s="9" t="s">
        <v>116</v>
      </c>
      <c r="L239" s="9" t="s">
        <v>1294</v>
      </c>
      <c r="M239" s="9" t="s">
        <v>89</v>
      </c>
      <c r="N239" s="9" t="n">
        <v>9</v>
      </c>
      <c r="O239" s="9" t="n">
        <v>2330.3</v>
      </c>
      <c r="P239" s="9" t="n">
        <v>0</v>
      </c>
      <c r="Q239" s="9" t="n">
        <v>20972.7</v>
      </c>
      <c r="R239" s="9" t="n">
        <v>13504.88</v>
      </c>
      <c r="S239" s="9" t="n">
        <v>7467.82</v>
      </c>
      <c r="T239" s="9" t="s">
        <v>56</v>
      </c>
      <c r="U239" s="9" t="s">
        <v>57</v>
      </c>
    </row>
    <row r="240" customFormat="false" ht="15" hidden="false" customHeight="false" outlineLevel="0" collapsed="false">
      <c r="A240" s="9" t="s">
        <v>1295</v>
      </c>
      <c r="B240" s="9" t="s">
        <v>1296</v>
      </c>
      <c r="C240" s="9" t="s">
        <v>1297</v>
      </c>
      <c r="D240" s="9" t="s">
        <v>1298</v>
      </c>
      <c r="E240" s="9" t="s">
        <v>83</v>
      </c>
      <c r="F240" s="9" t="s">
        <v>48</v>
      </c>
      <c r="G240" s="9" t="s">
        <v>84</v>
      </c>
      <c r="H240" s="9" t="s">
        <v>122</v>
      </c>
      <c r="I240" s="9" t="s">
        <v>123</v>
      </c>
      <c r="J240" s="9" t="s">
        <v>52</v>
      </c>
      <c r="K240" s="9" t="s">
        <v>180</v>
      </c>
      <c r="L240" s="9" t="s">
        <v>1299</v>
      </c>
      <c r="M240" s="9" t="s">
        <v>78</v>
      </c>
      <c r="N240" s="9" t="n">
        <v>7</v>
      </c>
      <c r="O240" s="9" t="n">
        <v>4005.05</v>
      </c>
      <c r="P240" s="9" t="n">
        <v>0.55</v>
      </c>
      <c r="Q240" s="9" t="n">
        <v>26633.58</v>
      </c>
      <c r="R240" s="9" t="n">
        <v>18838.75</v>
      </c>
      <c r="S240" s="9" t="n">
        <v>7794.83</v>
      </c>
      <c r="T240" s="9" t="s">
        <v>56</v>
      </c>
      <c r="U240" s="9" t="s">
        <v>57</v>
      </c>
    </row>
    <row r="241" customFormat="false" ht="15" hidden="false" customHeight="false" outlineLevel="0" collapsed="false">
      <c r="A241" s="9" t="s">
        <v>1300</v>
      </c>
      <c r="B241" s="9" t="s">
        <v>1301</v>
      </c>
      <c r="C241" s="9" t="s">
        <v>1170</v>
      </c>
      <c r="D241" s="9" t="s">
        <v>1302</v>
      </c>
      <c r="E241" s="9" t="s">
        <v>393</v>
      </c>
      <c r="F241" s="9" t="s">
        <v>130</v>
      </c>
      <c r="G241" s="9" t="s">
        <v>84</v>
      </c>
      <c r="H241" s="9" t="s">
        <v>254</v>
      </c>
      <c r="I241" s="9" t="s">
        <v>255</v>
      </c>
      <c r="J241" s="9" t="s">
        <v>108</v>
      </c>
      <c r="K241" s="9" t="s">
        <v>409</v>
      </c>
      <c r="L241" s="9" t="s">
        <v>1303</v>
      </c>
      <c r="M241" s="9" t="s">
        <v>78</v>
      </c>
      <c r="N241" s="9" t="n">
        <v>2</v>
      </c>
      <c r="O241" s="9" t="n">
        <v>1960.06</v>
      </c>
      <c r="P241" s="9" t="n">
        <v>0.2</v>
      </c>
      <c r="Q241" s="9" t="n">
        <v>3136.1</v>
      </c>
      <c r="R241" s="9" t="n">
        <v>2279.49</v>
      </c>
      <c r="S241" s="9" t="n">
        <v>856.61</v>
      </c>
      <c r="T241" s="9" t="s">
        <v>56</v>
      </c>
      <c r="U241" s="9" t="s">
        <v>57</v>
      </c>
    </row>
    <row r="242" customFormat="false" ht="15" hidden="false" customHeight="false" outlineLevel="0" collapsed="false">
      <c r="A242" s="9" t="s">
        <v>1304</v>
      </c>
      <c r="B242" s="9" t="s">
        <v>1305</v>
      </c>
      <c r="C242" s="9" t="s">
        <v>859</v>
      </c>
      <c r="D242" s="9" t="s">
        <v>1306</v>
      </c>
      <c r="E242" s="9" t="s">
        <v>186</v>
      </c>
      <c r="F242" s="9" t="s">
        <v>130</v>
      </c>
      <c r="G242" s="9" t="s">
        <v>84</v>
      </c>
      <c r="H242" s="9" t="s">
        <v>85</v>
      </c>
      <c r="I242" s="9" t="s">
        <v>86</v>
      </c>
      <c r="J242" s="9" t="s">
        <v>52</v>
      </c>
      <c r="K242" s="9" t="s">
        <v>222</v>
      </c>
      <c r="L242" s="9" t="s">
        <v>1307</v>
      </c>
      <c r="M242" s="9" t="s">
        <v>78</v>
      </c>
      <c r="N242" s="9" t="n">
        <v>9</v>
      </c>
      <c r="O242" s="9" t="n">
        <v>2315.1</v>
      </c>
      <c r="P242" s="9" t="n">
        <v>0</v>
      </c>
      <c r="Q242" s="9" t="n">
        <v>20835.9</v>
      </c>
      <c r="R242" s="9" t="n">
        <v>13928.19</v>
      </c>
      <c r="S242" s="9" t="n">
        <v>6907.71</v>
      </c>
      <c r="T242" s="9" t="s">
        <v>56</v>
      </c>
      <c r="U242" s="9" t="s">
        <v>57</v>
      </c>
    </row>
    <row r="243" customFormat="false" ht="15" hidden="false" customHeight="false" outlineLevel="0" collapsed="false">
      <c r="A243" s="9" t="s">
        <v>1308</v>
      </c>
      <c r="B243" s="9" t="s">
        <v>1309</v>
      </c>
      <c r="C243" s="9" t="s">
        <v>1310</v>
      </c>
      <c r="D243" s="9" t="s">
        <v>1311</v>
      </c>
      <c r="E243" s="9" t="s">
        <v>192</v>
      </c>
      <c r="F243" s="9" t="s">
        <v>130</v>
      </c>
      <c r="G243" s="9" t="s">
        <v>177</v>
      </c>
      <c r="H243" s="9" t="s">
        <v>348</v>
      </c>
      <c r="I243" s="9" t="s">
        <v>349</v>
      </c>
      <c r="J243" s="9" t="s">
        <v>52</v>
      </c>
      <c r="K243" s="9" t="s">
        <v>180</v>
      </c>
      <c r="L243" s="9" t="s">
        <v>1312</v>
      </c>
      <c r="M243" s="9" t="s">
        <v>89</v>
      </c>
      <c r="N243" s="9" t="n">
        <v>1</v>
      </c>
      <c r="O243" s="9" t="n">
        <v>1617.2</v>
      </c>
      <c r="P243" s="9" t="n">
        <v>0.25</v>
      </c>
      <c r="Q243" s="9" t="n">
        <v>1212.9</v>
      </c>
      <c r="R243" s="9" t="n">
        <v>690.52</v>
      </c>
      <c r="S243" s="9" t="n">
        <v>522.38</v>
      </c>
      <c r="T243" s="9" t="s">
        <v>160</v>
      </c>
      <c r="U243" s="9" t="s">
        <v>147</v>
      </c>
    </row>
    <row r="244" customFormat="false" ht="15" hidden="false" customHeight="false" outlineLevel="0" collapsed="false">
      <c r="A244" s="9" t="s">
        <v>1313</v>
      </c>
      <c r="B244" s="9" t="s">
        <v>1314</v>
      </c>
      <c r="C244" s="9" t="s">
        <v>1315</v>
      </c>
      <c r="D244" s="9" t="s">
        <v>1316</v>
      </c>
      <c r="E244" s="9" t="s">
        <v>83</v>
      </c>
      <c r="F244" s="9" t="s">
        <v>48</v>
      </c>
      <c r="G244" s="9" t="s">
        <v>177</v>
      </c>
      <c r="H244" s="9" t="s">
        <v>198</v>
      </c>
      <c r="I244" s="9" t="s">
        <v>199</v>
      </c>
      <c r="J244" s="9" t="s">
        <v>52</v>
      </c>
      <c r="K244" s="9" t="s">
        <v>76</v>
      </c>
      <c r="L244" s="9" t="s">
        <v>1317</v>
      </c>
      <c r="M244" s="9" t="s">
        <v>55</v>
      </c>
      <c r="N244" s="9" t="n">
        <v>3</v>
      </c>
      <c r="O244" s="9" t="n">
        <v>1999.24</v>
      </c>
      <c r="P244" s="9" t="n">
        <v>0.05</v>
      </c>
      <c r="Q244" s="9" t="n">
        <v>5697.83</v>
      </c>
      <c r="R244" s="9" t="n">
        <v>4251.5</v>
      </c>
      <c r="S244" s="9" t="n">
        <v>1446.33</v>
      </c>
      <c r="T244" s="9" t="s">
        <v>56</v>
      </c>
      <c r="U244" s="9" t="s">
        <v>57</v>
      </c>
    </row>
    <row r="245" customFormat="false" ht="15" hidden="false" customHeight="false" outlineLevel="0" collapsed="false">
      <c r="A245" s="9" t="s">
        <v>1318</v>
      </c>
      <c r="B245" s="9" t="s">
        <v>308</v>
      </c>
      <c r="C245" s="9" t="s">
        <v>1319</v>
      </c>
      <c r="D245" s="9" t="s">
        <v>1320</v>
      </c>
      <c r="E245" s="9" t="s">
        <v>192</v>
      </c>
      <c r="F245" s="9" t="s">
        <v>63</v>
      </c>
      <c r="G245" s="9"/>
      <c r="H245" s="9" t="s">
        <v>106</v>
      </c>
      <c r="I245" s="9" t="s">
        <v>107</v>
      </c>
      <c r="J245" s="9" t="s">
        <v>108</v>
      </c>
      <c r="K245" s="9" t="s">
        <v>109</v>
      </c>
      <c r="L245" s="9" t="s">
        <v>1321</v>
      </c>
      <c r="M245" s="9" t="s">
        <v>78</v>
      </c>
      <c r="N245" s="9" t="n">
        <v>1</v>
      </c>
      <c r="O245" s="9" t="n">
        <v>4499.46</v>
      </c>
      <c r="P245" s="9" t="n">
        <v>0.1</v>
      </c>
      <c r="Q245" s="9" t="n">
        <v>4049.51</v>
      </c>
      <c r="R245" s="9" t="n">
        <v>2509.2</v>
      </c>
      <c r="S245" s="9" t="n">
        <v>1540.31</v>
      </c>
      <c r="T245" s="9" t="s">
        <v>56</v>
      </c>
      <c r="U245" s="9" t="s">
        <v>1061</v>
      </c>
    </row>
    <row r="246" customFormat="false" ht="15" hidden="false" customHeight="false" outlineLevel="0" collapsed="false">
      <c r="A246" s="9" t="s">
        <v>1322</v>
      </c>
      <c r="B246" s="9" t="s">
        <v>667</v>
      </c>
      <c r="C246" s="9" t="s">
        <v>1323</v>
      </c>
      <c r="D246" s="9" t="s">
        <v>1324</v>
      </c>
      <c r="E246" s="9" t="s">
        <v>115</v>
      </c>
      <c r="F246" s="9" t="s">
        <v>48</v>
      </c>
      <c r="G246" s="9" t="s">
        <v>84</v>
      </c>
      <c r="H246" s="9" t="s">
        <v>85</v>
      </c>
      <c r="I246" s="9" t="s">
        <v>86</v>
      </c>
      <c r="J246" s="9" t="s">
        <v>67</v>
      </c>
      <c r="K246" s="9" t="s">
        <v>228</v>
      </c>
      <c r="L246" s="9" t="s">
        <v>1325</v>
      </c>
      <c r="M246" s="9" t="s">
        <v>70</v>
      </c>
      <c r="N246" s="9" t="n">
        <v>6</v>
      </c>
      <c r="O246" s="9" t="n">
        <v>1021.89</v>
      </c>
      <c r="P246" s="9" t="n">
        <v>0</v>
      </c>
      <c r="Q246" s="9" t="n">
        <v>6131.34</v>
      </c>
      <c r="R246" s="9" t="n">
        <v>4060.88</v>
      </c>
      <c r="S246" s="9" t="n">
        <v>2070.46</v>
      </c>
      <c r="T246" s="9" t="s">
        <v>56</v>
      </c>
      <c r="U246" s="9" t="s">
        <v>57</v>
      </c>
    </row>
    <row r="247" customFormat="false" ht="15" hidden="false" customHeight="false" outlineLevel="0" collapsed="false">
      <c r="A247" s="9" t="s">
        <v>1326</v>
      </c>
      <c r="B247" s="9" t="s">
        <v>675</v>
      </c>
      <c r="C247" s="9" t="s">
        <v>907</v>
      </c>
      <c r="D247" s="9" t="s">
        <v>1327</v>
      </c>
      <c r="E247" s="9" t="s">
        <v>115</v>
      </c>
      <c r="F247" s="9" t="s">
        <v>137</v>
      </c>
      <c r="G247" s="9" t="s">
        <v>84</v>
      </c>
      <c r="H247" s="9" t="s">
        <v>267</v>
      </c>
      <c r="I247" s="9" t="s">
        <v>268</v>
      </c>
      <c r="J247" s="9" t="s">
        <v>1328</v>
      </c>
      <c r="K247" s="9" t="s">
        <v>98</v>
      </c>
      <c r="L247" s="9" t="s">
        <v>1329</v>
      </c>
      <c r="M247" s="9" t="s">
        <v>55</v>
      </c>
      <c r="N247" s="9" t="n">
        <v>3</v>
      </c>
      <c r="O247" s="9" t="n">
        <v>3275.93</v>
      </c>
      <c r="P247" s="9" t="n">
        <v>0</v>
      </c>
      <c r="Q247" s="9" t="n">
        <v>9827.79</v>
      </c>
      <c r="R247" s="9" t="n">
        <v>5478.28</v>
      </c>
      <c r="S247" s="9" t="n">
        <v>4349.51</v>
      </c>
      <c r="T247" s="9" t="s">
        <v>56</v>
      </c>
      <c r="U247" s="9" t="s">
        <v>57</v>
      </c>
    </row>
    <row r="248" customFormat="false" ht="15" hidden="false" customHeight="false" outlineLevel="0" collapsed="false">
      <c r="A248" s="9" t="s">
        <v>1330</v>
      </c>
      <c r="B248" s="9" t="s">
        <v>1331</v>
      </c>
      <c r="C248" s="9" t="s">
        <v>1332</v>
      </c>
      <c r="D248" s="9" t="s">
        <v>1333</v>
      </c>
      <c r="E248" s="9" t="s">
        <v>94</v>
      </c>
      <c r="F248" s="9" t="s">
        <v>130</v>
      </c>
      <c r="G248" s="9" t="s">
        <v>177</v>
      </c>
      <c r="H248" s="9" t="s">
        <v>178</v>
      </c>
      <c r="I248" s="9" t="s">
        <v>179</v>
      </c>
      <c r="J248" s="9" t="s">
        <v>108</v>
      </c>
      <c r="K248" s="9" t="s">
        <v>409</v>
      </c>
      <c r="L248" s="9" t="s">
        <v>1334</v>
      </c>
      <c r="M248" s="9" t="s">
        <v>70</v>
      </c>
      <c r="N248" s="9" t="n">
        <v>3</v>
      </c>
      <c r="O248" s="9" t="n">
        <v>231.95</v>
      </c>
      <c r="P248" s="9" t="n">
        <v>0.25</v>
      </c>
      <c r="Q248" s="9" t="n">
        <v>521.89</v>
      </c>
      <c r="R248" s="9" t="n">
        <v>444.52</v>
      </c>
      <c r="S248" s="9" t="n">
        <v>77.37</v>
      </c>
      <c r="T248" s="9" t="s">
        <v>146</v>
      </c>
      <c r="U248" s="9" t="s">
        <v>100</v>
      </c>
    </row>
    <row r="249" customFormat="false" ht="15" hidden="false" customHeight="false" outlineLevel="0" collapsed="false">
      <c r="A249" s="9" t="s">
        <v>1335</v>
      </c>
      <c r="B249" s="9" t="s">
        <v>1336</v>
      </c>
      <c r="C249" s="9" t="s">
        <v>1337</v>
      </c>
      <c r="D249" s="9" t="s">
        <v>1338</v>
      </c>
      <c r="E249" s="9" t="s">
        <v>171</v>
      </c>
      <c r="F249" s="9" t="s">
        <v>130</v>
      </c>
      <c r="G249" s="9" t="s">
        <v>177</v>
      </c>
      <c r="H249" s="9" t="s">
        <v>50</v>
      </c>
      <c r="I249" s="9" t="s">
        <v>51</v>
      </c>
      <c r="J249" s="9" t="s">
        <v>108</v>
      </c>
      <c r="K249" s="9" t="s">
        <v>109</v>
      </c>
      <c r="L249" s="9" t="s">
        <v>1339</v>
      </c>
      <c r="M249" s="9" t="s">
        <v>55</v>
      </c>
      <c r="N249" s="9" t="n">
        <v>8</v>
      </c>
      <c r="O249" s="9" t="n">
        <v>2493.4</v>
      </c>
      <c r="P249" s="9" t="n">
        <v>0.25</v>
      </c>
      <c r="Q249" s="9" t="n">
        <v>14960.4</v>
      </c>
      <c r="R249" s="9" t="n">
        <v>12500.84</v>
      </c>
      <c r="S249" s="9" t="n">
        <v>2459.56</v>
      </c>
      <c r="T249" s="9" t="s">
        <v>56</v>
      </c>
      <c r="U249" s="9" t="s">
        <v>57</v>
      </c>
    </row>
    <row r="250" customFormat="false" ht="15" hidden="false" customHeight="false" outlineLevel="0" collapsed="false">
      <c r="A250" s="9" t="s">
        <v>1340</v>
      </c>
      <c r="B250" s="9" t="s">
        <v>1341</v>
      </c>
      <c r="C250" s="9" t="s">
        <v>608</v>
      </c>
      <c r="D250" s="9" t="s">
        <v>1342</v>
      </c>
      <c r="E250" s="9" t="s">
        <v>204</v>
      </c>
      <c r="F250" s="9" t="s">
        <v>137</v>
      </c>
      <c r="G250" s="9" t="s">
        <v>64</v>
      </c>
      <c r="H250" s="9" t="s">
        <v>65</v>
      </c>
      <c r="I250" s="9" t="s">
        <v>66</v>
      </c>
      <c r="J250" s="9" t="s">
        <v>52</v>
      </c>
      <c r="K250" s="9" t="s">
        <v>131</v>
      </c>
      <c r="L250" s="9" t="s">
        <v>1343</v>
      </c>
      <c r="M250" s="9" t="s">
        <v>55</v>
      </c>
      <c r="N250" s="9" t="n">
        <v>9</v>
      </c>
      <c r="O250" s="9" t="n">
        <v>787.91</v>
      </c>
      <c r="P250" s="9" t="n">
        <v>0.15</v>
      </c>
      <c r="Q250" s="9" t="n">
        <v>6027.51</v>
      </c>
      <c r="R250" s="9" t="n">
        <v>4883.82</v>
      </c>
      <c r="S250" s="9" t="n">
        <v>1143.69</v>
      </c>
      <c r="T250" s="9" t="s">
        <v>56</v>
      </c>
      <c r="U250" s="9" t="s">
        <v>57</v>
      </c>
    </row>
    <row r="251" customFormat="false" ht="15" hidden="false" customHeight="false" outlineLevel="0" collapsed="false">
      <c r="A251" s="9" t="s">
        <v>1344</v>
      </c>
      <c r="B251" s="9" t="s">
        <v>855</v>
      </c>
      <c r="C251" s="9" t="s">
        <v>1345</v>
      </c>
      <c r="D251" s="9" t="s">
        <v>1346</v>
      </c>
      <c r="E251" s="9" t="s">
        <v>62</v>
      </c>
      <c r="F251" s="9" t="s">
        <v>130</v>
      </c>
      <c r="G251" s="9" t="s">
        <v>177</v>
      </c>
      <c r="H251" s="9" t="s">
        <v>50</v>
      </c>
      <c r="I251" s="9" t="s">
        <v>51</v>
      </c>
      <c r="J251" s="9" t="s">
        <v>67</v>
      </c>
      <c r="K251" s="9" t="s">
        <v>87</v>
      </c>
      <c r="L251" s="9" t="s">
        <v>1347</v>
      </c>
      <c r="M251" s="9" t="s">
        <v>78</v>
      </c>
      <c r="N251" s="9" t="n">
        <v>4</v>
      </c>
      <c r="O251" s="9" t="n">
        <v>2790.29</v>
      </c>
      <c r="P251" s="9" t="n">
        <v>0.2</v>
      </c>
      <c r="Q251" s="9" t="n">
        <v>8928.93</v>
      </c>
      <c r="R251" s="9" t="n">
        <v>5634.38</v>
      </c>
      <c r="S251" s="9" t="n">
        <v>3294.55</v>
      </c>
      <c r="T251" s="9" t="s">
        <v>56</v>
      </c>
      <c r="U251" s="9" t="s">
        <v>57</v>
      </c>
    </row>
    <row r="252" customFormat="false" ht="15" hidden="false" customHeight="false" outlineLevel="0" collapsed="false">
      <c r="A252" s="9" t="s">
        <v>1348</v>
      </c>
      <c r="B252" s="9" t="s">
        <v>1349</v>
      </c>
      <c r="C252" s="9" t="s">
        <v>1350</v>
      </c>
      <c r="D252" s="9" t="s">
        <v>1351</v>
      </c>
      <c r="E252" s="9" t="s">
        <v>83</v>
      </c>
      <c r="F252" s="9" t="s">
        <v>63</v>
      </c>
      <c r="G252" s="9" t="s">
        <v>64</v>
      </c>
      <c r="H252" s="9" t="s">
        <v>143</v>
      </c>
      <c r="I252" s="9" t="s">
        <v>144</v>
      </c>
      <c r="J252" s="9" t="s">
        <v>67</v>
      </c>
      <c r="K252" s="9" t="s">
        <v>87</v>
      </c>
      <c r="L252" s="9" t="s">
        <v>1352</v>
      </c>
      <c r="M252" s="9" t="s">
        <v>89</v>
      </c>
      <c r="N252" s="9" t="n">
        <v>5</v>
      </c>
      <c r="O252" s="9" t="n">
        <v>3373.86</v>
      </c>
      <c r="P252" s="9" t="n">
        <v>0.15</v>
      </c>
      <c r="Q252" s="9" t="n">
        <v>14338.9</v>
      </c>
      <c r="R252" s="9" t="n">
        <v>11897.65</v>
      </c>
      <c r="S252" s="9" t="n">
        <v>2441.25</v>
      </c>
      <c r="T252" s="9" t="s">
        <v>160</v>
      </c>
      <c r="U252" s="9" t="s">
        <v>147</v>
      </c>
    </row>
    <row r="253" customFormat="false" ht="15" hidden="false" customHeight="false" outlineLevel="0" collapsed="false">
      <c r="A253" s="9" t="s">
        <v>1353</v>
      </c>
      <c r="B253" s="9" t="s">
        <v>1354</v>
      </c>
      <c r="C253" s="9" t="s">
        <v>112</v>
      </c>
      <c r="D253" s="9" t="s">
        <v>1355</v>
      </c>
      <c r="E253" s="9" t="s">
        <v>94</v>
      </c>
      <c r="F253" s="9" t="s">
        <v>130</v>
      </c>
      <c r="G253" s="9" t="s">
        <v>95</v>
      </c>
      <c r="H253" s="9" t="s">
        <v>260</v>
      </c>
      <c r="I253" s="9" t="s">
        <v>261</v>
      </c>
      <c r="J253" s="9" t="s">
        <v>67</v>
      </c>
      <c r="K253" s="9" t="s">
        <v>68</v>
      </c>
      <c r="L253" s="9" t="s">
        <v>1356</v>
      </c>
      <c r="M253" s="9" t="s">
        <v>55</v>
      </c>
      <c r="N253" s="9" t="n">
        <v>6</v>
      </c>
      <c r="O253" s="9" t="n">
        <v>1022.16</v>
      </c>
      <c r="P253" s="9" t="n">
        <v>0</v>
      </c>
      <c r="Q253" s="9" t="n">
        <v>6132.96</v>
      </c>
      <c r="R253" s="9" t="n">
        <v>4881.1</v>
      </c>
      <c r="S253" s="9" t="n">
        <v>1251.86</v>
      </c>
      <c r="T253" s="9" t="s">
        <v>56</v>
      </c>
      <c r="U253" s="9" t="s">
        <v>57</v>
      </c>
    </row>
    <row r="254" customFormat="false" ht="15" hidden="false" customHeight="false" outlineLevel="0" collapsed="false">
      <c r="A254" s="9" t="s">
        <v>1357</v>
      </c>
      <c r="B254" s="9" t="s">
        <v>1358</v>
      </c>
      <c r="C254" s="9" t="s">
        <v>1253</v>
      </c>
      <c r="D254" s="9" t="s">
        <v>1359</v>
      </c>
      <c r="E254" s="9" t="s">
        <v>83</v>
      </c>
      <c r="F254" s="9" t="s">
        <v>130</v>
      </c>
      <c r="G254" s="9" t="s">
        <v>177</v>
      </c>
      <c r="H254" s="9" t="s">
        <v>348</v>
      </c>
      <c r="I254" s="9" t="s">
        <v>349</v>
      </c>
      <c r="J254" s="9" t="s">
        <v>52</v>
      </c>
      <c r="K254" s="9" t="s">
        <v>180</v>
      </c>
      <c r="L254" s="9" t="s">
        <v>1360</v>
      </c>
      <c r="M254" s="9" t="s">
        <v>78</v>
      </c>
      <c r="N254" s="9" t="n">
        <v>2</v>
      </c>
      <c r="O254" s="9" t="n">
        <v>1455.92</v>
      </c>
      <c r="P254" s="9" t="n">
        <v>0.2</v>
      </c>
      <c r="Q254" s="9" t="n">
        <v>2329.47</v>
      </c>
      <c r="R254" s="9" t="n">
        <v>1603.62</v>
      </c>
      <c r="S254" s="9" t="n">
        <v>725.85</v>
      </c>
      <c r="T254" s="9" t="s">
        <v>160</v>
      </c>
      <c r="U254" s="9" t="s">
        <v>147</v>
      </c>
    </row>
    <row r="255" customFormat="false" ht="15" hidden="false" customHeight="false" outlineLevel="0" collapsed="false">
      <c r="A255" s="9" t="s">
        <v>1361</v>
      </c>
      <c r="B255" s="9" t="s">
        <v>1362</v>
      </c>
      <c r="C255" s="9" t="s">
        <v>1363</v>
      </c>
      <c r="D255" s="9" t="s">
        <v>1364</v>
      </c>
      <c r="E255" s="9" t="s">
        <v>165</v>
      </c>
      <c r="F255" s="9" t="s">
        <v>63</v>
      </c>
      <c r="G255" s="9" t="s">
        <v>177</v>
      </c>
      <c r="H255" s="9" t="s">
        <v>50</v>
      </c>
      <c r="I255" s="9" t="s">
        <v>51</v>
      </c>
      <c r="J255" s="9" t="s">
        <v>108</v>
      </c>
      <c r="K255" s="9" t="s">
        <v>247</v>
      </c>
      <c r="L255" s="9" t="s">
        <v>1365</v>
      </c>
      <c r="M255" s="9" t="s">
        <v>70</v>
      </c>
      <c r="N255" s="9" t="n">
        <v>6</v>
      </c>
      <c r="O255" s="9" t="n">
        <v>832.79</v>
      </c>
      <c r="P255" s="9" t="n">
        <v>0.05</v>
      </c>
      <c r="Q255" s="9" t="n">
        <v>4746.9</v>
      </c>
      <c r="R255" s="9" t="n">
        <v>2825.38</v>
      </c>
      <c r="S255" s="9" t="n">
        <v>1472.89</v>
      </c>
      <c r="T255" s="9" t="s">
        <v>146</v>
      </c>
      <c r="U255" s="9" t="s">
        <v>100</v>
      </c>
    </row>
    <row r="256" customFormat="false" ht="15" hidden="false" customHeight="false" outlineLevel="0" collapsed="false">
      <c r="A256" s="9" t="s">
        <v>1366</v>
      </c>
      <c r="B256" s="9" t="s">
        <v>1367</v>
      </c>
      <c r="C256" s="9" t="s">
        <v>1368</v>
      </c>
      <c r="D256" s="9" t="s">
        <v>1369</v>
      </c>
      <c r="E256" s="9" t="s">
        <v>94</v>
      </c>
      <c r="F256" s="9" t="s">
        <v>48</v>
      </c>
      <c r="G256" s="9" t="s">
        <v>95</v>
      </c>
      <c r="H256" s="9" t="s">
        <v>106</v>
      </c>
      <c r="I256" s="9" t="s">
        <v>107</v>
      </c>
      <c r="J256" s="9" t="s">
        <v>108</v>
      </c>
      <c r="K256" s="9" t="s">
        <v>109</v>
      </c>
      <c r="L256" s="9" t="s">
        <v>1370</v>
      </c>
      <c r="M256" s="9" t="s">
        <v>70</v>
      </c>
      <c r="N256" s="9" t="n">
        <v>7</v>
      </c>
      <c r="O256" s="9" t="n">
        <v>1000.55</v>
      </c>
      <c r="P256" s="9" t="n">
        <v>0.2</v>
      </c>
      <c r="Q256" s="9" t="n">
        <v>5603.08</v>
      </c>
      <c r="R256" s="9" t="n">
        <v>3132.52</v>
      </c>
      <c r="S256" s="9" t="n">
        <v>2470.56</v>
      </c>
      <c r="T256" s="9" t="s">
        <v>56</v>
      </c>
      <c r="U256" s="9" t="s">
        <v>147</v>
      </c>
    </row>
    <row r="257" customFormat="false" ht="15" hidden="false" customHeight="false" outlineLevel="0" collapsed="false">
      <c r="A257" s="9" t="s">
        <v>1371</v>
      </c>
      <c r="B257" s="9" t="s">
        <v>1372</v>
      </c>
      <c r="C257" s="9" t="s">
        <v>1373</v>
      </c>
      <c r="D257" s="9" t="s">
        <v>1374</v>
      </c>
      <c r="E257" s="9" t="s">
        <v>75</v>
      </c>
      <c r="F257" s="9" t="s">
        <v>130</v>
      </c>
      <c r="G257" s="9" t="s">
        <v>95</v>
      </c>
      <c r="H257" s="9" t="s">
        <v>96</v>
      </c>
      <c r="I257" s="9" t="s">
        <v>97</v>
      </c>
      <c r="J257" s="9" t="s">
        <v>108</v>
      </c>
      <c r="K257" s="9" t="s">
        <v>247</v>
      </c>
      <c r="L257" s="9" t="s">
        <v>1375</v>
      </c>
      <c r="M257" s="9" t="s">
        <v>78</v>
      </c>
      <c r="N257" s="9" t="n">
        <v>7</v>
      </c>
      <c r="O257" s="9" t="n">
        <v>1830</v>
      </c>
      <c r="P257" s="9" t="n">
        <v>0</v>
      </c>
      <c r="Q257" s="9" t="n">
        <v>12810</v>
      </c>
      <c r="R257" s="9" t="n">
        <v>9334.12</v>
      </c>
      <c r="S257" s="9" t="n">
        <v>3475.88</v>
      </c>
      <c r="T257" s="9" t="s">
        <v>56</v>
      </c>
      <c r="U257" s="9" t="s">
        <v>57</v>
      </c>
    </row>
    <row r="258" customFormat="false" ht="15" hidden="false" customHeight="false" outlineLevel="0" collapsed="false">
      <c r="A258" s="9" t="s">
        <v>1376</v>
      </c>
      <c r="B258" s="9" t="s">
        <v>1377</v>
      </c>
      <c r="C258" s="9" t="s">
        <v>511</v>
      </c>
      <c r="D258" s="9" t="s">
        <v>1378</v>
      </c>
      <c r="E258" s="9" t="s">
        <v>94</v>
      </c>
      <c r="F258" s="9" t="s">
        <v>48</v>
      </c>
      <c r="G258" s="9" t="s">
        <v>64</v>
      </c>
      <c r="H258" s="9" t="s">
        <v>143</v>
      </c>
      <c r="I258" s="9" t="s">
        <v>144</v>
      </c>
      <c r="J258" s="9" t="s">
        <v>67</v>
      </c>
      <c r="K258" s="9" t="s">
        <v>68</v>
      </c>
      <c r="L258" s="9" t="s">
        <v>1379</v>
      </c>
      <c r="M258" s="9" t="s">
        <v>78</v>
      </c>
      <c r="N258" s="9" t="n">
        <v>9</v>
      </c>
      <c r="O258" s="9" t="n">
        <v>2260.61</v>
      </c>
      <c r="P258" s="9" t="n">
        <v>0.05</v>
      </c>
      <c r="Q258" s="9" t="n">
        <v>19328.22</v>
      </c>
      <c r="R258" s="9" t="n">
        <v>12039.5</v>
      </c>
      <c r="S258" s="9" t="n">
        <v>7288.72</v>
      </c>
      <c r="T258" s="9" t="s">
        <v>56</v>
      </c>
      <c r="U258" s="9" t="s">
        <v>57</v>
      </c>
    </row>
    <row r="259" customFormat="false" ht="15" hidden="false" customHeight="false" outlineLevel="0" collapsed="false">
      <c r="A259" s="9" t="s">
        <v>1380</v>
      </c>
      <c r="B259" s="9" t="s">
        <v>1381</v>
      </c>
      <c r="C259" s="9" t="s">
        <v>1382</v>
      </c>
      <c r="D259" s="9" t="s">
        <v>1383</v>
      </c>
      <c r="E259" s="9" t="s">
        <v>234</v>
      </c>
      <c r="F259" s="9" t="s">
        <v>130</v>
      </c>
      <c r="G259" s="9" t="s">
        <v>84</v>
      </c>
      <c r="H259" s="9" t="s">
        <v>254</v>
      </c>
      <c r="I259" s="9" t="s">
        <v>255</v>
      </c>
      <c r="J259" s="9" t="s">
        <v>108</v>
      </c>
      <c r="K259" s="9" t="s">
        <v>109</v>
      </c>
      <c r="L259" s="9" t="s">
        <v>1384</v>
      </c>
      <c r="M259" s="9" t="s">
        <v>55</v>
      </c>
      <c r="N259" s="9" t="n">
        <v>2</v>
      </c>
      <c r="O259" s="9" t="n">
        <v>3237.27</v>
      </c>
      <c r="P259" s="9" t="n">
        <v>0</v>
      </c>
      <c r="Q259" s="9" t="n">
        <v>6474.54</v>
      </c>
      <c r="R259" s="9" t="n">
        <v>5095.91</v>
      </c>
      <c r="S259" s="9" t="n">
        <v>1378.63</v>
      </c>
      <c r="T259" s="9" t="s">
        <v>56</v>
      </c>
      <c r="U259" s="9" t="s">
        <v>100</v>
      </c>
    </row>
    <row r="260" customFormat="false" ht="15" hidden="false" customHeight="false" outlineLevel="0" collapsed="false">
      <c r="A260" s="9" t="s">
        <v>1385</v>
      </c>
      <c r="B260" s="9" t="s">
        <v>860</v>
      </c>
      <c r="C260" s="9" t="s">
        <v>1386</v>
      </c>
      <c r="D260" s="9" t="s">
        <v>1387</v>
      </c>
      <c r="E260" s="9" t="s">
        <v>192</v>
      </c>
      <c r="F260" s="9" t="s">
        <v>130</v>
      </c>
      <c r="G260" s="9" t="s">
        <v>84</v>
      </c>
      <c r="H260" s="9" t="s">
        <v>364</v>
      </c>
      <c r="I260" s="9" t="s">
        <v>365</v>
      </c>
      <c r="J260" s="9" t="s">
        <v>67</v>
      </c>
      <c r="K260" s="9" t="s">
        <v>68</v>
      </c>
      <c r="L260" s="9" t="s">
        <v>1388</v>
      </c>
      <c r="M260" s="9" t="s">
        <v>70</v>
      </c>
      <c r="N260" s="9" t="n">
        <v>2</v>
      </c>
      <c r="O260" s="9" t="n">
        <v>3720.07</v>
      </c>
      <c r="P260" s="9" t="n">
        <v>0.25</v>
      </c>
      <c r="Q260" s="9" t="n">
        <v>5580.11</v>
      </c>
      <c r="R260" s="9" t="n">
        <v>4307.01</v>
      </c>
      <c r="S260" s="9" t="n">
        <v>1273.1</v>
      </c>
      <c r="T260" s="9" t="s">
        <v>56</v>
      </c>
      <c r="U260" s="9" t="s">
        <v>57</v>
      </c>
    </row>
    <row r="261" customFormat="false" ht="15" hidden="false" customHeight="false" outlineLevel="0" collapsed="false">
      <c r="A261" s="9" t="s">
        <v>1389</v>
      </c>
      <c r="B261" s="9" t="s">
        <v>1390</v>
      </c>
      <c r="C261" s="9" t="s">
        <v>1391</v>
      </c>
      <c r="D261" s="9" t="s">
        <v>1392</v>
      </c>
      <c r="E261" s="9" t="s">
        <v>115</v>
      </c>
      <c r="F261" s="9" t="s">
        <v>48</v>
      </c>
      <c r="G261" s="9" t="s">
        <v>84</v>
      </c>
      <c r="H261" s="9" t="s">
        <v>364</v>
      </c>
      <c r="I261" s="9" t="s">
        <v>365</v>
      </c>
      <c r="J261" s="9" t="s">
        <v>108</v>
      </c>
      <c r="K261" s="9" t="s">
        <v>409</v>
      </c>
      <c r="L261" s="9" t="s">
        <v>1393</v>
      </c>
      <c r="M261" s="9" t="s">
        <v>89</v>
      </c>
      <c r="N261" s="9" t="n">
        <v>8</v>
      </c>
      <c r="O261" s="9" t="n">
        <v>2853.92</v>
      </c>
      <c r="P261" s="9" t="n">
        <v>0.2</v>
      </c>
      <c r="Q261" s="9" t="n">
        <v>18265.09</v>
      </c>
      <c r="R261" s="9" t="n">
        <v>10437.14</v>
      </c>
      <c r="S261" s="9" t="n">
        <v>7827.95</v>
      </c>
      <c r="T261" s="9" t="s">
        <v>56</v>
      </c>
      <c r="U261" s="9" t="s">
        <v>57</v>
      </c>
    </row>
    <row r="262" customFormat="false" ht="15" hidden="false" customHeight="false" outlineLevel="0" collapsed="false">
      <c r="A262" s="9" t="s">
        <v>1394</v>
      </c>
      <c r="B262" s="9" t="s">
        <v>1395</v>
      </c>
      <c r="C262" s="9" t="s">
        <v>1396</v>
      </c>
      <c r="D262" s="9" t="s">
        <v>1397</v>
      </c>
      <c r="E262" s="9" t="s">
        <v>129</v>
      </c>
      <c r="F262" s="9" t="s">
        <v>130</v>
      </c>
      <c r="G262" s="9" t="s">
        <v>64</v>
      </c>
      <c r="H262" s="9" t="s">
        <v>143</v>
      </c>
      <c r="I262" s="9" t="s">
        <v>144</v>
      </c>
      <c r="J262" s="9" t="s">
        <v>52</v>
      </c>
      <c r="K262" s="9" t="s">
        <v>222</v>
      </c>
      <c r="L262" s="9" t="s">
        <v>1398</v>
      </c>
      <c r="M262" s="9" t="s">
        <v>70</v>
      </c>
      <c r="N262" s="9" t="n">
        <v>7</v>
      </c>
      <c r="O262" s="9" t="n">
        <v>2897.12</v>
      </c>
      <c r="P262" s="9" t="n">
        <v>0.25</v>
      </c>
      <c r="Q262" s="9" t="n">
        <v>15209.88</v>
      </c>
      <c r="R262" s="9" t="n">
        <v>10891.15</v>
      </c>
      <c r="S262" s="9" t="n">
        <v>4318.73</v>
      </c>
      <c r="T262" s="9" t="s">
        <v>224</v>
      </c>
      <c r="U262" s="9" t="s">
        <v>147</v>
      </c>
    </row>
    <row r="263" customFormat="false" ht="15" hidden="false" customHeight="false" outlineLevel="0" collapsed="false">
      <c r="A263" s="9" t="s">
        <v>1399</v>
      </c>
      <c r="B263" s="9" t="s">
        <v>1400</v>
      </c>
      <c r="C263" s="9" t="s">
        <v>1401</v>
      </c>
      <c r="D263" s="9" t="s">
        <v>1402</v>
      </c>
      <c r="E263" s="9" t="s">
        <v>192</v>
      </c>
      <c r="F263" s="9" t="s">
        <v>130</v>
      </c>
      <c r="G263" s="9" t="s">
        <v>177</v>
      </c>
      <c r="H263" s="9" t="s">
        <v>50</v>
      </c>
      <c r="I263" s="9" t="s">
        <v>51</v>
      </c>
      <c r="J263" s="9" t="s">
        <v>52</v>
      </c>
      <c r="K263" s="9" t="s">
        <v>131</v>
      </c>
      <c r="L263" s="9" t="s">
        <v>1403</v>
      </c>
      <c r="M263" s="9" t="s">
        <v>89</v>
      </c>
      <c r="N263" s="9" t="n">
        <v>3</v>
      </c>
      <c r="O263" s="9" t="n">
        <v>686.74</v>
      </c>
      <c r="P263" s="9" t="n">
        <v>0.2</v>
      </c>
      <c r="Q263" s="9" t="n">
        <v>1648.18</v>
      </c>
      <c r="R263" s="9" t="n">
        <v>987.91</v>
      </c>
      <c r="S263" s="9" t="n">
        <v>660.27</v>
      </c>
      <c r="T263" s="9" t="s">
        <v>224</v>
      </c>
      <c r="U263" s="9" t="s">
        <v>100</v>
      </c>
    </row>
    <row r="264" customFormat="false" ht="15" hidden="false" customHeight="false" outlineLevel="0" collapsed="false">
      <c r="A264" s="9" t="s">
        <v>1404</v>
      </c>
      <c r="B264" s="9" t="s">
        <v>1405</v>
      </c>
      <c r="C264" s="9" t="s">
        <v>1406</v>
      </c>
      <c r="D264" s="9" t="s">
        <v>985</v>
      </c>
      <c r="E264" s="9" t="s">
        <v>83</v>
      </c>
      <c r="F264" s="9" t="s">
        <v>63</v>
      </c>
      <c r="G264" s="9" t="s">
        <v>177</v>
      </c>
      <c r="H264" s="9" t="s">
        <v>535</v>
      </c>
      <c r="I264" s="9" t="s">
        <v>536</v>
      </c>
      <c r="J264" s="9" t="s">
        <v>108</v>
      </c>
      <c r="K264" s="9" t="s">
        <v>247</v>
      </c>
      <c r="L264" s="9" t="s">
        <v>1407</v>
      </c>
      <c r="M264" s="9" t="s">
        <v>70</v>
      </c>
      <c r="N264" s="9" t="n">
        <v>4</v>
      </c>
      <c r="O264" s="9" t="n">
        <v>3349.86</v>
      </c>
      <c r="P264" s="9" t="n">
        <v>0</v>
      </c>
      <c r="Q264" s="9" t="n">
        <v>13399.44</v>
      </c>
      <c r="R264" s="9" t="n">
        <v>8581.35</v>
      </c>
      <c r="S264" s="9" t="n">
        <v>4818.09</v>
      </c>
      <c r="T264" s="9" t="s">
        <v>160</v>
      </c>
      <c r="U264" s="9" t="s">
        <v>147</v>
      </c>
    </row>
    <row r="265" customFormat="false" ht="15" hidden="false" customHeight="false" outlineLevel="0" collapsed="false">
      <c r="A265" s="9" t="s">
        <v>1408</v>
      </c>
      <c r="B265" s="9" t="s">
        <v>1409</v>
      </c>
      <c r="C265" s="9" t="s">
        <v>979</v>
      </c>
      <c r="D265" s="9" t="s">
        <v>1410</v>
      </c>
      <c r="E265" s="9" t="s">
        <v>204</v>
      </c>
      <c r="F265" s="9" t="s">
        <v>63</v>
      </c>
      <c r="G265" s="9" t="s">
        <v>177</v>
      </c>
      <c r="H265" s="9" t="s">
        <v>535</v>
      </c>
      <c r="I265" s="9" t="s">
        <v>536</v>
      </c>
      <c r="J265" s="9" t="s">
        <v>52</v>
      </c>
      <c r="K265" s="9" t="s">
        <v>222</v>
      </c>
      <c r="L265" s="9" t="s">
        <v>1411</v>
      </c>
      <c r="M265" s="9" t="s">
        <v>55</v>
      </c>
      <c r="N265" s="9" t="n">
        <v>9</v>
      </c>
      <c r="O265" s="9" t="n">
        <v>4042.45</v>
      </c>
      <c r="P265" s="9" t="n">
        <v>0.1</v>
      </c>
      <c r="Q265" s="9" t="n">
        <v>32743.84</v>
      </c>
      <c r="R265" s="9" t="n">
        <v>22452.05</v>
      </c>
      <c r="S265" s="9" t="n">
        <v>10291.79</v>
      </c>
      <c r="T265" s="9" t="s">
        <v>160</v>
      </c>
      <c r="U265" s="9" t="s">
        <v>147</v>
      </c>
    </row>
    <row r="266" customFormat="false" ht="15" hidden="false" customHeight="false" outlineLevel="0" collapsed="false">
      <c r="A266" s="9" t="s">
        <v>1412</v>
      </c>
      <c r="B266" s="9" t="s">
        <v>1413</v>
      </c>
      <c r="C266" s="9" t="s">
        <v>1414</v>
      </c>
      <c r="D266" s="9" t="s">
        <v>1415</v>
      </c>
      <c r="E266" s="9" t="s">
        <v>234</v>
      </c>
      <c r="F266" s="9" t="s">
        <v>63</v>
      </c>
      <c r="G266" s="9" t="s">
        <v>64</v>
      </c>
      <c r="H266" s="9" t="s">
        <v>210</v>
      </c>
      <c r="I266" s="9" t="s">
        <v>211</v>
      </c>
      <c r="J266" s="9" t="s">
        <v>108</v>
      </c>
      <c r="K266" s="9" t="s">
        <v>116</v>
      </c>
      <c r="L266" s="9" t="s">
        <v>1416</v>
      </c>
      <c r="M266" s="9" t="s">
        <v>89</v>
      </c>
      <c r="N266" s="9" t="n">
        <v>4</v>
      </c>
      <c r="O266" s="9" t="n">
        <v>1503.07</v>
      </c>
      <c r="P266" s="9" t="n">
        <v>0</v>
      </c>
      <c r="Q266" s="9" t="n">
        <v>6012.28</v>
      </c>
      <c r="R266" s="9" t="n">
        <v>3927.64</v>
      </c>
      <c r="S266" s="9" t="n">
        <v>2084.64</v>
      </c>
      <c r="T266" s="9" t="s">
        <v>56</v>
      </c>
      <c r="U266" s="9" t="s">
        <v>57</v>
      </c>
    </row>
    <row r="267" customFormat="false" ht="15" hidden="false" customHeight="false" outlineLevel="0" collapsed="false">
      <c r="A267" s="9" t="s">
        <v>1417</v>
      </c>
      <c r="B267" s="9" t="s">
        <v>1418</v>
      </c>
      <c r="C267" s="9" t="s">
        <v>946</v>
      </c>
      <c r="D267" s="9" t="s">
        <v>1419</v>
      </c>
      <c r="E267" s="9" t="s">
        <v>165</v>
      </c>
      <c r="F267" s="9" t="s">
        <v>130</v>
      </c>
      <c r="G267" s="9" t="s">
        <v>64</v>
      </c>
      <c r="H267" s="9" t="s">
        <v>210</v>
      </c>
      <c r="I267" s="9" t="s">
        <v>211</v>
      </c>
      <c r="J267" s="9" t="s">
        <v>67</v>
      </c>
      <c r="K267" s="9" t="s">
        <v>228</v>
      </c>
      <c r="L267" s="9" t="s">
        <v>1420</v>
      </c>
      <c r="M267" s="9" t="s">
        <v>70</v>
      </c>
      <c r="N267" s="9" t="n">
        <v>1</v>
      </c>
      <c r="O267" s="9" t="n">
        <v>582.37</v>
      </c>
      <c r="P267" s="9" t="n">
        <v>0.15</v>
      </c>
      <c r="Q267" s="9" t="n">
        <v>495.01</v>
      </c>
      <c r="R267" s="9" t="n">
        <v>285.13</v>
      </c>
      <c r="S267" s="9" t="n">
        <v>209.88</v>
      </c>
      <c r="T267" s="9" t="s">
        <v>146</v>
      </c>
      <c r="U267" s="9" t="s">
        <v>1421</v>
      </c>
    </row>
    <row r="268" customFormat="false" ht="15" hidden="false" customHeight="false" outlineLevel="0" collapsed="false">
      <c r="A268" s="9" t="s">
        <v>1422</v>
      </c>
      <c r="B268" s="9" t="s">
        <v>1423</v>
      </c>
      <c r="C268" s="9" t="s">
        <v>1424</v>
      </c>
      <c r="D268" s="9" t="s">
        <v>1425</v>
      </c>
      <c r="E268" s="9" t="s">
        <v>115</v>
      </c>
      <c r="F268" s="9" t="s">
        <v>137</v>
      </c>
      <c r="G268" s="9" t="s">
        <v>95</v>
      </c>
      <c r="H268" s="9" t="s">
        <v>96</v>
      </c>
      <c r="I268" s="9" t="s">
        <v>97</v>
      </c>
      <c r="J268" s="9" t="s">
        <v>52</v>
      </c>
      <c r="K268" s="9" t="s">
        <v>180</v>
      </c>
      <c r="L268" s="9" t="s">
        <v>1426</v>
      </c>
      <c r="M268" s="9" t="s">
        <v>55</v>
      </c>
      <c r="N268" s="9" t="n">
        <v>3</v>
      </c>
      <c r="O268" s="9" t="n">
        <v>4339.24</v>
      </c>
      <c r="P268" s="9" t="n">
        <v>0</v>
      </c>
      <c r="Q268" s="9" t="n">
        <v>13017.72</v>
      </c>
      <c r="R268" s="9" t="n">
        <v>10170.57</v>
      </c>
      <c r="S268" s="9" t="n">
        <v>2847.15</v>
      </c>
      <c r="T268" s="9" t="s">
        <v>56</v>
      </c>
      <c r="U268" s="9" t="s">
        <v>57</v>
      </c>
    </row>
    <row r="269" customFormat="false" ht="15" hidden="false" customHeight="false" outlineLevel="0" collapsed="false">
      <c r="A269" s="9" t="s">
        <v>1427</v>
      </c>
      <c r="B269" s="9" t="s">
        <v>1053</v>
      </c>
      <c r="C269" s="9" t="s">
        <v>1428</v>
      </c>
      <c r="D269" s="9" t="s">
        <v>1429</v>
      </c>
      <c r="E269" s="9" t="s">
        <v>234</v>
      </c>
      <c r="F269" s="9" t="s">
        <v>130</v>
      </c>
      <c r="G269" s="9" t="s">
        <v>64</v>
      </c>
      <c r="H269" s="9" t="s">
        <v>336</v>
      </c>
      <c r="I269" s="9" t="s">
        <v>337</v>
      </c>
      <c r="J269" s="9" t="s">
        <v>67</v>
      </c>
      <c r="K269" s="9" t="s">
        <v>87</v>
      </c>
      <c r="L269" s="9" t="s">
        <v>1430</v>
      </c>
      <c r="M269" s="9" t="s">
        <v>78</v>
      </c>
      <c r="N269" s="9" t="n">
        <v>4</v>
      </c>
      <c r="O269" s="9" t="n">
        <v>261.8</v>
      </c>
      <c r="P269" s="9" t="n">
        <v>0.25</v>
      </c>
      <c r="Q269" s="9" t="n">
        <v>785.4</v>
      </c>
      <c r="R269" s="9" t="n">
        <v>557.22</v>
      </c>
      <c r="S269" s="9" t="n">
        <v>228.18</v>
      </c>
      <c r="T269" s="9" t="s">
        <v>56</v>
      </c>
      <c r="U269" s="9" t="s">
        <v>57</v>
      </c>
    </row>
    <row r="270" customFormat="false" ht="15" hidden="false" customHeight="false" outlineLevel="0" collapsed="false">
      <c r="A270" s="9" t="s">
        <v>1431</v>
      </c>
      <c r="B270" s="9" t="s">
        <v>1432</v>
      </c>
      <c r="C270" s="9" t="s">
        <v>1432</v>
      </c>
      <c r="D270" s="9" t="s">
        <v>1433</v>
      </c>
      <c r="E270" s="9" t="s">
        <v>186</v>
      </c>
      <c r="F270" s="9" t="s">
        <v>137</v>
      </c>
      <c r="G270" s="9" t="s">
        <v>177</v>
      </c>
      <c r="H270" s="9" t="s">
        <v>178</v>
      </c>
      <c r="I270" s="9" t="s">
        <v>179</v>
      </c>
      <c r="J270" s="9" t="s">
        <v>108</v>
      </c>
      <c r="K270" s="9" t="s">
        <v>109</v>
      </c>
      <c r="L270" s="9" t="s">
        <v>1434</v>
      </c>
      <c r="M270" s="9" t="s">
        <v>78</v>
      </c>
      <c r="N270" s="9" t="n">
        <v>7</v>
      </c>
      <c r="O270" s="9" t="n">
        <v>632.2</v>
      </c>
      <c r="P270" s="9" t="n">
        <v>0.25</v>
      </c>
      <c r="Q270" s="9" t="n">
        <v>3319.05</v>
      </c>
      <c r="R270" s="9" t="n">
        <v>2124.6</v>
      </c>
      <c r="S270" s="9" t="n">
        <v>1194.45</v>
      </c>
      <c r="T270" s="9" t="s">
        <v>56</v>
      </c>
      <c r="U270" s="9" t="s">
        <v>57</v>
      </c>
    </row>
    <row r="271" customFormat="false" ht="15" hidden="false" customHeight="false" outlineLevel="0" collapsed="false">
      <c r="A271" s="9" t="s">
        <v>1435</v>
      </c>
      <c r="B271" s="9" t="s">
        <v>1373</v>
      </c>
      <c r="C271" s="9" t="s">
        <v>1436</v>
      </c>
      <c r="D271" s="9" t="s">
        <v>1437</v>
      </c>
      <c r="E271" s="9" t="s">
        <v>171</v>
      </c>
      <c r="F271" s="9" t="s">
        <v>63</v>
      </c>
      <c r="G271" s="9" t="s">
        <v>95</v>
      </c>
      <c r="H271" s="9" t="s">
        <v>50</v>
      </c>
      <c r="I271" s="9" t="s">
        <v>158</v>
      </c>
      <c r="J271" s="9" t="s">
        <v>529</v>
      </c>
      <c r="K271" s="9" t="s">
        <v>68</v>
      </c>
      <c r="L271" s="9" t="s">
        <v>1438</v>
      </c>
      <c r="M271" s="9" t="s">
        <v>70</v>
      </c>
      <c r="N271" s="9" t="n">
        <v>1</v>
      </c>
      <c r="O271" s="9" t="n">
        <v>1925.86</v>
      </c>
      <c r="P271" s="9" t="n">
        <v>0</v>
      </c>
      <c r="Q271" s="9" t="n">
        <v>1925.86</v>
      </c>
      <c r="R271" s="9" t="n">
        <v>1321.89</v>
      </c>
      <c r="S271" s="9" t="n">
        <v>603.97</v>
      </c>
      <c r="T271" s="9" t="s">
        <v>56</v>
      </c>
      <c r="U271" s="9" t="s">
        <v>57</v>
      </c>
    </row>
    <row r="272" customFormat="false" ht="15" hidden="false" customHeight="false" outlineLevel="0" collapsed="false">
      <c r="A272" s="9" t="s">
        <v>1439</v>
      </c>
      <c r="B272" s="9" t="s">
        <v>1296</v>
      </c>
      <c r="C272" s="9" t="s">
        <v>593</v>
      </c>
      <c r="D272" s="9" t="s">
        <v>1440</v>
      </c>
      <c r="E272" s="9" t="s">
        <v>129</v>
      </c>
      <c r="F272" s="9" t="s">
        <v>130</v>
      </c>
      <c r="G272" s="9" t="s">
        <v>177</v>
      </c>
      <c r="H272" s="9" t="s">
        <v>198</v>
      </c>
      <c r="I272" s="9" t="s">
        <v>199</v>
      </c>
      <c r="J272" s="9" t="s">
        <v>108</v>
      </c>
      <c r="K272" s="9" t="s">
        <v>409</v>
      </c>
      <c r="L272" s="9" t="s">
        <v>1441</v>
      </c>
      <c r="M272" s="9" t="s">
        <v>70</v>
      </c>
      <c r="N272" s="9" t="n">
        <v>3</v>
      </c>
      <c r="O272" s="9" t="n">
        <v>827.44</v>
      </c>
      <c r="P272" s="9" t="n">
        <v>0</v>
      </c>
      <c r="Q272" s="9" t="n">
        <v>2482.32</v>
      </c>
      <c r="R272" s="9" t="n">
        <v>1520.21</v>
      </c>
      <c r="S272" s="9" t="n">
        <v>962.11</v>
      </c>
      <c r="T272" s="9" t="s">
        <v>56</v>
      </c>
      <c r="U272" s="9" t="s">
        <v>57</v>
      </c>
    </row>
    <row r="273" customFormat="false" ht="15" hidden="false" customHeight="false" outlineLevel="0" collapsed="false">
      <c r="A273" s="9" t="s">
        <v>1442</v>
      </c>
      <c r="B273" s="9" t="s">
        <v>1443</v>
      </c>
      <c r="C273" s="9" t="s">
        <v>1444</v>
      </c>
      <c r="D273" s="9" t="s">
        <v>1445</v>
      </c>
      <c r="E273" s="9" t="s">
        <v>129</v>
      </c>
      <c r="F273" s="9" t="s">
        <v>48</v>
      </c>
      <c r="G273" s="9" t="s">
        <v>84</v>
      </c>
      <c r="H273" s="9" t="s">
        <v>85</v>
      </c>
      <c r="I273" s="9" t="s">
        <v>86</v>
      </c>
      <c r="J273" s="9" t="s">
        <v>52</v>
      </c>
      <c r="K273" s="9" t="s">
        <v>222</v>
      </c>
      <c r="L273" s="9" t="s">
        <v>1446</v>
      </c>
      <c r="M273" s="9" t="s">
        <v>89</v>
      </c>
      <c r="N273" s="9" t="n">
        <v>7</v>
      </c>
      <c r="O273" s="9" t="n">
        <v>1667.75</v>
      </c>
      <c r="P273" s="9" t="n">
        <v>0</v>
      </c>
      <c r="Q273" s="9" t="n">
        <v>11674.25</v>
      </c>
      <c r="R273" s="9" t="n">
        <v>9621.19</v>
      </c>
      <c r="S273" s="9" t="n">
        <v>2053.06</v>
      </c>
      <c r="T273" s="9" t="s">
        <v>224</v>
      </c>
      <c r="U273" s="9" t="s">
        <v>100</v>
      </c>
    </row>
    <row r="274" customFormat="false" ht="15" hidden="false" customHeight="false" outlineLevel="0" collapsed="false">
      <c r="A274" s="9" t="s">
        <v>1447</v>
      </c>
      <c r="B274" s="9" t="s">
        <v>1448</v>
      </c>
      <c r="C274" s="9" t="s">
        <v>1449</v>
      </c>
      <c r="D274" s="9" t="s">
        <v>1450</v>
      </c>
      <c r="E274" s="9" t="s">
        <v>83</v>
      </c>
      <c r="F274" s="9" t="s">
        <v>48</v>
      </c>
      <c r="G274" s="9" t="s">
        <v>84</v>
      </c>
      <c r="H274" s="9" t="s">
        <v>122</v>
      </c>
      <c r="I274" s="9" t="s">
        <v>123</v>
      </c>
      <c r="J274" s="9" t="s">
        <v>67</v>
      </c>
      <c r="K274" s="9" t="s">
        <v>98</v>
      </c>
      <c r="L274" s="9" t="s">
        <v>1451</v>
      </c>
      <c r="M274" s="9" t="s">
        <v>78</v>
      </c>
      <c r="N274" s="9" t="n">
        <v>7</v>
      </c>
      <c r="O274" s="9" t="n">
        <v>557.21</v>
      </c>
      <c r="P274" s="9" t="n">
        <v>0.1</v>
      </c>
      <c r="Q274" s="9" t="n">
        <v>3510.42</v>
      </c>
      <c r="R274" s="9" t="n">
        <v>2191.5</v>
      </c>
      <c r="S274" s="9" t="n">
        <v>1213.48</v>
      </c>
      <c r="T274" s="9" t="s">
        <v>56</v>
      </c>
      <c r="U274" s="9" t="s">
        <v>57</v>
      </c>
    </row>
    <row r="275" customFormat="false" ht="15" hidden="false" customHeight="false" outlineLevel="0" collapsed="false">
      <c r="A275" s="9" t="s">
        <v>1452</v>
      </c>
      <c r="B275" s="9" t="s">
        <v>1453</v>
      </c>
      <c r="C275" s="9" t="s">
        <v>1454</v>
      </c>
      <c r="D275" s="9" t="s">
        <v>1455</v>
      </c>
      <c r="E275" s="9" t="s">
        <v>75</v>
      </c>
      <c r="F275" s="9" t="s">
        <v>48</v>
      </c>
      <c r="G275" s="9" t="s">
        <v>64</v>
      </c>
      <c r="H275" s="9" t="s">
        <v>210</v>
      </c>
      <c r="I275" s="9" t="s">
        <v>211</v>
      </c>
      <c r="J275" s="9" t="s">
        <v>52</v>
      </c>
      <c r="K275" s="9" t="s">
        <v>53</v>
      </c>
      <c r="L275" s="9" t="s">
        <v>1456</v>
      </c>
      <c r="M275" s="9" t="s">
        <v>55</v>
      </c>
      <c r="N275" s="9" t="n">
        <v>9</v>
      </c>
      <c r="O275" s="9" t="n">
        <v>2521.63</v>
      </c>
      <c r="P275" s="9" t="n">
        <v>0</v>
      </c>
      <c r="Q275" s="9" t="n">
        <v>22694.67</v>
      </c>
      <c r="R275" s="9" t="n">
        <v>15405.36</v>
      </c>
      <c r="S275" s="9" t="n">
        <v>7289.31</v>
      </c>
      <c r="T275" s="9" t="s">
        <v>56</v>
      </c>
      <c r="U275" s="9" t="s">
        <v>147</v>
      </c>
    </row>
    <row r="276" customFormat="false" ht="15" hidden="false" customHeight="false" outlineLevel="0" collapsed="false">
      <c r="A276" s="9" t="s">
        <v>1457</v>
      </c>
      <c r="B276" s="9" t="s">
        <v>1458</v>
      </c>
      <c r="C276" s="9" t="s">
        <v>1459</v>
      </c>
      <c r="D276" s="9" t="s">
        <v>1460</v>
      </c>
      <c r="E276" s="9" t="s">
        <v>204</v>
      </c>
      <c r="F276" s="9" t="s">
        <v>48</v>
      </c>
      <c r="G276" s="9" t="s">
        <v>84</v>
      </c>
      <c r="H276" s="9" t="s">
        <v>267</v>
      </c>
      <c r="I276" s="9" t="s">
        <v>268</v>
      </c>
      <c r="J276" s="9" t="s">
        <v>108</v>
      </c>
      <c r="K276" s="9" t="s">
        <v>116</v>
      </c>
      <c r="L276" s="9" t="s">
        <v>1461</v>
      </c>
      <c r="M276" s="9" t="s">
        <v>89</v>
      </c>
      <c r="N276" s="9" t="n">
        <v>6</v>
      </c>
      <c r="O276" s="9" t="n">
        <v>4246.71</v>
      </c>
      <c r="P276" s="9" t="n">
        <v>0.15</v>
      </c>
      <c r="Q276" s="9" t="n">
        <v>21658.22</v>
      </c>
      <c r="R276" s="9" t="n">
        <v>15490.69</v>
      </c>
      <c r="S276" s="9" t="n">
        <v>6167.53</v>
      </c>
      <c r="T276" s="9" t="s">
        <v>224</v>
      </c>
      <c r="U276" s="9" t="s">
        <v>147</v>
      </c>
    </row>
    <row r="277" customFormat="false" ht="15" hidden="false" customHeight="false" outlineLevel="0" collapsed="false">
      <c r="A277" s="9" t="s">
        <v>1462</v>
      </c>
      <c r="B277" s="9" t="s">
        <v>709</v>
      </c>
      <c r="C277" s="9" t="s">
        <v>1463</v>
      </c>
      <c r="D277" s="9" t="s">
        <v>1464</v>
      </c>
      <c r="E277" s="9" t="s">
        <v>165</v>
      </c>
      <c r="F277" s="9" t="s">
        <v>63</v>
      </c>
      <c r="G277" s="9" t="s">
        <v>64</v>
      </c>
      <c r="H277" s="9" t="s">
        <v>143</v>
      </c>
      <c r="I277" s="9" t="s">
        <v>144</v>
      </c>
      <c r="J277" s="9" t="s">
        <v>67</v>
      </c>
      <c r="K277" s="9" t="s">
        <v>87</v>
      </c>
      <c r="L277" s="9" t="s">
        <v>1465</v>
      </c>
      <c r="M277" s="9" t="s">
        <v>70</v>
      </c>
      <c r="N277" s="9" t="n">
        <v>1</v>
      </c>
      <c r="O277" s="9" t="n">
        <v>980.51</v>
      </c>
      <c r="P277" s="9" t="n">
        <v>0</v>
      </c>
      <c r="Q277" s="9" t="n">
        <v>980.51</v>
      </c>
      <c r="R277" s="9" t="n">
        <v>660.92</v>
      </c>
      <c r="S277" s="9" t="n">
        <v>319.59</v>
      </c>
      <c r="T277" s="9" t="s">
        <v>56</v>
      </c>
      <c r="U277" s="9" t="s">
        <v>57</v>
      </c>
    </row>
    <row r="278" customFormat="false" ht="15" hidden="false" customHeight="false" outlineLevel="0" collapsed="false">
      <c r="A278" s="9" t="s">
        <v>1466</v>
      </c>
      <c r="B278" s="9" t="s">
        <v>1094</v>
      </c>
      <c r="C278" s="9" t="s">
        <v>1467</v>
      </c>
      <c r="D278" s="9" t="s">
        <v>1468</v>
      </c>
      <c r="E278" s="9" t="s">
        <v>186</v>
      </c>
      <c r="F278" s="9" t="s">
        <v>63</v>
      </c>
      <c r="G278" s="9"/>
      <c r="H278" s="9" t="s">
        <v>240</v>
      </c>
      <c r="I278" s="9" t="s">
        <v>241</v>
      </c>
      <c r="J278" s="9" t="s">
        <v>67</v>
      </c>
      <c r="K278" s="9" t="s">
        <v>98</v>
      </c>
      <c r="L278" s="9" t="s">
        <v>1469</v>
      </c>
      <c r="M278" s="9" t="s">
        <v>55</v>
      </c>
      <c r="N278" s="9" t="n">
        <v>6</v>
      </c>
      <c r="O278" s="9" t="n">
        <v>3391.53</v>
      </c>
      <c r="P278" s="9" t="n">
        <v>-0.14</v>
      </c>
      <c r="Q278" s="9" t="n">
        <v>15261.89</v>
      </c>
      <c r="R278" s="9" t="n">
        <v>8413.53</v>
      </c>
      <c r="S278" s="9" t="n">
        <v>6848.36</v>
      </c>
      <c r="T278" s="9" t="s">
        <v>56</v>
      </c>
      <c r="U278" s="9" t="s">
        <v>57</v>
      </c>
    </row>
    <row r="279" customFormat="false" ht="15" hidden="false" customHeight="false" outlineLevel="0" collapsed="false">
      <c r="A279" s="9" t="s">
        <v>1470</v>
      </c>
      <c r="B279" s="9" t="s">
        <v>1471</v>
      </c>
      <c r="C279" s="9" t="s">
        <v>1471</v>
      </c>
      <c r="D279" s="9" t="s">
        <v>1244</v>
      </c>
      <c r="E279" s="9" t="s">
        <v>75</v>
      </c>
      <c r="F279" s="9" t="s">
        <v>130</v>
      </c>
      <c r="G279" s="9" t="s">
        <v>177</v>
      </c>
      <c r="H279" s="9" t="s">
        <v>348</v>
      </c>
      <c r="I279" s="9" t="s">
        <v>349</v>
      </c>
      <c r="J279" s="9" t="s">
        <v>108</v>
      </c>
      <c r="K279" s="9" t="s">
        <v>109</v>
      </c>
      <c r="L279" s="9" t="s">
        <v>1472</v>
      </c>
      <c r="M279" s="9" t="s">
        <v>55</v>
      </c>
      <c r="N279" s="9" t="n">
        <v>1</v>
      </c>
      <c r="O279" s="9" t="n">
        <v>2133.73</v>
      </c>
      <c r="P279" s="9" t="n">
        <v>0.15</v>
      </c>
      <c r="Q279" s="9" t="n">
        <v>2008.39</v>
      </c>
      <c r="R279" s="9" t="n">
        <v>1002.57</v>
      </c>
      <c r="S279" s="9" t="n">
        <v>811.1</v>
      </c>
      <c r="T279" s="9" t="s">
        <v>160</v>
      </c>
      <c r="U279" s="9" t="s">
        <v>100</v>
      </c>
    </row>
    <row r="280" customFormat="false" ht="15" hidden="false" customHeight="false" outlineLevel="0" collapsed="false">
      <c r="A280" s="9" t="s">
        <v>1473</v>
      </c>
      <c r="B280" s="9" t="s">
        <v>822</v>
      </c>
      <c r="C280" s="9" t="s">
        <v>1474</v>
      </c>
      <c r="D280" s="9" t="s">
        <v>1475</v>
      </c>
      <c r="E280" s="9" t="s">
        <v>1476</v>
      </c>
      <c r="F280" s="9" t="s">
        <v>63</v>
      </c>
      <c r="G280" s="9" t="s">
        <v>177</v>
      </c>
      <c r="H280" s="9" t="s">
        <v>535</v>
      </c>
      <c r="I280" s="9" t="s">
        <v>536</v>
      </c>
      <c r="J280" s="9" t="s">
        <v>108</v>
      </c>
      <c r="K280" s="9" t="s">
        <v>109</v>
      </c>
      <c r="L280" s="9" t="s">
        <v>1477</v>
      </c>
      <c r="M280" s="9" t="s">
        <v>70</v>
      </c>
      <c r="N280" s="9" t="n">
        <v>1</v>
      </c>
      <c r="O280" s="9" t="n">
        <v>3979.64</v>
      </c>
      <c r="P280" s="9" t="n">
        <v>0.05</v>
      </c>
      <c r="Q280" s="9" t="n">
        <v>3780.66</v>
      </c>
      <c r="R280" s="9" t="n">
        <v>2148.31</v>
      </c>
      <c r="S280" s="9" t="n">
        <v>1632.35</v>
      </c>
      <c r="T280" s="9" t="s">
        <v>56</v>
      </c>
      <c r="U280" s="9" t="s">
        <v>147</v>
      </c>
    </row>
    <row r="281" customFormat="false" ht="15" hidden="false" customHeight="false" outlineLevel="0" collapsed="false">
      <c r="A281" s="9" t="s">
        <v>1478</v>
      </c>
      <c r="B281" s="9" t="s">
        <v>1479</v>
      </c>
      <c r="C281" s="9" t="s">
        <v>1480</v>
      </c>
      <c r="D281" s="9" t="s">
        <v>1481</v>
      </c>
      <c r="E281" s="9" t="s">
        <v>204</v>
      </c>
      <c r="F281" s="9" t="s">
        <v>63</v>
      </c>
      <c r="G281" s="9" t="s">
        <v>95</v>
      </c>
      <c r="H281" s="9" t="s">
        <v>96</v>
      </c>
      <c r="I281" s="9" t="s">
        <v>97</v>
      </c>
      <c r="J281" s="9" t="s">
        <v>52</v>
      </c>
      <c r="K281" s="9" t="s">
        <v>180</v>
      </c>
      <c r="L281" s="9" t="s">
        <v>1482</v>
      </c>
      <c r="M281" s="9" t="s">
        <v>78</v>
      </c>
      <c r="N281" s="9" t="n">
        <v>1</v>
      </c>
      <c r="O281" s="9" t="n">
        <v>4359.12</v>
      </c>
      <c r="P281" s="9" t="n">
        <v>0.05</v>
      </c>
      <c r="Q281" s="9" t="n">
        <v>4141.16</v>
      </c>
      <c r="R281" s="9" t="n">
        <v>2754.17</v>
      </c>
      <c r="S281" s="9" t="n">
        <v>1386.99</v>
      </c>
      <c r="T281" s="9" t="s">
        <v>56</v>
      </c>
      <c r="U281" s="9" t="s">
        <v>57</v>
      </c>
    </row>
    <row r="282" customFormat="false" ht="15" hidden="false" customHeight="false" outlineLevel="0" collapsed="false">
      <c r="A282" s="9" t="s">
        <v>1483</v>
      </c>
      <c r="B282" s="9" t="s">
        <v>1484</v>
      </c>
      <c r="C282" s="9" t="s">
        <v>1485</v>
      </c>
      <c r="D282" s="9" t="s">
        <v>1486</v>
      </c>
      <c r="E282" s="9" t="s">
        <v>129</v>
      </c>
      <c r="F282" s="9" t="s">
        <v>48</v>
      </c>
      <c r="G282" s="9" t="s">
        <v>84</v>
      </c>
      <c r="H282" s="9" t="s">
        <v>254</v>
      </c>
      <c r="I282" s="9" t="s">
        <v>255</v>
      </c>
      <c r="J282" s="9" t="s">
        <v>108</v>
      </c>
      <c r="K282" s="9" t="s">
        <v>116</v>
      </c>
      <c r="L282" s="9" t="s">
        <v>1487</v>
      </c>
      <c r="M282" s="9" t="s">
        <v>89</v>
      </c>
      <c r="N282" s="9" t="n">
        <v>9</v>
      </c>
      <c r="O282" s="9" t="n">
        <v>993.67</v>
      </c>
      <c r="P282" s="9" t="n">
        <v>0</v>
      </c>
      <c r="Q282" s="9" t="n">
        <v>8943.03</v>
      </c>
      <c r="R282" s="9" t="n">
        <v>5165.38</v>
      </c>
      <c r="S282" s="9" t="n">
        <v>3777.65</v>
      </c>
      <c r="T282" s="9" t="s">
        <v>56</v>
      </c>
      <c r="U282" s="9" t="s">
        <v>57</v>
      </c>
    </row>
    <row r="283" customFormat="false" ht="15" hidden="false" customHeight="false" outlineLevel="0" collapsed="false">
      <c r="A283" s="9" t="s">
        <v>1488</v>
      </c>
      <c r="B283" s="9" t="s">
        <v>1489</v>
      </c>
      <c r="C283" s="9" t="s">
        <v>1490</v>
      </c>
      <c r="D283" s="9" t="s">
        <v>1491</v>
      </c>
      <c r="E283" s="9" t="s">
        <v>393</v>
      </c>
      <c r="F283" s="9" t="s">
        <v>48</v>
      </c>
      <c r="G283" s="9" t="s">
        <v>64</v>
      </c>
      <c r="H283" s="9" t="s">
        <v>336</v>
      </c>
      <c r="I283" s="9" t="s">
        <v>337</v>
      </c>
      <c r="J283" s="9" t="s">
        <v>52</v>
      </c>
      <c r="K283" s="9" t="s">
        <v>222</v>
      </c>
      <c r="L283" s="9" t="s">
        <v>1492</v>
      </c>
      <c r="M283" s="9" t="s">
        <v>55</v>
      </c>
      <c r="N283" s="9" t="n">
        <v>6</v>
      </c>
      <c r="O283" s="9" t="n">
        <v>3438.38</v>
      </c>
      <c r="P283" s="9" t="n">
        <v>0.2</v>
      </c>
      <c r="Q283" s="9" t="n">
        <v>16504.22</v>
      </c>
      <c r="R283" s="9" t="n">
        <v>11262.71</v>
      </c>
      <c r="S283" s="9" t="n">
        <v>5241.51</v>
      </c>
      <c r="T283" s="9" t="s">
        <v>56</v>
      </c>
      <c r="U283" s="9" t="s">
        <v>57</v>
      </c>
    </row>
    <row r="284" customFormat="false" ht="15" hidden="false" customHeight="false" outlineLevel="0" collapsed="false">
      <c r="A284" s="9" t="s">
        <v>1493</v>
      </c>
      <c r="B284" s="9" t="s">
        <v>1494</v>
      </c>
      <c r="C284" s="9" t="s">
        <v>1495</v>
      </c>
      <c r="D284" s="9" t="s">
        <v>1496</v>
      </c>
      <c r="E284" s="9" t="s">
        <v>47</v>
      </c>
      <c r="F284" s="9" t="s">
        <v>137</v>
      </c>
      <c r="G284" s="9" t="s">
        <v>64</v>
      </c>
      <c r="H284" s="9" t="s">
        <v>240</v>
      </c>
      <c r="I284" s="9" t="s">
        <v>241</v>
      </c>
      <c r="J284" s="9" t="s">
        <v>67</v>
      </c>
      <c r="K284" s="9" t="s">
        <v>68</v>
      </c>
      <c r="L284" s="9" t="s">
        <v>1497</v>
      </c>
      <c r="M284" s="9" t="s">
        <v>55</v>
      </c>
      <c r="N284" s="9" t="n">
        <v>2</v>
      </c>
      <c r="O284" s="9" t="n">
        <v>2298</v>
      </c>
      <c r="P284" s="9" t="n">
        <v>0</v>
      </c>
      <c r="Q284" s="9" t="n">
        <v>4596</v>
      </c>
      <c r="R284" s="9" t="n">
        <v>3220.33</v>
      </c>
      <c r="S284" s="9" t="n">
        <v>1375.67</v>
      </c>
      <c r="T284" s="9" t="s">
        <v>56</v>
      </c>
      <c r="U284" s="9" t="s">
        <v>57</v>
      </c>
    </row>
    <row r="285" customFormat="false" ht="15" hidden="false" customHeight="false" outlineLevel="0" collapsed="false">
      <c r="A285" s="9" t="s">
        <v>1498</v>
      </c>
      <c r="B285" s="9" t="s">
        <v>1499</v>
      </c>
      <c r="C285" s="9" t="s">
        <v>1500</v>
      </c>
      <c r="D285" s="9" t="s">
        <v>1501</v>
      </c>
      <c r="E285" s="9" t="s">
        <v>105</v>
      </c>
      <c r="F285" s="9" t="s">
        <v>48</v>
      </c>
      <c r="G285" s="9" t="s">
        <v>95</v>
      </c>
      <c r="H285" s="9" t="s">
        <v>96</v>
      </c>
      <c r="I285" s="9" t="s">
        <v>97</v>
      </c>
      <c r="J285" s="9" t="s">
        <v>67</v>
      </c>
      <c r="K285" s="9" t="s">
        <v>87</v>
      </c>
      <c r="L285" s="9" t="s">
        <v>1502</v>
      </c>
      <c r="M285" s="9" t="s">
        <v>78</v>
      </c>
      <c r="N285" s="9" t="n">
        <v>1</v>
      </c>
      <c r="O285" s="9" t="n">
        <v>1814.01</v>
      </c>
      <c r="P285" s="9" t="n">
        <v>0</v>
      </c>
      <c r="Q285" s="9" t="n">
        <v>1814.01</v>
      </c>
      <c r="R285" s="9" t="n">
        <v>1033.47</v>
      </c>
      <c r="S285" s="9" t="n">
        <v>780.54</v>
      </c>
      <c r="T285" s="9" t="s">
        <v>56</v>
      </c>
      <c r="U285" s="9" t="s">
        <v>57</v>
      </c>
    </row>
    <row r="286" customFormat="false" ht="15" hidden="false" customHeight="false" outlineLevel="0" collapsed="false">
      <c r="A286" s="9" t="s">
        <v>1503</v>
      </c>
      <c r="B286" s="9" t="s">
        <v>1504</v>
      </c>
      <c r="C286" s="9" t="s">
        <v>1505</v>
      </c>
      <c r="D286" s="9" t="s">
        <v>1506</v>
      </c>
      <c r="E286" s="9" t="s">
        <v>47</v>
      </c>
      <c r="F286" s="9" t="s">
        <v>48</v>
      </c>
      <c r="G286" s="9" t="s">
        <v>64</v>
      </c>
      <c r="H286" s="9" t="s">
        <v>65</v>
      </c>
      <c r="I286" s="9" t="s">
        <v>66</v>
      </c>
      <c r="J286" s="9" t="s">
        <v>67</v>
      </c>
      <c r="K286" s="9" t="s">
        <v>68</v>
      </c>
      <c r="L286" s="9" t="s">
        <v>1507</v>
      </c>
      <c r="M286" s="9" t="s">
        <v>70</v>
      </c>
      <c r="N286" s="9" t="n">
        <v>3</v>
      </c>
      <c r="O286" s="9" t="n">
        <v>1576.92</v>
      </c>
      <c r="P286" s="9" t="n">
        <v>0</v>
      </c>
      <c r="Q286" s="9" t="n">
        <v>4730.76</v>
      </c>
      <c r="R286" s="9" t="n">
        <v>3139.73</v>
      </c>
      <c r="S286" s="9" t="n">
        <v>1591.03</v>
      </c>
      <c r="T286" s="9" t="s">
        <v>56</v>
      </c>
      <c r="U286" s="9" t="s">
        <v>147</v>
      </c>
    </row>
    <row r="287" customFormat="false" ht="15" hidden="false" customHeight="false" outlineLevel="0" collapsed="false">
      <c r="A287" s="9" t="s">
        <v>1508</v>
      </c>
      <c r="B287" s="9" t="s">
        <v>1509</v>
      </c>
      <c r="C287" s="9" t="s">
        <v>1510</v>
      </c>
      <c r="D287" s="9" t="s">
        <v>1511</v>
      </c>
      <c r="E287" s="9" t="s">
        <v>115</v>
      </c>
      <c r="F287" s="9" t="s">
        <v>137</v>
      </c>
      <c r="G287" s="9" t="s">
        <v>177</v>
      </c>
      <c r="H287" s="9" t="s">
        <v>50</v>
      </c>
      <c r="I287" s="9" t="s">
        <v>51</v>
      </c>
      <c r="J287" s="9" t="s">
        <v>52</v>
      </c>
      <c r="K287" s="9" t="s">
        <v>180</v>
      </c>
      <c r="L287" s="9" t="s">
        <v>1512</v>
      </c>
      <c r="M287" s="9" t="s">
        <v>89</v>
      </c>
      <c r="N287" s="9" t="n">
        <v>9</v>
      </c>
      <c r="O287" s="9" t="n">
        <v>4081.77</v>
      </c>
      <c r="P287" s="9" t="n">
        <v>0</v>
      </c>
      <c r="Q287" s="9" t="n">
        <v>36735.93</v>
      </c>
      <c r="R287" s="9" t="n">
        <v>30820.84</v>
      </c>
      <c r="S287" s="9" t="n">
        <v>5915.09</v>
      </c>
      <c r="T287" s="9" t="s">
        <v>56</v>
      </c>
      <c r="U287" s="9" t="s">
        <v>57</v>
      </c>
    </row>
    <row r="288" customFormat="false" ht="15" hidden="false" customHeight="false" outlineLevel="0" collapsed="false">
      <c r="A288" s="9" t="s">
        <v>1513</v>
      </c>
      <c r="B288" s="9" t="s">
        <v>1514</v>
      </c>
      <c r="C288" s="9" t="s">
        <v>1515</v>
      </c>
      <c r="D288" s="9" t="s">
        <v>1516</v>
      </c>
      <c r="E288" s="9" t="s">
        <v>165</v>
      </c>
      <c r="F288" s="9" t="s">
        <v>63</v>
      </c>
      <c r="G288" s="9" t="s">
        <v>177</v>
      </c>
      <c r="H288" s="9" t="s">
        <v>535</v>
      </c>
      <c r="I288" s="9" t="s">
        <v>536</v>
      </c>
      <c r="J288" s="9" t="s">
        <v>67</v>
      </c>
      <c r="K288" s="9" t="s">
        <v>87</v>
      </c>
      <c r="L288" s="9" t="s">
        <v>1517</v>
      </c>
      <c r="M288" s="9" t="s">
        <v>78</v>
      </c>
      <c r="N288" s="9" t="n">
        <v>7</v>
      </c>
      <c r="O288" s="9" t="n">
        <v>701.8</v>
      </c>
      <c r="P288" s="9" t="n">
        <v>0.1</v>
      </c>
      <c r="Q288" s="9" t="n">
        <v>4421.34</v>
      </c>
      <c r="R288" s="9" t="n">
        <v>2489.98</v>
      </c>
      <c r="S288" s="9" t="n">
        <v>1931.36</v>
      </c>
      <c r="T288" s="9" t="s">
        <v>160</v>
      </c>
      <c r="U288" s="9" t="s">
        <v>147</v>
      </c>
    </row>
    <row r="289" customFormat="false" ht="15" hidden="false" customHeight="false" outlineLevel="0" collapsed="false">
      <c r="A289" s="9" t="s">
        <v>1518</v>
      </c>
      <c r="B289" s="9" t="s">
        <v>1519</v>
      </c>
      <c r="C289" s="9" t="s">
        <v>1520</v>
      </c>
      <c r="D289" s="9" t="s">
        <v>1521</v>
      </c>
      <c r="E289" s="9" t="s">
        <v>115</v>
      </c>
      <c r="F289" s="9" t="s">
        <v>63</v>
      </c>
      <c r="G289" s="9" t="s">
        <v>84</v>
      </c>
      <c r="H289" s="9" t="s">
        <v>364</v>
      </c>
      <c r="I289" s="9" t="s">
        <v>365</v>
      </c>
      <c r="J289" s="9" t="s">
        <v>108</v>
      </c>
      <c r="K289" s="9" t="s">
        <v>116</v>
      </c>
      <c r="L289" s="9" t="s">
        <v>1522</v>
      </c>
      <c r="M289" s="9" t="s">
        <v>89</v>
      </c>
      <c r="N289" s="9" t="n">
        <v>3</v>
      </c>
      <c r="O289" s="9" t="n">
        <v>2555.66</v>
      </c>
      <c r="P289" s="9" t="n">
        <v>0.15</v>
      </c>
      <c r="Q289" s="9" t="n">
        <v>6516.93</v>
      </c>
      <c r="R289" s="9" t="n">
        <v>4511.54</v>
      </c>
      <c r="S289" s="9" t="n">
        <v>2005.39</v>
      </c>
      <c r="T289" s="9" t="s">
        <v>56</v>
      </c>
      <c r="U289" s="9" t="s">
        <v>100</v>
      </c>
    </row>
    <row r="290" customFormat="false" ht="15" hidden="false" customHeight="false" outlineLevel="0" collapsed="false">
      <c r="A290" s="9" t="s">
        <v>1523</v>
      </c>
      <c r="B290" s="9" t="s">
        <v>1524</v>
      </c>
      <c r="C290" s="9" t="s">
        <v>1524</v>
      </c>
      <c r="D290" s="9" t="s">
        <v>1525</v>
      </c>
      <c r="E290" s="9" t="s">
        <v>204</v>
      </c>
      <c r="F290" s="9" t="s">
        <v>63</v>
      </c>
      <c r="G290" s="9" t="s">
        <v>64</v>
      </c>
      <c r="H290" s="9" t="s">
        <v>210</v>
      </c>
      <c r="I290" s="9" t="s">
        <v>211</v>
      </c>
      <c r="J290" s="9" t="s">
        <v>52</v>
      </c>
      <c r="K290" s="9" t="s">
        <v>222</v>
      </c>
      <c r="L290" s="9" t="s">
        <v>1526</v>
      </c>
      <c r="M290" s="9" t="s">
        <v>70</v>
      </c>
      <c r="N290" s="9" t="n">
        <v>2</v>
      </c>
      <c r="O290" s="9" t="n">
        <v>4359.9</v>
      </c>
      <c r="P290" s="9" t="n">
        <v>0.15</v>
      </c>
      <c r="Q290" s="9" t="n">
        <v>7411.83</v>
      </c>
      <c r="R290" s="9" t="n">
        <v>4904.63</v>
      </c>
      <c r="S290" s="9" t="n">
        <v>2507.2</v>
      </c>
      <c r="T290" s="9" t="s">
        <v>56</v>
      </c>
      <c r="U290" s="9" t="s">
        <v>57</v>
      </c>
    </row>
    <row r="291" customFormat="false" ht="15" hidden="false" customHeight="false" outlineLevel="0" collapsed="false">
      <c r="A291" s="9" t="s">
        <v>1527</v>
      </c>
      <c r="B291" s="9" t="s">
        <v>279</v>
      </c>
      <c r="C291" s="9" t="s">
        <v>680</v>
      </c>
      <c r="D291" s="9" t="s">
        <v>1528</v>
      </c>
      <c r="E291" s="9" t="s">
        <v>47</v>
      </c>
      <c r="F291" s="9" t="s">
        <v>137</v>
      </c>
      <c r="G291" s="9" t="s">
        <v>84</v>
      </c>
      <c r="H291" s="9" t="s">
        <v>364</v>
      </c>
      <c r="I291" s="9" t="s">
        <v>365</v>
      </c>
      <c r="J291" s="9" t="s">
        <v>67</v>
      </c>
      <c r="K291" s="9" t="s">
        <v>228</v>
      </c>
      <c r="L291" s="9" t="s">
        <v>1529</v>
      </c>
      <c r="M291" s="9" t="s">
        <v>78</v>
      </c>
      <c r="N291" s="9" t="n">
        <v>2</v>
      </c>
      <c r="O291" s="9" t="n">
        <v>4346.69</v>
      </c>
      <c r="P291" s="9" t="n">
        <v>0.05</v>
      </c>
      <c r="Q291" s="9" t="n">
        <v>8258.71</v>
      </c>
      <c r="R291" s="9" t="n">
        <v>7018.97</v>
      </c>
      <c r="S291" s="9" t="n">
        <v>1239.74</v>
      </c>
      <c r="T291" s="9" t="s">
        <v>56</v>
      </c>
      <c r="U291" s="9" t="s">
        <v>57</v>
      </c>
    </row>
    <row r="292" customFormat="false" ht="15" hidden="false" customHeight="false" outlineLevel="0" collapsed="false">
      <c r="A292" s="9" t="s">
        <v>1530</v>
      </c>
      <c r="B292" s="9" t="s">
        <v>1531</v>
      </c>
      <c r="C292" s="9" t="s">
        <v>1532</v>
      </c>
      <c r="D292" s="9" t="s">
        <v>1533</v>
      </c>
      <c r="E292" s="9" t="s">
        <v>234</v>
      </c>
      <c r="F292" s="9" t="s">
        <v>137</v>
      </c>
      <c r="G292" s="9" t="s">
        <v>64</v>
      </c>
      <c r="H292" s="9" t="s">
        <v>336</v>
      </c>
      <c r="I292" s="9" t="s">
        <v>337</v>
      </c>
      <c r="J292" s="9" t="s">
        <v>67</v>
      </c>
      <c r="K292" s="9" t="s">
        <v>68</v>
      </c>
      <c r="L292" s="9" t="s">
        <v>1534</v>
      </c>
      <c r="M292" s="9" t="s">
        <v>89</v>
      </c>
      <c r="N292" s="9" t="n">
        <v>1</v>
      </c>
      <c r="O292" s="9" t="n">
        <v>1842.63</v>
      </c>
      <c r="P292" s="9" t="n">
        <v>0.1</v>
      </c>
      <c r="Q292" s="9" t="n">
        <v>1658.37</v>
      </c>
      <c r="R292" s="9" t="n">
        <v>971.12</v>
      </c>
      <c r="S292" s="9" t="n">
        <v>687.25</v>
      </c>
      <c r="T292" s="9" t="s">
        <v>56</v>
      </c>
      <c r="U292" s="9" t="s">
        <v>57</v>
      </c>
    </row>
    <row r="293" customFormat="false" ht="15" hidden="false" customHeight="false" outlineLevel="0" collapsed="false">
      <c r="A293" s="9" t="s">
        <v>1535</v>
      </c>
      <c r="B293" s="9" t="s">
        <v>1536</v>
      </c>
      <c r="C293" s="9" t="s">
        <v>1537</v>
      </c>
      <c r="D293" s="9" t="s">
        <v>1538</v>
      </c>
      <c r="E293" s="9" t="s">
        <v>165</v>
      </c>
      <c r="F293" s="9" t="s">
        <v>137</v>
      </c>
      <c r="G293" s="9" t="s">
        <v>177</v>
      </c>
      <c r="H293" s="9" t="s">
        <v>50</v>
      </c>
      <c r="I293" s="9" t="s">
        <v>51</v>
      </c>
      <c r="J293" s="9" t="s">
        <v>52</v>
      </c>
      <c r="K293" s="9" t="s">
        <v>222</v>
      </c>
      <c r="L293" s="9" t="s">
        <v>1539</v>
      </c>
      <c r="M293" s="9" t="s">
        <v>89</v>
      </c>
      <c r="N293" s="9" t="n">
        <v>4</v>
      </c>
      <c r="O293" s="9" t="n">
        <v>3228.66</v>
      </c>
      <c r="P293" s="9" t="n">
        <v>0.25</v>
      </c>
      <c r="Q293" s="9" t="n">
        <v>9685.98</v>
      </c>
      <c r="R293" s="9" t="n">
        <v>7730.04</v>
      </c>
      <c r="S293" s="9" t="n">
        <v>1955.94</v>
      </c>
      <c r="T293" s="9" t="s">
        <v>56</v>
      </c>
      <c r="U293" s="9" t="s">
        <v>57</v>
      </c>
    </row>
    <row r="294" customFormat="false" ht="15" hidden="false" customHeight="false" outlineLevel="0" collapsed="false">
      <c r="A294" s="9" t="s">
        <v>1540</v>
      </c>
      <c r="B294" s="9" t="s">
        <v>1541</v>
      </c>
      <c r="C294" s="9" t="s">
        <v>1542</v>
      </c>
      <c r="D294" s="9" t="s">
        <v>1543</v>
      </c>
      <c r="E294" s="9" t="s">
        <v>393</v>
      </c>
      <c r="F294" s="9" t="s">
        <v>137</v>
      </c>
      <c r="G294" s="9" t="s">
        <v>177</v>
      </c>
      <c r="H294" s="9" t="s">
        <v>348</v>
      </c>
      <c r="I294" s="9" t="s">
        <v>349</v>
      </c>
      <c r="J294" s="9" t="s">
        <v>52</v>
      </c>
      <c r="K294" s="9" t="s">
        <v>76</v>
      </c>
      <c r="L294" s="9" t="s">
        <v>1544</v>
      </c>
      <c r="M294" s="9" t="s">
        <v>70</v>
      </c>
      <c r="N294" s="9" t="n">
        <v>9</v>
      </c>
      <c r="O294" s="9" t="n">
        <v>3748.95</v>
      </c>
      <c r="P294" s="9" t="n">
        <v>0</v>
      </c>
      <c r="Q294" s="9" t="n">
        <v>33740.55</v>
      </c>
      <c r="R294" s="9" t="n">
        <v>24621.89</v>
      </c>
      <c r="S294" s="9" t="n">
        <v>9118.66</v>
      </c>
      <c r="T294" s="9" t="s">
        <v>160</v>
      </c>
      <c r="U294" s="9" t="s">
        <v>100</v>
      </c>
    </row>
    <row r="295" customFormat="false" ht="15" hidden="false" customHeight="false" outlineLevel="0" collapsed="false">
      <c r="A295" s="9" t="s">
        <v>1545</v>
      </c>
      <c r="B295" s="9" t="s">
        <v>1546</v>
      </c>
      <c r="C295" s="9" t="s">
        <v>1547</v>
      </c>
      <c r="D295" s="9" t="s">
        <v>1548</v>
      </c>
      <c r="E295" s="9" t="s">
        <v>83</v>
      </c>
      <c r="F295" s="9" t="s">
        <v>137</v>
      </c>
      <c r="G295" s="9" t="s">
        <v>84</v>
      </c>
      <c r="H295" s="9" t="s">
        <v>85</v>
      </c>
      <c r="I295" s="9" t="s">
        <v>86</v>
      </c>
      <c r="J295" s="9" t="s">
        <v>108</v>
      </c>
      <c r="K295" s="9" t="s">
        <v>247</v>
      </c>
      <c r="L295" s="9" t="s">
        <v>1549</v>
      </c>
      <c r="M295" s="9" t="s">
        <v>78</v>
      </c>
      <c r="N295" s="9" t="n">
        <v>2</v>
      </c>
      <c r="O295" s="9" t="n">
        <v>4401.51</v>
      </c>
      <c r="P295" s="9" t="n">
        <v>0.65</v>
      </c>
      <c r="Q295" s="9" t="n">
        <v>8362.87</v>
      </c>
      <c r="R295" s="9" t="n">
        <v>6541.04</v>
      </c>
      <c r="S295" s="9" t="n">
        <v>1821.83</v>
      </c>
      <c r="T295" s="9" t="s">
        <v>56</v>
      </c>
      <c r="U295" s="9" t="s">
        <v>57</v>
      </c>
    </row>
    <row r="296" customFormat="false" ht="15" hidden="false" customHeight="false" outlineLevel="0" collapsed="false">
      <c r="A296" s="9" t="s">
        <v>1550</v>
      </c>
      <c r="B296" s="9" t="s">
        <v>1551</v>
      </c>
      <c r="C296" s="9" t="s">
        <v>1552</v>
      </c>
      <c r="D296" s="9" t="s">
        <v>1553</v>
      </c>
      <c r="E296" s="9" t="s">
        <v>165</v>
      </c>
      <c r="F296" s="9" t="s">
        <v>48</v>
      </c>
      <c r="G296" s="9" t="s">
        <v>64</v>
      </c>
      <c r="H296" s="9" t="s">
        <v>65</v>
      </c>
      <c r="I296" s="9" t="s">
        <v>66</v>
      </c>
      <c r="J296" s="9" t="s">
        <v>108</v>
      </c>
      <c r="K296" s="9" t="s">
        <v>247</v>
      </c>
      <c r="L296" s="9" t="s">
        <v>1554</v>
      </c>
      <c r="M296" s="9" t="s">
        <v>55</v>
      </c>
      <c r="N296" s="9" t="n">
        <v>6</v>
      </c>
      <c r="O296" s="9" t="n">
        <v>4159.33</v>
      </c>
      <c r="P296" s="9" t="n">
        <v>0.25</v>
      </c>
      <c r="Q296" s="9" t="n">
        <v>18716.99</v>
      </c>
      <c r="R296" s="9" t="n">
        <v>12282.43</v>
      </c>
      <c r="S296" s="9" t="n">
        <v>6434.56</v>
      </c>
      <c r="T296" s="9" t="s">
        <v>56</v>
      </c>
      <c r="U296" s="9" t="s">
        <v>147</v>
      </c>
    </row>
    <row r="297" customFormat="false" ht="15" hidden="false" customHeight="false" outlineLevel="0" collapsed="false">
      <c r="A297" s="9" t="s">
        <v>1555</v>
      </c>
      <c r="B297" s="9" t="s">
        <v>1556</v>
      </c>
      <c r="C297" s="9" t="s">
        <v>1557</v>
      </c>
      <c r="D297" s="9" t="s">
        <v>1558</v>
      </c>
      <c r="E297" s="9" t="s">
        <v>129</v>
      </c>
      <c r="F297" s="9" t="s">
        <v>63</v>
      </c>
      <c r="G297" s="9" t="s">
        <v>64</v>
      </c>
      <c r="H297" s="9" t="s">
        <v>240</v>
      </c>
      <c r="I297" s="9" t="s">
        <v>241</v>
      </c>
      <c r="J297" s="9" t="s">
        <v>52</v>
      </c>
      <c r="K297" s="9" t="s">
        <v>222</v>
      </c>
      <c r="L297" s="9" t="s">
        <v>1559</v>
      </c>
      <c r="M297" s="9" t="s">
        <v>89</v>
      </c>
      <c r="N297" s="9" t="n">
        <v>3</v>
      </c>
      <c r="O297" s="9" t="n">
        <v>3476.05</v>
      </c>
      <c r="P297" s="9" t="n">
        <v>0.1</v>
      </c>
      <c r="Q297" s="9" t="n">
        <v>9385.34</v>
      </c>
      <c r="R297" s="9" t="n">
        <v>5828.54</v>
      </c>
      <c r="S297" s="9" t="n">
        <v>3556.8</v>
      </c>
      <c r="T297" s="9" t="s">
        <v>56</v>
      </c>
      <c r="U297" s="9" t="s">
        <v>57</v>
      </c>
    </row>
    <row r="298" customFormat="false" ht="15" hidden="false" customHeight="false" outlineLevel="0" collapsed="false">
      <c r="A298" s="9" t="s">
        <v>1560</v>
      </c>
      <c r="B298" s="9" t="s">
        <v>1561</v>
      </c>
      <c r="C298" s="9" t="s">
        <v>1562</v>
      </c>
      <c r="D298" s="9" t="s">
        <v>1563</v>
      </c>
      <c r="E298" s="9" t="s">
        <v>129</v>
      </c>
      <c r="F298" s="9" t="s">
        <v>137</v>
      </c>
      <c r="G298" s="9" t="s">
        <v>177</v>
      </c>
      <c r="H298" s="9" t="s">
        <v>348</v>
      </c>
      <c r="I298" s="9" t="s">
        <v>349</v>
      </c>
      <c r="J298" s="9" t="s">
        <v>67</v>
      </c>
      <c r="K298" s="9" t="s">
        <v>87</v>
      </c>
      <c r="L298" s="9" t="s">
        <v>1564</v>
      </c>
      <c r="M298" s="9" t="s">
        <v>70</v>
      </c>
      <c r="N298" s="9" t="n">
        <v>6</v>
      </c>
      <c r="O298" s="9" t="n">
        <v>3495.41</v>
      </c>
      <c r="P298" s="9" t="n">
        <v>0.15</v>
      </c>
      <c r="Q298" s="9" t="n">
        <v>17826.59</v>
      </c>
      <c r="R298" s="9" t="n">
        <v>10855.35</v>
      </c>
      <c r="S298" s="9" t="n">
        <v>6971.24</v>
      </c>
      <c r="T298" s="9" t="s">
        <v>56</v>
      </c>
      <c r="U298" s="9" t="s">
        <v>57</v>
      </c>
    </row>
    <row r="299" customFormat="false" ht="15" hidden="false" customHeight="false" outlineLevel="0" collapsed="false">
      <c r="A299" s="9" t="s">
        <v>1565</v>
      </c>
      <c r="B299" s="9" t="s">
        <v>1566</v>
      </c>
      <c r="C299" s="9" t="s">
        <v>1567</v>
      </c>
      <c r="D299" s="9" t="s">
        <v>1568</v>
      </c>
      <c r="E299" s="9" t="s">
        <v>192</v>
      </c>
      <c r="F299" s="9" t="s">
        <v>130</v>
      </c>
      <c r="G299" s="9" t="s">
        <v>84</v>
      </c>
      <c r="H299" s="9" t="s">
        <v>364</v>
      </c>
      <c r="I299" s="9" t="s">
        <v>365</v>
      </c>
      <c r="J299" s="9" t="s">
        <v>108</v>
      </c>
      <c r="K299" s="9" t="s">
        <v>116</v>
      </c>
      <c r="L299" s="9" t="s">
        <v>1569</v>
      </c>
      <c r="M299" s="9" t="s">
        <v>70</v>
      </c>
      <c r="N299" s="9" t="n">
        <v>6</v>
      </c>
      <c r="O299" s="9" t="n">
        <v>1169.92</v>
      </c>
      <c r="P299" s="9" t="n">
        <v>0.15</v>
      </c>
      <c r="Q299" s="9" t="n">
        <v>5966.59</v>
      </c>
      <c r="R299" s="9" t="n">
        <v>3994.72</v>
      </c>
      <c r="S299" s="9" t="n">
        <v>1971.87</v>
      </c>
      <c r="T299" s="9" t="s">
        <v>56</v>
      </c>
      <c r="U299" s="9" t="s">
        <v>57</v>
      </c>
    </row>
    <row r="300" customFormat="false" ht="15" hidden="false" customHeight="false" outlineLevel="0" collapsed="false">
      <c r="A300" s="9" t="s">
        <v>1570</v>
      </c>
      <c r="B300" s="9" t="s">
        <v>1571</v>
      </c>
      <c r="C300" s="9" t="s">
        <v>1572</v>
      </c>
      <c r="D300" s="9" t="s">
        <v>1573</v>
      </c>
      <c r="E300" s="9" t="s">
        <v>75</v>
      </c>
      <c r="F300" s="9" t="s">
        <v>48</v>
      </c>
      <c r="G300" s="9" t="s">
        <v>84</v>
      </c>
      <c r="H300" s="9" t="s">
        <v>267</v>
      </c>
      <c r="I300" s="9" t="s">
        <v>268</v>
      </c>
      <c r="J300" s="9" t="s">
        <v>108</v>
      </c>
      <c r="K300" s="9" t="s">
        <v>116</v>
      </c>
      <c r="L300" s="9" t="s">
        <v>1574</v>
      </c>
      <c r="M300" s="9" t="s">
        <v>78</v>
      </c>
      <c r="N300" s="9" t="n">
        <v>7</v>
      </c>
      <c r="O300" s="9" t="n">
        <v>348.49</v>
      </c>
      <c r="P300" s="9" t="n">
        <v>0.2</v>
      </c>
      <c r="Q300" s="9" t="n">
        <v>1951.54</v>
      </c>
      <c r="R300" s="9" t="n">
        <v>1609.95</v>
      </c>
      <c r="S300" s="9" t="n">
        <v>341.59</v>
      </c>
      <c r="T300" s="9" t="s">
        <v>224</v>
      </c>
      <c r="U300" s="9" t="s">
        <v>147</v>
      </c>
    </row>
    <row r="301" customFormat="false" ht="15" hidden="false" customHeight="false" outlineLevel="0" collapsed="false">
      <c r="A301" s="9" t="s">
        <v>1575</v>
      </c>
      <c r="B301" s="9" t="s">
        <v>1567</v>
      </c>
      <c r="C301" s="9" t="s">
        <v>1576</v>
      </c>
      <c r="D301" s="9" t="s">
        <v>1577</v>
      </c>
      <c r="E301" s="9" t="s">
        <v>171</v>
      </c>
      <c r="F301" s="9" t="s">
        <v>63</v>
      </c>
      <c r="G301" s="9" t="s">
        <v>95</v>
      </c>
      <c r="H301" s="9" t="s">
        <v>260</v>
      </c>
      <c r="I301" s="9" t="s">
        <v>261</v>
      </c>
      <c r="J301" s="9" t="s">
        <v>108</v>
      </c>
      <c r="K301" s="9" t="s">
        <v>109</v>
      </c>
      <c r="L301" s="9" t="s">
        <v>1578</v>
      </c>
      <c r="M301" s="9" t="s">
        <v>89</v>
      </c>
      <c r="N301" s="9" t="n">
        <v>7</v>
      </c>
      <c r="O301" s="9" t="n">
        <v>1719.05</v>
      </c>
      <c r="P301" s="9" t="n">
        <v>0.1</v>
      </c>
      <c r="Q301" s="9" t="n">
        <v>10830.02</v>
      </c>
      <c r="R301" s="9" t="n">
        <v>7055.31</v>
      </c>
      <c r="S301" s="9" t="n">
        <v>3774.71</v>
      </c>
      <c r="T301" s="9" t="s">
        <v>56</v>
      </c>
      <c r="U301" s="9" t="s">
        <v>57</v>
      </c>
    </row>
    <row r="302" customFormat="false" ht="15" hidden="false" customHeight="false" outlineLevel="0" collapsed="false">
      <c r="A302" s="9" t="s">
        <v>1579</v>
      </c>
      <c r="B302" s="9" t="s">
        <v>1580</v>
      </c>
      <c r="C302" s="9" t="s">
        <v>1581</v>
      </c>
      <c r="D302" s="9" t="s">
        <v>1582</v>
      </c>
      <c r="E302" s="9" t="s">
        <v>234</v>
      </c>
      <c r="F302" s="9" t="s">
        <v>63</v>
      </c>
      <c r="G302" s="9" t="s">
        <v>177</v>
      </c>
      <c r="H302" s="9" t="s">
        <v>178</v>
      </c>
      <c r="I302" s="9" t="s">
        <v>179</v>
      </c>
      <c r="J302" s="9" t="s">
        <v>108</v>
      </c>
      <c r="K302" s="9" t="s">
        <v>109</v>
      </c>
      <c r="L302" s="9" t="s">
        <v>1583</v>
      </c>
      <c r="M302" s="9" t="s">
        <v>372</v>
      </c>
      <c r="N302" s="9" t="n">
        <v>9</v>
      </c>
      <c r="O302" s="9" t="n">
        <v>3893.74</v>
      </c>
      <c r="P302" s="9" t="n">
        <v>0.1</v>
      </c>
      <c r="Q302" s="9" t="n">
        <v>31539.29</v>
      </c>
      <c r="R302" s="9" t="n">
        <v>22100.14</v>
      </c>
      <c r="S302" s="9" t="n">
        <v>9439.15</v>
      </c>
      <c r="T302" s="9" t="s">
        <v>56</v>
      </c>
      <c r="U302" s="9" t="s">
        <v>57</v>
      </c>
    </row>
    <row r="303" customFormat="false" ht="15" hidden="false" customHeight="false" outlineLevel="0" collapsed="false">
      <c r="A303" s="9" t="s">
        <v>1584</v>
      </c>
      <c r="B303" s="9" t="s">
        <v>1053</v>
      </c>
      <c r="C303" s="9" t="s">
        <v>1585</v>
      </c>
      <c r="D303" s="9" t="s">
        <v>1586</v>
      </c>
      <c r="E303" s="9" t="s">
        <v>75</v>
      </c>
      <c r="F303" s="9" t="s">
        <v>137</v>
      </c>
      <c r="G303" s="9" t="s">
        <v>64</v>
      </c>
      <c r="H303" s="9" t="s">
        <v>210</v>
      </c>
      <c r="I303" s="9" t="s">
        <v>211</v>
      </c>
      <c r="J303" s="9" t="s">
        <v>108</v>
      </c>
      <c r="K303" s="9" t="s">
        <v>247</v>
      </c>
      <c r="L303" s="9" t="s">
        <v>1587</v>
      </c>
      <c r="M303" s="9" t="s">
        <v>70</v>
      </c>
      <c r="N303" s="9" t="n">
        <v>4</v>
      </c>
      <c r="O303" s="9" t="n">
        <v>1654.11</v>
      </c>
      <c r="P303" s="9" t="n">
        <v>0.05</v>
      </c>
      <c r="Q303" s="9" t="n">
        <v>6285.62</v>
      </c>
      <c r="R303" s="9" t="n">
        <v>3705.38</v>
      </c>
      <c r="S303" s="9" t="n">
        <v>2580.24</v>
      </c>
      <c r="T303" s="9" t="s">
        <v>56</v>
      </c>
      <c r="U303" s="9" t="s">
        <v>57</v>
      </c>
    </row>
    <row r="304" customFormat="false" ht="15" hidden="false" customHeight="false" outlineLevel="0" collapsed="false">
      <c r="A304" s="9" t="s">
        <v>1588</v>
      </c>
      <c r="B304" s="9" t="s">
        <v>1428</v>
      </c>
      <c r="C304" s="9" t="s">
        <v>1589</v>
      </c>
      <c r="D304" s="9" t="s">
        <v>1590</v>
      </c>
      <c r="E304" s="9" t="s">
        <v>115</v>
      </c>
      <c r="F304" s="9" t="s">
        <v>48</v>
      </c>
      <c r="G304" s="9" t="s">
        <v>95</v>
      </c>
      <c r="H304" s="9" t="s">
        <v>274</v>
      </c>
      <c r="I304" s="9" t="s">
        <v>275</v>
      </c>
      <c r="J304" s="9" t="s">
        <v>953</v>
      </c>
      <c r="K304" s="9" t="s">
        <v>180</v>
      </c>
      <c r="L304" s="9" t="s">
        <v>1591</v>
      </c>
      <c r="M304" s="9" t="s">
        <v>70</v>
      </c>
      <c r="N304" s="9" t="n">
        <v>2</v>
      </c>
      <c r="O304" s="9" t="n">
        <v>2703.28</v>
      </c>
      <c r="P304" s="9" t="n">
        <v>0.25</v>
      </c>
      <c r="Q304" s="9" t="n">
        <v>4054.92</v>
      </c>
      <c r="R304" s="9" t="n">
        <v>2424.83</v>
      </c>
      <c r="S304" s="9" t="n">
        <v>1630.09</v>
      </c>
      <c r="T304" s="9" t="s">
        <v>56</v>
      </c>
      <c r="U304" s="9" t="s">
        <v>57</v>
      </c>
    </row>
    <row r="305" customFormat="false" ht="15" hidden="false" customHeight="false" outlineLevel="0" collapsed="false">
      <c r="A305" s="9" t="s">
        <v>1592</v>
      </c>
      <c r="B305" s="9" t="s">
        <v>1593</v>
      </c>
      <c r="C305" s="9" t="s">
        <v>1079</v>
      </c>
      <c r="D305" s="9" t="s">
        <v>1594</v>
      </c>
      <c r="E305" s="9" t="s">
        <v>234</v>
      </c>
      <c r="F305" s="9" t="s">
        <v>137</v>
      </c>
      <c r="G305" s="9" t="s">
        <v>95</v>
      </c>
      <c r="H305" s="9" t="s">
        <v>260</v>
      </c>
      <c r="I305" s="9" t="s">
        <v>261</v>
      </c>
      <c r="J305" s="9" t="s">
        <v>67</v>
      </c>
      <c r="K305" s="9" t="s">
        <v>98</v>
      </c>
      <c r="L305" s="9" t="s">
        <v>1595</v>
      </c>
      <c r="M305" s="9" t="s">
        <v>89</v>
      </c>
      <c r="N305" s="9" t="n">
        <v>2</v>
      </c>
      <c r="O305" s="9" t="n">
        <v>1313.14</v>
      </c>
      <c r="P305" s="9" t="n">
        <v>0.1</v>
      </c>
      <c r="Q305" s="9" t="n">
        <v>2363.65</v>
      </c>
      <c r="R305" s="9" t="n">
        <v>1876.1</v>
      </c>
      <c r="S305" s="9" t="n">
        <v>487.55</v>
      </c>
      <c r="T305" s="9" t="s">
        <v>160</v>
      </c>
      <c r="U305" s="9" t="s">
        <v>147</v>
      </c>
    </row>
    <row r="306" customFormat="false" ht="15" hidden="false" customHeight="false" outlineLevel="0" collapsed="false">
      <c r="A306" s="9" t="s">
        <v>1596</v>
      </c>
      <c r="B306" s="9" t="s">
        <v>1597</v>
      </c>
      <c r="C306" s="9" t="s">
        <v>1598</v>
      </c>
      <c r="D306" s="9" t="s">
        <v>1599</v>
      </c>
      <c r="E306" s="9" t="s">
        <v>47</v>
      </c>
      <c r="F306" s="9" t="s">
        <v>48</v>
      </c>
      <c r="G306" s="9" t="s">
        <v>177</v>
      </c>
      <c r="H306" s="9" t="s">
        <v>178</v>
      </c>
      <c r="I306" s="9" t="s">
        <v>179</v>
      </c>
      <c r="J306" s="9" t="s">
        <v>67</v>
      </c>
      <c r="K306" s="9" t="s">
        <v>87</v>
      </c>
      <c r="L306" s="9" t="s">
        <v>1600</v>
      </c>
      <c r="M306" s="9" t="s">
        <v>89</v>
      </c>
      <c r="N306" s="9" t="n">
        <v>6</v>
      </c>
      <c r="O306" s="9" t="n">
        <v>2403.05</v>
      </c>
      <c r="P306" s="9" t="n">
        <v>0.1</v>
      </c>
      <c r="Q306" s="9" t="n">
        <v>12976.47</v>
      </c>
      <c r="R306" s="9" t="n">
        <v>10019.98</v>
      </c>
      <c r="S306" s="9" t="n">
        <v>2956.49</v>
      </c>
      <c r="T306" s="9" t="s">
        <v>56</v>
      </c>
      <c r="U306" s="9" t="s">
        <v>57</v>
      </c>
    </row>
    <row r="307" customFormat="false" ht="15" hidden="false" customHeight="false" outlineLevel="0" collapsed="false">
      <c r="A307" s="9" t="s">
        <v>1601</v>
      </c>
      <c r="B307" s="9" t="s">
        <v>1602</v>
      </c>
      <c r="C307" s="9" t="s">
        <v>1263</v>
      </c>
      <c r="D307" s="9" t="s">
        <v>1603</v>
      </c>
      <c r="E307" s="9" t="s">
        <v>94</v>
      </c>
      <c r="F307" s="9" t="s">
        <v>48</v>
      </c>
      <c r="G307" s="9" t="s">
        <v>64</v>
      </c>
      <c r="H307" s="9" t="s">
        <v>240</v>
      </c>
      <c r="I307" s="9" t="s">
        <v>241</v>
      </c>
      <c r="J307" s="9" t="s">
        <v>67</v>
      </c>
      <c r="K307" s="9" t="s">
        <v>98</v>
      </c>
      <c r="L307" s="9" t="s">
        <v>1604</v>
      </c>
      <c r="M307" s="9" t="s">
        <v>78</v>
      </c>
      <c r="N307" s="9" t="n">
        <v>4</v>
      </c>
      <c r="O307" s="9" t="n">
        <v>4156.06</v>
      </c>
      <c r="P307" s="9" t="n">
        <v>0.55</v>
      </c>
      <c r="Q307" s="9" t="n">
        <v>13299.39</v>
      </c>
      <c r="R307" s="9" t="n">
        <v>9851.91</v>
      </c>
      <c r="S307" s="9" t="n">
        <v>3447.48</v>
      </c>
      <c r="T307" s="9" t="s">
        <v>56</v>
      </c>
      <c r="U307" s="9" t="s">
        <v>100</v>
      </c>
    </row>
    <row r="308" customFormat="false" ht="15" hidden="false" customHeight="false" outlineLevel="0" collapsed="false">
      <c r="A308" s="9" t="s">
        <v>1605</v>
      </c>
      <c r="B308" s="9" t="s">
        <v>1606</v>
      </c>
      <c r="C308" s="9" t="s">
        <v>119</v>
      </c>
      <c r="D308" s="9" t="s">
        <v>1607</v>
      </c>
      <c r="E308" s="9" t="s">
        <v>186</v>
      </c>
      <c r="F308" s="9" t="s">
        <v>48</v>
      </c>
      <c r="G308" s="9" t="s">
        <v>177</v>
      </c>
      <c r="H308" s="9" t="s">
        <v>50</v>
      </c>
      <c r="I308" s="9" t="s">
        <v>51</v>
      </c>
      <c r="J308" s="9" t="s">
        <v>108</v>
      </c>
      <c r="K308" s="9" t="s">
        <v>247</v>
      </c>
      <c r="L308" s="9" t="s">
        <v>1608</v>
      </c>
      <c r="M308" s="9" t="s">
        <v>55</v>
      </c>
      <c r="N308" s="9" t="n">
        <v>4</v>
      </c>
      <c r="O308" s="9" t="n">
        <v>3673.11</v>
      </c>
      <c r="P308" s="9" t="n">
        <v>0</v>
      </c>
      <c r="Q308" s="9" t="n">
        <v>14692.44</v>
      </c>
      <c r="R308" s="9" t="n">
        <v>10082.19</v>
      </c>
      <c r="S308" s="9" t="n">
        <v>4610.25</v>
      </c>
      <c r="T308" s="9" t="s">
        <v>56</v>
      </c>
      <c r="U308" s="9" t="s">
        <v>57</v>
      </c>
    </row>
    <row r="309" customFormat="false" ht="15" hidden="false" customHeight="false" outlineLevel="0" collapsed="false">
      <c r="A309" s="9" t="s">
        <v>1609</v>
      </c>
      <c r="B309" s="9" t="s">
        <v>1610</v>
      </c>
      <c r="C309" s="9" t="s">
        <v>1611</v>
      </c>
      <c r="D309" s="9" t="s">
        <v>1612</v>
      </c>
      <c r="E309" s="9" t="s">
        <v>94</v>
      </c>
      <c r="F309" s="9" t="s">
        <v>130</v>
      </c>
      <c r="G309" s="9" t="s">
        <v>177</v>
      </c>
      <c r="H309" s="9" t="s">
        <v>198</v>
      </c>
      <c r="I309" s="9" t="s">
        <v>199</v>
      </c>
      <c r="J309" s="9" t="s">
        <v>67</v>
      </c>
      <c r="K309" s="9" t="s">
        <v>68</v>
      </c>
      <c r="L309" s="9" t="s">
        <v>1613</v>
      </c>
      <c r="M309" s="9" t="s">
        <v>78</v>
      </c>
      <c r="N309" s="9" t="n">
        <v>9</v>
      </c>
      <c r="O309" s="9" t="n">
        <v>4093.04</v>
      </c>
      <c r="P309" s="9" t="n">
        <v>0.2</v>
      </c>
      <c r="Q309" s="9" t="n">
        <v>29469.89</v>
      </c>
      <c r="R309" s="9" t="n">
        <v>18935.51</v>
      </c>
      <c r="S309" s="9" t="n">
        <v>10534.38</v>
      </c>
      <c r="T309" s="9" t="s">
        <v>1614</v>
      </c>
      <c r="U309" s="9" t="s">
        <v>100</v>
      </c>
    </row>
    <row r="310" customFormat="false" ht="15" hidden="false" customHeight="false" outlineLevel="0" collapsed="false">
      <c r="A310" s="9" t="s">
        <v>1615</v>
      </c>
      <c r="B310" s="9" t="s">
        <v>1616</v>
      </c>
      <c r="C310" s="9" t="s">
        <v>1617</v>
      </c>
      <c r="D310" s="9" t="s">
        <v>1618</v>
      </c>
      <c r="E310" s="9" t="s">
        <v>204</v>
      </c>
      <c r="F310" s="9" t="s">
        <v>48</v>
      </c>
      <c r="G310" s="9" t="s">
        <v>177</v>
      </c>
      <c r="H310" s="9" t="s">
        <v>50</v>
      </c>
      <c r="I310" s="9" t="s">
        <v>51</v>
      </c>
      <c r="J310" s="9" t="s">
        <v>67</v>
      </c>
      <c r="K310" s="9" t="s">
        <v>68</v>
      </c>
      <c r="L310" s="9" t="s">
        <v>1619</v>
      </c>
      <c r="M310" s="9" t="s">
        <v>78</v>
      </c>
      <c r="N310" s="9" t="n">
        <v>4</v>
      </c>
      <c r="O310" s="9" t="n">
        <v>731.57</v>
      </c>
      <c r="P310" s="9" t="n">
        <v>0.2</v>
      </c>
      <c r="Q310" s="9" t="n">
        <v>2341.02</v>
      </c>
      <c r="R310" s="9" t="n">
        <v>1565.49</v>
      </c>
      <c r="S310" s="9" t="n">
        <v>775.53</v>
      </c>
      <c r="T310" s="9" t="s">
        <v>56</v>
      </c>
      <c r="U310" s="9" t="s">
        <v>57</v>
      </c>
    </row>
    <row r="311" customFormat="false" ht="15" hidden="false" customHeight="false" outlineLevel="0" collapsed="false">
      <c r="A311" s="9" t="s">
        <v>1620</v>
      </c>
      <c r="B311" s="9" t="s">
        <v>1621</v>
      </c>
      <c r="C311" s="9" t="s">
        <v>149</v>
      </c>
      <c r="D311" s="9" t="s">
        <v>1622</v>
      </c>
      <c r="E311" s="9" t="s">
        <v>94</v>
      </c>
      <c r="F311" s="9" t="s">
        <v>48</v>
      </c>
      <c r="G311" s="9" t="s">
        <v>84</v>
      </c>
      <c r="H311" s="9" t="s">
        <v>364</v>
      </c>
      <c r="I311" s="9" t="s">
        <v>365</v>
      </c>
      <c r="J311" s="9" t="s">
        <v>67</v>
      </c>
      <c r="K311" s="9" t="s">
        <v>68</v>
      </c>
      <c r="L311" s="9" t="s">
        <v>1623</v>
      </c>
      <c r="M311" s="9" t="s">
        <v>78</v>
      </c>
      <c r="N311" s="9" t="n">
        <v>7</v>
      </c>
      <c r="O311" s="9" t="n">
        <v>2060.73</v>
      </c>
      <c r="P311" s="9" t="n">
        <v>0.1</v>
      </c>
      <c r="Q311" s="9" t="n">
        <v>12982.6</v>
      </c>
      <c r="R311" s="9" t="n">
        <v>7246.36</v>
      </c>
      <c r="S311" s="9" t="n">
        <v>5736.24</v>
      </c>
      <c r="T311" s="9" t="s">
        <v>56</v>
      </c>
      <c r="U311" s="9" t="s">
        <v>100</v>
      </c>
    </row>
    <row r="312" customFormat="false" ht="15" hidden="false" customHeight="false" outlineLevel="0" collapsed="false">
      <c r="A312" s="9" t="s">
        <v>1624</v>
      </c>
      <c r="B312" s="9" t="s">
        <v>1625</v>
      </c>
      <c r="C312" s="9" t="s">
        <v>1626</v>
      </c>
      <c r="D312" s="9" t="s">
        <v>1627</v>
      </c>
      <c r="E312" s="9" t="s">
        <v>204</v>
      </c>
      <c r="F312" s="9" t="s">
        <v>63</v>
      </c>
      <c r="G312" s="9" t="s">
        <v>84</v>
      </c>
      <c r="H312" s="9" t="s">
        <v>364</v>
      </c>
      <c r="I312" s="9" t="s">
        <v>365</v>
      </c>
      <c r="J312" s="9" t="s">
        <v>108</v>
      </c>
      <c r="K312" s="9" t="s">
        <v>409</v>
      </c>
      <c r="L312" s="9" t="s">
        <v>1628</v>
      </c>
      <c r="M312" s="9" t="s">
        <v>78</v>
      </c>
      <c r="N312" s="9" t="n">
        <v>8</v>
      </c>
      <c r="O312" s="9" t="n">
        <v>2034.25</v>
      </c>
      <c r="P312" s="9" t="n">
        <v>0</v>
      </c>
      <c r="Q312" s="9" t="n">
        <v>16274</v>
      </c>
      <c r="R312" s="9" t="n">
        <v>9424.25</v>
      </c>
      <c r="S312" s="9" t="n">
        <v>6849.75</v>
      </c>
      <c r="T312" s="9" t="s">
        <v>56</v>
      </c>
      <c r="U312" s="9" t="s">
        <v>57</v>
      </c>
    </row>
    <row r="313" customFormat="false" ht="15" hidden="false" customHeight="false" outlineLevel="0" collapsed="false">
      <c r="A313" s="9" t="s">
        <v>1629</v>
      </c>
      <c r="B313" s="9" t="s">
        <v>1630</v>
      </c>
      <c r="C313" s="9" t="s">
        <v>983</v>
      </c>
      <c r="D313" s="9" t="s">
        <v>1631</v>
      </c>
      <c r="E313" s="9" t="s">
        <v>62</v>
      </c>
      <c r="F313" s="9" t="s">
        <v>130</v>
      </c>
      <c r="G313" s="9" t="s">
        <v>84</v>
      </c>
      <c r="H313" s="9" t="s">
        <v>254</v>
      </c>
      <c r="I313" s="9" t="s">
        <v>255</v>
      </c>
      <c r="J313" s="9" t="s">
        <v>52</v>
      </c>
      <c r="K313" s="9" t="s">
        <v>222</v>
      </c>
      <c r="L313" s="9" t="s">
        <v>1632</v>
      </c>
      <c r="M313" s="9" t="s">
        <v>55</v>
      </c>
      <c r="N313" s="9" t="n">
        <v>5</v>
      </c>
      <c r="O313" s="9" t="n">
        <v>554.04</v>
      </c>
      <c r="P313" s="9" t="n">
        <v>0.1</v>
      </c>
      <c r="Q313" s="9" t="n">
        <v>2493.18</v>
      </c>
      <c r="R313" s="9" t="n">
        <v>1764</v>
      </c>
      <c r="S313" s="9" t="n">
        <v>729.18</v>
      </c>
      <c r="T313" s="9" t="s">
        <v>56</v>
      </c>
      <c r="U313" s="9" t="s">
        <v>57</v>
      </c>
    </row>
    <row r="314" customFormat="false" ht="15" hidden="false" customHeight="false" outlineLevel="0" collapsed="false">
      <c r="A314" s="9" t="s">
        <v>1633</v>
      </c>
      <c r="B314" s="9" t="s">
        <v>1634</v>
      </c>
      <c r="C314" s="9" t="s">
        <v>545</v>
      </c>
      <c r="D314" s="9" t="s">
        <v>1635</v>
      </c>
      <c r="E314" s="9" t="s">
        <v>47</v>
      </c>
      <c r="F314" s="9" t="s">
        <v>63</v>
      </c>
      <c r="G314" s="9" t="s">
        <v>64</v>
      </c>
      <c r="H314" s="9" t="s">
        <v>240</v>
      </c>
      <c r="I314" s="9" t="s">
        <v>241</v>
      </c>
      <c r="J314" s="9" t="s">
        <v>108</v>
      </c>
      <c r="K314" s="9" t="s">
        <v>247</v>
      </c>
      <c r="L314" s="9" t="s">
        <v>1636</v>
      </c>
      <c r="M314" s="9" t="s">
        <v>89</v>
      </c>
      <c r="N314" s="9" t="n">
        <v>8</v>
      </c>
      <c r="O314" s="9" t="n">
        <v>2614.74</v>
      </c>
      <c r="P314" s="9"/>
      <c r="Q314" s="9" t="n">
        <v>15688.44</v>
      </c>
      <c r="R314" s="9" t="n">
        <v>10047.33</v>
      </c>
      <c r="S314" s="9" t="n">
        <v>5641.11</v>
      </c>
      <c r="T314" s="9" t="s">
        <v>56</v>
      </c>
      <c r="U314" s="9" t="s">
        <v>100</v>
      </c>
    </row>
    <row r="315" customFormat="false" ht="15" hidden="false" customHeight="false" outlineLevel="0" collapsed="false">
      <c r="A315" s="9" t="s">
        <v>1637</v>
      </c>
      <c r="B315" s="9" t="s">
        <v>1638</v>
      </c>
      <c r="C315" s="9" t="s">
        <v>1639</v>
      </c>
      <c r="D315" s="9" t="s">
        <v>1640</v>
      </c>
      <c r="E315" s="9" t="s">
        <v>171</v>
      </c>
      <c r="F315" s="9" t="s">
        <v>130</v>
      </c>
      <c r="G315" s="9" t="s">
        <v>177</v>
      </c>
      <c r="H315" s="9" t="s">
        <v>198</v>
      </c>
      <c r="I315" s="9" t="s">
        <v>199</v>
      </c>
      <c r="J315" s="9" t="s">
        <v>108</v>
      </c>
      <c r="K315" s="9" t="s">
        <v>247</v>
      </c>
      <c r="L315" s="9" t="s">
        <v>1641</v>
      </c>
      <c r="M315" s="9" t="s">
        <v>78</v>
      </c>
      <c r="N315" s="9" t="n">
        <v>8</v>
      </c>
      <c r="O315" s="9" t="n">
        <v>2081.43</v>
      </c>
      <c r="P315" s="9" t="n">
        <v>0.25</v>
      </c>
      <c r="Q315" s="9" t="n">
        <v>12488.58</v>
      </c>
      <c r="R315" s="9" t="n">
        <v>10717.4</v>
      </c>
      <c r="S315" s="9" t="n">
        <v>1771.18</v>
      </c>
      <c r="T315" s="9" t="s">
        <v>146</v>
      </c>
      <c r="U315" s="9" t="s">
        <v>100</v>
      </c>
    </row>
    <row r="316" customFormat="false" ht="15" hidden="false" customHeight="false" outlineLevel="0" collapsed="false">
      <c r="A316" s="9" t="s">
        <v>1642</v>
      </c>
      <c r="B316" s="9" t="s">
        <v>1140</v>
      </c>
      <c r="C316" s="9" t="s">
        <v>140</v>
      </c>
      <c r="D316" s="9" t="s">
        <v>1643</v>
      </c>
      <c r="E316" s="9" t="s">
        <v>75</v>
      </c>
      <c r="F316" s="9" t="s">
        <v>130</v>
      </c>
      <c r="G316" s="9" t="s">
        <v>95</v>
      </c>
      <c r="H316" s="9" t="s">
        <v>106</v>
      </c>
      <c r="I316" s="9" t="s">
        <v>107</v>
      </c>
      <c r="J316" s="9" t="s">
        <v>52</v>
      </c>
      <c r="K316" s="9" t="s">
        <v>131</v>
      </c>
      <c r="L316" s="9" t="s">
        <v>1644</v>
      </c>
      <c r="M316" s="9" t="s">
        <v>89</v>
      </c>
      <c r="N316" s="9" t="n">
        <v>9</v>
      </c>
      <c r="O316" s="9" t="n">
        <v>847.76</v>
      </c>
      <c r="P316" s="9" t="n">
        <v>0.15</v>
      </c>
      <c r="Q316" s="9" t="n">
        <v>6485.36</v>
      </c>
      <c r="R316" s="9" t="n">
        <v>5376.17</v>
      </c>
      <c r="S316" s="9" t="n">
        <v>1109.19</v>
      </c>
      <c r="T316" s="9" t="s">
        <v>224</v>
      </c>
      <c r="U316" s="9" t="s">
        <v>147</v>
      </c>
    </row>
    <row r="317" customFormat="false" ht="15" hidden="false" customHeight="false" outlineLevel="0" collapsed="false">
      <c r="A317" s="9" t="s">
        <v>1645</v>
      </c>
      <c r="B317" s="9" t="s">
        <v>1646</v>
      </c>
      <c r="C317" s="9" t="s">
        <v>1647</v>
      </c>
      <c r="D317" s="9" t="s">
        <v>1648</v>
      </c>
      <c r="E317" s="9" t="s">
        <v>204</v>
      </c>
      <c r="F317" s="9" t="s">
        <v>48</v>
      </c>
      <c r="G317" s="9" t="s">
        <v>177</v>
      </c>
      <c r="H317" s="9" t="s">
        <v>535</v>
      </c>
      <c r="I317" s="9" t="s">
        <v>536</v>
      </c>
      <c r="J317" s="9" t="s">
        <v>52</v>
      </c>
      <c r="K317" s="9" t="s">
        <v>53</v>
      </c>
      <c r="L317" s="9" t="s">
        <v>1649</v>
      </c>
      <c r="M317" s="9" t="s">
        <v>89</v>
      </c>
      <c r="N317" s="9" t="n">
        <v>9</v>
      </c>
      <c r="O317" s="9" t="n">
        <v>3450.4</v>
      </c>
      <c r="P317" s="9" t="n">
        <v>0.05</v>
      </c>
      <c r="Q317" s="9" t="n">
        <v>29500.92</v>
      </c>
      <c r="R317" s="9" t="n">
        <v>17989.68</v>
      </c>
      <c r="S317" s="9" t="n">
        <v>11511.24</v>
      </c>
      <c r="T317" s="9" t="s">
        <v>160</v>
      </c>
      <c r="U317" s="9" t="s">
        <v>147</v>
      </c>
    </row>
    <row r="318" customFormat="false" ht="15" hidden="false" customHeight="false" outlineLevel="0" collapsed="false">
      <c r="A318" s="9" t="s">
        <v>1650</v>
      </c>
      <c r="B318" s="9" t="s">
        <v>1651</v>
      </c>
      <c r="C318" s="9" t="s">
        <v>1652</v>
      </c>
      <c r="D318" s="9" t="s">
        <v>1653</v>
      </c>
      <c r="E318" s="9" t="s">
        <v>47</v>
      </c>
      <c r="F318" s="9" t="s">
        <v>130</v>
      </c>
      <c r="G318" s="9" t="s">
        <v>177</v>
      </c>
      <c r="H318" s="9" t="s">
        <v>178</v>
      </c>
      <c r="I318" s="9" t="s">
        <v>179</v>
      </c>
      <c r="J318" s="9" t="s">
        <v>52</v>
      </c>
      <c r="K318" s="9" t="s">
        <v>131</v>
      </c>
      <c r="L318" s="9" t="s">
        <v>1654</v>
      </c>
      <c r="M318" s="9" t="s">
        <v>89</v>
      </c>
      <c r="N318" s="9" t="n">
        <v>2</v>
      </c>
      <c r="O318" s="9" t="n">
        <v>1947.53</v>
      </c>
      <c r="P318" s="9" t="n">
        <v>0.2</v>
      </c>
      <c r="Q318" s="9" t="n">
        <v>3116.05</v>
      </c>
      <c r="R318" s="9" t="n">
        <v>1956.63</v>
      </c>
      <c r="S318" s="9" t="n">
        <v>1159.42</v>
      </c>
      <c r="T318" s="9" t="s">
        <v>56</v>
      </c>
      <c r="U318" s="9" t="s">
        <v>100</v>
      </c>
    </row>
    <row r="319" customFormat="false" ht="15" hidden="false" customHeight="false" outlineLevel="0" collapsed="false">
      <c r="A319" s="9" t="s">
        <v>1655</v>
      </c>
      <c r="B319" s="9" t="s">
        <v>1656</v>
      </c>
      <c r="C319" s="9" t="s">
        <v>1657</v>
      </c>
      <c r="D319" s="9" t="s">
        <v>1658</v>
      </c>
      <c r="E319" s="9" t="s">
        <v>115</v>
      </c>
      <c r="F319" s="9" t="s">
        <v>130</v>
      </c>
      <c r="G319" s="9" t="s">
        <v>84</v>
      </c>
      <c r="H319" s="9" t="s">
        <v>267</v>
      </c>
      <c r="I319" s="9" t="s">
        <v>268</v>
      </c>
      <c r="J319" s="9" t="s">
        <v>67</v>
      </c>
      <c r="K319" s="9" t="s">
        <v>68</v>
      </c>
      <c r="L319" s="9" t="s">
        <v>1659</v>
      </c>
      <c r="M319" s="9" t="s">
        <v>78</v>
      </c>
      <c r="N319" s="9" t="n">
        <v>9</v>
      </c>
      <c r="O319" s="9" t="n">
        <v>2996.97</v>
      </c>
      <c r="P319" s="9" t="n">
        <v>0.15</v>
      </c>
      <c r="Q319" s="9" t="n">
        <v>22926.82</v>
      </c>
      <c r="R319" s="9" t="n">
        <v>14621.59</v>
      </c>
      <c r="S319" s="9" t="n">
        <v>8305.23</v>
      </c>
      <c r="T319" s="9" t="s">
        <v>56</v>
      </c>
      <c r="U319" s="9" t="s">
        <v>57</v>
      </c>
    </row>
    <row r="320" customFormat="false" ht="15" hidden="false" customHeight="false" outlineLevel="0" collapsed="false">
      <c r="A320" s="9" t="s">
        <v>1660</v>
      </c>
      <c r="B320" s="9" t="s">
        <v>1661</v>
      </c>
      <c r="C320" s="9" t="s">
        <v>1662</v>
      </c>
      <c r="D320" s="9" t="s">
        <v>1663</v>
      </c>
      <c r="E320" s="9" t="s">
        <v>62</v>
      </c>
      <c r="F320" s="9" t="s">
        <v>63</v>
      </c>
      <c r="G320" s="9" t="s">
        <v>84</v>
      </c>
      <c r="H320" s="9" t="s">
        <v>254</v>
      </c>
      <c r="I320" s="9" t="s">
        <v>255</v>
      </c>
      <c r="J320" s="9" t="s">
        <v>108</v>
      </c>
      <c r="K320" s="9" t="s">
        <v>247</v>
      </c>
      <c r="L320" s="9" t="s">
        <v>1664</v>
      </c>
      <c r="M320" s="9" t="s">
        <v>89</v>
      </c>
      <c r="N320" s="9" t="n">
        <v>3</v>
      </c>
      <c r="O320" s="9" t="n">
        <v>4149.46</v>
      </c>
      <c r="P320" s="9" t="n">
        <v>0.1</v>
      </c>
      <c r="Q320" s="9" t="n">
        <v>11203.54</v>
      </c>
      <c r="R320" s="9" t="n">
        <v>8452.93</v>
      </c>
      <c r="S320" s="9" t="n">
        <v>2750.61</v>
      </c>
      <c r="T320" s="9" t="s">
        <v>56</v>
      </c>
      <c r="U320" s="9" t="s">
        <v>57</v>
      </c>
    </row>
    <row r="321" customFormat="false" ht="15" hidden="false" customHeight="false" outlineLevel="0" collapsed="false">
      <c r="A321" s="9" t="s">
        <v>1665</v>
      </c>
      <c r="B321" s="9" t="s">
        <v>1666</v>
      </c>
      <c r="C321" s="9" t="s">
        <v>1667</v>
      </c>
      <c r="D321" s="9" t="s">
        <v>1668</v>
      </c>
      <c r="E321" s="9" t="s">
        <v>234</v>
      </c>
      <c r="F321" s="9" t="s">
        <v>48</v>
      </c>
      <c r="G321" s="9" t="s">
        <v>95</v>
      </c>
      <c r="H321" s="9" t="s">
        <v>260</v>
      </c>
      <c r="I321" s="9" t="s">
        <v>261</v>
      </c>
      <c r="J321" s="9" t="s">
        <v>52</v>
      </c>
      <c r="K321" s="9" t="s">
        <v>222</v>
      </c>
      <c r="L321" s="9" t="s">
        <v>1669</v>
      </c>
      <c r="M321" s="9" t="s">
        <v>78</v>
      </c>
      <c r="N321" s="9" t="n">
        <v>1</v>
      </c>
      <c r="O321" s="9" t="n">
        <v>270.28</v>
      </c>
      <c r="P321" s="9" t="n">
        <v>0</v>
      </c>
      <c r="Q321" s="9" t="n">
        <v>270.28</v>
      </c>
      <c r="R321" s="9" t="n">
        <v>156.34</v>
      </c>
      <c r="S321" s="9" t="n">
        <v>113.94</v>
      </c>
      <c r="T321" s="9" t="s">
        <v>56</v>
      </c>
      <c r="U321" s="9" t="s">
        <v>57</v>
      </c>
    </row>
    <row r="322" customFormat="false" ht="15" hidden="false" customHeight="false" outlineLevel="0" collapsed="false">
      <c r="A322" s="9" t="s">
        <v>1670</v>
      </c>
      <c r="B322" s="9" t="s">
        <v>1671</v>
      </c>
      <c r="C322" s="9" t="s">
        <v>1672</v>
      </c>
      <c r="D322" s="9" t="s">
        <v>1673</v>
      </c>
      <c r="E322" s="9" t="s">
        <v>186</v>
      </c>
      <c r="F322" s="9" t="s">
        <v>137</v>
      </c>
      <c r="G322" s="9" t="s">
        <v>64</v>
      </c>
      <c r="H322" s="9" t="s">
        <v>143</v>
      </c>
      <c r="I322" s="9" t="s">
        <v>144</v>
      </c>
      <c r="J322" s="9" t="s">
        <v>52</v>
      </c>
      <c r="K322" s="9" t="s">
        <v>76</v>
      </c>
      <c r="L322" s="9" t="s">
        <v>1674</v>
      </c>
      <c r="M322" s="9" t="s">
        <v>55</v>
      </c>
      <c r="N322" s="9" t="n">
        <v>3</v>
      </c>
      <c r="O322" s="9" t="n">
        <v>876.14</v>
      </c>
      <c r="P322" s="9" t="s">
        <v>713</v>
      </c>
      <c r="Q322" s="9" t="n">
        <v>2628.42</v>
      </c>
      <c r="R322" s="9" t="n">
        <v>1541.54</v>
      </c>
      <c r="S322" s="9" t="n">
        <v>1086.88</v>
      </c>
      <c r="T322" s="9" t="s">
        <v>160</v>
      </c>
      <c r="U322" s="9" t="s">
        <v>147</v>
      </c>
    </row>
    <row r="323" customFormat="false" ht="15" hidden="false" customHeight="false" outlineLevel="0" collapsed="false">
      <c r="A323" s="9" t="s">
        <v>1675</v>
      </c>
      <c r="B323" s="9" t="s">
        <v>1676</v>
      </c>
      <c r="C323" s="9" t="s">
        <v>1677</v>
      </c>
      <c r="D323" s="9" t="s">
        <v>1678</v>
      </c>
      <c r="E323" s="9" t="s">
        <v>115</v>
      </c>
      <c r="F323" s="9" t="s">
        <v>63</v>
      </c>
      <c r="G323" s="9" t="s">
        <v>95</v>
      </c>
      <c r="H323" s="9" t="s">
        <v>274</v>
      </c>
      <c r="I323" s="9" t="s">
        <v>275</v>
      </c>
      <c r="J323" s="9" t="s">
        <v>108</v>
      </c>
      <c r="K323" s="9" t="s">
        <v>109</v>
      </c>
      <c r="L323" s="9" t="s">
        <v>1679</v>
      </c>
      <c r="M323" s="9" t="s">
        <v>70</v>
      </c>
      <c r="N323" s="9" t="n">
        <v>4</v>
      </c>
      <c r="O323" s="9" t="n">
        <v>674.82</v>
      </c>
      <c r="P323" s="9" t="n">
        <v>0</v>
      </c>
      <c r="Q323" s="9" t="n">
        <v>2699.28</v>
      </c>
      <c r="R323" s="9" t="n">
        <v>1759.76</v>
      </c>
      <c r="S323" s="9" t="n">
        <v>939.52</v>
      </c>
      <c r="T323" s="9" t="s">
        <v>224</v>
      </c>
      <c r="U323" s="9" t="s">
        <v>100</v>
      </c>
    </row>
    <row r="324" customFormat="false" ht="15" hidden="false" customHeight="false" outlineLevel="0" collapsed="false">
      <c r="A324" s="9" t="s">
        <v>1680</v>
      </c>
      <c r="B324" s="9" t="s">
        <v>1576</v>
      </c>
      <c r="C324" s="9" t="s">
        <v>1681</v>
      </c>
      <c r="D324" s="9" t="s">
        <v>1682</v>
      </c>
      <c r="E324" s="9" t="s">
        <v>75</v>
      </c>
      <c r="F324" s="9" t="s">
        <v>48</v>
      </c>
      <c r="G324" s="9" t="s">
        <v>177</v>
      </c>
      <c r="H324" s="9" t="s">
        <v>198</v>
      </c>
      <c r="I324" s="9" t="s">
        <v>199</v>
      </c>
      <c r="J324" s="9" t="s">
        <v>108</v>
      </c>
      <c r="K324" s="9" t="s">
        <v>247</v>
      </c>
      <c r="L324" s="9" t="s">
        <v>1683</v>
      </c>
      <c r="M324" s="9" t="s">
        <v>55</v>
      </c>
      <c r="N324" s="9" t="n">
        <v>6</v>
      </c>
      <c r="O324" s="9" t="n">
        <v>1369.48</v>
      </c>
      <c r="P324" s="9" t="n">
        <v>0.15</v>
      </c>
      <c r="Q324" s="9" t="n">
        <v>6984.35</v>
      </c>
      <c r="R324" s="9" t="n">
        <v>4023.63</v>
      </c>
      <c r="S324" s="9" t="n">
        <v>2960.72</v>
      </c>
      <c r="T324" s="9" t="s">
        <v>56</v>
      </c>
      <c r="U324" s="9" t="s">
        <v>57</v>
      </c>
    </row>
    <row r="325" customFormat="false" ht="15" hidden="false" customHeight="false" outlineLevel="0" collapsed="false">
      <c r="A325" s="9" t="s">
        <v>1684</v>
      </c>
      <c r="B325" s="9" t="s">
        <v>1685</v>
      </c>
      <c r="C325" s="9" t="s">
        <v>1686</v>
      </c>
      <c r="D325" s="9" t="s">
        <v>1687</v>
      </c>
      <c r="E325" s="9" t="s">
        <v>75</v>
      </c>
      <c r="F325" s="9" t="s">
        <v>63</v>
      </c>
      <c r="G325" s="9" t="s">
        <v>95</v>
      </c>
      <c r="H325" s="9" t="s">
        <v>274</v>
      </c>
      <c r="I325" s="9" t="s">
        <v>275</v>
      </c>
      <c r="J325" s="9" t="s">
        <v>67</v>
      </c>
      <c r="K325" s="9" t="s">
        <v>87</v>
      </c>
      <c r="L325" s="9" t="s">
        <v>217</v>
      </c>
      <c r="M325" s="9" t="s">
        <v>89</v>
      </c>
      <c r="N325" s="9" t="n">
        <v>9</v>
      </c>
      <c r="O325" s="9" t="n">
        <v>1331.46</v>
      </c>
      <c r="P325" s="9" t="n">
        <v>0.15</v>
      </c>
      <c r="Q325" s="9" t="n">
        <v>10185.67</v>
      </c>
      <c r="R325" s="9" t="n">
        <v>6479.31</v>
      </c>
      <c r="S325" s="9" t="n">
        <v>3706.36</v>
      </c>
      <c r="T325" s="9" t="s">
        <v>56</v>
      </c>
      <c r="U325" s="9" t="s">
        <v>57</v>
      </c>
    </row>
    <row r="326" customFormat="false" ht="15" hidden="false" customHeight="false" outlineLevel="0" collapsed="false">
      <c r="A326" s="9" t="s">
        <v>1688</v>
      </c>
      <c r="B326" s="9" t="s">
        <v>1689</v>
      </c>
      <c r="C326" s="9" t="s">
        <v>978</v>
      </c>
      <c r="D326" s="9" t="s">
        <v>1690</v>
      </c>
      <c r="E326" s="9" t="s">
        <v>204</v>
      </c>
      <c r="F326" s="9" t="s">
        <v>137</v>
      </c>
      <c r="G326" s="9" t="s">
        <v>84</v>
      </c>
      <c r="H326" s="9" t="s">
        <v>122</v>
      </c>
      <c r="I326" s="9" t="s">
        <v>123</v>
      </c>
      <c r="J326" s="9" t="s">
        <v>52</v>
      </c>
      <c r="K326" s="9" t="s">
        <v>131</v>
      </c>
      <c r="L326" s="9" t="s">
        <v>1691</v>
      </c>
      <c r="M326" s="9" t="s">
        <v>70</v>
      </c>
      <c r="N326" s="9" t="n">
        <v>1</v>
      </c>
      <c r="O326" s="9" t="n">
        <v>1947.88</v>
      </c>
      <c r="P326" s="9" t="n">
        <v>0.15</v>
      </c>
      <c r="Q326" s="9" t="n">
        <v>1655.7</v>
      </c>
      <c r="R326" s="9" t="n">
        <v>1354.8</v>
      </c>
      <c r="S326" s="9" t="n">
        <v>300.9</v>
      </c>
      <c r="T326" s="9" t="s">
        <v>56</v>
      </c>
      <c r="U326" s="9" t="s">
        <v>147</v>
      </c>
    </row>
    <row r="327" customFormat="false" ht="15" hidden="false" customHeight="false" outlineLevel="0" collapsed="false">
      <c r="A327" s="9" t="s">
        <v>1692</v>
      </c>
      <c r="B327" s="9" t="s">
        <v>1693</v>
      </c>
      <c r="C327" s="9" t="s">
        <v>1694</v>
      </c>
      <c r="D327" s="9" t="s">
        <v>1695</v>
      </c>
      <c r="E327" s="9" t="s">
        <v>192</v>
      </c>
      <c r="F327" s="9" t="s">
        <v>137</v>
      </c>
      <c r="G327" s="9" t="s">
        <v>64</v>
      </c>
      <c r="H327" s="9" t="s">
        <v>143</v>
      </c>
      <c r="I327" s="9" t="s">
        <v>144</v>
      </c>
      <c r="J327" s="9" t="s">
        <v>108</v>
      </c>
      <c r="K327" s="9" t="s">
        <v>116</v>
      </c>
      <c r="L327" s="9" t="s">
        <v>1696</v>
      </c>
      <c r="M327" s="9" t="s">
        <v>55</v>
      </c>
      <c r="N327" s="9" t="n">
        <v>5</v>
      </c>
      <c r="O327" s="9" t="n">
        <v>3671.2</v>
      </c>
      <c r="P327" s="9" t="n">
        <v>0.15</v>
      </c>
      <c r="Q327" s="9" t="n">
        <v>15602.6</v>
      </c>
      <c r="R327" s="9" t="n">
        <v>11908.52</v>
      </c>
      <c r="S327" s="9" t="n">
        <v>3694.08</v>
      </c>
      <c r="T327" s="9" t="s">
        <v>56</v>
      </c>
      <c r="U327" s="9" t="s">
        <v>57</v>
      </c>
    </row>
    <row r="328" customFormat="false" ht="15" hidden="false" customHeight="false" outlineLevel="0" collapsed="false">
      <c r="A328" s="9" t="s">
        <v>1697</v>
      </c>
      <c r="B328" s="9" t="s">
        <v>1698</v>
      </c>
      <c r="C328" s="9" t="s">
        <v>1552</v>
      </c>
      <c r="D328" s="9" t="s">
        <v>1699</v>
      </c>
      <c r="E328" s="9" t="s">
        <v>192</v>
      </c>
      <c r="F328" s="9" t="s">
        <v>130</v>
      </c>
      <c r="G328" s="9" t="s">
        <v>64</v>
      </c>
      <c r="H328" s="9" t="s">
        <v>336</v>
      </c>
      <c r="I328" s="9" t="s">
        <v>337</v>
      </c>
      <c r="J328" s="9" t="s">
        <v>67</v>
      </c>
      <c r="K328" s="9" t="s">
        <v>87</v>
      </c>
      <c r="L328" s="9" t="s">
        <v>1700</v>
      </c>
      <c r="M328" s="9" t="s">
        <v>70</v>
      </c>
      <c r="N328" s="9" t="n">
        <v>5</v>
      </c>
      <c r="O328" s="9" t="n">
        <v>3187.05</v>
      </c>
      <c r="P328" s="9" t="n">
        <v>0.05</v>
      </c>
      <c r="Q328" s="9" t="n">
        <v>15138.49</v>
      </c>
      <c r="R328" s="9" t="n">
        <v>11235.72</v>
      </c>
      <c r="S328" s="9" t="n">
        <v>3902.77</v>
      </c>
      <c r="T328" s="9" t="s">
        <v>56</v>
      </c>
      <c r="U328" s="9" t="s">
        <v>57</v>
      </c>
    </row>
    <row r="329" customFormat="false" ht="15" hidden="false" customHeight="false" outlineLevel="0" collapsed="false">
      <c r="A329" s="9" t="s">
        <v>1701</v>
      </c>
      <c r="B329" s="9" t="s">
        <v>1702</v>
      </c>
      <c r="C329" s="9" t="s">
        <v>289</v>
      </c>
      <c r="D329" s="9" t="s">
        <v>1703</v>
      </c>
      <c r="E329" s="9" t="s">
        <v>75</v>
      </c>
      <c r="F329" s="9" t="s">
        <v>48</v>
      </c>
      <c r="G329" s="9" t="s">
        <v>95</v>
      </c>
      <c r="H329" s="9" t="s">
        <v>50</v>
      </c>
      <c r="I329" s="9" t="s">
        <v>158</v>
      </c>
      <c r="J329" s="9" t="s">
        <v>108</v>
      </c>
      <c r="K329" s="9" t="s">
        <v>109</v>
      </c>
      <c r="L329" s="9" t="s">
        <v>1704</v>
      </c>
      <c r="M329" s="9" t="s">
        <v>55</v>
      </c>
      <c r="N329" s="9" t="n">
        <v>3</v>
      </c>
      <c r="O329" s="9" t="n">
        <v>1834.55</v>
      </c>
      <c r="P329" s="9" t="n">
        <v>0.2</v>
      </c>
      <c r="Q329" s="9" t="n">
        <v>4402.92</v>
      </c>
      <c r="R329" s="9" t="n">
        <v>2993.94</v>
      </c>
      <c r="S329" s="9" t="n">
        <v>1408.98</v>
      </c>
      <c r="T329" s="9" t="s">
        <v>160</v>
      </c>
      <c r="U329" s="9" t="s">
        <v>100</v>
      </c>
    </row>
    <row r="330" customFormat="false" ht="15" hidden="false" customHeight="false" outlineLevel="0" collapsed="false">
      <c r="A330" s="9" t="s">
        <v>1705</v>
      </c>
      <c r="B330" s="9" t="s">
        <v>1706</v>
      </c>
      <c r="C330" s="9" t="s">
        <v>1471</v>
      </c>
      <c r="D330" s="9" t="s">
        <v>1707</v>
      </c>
      <c r="E330" s="9" t="s">
        <v>234</v>
      </c>
      <c r="F330" s="9" t="s">
        <v>48</v>
      </c>
      <c r="G330" s="9" t="s">
        <v>95</v>
      </c>
      <c r="H330" s="9" t="s">
        <v>96</v>
      </c>
      <c r="I330" s="9" t="s">
        <v>97</v>
      </c>
      <c r="J330" s="9" t="s">
        <v>52</v>
      </c>
      <c r="K330" s="9" t="s">
        <v>180</v>
      </c>
      <c r="L330" s="9" t="s">
        <v>1708</v>
      </c>
      <c r="M330" s="9" t="s">
        <v>78</v>
      </c>
      <c r="N330" s="9" t="n">
        <v>6</v>
      </c>
      <c r="O330" s="9" t="n">
        <v>3100.68</v>
      </c>
      <c r="P330" s="9" t="n">
        <v>0</v>
      </c>
      <c r="Q330" s="9" t="n">
        <v>18604.08</v>
      </c>
      <c r="R330" s="9" t="n">
        <v>15834.3</v>
      </c>
      <c r="S330" s="9" t="n">
        <v>2769.78</v>
      </c>
      <c r="T330" s="9" t="s">
        <v>56</v>
      </c>
      <c r="U330" s="9" t="s">
        <v>57</v>
      </c>
    </row>
    <row r="331" customFormat="false" ht="15" hidden="false" customHeight="false" outlineLevel="0" collapsed="false">
      <c r="A331" s="9" t="s">
        <v>1709</v>
      </c>
      <c r="B331" s="9" t="s">
        <v>1710</v>
      </c>
      <c r="C331" s="9" t="s">
        <v>1711</v>
      </c>
      <c r="D331" s="9" t="s">
        <v>1712</v>
      </c>
      <c r="E331" s="9" t="s">
        <v>115</v>
      </c>
      <c r="F331" s="9" t="s">
        <v>63</v>
      </c>
      <c r="G331" s="9" t="s">
        <v>95</v>
      </c>
      <c r="H331" s="9" t="s">
        <v>96</v>
      </c>
      <c r="I331" s="9" t="s">
        <v>97</v>
      </c>
      <c r="J331" s="9" t="s">
        <v>52</v>
      </c>
      <c r="K331" s="9" t="s">
        <v>180</v>
      </c>
      <c r="L331" s="9" t="s">
        <v>1713</v>
      </c>
      <c r="M331" s="9" t="s">
        <v>89</v>
      </c>
      <c r="N331" s="9" t="n">
        <v>4</v>
      </c>
      <c r="O331" s="9" t="n">
        <v>4053.03</v>
      </c>
      <c r="P331" s="9" t="n">
        <v>0.05</v>
      </c>
      <c r="Q331" s="9" t="n">
        <v>15401.51</v>
      </c>
      <c r="R331" s="9" t="n">
        <v>8650.42</v>
      </c>
      <c r="S331" s="9" t="n">
        <v>6751.09</v>
      </c>
      <c r="T331" s="9" t="s">
        <v>56</v>
      </c>
      <c r="U331" s="9" t="s">
        <v>57</v>
      </c>
    </row>
    <row r="332" customFormat="false" ht="15" hidden="false" customHeight="false" outlineLevel="0" collapsed="false">
      <c r="A332" s="9" t="s">
        <v>1714</v>
      </c>
      <c r="B332" s="9" t="s">
        <v>1164</v>
      </c>
      <c r="C332" s="9" t="s">
        <v>742</v>
      </c>
      <c r="D332" s="9" t="s">
        <v>1715</v>
      </c>
      <c r="E332" s="9" t="s">
        <v>83</v>
      </c>
      <c r="F332" s="9" t="s">
        <v>137</v>
      </c>
      <c r="G332" s="9" t="s">
        <v>177</v>
      </c>
      <c r="H332" s="9" t="s">
        <v>178</v>
      </c>
      <c r="I332" s="9" t="s">
        <v>179</v>
      </c>
      <c r="J332" s="9" t="s">
        <v>108</v>
      </c>
      <c r="K332" s="9" t="s">
        <v>109</v>
      </c>
      <c r="L332" s="9" t="s">
        <v>1716</v>
      </c>
      <c r="M332" s="9" t="s">
        <v>70</v>
      </c>
      <c r="N332" s="9" t="n">
        <v>1</v>
      </c>
      <c r="O332" s="9" t="n">
        <v>783.09</v>
      </c>
      <c r="P332" s="9" t="n">
        <v>0</v>
      </c>
      <c r="Q332" s="9" t="n">
        <v>783.09</v>
      </c>
      <c r="R332" s="9" t="n">
        <v>503.89</v>
      </c>
      <c r="S332" s="9" t="n">
        <v>279.2</v>
      </c>
      <c r="T332" s="9" t="s">
        <v>224</v>
      </c>
      <c r="U332" s="9" t="s">
        <v>100</v>
      </c>
    </row>
    <row r="333" customFormat="false" ht="15" hidden="false" customHeight="false" outlineLevel="0" collapsed="false">
      <c r="A333" s="9" t="s">
        <v>1717</v>
      </c>
      <c r="B333" s="9" t="s">
        <v>738</v>
      </c>
      <c r="C333" s="9" t="s">
        <v>1718</v>
      </c>
      <c r="D333" s="9" t="s">
        <v>1719</v>
      </c>
      <c r="E333" s="9" t="s">
        <v>192</v>
      </c>
      <c r="F333" s="9" t="s">
        <v>137</v>
      </c>
      <c r="G333" s="9" t="s">
        <v>64</v>
      </c>
      <c r="H333" s="9" t="s">
        <v>65</v>
      </c>
      <c r="I333" s="9" t="s">
        <v>66</v>
      </c>
      <c r="J333" s="9" t="s">
        <v>52</v>
      </c>
      <c r="K333" s="9" t="s">
        <v>222</v>
      </c>
      <c r="L333" s="9" t="s">
        <v>1720</v>
      </c>
      <c r="M333" s="9" t="s">
        <v>55</v>
      </c>
      <c r="N333" s="9" t="n">
        <v>4</v>
      </c>
      <c r="O333" s="9" t="n">
        <v>2685.66</v>
      </c>
      <c r="P333" s="9" t="n">
        <v>0</v>
      </c>
      <c r="Q333" s="9" t="n">
        <v>10742.64</v>
      </c>
      <c r="R333" s="9" t="n">
        <v>6477.37</v>
      </c>
      <c r="S333" s="9" t="n">
        <v>4265.27</v>
      </c>
      <c r="T333" s="9" t="s">
        <v>56</v>
      </c>
      <c r="U333" s="9" t="s">
        <v>147</v>
      </c>
    </row>
    <row r="334" customFormat="false" ht="15" hidden="false" customHeight="false" outlineLevel="0" collapsed="false">
      <c r="A334" s="9" t="s">
        <v>1721</v>
      </c>
      <c r="B334" s="9" t="s">
        <v>1722</v>
      </c>
      <c r="C334" s="9" t="s">
        <v>1723</v>
      </c>
      <c r="D334" s="9" t="s">
        <v>1724</v>
      </c>
      <c r="E334" s="9" t="s">
        <v>186</v>
      </c>
      <c r="F334" s="9" t="s">
        <v>48</v>
      </c>
      <c r="G334" s="9" t="s">
        <v>84</v>
      </c>
      <c r="H334" s="9" t="s">
        <v>122</v>
      </c>
      <c r="I334" s="9" t="s">
        <v>123</v>
      </c>
      <c r="J334" s="9" t="s">
        <v>108</v>
      </c>
      <c r="K334" s="9" t="s">
        <v>1725</v>
      </c>
      <c r="L334" s="9" t="s">
        <v>1726</v>
      </c>
      <c r="M334" s="9" t="s">
        <v>55</v>
      </c>
      <c r="N334" s="9" t="n">
        <v>2</v>
      </c>
      <c r="O334" s="9" t="n">
        <v>3911.96</v>
      </c>
      <c r="P334" s="9" t="n">
        <v>0</v>
      </c>
      <c r="Q334" s="9" t="n">
        <v>7823.92</v>
      </c>
      <c r="R334" s="9" t="n">
        <v>6034.63</v>
      </c>
      <c r="S334" s="9" t="n">
        <v>1789.29</v>
      </c>
      <c r="T334" s="9" t="s">
        <v>56</v>
      </c>
      <c r="U334" s="9" t="s">
        <v>57</v>
      </c>
    </row>
    <row r="335" customFormat="false" ht="15" hidden="false" customHeight="false" outlineLevel="0" collapsed="false">
      <c r="A335" s="9" t="s">
        <v>1727</v>
      </c>
      <c r="B335" s="9" t="s">
        <v>1728</v>
      </c>
      <c r="C335" s="9" t="s">
        <v>1729</v>
      </c>
      <c r="D335" s="9" t="s">
        <v>1730</v>
      </c>
      <c r="E335" s="9" t="s">
        <v>204</v>
      </c>
      <c r="F335" s="9" t="s">
        <v>137</v>
      </c>
      <c r="G335" s="9"/>
      <c r="H335" s="9" t="s">
        <v>535</v>
      </c>
      <c r="I335" s="9" t="s">
        <v>536</v>
      </c>
      <c r="J335" s="9" t="s">
        <v>108</v>
      </c>
      <c r="K335" s="9" t="s">
        <v>247</v>
      </c>
      <c r="L335" s="9" t="s">
        <v>1731</v>
      </c>
      <c r="M335" s="9" t="s">
        <v>78</v>
      </c>
      <c r="N335" s="9" t="n">
        <v>2</v>
      </c>
      <c r="O335" s="9" t="n">
        <v>1468.05</v>
      </c>
      <c r="P335" s="9" t="n">
        <v>0</v>
      </c>
      <c r="Q335" s="9" t="n">
        <v>2936.1</v>
      </c>
      <c r="R335" s="9" t="n">
        <v>1923.1</v>
      </c>
      <c r="S335" s="9" t="n">
        <v>1013</v>
      </c>
      <c r="T335" s="9" t="s">
        <v>56</v>
      </c>
      <c r="U335" s="9" t="s">
        <v>57</v>
      </c>
    </row>
    <row r="336" customFormat="false" ht="15" hidden="false" customHeight="false" outlineLevel="0" collapsed="false">
      <c r="A336" s="9" t="s">
        <v>1732</v>
      </c>
      <c r="B336" s="9" t="s">
        <v>1733</v>
      </c>
      <c r="C336" s="9" t="s">
        <v>1734</v>
      </c>
      <c r="D336" s="9" t="s">
        <v>1735</v>
      </c>
      <c r="E336" s="9" t="s">
        <v>94</v>
      </c>
      <c r="F336" s="9" t="s">
        <v>48</v>
      </c>
      <c r="G336" s="9" t="s">
        <v>64</v>
      </c>
      <c r="H336" s="9" t="s">
        <v>336</v>
      </c>
      <c r="I336" s="9" t="s">
        <v>337</v>
      </c>
      <c r="J336" s="9" t="s">
        <v>52</v>
      </c>
      <c r="K336" s="9" t="s">
        <v>180</v>
      </c>
      <c r="L336" s="9" t="s">
        <v>1736</v>
      </c>
      <c r="M336" s="9" t="s">
        <v>78</v>
      </c>
      <c r="N336" s="9" t="n">
        <v>9</v>
      </c>
      <c r="O336" s="9" t="n">
        <v>1921.47</v>
      </c>
      <c r="P336" s="9" t="n">
        <v>0.25</v>
      </c>
      <c r="Q336" s="9" t="n">
        <v>12969.92</v>
      </c>
      <c r="R336" s="9" t="n">
        <v>9398.46</v>
      </c>
      <c r="S336" s="9" t="n">
        <v>3571.46</v>
      </c>
      <c r="T336" s="9" t="s">
        <v>56</v>
      </c>
      <c r="U336" s="9" t="s">
        <v>57</v>
      </c>
    </row>
    <row r="337" customFormat="false" ht="15" hidden="false" customHeight="false" outlineLevel="0" collapsed="false">
      <c r="A337" s="9" t="s">
        <v>1737</v>
      </c>
      <c r="B337" s="9" t="s">
        <v>1738</v>
      </c>
      <c r="C337" s="9" t="s">
        <v>1739</v>
      </c>
      <c r="D337" s="9" t="s">
        <v>1740</v>
      </c>
      <c r="E337" s="9" t="s">
        <v>171</v>
      </c>
      <c r="F337" s="9" t="s">
        <v>137</v>
      </c>
      <c r="G337" s="9" t="s">
        <v>95</v>
      </c>
      <c r="H337" s="9" t="s">
        <v>106</v>
      </c>
      <c r="I337" s="9" t="s">
        <v>107</v>
      </c>
      <c r="J337" s="9" t="s">
        <v>52</v>
      </c>
      <c r="K337" s="9" t="s">
        <v>53</v>
      </c>
      <c r="L337" s="9" t="s">
        <v>1741</v>
      </c>
      <c r="M337" s="9" t="s">
        <v>78</v>
      </c>
      <c r="N337" s="9" t="n">
        <v>3</v>
      </c>
      <c r="O337" s="9" t="n">
        <v>4289.37</v>
      </c>
      <c r="P337" s="9" t="n">
        <v>0.1</v>
      </c>
      <c r="Q337" s="9" t="n">
        <v>11581.3</v>
      </c>
      <c r="R337" s="9" t="n">
        <v>6829.43</v>
      </c>
      <c r="S337" s="9" t="n">
        <v>4751.87</v>
      </c>
      <c r="T337" s="9" t="s">
        <v>56</v>
      </c>
      <c r="U337" s="9" t="s">
        <v>57</v>
      </c>
    </row>
    <row r="338" customFormat="false" ht="15" hidden="false" customHeight="false" outlineLevel="0" collapsed="false">
      <c r="A338" s="9" t="s">
        <v>1742</v>
      </c>
      <c r="B338" s="9" t="s">
        <v>329</v>
      </c>
      <c r="C338" s="9" t="s">
        <v>1743</v>
      </c>
      <c r="D338" s="9" t="s">
        <v>1359</v>
      </c>
      <c r="E338" s="9" t="s">
        <v>186</v>
      </c>
      <c r="F338" s="9" t="s">
        <v>48</v>
      </c>
      <c r="G338" s="9" t="s">
        <v>177</v>
      </c>
      <c r="H338" s="9" t="s">
        <v>50</v>
      </c>
      <c r="I338" s="9" t="s">
        <v>51</v>
      </c>
      <c r="J338" s="9" t="s">
        <v>108</v>
      </c>
      <c r="K338" s="9" t="s">
        <v>116</v>
      </c>
      <c r="L338" s="9" t="s">
        <v>1744</v>
      </c>
      <c r="M338" s="9" t="s">
        <v>78</v>
      </c>
      <c r="N338" s="9" t="n">
        <v>8</v>
      </c>
      <c r="O338" s="9" t="n">
        <v>1992.57</v>
      </c>
      <c r="P338" s="9" t="n">
        <v>0</v>
      </c>
      <c r="Q338" s="9" t="n">
        <v>15940.56</v>
      </c>
      <c r="R338" s="9" t="n">
        <v>12347.15</v>
      </c>
      <c r="S338" s="9" t="n">
        <v>3593.41</v>
      </c>
      <c r="T338" s="9" t="s">
        <v>56</v>
      </c>
      <c r="U338" s="9" t="s">
        <v>57</v>
      </c>
    </row>
    <row r="339" customFormat="false" ht="15" hidden="false" customHeight="false" outlineLevel="0" collapsed="false">
      <c r="A339" s="9" t="s">
        <v>1745</v>
      </c>
      <c r="B339" s="9" t="s">
        <v>1746</v>
      </c>
      <c r="C339" s="9" t="s">
        <v>1747</v>
      </c>
      <c r="D339" s="9" t="s">
        <v>1748</v>
      </c>
      <c r="E339" s="9" t="s">
        <v>94</v>
      </c>
      <c r="F339" s="9" t="s">
        <v>48</v>
      </c>
      <c r="G339" s="9" t="s">
        <v>64</v>
      </c>
      <c r="H339" s="9" t="s">
        <v>240</v>
      </c>
      <c r="I339" s="9" t="s">
        <v>241</v>
      </c>
      <c r="J339" s="9" t="s">
        <v>52</v>
      </c>
      <c r="K339" s="9" t="s">
        <v>131</v>
      </c>
      <c r="L339" s="9" t="s">
        <v>1749</v>
      </c>
      <c r="M339" s="9" t="s">
        <v>70</v>
      </c>
      <c r="N339" s="9" t="n">
        <v>6</v>
      </c>
      <c r="O339" s="9" t="n">
        <v>1181.74</v>
      </c>
      <c r="P339" s="9" t="n">
        <v>0</v>
      </c>
      <c r="Q339" s="9" t="n">
        <v>7090.44</v>
      </c>
      <c r="R339" s="9" t="n">
        <v>5672.27</v>
      </c>
      <c r="S339" s="9" t="n">
        <v>1262.87</v>
      </c>
      <c r="T339" s="9" t="s">
        <v>56</v>
      </c>
      <c r="U339" s="9" t="s">
        <v>57</v>
      </c>
    </row>
    <row r="340" customFormat="false" ht="15" hidden="false" customHeight="false" outlineLevel="0" collapsed="false">
      <c r="A340" s="9" t="s">
        <v>1750</v>
      </c>
      <c r="B340" s="9" t="s">
        <v>1751</v>
      </c>
      <c r="C340" s="9" t="s">
        <v>1504</v>
      </c>
      <c r="D340" s="9" t="s">
        <v>1752</v>
      </c>
      <c r="E340" s="9" t="s">
        <v>83</v>
      </c>
      <c r="F340" s="9" t="s">
        <v>63</v>
      </c>
      <c r="G340" s="9" t="s">
        <v>84</v>
      </c>
      <c r="H340" s="9" t="s">
        <v>122</v>
      </c>
      <c r="I340" s="9" t="s">
        <v>123</v>
      </c>
      <c r="J340" s="9" t="s">
        <v>108</v>
      </c>
      <c r="K340" s="9" t="s">
        <v>109</v>
      </c>
      <c r="L340" s="9" t="s">
        <v>1753</v>
      </c>
      <c r="M340" s="9" t="s">
        <v>78</v>
      </c>
      <c r="N340" s="9" t="n">
        <v>8</v>
      </c>
      <c r="O340" s="9" t="n">
        <v>4402.36</v>
      </c>
      <c r="P340" s="9" t="n">
        <v>0.25</v>
      </c>
      <c r="Q340" s="9" t="n">
        <v>26414.16</v>
      </c>
      <c r="R340" s="9" t="n">
        <v>21822.53</v>
      </c>
      <c r="S340" s="9" t="n">
        <v>4591.63</v>
      </c>
      <c r="T340" s="9" t="s">
        <v>56</v>
      </c>
      <c r="U340" s="9" t="s">
        <v>57</v>
      </c>
    </row>
    <row r="341" customFormat="false" ht="15" hidden="false" customHeight="false" outlineLevel="0" collapsed="false">
      <c r="A341" s="9" t="s">
        <v>1754</v>
      </c>
      <c r="B341" s="9" t="s">
        <v>951</v>
      </c>
      <c r="C341" s="9" t="s">
        <v>1755</v>
      </c>
      <c r="D341" s="9" t="s">
        <v>1756</v>
      </c>
      <c r="E341" s="9" t="s">
        <v>115</v>
      </c>
      <c r="F341" s="9" t="s">
        <v>130</v>
      </c>
      <c r="G341" s="9" t="s">
        <v>64</v>
      </c>
      <c r="H341" s="9" t="s">
        <v>336</v>
      </c>
      <c r="I341" s="9" t="s">
        <v>337</v>
      </c>
      <c r="J341" s="9" t="s">
        <v>67</v>
      </c>
      <c r="K341" s="9" t="s">
        <v>228</v>
      </c>
      <c r="L341" s="9" t="s">
        <v>1757</v>
      </c>
      <c r="M341" s="9" t="s">
        <v>89</v>
      </c>
      <c r="N341" s="9" t="n">
        <v>8</v>
      </c>
      <c r="O341" s="9" t="n">
        <v>3265.76</v>
      </c>
      <c r="P341" s="9" t="n">
        <v>0.2</v>
      </c>
      <c r="Q341" s="9" t="n">
        <v>20900.86</v>
      </c>
      <c r="R341" s="9" t="n">
        <v>12513.14</v>
      </c>
      <c r="S341" s="9" t="n">
        <v>8387.72</v>
      </c>
      <c r="T341" s="9" t="s">
        <v>56</v>
      </c>
      <c r="U341" s="9" t="s">
        <v>57</v>
      </c>
    </row>
    <row r="342" customFormat="false" ht="15" hidden="false" customHeight="false" outlineLevel="0" collapsed="false">
      <c r="A342" s="9" t="s">
        <v>1758</v>
      </c>
      <c r="B342" s="9" t="s">
        <v>1759</v>
      </c>
      <c r="C342" s="9" t="s">
        <v>1760</v>
      </c>
      <c r="D342" s="9" t="s">
        <v>1761</v>
      </c>
      <c r="E342" s="9" t="s">
        <v>115</v>
      </c>
      <c r="F342" s="9" t="s">
        <v>48</v>
      </c>
      <c r="G342" s="9" t="s">
        <v>84</v>
      </c>
      <c r="H342" s="9" t="s">
        <v>254</v>
      </c>
      <c r="I342" s="9" t="s">
        <v>255</v>
      </c>
      <c r="J342" s="9" t="s">
        <v>52</v>
      </c>
      <c r="K342" s="9" t="s">
        <v>222</v>
      </c>
      <c r="L342" s="9" t="s">
        <v>1762</v>
      </c>
      <c r="M342" s="9" t="s">
        <v>89</v>
      </c>
      <c r="N342" s="9" t="n">
        <v>5</v>
      </c>
      <c r="O342" s="9" t="n">
        <v>4058.08</v>
      </c>
      <c r="P342" s="9" t="n">
        <v>0.1</v>
      </c>
      <c r="Q342" s="9" t="n">
        <v>18261.36</v>
      </c>
      <c r="R342" s="9" t="n">
        <v>11399.94</v>
      </c>
      <c r="S342" s="9" t="n">
        <v>6861.42</v>
      </c>
      <c r="T342" s="9" t="s">
        <v>56</v>
      </c>
      <c r="U342" s="9" t="s">
        <v>57</v>
      </c>
    </row>
    <row r="343" customFormat="false" ht="15" hidden="false" customHeight="false" outlineLevel="0" collapsed="false">
      <c r="A343" s="9" t="s">
        <v>1763</v>
      </c>
      <c r="B343" s="9" t="s">
        <v>1764</v>
      </c>
      <c r="C343" s="9" t="s">
        <v>1765</v>
      </c>
      <c r="D343" s="9" t="s">
        <v>1766</v>
      </c>
      <c r="E343" s="9" t="s">
        <v>204</v>
      </c>
      <c r="F343" s="9" t="s">
        <v>137</v>
      </c>
      <c r="G343" s="9" t="s">
        <v>95</v>
      </c>
      <c r="H343" s="9" t="s">
        <v>260</v>
      </c>
      <c r="I343" s="9" t="s">
        <v>261</v>
      </c>
      <c r="J343" s="9" t="s">
        <v>67</v>
      </c>
      <c r="K343" s="9" t="s">
        <v>98</v>
      </c>
      <c r="L343" s="9" t="s">
        <v>1767</v>
      </c>
      <c r="M343" s="9" t="s">
        <v>55</v>
      </c>
      <c r="N343" s="9" t="n">
        <v>2</v>
      </c>
      <c r="O343" s="9" t="n">
        <v>3960.33</v>
      </c>
      <c r="P343" s="9" t="n">
        <v>0.05</v>
      </c>
      <c r="Q343" s="9" t="n">
        <v>7524.63</v>
      </c>
      <c r="R343" s="9" t="n">
        <v>6229.6</v>
      </c>
      <c r="S343" s="9" t="n">
        <v>1295.03</v>
      </c>
      <c r="T343" s="9" t="s">
        <v>56</v>
      </c>
      <c r="U343" s="9" t="s">
        <v>57</v>
      </c>
    </row>
    <row r="344" customFormat="false" ht="15" hidden="false" customHeight="false" outlineLevel="0" collapsed="false">
      <c r="A344" s="9" t="s">
        <v>1768</v>
      </c>
      <c r="B344" s="9" t="s">
        <v>1769</v>
      </c>
      <c r="C344" s="9" t="s">
        <v>1770</v>
      </c>
      <c r="D344" s="9" t="s">
        <v>1771</v>
      </c>
      <c r="E344" s="9" t="s">
        <v>393</v>
      </c>
      <c r="F344" s="9" t="s">
        <v>63</v>
      </c>
      <c r="G344" s="9" t="s">
        <v>64</v>
      </c>
      <c r="H344" s="9" t="s">
        <v>336</v>
      </c>
      <c r="I344" s="9" t="s">
        <v>337</v>
      </c>
      <c r="J344" s="9" t="s">
        <v>52</v>
      </c>
      <c r="K344" s="9" t="s">
        <v>222</v>
      </c>
      <c r="L344" s="9" t="s">
        <v>1772</v>
      </c>
      <c r="M344" s="9" t="s">
        <v>78</v>
      </c>
      <c r="N344" s="9" t="n">
        <v>8</v>
      </c>
      <c r="O344" s="9" t="n">
        <v>1528.92</v>
      </c>
      <c r="P344" s="9" t="n">
        <v>0</v>
      </c>
      <c r="Q344" s="9" t="n">
        <v>12231.36</v>
      </c>
      <c r="R344" s="9" t="n">
        <v>8766.9</v>
      </c>
      <c r="S344" s="9" t="n">
        <v>3464.46</v>
      </c>
      <c r="T344" s="9" t="s">
        <v>56</v>
      </c>
      <c r="U344" s="9" t="s">
        <v>57</v>
      </c>
    </row>
    <row r="345" customFormat="false" ht="15" hidden="false" customHeight="false" outlineLevel="0" collapsed="false">
      <c r="A345" s="9" t="s">
        <v>1773</v>
      </c>
      <c r="B345" s="9" t="s">
        <v>1774</v>
      </c>
      <c r="C345" s="9" t="s">
        <v>1229</v>
      </c>
      <c r="D345" s="9" t="s">
        <v>1775</v>
      </c>
      <c r="E345" s="9" t="s">
        <v>186</v>
      </c>
      <c r="F345" s="9" t="s">
        <v>130</v>
      </c>
      <c r="G345" s="9" t="s">
        <v>95</v>
      </c>
      <c r="H345" s="9" t="s">
        <v>106</v>
      </c>
      <c r="I345" s="9" t="s">
        <v>107</v>
      </c>
      <c r="J345" s="9" t="s">
        <v>108</v>
      </c>
      <c r="K345" s="9" t="s">
        <v>409</v>
      </c>
      <c r="L345" s="9" t="s">
        <v>1776</v>
      </c>
      <c r="M345" s="9" t="s">
        <v>70</v>
      </c>
      <c r="N345" s="9" t="n">
        <v>9</v>
      </c>
      <c r="O345" s="9" t="n">
        <v>3837</v>
      </c>
      <c r="P345" s="9" t="n">
        <v>0.1</v>
      </c>
      <c r="Q345" s="9" t="n">
        <v>31079.7</v>
      </c>
      <c r="R345" s="9" t="n">
        <v>17758.25</v>
      </c>
      <c r="S345" s="9" t="n">
        <v>13321.45</v>
      </c>
      <c r="T345" s="9" t="s">
        <v>56</v>
      </c>
      <c r="U345" s="9" t="s">
        <v>57</v>
      </c>
    </row>
    <row r="346" customFormat="false" ht="15" hidden="false" customHeight="false" outlineLevel="0" collapsed="false">
      <c r="A346" s="9" t="s">
        <v>1777</v>
      </c>
      <c r="B346" s="9" t="s">
        <v>1547</v>
      </c>
      <c r="C346" s="9" t="s">
        <v>1547</v>
      </c>
      <c r="D346" s="9" t="s">
        <v>1778</v>
      </c>
      <c r="E346" s="9" t="s">
        <v>165</v>
      </c>
      <c r="F346" s="9" t="s">
        <v>48</v>
      </c>
      <c r="G346" s="9" t="s">
        <v>177</v>
      </c>
      <c r="H346" s="9" t="s">
        <v>178</v>
      </c>
      <c r="I346" s="9" t="s">
        <v>179</v>
      </c>
      <c r="J346" s="9" t="s">
        <v>67</v>
      </c>
      <c r="K346" s="9" t="s">
        <v>228</v>
      </c>
      <c r="L346" s="9" t="s">
        <v>1779</v>
      </c>
      <c r="M346" s="9" t="s">
        <v>70</v>
      </c>
      <c r="N346" s="9" t="n">
        <v>9</v>
      </c>
      <c r="O346" s="9" t="n">
        <v>3456.38</v>
      </c>
      <c r="P346" s="9" t="n">
        <v>0</v>
      </c>
      <c r="Q346" s="9" t="n">
        <v>31107.42</v>
      </c>
      <c r="R346" s="9" t="n">
        <v>20146.66</v>
      </c>
      <c r="S346" s="9" t="n">
        <v>10960.76</v>
      </c>
      <c r="T346" s="9" t="s">
        <v>160</v>
      </c>
      <c r="U346" s="9" t="s">
        <v>147</v>
      </c>
    </row>
    <row r="347" customFormat="false" ht="15" hidden="false" customHeight="false" outlineLevel="0" collapsed="false">
      <c r="A347" s="9" t="s">
        <v>1780</v>
      </c>
      <c r="B347" s="9" t="s">
        <v>1781</v>
      </c>
      <c r="C347" s="9" t="s">
        <v>1782</v>
      </c>
      <c r="D347" s="9" t="s">
        <v>1783</v>
      </c>
      <c r="E347" s="9" t="s">
        <v>47</v>
      </c>
      <c r="F347" s="9" t="s">
        <v>48</v>
      </c>
      <c r="G347" s="9" t="s">
        <v>95</v>
      </c>
      <c r="H347" s="9" t="s">
        <v>106</v>
      </c>
      <c r="I347" s="9" t="s">
        <v>107</v>
      </c>
      <c r="J347" s="9" t="s">
        <v>67</v>
      </c>
      <c r="K347" s="9" t="s">
        <v>87</v>
      </c>
      <c r="L347" s="9" t="s">
        <v>1784</v>
      </c>
      <c r="M347" s="9" t="s">
        <v>55</v>
      </c>
      <c r="N347" s="9" t="n">
        <v>2</v>
      </c>
      <c r="O347" s="9" t="n">
        <v>2765.3</v>
      </c>
      <c r="P347" s="9" t="n">
        <v>0</v>
      </c>
      <c r="Q347" s="9" t="n">
        <v>5530.6</v>
      </c>
      <c r="R347" s="9" t="n">
        <v>4453.11</v>
      </c>
      <c r="S347" s="9" t="n">
        <v>1077.49</v>
      </c>
      <c r="T347" s="9" t="s">
        <v>56</v>
      </c>
      <c r="U347" s="9" t="s">
        <v>57</v>
      </c>
    </row>
    <row r="348" customFormat="false" ht="15" hidden="false" customHeight="false" outlineLevel="0" collapsed="false">
      <c r="A348" s="9" t="s">
        <v>1785</v>
      </c>
      <c r="B348" s="9" t="s">
        <v>1698</v>
      </c>
      <c r="C348" s="9" t="s">
        <v>1786</v>
      </c>
      <c r="D348" s="9" t="s">
        <v>1787</v>
      </c>
      <c r="E348" s="9" t="s">
        <v>171</v>
      </c>
      <c r="F348" s="9" t="s">
        <v>130</v>
      </c>
      <c r="G348" s="9" t="s">
        <v>84</v>
      </c>
      <c r="H348" s="9" t="s">
        <v>267</v>
      </c>
      <c r="I348" s="9" t="s">
        <v>268</v>
      </c>
      <c r="J348" s="9" t="s">
        <v>67</v>
      </c>
      <c r="K348" s="9" t="s">
        <v>98</v>
      </c>
      <c r="L348" s="9" t="s">
        <v>1788</v>
      </c>
      <c r="M348" s="9" t="s">
        <v>55</v>
      </c>
      <c r="N348" s="9" t="n">
        <v>6</v>
      </c>
      <c r="O348" s="9" t="n">
        <v>1607.46</v>
      </c>
      <c r="P348" s="9" t="n">
        <v>0.2</v>
      </c>
      <c r="Q348" s="9" t="n">
        <v>7715.81</v>
      </c>
      <c r="R348" s="9" t="n">
        <v>4258.42</v>
      </c>
      <c r="S348" s="9" t="n">
        <v>3457.39</v>
      </c>
      <c r="T348" s="9" t="s">
        <v>56</v>
      </c>
      <c r="U348" s="9" t="s">
        <v>57</v>
      </c>
    </row>
    <row r="349" customFormat="false" ht="15" hidden="false" customHeight="false" outlineLevel="0" collapsed="false">
      <c r="A349" s="9" t="s">
        <v>1789</v>
      </c>
      <c r="B349" s="9" t="s">
        <v>1790</v>
      </c>
      <c r="C349" s="9" t="s">
        <v>1504</v>
      </c>
      <c r="D349" s="9" t="s">
        <v>1791</v>
      </c>
      <c r="E349" s="9" t="s">
        <v>186</v>
      </c>
      <c r="F349" s="9" t="s">
        <v>63</v>
      </c>
      <c r="G349" s="9" t="s">
        <v>95</v>
      </c>
      <c r="H349" s="9" t="s">
        <v>274</v>
      </c>
      <c r="I349" s="9" t="s">
        <v>275</v>
      </c>
      <c r="J349" s="9" t="s">
        <v>67</v>
      </c>
      <c r="K349" s="9" t="s">
        <v>98</v>
      </c>
      <c r="L349" s="9" t="s">
        <v>1792</v>
      </c>
      <c r="M349" s="9" t="s">
        <v>55</v>
      </c>
      <c r="N349" s="9" t="n">
        <v>5</v>
      </c>
      <c r="O349" s="9" t="n">
        <v>2981.49</v>
      </c>
      <c r="P349" s="9" t="n">
        <v>0.2</v>
      </c>
      <c r="Q349" s="9" t="n">
        <v>11925.96</v>
      </c>
      <c r="R349" s="9" t="n">
        <v>10103.51</v>
      </c>
      <c r="S349" s="9" t="n">
        <v>1822.45</v>
      </c>
      <c r="T349" s="9" t="s">
        <v>146</v>
      </c>
      <c r="U349" s="9" t="s">
        <v>147</v>
      </c>
    </row>
    <row r="350" customFormat="false" ht="15" hidden="false" customHeight="false" outlineLevel="0" collapsed="false">
      <c r="A350" s="9" t="s">
        <v>1793</v>
      </c>
      <c r="B350" s="9" t="s">
        <v>1341</v>
      </c>
      <c r="C350" s="9" t="s">
        <v>1794</v>
      </c>
      <c r="D350" s="9" t="s">
        <v>1795</v>
      </c>
      <c r="E350" s="9" t="s">
        <v>186</v>
      </c>
      <c r="F350" s="9" t="s">
        <v>130</v>
      </c>
      <c r="G350" s="9" t="s">
        <v>84</v>
      </c>
      <c r="H350" s="9" t="s">
        <v>254</v>
      </c>
      <c r="I350" s="9" t="s">
        <v>255</v>
      </c>
      <c r="J350" s="9" t="s">
        <v>108</v>
      </c>
      <c r="K350" s="9" t="s">
        <v>247</v>
      </c>
      <c r="L350" s="9" t="s">
        <v>1796</v>
      </c>
      <c r="M350" s="9" t="s">
        <v>70</v>
      </c>
      <c r="N350" s="9" t="n">
        <v>9</v>
      </c>
      <c r="O350" s="9" t="n">
        <v>2860.26</v>
      </c>
      <c r="P350" s="9" t="n">
        <v>0.25</v>
      </c>
      <c r="Q350" s="9" t="n">
        <v>19306.76</v>
      </c>
      <c r="R350" s="9" t="n">
        <v>14442.38</v>
      </c>
      <c r="S350" s="9" t="n">
        <v>4864.38</v>
      </c>
      <c r="T350" s="9" t="s">
        <v>56</v>
      </c>
      <c r="U350" s="9" t="s">
        <v>57</v>
      </c>
    </row>
    <row r="351" customFormat="false" ht="15" hidden="false" customHeight="false" outlineLevel="0" collapsed="false">
      <c r="A351" s="9" t="s">
        <v>1797</v>
      </c>
      <c r="B351" s="9" t="s">
        <v>1798</v>
      </c>
      <c r="C351" s="9" t="s">
        <v>781</v>
      </c>
      <c r="D351" s="9" t="s">
        <v>1799</v>
      </c>
      <c r="E351" s="9" t="s">
        <v>393</v>
      </c>
      <c r="F351" s="9" t="s">
        <v>137</v>
      </c>
      <c r="G351" s="9" t="s">
        <v>64</v>
      </c>
      <c r="H351" s="9" t="s">
        <v>336</v>
      </c>
      <c r="I351" s="9" t="s">
        <v>337</v>
      </c>
      <c r="J351" s="9" t="s">
        <v>67</v>
      </c>
      <c r="K351" s="9" t="s">
        <v>87</v>
      </c>
      <c r="L351" s="9" t="s">
        <v>1800</v>
      </c>
      <c r="M351" s="9" t="s">
        <v>55</v>
      </c>
      <c r="N351" s="9" t="n">
        <v>9</v>
      </c>
      <c r="O351" s="9" t="n">
        <v>2867.55</v>
      </c>
      <c r="P351" s="9" t="n">
        <v>0.25</v>
      </c>
      <c r="Q351" s="9" t="n">
        <v>19355.96</v>
      </c>
      <c r="R351" s="9" t="n">
        <v>15012.45</v>
      </c>
      <c r="S351" s="9" t="n">
        <v>4017.4</v>
      </c>
      <c r="T351" s="9" t="s">
        <v>56</v>
      </c>
      <c r="U351" s="9" t="s">
        <v>57</v>
      </c>
    </row>
    <row r="352" customFormat="false" ht="15" hidden="false" customHeight="false" outlineLevel="0" collapsed="false">
      <c r="A352" s="9" t="s">
        <v>1801</v>
      </c>
      <c r="B352" s="9" t="s">
        <v>1802</v>
      </c>
      <c r="C352" s="9" t="s">
        <v>1803</v>
      </c>
      <c r="D352" s="9" t="s">
        <v>1804</v>
      </c>
      <c r="E352" s="9" t="s">
        <v>192</v>
      </c>
      <c r="F352" s="9" t="s">
        <v>63</v>
      </c>
      <c r="G352" s="9" t="s">
        <v>64</v>
      </c>
      <c r="H352" s="9" t="s">
        <v>336</v>
      </c>
      <c r="I352" s="9" t="s">
        <v>337</v>
      </c>
      <c r="J352" s="9" t="s">
        <v>67</v>
      </c>
      <c r="K352" s="9" t="s">
        <v>87</v>
      </c>
      <c r="L352" s="9" t="s">
        <v>1805</v>
      </c>
      <c r="M352" s="9" t="s">
        <v>55</v>
      </c>
      <c r="N352" s="9" t="n">
        <v>4</v>
      </c>
      <c r="O352" s="9" t="n">
        <v>3309.54</v>
      </c>
      <c r="P352" s="9" t="n">
        <v>0.1</v>
      </c>
      <c r="Q352" s="9" t="n">
        <v>11914.34</v>
      </c>
      <c r="R352" s="9" t="n">
        <v>9771.24</v>
      </c>
      <c r="S352" s="9" t="n">
        <v>2143.1</v>
      </c>
      <c r="T352" s="9" t="s">
        <v>146</v>
      </c>
      <c r="U352" s="9" t="s">
        <v>147</v>
      </c>
    </row>
    <row r="353" customFormat="false" ht="15" hidden="false" customHeight="false" outlineLevel="0" collapsed="false">
      <c r="A353" s="9" t="s">
        <v>1806</v>
      </c>
      <c r="B353" s="9" t="s">
        <v>1807</v>
      </c>
      <c r="C353" s="9" t="s">
        <v>1722</v>
      </c>
      <c r="D353" s="9" t="s">
        <v>1808</v>
      </c>
      <c r="E353" s="9" t="s">
        <v>105</v>
      </c>
      <c r="F353" s="9" t="s">
        <v>63</v>
      </c>
      <c r="G353" s="9" t="s">
        <v>84</v>
      </c>
      <c r="H353" s="9" t="s">
        <v>85</v>
      </c>
      <c r="I353" s="9" t="s">
        <v>86</v>
      </c>
      <c r="J353" s="9" t="s">
        <v>52</v>
      </c>
      <c r="K353" s="9" t="s">
        <v>180</v>
      </c>
      <c r="L353" s="9" t="s">
        <v>1809</v>
      </c>
      <c r="M353" s="9" t="s">
        <v>78</v>
      </c>
      <c r="N353" s="9" t="n">
        <v>6</v>
      </c>
      <c r="O353" s="9" t="n">
        <v>719.44</v>
      </c>
      <c r="P353" s="9" t="n">
        <v>0.25</v>
      </c>
      <c r="Q353" s="9" t="n">
        <v>3237.48</v>
      </c>
      <c r="R353" s="9" t="n">
        <v>2118.34</v>
      </c>
      <c r="S353" s="9" t="n">
        <v>1119.14</v>
      </c>
      <c r="T353" s="9" t="s">
        <v>160</v>
      </c>
      <c r="U353" s="9" t="s">
        <v>100</v>
      </c>
    </row>
    <row r="354" customFormat="false" ht="15" hidden="false" customHeight="false" outlineLevel="0" collapsed="false">
      <c r="A354" s="9" t="s">
        <v>1810</v>
      </c>
      <c r="B354" s="9" t="s">
        <v>1811</v>
      </c>
      <c r="C354" s="9" t="s">
        <v>1432</v>
      </c>
      <c r="D354" s="9" t="s">
        <v>1812</v>
      </c>
      <c r="E354" s="9" t="s">
        <v>234</v>
      </c>
      <c r="F354" s="9" t="s">
        <v>63</v>
      </c>
      <c r="G354" s="9" t="s">
        <v>64</v>
      </c>
      <c r="H354" s="9" t="s">
        <v>240</v>
      </c>
      <c r="I354" s="9" t="s">
        <v>241</v>
      </c>
      <c r="J354" s="9" t="s">
        <v>108</v>
      </c>
      <c r="K354" s="9" t="s">
        <v>116</v>
      </c>
      <c r="L354" s="9" t="s">
        <v>1813</v>
      </c>
      <c r="M354" s="9" t="s">
        <v>78</v>
      </c>
      <c r="N354" s="9" t="n">
        <v>5</v>
      </c>
      <c r="O354" s="9" t="n">
        <v>2862.6</v>
      </c>
      <c r="P354" s="9" t="n">
        <v>0.25</v>
      </c>
      <c r="Q354" s="9" t="n">
        <v>10734.75</v>
      </c>
      <c r="R354" s="9" t="n">
        <v>6475.73</v>
      </c>
      <c r="S354" s="9" t="n">
        <v>4259.02</v>
      </c>
      <c r="T354" s="9" t="s">
        <v>56</v>
      </c>
      <c r="U354" s="9" t="s">
        <v>57</v>
      </c>
    </row>
    <row r="355" customFormat="false" ht="15" hidden="false" customHeight="false" outlineLevel="0" collapsed="false">
      <c r="A355" s="9" t="s">
        <v>1814</v>
      </c>
      <c r="B355" s="9" t="s">
        <v>1815</v>
      </c>
      <c r="C355" s="9" t="s">
        <v>1201</v>
      </c>
      <c r="D355" s="9" t="s">
        <v>1816</v>
      </c>
      <c r="E355" s="9" t="s">
        <v>94</v>
      </c>
      <c r="F355" s="9" t="s">
        <v>48</v>
      </c>
      <c r="G355" s="9" t="s">
        <v>177</v>
      </c>
      <c r="H355" s="9" t="s">
        <v>50</v>
      </c>
      <c r="I355" s="9" t="s">
        <v>51</v>
      </c>
      <c r="J355" s="9" t="s">
        <v>52</v>
      </c>
      <c r="K355" s="9" t="s">
        <v>76</v>
      </c>
      <c r="L355" s="9" t="s">
        <v>1817</v>
      </c>
      <c r="M355" s="9" t="s">
        <v>70</v>
      </c>
      <c r="N355" s="9" t="n">
        <v>9</v>
      </c>
      <c r="O355" s="9" t="n">
        <v>1431.67</v>
      </c>
      <c r="P355" s="9" t="n">
        <v>0.2</v>
      </c>
      <c r="Q355" s="9" t="n">
        <v>10308.02</v>
      </c>
      <c r="R355" s="9" t="n">
        <v>5822.31</v>
      </c>
      <c r="S355" s="9" t="n">
        <v>4485.71</v>
      </c>
      <c r="T355" s="9" t="s">
        <v>56</v>
      </c>
      <c r="U355" s="9" t="s">
        <v>57</v>
      </c>
    </row>
    <row r="356" customFormat="false" ht="15" hidden="false" customHeight="false" outlineLevel="0" collapsed="false">
      <c r="A356" s="9" t="s">
        <v>1818</v>
      </c>
      <c r="B356" s="9" t="s">
        <v>168</v>
      </c>
      <c r="C356" s="9" t="s">
        <v>1819</v>
      </c>
      <c r="D356" s="9" t="s">
        <v>1820</v>
      </c>
      <c r="E356" s="9" t="s">
        <v>393</v>
      </c>
      <c r="F356" s="9" t="s">
        <v>1821</v>
      </c>
      <c r="G356" s="9" t="s">
        <v>177</v>
      </c>
      <c r="H356" s="9" t="s">
        <v>178</v>
      </c>
      <c r="I356" s="9" t="s">
        <v>179</v>
      </c>
      <c r="J356" s="9" t="s">
        <v>67</v>
      </c>
      <c r="K356" s="9" t="s">
        <v>87</v>
      </c>
      <c r="L356" s="9" t="s">
        <v>1822</v>
      </c>
      <c r="M356" s="9" t="s">
        <v>89</v>
      </c>
      <c r="N356" s="9" t="n">
        <v>6</v>
      </c>
      <c r="O356" s="9" t="n">
        <v>3346.78</v>
      </c>
      <c r="P356" s="9" t="n">
        <v>-0.06</v>
      </c>
      <c r="Q356" s="9" t="n">
        <v>20080.68</v>
      </c>
      <c r="R356" s="9" t="n">
        <v>12908.84</v>
      </c>
      <c r="S356" s="9" t="n">
        <v>7171.84</v>
      </c>
      <c r="T356" s="9" t="s">
        <v>160</v>
      </c>
      <c r="U356" s="9" t="s">
        <v>100</v>
      </c>
    </row>
    <row r="357" customFormat="false" ht="15" hidden="false" customHeight="false" outlineLevel="0" collapsed="false">
      <c r="A357" s="9" t="s">
        <v>1823</v>
      </c>
      <c r="B357" s="9" t="s">
        <v>1824</v>
      </c>
      <c r="C357" s="9" t="s">
        <v>1825</v>
      </c>
      <c r="D357" s="9" t="s">
        <v>1826</v>
      </c>
      <c r="E357" s="9" t="s">
        <v>165</v>
      </c>
      <c r="F357" s="9" t="s">
        <v>130</v>
      </c>
      <c r="G357" s="9" t="s">
        <v>95</v>
      </c>
      <c r="H357" s="9" t="s">
        <v>50</v>
      </c>
      <c r="I357" s="9" t="s">
        <v>158</v>
      </c>
      <c r="J357" s="9" t="s">
        <v>67</v>
      </c>
      <c r="K357" s="9" t="s">
        <v>68</v>
      </c>
      <c r="L357" s="9" t="s">
        <v>1827</v>
      </c>
      <c r="M357" s="9" t="s">
        <v>89</v>
      </c>
      <c r="N357" s="9" t="n">
        <v>5</v>
      </c>
      <c r="O357" s="9" t="n">
        <v>3203.48</v>
      </c>
      <c r="P357" s="9" t="n">
        <v>0</v>
      </c>
      <c r="Q357" s="9" t="n">
        <v>16017.4</v>
      </c>
      <c r="R357" s="9" t="n">
        <v>9557.8</v>
      </c>
      <c r="S357" s="9" t="n">
        <v>6459.6</v>
      </c>
      <c r="T357" s="9" t="s">
        <v>160</v>
      </c>
      <c r="U357" s="9" t="s">
        <v>100</v>
      </c>
    </row>
    <row r="358" customFormat="false" ht="15" hidden="false" customHeight="false" outlineLevel="0" collapsed="false">
      <c r="A358" s="9" t="s">
        <v>1828</v>
      </c>
      <c r="B358" s="9" t="s">
        <v>1829</v>
      </c>
      <c r="C358" s="9" t="s">
        <v>1830</v>
      </c>
      <c r="D358" s="9" t="s">
        <v>1831</v>
      </c>
      <c r="E358" s="9" t="s">
        <v>204</v>
      </c>
      <c r="F358" s="9" t="s">
        <v>137</v>
      </c>
      <c r="G358" s="9" t="s">
        <v>84</v>
      </c>
      <c r="H358" s="9" t="s">
        <v>85</v>
      </c>
      <c r="I358" s="9" t="s">
        <v>86</v>
      </c>
      <c r="J358" s="9" t="s">
        <v>67</v>
      </c>
      <c r="K358" s="9" t="s">
        <v>98</v>
      </c>
      <c r="L358" s="9" t="s">
        <v>1832</v>
      </c>
      <c r="M358" s="9" t="s">
        <v>78</v>
      </c>
      <c r="N358" s="9" t="n">
        <v>5</v>
      </c>
      <c r="O358" s="9" t="n">
        <v>621.7</v>
      </c>
      <c r="P358" s="9" t="n">
        <v>0.2</v>
      </c>
      <c r="Q358" s="9" t="n">
        <v>2486.8</v>
      </c>
      <c r="R358" s="9" t="n">
        <v>2131.73</v>
      </c>
      <c r="S358" s="9" t="n">
        <v>355.07</v>
      </c>
      <c r="T358" s="9" t="s">
        <v>160</v>
      </c>
      <c r="U358" s="9" t="s">
        <v>147</v>
      </c>
    </row>
    <row r="359" customFormat="false" ht="15" hidden="false" customHeight="false" outlineLevel="0" collapsed="false">
      <c r="A359" s="9" t="s">
        <v>1833</v>
      </c>
      <c r="B359" s="9" t="s">
        <v>220</v>
      </c>
      <c r="C359" s="9" t="s">
        <v>1834</v>
      </c>
      <c r="D359" s="9" t="s">
        <v>1835</v>
      </c>
      <c r="E359" s="9" t="s">
        <v>62</v>
      </c>
      <c r="F359" s="9" t="s">
        <v>137</v>
      </c>
      <c r="G359" s="9" t="s">
        <v>84</v>
      </c>
      <c r="H359" s="9" t="s">
        <v>122</v>
      </c>
      <c r="I359" s="9" t="s">
        <v>123</v>
      </c>
      <c r="J359" s="9" t="s">
        <v>108</v>
      </c>
      <c r="K359" s="9" t="s">
        <v>409</v>
      </c>
      <c r="L359" s="9" t="s">
        <v>1836</v>
      </c>
      <c r="M359" s="9" t="s">
        <v>55</v>
      </c>
      <c r="N359" s="9" t="n">
        <v>8</v>
      </c>
      <c r="O359" s="9" t="n">
        <v>546.13</v>
      </c>
      <c r="P359" s="9" t="n">
        <v>0</v>
      </c>
      <c r="Q359" s="9" t="n">
        <v>4369.04</v>
      </c>
      <c r="R359" s="9" t="n">
        <v>3716.88</v>
      </c>
      <c r="S359" s="9" t="n">
        <v>652.16</v>
      </c>
      <c r="T359" s="9" t="s">
        <v>56</v>
      </c>
      <c r="U359" s="9" t="s">
        <v>100</v>
      </c>
    </row>
    <row r="360" customFormat="false" ht="15" hidden="false" customHeight="false" outlineLevel="0" collapsed="false">
      <c r="A360" s="9" t="s">
        <v>1837</v>
      </c>
      <c r="B360" s="9" t="s">
        <v>1838</v>
      </c>
      <c r="C360" s="9" t="s">
        <v>1839</v>
      </c>
      <c r="D360" s="9" t="s">
        <v>1840</v>
      </c>
      <c r="E360" s="9" t="s">
        <v>105</v>
      </c>
      <c r="F360" s="9" t="s">
        <v>137</v>
      </c>
      <c r="G360" s="9" t="s">
        <v>95</v>
      </c>
      <c r="H360" s="9" t="s">
        <v>260</v>
      </c>
      <c r="I360" s="9" t="s">
        <v>261</v>
      </c>
      <c r="J360" s="9" t="s">
        <v>67</v>
      </c>
      <c r="K360" s="9" t="s">
        <v>228</v>
      </c>
      <c r="L360" s="9" t="s">
        <v>1841</v>
      </c>
      <c r="M360" s="9" t="s">
        <v>55</v>
      </c>
      <c r="N360" s="9" t="n">
        <v>5</v>
      </c>
      <c r="O360" s="9" t="n">
        <v>1253.92</v>
      </c>
      <c r="P360" s="9" t="n">
        <v>0.05</v>
      </c>
      <c r="Q360" s="9" t="n">
        <v>5956.12</v>
      </c>
      <c r="R360" s="9" t="n">
        <v>4379.18</v>
      </c>
      <c r="S360" s="9" t="n">
        <v>1576.94</v>
      </c>
      <c r="T360" s="9" t="s">
        <v>160</v>
      </c>
      <c r="U360" s="9" t="s">
        <v>147</v>
      </c>
    </row>
    <row r="361" customFormat="false" ht="15" hidden="false" customHeight="false" outlineLevel="0" collapsed="false">
      <c r="A361" s="9" t="s">
        <v>1842</v>
      </c>
      <c r="B361" s="9" t="s">
        <v>1666</v>
      </c>
      <c r="C361" s="9" t="s">
        <v>1843</v>
      </c>
      <c r="D361" s="9" t="s">
        <v>1844</v>
      </c>
      <c r="E361" s="9" t="s">
        <v>75</v>
      </c>
      <c r="F361" s="9" t="s">
        <v>48</v>
      </c>
      <c r="G361" s="9" t="s">
        <v>84</v>
      </c>
      <c r="H361" s="9" t="s">
        <v>364</v>
      </c>
      <c r="I361" s="9" t="s">
        <v>365</v>
      </c>
      <c r="J361" s="9" t="s">
        <v>108</v>
      </c>
      <c r="K361" s="9" t="s">
        <v>247</v>
      </c>
      <c r="L361" s="9" t="s">
        <v>1845</v>
      </c>
      <c r="M361" s="9" t="s">
        <v>70</v>
      </c>
      <c r="N361" s="9" t="n">
        <v>9</v>
      </c>
      <c r="O361" s="9" t="n">
        <v>616.96</v>
      </c>
      <c r="P361" s="9" t="n">
        <v>0.1</v>
      </c>
      <c r="Q361" s="9" t="n">
        <v>4997.38</v>
      </c>
      <c r="R361" s="9" t="n">
        <v>2971.39</v>
      </c>
      <c r="S361" s="9" t="n">
        <v>2025.99</v>
      </c>
      <c r="T361" s="9" t="s">
        <v>56</v>
      </c>
      <c r="U361" s="9" t="s">
        <v>57</v>
      </c>
    </row>
    <row r="362" customFormat="false" ht="15" hidden="false" customHeight="false" outlineLevel="0" collapsed="false">
      <c r="A362" s="9" t="s">
        <v>1846</v>
      </c>
      <c r="B362" s="9" t="s">
        <v>1847</v>
      </c>
      <c r="C362" s="9" t="s">
        <v>1848</v>
      </c>
      <c r="D362" s="9" t="s">
        <v>1849</v>
      </c>
      <c r="E362" s="9" t="s">
        <v>192</v>
      </c>
      <c r="F362" s="9" t="s">
        <v>63</v>
      </c>
      <c r="G362" s="9" t="s">
        <v>95</v>
      </c>
      <c r="H362" s="9" t="s">
        <v>260</v>
      </c>
      <c r="I362" s="9" t="s">
        <v>261</v>
      </c>
      <c r="J362" s="9" t="s">
        <v>67</v>
      </c>
      <c r="K362" s="9" t="s">
        <v>87</v>
      </c>
      <c r="L362" s="9" t="s">
        <v>1850</v>
      </c>
      <c r="M362" s="9" t="s">
        <v>89</v>
      </c>
      <c r="N362" s="9" t="n">
        <v>7</v>
      </c>
      <c r="O362" s="9" t="n">
        <v>3155.25</v>
      </c>
      <c r="P362" s="9" t="n">
        <v>0.2</v>
      </c>
      <c r="Q362" s="9" t="n">
        <v>17669.4</v>
      </c>
      <c r="R362" s="9" t="n">
        <v>13718.77</v>
      </c>
      <c r="S362" s="9" t="n">
        <v>3950.63</v>
      </c>
      <c r="T362" s="9" t="s">
        <v>146</v>
      </c>
      <c r="U362" s="9" t="s">
        <v>100</v>
      </c>
    </row>
    <row r="363" customFormat="false" ht="15" hidden="false" customHeight="false" outlineLevel="0" collapsed="false">
      <c r="A363" s="9" t="s">
        <v>1851</v>
      </c>
      <c r="B363" s="9" t="s">
        <v>1195</v>
      </c>
      <c r="C363" s="9" t="s">
        <v>1852</v>
      </c>
      <c r="D363" s="9" t="s">
        <v>1853</v>
      </c>
      <c r="E363" s="9" t="s">
        <v>204</v>
      </c>
      <c r="F363" s="9" t="s">
        <v>130</v>
      </c>
      <c r="G363" s="9" t="s">
        <v>64</v>
      </c>
      <c r="H363" s="9" t="s">
        <v>65</v>
      </c>
      <c r="I363" s="9" t="s">
        <v>66</v>
      </c>
      <c r="J363" s="9" t="s">
        <v>67</v>
      </c>
      <c r="K363" s="9" t="s">
        <v>98</v>
      </c>
      <c r="L363" s="9" t="s">
        <v>1854</v>
      </c>
      <c r="M363" s="9" t="s">
        <v>55</v>
      </c>
      <c r="N363" s="9" t="n">
        <v>9</v>
      </c>
      <c r="O363" s="9" t="n">
        <v>4165.58</v>
      </c>
      <c r="P363" s="9" t="n">
        <v>0.05</v>
      </c>
      <c r="Q363" s="9" t="n">
        <v>35615.71</v>
      </c>
      <c r="R363" s="9" t="n">
        <v>20389.71</v>
      </c>
      <c r="S363" s="9" t="n">
        <v>15226</v>
      </c>
      <c r="T363" s="9" t="s">
        <v>160</v>
      </c>
      <c r="U363" s="9" t="s">
        <v>147</v>
      </c>
    </row>
    <row r="364" customFormat="false" ht="15" hidden="false" customHeight="false" outlineLevel="0" collapsed="false">
      <c r="A364" s="9" t="s">
        <v>1855</v>
      </c>
      <c r="B364" s="9" t="s">
        <v>1856</v>
      </c>
      <c r="C364" s="9" t="s">
        <v>1857</v>
      </c>
      <c r="D364" s="9" t="s">
        <v>1858</v>
      </c>
      <c r="E364" s="9" t="s">
        <v>105</v>
      </c>
      <c r="F364" s="9" t="s">
        <v>48</v>
      </c>
      <c r="G364" s="9" t="s">
        <v>95</v>
      </c>
      <c r="H364" s="9" t="s">
        <v>274</v>
      </c>
      <c r="I364" s="9" t="s">
        <v>275</v>
      </c>
      <c r="J364" s="9" t="s">
        <v>108</v>
      </c>
      <c r="K364" s="9" t="s">
        <v>409</v>
      </c>
      <c r="L364" s="9" t="s">
        <v>1859</v>
      </c>
      <c r="M364" s="9" t="s">
        <v>70</v>
      </c>
      <c r="N364" s="9" t="n">
        <v>4</v>
      </c>
      <c r="O364" s="9" t="n">
        <v>491.16</v>
      </c>
      <c r="P364" s="9" t="n">
        <v>0.05</v>
      </c>
      <c r="Q364" s="9" t="n">
        <v>1866.41</v>
      </c>
      <c r="R364" s="9" t="n">
        <v>1576.49</v>
      </c>
      <c r="S364" s="9" t="n">
        <v>289.92</v>
      </c>
      <c r="T364" s="9" t="s">
        <v>56</v>
      </c>
      <c r="U364" s="9" t="s">
        <v>57</v>
      </c>
    </row>
    <row r="365" customFormat="false" ht="15" hidden="false" customHeight="false" outlineLevel="0" collapsed="false">
      <c r="A365" s="9" t="s">
        <v>1860</v>
      </c>
      <c r="B365" s="9" t="s">
        <v>1861</v>
      </c>
      <c r="C365" s="9" t="s">
        <v>1862</v>
      </c>
      <c r="D365" s="9" t="s">
        <v>1863</v>
      </c>
      <c r="E365" s="9" t="s">
        <v>234</v>
      </c>
      <c r="F365" s="9" t="s">
        <v>130</v>
      </c>
      <c r="G365" s="9" t="s">
        <v>64</v>
      </c>
      <c r="H365" s="9" t="s">
        <v>143</v>
      </c>
      <c r="I365" s="9" t="s">
        <v>144</v>
      </c>
      <c r="J365" s="9" t="s">
        <v>67</v>
      </c>
      <c r="K365" s="9" t="s">
        <v>68</v>
      </c>
      <c r="L365" s="9" t="s">
        <v>1864</v>
      </c>
      <c r="M365" s="9" t="s">
        <v>55</v>
      </c>
      <c r="N365" s="9" t="n">
        <v>5</v>
      </c>
      <c r="O365" s="9" t="n">
        <v>1831.37</v>
      </c>
      <c r="P365" s="9" t="n">
        <v>0.25</v>
      </c>
      <c r="Q365" s="9" t="n">
        <v>6867.64</v>
      </c>
      <c r="R365" s="9" t="n">
        <v>5205.36</v>
      </c>
      <c r="S365" s="9" t="n">
        <v>1662.28</v>
      </c>
      <c r="T365" s="9" t="s">
        <v>56</v>
      </c>
      <c r="U365" s="9" t="s">
        <v>57</v>
      </c>
    </row>
    <row r="366" customFormat="false" ht="15" hidden="false" customHeight="false" outlineLevel="0" collapsed="false">
      <c r="A366" s="9" t="s">
        <v>1865</v>
      </c>
      <c r="B366" s="9" t="s">
        <v>1866</v>
      </c>
      <c r="C366" s="9" t="s">
        <v>1867</v>
      </c>
      <c r="D366" s="9" t="s">
        <v>1868</v>
      </c>
      <c r="E366" s="9" t="s">
        <v>186</v>
      </c>
      <c r="F366" s="9" t="s">
        <v>63</v>
      </c>
      <c r="G366" s="9" t="s">
        <v>84</v>
      </c>
      <c r="H366" s="9" t="s">
        <v>122</v>
      </c>
      <c r="I366" s="9" t="s">
        <v>123</v>
      </c>
      <c r="J366" s="9" t="s">
        <v>67</v>
      </c>
      <c r="K366" s="9" t="s">
        <v>98</v>
      </c>
      <c r="L366" s="9" t="s">
        <v>1869</v>
      </c>
      <c r="M366" s="9" t="s">
        <v>55</v>
      </c>
      <c r="N366" s="9" t="n">
        <v>5</v>
      </c>
      <c r="O366" s="9" t="n">
        <v>1239.15</v>
      </c>
      <c r="P366" s="9" t="n">
        <v>0</v>
      </c>
      <c r="Q366" s="9" t="n">
        <v>6195.75</v>
      </c>
      <c r="R366" s="9" t="n">
        <v>3967.02</v>
      </c>
      <c r="S366" s="9" t="n">
        <v>2228.73</v>
      </c>
      <c r="T366" s="9" t="s">
        <v>56</v>
      </c>
      <c r="U366" s="9" t="s">
        <v>57</v>
      </c>
    </row>
    <row r="367" customFormat="false" ht="15" hidden="false" customHeight="false" outlineLevel="0" collapsed="false">
      <c r="A367" s="9" t="s">
        <v>1870</v>
      </c>
      <c r="B367" s="9" t="s">
        <v>1871</v>
      </c>
      <c r="C367" s="9" t="s">
        <v>1872</v>
      </c>
      <c r="D367" s="9" t="s">
        <v>1873</v>
      </c>
      <c r="E367" s="9" t="s">
        <v>129</v>
      </c>
      <c r="F367" s="9" t="s">
        <v>130</v>
      </c>
      <c r="G367" s="9" t="s">
        <v>95</v>
      </c>
      <c r="H367" s="9" t="s">
        <v>274</v>
      </c>
      <c r="I367" s="9" t="s">
        <v>275</v>
      </c>
      <c r="J367" s="9" t="s">
        <v>108</v>
      </c>
      <c r="K367" s="9" t="s">
        <v>109</v>
      </c>
      <c r="L367" s="9" t="s">
        <v>1874</v>
      </c>
      <c r="M367" s="9" t="s">
        <v>78</v>
      </c>
      <c r="N367" s="9" t="n">
        <v>8</v>
      </c>
      <c r="O367" s="9" t="n">
        <v>1706.4</v>
      </c>
      <c r="P367" s="9"/>
      <c r="Q367" s="9" t="n">
        <v>12968.64</v>
      </c>
      <c r="R367" s="9" t="n">
        <v>10119.61</v>
      </c>
      <c r="S367" s="9" t="n">
        <v>2849.03</v>
      </c>
      <c r="T367" s="9" t="s">
        <v>56</v>
      </c>
      <c r="U367" s="9" t="s">
        <v>57</v>
      </c>
    </row>
    <row r="368" customFormat="false" ht="15" hidden="false" customHeight="false" outlineLevel="0" collapsed="false">
      <c r="A368" s="9" t="s">
        <v>1875</v>
      </c>
      <c r="B368" s="9" t="s">
        <v>1876</v>
      </c>
      <c r="C368" s="9" t="s">
        <v>1877</v>
      </c>
      <c r="D368" s="9" t="s">
        <v>1878</v>
      </c>
      <c r="E368" s="9" t="s">
        <v>192</v>
      </c>
      <c r="F368" s="9" t="s">
        <v>130</v>
      </c>
      <c r="G368" s="9" t="s">
        <v>177</v>
      </c>
      <c r="H368" s="9" t="s">
        <v>50</v>
      </c>
      <c r="I368" s="9" t="s">
        <v>51</v>
      </c>
      <c r="J368" s="9" t="s">
        <v>67</v>
      </c>
      <c r="K368" s="9" t="s">
        <v>68</v>
      </c>
      <c r="L368" s="9" t="s">
        <v>1879</v>
      </c>
      <c r="M368" s="9" t="s">
        <v>70</v>
      </c>
      <c r="N368" s="9" t="n">
        <v>2</v>
      </c>
      <c r="O368" s="9" t="n">
        <v>4418.28</v>
      </c>
      <c r="P368" s="9" t="n">
        <v>0</v>
      </c>
      <c r="Q368" s="9" t="n">
        <v>8836.56</v>
      </c>
      <c r="R368" s="9" t="n">
        <v>5867.75</v>
      </c>
      <c r="S368" s="9" t="n">
        <v>2968.81</v>
      </c>
      <c r="T368" s="9" t="s">
        <v>56</v>
      </c>
      <c r="U368" s="9" t="s">
        <v>57</v>
      </c>
    </row>
    <row r="369" customFormat="false" ht="15" hidden="false" customHeight="false" outlineLevel="0" collapsed="false">
      <c r="A369" s="9" t="s">
        <v>1880</v>
      </c>
      <c r="B369" s="9" t="s">
        <v>1013</v>
      </c>
      <c r="C369" s="9" t="s">
        <v>1881</v>
      </c>
      <c r="D369" s="9" t="s">
        <v>1882</v>
      </c>
      <c r="E369" s="9" t="s">
        <v>204</v>
      </c>
      <c r="F369" s="9" t="s">
        <v>48</v>
      </c>
      <c r="G369" s="9" t="s">
        <v>177</v>
      </c>
      <c r="H369" s="9" t="s">
        <v>535</v>
      </c>
      <c r="I369" s="9" t="s">
        <v>536</v>
      </c>
      <c r="J369" s="9" t="s">
        <v>52</v>
      </c>
      <c r="K369" s="9" t="s">
        <v>76</v>
      </c>
      <c r="L369" s="9" t="s">
        <v>1883</v>
      </c>
      <c r="M369" s="9" t="s">
        <v>89</v>
      </c>
      <c r="N369" s="9" t="n">
        <v>6</v>
      </c>
      <c r="O369" s="9" t="n">
        <v>3815.09</v>
      </c>
      <c r="P369" s="9" t="n">
        <v>0.15</v>
      </c>
      <c r="Q369" s="9" t="n">
        <v>19456.96</v>
      </c>
      <c r="R369" s="9" t="n">
        <v>14520.06</v>
      </c>
      <c r="S369" s="9" t="n">
        <v>4936.9</v>
      </c>
      <c r="T369" s="9" t="s">
        <v>224</v>
      </c>
      <c r="U369" s="9" t="s">
        <v>100</v>
      </c>
    </row>
    <row r="370" customFormat="false" ht="15" hidden="false" customHeight="false" outlineLevel="0" collapsed="false">
      <c r="A370" s="9" t="s">
        <v>1884</v>
      </c>
      <c r="B370" s="9" t="s">
        <v>1310</v>
      </c>
      <c r="C370" s="9" t="s">
        <v>1310</v>
      </c>
      <c r="D370" s="9" t="s">
        <v>1885</v>
      </c>
      <c r="E370" s="9" t="s">
        <v>186</v>
      </c>
      <c r="F370" s="9" t="s">
        <v>137</v>
      </c>
      <c r="G370" s="9" t="s">
        <v>177</v>
      </c>
      <c r="H370" s="9" t="s">
        <v>50</v>
      </c>
      <c r="I370" s="9" t="s">
        <v>51</v>
      </c>
      <c r="J370" s="9" t="s">
        <v>108</v>
      </c>
      <c r="K370" s="9" t="s">
        <v>109</v>
      </c>
      <c r="L370" s="9" t="s">
        <v>1886</v>
      </c>
      <c r="M370" s="9" t="s">
        <v>70</v>
      </c>
      <c r="N370" s="9" t="n">
        <v>9</v>
      </c>
      <c r="O370" s="9" t="n">
        <v>243.19</v>
      </c>
      <c r="P370" s="9" t="n">
        <v>0.05</v>
      </c>
      <c r="Q370" s="9" t="n">
        <v>2079.27</v>
      </c>
      <c r="R370" s="9" t="n">
        <v>1512.17</v>
      </c>
      <c r="S370" s="9" t="n">
        <v>567.1</v>
      </c>
      <c r="T370" s="9" t="s">
        <v>146</v>
      </c>
      <c r="U370" s="9" t="s">
        <v>147</v>
      </c>
    </row>
    <row r="371" customFormat="false" ht="15" hidden="false" customHeight="false" outlineLevel="0" collapsed="false">
      <c r="A371" s="9" t="s">
        <v>1887</v>
      </c>
      <c r="B371" s="9" t="s">
        <v>1571</v>
      </c>
      <c r="C371" s="9" t="s">
        <v>215</v>
      </c>
      <c r="D371" s="9" t="s">
        <v>1888</v>
      </c>
      <c r="E371" s="9" t="s">
        <v>165</v>
      </c>
      <c r="F371" s="9" t="s">
        <v>48</v>
      </c>
      <c r="G371" s="9" t="s">
        <v>177</v>
      </c>
      <c r="H371" s="9" t="s">
        <v>535</v>
      </c>
      <c r="I371" s="9" t="s">
        <v>536</v>
      </c>
      <c r="J371" s="9" t="s">
        <v>52</v>
      </c>
      <c r="K371" s="9" t="s">
        <v>131</v>
      </c>
      <c r="L371" s="9" t="s">
        <v>1889</v>
      </c>
      <c r="M371" s="9" t="s">
        <v>89</v>
      </c>
      <c r="N371" s="9" t="n">
        <v>9</v>
      </c>
      <c r="O371" s="9" t="n">
        <v>1169.37</v>
      </c>
      <c r="P371" s="9" t="n">
        <v>0.15</v>
      </c>
      <c r="Q371" s="9" t="n">
        <v>8945.68</v>
      </c>
      <c r="R371" s="9" t="n">
        <v>6740.35</v>
      </c>
      <c r="S371" s="9" t="n">
        <v>2205.33</v>
      </c>
      <c r="T371" s="9" t="s">
        <v>56</v>
      </c>
      <c r="U371" s="9" t="s">
        <v>57</v>
      </c>
    </row>
    <row r="372" customFormat="false" ht="15" hidden="false" customHeight="false" outlineLevel="0" collapsed="false">
      <c r="A372" s="9" t="s">
        <v>1890</v>
      </c>
      <c r="B372" s="9" t="s">
        <v>1891</v>
      </c>
      <c r="C372" s="9" t="s">
        <v>1666</v>
      </c>
      <c r="D372" s="9" t="s">
        <v>1892</v>
      </c>
      <c r="E372" s="9" t="s">
        <v>94</v>
      </c>
      <c r="F372" s="9" t="s">
        <v>63</v>
      </c>
      <c r="G372" s="9" t="s">
        <v>95</v>
      </c>
      <c r="H372" s="9" t="s">
        <v>50</v>
      </c>
      <c r="I372" s="9" t="s">
        <v>158</v>
      </c>
      <c r="J372" s="9" t="s">
        <v>108</v>
      </c>
      <c r="K372" s="9" t="s">
        <v>116</v>
      </c>
      <c r="L372" s="9" t="s">
        <v>1893</v>
      </c>
      <c r="M372" s="9" t="s">
        <v>78</v>
      </c>
      <c r="N372" s="9" t="n">
        <v>7</v>
      </c>
      <c r="O372" s="9" t="n">
        <v>2333.81</v>
      </c>
      <c r="P372" s="9" t="n">
        <v>0.2</v>
      </c>
      <c r="Q372" s="9" t="n">
        <v>13069.34</v>
      </c>
      <c r="R372" s="9" t="n">
        <v>8768.59</v>
      </c>
      <c r="S372" s="9" t="n">
        <v>4300.75</v>
      </c>
      <c r="T372" s="9" t="s">
        <v>56</v>
      </c>
      <c r="U372" s="9" t="s">
        <v>57</v>
      </c>
    </row>
    <row r="373" customFormat="false" ht="15" hidden="false" customHeight="false" outlineLevel="0" collapsed="false">
      <c r="A373" s="9" t="s">
        <v>1894</v>
      </c>
      <c r="B373" s="9" t="s">
        <v>1094</v>
      </c>
      <c r="C373" s="9" t="s">
        <v>1895</v>
      </c>
      <c r="D373" s="9" t="s">
        <v>1896</v>
      </c>
      <c r="E373" s="9" t="s">
        <v>234</v>
      </c>
      <c r="F373" s="9" t="s">
        <v>137</v>
      </c>
      <c r="G373" s="9" t="s">
        <v>95</v>
      </c>
      <c r="H373" s="9" t="s">
        <v>96</v>
      </c>
      <c r="I373" s="9" t="s">
        <v>97</v>
      </c>
      <c r="J373" s="9" t="s">
        <v>52</v>
      </c>
      <c r="K373" s="9" t="s">
        <v>76</v>
      </c>
      <c r="L373" s="9" t="s">
        <v>1897</v>
      </c>
      <c r="M373" s="9" t="s">
        <v>89</v>
      </c>
      <c r="N373" s="9" t="n">
        <v>6</v>
      </c>
      <c r="O373" s="9" t="n">
        <v>1026.06</v>
      </c>
      <c r="P373" s="9"/>
      <c r="Q373" s="9" t="n">
        <v>4617.27</v>
      </c>
      <c r="R373" s="9" t="n">
        <v>2981.94</v>
      </c>
      <c r="S373" s="9" t="n">
        <v>1635.33</v>
      </c>
      <c r="T373" s="9" t="s">
        <v>146</v>
      </c>
      <c r="U373" s="9" t="s">
        <v>100</v>
      </c>
    </row>
    <row r="374" customFormat="false" ht="15" hidden="false" customHeight="false" outlineLevel="0" collapsed="false">
      <c r="A374" s="9" t="s">
        <v>1898</v>
      </c>
      <c r="B374" s="9" t="s">
        <v>1899</v>
      </c>
      <c r="C374" s="9" t="s">
        <v>956</v>
      </c>
      <c r="D374" s="9" t="s">
        <v>1005</v>
      </c>
      <c r="E374" s="9" t="s">
        <v>393</v>
      </c>
      <c r="F374" s="9" t="s">
        <v>48</v>
      </c>
      <c r="G374" s="9" t="s">
        <v>64</v>
      </c>
      <c r="H374" s="9" t="s">
        <v>336</v>
      </c>
      <c r="I374" s="9" t="s">
        <v>337</v>
      </c>
      <c r="J374" s="9" t="s">
        <v>67</v>
      </c>
      <c r="K374" s="9" t="s">
        <v>98</v>
      </c>
      <c r="L374" s="9" t="s">
        <v>1900</v>
      </c>
      <c r="M374" s="9" t="s">
        <v>70</v>
      </c>
      <c r="N374" s="9" t="n">
        <v>5</v>
      </c>
      <c r="O374" s="9" t="n">
        <v>1530.36</v>
      </c>
      <c r="P374" s="9" t="n">
        <v>0</v>
      </c>
      <c r="Q374" s="9" t="n">
        <v>7651.8</v>
      </c>
      <c r="R374" s="9" t="n">
        <v>5171.78</v>
      </c>
      <c r="S374" s="9" t="n">
        <v>2480.02</v>
      </c>
      <c r="T374" s="9" t="s">
        <v>56</v>
      </c>
      <c r="U374" s="9" t="s">
        <v>57</v>
      </c>
    </row>
    <row r="375" customFormat="false" ht="15" hidden="false" customHeight="false" outlineLevel="0" collapsed="false">
      <c r="A375" s="9" t="s">
        <v>1901</v>
      </c>
      <c r="B375" s="9" t="s">
        <v>1902</v>
      </c>
      <c r="C375" s="9" t="s">
        <v>1902</v>
      </c>
      <c r="D375" s="9" t="s">
        <v>1903</v>
      </c>
      <c r="E375" s="9" t="s">
        <v>192</v>
      </c>
      <c r="F375" s="9" t="s">
        <v>63</v>
      </c>
      <c r="G375" s="9" t="s">
        <v>177</v>
      </c>
      <c r="H375" s="9" t="s">
        <v>198</v>
      </c>
      <c r="I375" s="9" t="s">
        <v>199</v>
      </c>
      <c r="J375" s="9" t="s">
        <v>52</v>
      </c>
      <c r="K375" s="9" t="s">
        <v>180</v>
      </c>
      <c r="L375" s="9" t="s">
        <v>1904</v>
      </c>
      <c r="M375" s="9" t="s">
        <v>55</v>
      </c>
      <c r="N375" s="9" t="n">
        <v>9</v>
      </c>
      <c r="O375" s="9" t="n">
        <v>1118.68</v>
      </c>
      <c r="P375" s="9" t="n">
        <v>0</v>
      </c>
      <c r="Q375" s="9" t="n">
        <v>10068.12</v>
      </c>
      <c r="R375" s="9" t="n">
        <v>8595.37</v>
      </c>
      <c r="S375" s="9" t="n">
        <v>1472.75</v>
      </c>
      <c r="T375" s="9" t="s">
        <v>56</v>
      </c>
      <c r="U375" s="9" t="s">
        <v>57</v>
      </c>
    </row>
    <row r="376" customFormat="false" ht="15" hidden="false" customHeight="false" outlineLevel="0" collapsed="false">
      <c r="A376" s="9" t="s">
        <v>1905</v>
      </c>
      <c r="B376" s="9" t="s">
        <v>1906</v>
      </c>
      <c r="C376" s="9" t="s">
        <v>1907</v>
      </c>
      <c r="D376" s="9" t="s">
        <v>1908</v>
      </c>
      <c r="E376" s="9" t="s">
        <v>129</v>
      </c>
      <c r="F376" s="9" t="s">
        <v>63</v>
      </c>
      <c r="G376" s="9" t="s">
        <v>177</v>
      </c>
      <c r="H376" s="9" t="s">
        <v>198</v>
      </c>
      <c r="I376" s="9" t="s">
        <v>199</v>
      </c>
      <c r="J376" s="9" t="s">
        <v>52</v>
      </c>
      <c r="K376" s="9" t="s">
        <v>131</v>
      </c>
      <c r="L376" s="9" t="s">
        <v>1909</v>
      </c>
      <c r="M376" s="9" t="s">
        <v>89</v>
      </c>
      <c r="N376" s="9" t="n">
        <v>6</v>
      </c>
      <c r="O376" s="9" t="n">
        <v>2393.25</v>
      </c>
      <c r="P376" s="9" t="n">
        <v>0</v>
      </c>
      <c r="Q376" s="9" t="n">
        <v>14359.5</v>
      </c>
      <c r="R376" s="9" t="n">
        <v>8117.71</v>
      </c>
      <c r="S376" s="9" t="n">
        <v>6241.79</v>
      </c>
      <c r="T376" s="9" t="s">
        <v>56</v>
      </c>
      <c r="U376" s="9" t="s">
        <v>57</v>
      </c>
    </row>
    <row r="377" customFormat="false" ht="15" hidden="false" customHeight="false" outlineLevel="0" collapsed="false">
      <c r="A377" s="9" t="s">
        <v>1910</v>
      </c>
      <c r="B377" s="9" t="s">
        <v>1911</v>
      </c>
      <c r="C377" s="9" t="s">
        <v>1912</v>
      </c>
      <c r="D377" s="9" t="s">
        <v>1913</v>
      </c>
      <c r="E377" s="9" t="s">
        <v>105</v>
      </c>
      <c r="F377" s="9" t="s">
        <v>48</v>
      </c>
      <c r="G377" s="9" t="s">
        <v>177</v>
      </c>
      <c r="H377" s="9" t="s">
        <v>535</v>
      </c>
      <c r="I377" s="9" t="s">
        <v>536</v>
      </c>
      <c r="J377" s="9" t="s">
        <v>67</v>
      </c>
      <c r="K377" s="9" t="s">
        <v>98</v>
      </c>
      <c r="L377" s="9" t="s">
        <v>1914</v>
      </c>
      <c r="M377" s="9" t="s">
        <v>70</v>
      </c>
      <c r="N377" s="9" t="n">
        <v>3</v>
      </c>
      <c r="O377" s="9" t="n">
        <v>1166.61</v>
      </c>
      <c r="P377" s="9" t="n">
        <v>0.25</v>
      </c>
      <c r="Q377" s="9" t="n">
        <v>2624.87</v>
      </c>
      <c r="R377" s="9" t="n">
        <v>2253.88</v>
      </c>
      <c r="S377" s="9" t="n">
        <v>370.99</v>
      </c>
      <c r="T377" s="9" t="s">
        <v>56</v>
      </c>
      <c r="U377" s="9" t="s">
        <v>57</v>
      </c>
    </row>
    <row r="378" customFormat="false" ht="15" hidden="false" customHeight="false" outlineLevel="0" collapsed="false">
      <c r="A378" s="9" t="s">
        <v>1915</v>
      </c>
      <c r="B378" s="9" t="s">
        <v>1916</v>
      </c>
      <c r="C378" s="9" t="s">
        <v>1819</v>
      </c>
      <c r="D378" s="9" t="s">
        <v>1917</v>
      </c>
      <c r="E378" s="9" t="s">
        <v>75</v>
      </c>
      <c r="F378" s="9" t="s">
        <v>63</v>
      </c>
      <c r="G378" s="9" t="s">
        <v>64</v>
      </c>
      <c r="H378" s="9" t="s">
        <v>210</v>
      </c>
      <c r="I378" s="9" t="s">
        <v>211</v>
      </c>
      <c r="J378" s="9" t="s">
        <v>67</v>
      </c>
      <c r="K378" s="9" t="s">
        <v>98</v>
      </c>
      <c r="L378" s="9" t="s">
        <v>1918</v>
      </c>
      <c r="M378" s="9" t="s">
        <v>78</v>
      </c>
      <c r="N378" s="9" t="n">
        <v>6</v>
      </c>
      <c r="O378" s="9" t="n">
        <v>1844.78</v>
      </c>
      <c r="P378" s="9" t="n">
        <v>0.2</v>
      </c>
      <c r="Q378" s="9" t="n">
        <v>8854.94</v>
      </c>
      <c r="R378" s="9" t="n">
        <v>7433.95</v>
      </c>
      <c r="S378" s="9" t="n">
        <v>1420.99</v>
      </c>
      <c r="T378" s="9" t="s">
        <v>56</v>
      </c>
      <c r="U378" s="9" t="s">
        <v>57</v>
      </c>
    </row>
    <row r="379" customFormat="false" ht="15" hidden="false" customHeight="false" outlineLevel="0" collapsed="false">
      <c r="A379" s="9" t="s">
        <v>1919</v>
      </c>
      <c r="B379" s="9" t="s">
        <v>1561</v>
      </c>
      <c r="C379" s="9" t="s">
        <v>1920</v>
      </c>
      <c r="D379" s="9" t="s">
        <v>1921</v>
      </c>
      <c r="E379" s="9" t="s">
        <v>393</v>
      </c>
      <c r="F379" s="9" t="s">
        <v>63</v>
      </c>
      <c r="G379" s="9" t="s">
        <v>64</v>
      </c>
      <c r="H379" s="9" t="s">
        <v>65</v>
      </c>
      <c r="I379" s="9" t="s">
        <v>66</v>
      </c>
      <c r="J379" s="9" t="s">
        <v>52</v>
      </c>
      <c r="K379" s="9" t="s">
        <v>1922</v>
      </c>
      <c r="L379" s="9" t="s">
        <v>1923</v>
      </c>
      <c r="M379" s="9" t="s">
        <v>70</v>
      </c>
      <c r="N379" s="9" t="n">
        <v>1</v>
      </c>
      <c r="O379" s="9" t="n">
        <v>2564.74</v>
      </c>
      <c r="P379" s="9" t="n">
        <v>0</v>
      </c>
      <c r="Q379" s="9" t="n">
        <v>2564.74</v>
      </c>
      <c r="R379" s="9" t="n">
        <v>1754.58</v>
      </c>
      <c r="S379" s="9" t="n">
        <v>810.16</v>
      </c>
      <c r="T379" s="9" t="s">
        <v>56</v>
      </c>
      <c r="U379" s="9" t="s">
        <v>57</v>
      </c>
    </row>
    <row r="380" customFormat="false" ht="15" hidden="false" customHeight="false" outlineLevel="0" collapsed="false">
      <c r="A380" s="9" t="s">
        <v>1924</v>
      </c>
      <c r="B380" s="9" t="s">
        <v>1925</v>
      </c>
      <c r="C380" s="9" t="s">
        <v>1925</v>
      </c>
      <c r="D380" s="9" t="s">
        <v>1926</v>
      </c>
      <c r="E380" s="9" t="s">
        <v>62</v>
      </c>
      <c r="F380" s="9" t="s">
        <v>48</v>
      </c>
      <c r="G380" s="9" t="s">
        <v>95</v>
      </c>
      <c r="H380" s="9" t="s">
        <v>274</v>
      </c>
      <c r="I380" s="9" t="s">
        <v>275</v>
      </c>
      <c r="J380" s="9" t="s">
        <v>108</v>
      </c>
      <c r="K380" s="9" t="s">
        <v>109</v>
      </c>
      <c r="L380" s="9" t="s">
        <v>1927</v>
      </c>
      <c r="M380" s="9" t="s">
        <v>89</v>
      </c>
      <c r="N380" s="9" t="n">
        <v>2</v>
      </c>
      <c r="O380" s="9" t="n">
        <v>3910.61</v>
      </c>
      <c r="P380" s="9" t="n">
        <v>0</v>
      </c>
      <c r="Q380" s="9" t="n">
        <v>7821.22</v>
      </c>
      <c r="R380" s="9" t="n">
        <v>4994.46</v>
      </c>
      <c r="S380" s="9" t="n">
        <v>2826.76</v>
      </c>
      <c r="T380" s="9" t="s">
        <v>56</v>
      </c>
      <c r="U380" s="9" t="s">
        <v>57</v>
      </c>
    </row>
    <row r="381" customFormat="false" ht="15" hidden="false" customHeight="false" outlineLevel="0" collapsed="false">
      <c r="A381" s="9" t="s">
        <v>1928</v>
      </c>
      <c r="B381" s="9" t="s">
        <v>1929</v>
      </c>
      <c r="C381" s="9" t="s">
        <v>1930</v>
      </c>
      <c r="D381" s="9" t="s">
        <v>1931</v>
      </c>
      <c r="E381" s="9" t="s">
        <v>62</v>
      </c>
      <c r="F381" s="9" t="s">
        <v>63</v>
      </c>
      <c r="G381" s="9" t="s">
        <v>84</v>
      </c>
      <c r="H381" s="9" t="s">
        <v>267</v>
      </c>
      <c r="I381" s="9" t="s">
        <v>268</v>
      </c>
      <c r="J381" s="9" t="s">
        <v>52</v>
      </c>
      <c r="K381" s="9" t="s">
        <v>53</v>
      </c>
      <c r="L381" s="9" t="s">
        <v>1932</v>
      </c>
      <c r="M381" s="9" t="s">
        <v>89</v>
      </c>
      <c r="N381" s="9" t="n">
        <v>7</v>
      </c>
      <c r="O381" s="9" t="n">
        <v>1136.68</v>
      </c>
      <c r="P381" s="9"/>
      <c r="Q381" s="9" t="n">
        <v>7956.76</v>
      </c>
      <c r="R381" s="9" t="n">
        <v>4799.54</v>
      </c>
      <c r="S381" s="9" t="n">
        <v>3157.22</v>
      </c>
      <c r="T381" s="9" t="s">
        <v>56</v>
      </c>
      <c r="U381" s="9" t="s">
        <v>57</v>
      </c>
    </row>
    <row r="382" customFormat="false" ht="15" hidden="false" customHeight="false" outlineLevel="0" collapsed="false">
      <c r="A382" s="9" t="s">
        <v>1933</v>
      </c>
      <c r="B382" s="9" t="s">
        <v>1934</v>
      </c>
      <c r="C382" s="9" t="s">
        <v>1459</v>
      </c>
      <c r="D382" s="9" t="s">
        <v>1935</v>
      </c>
      <c r="E382" s="9" t="s">
        <v>105</v>
      </c>
      <c r="F382" s="9" t="s">
        <v>48</v>
      </c>
      <c r="G382" s="9" t="s">
        <v>95</v>
      </c>
      <c r="H382" s="9" t="s">
        <v>96</v>
      </c>
      <c r="I382" s="9" t="s">
        <v>97</v>
      </c>
      <c r="J382" s="9" t="s">
        <v>67</v>
      </c>
      <c r="K382" s="9" t="s">
        <v>228</v>
      </c>
      <c r="L382" s="9" t="s">
        <v>1936</v>
      </c>
      <c r="M382" s="9" t="s">
        <v>70</v>
      </c>
      <c r="N382" s="9" t="n">
        <v>5</v>
      </c>
      <c r="O382" s="9" t="n">
        <v>2235.85</v>
      </c>
      <c r="P382" s="9" t="n">
        <v>0.25</v>
      </c>
      <c r="Q382" s="9" t="n">
        <v>8384.44</v>
      </c>
      <c r="R382" s="9" t="n">
        <v>4765.96</v>
      </c>
      <c r="S382" s="9" t="n">
        <v>3618.48</v>
      </c>
      <c r="T382" s="9" t="s">
        <v>56</v>
      </c>
      <c r="U382" s="9" t="s">
        <v>147</v>
      </c>
    </row>
    <row r="383" customFormat="false" ht="15" hidden="false" customHeight="false" outlineLevel="0" collapsed="false">
      <c r="A383" s="9" t="s">
        <v>1937</v>
      </c>
      <c r="B383" s="9" t="s">
        <v>1938</v>
      </c>
      <c r="C383" s="9" t="s">
        <v>1939</v>
      </c>
      <c r="D383" s="9" t="s">
        <v>1940</v>
      </c>
      <c r="E383" s="9" t="s">
        <v>83</v>
      </c>
      <c r="F383" s="9" t="s">
        <v>1941</v>
      </c>
      <c r="G383" s="9" t="s">
        <v>177</v>
      </c>
      <c r="H383" s="9" t="s">
        <v>535</v>
      </c>
      <c r="I383" s="9" t="s">
        <v>536</v>
      </c>
      <c r="J383" s="9" t="s">
        <v>52</v>
      </c>
      <c r="K383" s="9" t="s">
        <v>222</v>
      </c>
      <c r="L383" s="9" t="s">
        <v>1942</v>
      </c>
      <c r="M383" s="9" t="s">
        <v>89</v>
      </c>
      <c r="N383" s="9" t="n">
        <v>4</v>
      </c>
      <c r="O383" s="9" t="n">
        <v>4387.15</v>
      </c>
      <c r="P383" s="9" t="n">
        <v>0.05</v>
      </c>
      <c r="Q383" s="9" t="n">
        <v>16671.17</v>
      </c>
      <c r="R383" s="9" t="n">
        <v>10833.19</v>
      </c>
      <c r="S383" s="9" t="n">
        <v>5837.98</v>
      </c>
      <c r="T383" s="9" t="s">
        <v>224</v>
      </c>
      <c r="U383" s="9" t="s">
        <v>100</v>
      </c>
    </row>
    <row r="384" customFormat="false" ht="15" hidden="false" customHeight="false" outlineLevel="0" collapsed="false">
      <c r="A384" s="9" t="s">
        <v>1943</v>
      </c>
      <c r="B384" s="9" t="s">
        <v>1944</v>
      </c>
      <c r="C384" s="9" t="s">
        <v>585</v>
      </c>
      <c r="D384" s="9" t="s">
        <v>227</v>
      </c>
      <c r="E384" s="9" t="s">
        <v>83</v>
      </c>
      <c r="F384" s="9" t="s">
        <v>63</v>
      </c>
      <c r="G384" s="9" t="s">
        <v>64</v>
      </c>
      <c r="H384" s="9" t="s">
        <v>210</v>
      </c>
      <c r="I384" s="9" t="s">
        <v>211</v>
      </c>
      <c r="J384" s="9" t="s">
        <v>1945</v>
      </c>
      <c r="K384" s="9" t="s">
        <v>247</v>
      </c>
      <c r="L384" s="9" t="s">
        <v>1946</v>
      </c>
      <c r="M384" s="9" t="s">
        <v>78</v>
      </c>
      <c r="N384" s="9" t="n">
        <v>3</v>
      </c>
      <c r="O384" s="9" t="n">
        <v>4361.85</v>
      </c>
      <c r="P384" s="9" t="n">
        <v>0.2</v>
      </c>
      <c r="Q384" s="9" t="n">
        <v>10468.44</v>
      </c>
      <c r="R384" s="9" t="n">
        <v>8399.87</v>
      </c>
      <c r="S384" s="9" t="n">
        <v>2068.57</v>
      </c>
      <c r="T384" s="9" t="s">
        <v>56</v>
      </c>
      <c r="U384" s="9" t="s">
        <v>57</v>
      </c>
    </row>
    <row r="385" customFormat="false" ht="15" hidden="false" customHeight="false" outlineLevel="0" collapsed="false">
      <c r="A385" s="9" t="s">
        <v>1947</v>
      </c>
      <c r="B385" s="9" t="s">
        <v>1557</v>
      </c>
      <c r="C385" s="9" t="s">
        <v>1111</v>
      </c>
      <c r="D385" s="9" t="s">
        <v>1948</v>
      </c>
      <c r="E385" s="9" t="s">
        <v>105</v>
      </c>
      <c r="F385" s="9" t="s">
        <v>130</v>
      </c>
      <c r="G385" s="9" t="s">
        <v>64</v>
      </c>
      <c r="H385" s="9" t="s">
        <v>143</v>
      </c>
      <c r="I385" s="9" t="s">
        <v>144</v>
      </c>
      <c r="J385" s="9" t="s">
        <v>52</v>
      </c>
      <c r="K385" s="9" t="s">
        <v>76</v>
      </c>
      <c r="L385" s="9" t="s">
        <v>1949</v>
      </c>
      <c r="M385" s="9" t="s">
        <v>78</v>
      </c>
      <c r="N385" s="9" t="n">
        <v>2</v>
      </c>
      <c r="O385" s="9" t="n">
        <v>2242.75</v>
      </c>
      <c r="P385" s="9" t="n">
        <v>0</v>
      </c>
      <c r="Q385" s="9" t="n">
        <v>4485.5</v>
      </c>
      <c r="R385" s="9" t="n">
        <v>3131.86</v>
      </c>
      <c r="S385" s="9" t="n">
        <v>1353.64</v>
      </c>
      <c r="T385" s="9" t="s">
        <v>56</v>
      </c>
      <c r="U385" s="9" t="s">
        <v>100</v>
      </c>
    </row>
    <row r="386" customFormat="false" ht="15" hidden="false" customHeight="false" outlineLevel="0" collapsed="false">
      <c r="A386" s="9" t="s">
        <v>1950</v>
      </c>
      <c r="B386" s="9" t="s">
        <v>1951</v>
      </c>
      <c r="C386" s="9" t="s">
        <v>1952</v>
      </c>
      <c r="D386" s="9" t="s">
        <v>1953</v>
      </c>
      <c r="E386" s="9" t="s">
        <v>204</v>
      </c>
      <c r="F386" s="9" t="s">
        <v>48</v>
      </c>
      <c r="G386" s="9" t="s">
        <v>64</v>
      </c>
      <c r="H386" s="9" t="s">
        <v>336</v>
      </c>
      <c r="I386" s="9" t="s">
        <v>337</v>
      </c>
      <c r="J386" s="9" t="s">
        <v>108</v>
      </c>
      <c r="K386" s="9" t="s">
        <v>116</v>
      </c>
      <c r="L386" s="9" t="s">
        <v>1954</v>
      </c>
      <c r="M386" s="9" t="s">
        <v>89</v>
      </c>
      <c r="N386" s="9" t="n">
        <v>2</v>
      </c>
      <c r="O386" s="9" t="n">
        <v>1881.4</v>
      </c>
      <c r="P386" s="9" t="n">
        <v>0.25</v>
      </c>
      <c r="Q386" s="9" t="n">
        <v>2822.1</v>
      </c>
      <c r="R386" s="9" t="n">
        <v>1624.57</v>
      </c>
      <c r="S386" s="9" t="n">
        <v>1197.53</v>
      </c>
      <c r="T386" s="9" t="s">
        <v>56</v>
      </c>
      <c r="U386" s="9" t="s">
        <v>147</v>
      </c>
    </row>
    <row r="387" customFormat="false" ht="15" hidden="false" customHeight="false" outlineLevel="0" collapsed="false">
      <c r="A387" s="9" t="s">
        <v>1955</v>
      </c>
      <c r="B387" s="9" t="s">
        <v>1031</v>
      </c>
      <c r="C387" s="9" t="s">
        <v>1956</v>
      </c>
      <c r="D387" s="9" t="s">
        <v>1957</v>
      </c>
      <c r="E387" s="9" t="s">
        <v>83</v>
      </c>
      <c r="F387" s="9" t="s">
        <v>48</v>
      </c>
      <c r="G387" s="9" t="s">
        <v>177</v>
      </c>
      <c r="H387" s="9" t="s">
        <v>348</v>
      </c>
      <c r="I387" s="9" t="s">
        <v>349</v>
      </c>
      <c r="J387" s="9" t="s">
        <v>52</v>
      </c>
      <c r="K387" s="9" t="s">
        <v>131</v>
      </c>
      <c r="L387" s="9" t="s">
        <v>1958</v>
      </c>
      <c r="M387" s="9" t="s">
        <v>89</v>
      </c>
      <c r="N387" s="9" t="n">
        <v>6</v>
      </c>
      <c r="O387" s="9" t="n">
        <v>365.76</v>
      </c>
      <c r="P387" s="9" t="n">
        <v>0.1</v>
      </c>
      <c r="Q387" s="9" t="n">
        <v>1975.1</v>
      </c>
      <c r="R387" s="9" t="n">
        <v>1115.35</v>
      </c>
      <c r="S387" s="9" t="n">
        <v>859.75</v>
      </c>
      <c r="T387" s="9" t="s">
        <v>56</v>
      </c>
      <c r="U387" s="9" t="s">
        <v>57</v>
      </c>
    </row>
    <row r="388" customFormat="false" ht="15" hidden="false" customHeight="false" outlineLevel="0" collapsed="false">
      <c r="A388" s="9" t="s">
        <v>1959</v>
      </c>
      <c r="B388" s="9" t="s">
        <v>1436</v>
      </c>
      <c r="C388" s="9" t="s">
        <v>1960</v>
      </c>
      <c r="D388" s="9" t="s">
        <v>1961</v>
      </c>
      <c r="E388" s="9" t="s">
        <v>192</v>
      </c>
      <c r="F388" s="9" t="s">
        <v>48</v>
      </c>
      <c r="G388" s="9" t="s">
        <v>95</v>
      </c>
      <c r="H388" s="9" t="s">
        <v>96</v>
      </c>
      <c r="I388" s="9" t="s">
        <v>97</v>
      </c>
      <c r="J388" s="9" t="s">
        <v>67</v>
      </c>
      <c r="K388" s="9" t="s">
        <v>87</v>
      </c>
      <c r="L388" s="9" t="s">
        <v>1962</v>
      </c>
      <c r="M388" s="9" t="s">
        <v>55</v>
      </c>
      <c r="N388" s="9" t="n">
        <v>8</v>
      </c>
      <c r="O388" s="9" t="n">
        <v>2786.66</v>
      </c>
      <c r="P388" s="9" t="n">
        <v>0.1</v>
      </c>
      <c r="Q388" s="9" t="n">
        <v>20063.95</v>
      </c>
      <c r="R388" s="9" t="n">
        <v>14363.38</v>
      </c>
      <c r="S388" s="9" t="n">
        <v>5700.57</v>
      </c>
      <c r="T388" s="9" t="s">
        <v>56</v>
      </c>
      <c r="U388" s="9" t="s">
        <v>57</v>
      </c>
    </row>
    <row r="389" customFormat="false" ht="15" hidden="false" customHeight="false" outlineLevel="0" collapsed="false">
      <c r="A389" s="9" t="s">
        <v>1963</v>
      </c>
      <c r="B389" s="9" t="s">
        <v>979</v>
      </c>
      <c r="C389" s="9" t="s">
        <v>1154</v>
      </c>
      <c r="D389" s="9" t="s">
        <v>1964</v>
      </c>
      <c r="E389" s="9" t="s">
        <v>165</v>
      </c>
      <c r="F389" s="9" t="s">
        <v>63</v>
      </c>
      <c r="G389" s="9" t="s">
        <v>95</v>
      </c>
      <c r="H389" s="9" t="s">
        <v>106</v>
      </c>
      <c r="I389" s="9" t="s">
        <v>107</v>
      </c>
      <c r="J389" s="9" t="s">
        <v>67</v>
      </c>
      <c r="K389" s="9" t="s">
        <v>98</v>
      </c>
      <c r="L389" s="9" t="s">
        <v>1965</v>
      </c>
      <c r="M389" s="9" t="s">
        <v>89</v>
      </c>
      <c r="N389" s="9" t="n">
        <v>5</v>
      </c>
      <c r="O389" s="9" t="n">
        <v>352.86</v>
      </c>
      <c r="P389" s="9" t="n">
        <v>0</v>
      </c>
      <c r="Q389" s="9" t="n">
        <v>1764.3</v>
      </c>
      <c r="R389" s="9" t="n">
        <v>1332.49</v>
      </c>
      <c r="S389" s="9" t="n">
        <v>431.81</v>
      </c>
      <c r="T389" s="9" t="s">
        <v>160</v>
      </c>
      <c r="U389" s="9" t="s">
        <v>100</v>
      </c>
    </row>
    <row r="390" customFormat="false" ht="15" hidden="false" customHeight="false" outlineLevel="0" collapsed="false">
      <c r="A390" s="9" t="s">
        <v>1966</v>
      </c>
      <c r="B390" s="9" t="s">
        <v>1967</v>
      </c>
      <c r="C390" s="9" t="s">
        <v>1968</v>
      </c>
      <c r="D390" s="9" t="s">
        <v>1969</v>
      </c>
      <c r="E390" s="9" t="s">
        <v>75</v>
      </c>
      <c r="F390" s="9" t="s">
        <v>63</v>
      </c>
      <c r="G390" s="9" t="s">
        <v>95</v>
      </c>
      <c r="H390" s="9" t="s">
        <v>260</v>
      </c>
      <c r="I390" s="9" t="s">
        <v>261</v>
      </c>
      <c r="J390" s="9" t="s">
        <v>67</v>
      </c>
      <c r="K390" s="9" t="s">
        <v>98</v>
      </c>
      <c r="L390" s="9" t="s">
        <v>1970</v>
      </c>
      <c r="M390" s="9" t="s">
        <v>89</v>
      </c>
      <c r="N390" s="9" t="n">
        <v>3</v>
      </c>
      <c r="O390" s="9" t="n">
        <v>3128.59</v>
      </c>
      <c r="P390" s="9" t="n">
        <v>0</v>
      </c>
      <c r="Q390" s="9" t="n">
        <v>9385.77</v>
      </c>
      <c r="R390" s="9" t="n">
        <v>6872.44</v>
      </c>
      <c r="S390" s="9" t="n">
        <v>2783.66</v>
      </c>
      <c r="T390" s="9" t="s">
        <v>56</v>
      </c>
      <c r="U390" s="9" t="s">
        <v>57</v>
      </c>
    </row>
    <row r="391" customFormat="false" ht="15" hidden="false" customHeight="false" outlineLevel="0" collapsed="false">
      <c r="A391" s="9" t="s">
        <v>1971</v>
      </c>
      <c r="B391" s="9" t="s">
        <v>1972</v>
      </c>
      <c r="C391" s="9" t="s">
        <v>375</v>
      </c>
      <c r="D391" s="9" t="s">
        <v>1973</v>
      </c>
      <c r="E391" s="9" t="s">
        <v>234</v>
      </c>
      <c r="F391" s="9" t="s">
        <v>130</v>
      </c>
      <c r="G391" s="9" t="s">
        <v>95</v>
      </c>
      <c r="H391" s="9" t="s">
        <v>260</v>
      </c>
      <c r="I391" s="9" t="s">
        <v>261</v>
      </c>
      <c r="J391" s="9" t="s">
        <v>108</v>
      </c>
      <c r="K391" s="9" t="s">
        <v>409</v>
      </c>
      <c r="L391" s="9" t="s">
        <v>1974</v>
      </c>
      <c r="M391" s="9" t="s">
        <v>55</v>
      </c>
      <c r="N391" s="9" t="n">
        <v>5</v>
      </c>
      <c r="O391" s="9" t="n">
        <v>1937.54</v>
      </c>
      <c r="P391" s="9" t="n">
        <v>0.2</v>
      </c>
      <c r="Q391" s="9" t="n">
        <v>7750.16</v>
      </c>
      <c r="R391" s="9" t="n">
        <v>5434.3</v>
      </c>
      <c r="S391" s="9" t="n">
        <v>2315.86</v>
      </c>
      <c r="T391" s="9" t="s">
        <v>160</v>
      </c>
      <c r="U391" s="9" t="s">
        <v>100</v>
      </c>
    </row>
    <row r="392" customFormat="false" ht="15" hidden="false" customHeight="false" outlineLevel="0" collapsed="false">
      <c r="A392" s="9" t="s">
        <v>1975</v>
      </c>
      <c r="B392" s="9" t="s">
        <v>1976</v>
      </c>
      <c r="C392" s="9" t="s">
        <v>512</v>
      </c>
      <c r="D392" s="9" t="s">
        <v>1977</v>
      </c>
      <c r="E392" s="9" t="s">
        <v>75</v>
      </c>
      <c r="F392" s="9" t="s">
        <v>48</v>
      </c>
      <c r="G392" s="9" t="s">
        <v>95</v>
      </c>
      <c r="H392" s="9" t="s">
        <v>260</v>
      </c>
      <c r="I392" s="9" t="s">
        <v>261</v>
      </c>
      <c r="J392" s="9" t="s">
        <v>67</v>
      </c>
      <c r="K392" s="9" t="s">
        <v>87</v>
      </c>
      <c r="L392" s="9" t="s">
        <v>1978</v>
      </c>
      <c r="M392" s="9" t="s">
        <v>89</v>
      </c>
      <c r="N392" s="9" t="n">
        <v>4</v>
      </c>
      <c r="O392" s="9" t="n">
        <v>1917.26</v>
      </c>
      <c r="P392" s="9" t="n">
        <v>0.2</v>
      </c>
      <c r="Q392" s="9" t="n">
        <v>6135.23</v>
      </c>
      <c r="R392" s="9" t="n">
        <v>3439.79</v>
      </c>
      <c r="S392" s="9" t="n">
        <v>2695.44</v>
      </c>
      <c r="T392" s="9" t="s">
        <v>56</v>
      </c>
      <c r="U392" s="9" t="s">
        <v>57</v>
      </c>
    </row>
    <row r="393" customFormat="false" ht="15" hidden="false" customHeight="false" outlineLevel="0" collapsed="false">
      <c r="A393" s="9" t="s">
        <v>1979</v>
      </c>
      <c r="B393" s="9" t="s">
        <v>1960</v>
      </c>
      <c r="C393" s="9" t="s">
        <v>1980</v>
      </c>
      <c r="D393" s="9" t="s">
        <v>1981</v>
      </c>
      <c r="E393" s="9" t="s">
        <v>234</v>
      </c>
      <c r="F393" s="9" t="s">
        <v>48</v>
      </c>
      <c r="G393" s="9" t="s">
        <v>84</v>
      </c>
      <c r="H393" s="9" t="s">
        <v>254</v>
      </c>
      <c r="I393" s="9" t="s">
        <v>255</v>
      </c>
      <c r="J393" s="9" t="s">
        <v>52</v>
      </c>
      <c r="K393" s="9" t="s">
        <v>180</v>
      </c>
      <c r="L393" s="9" t="s">
        <v>1982</v>
      </c>
      <c r="M393" s="9" t="s">
        <v>78</v>
      </c>
      <c r="N393" s="9" t="n">
        <v>1</v>
      </c>
      <c r="O393" s="9" t="n">
        <v>714.43</v>
      </c>
      <c r="P393" s="9" t="n">
        <v>0</v>
      </c>
      <c r="Q393" s="9" t="n">
        <v>714.43</v>
      </c>
      <c r="R393" s="9" t="n">
        <v>565.44</v>
      </c>
      <c r="S393" s="9" t="n">
        <v>148.99</v>
      </c>
      <c r="T393" s="9" t="s">
        <v>56</v>
      </c>
      <c r="U393" s="9" t="s">
        <v>57</v>
      </c>
    </row>
    <row r="394" customFormat="false" ht="15" hidden="false" customHeight="false" outlineLevel="0" collapsed="false">
      <c r="A394" s="9" t="s">
        <v>1983</v>
      </c>
      <c r="B394" s="9" t="s">
        <v>1984</v>
      </c>
      <c r="C394" s="9" t="s">
        <v>1985</v>
      </c>
      <c r="D394" s="9" t="s">
        <v>1986</v>
      </c>
      <c r="E394" s="9" t="s">
        <v>129</v>
      </c>
      <c r="F394" s="9" t="s">
        <v>63</v>
      </c>
      <c r="G394" s="9" t="s">
        <v>84</v>
      </c>
      <c r="H394" s="9" t="s">
        <v>267</v>
      </c>
      <c r="I394" s="9" t="s">
        <v>268</v>
      </c>
      <c r="J394" s="9" t="s">
        <v>67</v>
      </c>
      <c r="K394" s="9" t="s">
        <v>87</v>
      </c>
      <c r="L394" s="9" t="s">
        <v>1987</v>
      </c>
      <c r="M394" s="9" t="s">
        <v>70</v>
      </c>
      <c r="N394" s="9" t="n">
        <v>9</v>
      </c>
      <c r="O394" s="9" t="n">
        <v>4053.01</v>
      </c>
      <c r="P394" s="9" t="n">
        <v>0</v>
      </c>
      <c r="Q394" s="9" t="n">
        <v>36477.09</v>
      </c>
      <c r="R394" s="9" t="n">
        <v>24525.48</v>
      </c>
      <c r="S394" s="9" t="n">
        <v>11951.61</v>
      </c>
      <c r="T394" s="9" t="s">
        <v>56</v>
      </c>
      <c r="U394" s="9" t="s">
        <v>57</v>
      </c>
    </row>
    <row r="395" customFormat="false" ht="15" hidden="false" customHeight="false" outlineLevel="0" collapsed="false">
      <c r="A395" s="9" t="s">
        <v>1988</v>
      </c>
      <c r="B395" s="9" t="s">
        <v>1989</v>
      </c>
      <c r="C395" s="9" t="s">
        <v>1990</v>
      </c>
      <c r="D395" s="9" t="s">
        <v>1991</v>
      </c>
      <c r="E395" s="9" t="s">
        <v>62</v>
      </c>
      <c r="F395" s="9" t="s">
        <v>130</v>
      </c>
      <c r="G395" s="9" t="s">
        <v>177</v>
      </c>
      <c r="H395" s="9" t="s">
        <v>198</v>
      </c>
      <c r="I395" s="9" t="s">
        <v>199</v>
      </c>
      <c r="J395" s="9" t="s">
        <v>52</v>
      </c>
      <c r="K395" s="9" t="s">
        <v>131</v>
      </c>
      <c r="L395" s="9" t="s">
        <v>1992</v>
      </c>
      <c r="M395" s="9" t="s">
        <v>70</v>
      </c>
      <c r="N395" s="9" t="n">
        <v>2</v>
      </c>
      <c r="O395" s="9" t="n">
        <v>1936.91</v>
      </c>
      <c r="P395" s="9" t="n">
        <v>0.05</v>
      </c>
      <c r="Q395" s="9" t="n">
        <v>3680.13</v>
      </c>
      <c r="R395" s="9" t="n">
        <v>2967.46</v>
      </c>
      <c r="S395" s="9" t="n">
        <v>712.67</v>
      </c>
      <c r="T395" s="9" t="s">
        <v>56</v>
      </c>
      <c r="U395" s="9" t="s">
        <v>57</v>
      </c>
    </row>
    <row r="396" customFormat="false" ht="15" hidden="false" customHeight="false" outlineLevel="0" collapsed="false">
      <c r="A396" s="9" t="s">
        <v>1993</v>
      </c>
      <c r="B396" s="9" t="s">
        <v>1994</v>
      </c>
      <c r="C396" s="9" t="s">
        <v>1995</v>
      </c>
      <c r="D396" s="9" t="s">
        <v>1996</v>
      </c>
      <c r="E396" s="9" t="s">
        <v>393</v>
      </c>
      <c r="F396" s="9" t="s">
        <v>48</v>
      </c>
      <c r="G396" s="9" t="s">
        <v>95</v>
      </c>
      <c r="H396" s="9" t="s">
        <v>96</v>
      </c>
      <c r="I396" s="9" t="s">
        <v>97</v>
      </c>
      <c r="J396" s="9" t="s">
        <v>67</v>
      </c>
      <c r="K396" s="9" t="s">
        <v>87</v>
      </c>
      <c r="L396" s="9" t="s">
        <v>1997</v>
      </c>
      <c r="M396" s="9" t="s">
        <v>78</v>
      </c>
      <c r="N396" s="9" t="n">
        <v>7</v>
      </c>
      <c r="O396" s="9" t="n">
        <v>3945.21</v>
      </c>
      <c r="P396" s="9" t="n">
        <v>0</v>
      </c>
      <c r="Q396" s="9" t="n">
        <v>27616.47</v>
      </c>
      <c r="R396" s="9" t="n">
        <v>21225.26</v>
      </c>
      <c r="S396" s="9" t="n">
        <v>6391.21</v>
      </c>
      <c r="T396" s="9" t="s">
        <v>56</v>
      </c>
      <c r="U396" s="9" t="s">
        <v>57</v>
      </c>
    </row>
    <row r="397" customFormat="false" ht="15" hidden="false" customHeight="false" outlineLevel="0" collapsed="false">
      <c r="A397" s="9" t="s">
        <v>1998</v>
      </c>
      <c r="B397" s="9" t="s">
        <v>1103</v>
      </c>
      <c r="C397" s="9" t="s">
        <v>1794</v>
      </c>
      <c r="D397" s="9" t="s">
        <v>1999</v>
      </c>
      <c r="E397" s="9" t="s">
        <v>171</v>
      </c>
      <c r="F397" s="9" t="s">
        <v>137</v>
      </c>
      <c r="G397" s="9" t="s">
        <v>84</v>
      </c>
      <c r="H397" s="9" t="s">
        <v>364</v>
      </c>
      <c r="I397" s="9" t="s">
        <v>365</v>
      </c>
      <c r="J397" s="9" t="s">
        <v>67</v>
      </c>
      <c r="K397" s="9" t="s">
        <v>68</v>
      </c>
      <c r="L397" s="9" t="s">
        <v>2000</v>
      </c>
      <c r="M397" s="9" t="s">
        <v>70</v>
      </c>
      <c r="N397" s="9" t="n">
        <v>7</v>
      </c>
      <c r="O397" s="9" t="n">
        <v>861.91</v>
      </c>
      <c r="P397" s="9" t="n">
        <v>0.05</v>
      </c>
      <c r="Q397" s="9" t="n">
        <v>5731.7</v>
      </c>
      <c r="R397" s="9" t="n">
        <v>4115.56</v>
      </c>
      <c r="S397" s="9" t="n">
        <v>1616.14</v>
      </c>
      <c r="T397" s="9" t="s">
        <v>56</v>
      </c>
      <c r="U397" s="9" t="s">
        <v>57</v>
      </c>
    </row>
    <row r="398" customFormat="false" ht="15" hidden="false" customHeight="false" outlineLevel="0" collapsed="false">
      <c r="A398" s="9" t="s">
        <v>2001</v>
      </c>
      <c r="B398" s="9" t="s">
        <v>2002</v>
      </c>
      <c r="C398" s="9" t="s">
        <v>2003</v>
      </c>
      <c r="D398" s="9" t="s">
        <v>2004</v>
      </c>
      <c r="E398" s="9" t="s">
        <v>129</v>
      </c>
      <c r="F398" s="9" t="s">
        <v>63</v>
      </c>
      <c r="G398" s="9" t="s">
        <v>84</v>
      </c>
      <c r="H398" s="9" t="s">
        <v>254</v>
      </c>
      <c r="I398" s="9" t="s">
        <v>255</v>
      </c>
      <c r="J398" s="9" t="s">
        <v>108</v>
      </c>
      <c r="K398" s="9" t="s">
        <v>409</v>
      </c>
      <c r="L398" s="9" t="s">
        <v>2005</v>
      </c>
      <c r="M398" s="9" t="s">
        <v>89</v>
      </c>
      <c r="N398" s="9" t="n">
        <v>2</v>
      </c>
      <c r="O398" s="9" t="n">
        <v>638.73</v>
      </c>
      <c r="P398" s="9" t="n">
        <v>0.05</v>
      </c>
      <c r="Q398" s="9" t="n">
        <v>1213.59</v>
      </c>
      <c r="R398" s="9" t="n">
        <v>956.22</v>
      </c>
      <c r="S398" s="9" t="n">
        <v>257.37</v>
      </c>
      <c r="T398" s="9" t="s">
        <v>56</v>
      </c>
      <c r="U398" s="9" t="s">
        <v>57</v>
      </c>
    </row>
    <row r="399" customFormat="false" ht="15" hidden="false" customHeight="false" outlineLevel="0" collapsed="false">
      <c r="A399" s="9" t="s">
        <v>2006</v>
      </c>
      <c r="B399" s="9" t="s">
        <v>2007</v>
      </c>
      <c r="C399" s="9" t="s">
        <v>2008</v>
      </c>
      <c r="D399" s="9" t="s">
        <v>2009</v>
      </c>
      <c r="E399" s="9" t="s">
        <v>192</v>
      </c>
      <c r="F399" s="9" t="s">
        <v>63</v>
      </c>
      <c r="G399" s="9" t="s">
        <v>177</v>
      </c>
      <c r="H399" s="9" t="s">
        <v>198</v>
      </c>
      <c r="I399" s="9" t="s">
        <v>199</v>
      </c>
      <c r="J399" s="9" t="s">
        <v>67</v>
      </c>
      <c r="K399" s="9" t="s">
        <v>68</v>
      </c>
      <c r="L399" s="9" t="s">
        <v>2010</v>
      </c>
      <c r="M399" s="9" t="s">
        <v>55</v>
      </c>
      <c r="N399" s="9" t="n">
        <v>2</v>
      </c>
      <c r="O399" s="9" t="n">
        <v>1731.88</v>
      </c>
      <c r="P399" s="9" t="n">
        <v>0</v>
      </c>
      <c r="Q399" s="9" t="n">
        <v>3463.76</v>
      </c>
      <c r="R399" s="9" t="n">
        <v>2143.74</v>
      </c>
      <c r="S399" s="9" t="n">
        <v>1320.02</v>
      </c>
      <c r="T399" s="9" t="s">
        <v>56</v>
      </c>
      <c r="U399" s="9" t="s">
        <v>57</v>
      </c>
    </row>
    <row r="400" customFormat="false" ht="15" hidden="false" customHeight="false" outlineLevel="0" collapsed="false">
      <c r="A400" s="9" t="s">
        <v>2011</v>
      </c>
      <c r="B400" s="9" t="s">
        <v>2012</v>
      </c>
      <c r="C400" s="9" t="s">
        <v>2013</v>
      </c>
      <c r="D400" s="9" t="s">
        <v>2014</v>
      </c>
      <c r="E400" s="9" t="s">
        <v>105</v>
      </c>
      <c r="F400" s="9" t="s">
        <v>2015</v>
      </c>
      <c r="G400" s="9" t="s">
        <v>177</v>
      </c>
      <c r="H400" s="9" t="s">
        <v>178</v>
      </c>
      <c r="I400" s="9" t="s">
        <v>179</v>
      </c>
      <c r="J400" s="9" t="s">
        <v>108</v>
      </c>
      <c r="K400" s="9" t="s">
        <v>409</v>
      </c>
      <c r="L400" s="9" t="s">
        <v>2016</v>
      </c>
      <c r="M400" s="9" t="s">
        <v>70</v>
      </c>
      <c r="N400" s="9" t="n">
        <v>2</v>
      </c>
      <c r="O400" s="9" t="n">
        <v>1263.65</v>
      </c>
      <c r="P400" s="9" t="n">
        <v>0.2</v>
      </c>
      <c r="Q400" s="9" t="n">
        <v>2021.84</v>
      </c>
      <c r="R400" s="9" t="n">
        <v>1355.22</v>
      </c>
      <c r="S400" s="9" t="n">
        <v>666.62</v>
      </c>
      <c r="T400" s="9" t="s">
        <v>56</v>
      </c>
      <c r="U400" s="9" t="s">
        <v>57</v>
      </c>
    </row>
    <row r="401" customFormat="false" ht="15" hidden="false" customHeight="false" outlineLevel="0" collapsed="false">
      <c r="A401" s="9" t="s">
        <v>2017</v>
      </c>
      <c r="B401" s="9" t="s">
        <v>2018</v>
      </c>
      <c r="C401" s="9" t="s">
        <v>2019</v>
      </c>
      <c r="D401" s="9" t="s">
        <v>2020</v>
      </c>
      <c r="E401" s="9" t="s">
        <v>234</v>
      </c>
      <c r="F401" s="9" t="s">
        <v>63</v>
      </c>
      <c r="G401" s="9" t="s">
        <v>84</v>
      </c>
      <c r="H401" s="9" t="s">
        <v>122</v>
      </c>
      <c r="I401" s="9" t="s">
        <v>123</v>
      </c>
      <c r="J401" s="9" t="s">
        <v>52</v>
      </c>
      <c r="K401" s="9" t="s">
        <v>53</v>
      </c>
      <c r="L401" s="9" t="s">
        <v>2021</v>
      </c>
      <c r="M401" s="9" t="s">
        <v>70</v>
      </c>
      <c r="N401" s="9" t="n">
        <v>1</v>
      </c>
      <c r="O401" s="9" t="n">
        <v>4358.5</v>
      </c>
      <c r="P401" s="9" t="n">
        <v>0.25</v>
      </c>
      <c r="Q401" s="9" t="n">
        <v>3268.88</v>
      </c>
      <c r="R401" s="9" t="n">
        <v>1993.74</v>
      </c>
      <c r="S401" s="9" t="n">
        <v>1275.14</v>
      </c>
      <c r="T401" s="9" t="s">
        <v>56</v>
      </c>
      <c r="U401" s="9" t="s">
        <v>57</v>
      </c>
    </row>
    <row r="402" customFormat="false" ht="15" hidden="false" customHeight="false" outlineLevel="0" collapsed="false">
      <c r="A402" s="9" t="s">
        <v>2022</v>
      </c>
      <c r="B402" s="9" t="s">
        <v>2023</v>
      </c>
      <c r="C402" s="9" t="s">
        <v>2024</v>
      </c>
      <c r="D402" s="9" t="s">
        <v>2025</v>
      </c>
      <c r="E402" s="9" t="s">
        <v>192</v>
      </c>
      <c r="F402" s="9" t="s">
        <v>63</v>
      </c>
      <c r="G402" s="9" t="s">
        <v>177</v>
      </c>
      <c r="H402" s="9" t="s">
        <v>198</v>
      </c>
      <c r="I402" s="9" t="s">
        <v>199</v>
      </c>
      <c r="J402" s="9" t="s">
        <v>52</v>
      </c>
      <c r="K402" s="9" t="s">
        <v>53</v>
      </c>
      <c r="L402" s="9" t="s">
        <v>2026</v>
      </c>
      <c r="M402" s="9" t="s">
        <v>70</v>
      </c>
      <c r="N402" s="9" t="n">
        <v>7</v>
      </c>
      <c r="O402" s="9" t="n">
        <v>878.09</v>
      </c>
      <c r="P402" s="9" t="n">
        <v>-0.1</v>
      </c>
      <c r="Q402" s="9" t="n">
        <v>5839.3</v>
      </c>
      <c r="R402" s="9" t="n">
        <v>4877.38</v>
      </c>
      <c r="S402" s="9" t="n">
        <v>961.92</v>
      </c>
      <c r="T402" s="9" t="s">
        <v>56</v>
      </c>
      <c r="U402" s="9" t="s">
        <v>57</v>
      </c>
    </row>
    <row r="403" customFormat="false" ht="15" hidden="false" customHeight="false" outlineLevel="0" collapsed="false">
      <c r="A403" s="9" t="s">
        <v>2027</v>
      </c>
      <c r="B403" s="9" t="s">
        <v>2028</v>
      </c>
      <c r="C403" s="9" t="s">
        <v>2029</v>
      </c>
      <c r="D403" s="9" t="s">
        <v>2030</v>
      </c>
      <c r="E403" s="9" t="s">
        <v>83</v>
      </c>
      <c r="F403" s="9" t="s">
        <v>63</v>
      </c>
      <c r="G403" s="9" t="s">
        <v>64</v>
      </c>
      <c r="H403" s="9" t="s">
        <v>336</v>
      </c>
      <c r="I403" s="9" t="s">
        <v>337</v>
      </c>
      <c r="J403" s="9" t="s">
        <v>67</v>
      </c>
      <c r="K403" s="9" t="s">
        <v>68</v>
      </c>
      <c r="L403" s="9" t="s">
        <v>2031</v>
      </c>
      <c r="M403" s="9" t="s">
        <v>70</v>
      </c>
      <c r="N403" s="9" t="n">
        <v>3</v>
      </c>
      <c r="O403" s="9" t="n">
        <v>2625.85</v>
      </c>
      <c r="P403" s="9" t="n">
        <v>0</v>
      </c>
      <c r="Q403" s="9" t="n">
        <v>7877.55</v>
      </c>
      <c r="R403" s="9" t="n">
        <v>5562.77</v>
      </c>
      <c r="S403" s="9" t="n">
        <v>2314.78</v>
      </c>
      <c r="T403" s="9" t="s">
        <v>56</v>
      </c>
      <c r="U403" s="9" t="s">
        <v>57</v>
      </c>
    </row>
    <row r="404" customFormat="false" ht="15" hidden="false" customHeight="false" outlineLevel="0" collapsed="false">
      <c r="A404" s="9" t="s">
        <v>2032</v>
      </c>
      <c r="B404" s="9" t="s">
        <v>2033</v>
      </c>
      <c r="C404" s="9" t="s">
        <v>2034</v>
      </c>
      <c r="D404" s="9" t="s">
        <v>2035</v>
      </c>
      <c r="E404" s="9" t="s">
        <v>165</v>
      </c>
      <c r="F404" s="9" t="s">
        <v>63</v>
      </c>
      <c r="G404" s="9" t="s">
        <v>84</v>
      </c>
      <c r="H404" s="9" t="s">
        <v>254</v>
      </c>
      <c r="I404" s="9" t="s">
        <v>255</v>
      </c>
      <c r="J404" s="9" t="s">
        <v>67</v>
      </c>
      <c r="K404" s="9" t="s">
        <v>68</v>
      </c>
      <c r="L404" s="9" t="s">
        <v>2036</v>
      </c>
      <c r="M404" s="9"/>
      <c r="N404" s="9" t="n">
        <v>3</v>
      </c>
      <c r="O404" s="9" t="n">
        <v>1365.26</v>
      </c>
      <c r="P404" s="9" t="n">
        <v>0</v>
      </c>
      <c r="Q404" s="9" t="n">
        <v>4095.78</v>
      </c>
      <c r="R404" s="9" t="n">
        <v>2807.77</v>
      </c>
      <c r="S404" s="9" t="n">
        <v>1288.01</v>
      </c>
      <c r="T404" s="9" t="s">
        <v>56</v>
      </c>
      <c r="U404" s="9" t="s">
        <v>57</v>
      </c>
    </row>
    <row r="405" customFormat="false" ht="15" hidden="false" customHeight="false" outlineLevel="0" collapsed="false">
      <c r="A405" s="9" t="s">
        <v>2037</v>
      </c>
      <c r="B405" s="9" t="s">
        <v>2038</v>
      </c>
      <c r="C405" s="9" t="s">
        <v>2039</v>
      </c>
      <c r="D405" s="9" t="s">
        <v>2040</v>
      </c>
      <c r="E405" s="9" t="s">
        <v>83</v>
      </c>
      <c r="F405" s="9" t="s">
        <v>63</v>
      </c>
      <c r="G405" s="9" t="s">
        <v>84</v>
      </c>
      <c r="H405" s="9" t="s">
        <v>267</v>
      </c>
      <c r="I405" s="9" t="s">
        <v>268</v>
      </c>
      <c r="J405" s="9" t="s">
        <v>52</v>
      </c>
      <c r="K405" s="9" t="s">
        <v>2041</v>
      </c>
      <c r="L405" s="9" t="s">
        <v>2042</v>
      </c>
      <c r="M405" s="9" t="s">
        <v>70</v>
      </c>
      <c r="N405" s="9" t="n">
        <v>5</v>
      </c>
      <c r="O405" s="9" t="n">
        <v>3512.25</v>
      </c>
      <c r="P405" s="9" t="n">
        <v>0.05</v>
      </c>
      <c r="Q405" s="9" t="n">
        <v>16683.19</v>
      </c>
      <c r="R405" s="9" t="n">
        <v>10301.16</v>
      </c>
      <c r="S405" s="9" t="n">
        <v>6382.03</v>
      </c>
      <c r="T405" s="9" t="s">
        <v>56</v>
      </c>
      <c r="U405" s="9" t="s">
        <v>147</v>
      </c>
    </row>
    <row r="406" customFormat="false" ht="15" hidden="false" customHeight="false" outlineLevel="0" collapsed="false">
      <c r="A406" s="9" t="s">
        <v>2043</v>
      </c>
      <c r="B406" s="9" t="s">
        <v>2044</v>
      </c>
      <c r="C406" s="9" t="s">
        <v>2045</v>
      </c>
      <c r="D406" s="9" t="s">
        <v>2046</v>
      </c>
      <c r="E406" s="9" t="s">
        <v>129</v>
      </c>
      <c r="F406" s="9" t="s">
        <v>130</v>
      </c>
      <c r="G406" s="9" t="s">
        <v>95</v>
      </c>
      <c r="H406" s="9" t="s">
        <v>50</v>
      </c>
      <c r="I406" s="9" t="s">
        <v>158</v>
      </c>
      <c r="J406" s="9" t="s">
        <v>67</v>
      </c>
      <c r="K406" s="9" t="s">
        <v>98</v>
      </c>
      <c r="L406" s="9" t="s">
        <v>2047</v>
      </c>
      <c r="M406" s="9" t="s">
        <v>70</v>
      </c>
      <c r="N406" s="9" t="n">
        <v>3</v>
      </c>
      <c r="O406" s="9" t="n">
        <v>359.61</v>
      </c>
      <c r="P406" s="9" t="n">
        <v>0</v>
      </c>
      <c r="Q406" s="9" t="n">
        <v>1078.83</v>
      </c>
      <c r="R406" s="9" t="n">
        <v>926.35</v>
      </c>
      <c r="S406" s="9" t="n">
        <v>152.48</v>
      </c>
      <c r="T406" s="9" t="s">
        <v>56</v>
      </c>
      <c r="U406" s="9" t="s">
        <v>1067</v>
      </c>
    </row>
    <row r="407" customFormat="false" ht="15" hidden="false" customHeight="false" outlineLevel="0" collapsed="false">
      <c r="A407" s="9" t="s">
        <v>2048</v>
      </c>
      <c r="B407" s="9" t="s">
        <v>2049</v>
      </c>
      <c r="C407" s="9" t="s">
        <v>2050</v>
      </c>
      <c r="D407" s="9" t="s">
        <v>2051</v>
      </c>
      <c r="E407" s="9" t="s">
        <v>129</v>
      </c>
      <c r="F407" s="9" t="s">
        <v>137</v>
      </c>
      <c r="G407" s="9" t="s">
        <v>95</v>
      </c>
      <c r="H407" s="9" t="s">
        <v>260</v>
      </c>
      <c r="I407" s="9" t="s">
        <v>261</v>
      </c>
      <c r="J407" s="9" t="s">
        <v>67</v>
      </c>
      <c r="K407" s="9" t="s">
        <v>228</v>
      </c>
      <c r="L407" s="9" t="s">
        <v>2052</v>
      </c>
      <c r="M407" s="9"/>
      <c r="N407" s="9" t="n">
        <v>7</v>
      </c>
      <c r="O407" s="9" t="n">
        <v>3878.01</v>
      </c>
      <c r="P407" s="9" t="n">
        <v>0.1</v>
      </c>
      <c r="Q407" s="9" t="n">
        <v>24431.46</v>
      </c>
      <c r="R407" s="9" t="n">
        <v>18202.36</v>
      </c>
      <c r="S407" s="9" t="n">
        <v>6229.1</v>
      </c>
      <c r="T407" s="9" t="s">
        <v>56</v>
      </c>
      <c r="U407" s="9" t="s">
        <v>57</v>
      </c>
    </row>
    <row r="408" customFormat="false" ht="15" hidden="false" customHeight="false" outlineLevel="0" collapsed="false">
      <c r="A408" s="9" t="s">
        <v>2053</v>
      </c>
      <c r="B408" s="9" t="s">
        <v>2054</v>
      </c>
      <c r="C408" s="9" t="s">
        <v>2054</v>
      </c>
      <c r="D408" s="9" t="s">
        <v>2055</v>
      </c>
      <c r="E408" s="9" t="s">
        <v>393</v>
      </c>
      <c r="F408" s="9" t="s">
        <v>63</v>
      </c>
      <c r="G408" s="9" t="s">
        <v>95</v>
      </c>
      <c r="H408" s="9" t="s">
        <v>274</v>
      </c>
      <c r="I408" s="9" t="s">
        <v>275</v>
      </c>
      <c r="J408" s="9" t="s">
        <v>67</v>
      </c>
      <c r="K408" s="9" t="s">
        <v>87</v>
      </c>
      <c r="L408" s="9" t="s">
        <v>2056</v>
      </c>
      <c r="M408" s="9" t="s">
        <v>89</v>
      </c>
      <c r="N408" s="9" t="n">
        <v>2</v>
      </c>
      <c r="O408" s="9" t="n">
        <v>3924.2</v>
      </c>
      <c r="P408" s="9" t="n">
        <v>0.25</v>
      </c>
      <c r="Q408" s="9" t="n">
        <v>5886.3</v>
      </c>
      <c r="R408" s="9" t="n">
        <v>3621.76</v>
      </c>
      <c r="S408" s="9" t="n">
        <v>2264.54</v>
      </c>
      <c r="T408" s="9" t="s">
        <v>160</v>
      </c>
      <c r="U408" s="9" t="s">
        <v>147</v>
      </c>
    </row>
    <row r="409" customFormat="false" ht="15" hidden="false" customHeight="false" outlineLevel="0" collapsed="false">
      <c r="A409" s="9" t="s">
        <v>2057</v>
      </c>
      <c r="B409" s="9" t="s">
        <v>2058</v>
      </c>
      <c r="C409" s="9" t="s">
        <v>2059</v>
      </c>
      <c r="D409" s="9" t="s">
        <v>2060</v>
      </c>
      <c r="E409" s="9" t="s">
        <v>171</v>
      </c>
      <c r="F409" s="9" t="s">
        <v>130</v>
      </c>
      <c r="G409" s="9" t="s">
        <v>95</v>
      </c>
      <c r="H409" s="9" t="s">
        <v>274</v>
      </c>
      <c r="I409" s="9" t="s">
        <v>275</v>
      </c>
      <c r="J409" s="9" t="s">
        <v>52</v>
      </c>
      <c r="K409" s="9" t="s">
        <v>131</v>
      </c>
      <c r="L409" s="9" t="s">
        <v>2061</v>
      </c>
      <c r="M409" s="9" t="s">
        <v>55</v>
      </c>
      <c r="N409" s="9" t="n">
        <v>3</v>
      </c>
      <c r="O409" s="9" t="n">
        <v>2644.55</v>
      </c>
      <c r="P409" s="9" t="n">
        <v>0</v>
      </c>
      <c r="Q409" s="9" t="n">
        <v>7933.65</v>
      </c>
      <c r="R409" s="9" t="n">
        <v>5698.42</v>
      </c>
      <c r="S409" s="9" t="n">
        <v>2235.23</v>
      </c>
      <c r="T409" s="9" t="s">
        <v>56</v>
      </c>
      <c r="U409" s="9" t="s">
        <v>57</v>
      </c>
    </row>
    <row r="410" customFormat="false" ht="15" hidden="false" customHeight="false" outlineLevel="0" collapsed="false">
      <c r="A410" s="9" t="s">
        <v>2062</v>
      </c>
      <c r="B410" s="9" t="s">
        <v>855</v>
      </c>
      <c r="C410" s="9" t="s">
        <v>1116</v>
      </c>
      <c r="D410" s="9" t="s">
        <v>2063</v>
      </c>
      <c r="E410" s="9" t="s">
        <v>192</v>
      </c>
      <c r="F410" s="9" t="s">
        <v>48</v>
      </c>
      <c r="G410" s="9" t="s">
        <v>95</v>
      </c>
      <c r="H410" s="9" t="s">
        <v>96</v>
      </c>
      <c r="I410" s="9" t="s">
        <v>97</v>
      </c>
      <c r="J410" s="9" t="s">
        <v>67</v>
      </c>
      <c r="K410" s="9" t="s">
        <v>98</v>
      </c>
      <c r="L410" s="9" t="s">
        <v>2064</v>
      </c>
      <c r="M410" s="9" t="s">
        <v>78</v>
      </c>
      <c r="N410" s="9" t="n">
        <v>4</v>
      </c>
      <c r="O410" s="9" t="n">
        <v>1773.46</v>
      </c>
      <c r="P410" s="9" t="n">
        <v>0</v>
      </c>
      <c r="Q410" s="9" t="n">
        <v>7093.84</v>
      </c>
      <c r="R410" s="9" t="n">
        <v>4587.49</v>
      </c>
      <c r="S410" s="9" t="n">
        <v>2506.35</v>
      </c>
      <c r="T410" s="9" t="s">
        <v>224</v>
      </c>
      <c r="U410" s="9" t="s">
        <v>147</v>
      </c>
    </row>
    <row r="411" customFormat="false" ht="15" hidden="false" customHeight="false" outlineLevel="0" collapsed="false">
      <c r="A411" s="9" t="s">
        <v>2065</v>
      </c>
      <c r="B411" s="9" t="s">
        <v>865</v>
      </c>
      <c r="C411" s="9" t="s">
        <v>806</v>
      </c>
      <c r="D411" s="9" t="s">
        <v>2066</v>
      </c>
      <c r="E411" s="9" t="s">
        <v>47</v>
      </c>
      <c r="F411" s="9" t="s">
        <v>48</v>
      </c>
      <c r="G411" s="9" t="s">
        <v>64</v>
      </c>
      <c r="H411" s="9" t="s">
        <v>240</v>
      </c>
      <c r="I411" s="9" t="s">
        <v>241</v>
      </c>
      <c r="J411" s="9" t="s">
        <v>108</v>
      </c>
      <c r="K411" s="9" t="s">
        <v>109</v>
      </c>
      <c r="L411" s="9" t="s">
        <v>2067</v>
      </c>
      <c r="M411" s="9" t="s">
        <v>70</v>
      </c>
      <c r="N411" s="9" t="n">
        <v>1</v>
      </c>
      <c r="O411" s="9" t="n">
        <v>3025.46</v>
      </c>
      <c r="P411" s="9" t="n">
        <v>0.25</v>
      </c>
      <c r="Q411" s="9" t="n">
        <v>2269.1</v>
      </c>
      <c r="R411" s="9" t="n">
        <v>1593.59</v>
      </c>
      <c r="S411" s="9" t="n">
        <v>675.51</v>
      </c>
      <c r="T411" s="9" t="s">
        <v>146</v>
      </c>
      <c r="U411" s="9" t="s">
        <v>147</v>
      </c>
    </row>
    <row r="412" customFormat="false" ht="15" hidden="false" customHeight="false" outlineLevel="0" collapsed="false">
      <c r="A412" s="9" t="s">
        <v>2068</v>
      </c>
      <c r="B412" s="9" t="s">
        <v>2069</v>
      </c>
      <c r="C412" s="9" t="s">
        <v>2070</v>
      </c>
      <c r="D412" s="9" t="s">
        <v>2071</v>
      </c>
      <c r="E412" s="9" t="s">
        <v>234</v>
      </c>
      <c r="F412" s="9" t="s">
        <v>48</v>
      </c>
      <c r="G412" s="9" t="s">
        <v>95</v>
      </c>
      <c r="H412" s="9" t="s">
        <v>274</v>
      </c>
      <c r="I412" s="9" t="s">
        <v>275</v>
      </c>
      <c r="J412" s="9" t="s">
        <v>67</v>
      </c>
      <c r="K412" s="9" t="s">
        <v>68</v>
      </c>
      <c r="L412" s="9" t="s">
        <v>2072</v>
      </c>
      <c r="M412" s="9" t="s">
        <v>78</v>
      </c>
      <c r="N412" s="9" t="n">
        <v>9</v>
      </c>
      <c r="O412" s="9" t="n">
        <v>1302.61</v>
      </c>
      <c r="P412" s="9" t="n">
        <v>0.2</v>
      </c>
      <c r="Q412" s="9" t="n">
        <v>9378.79</v>
      </c>
      <c r="R412" s="9" t="n">
        <v>6774.48</v>
      </c>
      <c r="S412" s="9" t="n">
        <v>2604.31</v>
      </c>
      <c r="T412" s="9" t="s">
        <v>56</v>
      </c>
      <c r="U412" s="9" t="s">
        <v>57</v>
      </c>
    </row>
    <row r="413" customFormat="false" ht="15" hidden="false" customHeight="false" outlineLevel="0" collapsed="false">
      <c r="A413" s="9" t="s">
        <v>2073</v>
      </c>
      <c r="B413" s="9" t="s">
        <v>2074</v>
      </c>
      <c r="C413" s="9" t="s">
        <v>2075</v>
      </c>
      <c r="D413" s="9" t="s">
        <v>2076</v>
      </c>
      <c r="E413" s="9" t="s">
        <v>83</v>
      </c>
      <c r="F413" s="9" t="s">
        <v>137</v>
      </c>
      <c r="G413" s="9" t="s">
        <v>95</v>
      </c>
      <c r="H413" s="9" t="s">
        <v>50</v>
      </c>
      <c r="I413" s="9" t="s">
        <v>158</v>
      </c>
      <c r="J413" s="9" t="s">
        <v>67</v>
      </c>
      <c r="K413" s="9" t="s">
        <v>68</v>
      </c>
      <c r="L413" s="9" t="s">
        <v>2077</v>
      </c>
      <c r="M413" s="9" t="s">
        <v>78</v>
      </c>
      <c r="N413" s="9" t="n">
        <v>1</v>
      </c>
      <c r="O413" s="9" t="n">
        <v>4167.81</v>
      </c>
      <c r="P413" s="9" t="n">
        <v>0.2</v>
      </c>
      <c r="Q413" s="9" t="n">
        <v>3334.25</v>
      </c>
      <c r="R413" s="9" t="n">
        <v>2768.77</v>
      </c>
      <c r="S413" s="9" t="n">
        <v>565.48</v>
      </c>
      <c r="T413" s="9" t="s">
        <v>224</v>
      </c>
      <c r="U413" s="9" t="s">
        <v>147</v>
      </c>
    </row>
    <row r="414" customFormat="false" ht="15" hidden="false" customHeight="false" outlineLevel="0" collapsed="false">
      <c r="A414" s="9" t="s">
        <v>2078</v>
      </c>
      <c r="B414" s="9" t="s">
        <v>2079</v>
      </c>
      <c r="C414" s="9" t="s">
        <v>869</v>
      </c>
      <c r="D414" s="9" t="s">
        <v>2080</v>
      </c>
      <c r="E414" s="9" t="s">
        <v>75</v>
      </c>
      <c r="F414" s="9" t="s">
        <v>130</v>
      </c>
      <c r="G414" s="9" t="s">
        <v>84</v>
      </c>
      <c r="H414" s="9" t="s">
        <v>254</v>
      </c>
      <c r="I414" s="9" t="s">
        <v>255</v>
      </c>
      <c r="J414" s="9" t="s">
        <v>67</v>
      </c>
      <c r="K414" s="9" t="s">
        <v>98</v>
      </c>
      <c r="L414" s="9" t="s">
        <v>2081</v>
      </c>
      <c r="M414" s="9" t="s">
        <v>70</v>
      </c>
      <c r="N414" s="9" t="n">
        <v>1</v>
      </c>
      <c r="O414" s="9" t="n">
        <v>2111.39</v>
      </c>
      <c r="P414" s="9" t="n">
        <v>0.25</v>
      </c>
      <c r="Q414" s="9" t="n">
        <v>1583.54</v>
      </c>
      <c r="R414" s="9" t="n">
        <v>1014.19</v>
      </c>
      <c r="S414" s="9" t="n">
        <v>569.35</v>
      </c>
      <c r="T414" s="9" t="s">
        <v>56</v>
      </c>
      <c r="U414" s="9" t="s">
        <v>57</v>
      </c>
    </row>
    <row r="415" customFormat="false" ht="15" hidden="false" customHeight="false" outlineLevel="0" collapsed="false">
      <c r="A415" s="9" t="s">
        <v>2082</v>
      </c>
      <c r="B415" s="9" t="s">
        <v>265</v>
      </c>
      <c r="C415" s="9" t="s">
        <v>2083</v>
      </c>
      <c r="D415" s="9" t="s">
        <v>2084</v>
      </c>
      <c r="E415" s="9" t="s">
        <v>115</v>
      </c>
      <c r="F415" s="9" t="s">
        <v>137</v>
      </c>
      <c r="G415" s="9" t="s">
        <v>95</v>
      </c>
      <c r="H415" s="9" t="s">
        <v>106</v>
      </c>
      <c r="I415" s="9" t="s">
        <v>107</v>
      </c>
      <c r="J415" s="9" t="s">
        <v>108</v>
      </c>
      <c r="K415" s="9" t="s">
        <v>109</v>
      </c>
      <c r="L415" s="9" t="s">
        <v>2085</v>
      </c>
      <c r="M415" s="9" t="s">
        <v>55</v>
      </c>
      <c r="N415" s="9" t="n">
        <v>8</v>
      </c>
      <c r="O415" s="9" t="n">
        <v>1918.23</v>
      </c>
      <c r="P415" s="9" t="n">
        <v>0</v>
      </c>
      <c r="Q415" s="9" t="n">
        <v>15345.84</v>
      </c>
      <c r="R415" s="9" t="n">
        <v>10735.33</v>
      </c>
      <c r="S415" s="9" t="n">
        <v>4610.51</v>
      </c>
      <c r="T415" s="9" t="s">
        <v>160</v>
      </c>
      <c r="U415" s="9" t="s">
        <v>100</v>
      </c>
    </row>
    <row r="416" customFormat="false" ht="15" hidden="false" customHeight="false" outlineLevel="0" collapsed="false">
      <c r="A416" s="9" t="s">
        <v>2086</v>
      </c>
      <c r="B416" s="9" t="s">
        <v>2087</v>
      </c>
      <c r="C416" s="9" t="s">
        <v>2088</v>
      </c>
      <c r="D416" s="9" t="s">
        <v>2089</v>
      </c>
      <c r="E416" s="9" t="s">
        <v>83</v>
      </c>
      <c r="F416" s="9" t="s">
        <v>137</v>
      </c>
      <c r="G416" s="9" t="s">
        <v>64</v>
      </c>
      <c r="H416" s="9" t="s">
        <v>240</v>
      </c>
      <c r="I416" s="9" t="s">
        <v>241</v>
      </c>
      <c r="J416" s="9" t="s">
        <v>52</v>
      </c>
      <c r="K416" s="9" t="s">
        <v>180</v>
      </c>
      <c r="L416" s="9" t="s">
        <v>2090</v>
      </c>
      <c r="M416" s="9" t="s">
        <v>78</v>
      </c>
      <c r="N416" s="9" t="n">
        <v>4</v>
      </c>
      <c r="O416" s="9" t="n">
        <v>2484.08</v>
      </c>
      <c r="P416" s="9" t="n">
        <v>0.05</v>
      </c>
      <c r="Q416" s="9" t="n">
        <v>9439.5</v>
      </c>
      <c r="R416" s="9" t="n">
        <v>5519.39</v>
      </c>
      <c r="S416" s="9" t="n">
        <v>3920.11</v>
      </c>
      <c r="T416" s="9" t="s">
        <v>56</v>
      </c>
      <c r="U416" s="9" t="s">
        <v>57</v>
      </c>
    </row>
    <row r="417" customFormat="false" ht="15" hidden="false" customHeight="false" outlineLevel="0" collapsed="false">
      <c r="A417" s="9" t="s">
        <v>2091</v>
      </c>
      <c r="B417" s="9" t="s">
        <v>2092</v>
      </c>
      <c r="C417" s="9" t="s">
        <v>2044</v>
      </c>
      <c r="D417" s="9" t="s">
        <v>2093</v>
      </c>
      <c r="E417" s="9" t="s">
        <v>186</v>
      </c>
      <c r="F417" s="9" t="s">
        <v>130</v>
      </c>
      <c r="G417" s="9" t="s">
        <v>84</v>
      </c>
      <c r="H417" s="9" t="s">
        <v>254</v>
      </c>
      <c r="I417" s="9" t="s">
        <v>255</v>
      </c>
      <c r="J417" s="9" t="s">
        <v>52</v>
      </c>
      <c r="K417" s="9" t="s">
        <v>180</v>
      </c>
      <c r="L417" s="9" t="s">
        <v>2094</v>
      </c>
      <c r="M417" s="9" t="s">
        <v>70</v>
      </c>
      <c r="N417" s="9" t="n">
        <v>7</v>
      </c>
      <c r="O417" s="9" t="n">
        <v>1727.26</v>
      </c>
      <c r="P417" s="9" t="n">
        <v>0.15</v>
      </c>
      <c r="Q417" s="9" t="n">
        <v>10277.2</v>
      </c>
      <c r="R417" s="9" t="n">
        <v>7906.5</v>
      </c>
      <c r="S417" s="9" t="n">
        <v>2370.7</v>
      </c>
      <c r="T417" s="9" t="s">
        <v>56</v>
      </c>
      <c r="U417" s="9" t="s">
        <v>147</v>
      </c>
    </row>
    <row r="418" customFormat="false" ht="15" hidden="false" customHeight="false" outlineLevel="0" collapsed="false">
      <c r="A418" s="9" t="s">
        <v>2095</v>
      </c>
      <c r="B418" s="9" t="s">
        <v>2096</v>
      </c>
      <c r="C418" s="9" t="s">
        <v>2097</v>
      </c>
      <c r="D418" s="9" t="s">
        <v>2098</v>
      </c>
      <c r="E418" s="9" t="s">
        <v>115</v>
      </c>
      <c r="F418" s="9" t="s">
        <v>48</v>
      </c>
      <c r="G418" s="9" t="s">
        <v>84</v>
      </c>
      <c r="H418" s="9" t="s">
        <v>85</v>
      </c>
      <c r="I418" s="9" t="s">
        <v>86</v>
      </c>
      <c r="J418" s="9" t="s">
        <v>802</v>
      </c>
      <c r="K418" s="9" t="s">
        <v>87</v>
      </c>
      <c r="L418" s="9" t="s">
        <v>2099</v>
      </c>
      <c r="M418" s="9" t="s">
        <v>78</v>
      </c>
      <c r="N418" s="9" t="n">
        <v>8</v>
      </c>
      <c r="O418" s="9" t="n">
        <v>638.95</v>
      </c>
      <c r="P418" s="9" t="n">
        <v>0.25</v>
      </c>
      <c r="Q418" s="9" t="n">
        <v>3833.7</v>
      </c>
      <c r="R418" s="9" t="n">
        <v>2886.35</v>
      </c>
      <c r="S418" s="9" t="n">
        <v>947.35</v>
      </c>
      <c r="T418" s="9" t="s">
        <v>56</v>
      </c>
      <c r="U418" s="9" t="s">
        <v>57</v>
      </c>
    </row>
    <row r="419" customFormat="false" ht="15" hidden="false" customHeight="false" outlineLevel="0" collapsed="false">
      <c r="A419" s="9" t="s">
        <v>2100</v>
      </c>
      <c r="B419" s="9" t="s">
        <v>1834</v>
      </c>
      <c r="C419" s="9" t="s">
        <v>2101</v>
      </c>
      <c r="D419" s="9" t="s">
        <v>2102</v>
      </c>
      <c r="E419" s="9" t="s">
        <v>62</v>
      </c>
      <c r="F419" s="9" t="s">
        <v>48</v>
      </c>
      <c r="G419" s="9" t="s">
        <v>95</v>
      </c>
      <c r="H419" s="9" t="s">
        <v>260</v>
      </c>
      <c r="I419" s="9" t="s">
        <v>261</v>
      </c>
      <c r="J419" s="9" t="s">
        <v>52</v>
      </c>
      <c r="K419" s="9" t="s">
        <v>76</v>
      </c>
      <c r="L419" s="9" t="s">
        <v>2103</v>
      </c>
      <c r="M419" s="9" t="s">
        <v>78</v>
      </c>
      <c r="N419" s="9" t="n">
        <v>6</v>
      </c>
      <c r="O419" s="9" t="n">
        <v>3863</v>
      </c>
      <c r="P419" s="9" t="n">
        <v>0.2</v>
      </c>
      <c r="Q419" s="9" t="n">
        <v>18542.4</v>
      </c>
      <c r="R419" s="9" t="n">
        <v>11193.75</v>
      </c>
      <c r="S419" s="9" t="n">
        <v>7348.65</v>
      </c>
      <c r="T419" s="9" t="s">
        <v>56</v>
      </c>
      <c r="U419" s="9" t="s">
        <v>57</v>
      </c>
    </row>
    <row r="420" customFormat="false" ht="15" hidden="false" customHeight="false" outlineLevel="0" collapsed="false">
      <c r="A420" s="9" t="s">
        <v>2104</v>
      </c>
      <c r="B420" s="9" t="s">
        <v>2105</v>
      </c>
      <c r="C420" s="9" t="s">
        <v>2106</v>
      </c>
      <c r="D420" s="9" t="s">
        <v>2107</v>
      </c>
      <c r="E420" s="9" t="s">
        <v>192</v>
      </c>
      <c r="F420" s="9" t="s">
        <v>130</v>
      </c>
      <c r="G420" s="9" t="s">
        <v>64</v>
      </c>
      <c r="H420" s="9" t="s">
        <v>65</v>
      </c>
      <c r="I420" s="9" t="s">
        <v>66</v>
      </c>
      <c r="J420" s="9" t="s">
        <v>108</v>
      </c>
      <c r="K420" s="9" t="s">
        <v>116</v>
      </c>
      <c r="L420" s="9" t="s">
        <v>2108</v>
      </c>
      <c r="M420" s="9" t="s">
        <v>89</v>
      </c>
      <c r="N420" s="9" t="n">
        <v>6</v>
      </c>
      <c r="O420" s="9" t="n">
        <v>3660.4</v>
      </c>
      <c r="P420" s="9" t="n">
        <v>0</v>
      </c>
      <c r="Q420" s="9" t="n">
        <v>21962.4</v>
      </c>
      <c r="R420" s="9" t="n">
        <v>15331.99</v>
      </c>
      <c r="S420" s="9" t="n">
        <v>6630.41</v>
      </c>
      <c r="T420" s="9" t="s">
        <v>224</v>
      </c>
      <c r="U420" s="9" t="s">
        <v>100</v>
      </c>
    </row>
    <row r="421" customFormat="false" ht="15" hidden="false" customHeight="false" outlineLevel="0" collapsed="false">
      <c r="A421" s="9" t="s">
        <v>2109</v>
      </c>
      <c r="B421" s="9" t="s">
        <v>2110</v>
      </c>
      <c r="C421" s="9" t="s">
        <v>2111</v>
      </c>
      <c r="D421" s="9" t="s">
        <v>2112</v>
      </c>
      <c r="E421" s="9" t="s">
        <v>192</v>
      </c>
      <c r="F421" s="9" t="s">
        <v>137</v>
      </c>
      <c r="G421" s="9" t="s">
        <v>177</v>
      </c>
      <c r="H421" s="9" t="s">
        <v>348</v>
      </c>
      <c r="I421" s="9" t="s">
        <v>349</v>
      </c>
      <c r="J421" s="9" t="s">
        <v>108</v>
      </c>
      <c r="K421" s="9" t="s">
        <v>247</v>
      </c>
      <c r="L421" s="9" t="s">
        <v>2113</v>
      </c>
      <c r="M421" s="9" t="s">
        <v>70</v>
      </c>
      <c r="N421" s="9" t="n">
        <v>2</v>
      </c>
      <c r="O421" s="9" t="n">
        <v>688.83</v>
      </c>
      <c r="P421" s="9" t="n">
        <v>0.05</v>
      </c>
      <c r="Q421" s="9" t="n">
        <v>1308.78</v>
      </c>
      <c r="R421" s="9" t="n">
        <v>843</v>
      </c>
      <c r="S421" s="9" t="n">
        <v>465.78</v>
      </c>
      <c r="T421" s="9" t="s">
        <v>56</v>
      </c>
      <c r="U421" s="9" t="s">
        <v>57</v>
      </c>
    </row>
    <row r="422" customFormat="false" ht="15" hidden="false" customHeight="false" outlineLevel="0" collapsed="false">
      <c r="A422" s="9" t="s">
        <v>2114</v>
      </c>
      <c r="B422" s="9" t="s">
        <v>998</v>
      </c>
      <c r="C422" s="9" t="s">
        <v>2115</v>
      </c>
      <c r="D422" s="9" t="s">
        <v>2116</v>
      </c>
      <c r="E422" s="9" t="s">
        <v>75</v>
      </c>
      <c r="F422" s="9" t="s">
        <v>130</v>
      </c>
      <c r="G422" s="9" t="s">
        <v>84</v>
      </c>
      <c r="H422" s="9" t="s">
        <v>364</v>
      </c>
      <c r="I422" s="9" t="s">
        <v>365</v>
      </c>
      <c r="J422" s="9" t="s">
        <v>108</v>
      </c>
      <c r="K422" s="9" t="s">
        <v>409</v>
      </c>
      <c r="L422" s="9" t="s">
        <v>2117</v>
      </c>
      <c r="M422" s="9" t="s">
        <v>89</v>
      </c>
      <c r="N422" s="9" t="n">
        <v>2</v>
      </c>
      <c r="O422" s="9" t="n">
        <v>1209.99</v>
      </c>
      <c r="P422" s="9" t="n">
        <v>0.25</v>
      </c>
      <c r="Q422" s="9" t="n">
        <v>1814.99</v>
      </c>
      <c r="R422" s="9" t="n">
        <v>1120.06</v>
      </c>
      <c r="S422" s="9" t="n">
        <v>694.93</v>
      </c>
      <c r="T422" s="9" t="s">
        <v>160</v>
      </c>
      <c r="U422" s="9" t="s">
        <v>100</v>
      </c>
    </row>
    <row r="423" customFormat="false" ht="15" hidden="false" customHeight="false" outlineLevel="0" collapsed="false">
      <c r="A423" s="9" t="s">
        <v>2118</v>
      </c>
      <c r="B423" s="9" t="s">
        <v>2119</v>
      </c>
      <c r="C423" s="9" t="s">
        <v>2120</v>
      </c>
      <c r="D423" s="9" t="s">
        <v>2121</v>
      </c>
      <c r="E423" s="9" t="s">
        <v>204</v>
      </c>
      <c r="F423" s="9" t="s">
        <v>63</v>
      </c>
      <c r="G423" s="9" t="s">
        <v>177</v>
      </c>
      <c r="H423" s="9" t="s">
        <v>535</v>
      </c>
      <c r="I423" s="9" t="s">
        <v>536</v>
      </c>
      <c r="J423" s="9" t="s">
        <v>52</v>
      </c>
      <c r="K423" s="9" t="s">
        <v>222</v>
      </c>
      <c r="L423" s="9" t="s">
        <v>2122</v>
      </c>
      <c r="M423" s="9" t="s">
        <v>70</v>
      </c>
      <c r="N423" s="9" t="n">
        <v>3</v>
      </c>
      <c r="O423" s="9" t="n">
        <v>1037.45</v>
      </c>
      <c r="P423" s="9" t="n">
        <v>0.2</v>
      </c>
      <c r="Q423" s="9" t="n">
        <v>2489.88</v>
      </c>
      <c r="R423" s="9" t="n">
        <v>1707.52</v>
      </c>
      <c r="S423" s="9" t="n">
        <v>782.36</v>
      </c>
      <c r="T423" s="9" t="s">
        <v>160</v>
      </c>
      <c r="U423" s="9" t="s">
        <v>147</v>
      </c>
    </row>
    <row r="424" customFormat="false" ht="15" hidden="false" customHeight="false" outlineLevel="0" collapsed="false">
      <c r="A424" s="9" t="s">
        <v>2123</v>
      </c>
      <c r="B424" s="9" t="s">
        <v>2124</v>
      </c>
      <c r="C424" s="9" t="s">
        <v>2125</v>
      </c>
      <c r="D424" s="9" t="s">
        <v>2126</v>
      </c>
      <c r="E424" s="9" t="s">
        <v>393</v>
      </c>
      <c r="F424" s="9" t="s">
        <v>48</v>
      </c>
      <c r="G424" s="9" t="s">
        <v>95</v>
      </c>
      <c r="H424" s="9" t="s">
        <v>106</v>
      </c>
      <c r="I424" s="9" t="s">
        <v>107</v>
      </c>
      <c r="J424" s="9" t="s">
        <v>108</v>
      </c>
      <c r="K424" s="9" t="s">
        <v>116</v>
      </c>
      <c r="L424" s="9" t="s">
        <v>2127</v>
      </c>
      <c r="M424" s="9" t="s">
        <v>70</v>
      </c>
      <c r="N424" s="9" t="n">
        <v>7</v>
      </c>
      <c r="O424" s="9" t="n">
        <v>688.85</v>
      </c>
      <c r="P424" s="9" t="n">
        <v>0.15</v>
      </c>
      <c r="Q424" s="9" t="n">
        <v>4098.66</v>
      </c>
      <c r="R424" s="9" t="n">
        <v>2678.06</v>
      </c>
      <c r="S424" s="9" t="n">
        <v>1420.6</v>
      </c>
      <c r="T424" s="9" t="s">
        <v>56</v>
      </c>
      <c r="U424" s="9" t="s">
        <v>57</v>
      </c>
    </row>
    <row r="425" customFormat="false" ht="15" hidden="false" customHeight="false" outlineLevel="0" collapsed="false">
      <c r="A425" s="9" t="s">
        <v>2128</v>
      </c>
      <c r="B425" s="9" t="s">
        <v>2129</v>
      </c>
      <c r="C425" s="9" t="s">
        <v>2130</v>
      </c>
      <c r="D425" s="9" t="s">
        <v>2131</v>
      </c>
      <c r="E425" s="9" t="s">
        <v>234</v>
      </c>
      <c r="F425" s="9" t="s">
        <v>48</v>
      </c>
      <c r="G425" s="9" t="s">
        <v>84</v>
      </c>
      <c r="H425" s="9" t="s">
        <v>267</v>
      </c>
      <c r="I425" s="9" t="s">
        <v>268</v>
      </c>
      <c r="J425" s="9" t="s">
        <v>108</v>
      </c>
      <c r="K425" s="9" t="s">
        <v>109</v>
      </c>
      <c r="L425" s="9" t="s">
        <v>2132</v>
      </c>
      <c r="M425" s="9" t="s">
        <v>2133</v>
      </c>
      <c r="N425" s="9" t="n">
        <v>9</v>
      </c>
      <c r="O425" s="9" t="n">
        <v>3779.31</v>
      </c>
      <c r="P425" s="9" t="n">
        <v>0.2</v>
      </c>
      <c r="Q425" s="9" t="n">
        <v>27211.03</v>
      </c>
      <c r="R425" s="9" t="n">
        <v>17940.43</v>
      </c>
      <c r="S425" s="9" t="n">
        <v>9270.6</v>
      </c>
      <c r="T425" s="9" t="s">
        <v>56</v>
      </c>
      <c r="U425" s="9" t="s">
        <v>57</v>
      </c>
    </row>
    <row r="426" customFormat="false" ht="15" hidden="false" customHeight="false" outlineLevel="0" collapsed="false">
      <c r="A426" s="9" t="s">
        <v>2134</v>
      </c>
      <c r="B426" s="9" t="s">
        <v>2135</v>
      </c>
      <c r="C426" s="9" t="s">
        <v>2136</v>
      </c>
      <c r="D426" s="9" t="s">
        <v>2137</v>
      </c>
      <c r="E426" s="9" t="s">
        <v>115</v>
      </c>
      <c r="F426" s="9" t="s">
        <v>130</v>
      </c>
      <c r="G426" s="9" t="s">
        <v>177</v>
      </c>
      <c r="H426" s="9" t="s">
        <v>178</v>
      </c>
      <c r="I426" s="9" t="s">
        <v>179</v>
      </c>
      <c r="J426" s="9" t="s">
        <v>108</v>
      </c>
      <c r="K426" s="9" t="s">
        <v>247</v>
      </c>
      <c r="L426" s="9" t="s">
        <v>2138</v>
      </c>
      <c r="M426" s="9" t="s">
        <v>89</v>
      </c>
      <c r="N426" s="9" t="n">
        <v>8</v>
      </c>
      <c r="O426" s="9" t="n">
        <v>804.52</v>
      </c>
      <c r="P426" s="9" t="n">
        <v>0</v>
      </c>
      <c r="Q426" s="9" t="n">
        <v>6436.16</v>
      </c>
      <c r="R426" s="9" t="n">
        <v>4263.83</v>
      </c>
      <c r="S426" s="9" t="n">
        <v>2172.33</v>
      </c>
      <c r="T426" s="9" t="s">
        <v>56</v>
      </c>
      <c r="U426" s="9" t="s">
        <v>57</v>
      </c>
    </row>
    <row r="427" customFormat="false" ht="15" hidden="false" customHeight="false" outlineLevel="0" collapsed="false">
      <c r="A427" s="9" t="s">
        <v>2139</v>
      </c>
      <c r="B427" s="9" t="s">
        <v>2140</v>
      </c>
      <c r="C427" s="9" t="s">
        <v>2141</v>
      </c>
      <c r="D427" s="9" t="s">
        <v>2142</v>
      </c>
      <c r="E427" s="9" t="s">
        <v>75</v>
      </c>
      <c r="F427" s="9" t="s">
        <v>137</v>
      </c>
      <c r="G427" s="9" t="s">
        <v>177</v>
      </c>
      <c r="H427" s="9" t="s">
        <v>535</v>
      </c>
      <c r="I427" s="9" t="s">
        <v>536</v>
      </c>
      <c r="J427" s="9" t="s">
        <v>52</v>
      </c>
      <c r="K427" s="9" t="s">
        <v>131</v>
      </c>
      <c r="L427" s="9" t="s">
        <v>2143</v>
      </c>
      <c r="M427" s="9" t="s">
        <v>78</v>
      </c>
      <c r="N427" s="9" t="n">
        <v>2</v>
      </c>
      <c r="O427" s="9" t="n">
        <v>1065.69</v>
      </c>
      <c r="P427" s="9" t="n">
        <v>0.1</v>
      </c>
      <c r="Q427" s="9" t="n">
        <v>1918.24</v>
      </c>
      <c r="R427" s="9" t="n">
        <v>1373.52</v>
      </c>
      <c r="S427" s="9" t="n">
        <v>544.72</v>
      </c>
      <c r="T427" s="9" t="s">
        <v>146</v>
      </c>
      <c r="U427" s="9" t="s">
        <v>100</v>
      </c>
    </row>
    <row r="428" customFormat="false" ht="15" hidden="false" customHeight="false" outlineLevel="0" collapsed="false">
      <c r="A428" s="9" t="s">
        <v>2144</v>
      </c>
      <c r="B428" s="9" t="s">
        <v>2145</v>
      </c>
      <c r="C428" s="9" t="s">
        <v>2146</v>
      </c>
      <c r="D428" s="9" t="s">
        <v>2147</v>
      </c>
      <c r="E428" s="9" t="s">
        <v>129</v>
      </c>
      <c r="F428" s="9" t="s">
        <v>48</v>
      </c>
      <c r="G428" s="9" t="s">
        <v>177</v>
      </c>
      <c r="H428" s="9" t="s">
        <v>348</v>
      </c>
      <c r="I428" s="9" t="s">
        <v>349</v>
      </c>
      <c r="J428" s="9" t="s">
        <v>108</v>
      </c>
      <c r="K428" s="9" t="s">
        <v>116</v>
      </c>
      <c r="L428" s="9" t="s">
        <v>2148</v>
      </c>
      <c r="M428" s="9" t="s">
        <v>70</v>
      </c>
      <c r="N428" s="9" t="n">
        <v>8</v>
      </c>
      <c r="O428" s="9" t="n">
        <v>3756.66</v>
      </c>
      <c r="P428" s="9" t="n">
        <v>0.1</v>
      </c>
      <c r="Q428" s="9" t="n">
        <v>27047.95</v>
      </c>
      <c r="R428" s="9" t="n">
        <v>18431.33</v>
      </c>
      <c r="S428" s="9" t="n">
        <v>8616.62</v>
      </c>
      <c r="T428" s="9" t="s">
        <v>56</v>
      </c>
      <c r="U428" s="9" t="s">
        <v>57</v>
      </c>
    </row>
    <row r="429" customFormat="false" ht="15" hidden="false" customHeight="false" outlineLevel="0" collapsed="false">
      <c r="A429" s="9" t="s">
        <v>2149</v>
      </c>
      <c r="B429" s="9" t="s">
        <v>2150</v>
      </c>
      <c r="C429" s="9" t="s">
        <v>2151</v>
      </c>
      <c r="D429" s="9" t="s">
        <v>2152</v>
      </c>
      <c r="E429" s="9" t="s">
        <v>75</v>
      </c>
      <c r="F429" s="9" t="s">
        <v>130</v>
      </c>
      <c r="G429" s="9"/>
      <c r="H429" s="9" t="s">
        <v>336</v>
      </c>
      <c r="I429" s="9" t="s">
        <v>337</v>
      </c>
      <c r="J429" s="9" t="s">
        <v>108</v>
      </c>
      <c r="K429" s="9" t="s">
        <v>109</v>
      </c>
      <c r="L429" s="9" t="s">
        <v>2153</v>
      </c>
      <c r="M429" s="9" t="s">
        <v>311</v>
      </c>
      <c r="N429" s="9" t="n">
        <v>9</v>
      </c>
      <c r="O429" s="9" t="n">
        <v>2939.44</v>
      </c>
      <c r="P429" s="9" t="n">
        <v>0</v>
      </c>
      <c r="Q429" s="9" t="n">
        <v>26454.96</v>
      </c>
      <c r="R429" s="9" t="n">
        <v>17630.25</v>
      </c>
      <c r="S429" s="9" t="n">
        <v>8824.71</v>
      </c>
      <c r="T429" s="9" t="s">
        <v>56</v>
      </c>
      <c r="U429" s="9" t="s">
        <v>57</v>
      </c>
    </row>
    <row r="430" customFormat="false" ht="15" hidden="false" customHeight="false" outlineLevel="0" collapsed="false">
      <c r="A430" s="9" t="s">
        <v>2154</v>
      </c>
      <c r="B430" s="9" t="s">
        <v>2155</v>
      </c>
      <c r="C430" s="9" t="s">
        <v>2156</v>
      </c>
      <c r="D430" s="9" t="s">
        <v>2157</v>
      </c>
      <c r="E430" s="9" t="s">
        <v>47</v>
      </c>
      <c r="F430" s="9" t="s">
        <v>63</v>
      </c>
      <c r="G430" s="9" t="s">
        <v>64</v>
      </c>
      <c r="H430" s="9" t="s">
        <v>143</v>
      </c>
      <c r="I430" s="9" t="s">
        <v>144</v>
      </c>
      <c r="J430" s="9" t="s">
        <v>108</v>
      </c>
      <c r="K430" s="9" t="s">
        <v>247</v>
      </c>
      <c r="L430" s="9" t="s">
        <v>2158</v>
      </c>
      <c r="M430" s="9" t="s">
        <v>70</v>
      </c>
      <c r="N430" s="9" t="n">
        <v>2</v>
      </c>
      <c r="O430" s="9" t="n">
        <v>1235.93</v>
      </c>
      <c r="P430" s="9" t="n">
        <v>0.25</v>
      </c>
      <c r="Q430" s="9" t="n">
        <v>1853.89</v>
      </c>
      <c r="R430" s="9" t="n">
        <v>1101.23</v>
      </c>
      <c r="S430" s="9" t="n">
        <v>752.66</v>
      </c>
      <c r="T430" s="9" t="s">
        <v>160</v>
      </c>
      <c r="U430" s="9" t="s">
        <v>100</v>
      </c>
    </row>
    <row r="431" customFormat="false" ht="15" hidden="false" customHeight="false" outlineLevel="0" collapsed="false">
      <c r="A431" s="9" t="s">
        <v>2159</v>
      </c>
      <c r="B431" s="9" t="s">
        <v>2160</v>
      </c>
      <c r="C431" s="9" t="s">
        <v>2161</v>
      </c>
      <c r="D431" s="9" t="s">
        <v>2162</v>
      </c>
      <c r="E431" s="9" t="s">
        <v>115</v>
      </c>
      <c r="F431" s="9" t="s">
        <v>137</v>
      </c>
      <c r="G431" s="9" t="s">
        <v>177</v>
      </c>
      <c r="H431" s="9" t="s">
        <v>50</v>
      </c>
      <c r="I431" s="9" t="s">
        <v>51</v>
      </c>
      <c r="J431" s="9" t="s">
        <v>108</v>
      </c>
      <c r="K431" s="9" t="s">
        <v>116</v>
      </c>
      <c r="L431" s="9" t="s">
        <v>2163</v>
      </c>
      <c r="M431" s="9" t="s">
        <v>70</v>
      </c>
      <c r="N431" s="9" t="n">
        <v>8</v>
      </c>
      <c r="O431" s="9" t="n">
        <v>2943.1</v>
      </c>
      <c r="P431" s="9" t="n">
        <v>0.25</v>
      </c>
      <c r="Q431" s="9" t="n">
        <v>17658.6</v>
      </c>
      <c r="R431" s="9" t="n">
        <v>13842.48</v>
      </c>
      <c r="S431" s="9" t="n">
        <v>3816.12</v>
      </c>
      <c r="T431" s="9" t="s">
        <v>56</v>
      </c>
      <c r="U431" s="9" t="s">
        <v>57</v>
      </c>
    </row>
    <row r="432" customFormat="false" ht="15" hidden="false" customHeight="false" outlineLevel="0" collapsed="false">
      <c r="A432" s="9" t="s">
        <v>2164</v>
      </c>
      <c r="B432" s="9" t="s">
        <v>2165</v>
      </c>
      <c r="C432" s="9" t="s">
        <v>2166</v>
      </c>
      <c r="D432" s="9" t="s">
        <v>2167</v>
      </c>
      <c r="E432" s="9" t="s">
        <v>115</v>
      </c>
      <c r="F432" s="9" t="s">
        <v>63</v>
      </c>
      <c r="G432" s="9" t="s">
        <v>177</v>
      </c>
      <c r="H432" s="9" t="s">
        <v>348</v>
      </c>
      <c r="I432" s="9" t="s">
        <v>349</v>
      </c>
      <c r="J432" s="9" t="s">
        <v>2168</v>
      </c>
      <c r="K432" s="9" t="s">
        <v>53</v>
      </c>
      <c r="L432" s="9" t="s">
        <v>2169</v>
      </c>
      <c r="M432" s="9" t="s">
        <v>55</v>
      </c>
      <c r="N432" s="9" t="n">
        <v>1</v>
      </c>
      <c r="O432" s="9" t="n">
        <v>4320.84</v>
      </c>
      <c r="P432" s="9" t="n">
        <v>0.15</v>
      </c>
      <c r="Q432" s="9" t="n">
        <v>3672.71</v>
      </c>
      <c r="R432" s="9" t="n">
        <v>2714.23</v>
      </c>
      <c r="S432" s="9" t="n">
        <v>763.38</v>
      </c>
      <c r="T432" s="9" t="s">
        <v>56</v>
      </c>
      <c r="U432" s="9" t="s">
        <v>57</v>
      </c>
    </row>
    <row r="433" customFormat="false" ht="15" hidden="false" customHeight="false" outlineLevel="0" collapsed="false">
      <c r="A433" s="9" t="s">
        <v>2170</v>
      </c>
      <c r="B433" s="9" t="s">
        <v>2171</v>
      </c>
      <c r="C433" s="9" t="s">
        <v>2172</v>
      </c>
      <c r="D433" s="9" t="s">
        <v>2173</v>
      </c>
      <c r="E433" s="9" t="s">
        <v>47</v>
      </c>
      <c r="F433" s="9" t="s">
        <v>137</v>
      </c>
      <c r="G433" s="9" t="s">
        <v>95</v>
      </c>
      <c r="H433" s="9" t="s">
        <v>274</v>
      </c>
      <c r="I433" s="9" t="s">
        <v>275</v>
      </c>
      <c r="J433" s="9" t="s">
        <v>108</v>
      </c>
      <c r="K433" s="9" t="s">
        <v>409</v>
      </c>
      <c r="L433" s="9" t="s">
        <v>2174</v>
      </c>
      <c r="M433" s="9" t="s">
        <v>70</v>
      </c>
      <c r="N433" s="9" t="n">
        <v>2</v>
      </c>
      <c r="O433" s="9" t="n">
        <v>4118.45</v>
      </c>
      <c r="P433" s="9" t="n">
        <v>0.25</v>
      </c>
      <c r="Q433" s="9" t="n">
        <v>6177.67</v>
      </c>
      <c r="R433" s="9" t="n">
        <v>4520.75</v>
      </c>
      <c r="S433" s="9" t="n">
        <v>1656.92</v>
      </c>
      <c r="T433" s="9" t="s">
        <v>56</v>
      </c>
      <c r="U433" s="9" t="s">
        <v>57</v>
      </c>
    </row>
    <row r="434" customFormat="false" ht="15" hidden="false" customHeight="false" outlineLevel="0" collapsed="false">
      <c r="A434" s="9" t="s">
        <v>2175</v>
      </c>
      <c r="B434" s="9" t="s">
        <v>1990</v>
      </c>
      <c r="C434" s="9" t="s">
        <v>2166</v>
      </c>
      <c r="D434" s="9" t="s">
        <v>2176</v>
      </c>
      <c r="E434" s="9" t="s">
        <v>165</v>
      </c>
      <c r="F434" s="9" t="s">
        <v>63</v>
      </c>
      <c r="G434" s="9" t="s">
        <v>95</v>
      </c>
      <c r="H434" s="9" t="s">
        <v>96</v>
      </c>
      <c r="I434" s="9" t="s">
        <v>97</v>
      </c>
      <c r="J434" s="9" t="s">
        <v>67</v>
      </c>
      <c r="K434" s="9" t="s">
        <v>228</v>
      </c>
      <c r="L434" s="9" t="s">
        <v>2177</v>
      </c>
      <c r="M434" s="9" t="s">
        <v>89</v>
      </c>
      <c r="N434" s="9" t="n">
        <v>6</v>
      </c>
      <c r="O434" s="9" t="n">
        <v>172.82</v>
      </c>
      <c r="P434" s="9" t="n">
        <v>0.05</v>
      </c>
      <c r="Q434" s="9" t="n">
        <v>985.07</v>
      </c>
      <c r="R434" s="9" t="n">
        <v>844.48</v>
      </c>
      <c r="S434" s="9" t="n">
        <v>140.59</v>
      </c>
      <c r="T434" s="9" t="s">
        <v>56</v>
      </c>
      <c r="U434" s="9" t="s">
        <v>57</v>
      </c>
    </row>
    <row r="435" customFormat="false" ht="15" hidden="false" customHeight="false" outlineLevel="0" collapsed="false">
      <c r="A435" s="9" t="s">
        <v>2178</v>
      </c>
      <c r="B435" s="9" t="s">
        <v>2179</v>
      </c>
      <c r="C435" s="9" t="s">
        <v>2180</v>
      </c>
      <c r="D435" s="9" t="s">
        <v>2181</v>
      </c>
      <c r="E435" s="9" t="s">
        <v>165</v>
      </c>
      <c r="F435" s="9" t="s">
        <v>130</v>
      </c>
      <c r="G435" s="9" t="s">
        <v>84</v>
      </c>
      <c r="H435" s="9" t="s">
        <v>267</v>
      </c>
      <c r="I435" s="9" t="s">
        <v>268</v>
      </c>
      <c r="J435" s="9" t="s">
        <v>52</v>
      </c>
      <c r="K435" s="9" t="s">
        <v>76</v>
      </c>
      <c r="L435" s="9" t="s">
        <v>2182</v>
      </c>
      <c r="M435" s="9" t="s">
        <v>55</v>
      </c>
      <c r="N435" s="9" t="n">
        <v>4</v>
      </c>
      <c r="O435" s="9" t="n">
        <v>1540.22</v>
      </c>
      <c r="P435" s="9" t="n">
        <v>0</v>
      </c>
      <c r="Q435" s="9" t="n">
        <v>6160.88</v>
      </c>
      <c r="R435" s="9" t="n">
        <v>4938.7</v>
      </c>
      <c r="S435" s="9" t="n">
        <v>1222.18</v>
      </c>
      <c r="T435" s="9" t="s">
        <v>146</v>
      </c>
      <c r="U435" s="9" t="s">
        <v>147</v>
      </c>
    </row>
    <row r="436" customFormat="false" ht="15" hidden="false" customHeight="false" outlineLevel="0" collapsed="false">
      <c r="A436" s="9" t="s">
        <v>2183</v>
      </c>
      <c r="B436" s="9" t="s">
        <v>2184</v>
      </c>
      <c r="C436" s="9" t="s">
        <v>2185</v>
      </c>
      <c r="D436" s="9" t="s">
        <v>2186</v>
      </c>
      <c r="E436" s="9" t="s">
        <v>62</v>
      </c>
      <c r="F436" s="9" t="s">
        <v>137</v>
      </c>
      <c r="G436" s="9" t="s">
        <v>177</v>
      </c>
      <c r="H436" s="9" t="s">
        <v>198</v>
      </c>
      <c r="I436" s="9" t="s">
        <v>199</v>
      </c>
      <c r="J436" s="9" t="s">
        <v>108</v>
      </c>
      <c r="K436" s="9" t="s">
        <v>109</v>
      </c>
      <c r="L436" s="9" t="s">
        <v>2187</v>
      </c>
      <c r="M436" s="9" t="s">
        <v>55</v>
      </c>
      <c r="N436" s="9" t="n">
        <v>5</v>
      </c>
      <c r="O436" s="9" t="n">
        <v>652.78</v>
      </c>
      <c r="P436" s="9" t="n">
        <v>0</v>
      </c>
      <c r="Q436" s="9" t="n">
        <v>3263.9</v>
      </c>
      <c r="R436" s="9" t="n">
        <v>2068.44</v>
      </c>
      <c r="S436" s="9" t="n">
        <v>1195.46</v>
      </c>
      <c r="T436" s="9" t="s">
        <v>56</v>
      </c>
      <c r="U436" s="9" t="s">
        <v>57</v>
      </c>
    </row>
    <row r="437" customFormat="false" ht="15" hidden="false" customHeight="false" outlineLevel="0" collapsed="false">
      <c r="A437" s="9" t="s">
        <v>2188</v>
      </c>
      <c r="B437" s="9" t="s">
        <v>2189</v>
      </c>
      <c r="C437" s="9" t="s">
        <v>1063</v>
      </c>
      <c r="D437" s="9" t="s">
        <v>2190</v>
      </c>
      <c r="E437" s="9" t="s">
        <v>393</v>
      </c>
      <c r="F437" s="9" t="s">
        <v>137</v>
      </c>
      <c r="G437" s="9" t="s">
        <v>177</v>
      </c>
      <c r="H437" s="9" t="s">
        <v>535</v>
      </c>
      <c r="I437" s="9" t="s">
        <v>536</v>
      </c>
      <c r="J437" s="9" t="s">
        <v>108</v>
      </c>
      <c r="K437" s="9" t="s">
        <v>409</v>
      </c>
      <c r="L437" s="9" t="s">
        <v>2191</v>
      </c>
      <c r="M437" s="9" t="s">
        <v>89</v>
      </c>
      <c r="N437" s="9" t="n">
        <v>1</v>
      </c>
      <c r="O437" s="9" t="n">
        <v>2737.71</v>
      </c>
      <c r="P437" s="9" t="n">
        <v>0.15</v>
      </c>
      <c r="Q437" s="9" t="n">
        <v>2327.05</v>
      </c>
      <c r="R437" s="9" t="n">
        <v>1919.42</v>
      </c>
      <c r="S437" s="9" t="n">
        <v>407.63</v>
      </c>
      <c r="T437" s="9" t="s">
        <v>56</v>
      </c>
      <c r="U437" s="9" t="s">
        <v>100</v>
      </c>
    </row>
    <row r="438" customFormat="false" ht="15" hidden="false" customHeight="false" outlineLevel="0" collapsed="false">
      <c r="A438" s="9" t="s">
        <v>2192</v>
      </c>
      <c r="B438" s="9" t="s">
        <v>2193</v>
      </c>
      <c r="C438" s="9" t="s">
        <v>2194</v>
      </c>
      <c r="D438" s="9" t="s">
        <v>2195</v>
      </c>
      <c r="E438" s="9" t="s">
        <v>115</v>
      </c>
      <c r="F438" s="9" t="s">
        <v>48</v>
      </c>
      <c r="G438" s="9" t="s">
        <v>84</v>
      </c>
      <c r="H438" s="9" t="s">
        <v>267</v>
      </c>
      <c r="I438" s="9" t="s">
        <v>268</v>
      </c>
      <c r="J438" s="9" t="s">
        <v>67</v>
      </c>
      <c r="K438" s="9" t="s">
        <v>87</v>
      </c>
      <c r="L438" s="9" t="s">
        <v>2196</v>
      </c>
      <c r="M438" s="9" t="s">
        <v>70</v>
      </c>
      <c r="N438" s="9" t="n">
        <v>6</v>
      </c>
      <c r="O438" s="9" t="n">
        <v>1156.78</v>
      </c>
      <c r="P438" s="9" t="n">
        <v>0.05</v>
      </c>
      <c r="Q438" s="9" t="n">
        <v>6593.65</v>
      </c>
      <c r="R438" s="9" t="n">
        <v>4359.39</v>
      </c>
      <c r="S438" s="9" t="n">
        <v>2234.26</v>
      </c>
      <c r="T438" s="9" t="s">
        <v>56</v>
      </c>
      <c r="U438" s="9" t="s">
        <v>147</v>
      </c>
    </row>
    <row r="439" customFormat="false" ht="15" hidden="false" customHeight="false" outlineLevel="0" collapsed="false">
      <c r="A439" s="9" t="s">
        <v>2197</v>
      </c>
      <c r="B439" s="9" t="s">
        <v>2198</v>
      </c>
      <c r="C439" s="9" t="s">
        <v>2199</v>
      </c>
      <c r="D439" s="9" t="s">
        <v>2200</v>
      </c>
      <c r="E439" s="9" t="s">
        <v>129</v>
      </c>
      <c r="F439" s="9" t="s">
        <v>63</v>
      </c>
      <c r="G439" s="9" t="s">
        <v>84</v>
      </c>
      <c r="H439" s="9" t="s">
        <v>267</v>
      </c>
      <c r="I439" s="9" t="s">
        <v>268</v>
      </c>
      <c r="J439" s="9" t="s">
        <v>108</v>
      </c>
      <c r="K439" s="9" t="s">
        <v>2201</v>
      </c>
      <c r="L439" s="9" t="s">
        <v>2202</v>
      </c>
      <c r="M439" s="9" t="s">
        <v>70</v>
      </c>
      <c r="N439" s="9" t="n">
        <v>8</v>
      </c>
      <c r="O439" s="9" t="n">
        <v>379.82</v>
      </c>
      <c r="P439" s="9" t="n">
        <v>0.05</v>
      </c>
      <c r="Q439" s="9" t="n">
        <v>2886.63</v>
      </c>
      <c r="R439" s="9" t="n">
        <v>1588.23</v>
      </c>
      <c r="S439" s="9" t="n">
        <v>1298.4</v>
      </c>
      <c r="T439" s="9" t="s">
        <v>224</v>
      </c>
      <c r="U439" s="9" t="s">
        <v>147</v>
      </c>
    </row>
    <row r="440" customFormat="false" ht="15" hidden="false" customHeight="false" outlineLevel="0" collapsed="false">
      <c r="A440" s="9" t="s">
        <v>2203</v>
      </c>
      <c r="B440" s="9" t="s">
        <v>1058</v>
      </c>
      <c r="C440" s="9" t="s">
        <v>2204</v>
      </c>
      <c r="D440" s="9" t="s">
        <v>2205</v>
      </c>
      <c r="E440" s="9" t="s">
        <v>115</v>
      </c>
      <c r="F440" s="9" t="s">
        <v>130</v>
      </c>
      <c r="G440" s="9" t="s">
        <v>64</v>
      </c>
      <c r="H440" s="9" t="s">
        <v>336</v>
      </c>
      <c r="I440" s="9" t="s">
        <v>337</v>
      </c>
      <c r="J440" s="9" t="s">
        <v>108</v>
      </c>
      <c r="K440" s="9" t="s">
        <v>247</v>
      </c>
      <c r="L440" s="9" t="s">
        <v>2206</v>
      </c>
      <c r="M440" s="9" t="s">
        <v>89</v>
      </c>
      <c r="N440" s="9" t="n">
        <v>1</v>
      </c>
      <c r="O440" s="9" t="n">
        <v>2266.47</v>
      </c>
      <c r="P440" s="9" t="n">
        <v>0.2</v>
      </c>
      <c r="Q440" s="9" t="n">
        <v>1813.18</v>
      </c>
      <c r="R440" s="9" t="n">
        <v>1363.64</v>
      </c>
      <c r="S440" s="9" t="n">
        <v>449.54</v>
      </c>
      <c r="T440" s="9" t="s">
        <v>56</v>
      </c>
      <c r="U440" s="9" t="s">
        <v>57</v>
      </c>
    </row>
    <row r="441" customFormat="false" ht="15" hidden="false" customHeight="false" outlineLevel="0" collapsed="false">
      <c r="A441" s="9" t="s">
        <v>2207</v>
      </c>
      <c r="B441" s="9" t="s">
        <v>2208</v>
      </c>
      <c r="C441" s="9" t="s">
        <v>2209</v>
      </c>
      <c r="D441" s="9" t="s">
        <v>2210</v>
      </c>
      <c r="E441" s="9" t="s">
        <v>186</v>
      </c>
      <c r="F441" s="9" t="s">
        <v>137</v>
      </c>
      <c r="G441" s="9" t="s">
        <v>95</v>
      </c>
      <c r="H441" s="9" t="s">
        <v>274</v>
      </c>
      <c r="I441" s="9" t="s">
        <v>275</v>
      </c>
      <c r="J441" s="9" t="s">
        <v>52</v>
      </c>
      <c r="K441" s="9" t="s">
        <v>180</v>
      </c>
      <c r="L441" s="9" t="s">
        <v>2211</v>
      </c>
      <c r="M441" s="9" t="s">
        <v>70</v>
      </c>
      <c r="N441" s="9" t="n">
        <v>5</v>
      </c>
      <c r="O441" s="9" t="n">
        <v>665.25</v>
      </c>
      <c r="P441" s="9" t="n">
        <v>0</v>
      </c>
      <c r="Q441" s="9" t="n">
        <v>3326.25</v>
      </c>
      <c r="R441" s="9" t="n">
        <v>2689.36</v>
      </c>
      <c r="S441" s="9" t="n">
        <v>636.89</v>
      </c>
      <c r="T441" s="9" t="s">
        <v>146</v>
      </c>
      <c r="U441" s="9" t="s">
        <v>147</v>
      </c>
    </row>
    <row r="442" customFormat="false" ht="15" hidden="false" customHeight="false" outlineLevel="0" collapsed="false">
      <c r="A442" s="9" t="s">
        <v>2212</v>
      </c>
      <c r="B442" s="9" t="s">
        <v>2213</v>
      </c>
      <c r="C442" s="9" t="s">
        <v>2214</v>
      </c>
      <c r="D442" s="9" t="s">
        <v>403</v>
      </c>
      <c r="E442" s="9" t="s">
        <v>105</v>
      </c>
      <c r="F442" s="9" t="s">
        <v>130</v>
      </c>
      <c r="G442" s="9" t="s">
        <v>64</v>
      </c>
      <c r="H442" s="9" t="s">
        <v>65</v>
      </c>
      <c r="I442" s="9" t="s">
        <v>66</v>
      </c>
      <c r="J442" s="9" t="s">
        <v>108</v>
      </c>
      <c r="K442" s="9" t="s">
        <v>409</v>
      </c>
      <c r="L442" s="9" t="s">
        <v>2215</v>
      </c>
      <c r="M442" s="9" t="s">
        <v>55</v>
      </c>
      <c r="N442" s="9" t="n">
        <v>6</v>
      </c>
      <c r="O442" s="9" t="n">
        <v>3722.84</v>
      </c>
      <c r="P442" s="9" t="n">
        <v>0.2</v>
      </c>
      <c r="Q442" s="9" t="n">
        <v>17869.63</v>
      </c>
      <c r="R442" s="9" t="n">
        <v>12163.8</v>
      </c>
      <c r="S442" s="9" t="n">
        <v>5705.83</v>
      </c>
      <c r="T442" s="9" t="s">
        <v>56</v>
      </c>
      <c r="U442" s="9" t="s">
        <v>57</v>
      </c>
    </row>
    <row r="443" customFormat="false" ht="15" hidden="false" customHeight="false" outlineLevel="0" collapsed="false">
      <c r="A443" s="9" t="s">
        <v>2216</v>
      </c>
      <c r="B443" s="9" t="s">
        <v>2217</v>
      </c>
      <c r="C443" s="9" t="s">
        <v>554</v>
      </c>
      <c r="D443" s="9" t="s">
        <v>2218</v>
      </c>
      <c r="E443" s="9" t="s">
        <v>47</v>
      </c>
      <c r="F443" s="9" t="s">
        <v>48</v>
      </c>
      <c r="G443" s="9" t="s">
        <v>64</v>
      </c>
      <c r="H443" s="9" t="s">
        <v>210</v>
      </c>
      <c r="I443" s="9" t="s">
        <v>211</v>
      </c>
      <c r="J443" s="9" t="s">
        <v>67</v>
      </c>
      <c r="K443" s="9" t="s">
        <v>228</v>
      </c>
      <c r="L443" s="9" t="s">
        <v>2219</v>
      </c>
      <c r="M443" s="9" t="s">
        <v>89</v>
      </c>
      <c r="N443" s="9" t="n">
        <v>6</v>
      </c>
      <c r="O443" s="9" t="n">
        <v>4217.49</v>
      </c>
      <c r="P443" s="9" t="n">
        <v>0</v>
      </c>
      <c r="Q443" s="9" t="n">
        <v>25304.94</v>
      </c>
      <c r="R443" s="9" t="n">
        <v>20771.95</v>
      </c>
      <c r="S443" s="9" t="n">
        <v>4532.99</v>
      </c>
      <c r="T443" s="9" t="s">
        <v>56</v>
      </c>
      <c r="U443" s="9" t="s">
        <v>100</v>
      </c>
    </row>
    <row r="444" customFormat="false" ht="15" hidden="false" customHeight="false" outlineLevel="0" collapsed="false">
      <c r="A444" s="9" t="s">
        <v>2220</v>
      </c>
      <c r="B444" s="9" t="s">
        <v>2221</v>
      </c>
      <c r="C444" s="9" t="s">
        <v>2222</v>
      </c>
      <c r="D444" s="9" t="s">
        <v>2223</v>
      </c>
      <c r="E444" s="9" t="s">
        <v>186</v>
      </c>
      <c r="F444" s="9" t="s">
        <v>48</v>
      </c>
      <c r="G444" s="9" t="s">
        <v>64</v>
      </c>
      <c r="H444" s="9" t="s">
        <v>336</v>
      </c>
      <c r="I444" s="9" t="s">
        <v>337</v>
      </c>
      <c r="J444" s="9" t="s">
        <v>67</v>
      </c>
      <c r="K444" s="9" t="s">
        <v>68</v>
      </c>
      <c r="L444" s="9" t="s">
        <v>2224</v>
      </c>
      <c r="M444" s="9" t="s">
        <v>78</v>
      </c>
      <c r="N444" s="9" t="n">
        <v>1</v>
      </c>
      <c r="O444" s="9" t="n">
        <v>1842.31</v>
      </c>
      <c r="P444" s="9" t="n">
        <v>0</v>
      </c>
      <c r="Q444" s="9" t="n">
        <v>1842.31</v>
      </c>
      <c r="R444" s="9" t="n">
        <v>1019.17</v>
      </c>
      <c r="S444" s="9" t="n">
        <v>823.14</v>
      </c>
      <c r="T444" s="9" t="s">
        <v>56</v>
      </c>
      <c r="U444" s="9" t="s">
        <v>57</v>
      </c>
    </row>
    <row r="445" customFormat="false" ht="15" hidden="false" customHeight="false" outlineLevel="0" collapsed="false">
      <c r="A445" s="9" t="s">
        <v>2225</v>
      </c>
      <c r="B445" s="9" t="s">
        <v>2226</v>
      </c>
      <c r="C445" s="9" t="s">
        <v>1934</v>
      </c>
      <c r="D445" s="9" t="s">
        <v>2227</v>
      </c>
      <c r="E445" s="9" t="s">
        <v>204</v>
      </c>
      <c r="F445" s="9" t="s">
        <v>137</v>
      </c>
      <c r="G445" s="9" t="s">
        <v>64</v>
      </c>
      <c r="H445" s="9" t="s">
        <v>65</v>
      </c>
      <c r="I445" s="9" t="s">
        <v>66</v>
      </c>
      <c r="J445" s="9" t="s">
        <v>67</v>
      </c>
      <c r="K445" s="9" t="s">
        <v>87</v>
      </c>
      <c r="L445" s="9" t="s">
        <v>2228</v>
      </c>
      <c r="M445" s="9" t="s">
        <v>78</v>
      </c>
      <c r="N445" s="9" t="n">
        <v>1</v>
      </c>
      <c r="O445" s="9" t="n">
        <v>3683.75</v>
      </c>
      <c r="P445" s="9" t="n">
        <v>0.1</v>
      </c>
      <c r="Q445" s="9" t="n">
        <v>3315.38</v>
      </c>
      <c r="R445" s="9" t="n">
        <v>2347.68</v>
      </c>
      <c r="S445" s="9" t="n">
        <v>967.7</v>
      </c>
      <c r="T445" s="9" t="s">
        <v>56</v>
      </c>
      <c r="U445" s="9" t="s">
        <v>57</v>
      </c>
    </row>
    <row r="446" customFormat="false" ht="15" hidden="false" customHeight="false" outlineLevel="0" collapsed="false">
      <c r="A446" s="9" t="s">
        <v>2229</v>
      </c>
      <c r="B446" s="9" t="s">
        <v>2230</v>
      </c>
      <c r="C446" s="9" t="s">
        <v>1899</v>
      </c>
      <c r="D446" s="9" t="s">
        <v>2231</v>
      </c>
      <c r="E446" s="9" t="s">
        <v>94</v>
      </c>
      <c r="F446" s="9" t="s">
        <v>48</v>
      </c>
      <c r="G446" s="9" t="s">
        <v>64</v>
      </c>
      <c r="H446" s="9" t="s">
        <v>240</v>
      </c>
      <c r="I446" s="9" t="s">
        <v>241</v>
      </c>
      <c r="J446" s="9" t="s">
        <v>108</v>
      </c>
      <c r="K446" s="9" t="s">
        <v>109</v>
      </c>
      <c r="L446" s="9" t="s">
        <v>2232</v>
      </c>
      <c r="M446" s="9" t="s">
        <v>70</v>
      </c>
      <c r="N446" s="9" t="n">
        <v>9</v>
      </c>
      <c r="O446" s="9" t="n">
        <v>2379.24</v>
      </c>
      <c r="P446" s="9" t="n">
        <v>0.05</v>
      </c>
      <c r="Q446" s="9" t="n">
        <v>20342.5</v>
      </c>
      <c r="R446" s="9" t="n">
        <v>12407.51</v>
      </c>
      <c r="S446" s="9" t="n">
        <v>7934.99</v>
      </c>
      <c r="T446" s="9" t="s">
        <v>56</v>
      </c>
      <c r="U446" s="9" t="s">
        <v>57</v>
      </c>
    </row>
    <row r="447" customFormat="false" ht="15" hidden="false" customHeight="false" outlineLevel="0" collapsed="false">
      <c r="A447" s="9" t="s">
        <v>2233</v>
      </c>
      <c r="B447" s="9" t="s">
        <v>2234</v>
      </c>
      <c r="C447" s="9" t="s">
        <v>2235</v>
      </c>
      <c r="D447" s="9" t="s">
        <v>2236</v>
      </c>
      <c r="E447" s="9" t="s">
        <v>83</v>
      </c>
      <c r="F447" s="9" t="s">
        <v>48</v>
      </c>
      <c r="G447" s="9" t="s">
        <v>64</v>
      </c>
      <c r="H447" s="9" t="s">
        <v>240</v>
      </c>
      <c r="I447" s="9" t="s">
        <v>241</v>
      </c>
      <c r="J447" s="9" t="s">
        <v>67</v>
      </c>
      <c r="K447" s="9" t="s">
        <v>228</v>
      </c>
      <c r="L447" s="9" t="s">
        <v>2237</v>
      </c>
      <c r="M447" s="9" t="s">
        <v>70</v>
      </c>
      <c r="N447" s="9" t="n">
        <v>2</v>
      </c>
      <c r="O447" s="9" t="n">
        <v>2111.23</v>
      </c>
      <c r="P447" s="9" t="n">
        <v>0.2</v>
      </c>
      <c r="Q447" s="9" t="n">
        <v>3377.97</v>
      </c>
      <c r="R447" s="9" t="n">
        <v>2496.29</v>
      </c>
      <c r="S447" s="9" t="n">
        <v>881.68</v>
      </c>
      <c r="T447" s="9" t="s">
        <v>56</v>
      </c>
      <c r="U447" s="9" t="s">
        <v>57</v>
      </c>
    </row>
    <row r="448" customFormat="false" ht="15" hidden="false" customHeight="false" outlineLevel="0" collapsed="false">
      <c r="A448" s="9" t="s">
        <v>2238</v>
      </c>
      <c r="B448" s="9" t="s">
        <v>2239</v>
      </c>
      <c r="C448" s="9" t="s">
        <v>2240</v>
      </c>
      <c r="D448" s="9" t="s">
        <v>2241</v>
      </c>
      <c r="E448" s="9" t="s">
        <v>192</v>
      </c>
      <c r="F448" s="9" t="s">
        <v>137</v>
      </c>
      <c r="G448" s="9" t="s">
        <v>84</v>
      </c>
      <c r="H448" s="9" t="s">
        <v>122</v>
      </c>
      <c r="I448" s="9" t="s">
        <v>123</v>
      </c>
      <c r="J448" s="9" t="s">
        <v>52</v>
      </c>
      <c r="K448" s="9" t="s">
        <v>180</v>
      </c>
      <c r="L448" s="9" t="s">
        <v>2242</v>
      </c>
      <c r="M448" s="9" t="s">
        <v>70</v>
      </c>
      <c r="N448" s="9" t="n">
        <v>8</v>
      </c>
      <c r="O448" s="9" t="n">
        <v>4242.51</v>
      </c>
      <c r="P448" s="9" t="n">
        <v>0</v>
      </c>
      <c r="Q448" s="9" t="n">
        <v>33940.08</v>
      </c>
      <c r="R448" s="9" t="n">
        <v>23754.19</v>
      </c>
      <c r="S448" s="9" t="n">
        <v>10185.89</v>
      </c>
      <c r="T448" s="9" t="s">
        <v>56</v>
      </c>
      <c r="U448" s="9" t="s">
        <v>57</v>
      </c>
    </row>
    <row r="449" customFormat="false" ht="15" hidden="false" customHeight="false" outlineLevel="0" collapsed="false">
      <c r="A449" s="9" t="s">
        <v>2243</v>
      </c>
      <c r="B449" s="9" t="s">
        <v>979</v>
      </c>
      <c r="C449" s="9" t="s">
        <v>2244</v>
      </c>
      <c r="D449" s="9" t="s">
        <v>2245</v>
      </c>
      <c r="E449" s="9" t="s">
        <v>204</v>
      </c>
      <c r="F449" s="9" t="s">
        <v>137</v>
      </c>
      <c r="G449" s="9" t="s">
        <v>84</v>
      </c>
      <c r="H449" s="9" t="s">
        <v>85</v>
      </c>
      <c r="I449" s="9" t="s">
        <v>86</v>
      </c>
      <c r="J449" s="9" t="s">
        <v>67</v>
      </c>
      <c r="K449" s="9" t="s">
        <v>228</v>
      </c>
      <c r="L449" s="9" t="s">
        <v>2246</v>
      </c>
      <c r="M449" s="9" t="s">
        <v>89</v>
      </c>
      <c r="N449" s="9" t="n">
        <v>6</v>
      </c>
      <c r="O449" s="9" t="n">
        <v>4288.7</v>
      </c>
      <c r="P449" s="9" t="n">
        <v>0.15</v>
      </c>
      <c r="Q449" s="9" t="n">
        <v>21872.37</v>
      </c>
      <c r="R449" s="9" t="n">
        <v>13829.5</v>
      </c>
      <c r="S449" s="9" t="n">
        <v>8042.87</v>
      </c>
      <c r="T449" s="9" t="s">
        <v>160</v>
      </c>
      <c r="U449" s="9" t="s">
        <v>147</v>
      </c>
    </row>
    <row r="450" customFormat="false" ht="15" hidden="false" customHeight="false" outlineLevel="0" collapsed="false">
      <c r="A450" s="9" t="s">
        <v>2247</v>
      </c>
      <c r="B450" s="9" t="s">
        <v>2248</v>
      </c>
      <c r="C450" s="9" t="s">
        <v>352</v>
      </c>
      <c r="D450" s="9" t="s">
        <v>2249</v>
      </c>
      <c r="E450" s="9" t="s">
        <v>62</v>
      </c>
      <c r="F450" s="9" t="s">
        <v>63</v>
      </c>
      <c r="G450" s="9" t="s">
        <v>84</v>
      </c>
      <c r="H450" s="9" t="s">
        <v>122</v>
      </c>
      <c r="I450" s="9" t="s">
        <v>123</v>
      </c>
      <c r="J450" s="9" t="s">
        <v>67</v>
      </c>
      <c r="K450" s="9" t="s">
        <v>98</v>
      </c>
      <c r="L450" s="9" t="s">
        <v>2250</v>
      </c>
      <c r="M450" s="9" t="s">
        <v>78</v>
      </c>
      <c r="N450" s="9" t="n">
        <v>2</v>
      </c>
      <c r="O450" s="9" t="n">
        <v>201.21</v>
      </c>
      <c r="P450" s="9" t="n">
        <v>0.15</v>
      </c>
      <c r="Q450" s="9" t="n">
        <v>342.06</v>
      </c>
      <c r="R450" s="9" t="n">
        <v>244.57</v>
      </c>
      <c r="S450" s="9" t="n">
        <v>97.49</v>
      </c>
      <c r="T450" s="9" t="s">
        <v>56</v>
      </c>
      <c r="U450" s="9" t="s">
        <v>57</v>
      </c>
    </row>
    <row r="451" customFormat="false" ht="15" hidden="false" customHeight="false" outlineLevel="0" collapsed="false">
      <c r="A451" s="9" t="s">
        <v>2251</v>
      </c>
      <c r="B451" s="9" t="s">
        <v>2252</v>
      </c>
      <c r="C451" s="9" t="s">
        <v>2253</v>
      </c>
      <c r="D451" s="9" t="s">
        <v>2084</v>
      </c>
      <c r="E451" s="9" t="s">
        <v>129</v>
      </c>
      <c r="F451" s="9" t="s">
        <v>130</v>
      </c>
      <c r="G451" s="9" t="s">
        <v>64</v>
      </c>
      <c r="H451" s="9" t="s">
        <v>240</v>
      </c>
      <c r="I451" s="9" t="s">
        <v>241</v>
      </c>
      <c r="J451" s="9" t="s">
        <v>108</v>
      </c>
      <c r="K451" s="9" t="s">
        <v>409</v>
      </c>
      <c r="L451" s="9" t="s">
        <v>2254</v>
      </c>
      <c r="M451" s="9" t="s">
        <v>55</v>
      </c>
      <c r="N451" s="9" t="n">
        <v>6</v>
      </c>
      <c r="O451" s="9" t="n">
        <v>3270.36</v>
      </c>
      <c r="P451" s="9" t="n">
        <v>0</v>
      </c>
      <c r="Q451" s="9" t="n">
        <v>19622.16</v>
      </c>
      <c r="R451" s="9" t="n">
        <v>14271.27</v>
      </c>
      <c r="S451" s="9" t="n">
        <v>5350.89</v>
      </c>
      <c r="T451" s="9" t="s">
        <v>56</v>
      </c>
      <c r="U451" s="9" t="s">
        <v>57</v>
      </c>
    </row>
    <row r="452" customFormat="false" ht="15" hidden="false" customHeight="false" outlineLevel="0" collapsed="false">
      <c r="A452" s="9" t="s">
        <v>2255</v>
      </c>
      <c r="B452" s="9" t="s">
        <v>2256</v>
      </c>
      <c r="C452" s="9" t="s">
        <v>1617</v>
      </c>
      <c r="D452" s="9" t="s">
        <v>2257</v>
      </c>
      <c r="E452" s="9" t="s">
        <v>94</v>
      </c>
      <c r="F452" s="9" t="s">
        <v>130</v>
      </c>
      <c r="G452" s="9" t="s">
        <v>177</v>
      </c>
      <c r="H452" s="9" t="s">
        <v>535</v>
      </c>
      <c r="I452" s="9" t="s">
        <v>536</v>
      </c>
      <c r="J452" s="9" t="s">
        <v>67</v>
      </c>
      <c r="K452" s="9" t="s">
        <v>98</v>
      </c>
      <c r="L452" s="9" t="s">
        <v>2258</v>
      </c>
      <c r="M452" s="9" t="s">
        <v>89</v>
      </c>
      <c r="N452" s="9" t="n">
        <v>9</v>
      </c>
      <c r="O452" s="9" t="n">
        <v>2278.57</v>
      </c>
      <c r="P452" s="9" t="n">
        <v>0.25</v>
      </c>
      <c r="Q452" s="9" t="n">
        <v>15380.35</v>
      </c>
      <c r="R452" s="9" t="n">
        <v>9907.37</v>
      </c>
      <c r="S452" s="9" t="n">
        <v>5472.98</v>
      </c>
      <c r="T452" s="9" t="s">
        <v>56</v>
      </c>
      <c r="U452" s="9" t="s">
        <v>57</v>
      </c>
    </row>
    <row r="453" customFormat="false" ht="15" hidden="false" customHeight="false" outlineLevel="0" collapsed="false">
      <c r="A453" s="9" t="s">
        <v>2259</v>
      </c>
      <c r="B453" s="9" t="s">
        <v>2260</v>
      </c>
      <c r="C453" s="9" t="s">
        <v>2261</v>
      </c>
      <c r="D453" s="9" t="s">
        <v>2262</v>
      </c>
      <c r="E453" s="9" t="s">
        <v>204</v>
      </c>
      <c r="F453" s="9" t="s">
        <v>63</v>
      </c>
      <c r="G453" s="9" t="s">
        <v>177</v>
      </c>
      <c r="H453" s="9" t="s">
        <v>348</v>
      </c>
      <c r="I453" s="9" t="s">
        <v>349</v>
      </c>
      <c r="J453" s="9" t="s">
        <v>52</v>
      </c>
      <c r="K453" s="9" t="s">
        <v>53</v>
      </c>
      <c r="L453" s="9" t="s">
        <v>2263</v>
      </c>
      <c r="M453" s="9" t="s">
        <v>55</v>
      </c>
      <c r="N453" s="9" t="n">
        <v>8</v>
      </c>
      <c r="O453" s="9" t="n">
        <v>1917.64</v>
      </c>
      <c r="P453" s="9" t="n">
        <v>0.15</v>
      </c>
      <c r="Q453" s="9" t="n">
        <v>13039.95</v>
      </c>
      <c r="R453" s="9" t="n">
        <v>11127.82</v>
      </c>
      <c r="S453" s="9" t="n">
        <v>1912.13</v>
      </c>
      <c r="T453" s="9" t="s">
        <v>56</v>
      </c>
      <c r="U453" s="9" t="s">
        <v>100</v>
      </c>
    </row>
    <row r="454" customFormat="false" ht="15" hidden="false" customHeight="false" outlineLevel="0" collapsed="false">
      <c r="A454" s="9" t="s">
        <v>2264</v>
      </c>
      <c r="B454" s="9" t="s">
        <v>2265</v>
      </c>
      <c r="C454" s="9" t="s">
        <v>1413</v>
      </c>
      <c r="D454" s="9" t="s">
        <v>2266</v>
      </c>
      <c r="E454" s="9" t="s">
        <v>234</v>
      </c>
      <c r="F454" s="9" t="s">
        <v>137</v>
      </c>
      <c r="G454" s="9" t="s">
        <v>64</v>
      </c>
      <c r="H454" s="9" t="s">
        <v>336</v>
      </c>
      <c r="I454" s="9" t="s">
        <v>337</v>
      </c>
      <c r="J454" s="9" t="s">
        <v>108</v>
      </c>
      <c r="K454" s="9" t="s">
        <v>109</v>
      </c>
      <c r="L454" s="9" t="s">
        <v>2267</v>
      </c>
      <c r="M454" s="9" t="s">
        <v>55</v>
      </c>
      <c r="N454" s="9" t="n">
        <v>6</v>
      </c>
      <c r="O454" s="9" t="n">
        <v>2013.33</v>
      </c>
      <c r="P454" s="9" t="n">
        <v>0.2</v>
      </c>
      <c r="Q454" s="9" t="n">
        <v>9663.98</v>
      </c>
      <c r="R454" s="9" t="n">
        <v>5628.93</v>
      </c>
      <c r="S454" s="9" t="n">
        <v>4035.05</v>
      </c>
      <c r="T454" s="9" t="s">
        <v>56</v>
      </c>
      <c r="U454" s="9" t="s">
        <v>57</v>
      </c>
    </row>
    <row r="455" customFormat="false" ht="15" hidden="false" customHeight="false" outlineLevel="0" collapsed="false">
      <c r="A455" s="9" t="s">
        <v>2268</v>
      </c>
      <c r="B455" s="9" t="s">
        <v>2269</v>
      </c>
      <c r="C455" s="9" t="s">
        <v>2270</v>
      </c>
      <c r="D455" s="9" t="s">
        <v>2271</v>
      </c>
      <c r="E455" s="9" t="s">
        <v>204</v>
      </c>
      <c r="F455" s="9" t="s">
        <v>488</v>
      </c>
      <c r="G455" s="9" t="s">
        <v>95</v>
      </c>
      <c r="H455" s="9" t="s">
        <v>106</v>
      </c>
      <c r="I455" s="9" t="s">
        <v>107</v>
      </c>
      <c r="J455" s="9" t="s">
        <v>52</v>
      </c>
      <c r="K455" s="9" t="s">
        <v>131</v>
      </c>
      <c r="L455" s="9" t="s">
        <v>2272</v>
      </c>
      <c r="M455" s="9" t="s">
        <v>70</v>
      </c>
      <c r="N455" s="9" t="n">
        <v>5</v>
      </c>
      <c r="O455" s="9" t="n">
        <v>1483.52</v>
      </c>
      <c r="P455" s="9" t="n">
        <v>0</v>
      </c>
      <c r="Q455" s="9" t="n">
        <v>7417.6</v>
      </c>
      <c r="R455" s="9" t="n">
        <v>4955.86</v>
      </c>
      <c r="S455" s="9" t="n">
        <v>2461.74</v>
      </c>
      <c r="T455" s="9" t="s">
        <v>56</v>
      </c>
      <c r="U455" s="9" t="s">
        <v>57</v>
      </c>
    </row>
    <row r="456" customFormat="false" ht="15" hidden="false" customHeight="false" outlineLevel="0" collapsed="false">
      <c r="A456" s="9" t="s">
        <v>2273</v>
      </c>
      <c r="B456" s="9" t="s">
        <v>2274</v>
      </c>
      <c r="C456" s="9" t="s">
        <v>2275</v>
      </c>
      <c r="D456" s="9" t="s">
        <v>2276</v>
      </c>
      <c r="E456" s="9" t="s">
        <v>105</v>
      </c>
      <c r="F456" s="9" t="s">
        <v>63</v>
      </c>
      <c r="G456" s="9" t="s">
        <v>177</v>
      </c>
      <c r="H456" s="9" t="s">
        <v>50</v>
      </c>
      <c r="I456" s="9" t="s">
        <v>51</v>
      </c>
      <c r="J456" s="9" t="s">
        <v>67</v>
      </c>
      <c r="K456" s="9" t="s">
        <v>87</v>
      </c>
      <c r="L456" s="9" t="s">
        <v>2277</v>
      </c>
      <c r="M456" s="9" t="s">
        <v>89</v>
      </c>
      <c r="N456" s="9" t="n">
        <v>9</v>
      </c>
      <c r="O456" s="9" t="n">
        <v>3298</v>
      </c>
      <c r="P456" s="9" t="n">
        <v>0.15</v>
      </c>
      <c r="Q456" s="9" t="n">
        <v>25229.7</v>
      </c>
      <c r="R456" s="9" t="n">
        <v>20170.43</v>
      </c>
      <c r="S456" s="9" t="n">
        <v>5059.27</v>
      </c>
      <c r="T456" s="9" t="s">
        <v>56</v>
      </c>
      <c r="U456" s="9" t="s">
        <v>57</v>
      </c>
    </row>
    <row r="457" customFormat="false" ht="15" hidden="false" customHeight="false" outlineLevel="0" collapsed="false">
      <c r="A457" s="9" t="s">
        <v>2278</v>
      </c>
      <c r="B457" s="9" t="s">
        <v>2279</v>
      </c>
      <c r="C457" s="9" t="s">
        <v>2280</v>
      </c>
      <c r="D457" s="9" t="s">
        <v>2281</v>
      </c>
      <c r="E457" s="9" t="s">
        <v>115</v>
      </c>
      <c r="F457" s="9" t="s">
        <v>63</v>
      </c>
      <c r="G457" s="9" t="s">
        <v>84</v>
      </c>
      <c r="H457" s="9" t="s">
        <v>85</v>
      </c>
      <c r="I457" s="9" t="s">
        <v>86</v>
      </c>
      <c r="J457" s="9" t="s">
        <v>52</v>
      </c>
      <c r="K457" s="9" t="s">
        <v>76</v>
      </c>
      <c r="L457" s="9" t="s">
        <v>2282</v>
      </c>
      <c r="M457" s="9" t="s">
        <v>89</v>
      </c>
      <c r="N457" s="9" t="n">
        <v>4</v>
      </c>
      <c r="O457" s="9" t="n">
        <v>808.77</v>
      </c>
      <c r="P457" s="9" t="n">
        <v>0</v>
      </c>
      <c r="Q457" s="9" t="n">
        <v>3235.08</v>
      </c>
      <c r="R457" s="9" t="n">
        <v>1848.6</v>
      </c>
      <c r="S457" s="9" t="n">
        <v>1386.48</v>
      </c>
      <c r="T457" s="9" t="s">
        <v>56</v>
      </c>
      <c r="U457" s="9" t="s">
        <v>57</v>
      </c>
    </row>
    <row r="458" customFormat="false" ht="15" hidden="false" customHeight="false" outlineLevel="0" collapsed="false">
      <c r="A458" s="9" t="s">
        <v>2283</v>
      </c>
      <c r="B458" s="9" t="s">
        <v>2129</v>
      </c>
      <c r="C458" s="9" t="s">
        <v>2129</v>
      </c>
      <c r="D458" s="9" t="s">
        <v>2284</v>
      </c>
      <c r="E458" s="9" t="s">
        <v>115</v>
      </c>
      <c r="F458" s="9" t="s">
        <v>130</v>
      </c>
      <c r="G458" s="9" t="s">
        <v>177</v>
      </c>
      <c r="H458" s="9" t="s">
        <v>198</v>
      </c>
      <c r="I458" s="9" t="s">
        <v>199</v>
      </c>
      <c r="J458" s="9" t="s">
        <v>108</v>
      </c>
      <c r="K458" s="9" t="s">
        <v>109</v>
      </c>
      <c r="L458" s="9" t="s">
        <v>2285</v>
      </c>
      <c r="M458" s="9" t="s">
        <v>70</v>
      </c>
      <c r="N458" s="9" t="n">
        <v>5</v>
      </c>
      <c r="O458" s="9" t="n">
        <v>2604.91</v>
      </c>
      <c r="P458" s="9" t="n">
        <v>0.15</v>
      </c>
      <c r="Q458" s="9" t="n">
        <v>11070.87</v>
      </c>
      <c r="R458" s="9" t="n">
        <v>6623.61</v>
      </c>
      <c r="S458" s="9" t="n">
        <v>4447.26</v>
      </c>
      <c r="T458" s="9" t="s">
        <v>56</v>
      </c>
      <c r="U458" s="9" t="s">
        <v>147</v>
      </c>
    </row>
    <row r="459" customFormat="false" ht="15" hidden="false" customHeight="false" outlineLevel="0" collapsed="false">
      <c r="A459" s="9" t="s">
        <v>2286</v>
      </c>
      <c r="B459" s="9" t="s">
        <v>2287</v>
      </c>
      <c r="C459" s="9" t="s">
        <v>2288</v>
      </c>
      <c r="D459" s="9" t="s">
        <v>2289</v>
      </c>
      <c r="E459" s="9" t="s">
        <v>62</v>
      </c>
      <c r="F459" s="9" t="s">
        <v>63</v>
      </c>
      <c r="G459" s="9" t="s">
        <v>95</v>
      </c>
      <c r="H459" s="9" t="s">
        <v>274</v>
      </c>
      <c r="I459" s="9" t="s">
        <v>275</v>
      </c>
      <c r="J459" s="9" t="s">
        <v>67</v>
      </c>
      <c r="K459" s="9" t="s">
        <v>68</v>
      </c>
      <c r="L459" s="9" t="s">
        <v>2290</v>
      </c>
      <c r="M459" s="9" t="s">
        <v>89</v>
      </c>
      <c r="N459" s="9" t="n">
        <v>7</v>
      </c>
      <c r="O459" s="9" t="n">
        <v>2851.51</v>
      </c>
      <c r="P459" s="9" t="n">
        <v>0</v>
      </c>
      <c r="Q459" s="9" t="n">
        <v>19960.57</v>
      </c>
      <c r="R459" s="9" t="n">
        <v>16603.6</v>
      </c>
      <c r="S459" s="9" t="n">
        <v>3356.97</v>
      </c>
      <c r="T459" s="9" t="s">
        <v>56</v>
      </c>
      <c r="U459" s="9" t="s">
        <v>57</v>
      </c>
    </row>
    <row r="460" customFormat="false" ht="15" hidden="false" customHeight="false" outlineLevel="0" collapsed="false">
      <c r="A460" s="9" t="s">
        <v>2291</v>
      </c>
      <c r="B460" s="9" t="s">
        <v>2292</v>
      </c>
      <c r="C460" s="9" t="s">
        <v>895</v>
      </c>
      <c r="D460" s="9" t="s">
        <v>2293</v>
      </c>
      <c r="E460" s="9" t="s">
        <v>47</v>
      </c>
      <c r="F460" s="9" t="s">
        <v>130</v>
      </c>
      <c r="G460" s="9" t="s">
        <v>177</v>
      </c>
      <c r="H460" s="9" t="s">
        <v>50</v>
      </c>
      <c r="I460" s="9" t="s">
        <v>51</v>
      </c>
      <c r="J460" s="9" t="s">
        <v>108</v>
      </c>
      <c r="K460" s="9" t="s">
        <v>247</v>
      </c>
      <c r="L460" s="9" t="s">
        <v>2294</v>
      </c>
      <c r="M460" s="9" t="s">
        <v>55</v>
      </c>
      <c r="N460" s="9" t="n">
        <v>3</v>
      </c>
      <c r="O460" s="9" t="n">
        <v>3183.72</v>
      </c>
      <c r="P460" s="9" t="n">
        <v>0.1</v>
      </c>
      <c r="Q460" s="9" t="n">
        <v>8596.04</v>
      </c>
      <c r="R460" s="9" t="n">
        <v>5378.16</v>
      </c>
      <c r="S460" s="9" t="n">
        <v>3217.88</v>
      </c>
      <c r="T460" s="9" t="s">
        <v>56</v>
      </c>
      <c r="U460" s="9" t="s">
        <v>57</v>
      </c>
    </row>
    <row r="461" customFormat="false" ht="15" hidden="false" customHeight="false" outlineLevel="0" collapsed="false">
      <c r="A461" s="9" t="s">
        <v>2295</v>
      </c>
      <c r="B461" s="9" t="s">
        <v>2296</v>
      </c>
      <c r="C461" s="9" t="s">
        <v>2226</v>
      </c>
      <c r="D461" s="9" t="s">
        <v>2297</v>
      </c>
      <c r="E461" s="9" t="s">
        <v>94</v>
      </c>
      <c r="F461" s="9" t="s">
        <v>137</v>
      </c>
      <c r="G461" s="9" t="s">
        <v>95</v>
      </c>
      <c r="H461" s="9" t="s">
        <v>274</v>
      </c>
      <c r="I461" s="9" t="s">
        <v>275</v>
      </c>
      <c r="J461" s="9" t="s">
        <v>52</v>
      </c>
      <c r="K461" s="9" t="s">
        <v>53</v>
      </c>
      <c r="L461" s="9" t="s">
        <v>2298</v>
      </c>
      <c r="M461" s="9" t="s">
        <v>78</v>
      </c>
      <c r="N461" s="9" t="n">
        <v>3</v>
      </c>
      <c r="O461" s="9" t="n">
        <v>1150.92</v>
      </c>
      <c r="P461" s="9" t="n">
        <v>0</v>
      </c>
      <c r="Q461" s="9" t="n">
        <v>3452.76</v>
      </c>
      <c r="R461" s="9" t="n">
        <v>2077.96</v>
      </c>
      <c r="S461" s="9" t="n">
        <v>1374.8</v>
      </c>
      <c r="T461" s="9" t="s">
        <v>56</v>
      </c>
      <c r="U461" s="9" t="s">
        <v>57</v>
      </c>
    </row>
    <row r="462" customFormat="false" ht="15" hidden="false" customHeight="false" outlineLevel="0" collapsed="false">
      <c r="A462" s="9" t="s">
        <v>2299</v>
      </c>
      <c r="B462" s="9" t="s">
        <v>2300</v>
      </c>
      <c r="C462" s="9" t="s">
        <v>2301</v>
      </c>
      <c r="D462" s="9" t="s">
        <v>2302</v>
      </c>
      <c r="E462" s="9" t="s">
        <v>186</v>
      </c>
      <c r="F462" s="9" t="s">
        <v>130</v>
      </c>
      <c r="G462" s="9"/>
      <c r="H462" s="9" t="s">
        <v>50</v>
      </c>
      <c r="I462" s="9" t="s">
        <v>51</v>
      </c>
      <c r="J462" s="9" t="s">
        <v>108</v>
      </c>
      <c r="K462" s="9" t="s">
        <v>116</v>
      </c>
      <c r="L462" s="9" t="s">
        <v>2303</v>
      </c>
      <c r="M462" s="9" t="s">
        <v>55</v>
      </c>
      <c r="N462" s="9" t="n">
        <v>9</v>
      </c>
      <c r="O462" s="9" t="n">
        <v>1359.88</v>
      </c>
      <c r="P462" s="9" t="n">
        <v>0.05</v>
      </c>
      <c r="Q462" s="9" t="n">
        <v>11626.97</v>
      </c>
      <c r="R462" s="9" t="n">
        <v>7394.07</v>
      </c>
      <c r="S462" s="9" t="n">
        <v>4232.9</v>
      </c>
      <c r="T462" s="9" t="s">
        <v>56</v>
      </c>
      <c r="U462" s="9" t="s">
        <v>57</v>
      </c>
    </row>
    <row r="463" customFormat="false" ht="15" hidden="false" customHeight="false" outlineLevel="0" collapsed="false">
      <c r="A463" s="9" t="s">
        <v>2304</v>
      </c>
      <c r="B463" s="9" t="s">
        <v>2305</v>
      </c>
      <c r="C463" s="9" t="s">
        <v>1562</v>
      </c>
      <c r="D463" s="9" t="s">
        <v>2306</v>
      </c>
      <c r="E463" s="9" t="s">
        <v>115</v>
      </c>
      <c r="F463" s="9" t="s">
        <v>130</v>
      </c>
      <c r="G463" s="9" t="s">
        <v>84</v>
      </c>
      <c r="H463" s="9" t="s">
        <v>122</v>
      </c>
      <c r="I463" s="9" t="s">
        <v>123</v>
      </c>
      <c r="J463" s="9" t="s">
        <v>52</v>
      </c>
      <c r="K463" s="9" t="s">
        <v>53</v>
      </c>
      <c r="L463" s="9" t="s">
        <v>2307</v>
      </c>
      <c r="M463" s="9" t="s">
        <v>89</v>
      </c>
      <c r="N463" s="9" t="n">
        <v>3</v>
      </c>
      <c r="O463" s="9" t="n">
        <v>3378.15</v>
      </c>
      <c r="P463" s="9" t="n">
        <v>0.15</v>
      </c>
      <c r="Q463" s="9" t="n">
        <v>8614.28</v>
      </c>
      <c r="R463" s="9" t="n">
        <v>7052.08</v>
      </c>
      <c r="S463" s="9" t="n">
        <v>1562.2</v>
      </c>
      <c r="T463" s="9" t="s">
        <v>56</v>
      </c>
      <c r="U463" s="9" t="s">
        <v>57</v>
      </c>
    </row>
    <row r="464" customFormat="false" ht="15" hidden="false" customHeight="false" outlineLevel="0" collapsed="false">
      <c r="A464" s="9" t="s">
        <v>2308</v>
      </c>
      <c r="B464" s="9" t="s">
        <v>2049</v>
      </c>
      <c r="C464" s="9" t="s">
        <v>2309</v>
      </c>
      <c r="D464" s="9" t="s">
        <v>2310</v>
      </c>
      <c r="E464" s="9" t="s">
        <v>186</v>
      </c>
      <c r="F464" s="9" t="s">
        <v>137</v>
      </c>
      <c r="G464" s="9" t="s">
        <v>177</v>
      </c>
      <c r="H464" s="9" t="s">
        <v>535</v>
      </c>
      <c r="I464" s="9" t="s">
        <v>536</v>
      </c>
      <c r="J464" s="9" t="s">
        <v>52</v>
      </c>
      <c r="K464" s="9" t="s">
        <v>222</v>
      </c>
      <c r="L464" s="9" t="s">
        <v>2311</v>
      </c>
      <c r="M464" s="9" t="s">
        <v>78</v>
      </c>
      <c r="N464" s="9" t="n">
        <v>2</v>
      </c>
      <c r="O464" s="9" t="n">
        <v>1275.14</v>
      </c>
      <c r="P464" s="9" t="n">
        <v>0.2</v>
      </c>
      <c r="Q464" s="9" t="n">
        <v>2040.22</v>
      </c>
      <c r="R464" s="9" t="n">
        <v>1395.71</v>
      </c>
      <c r="S464" s="9" t="n">
        <v>644.51</v>
      </c>
      <c r="T464" s="9" t="s">
        <v>56</v>
      </c>
      <c r="U464" s="9" t="s">
        <v>57</v>
      </c>
    </row>
    <row r="465" customFormat="false" ht="15" hidden="false" customHeight="false" outlineLevel="0" collapsed="false">
      <c r="A465" s="9" t="s">
        <v>2312</v>
      </c>
      <c r="B465" s="9" t="s">
        <v>468</v>
      </c>
      <c r="C465" s="9" t="s">
        <v>2313</v>
      </c>
      <c r="D465" s="9" t="s">
        <v>2314</v>
      </c>
      <c r="E465" s="9" t="s">
        <v>83</v>
      </c>
      <c r="F465" s="9" t="s">
        <v>130</v>
      </c>
      <c r="G465" s="9" t="s">
        <v>95</v>
      </c>
      <c r="H465" s="9" t="s">
        <v>106</v>
      </c>
      <c r="I465" s="9" t="s">
        <v>107</v>
      </c>
      <c r="J465" s="9" t="s">
        <v>108</v>
      </c>
      <c r="K465" s="9" t="s">
        <v>247</v>
      </c>
      <c r="L465" s="9" t="s">
        <v>2315</v>
      </c>
      <c r="M465" s="9" t="s">
        <v>89</v>
      </c>
      <c r="N465" s="9" t="n">
        <v>4</v>
      </c>
      <c r="O465" s="9" t="n">
        <v>889.5</v>
      </c>
      <c r="P465" s="9" t="n">
        <v>0.2</v>
      </c>
      <c r="Q465" s="9" t="n">
        <v>2846.4</v>
      </c>
      <c r="R465" s="9" t="n">
        <v>2132.37</v>
      </c>
      <c r="S465" s="9" t="n">
        <v>714.03</v>
      </c>
      <c r="T465" s="9" t="s">
        <v>56</v>
      </c>
      <c r="U465" s="9" t="s">
        <v>57</v>
      </c>
    </row>
    <row r="466" customFormat="false" ht="15" hidden="false" customHeight="false" outlineLevel="0" collapsed="false">
      <c r="A466" s="9" t="s">
        <v>2316</v>
      </c>
      <c r="B466" s="9" t="s">
        <v>2317</v>
      </c>
      <c r="C466" s="9" t="s">
        <v>2318</v>
      </c>
      <c r="D466" s="9" t="s">
        <v>2319</v>
      </c>
      <c r="E466" s="9" t="s">
        <v>83</v>
      </c>
      <c r="F466" s="9" t="s">
        <v>130</v>
      </c>
      <c r="G466" s="9" t="s">
        <v>64</v>
      </c>
      <c r="H466" s="9" t="s">
        <v>210</v>
      </c>
      <c r="I466" s="9" t="s">
        <v>211</v>
      </c>
      <c r="J466" s="9" t="s">
        <v>52</v>
      </c>
      <c r="K466" s="9" t="s">
        <v>53</v>
      </c>
      <c r="L466" s="9" t="s">
        <v>2320</v>
      </c>
      <c r="M466" s="9" t="s">
        <v>70</v>
      </c>
      <c r="N466" s="9" t="n">
        <v>3</v>
      </c>
      <c r="O466" s="9" t="n">
        <v>3625.08</v>
      </c>
      <c r="P466" s="9" t="n">
        <v>0.05</v>
      </c>
      <c r="Q466" s="9" t="n">
        <v>10331.48</v>
      </c>
      <c r="R466" s="9" t="n">
        <v>7131.91</v>
      </c>
      <c r="S466" s="9" t="n">
        <v>3199.57</v>
      </c>
      <c r="T466" s="9" t="s">
        <v>160</v>
      </c>
      <c r="U466" s="9" t="s">
        <v>100</v>
      </c>
    </row>
    <row r="467" customFormat="false" ht="15" hidden="false" customHeight="false" outlineLevel="0" collapsed="false">
      <c r="A467" s="9" t="s">
        <v>2321</v>
      </c>
      <c r="B467" s="9" t="s">
        <v>2322</v>
      </c>
      <c r="C467" s="9" t="s">
        <v>2323</v>
      </c>
      <c r="D467" s="9" t="s">
        <v>2324</v>
      </c>
      <c r="E467" s="9" t="s">
        <v>186</v>
      </c>
      <c r="F467" s="9" t="s">
        <v>63</v>
      </c>
      <c r="G467" s="9" t="s">
        <v>95</v>
      </c>
      <c r="H467" s="9" t="s">
        <v>106</v>
      </c>
      <c r="I467" s="9" t="s">
        <v>107</v>
      </c>
      <c r="J467" s="9" t="s">
        <v>52</v>
      </c>
      <c r="K467" s="9" t="s">
        <v>131</v>
      </c>
      <c r="L467" s="9" t="s">
        <v>2325</v>
      </c>
      <c r="M467" s="9" t="s">
        <v>89</v>
      </c>
      <c r="N467" s="9" t="n">
        <v>2</v>
      </c>
      <c r="O467" s="9" t="n">
        <v>1258.9</v>
      </c>
      <c r="P467" s="9" t="n">
        <v>0</v>
      </c>
      <c r="Q467" s="9" t="n">
        <v>2517.8</v>
      </c>
      <c r="R467" s="9" t="n">
        <v>1478.54</v>
      </c>
      <c r="S467" s="9" t="n">
        <v>1039.26</v>
      </c>
      <c r="T467" s="9" t="s">
        <v>56</v>
      </c>
      <c r="U467" s="9" t="s">
        <v>57</v>
      </c>
    </row>
    <row r="468" customFormat="false" ht="15" hidden="false" customHeight="false" outlineLevel="0" collapsed="false">
      <c r="A468" s="9" t="s">
        <v>2326</v>
      </c>
      <c r="B468" s="9" t="s">
        <v>2327</v>
      </c>
      <c r="C468" s="9" t="s">
        <v>2328</v>
      </c>
      <c r="D468" s="9" t="s">
        <v>2329</v>
      </c>
      <c r="E468" s="9" t="s">
        <v>62</v>
      </c>
      <c r="F468" s="9" t="s">
        <v>63</v>
      </c>
      <c r="G468" s="9" t="s">
        <v>64</v>
      </c>
      <c r="H468" s="9" t="s">
        <v>210</v>
      </c>
      <c r="I468" s="9" t="s">
        <v>211</v>
      </c>
      <c r="J468" s="9" t="s">
        <v>108</v>
      </c>
      <c r="K468" s="9" t="s">
        <v>109</v>
      </c>
      <c r="L468" s="9" t="s">
        <v>2330</v>
      </c>
      <c r="M468" s="9" t="s">
        <v>70</v>
      </c>
      <c r="N468" s="9" t="n">
        <v>9</v>
      </c>
      <c r="O468" s="9" t="n">
        <v>1591.96</v>
      </c>
      <c r="P468" s="9" t="n">
        <v>0.2</v>
      </c>
      <c r="Q468" s="9" t="n">
        <v>11462.11</v>
      </c>
      <c r="R468" s="9" t="n">
        <v>7105.48</v>
      </c>
      <c r="S468" s="9" t="n">
        <v>4356.63</v>
      </c>
      <c r="T468" s="9" t="s">
        <v>56</v>
      </c>
      <c r="U468" s="9" t="s">
        <v>57</v>
      </c>
    </row>
    <row r="469" customFormat="false" ht="15" hidden="false" customHeight="false" outlineLevel="0" collapsed="false">
      <c r="A469" s="9" t="s">
        <v>2331</v>
      </c>
      <c r="B469" s="9" t="s">
        <v>2332</v>
      </c>
      <c r="C469" s="9" t="s">
        <v>1666</v>
      </c>
      <c r="D469" s="9" t="s">
        <v>2333</v>
      </c>
      <c r="E469" s="9" t="s">
        <v>129</v>
      </c>
      <c r="F469" s="9" t="s">
        <v>130</v>
      </c>
      <c r="G469" s="9" t="s">
        <v>64</v>
      </c>
      <c r="H469" s="9" t="s">
        <v>65</v>
      </c>
      <c r="I469" s="9" t="s">
        <v>66</v>
      </c>
      <c r="J469" s="9" t="s">
        <v>108</v>
      </c>
      <c r="K469" s="9" t="s">
        <v>116</v>
      </c>
      <c r="L469" s="9" t="s">
        <v>2334</v>
      </c>
      <c r="M469" s="9" t="s">
        <v>78</v>
      </c>
      <c r="N469" s="9" t="n">
        <v>5</v>
      </c>
      <c r="O469" s="9" t="n">
        <v>4288.33</v>
      </c>
      <c r="P469" s="9" t="n">
        <v>0.1</v>
      </c>
      <c r="Q469" s="9" t="n">
        <v>19297.49</v>
      </c>
      <c r="R469" s="9" t="n">
        <v>15451.66</v>
      </c>
      <c r="S469" s="9" t="n">
        <v>3845.83</v>
      </c>
      <c r="T469" s="9" t="s">
        <v>146</v>
      </c>
      <c r="U469" s="9" t="s">
        <v>100</v>
      </c>
    </row>
    <row r="470" customFormat="false" ht="15" hidden="false" customHeight="false" outlineLevel="0" collapsed="false">
      <c r="A470" s="9" t="s">
        <v>2335</v>
      </c>
      <c r="B470" s="9" t="s">
        <v>2336</v>
      </c>
      <c r="C470" s="9" t="s">
        <v>2337</v>
      </c>
      <c r="D470" s="9" t="s">
        <v>2338</v>
      </c>
      <c r="E470" s="9" t="s">
        <v>186</v>
      </c>
      <c r="F470" s="9" t="s">
        <v>137</v>
      </c>
      <c r="G470" s="9" t="s">
        <v>64</v>
      </c>
      <c r="H470" s="9" t="s">
        <v>143</v>
      </c>
      <c r="I470" s="9" t="s">
        <v>144</v>
      </c>
      <c r="J470" s="9" t="s">
        <v>52</v>
      </c>
      <c r="K470" s="9" t="s">
        <v>222</v>
      </c>
      <c r="L470" s="9" t="s">
        <v>2339</v>
      </c>
      <c r="M470" s="9" t="s">
        <v>55</v>
      </c>
      <c r="N470" s="9" t="n">
        <v>3</v>
      </c>
      <c r="O470" s="9" t="n">
        <v>2188.33</v>
      </c>
      <c r="P470" s="9" t="n">
        <v>0</v>
      </c>
      <c r="Q470" s="9" t="n">
        <v>6564.99</v>
      </c>
      <c r="R470" s="9" t="n">
        <v>5407.24</v>
      </c>
      <c r="S470" s="9" t="n">
        <v>1157.75</v>
      </c>
      <c r="T470" s="9" t="s">
        <v>56</v>
      </c>
      <c r="U470" s="9" t="s">
        <v>57</v>
      </c>
    </row>
    <row r="471" customFormat="false" ht="15" hidden="false" customHeight="false" outlineLevel="0" collapsed="false">
      <c r="A471" s="9" t="s">
        <v>2340</v>
      </c>
      <c r="B471" s="9" t="s">
        <v>2341</v>
      </c>
      <c r="C471" s="9" t="s">
        <v>2092</v>
      </c>
      <c r="D471" s="9" t="s">
        <v>2342</v>
      </c>
      <c r="E471" s="9" t="s">
        <v>129</v>
      </c>
      <c r="F471" s="9" t="s">
        <v>130</v>
      </c>
      <c r="G471" s="9" t="s">
        <v>95</v>
      </c>
      <c r="H471" s="9" t="s">
        <v>274</v>
      </c>
      <c r="I471" s="9" t="s">
        <v>275</v>
      </c>
      <c r="J471" s="9" t="s">
        <v>108</v>
      </c>
      <c r="K471" s="9" t="s">
        <v>116</v>
      </c>
      <c r="L471" s="9" t="s">
        <v>2343</v>
      </c>
      <c r="M471" s="9" t="s">
        <v>78</v>
      </c>
      <c r="N471" s="9" t="n">
        <v>3</v>
      </c>
      <c r="O471" s="9" t="n">
        <v>1041.66</v>
      </c>
      <c r="P471" s="9" t="n">
        <v>0.1</v>
      </c>
      <c r="Q471" s="9" t="n">
        <v>2812.48</v>
      </c>
      <c r="R471" s="9" t="n">
        <v>2282.12</v>
      </c>
      <c r="S471" s="9" t="n">
        <v>530.36</v>
      </c>
      <c r="T471" s="9" t="s">
        <v>56</v>
      </c>
      <c r="U471" s="9" t="s">
        <v>57</v>
      </c>
    </row>
    <row r="472" customFormat="false" ht="15" hidden="false" customHeight="false" outlineLevel="0" collapsed="false">
      <c r="A472" s="9" t="s">
        <v>2344</v>
      </c>
      <c r="B472" s="9" t="s">
        <v>2345</v>
      </c>
      <c r="C472" s="9" t="s">
        <v>1634</v>
      </c>
      <c r="D472" s="9" t="s">
        <v>2346</v>
      </c>
      <c r="E472" s="9" t="s">
        <v>129</v>
      </c>
      <c r="F472" s="9" t="s">
        <v>48</v>
      </c>
      <c r="G472" s="9" t="s">
        <v>177</v>
      </c>
      <c r="H472" s="9" t="s">
        <v>50</v>
      </c>
      <c r="I472" s="9" t="s">
        <v>51</v>
      </c>
      <c r="J472" s="9" t="s">
        <v>67</v>
      </c>
      <c r="K472" s="9" t="s">
        <v>68</v>
      </c>
      <c r="L472" s="9" t="s">
        <v>2347</v>
      </c>
      <c r="M472" s="9" t="s">
        <v>70</v>
      </c>
      <c r="N472" s="9" t="n">
        <v>2</v>
      </c>
      <c r="O472" s="9" t="n">
        <v>4424.78</v>
      </c>
      <c r="P472" s="9" t="n">
        <v>0.2</v>
      </c>
      <c r="Q472" s="9" t="n">
        <v>7079.65</v>
      </c>
      <c r="R472" s="9" t="n">
        <v>4465.91</v>
      </c>
      <c r="S472" s="9" t="n">
        <v>2613.74</v>
      </c>
      <c r="T472" s="9" t="s">
        <v>56</v>
      </c>
      <c r="U472" s="9" t="s">
        <v>57</v>
      </c>
    </row>
    <row r="473" customFormat="false" ht="15" hidden="false" customHeight="false" outlineLevel="0" collapsed="false">
      <c r="A473" s="9" t="s">
        <v>2348</v>
      </c>
      <c r="B473" s="9" t="s">
        <v>2349</v>
      </c>
      <c r="C473" s="9" t="s">
        <v>2350</v>
      </c>
      <c r="D473" s="9" t="s">
        <v>2351</v>
      </c>
      <c r="E473" s="9" t="s">
        <v>393</v>
      </c>
      <c r="F473" s="9" t="s">
        <v>48</v>
      </c>
      <c r="G473" s="9" t="s">
        <v>84</v>
      </c>
      <c r="H473" s="9" t="s">
        <v>85</v>
      </c>
      <c r="I473" s="9" t="s">
        <v>86</v>
      </c>
      <c r="J473" s="9" t="s">
        <v>52</v>
      </c>
      <c r="K473" s="9" t="s">
        <v>222</v>
      </c>
      <c r="L473" s="9" t="s">
        <v>2352</v>
      </c>
      <c r="M473" s="9" t="s">
        <v>89</v>
      </c>
      <c r="N473" s="9" t="n">
        <v>3</v>
      </c>
      <c r="O473" s="9" t="n">
        <v>3019.14</v>
      </c>
      <c r="P473" s="9" t="n">
        <v>0.25</v>
      </c>
      <c r="Q473" s="9" t="n">
        <v>6793.07</v>
      </c>
      <c r="R473" s="9" t="n">
        <v>4985.22</v>
      </c>
      <c r="S473" s="9" t="n">
        <v>1807.85</v>
      </c>
      <c r="T473" s="9" t="s">
        <v>56</v>
      </c>
      <c r="U473" s="9" t="s">
        <v>57</v>
      </c>
    </row>
    <row r="474" customFormat="false" ht="15" hidden="false" customHeight="false" outlineLevel="0" collapsed="false">
      <c r="A474" s="9" t="s">
        <v>2353</v>
      </c>
      <c r="B474" s="9" t="s">
        <v>2354</v>
      </c>
      <c r="C474" s="9" t="s">
        <v>1546</v>
      </c>
      <c r="D474" s="9" t="s">
        <v>2355</v>
      </c>
      <c r="E474" s="9" t="s">
        <v>204</v>
      </c>
      <c r="F474" s="9" t="s">
        <v>130</v>
      </c>
      <c r="G474" s="9" t="s">
        <v>64</v>
      </c>
      <c r="H474" s="9" t="s">
        <v>65</v>
      </c>
      <c r="I474" s="9" t="s">
        <v>66</v>
      </c>
      <c r="J474" s="9" t="s">
        <v>52</v>
      </c>
      <c r="K474" s="9" t="s">
        <v>180</v>
      </c>
      <c r="L474" s="9" t="s">
        <v>2356</v>
      </c>
      <c r="M474" s="9" t="s">
        <v>89</v>
      </c>
      <c r="N474" s="9" t="n">
        <v>7</v>
      </c>
      <c r="O474" s="9" t="n">
        <v>263.46</v>
      </c>
      <c r="P474" s="9" t="n">
        <v>0</v>
      </c>
      <c r="Q474" s="9" t="n">
        <v>1844.22</v>
      </c>
      <c r="R474" s="9" t="n">
        <v>1094.21</v>
      </c>
      <c r="S474" s="9" t="n">
        <v>750.01</v>
      </c>
      <c r="T474" s="9" t="s">
        <v>56</v>
      </c>
      <c r="U474" s="9" t="s">
        <v>57</v>
      </c>
    </row>
    <row r="475" customFormat="false" ht="15" hidden="false" customHeight="false" outlineLevel="0" collapsed="false">
      <c r="A475" s="9" t="s">
        <v>2357</v>
      </c>
      <c r="B475" s="9" t="s">
        <v>2358</v>
      </c>
      <c r="C475" s="9" t="s">
        <v>472</v>
      </c>
      <c r="D475" s="9" t="s">
        <v>2359</v>
      </c>
      <c r="E475" s="9" t="s">
        <v>165</v>
      </c>
      <c r="F475" s="9" t="s">
        <v>48</v>
      </c>
      <c r="G475" s="9" t="s">
        <v>95</v>
      </c>
      <c r="H475" s="9" t="s">
        <v>274</v>
      </c>
      <c r="I475" s="9" t="s">
        <v>275</v>
      </c>
      <c r="J475" s="9" t="s">
        <v>108</v>
      </c>
      <c r="K475" s="9" t="s">
        <v>116</v>
      </c>
      <c r="L475" s="9" t="s">
        <v>2360</v>
      </c>
      <c r="M475" s="9" t="s">
        <v>89</v>
      </c>
      <c r="N475" s="9" t="n">
        <v>6</v>
      </c>
      <c r="O475" s="9" t="n">
        <v>191.45</v>
      </c>
      <c r="P475" s="9" t="n">
        <v>0.2</v>
      </c>
      <c r="Q475" s="9" t="n">
        <v>918.96</v>
      </c>
      <c r="R475" s="9" t="n">
        <v>554.18</v>
      </c>
      <c r="S475" s="9" t="n">
        <v>364.78</v>
      </c>
      <c r="T475" s="9" t="s">
        <v>56</v>
      </c>
      <c r="U475" s="9" t="s">
        <v>57</v>
      </c>
    </row>
    <row r="476" customFormat="false" ht="15" hidden="false" customHeight="false" outlineLevel="0" collapsed="false">
      <c r="A476" s="9" t="s">
        <v>2361</v>
      </c>
      <c r="B476" s="9" t="s">
        <v>1258</v>
      </c>
      <c r="C476" s="9" t="s">
        <v>2362</v>
      </c>
      <c r="D476" s="9" t="s">
        <v>2363</v>
      </c>
      <c r="E476" s="9" t="s">
        <v>234</v>
      </c>
      <c r="F476" s="9" t="s">
        <v>130</v>
      </c>
      <c r="G476" s="9" t="s">
        <v>177</v>
      </c>
      <c r="H476" s="9" t="s">
        <v>178</v>
      </c>
      <c r="I476" s="9" t="s">
        <v>179</v>
      </c>
      <c r="J476" s="9" t="s">
        <v>67</v>
      </c>
      <c r="K476" s="9" t="s">
        <v>87</v>
      </c>
      <c r="L476" s="9" t="s">
        <v>2364</v>
      </c>
      <c r="M476" s="9" t="s">
        <v>89</v>
      </c>
      <c r="N476" s="9" t="n">
        <v>3</v>
      </c>
      <c r="O476" s="9" t="n">
        <v>1633.57</v>
      </c>
      <c r="P476" s="9" t="n">
        <v>0</v>
      </c>
      <c r="Q476" s="9" t="n">
        <v>4900.71</v>
      </c>
      <c r="R476" s="9" t="n">
        <v>2713.9</v>
      </c>
      <c r="S476" s="9" t="n">
        <v>2186.81</v>
      </c>
      <c r="T476" s="9" t="s">
        <v>56</v>
      </c>
      <c r="U476" s="9" t="s">
        <v>57</v>
      </c>
    </row>
    <row r="477" customFormat="false" ht="15" hidden="false" customHeight="false" outlineLevel="0" collapsed="false">
      <c r="A477" s="9" t="s">
        <v>2365</v>
      </c>
      <c r="B477" s="9" t="s">
        <v>2366</v>
      </c>
      <c r="C477" s="9" t="s">
        <v>2367</v>
      </c>
      <c r="D477" s="9" t="s">
        <v>2368</v>
      </c>
      <c r="E477" s="9" t="s">
        <v>105</v>
      </c>
      <c r="F477" s="9" t="s">
        <v>48</v>
      </c>
      <c r="G477" s="9" t="s">
        <v>64</v>
      </c>
      <c r="H477" s="9" t="s">
        <v>143</v>
      </c>
      <c r="I477" s="9" t="s">
        <v>144</v>
      </c>
      <c r="J477" s="9" t="s">
        <v>67</v>
      </c>
      <c r="K477" s="9" t="s">
        <v>98</v>
      </c>
      <c r="L477" s="9" t="s">
        <v>2369</v>
      </c>
      <c r="M477" s="9" t="s">
        <v>70</v>
      </c>
      <c r="N477" s="9" t="n">
        <v>8</v>
      </c>
      <c r="O477" s="9" t="n">
        <v>3378.82</v>
      </c>
      <c r="P477" s="9" t="n">
        <v>0.25</v>
      </c>
      <c r="Q477" s="9" t="n">
        <v>20272.92</v>
      </c>
      <c r="R477" s="9" t="n">
        <v>15873.38</v>
      </c>
      <c r="S477" s="9" t="n">
        <v>4399.54</v>
      </c>
      <c r="T477" s="9" t="s">
        <v>160</v>
      </c>
      <c r="U477" s="9" t="s">
        <v>147</v>
      </c>
    </row>
    <row r="478" customFormat="false" ht="15" hidden="false" customHeight="false" outlineLevel="0" collapsed="false">
      <c r="A478" s="9" t="s">
        <v>2370</v>
      </c>
      <c r="B478" s="9" t="s">
        <v>2371</v>
      </c>
      <c r="C478" s="9" t="s">
        <v>2372</v>
      </c>
      <c r="D478" s="9" t="s">
        <v>2373</v>
      </c>
      <c r="E478" s="9" t="s">
        <v>192</v>
      </c>
      <c r="F478" s="9" t="s">
        <v>63</v>
      </c>
      <c r="G478" s="9" t="s">
        <v>177</v>
      </c>
      <c r="H478" s="9" t="s">
        <v>50</v>
      </c>
      <c r="I478" s="9" t="s">
        <v>51</v>
      </c>
      <c r="J478" s="9" t="s">
        <v>52</v>
      </c>
      <c r="K478" s="9" t="s">
        <v>180</v>
      </c>
      <c r="L478" s="9" t="s">
        <v>2374</v>
      </c>
      <c r="M478" s="9" t="s">
        <v>78</v>
      </c>
      <c r="N478" s="9" t="n">
        <v>3</v>
      </c>
      <c r="O478" s="9" t="n">
        <v>383.58</v>
      </c>
      <c r="P478" s="9" t="n">
        <v>0.1</v>
      </c>
      <c r="Q478" s="9" t="n">
        <v>1035.67</v>
      </c>
      <c r="R478" s="9" t="n">
        <v>595.42</v>
      </c>
      <c r="S478" s="9" t="n">
        <v>440.25</v>
      </c>
      <c r="T478" s="9" t="s">
        <v>56</v>
      </c>
      <c r="U478" s="9" t="s">
        <v>57</v>
      </c>
    </row>
    <row r="479" customFormat="false" ht="15" hidden="false" customHeight="false" outlineLevel="0" collapsed="false">
      <c r="A479" s="9" t="s">
        <v>2375</v>
      </c>
      <c r="B479" s="9" t="s">
        <v>2376</v>
      </c>
      <c r="C479" s="9" t="s">
        <v>2377</v>
      </c>
      <c r="D479" s="9" t="s">
        <v>2378</v>
      </c>
      <c r="E479" s="9" t="s">
        <v>105</v>
      </c>
      <c r="F479" s="9" t="s">
        <v>130</v>
      </c>
      <c r="G479" s="9" t="s">
        <v>95</v>
      </c>
      <c r="H479" s="9" t="s">
        <v>260</v>
      </c>
      <c r="I479" s="9" t="s">
        <v>261</v>
      </c>
      <c r="J479" s="9" t="s">
        <v>67</v>
      </c>
      <c r="K479" s="9" t="s">
        <v>98</v>
      </c>
      <c r="L479" s="9" t="s">
        <v>2379</v>
      </c>
      <c r="M479" s="9" t="s">
        <v>89</v>
      </c>
      <c r="N479" s="9" t="n">
        <v>6</v>
      </c>
      <c r="O479" s="9" t="n">
        <v>2193.23</v>
      </c>
      <c r="P479" s="9" t="n">
        <v>0.1</v>
      </c>
      <c r="Q479" s="9" t="n">
        <v>11843.44</v>
      </c>
      <c r="R479" s="9" t="n">
        <v>9356.88</v>
      </c>
      <c r="S479" s="9" t="n">
        <v>2486.56</v>
      </c>
      <c r="T479" s="9" t="s">
        <v>56</v>
      </c>
      <c r="U479" s="9" t="s">
        <v>100</v>
      </c>
    </row>
    <row r="480" customFormat="false" ht="15" hidden="false" customHeight="false" outlineLevel="0" collapsed="false">
      <c r="A480" s="9" t="s">
        <v>2380</v>
      </c>
      <c r="B480" s="9" t="s">
        <v>2381</v>
      </c>
      <c r="C480" s="9" t="s">
        <v>2382</v>
      </c>
      <c r="D480" s="9" t="s">
        <v>2383</v>
      </c>
      <c r="E480" s="9" t="s">
        <v>62</v>
      </c>
      <c r="F480" s="9" t="s">
        <v>137</v>
      </c>
      <c r="G480" s="9"/>
      <c r="H480" s="9" t="s">
        <v>198</v>
      </c>
      <c r="I480" s="9" t="s">
        <v>199</v>
      </c>
      <c r="J480" s="9" t="s">
        <v>108</v>
      </c>
      <c r="K480" s="9" t="s">
        <v>409</v>
      </c>
      <c r="L480" s="9" t="s">
        <v>2384</v>
      </c>
      <c r="M480" s="9" t="s">
        <v>70</v>
      </c>
      <c r="N480" s="9" t="n">
        <v>7</v>
      </c>
      <c r="O480" s="9" t="n">
        <v>4079.71</v>
      </c>
      <c r="P480" s="9" t="n">
        <v>0.1</v>
      </c>
      <c r="Q480" s="9" t="n">
        <v>25702.17</v>
      </c>
      <c r="R480" s="9" t="n">
        <v>14571.48</v>
      </c>
      <c r="S480" s="9" t="n">
        <v>11130.69</v>
      </c>
      <c r="T480" s="9" t="s">
        <v>146</v>
      </c>
      <c r="U480" s="9" t="s">
        <v>147</v>
      </c>
    </row>
    <row r="481" customFormat="false" ht="15" hidden="false" customHeight="false" outlineLevel="0" collapsed="false">
      <c r="A481" s="9" t="s">
        <v>2385</v>
      </c>
      <c r="B481" s="9" t="s">
        <v>2386</v>
      </c>
      <c r="C481" s="9" t="s">
        <v>2129</v>
      </c>
      <c r="D481" s="9" t="s">
        <v>2387</v>
      </c>
      <c r="E481" s="9" t="s">
        <v>83</v>
      </c>
      <c r="F481" s="9" t="s">
        <v>130</v>
      </c>
      <c r="G481" s="9" t="s">
        <v>64</v>
      </c>
      <c r="H481" s="9" t="s">
        <v>65</v>
      </c>
      <c r="I481" s="9" t="s">
        <v>66</v>
      </c>
      <c r="J481" s="9" t="s">
        <v>67</v>
      </c>
      <c r="K481" s="9" t="s">
        <v>98</v>
      </c>
      <c r="L481" s="9" t="s">
        <v>2388</v>
      </c>
      <c r="M481" s="9" t="s">
        <v>55</v>
      </c>
      <c r="N481" s="9" t="n">
        <v>1</v>
      </c>
      <c r="O481" s="9" t="n">
        <v>2202.55</v>
      </c>
      <c r="P481" s="9"/>
      <c r="Q481" s="9" t="n">
        <v>1651.91</v>
      </c>
      <c r="R481" s="9" t="n">
        <v>1034.57</v>
      </c>
      <c r="S481" s="9" t="n">
        <v>617.34</v>
      </c>
      <c r="T481" s="9" t="s">
        <v>56</v>
      </c>
      <c r="U481" s="9" t="s">
        <v>57</v>
      </c>
    </row>
    <row r="482" customFormat="false" ht="15" hidden="false" customHeight="false" outlineLevel="0" collapsed="false">
      <c r="A482" s="9" t="s">
        <v>2389</v>
      </c>
      <c r="B482" s="9" t="s">
        <v>412</v>
      </c>
      <c r="C482" s="9" t="s">
        <v>2336</v>
      </c>
      <c r="D482" s="9" t="s">
        <v>2390</v>
      </c>
      <c r="E482" s="9" t="s">
        <v>115</v>
      </c>
      <c r="F482" s="9" t="s">
        <v>63</v>
      </c>
      <c r="G482" s="9" t="s">
        <v>84</v>
      </c>
      <c r="H482" s="9" t="s">
        <v>364</v>
      </c>
      <c r="I482" s="9" t="s">
        <v>365</v>
      </c>
      <c r="J482" s="9" t="s">
        <v>52</v>
      </c>
      <c r="K482" s="9" t="s">
        <v>180</v>
      </c>
      <c r="L482" s="9" t="s">
        <v>2391</v>
      </c>
      <c r="M482" s="9"/>
      <c r="N482" s="9" t="n">
        <v>5</v>
      </c>
      <c r="O482" s="9" t="n">
        <v>905.16</v>
      </c>
      <c r="P482" s="9" t="n">
        <v>0</v>
      </c>
      <c r="Q482" s="9" t="n">
        <v>4525.8</v>
      </c>
      <c r="R482" s="9" t="n">
        <v>2714.51</v>
      </c>
      <c r="S482" s="9" t="n">
        <v>1811.29</v>
      </c>
      <c r="T482" s="9" t="s">
        <v>56</v>
      </c>
      <c r="U482" s="9" t="s">
        <v>57</v>
      </c>
    </row>
    <row r="483" customFormat="false" ht="15" hidden="false" customHeight="false" outlineLevel="0" collapsed="false">
      <c r="A483" s="9" t="s">
        <v>2392</v>
      </c>
      <c r="B483" s="9" t="s">
        <v>2393</v>
      </c>
      <c r="C483" s="9" t="s">
        <v>2394</v>
      </c>
      <c r="D483" s="9" t="s">
        <v>2395</v>
      </c>
      <c r="E483" s="9" t="s">
        <v>75</v>
      </c>
      <c r="F483" s="9" t="s">
        <v>48</v>
      </c>
      <c r="G483" s="9" t="s">
        <v>177</v>
      </c>
      <c r="H483" s="9" t="s">
        <v>198</v>
      </c>
      <c r="I483" s="9" t="s">
        <v>199</v>
      </c>
      <c r="J483" s="9" t="s">
        <v>108</v>
      </c>
      <c r="K483" s="9" t="s">
        <v>409</v>
      </c>
      <c r="L483" s="9" t="s">
        <v>2396</v>
      </c>
      <c r="M483" s="9" t="s">
        <v>70</v>
      </c>
      <c r="N483" s="9" t="n">
        <v>4</v>
      </c>
      <c r="O483" s="9" t="n">
        <v>2793.88</v>
      </c>
      <c r="P483" s="9" t="s">
        <v>1208</v>
      </c>
      <c r="Q483" s="9" t="n">
        <v>10616.74</v>
      </c>
      <c r="R483" s="9" t="n">
        <v>6353.59</v>
      </c>
      <c r="S483" s="9" t="n">
        <v>4263.15</v>
      </c>
      <c r="T483" s="9" t="s">
        <v>56</v>
      </c>
      <c r="U483" s="9" t="s">
        <v>57</v>
      </c>
    </row>
    <row r="484" customFormat="false" ht="15" hidden="false" customHeight="false" outlineLevel="0" collapsed="false">
      <c r="A484" s="9" t="s">
        <v>2397</v>
      </c>
      <c r="B484" s="9" t="s">
        <v>288</v>
      </c>
      <c r="C484" s="9" t="s">
        <v>288</v>
      </c>
      <c r="D484" s="9" t="s">
        <v>2398</v>
      </c>
      <c r="E484" s="9" t="s">
        <v>165</v>
      </c>
      <c r="F484" s="9" t="s">
        <v>48</v>
      </c>
      <c r="G484" s="9" t="s">
        <v>84</v>
      </c>
      <c r="H484" s="9" t="s">
        <v>254</v>
      </c>
      <c r="I484" s="9" t="s">
        <v>255</v>
      </c>
      <c r="J484" s="9" t="s">
        <v>108</v>
      </c>
      <c r="K484" s="9" t="s">
        <v>109</v>
      </c>
      <c r="L484" s="9" t="s">
        <v>2399</v>
      </c>
      <c r="M484" s="9" t="s">
        <v>55</v>
      </c>
      <c r="N484" s="9" t="n">
        <v>3</v>
      </c>
      <c r="O484" s="9" t="n">
        <v>1286.22</v>
      </c>
      <c r="P484" s="9" t="n">
        <v>0.25</v>
      </c>
      <c r="Q484" s="9" t="n">
        <v>2893.99</v>
      </c>
      <c r="R484" s="9" t="n">
        <v>1856.03</v>
      </c>
      <c r="S484" s="9" t="n">
        <v>1037.96</v>
      </c>
      <c r="T484" s="9" t="s">
        <v>56</v>
      </c>
      <c r="U484" s="9" t="s">
        <v>57</v>
      </c>
    </row>
    <row r="485" customFormat="false" ht="15" hidden="false" customHeight="false" outlineLevel="0" collapsed="false">
      <c r="A485" s="9" t="s">
        <v>2400</v>
      </c>
      <c r="B485" s="9" t="s">
        <v>1444</v>
      </c>
      <c r="C485" s="9" t="s">
        <v>2401</v>
      </c>
      <c r="D485" s="9" t="s">
        <v>2402</v>
      </c>
      <c r="E485" s="9" t="s">
        <v>62</v>
      </c>
      <c r="F485" s="9" t="s">
        <v>130</v>
      </c>
      <c r="G485" s="9" t="s">
        <v>64</v>
      </c>
      <c r="H485" s="9" t="s">
        <v>210</v>
      </c>
      <c r="I485" s="9" t="s">
        <v>211</v>
      </c>
      <c r="J485" s="9" t="s">
        <v>108</v>
      </c>
      <c r="K485" s="9" t="s">
        <v>116</v>
      </c>
      <c r="L485" s="9" t="s">
        <v>2403</v>
      </c>
      <c r="M485" s="9" t="s">
        <v>89</v>
      </c>
      <c r="N485" s="9" t="n">
        <v>1</v>
      </c>
      <c r="O485" s="9" t="n">
        <v>829.66</v>
      </c>
      <c r="P485" s="9" t="n">
        <v>0.15</v>
      </c>
      <c r="Q485" s="9" t="n">
        <v>705.21</v>
      </c>
      <c r="R485" s="9" t="n">
        <v>438.32</v>
      </c>
      <c r="S485" s="9" t="n">
        <v>266.89</v>
      </c>
      <c r="T485" s="9" t="s">
        <v>56</v>
      </c>
      <c r="U485" s="9" t="s">
        <v>57</v>
      </c>
    </row>
    <row r="486" customFormat="false" ht="15" hidden="false" customHeight="false" outlineLevel="0" collapsed="false">
      <c r="A486" s="9" t="s">
        <v>2404</v>
      </c>
      <c r="B486" s="9" t="s">
        <v>2405</v>
      </c>
      <c r="C486" s="9" t="s">
        <v>2406</v>
      </c>
      <c r="D486" s="9" t="s">
        <v>2407</v>
      </c>
      <c r="E486" s="9" t="s">
        <v>62</v>
      </c>
      <c r="F486" s="9" t="s">
        <v>63</v>
      </c>
      <c r="G486" s="9" t="s">
        <v>84</v>
      </c>
      <c r="H486" s="9" t="s">
        <v>122</v>
      </c>
      <c r="I486" s="9" t="s">
        <v>123</v>
      </c>
      <c r="J486" s="9" t="s">
        <v>67</v>
      </c>
      <c r="K486" s="9" t="s">
        <v>87</v>
      </c>
      <c r="L486" s="9" t="s">
        <v>2408</v>
      </c>
      <c r="M486" s="9" t="s">
        <v>78</v>
      </c>
      <c r="N486" s="9" t="n">
        <v>6</v>
      </c>
      <c r="O486" s="9" t="n">
        <v>3641.22</v>
      </c>
      <c r="P486" s="9" t="n">
        <v>0.25</v>
      </c>
      <c r="Q486" s="9" t="n">
        <v>16385.49</v>
      </c>
      <c r="R486" s="9" t="n">
        <v>13679.24</v>
      </c>
      <c r="S486" s="9" t="n">
        <v>2706.25</v>
      </c>
      <c r="T486" s="9" t="s">
        <v>56</v>
      </c>
      <c r="U486" s="9" t="s">
        <v>57</v>
      </c>
    </row>
    <row r="487" customFormat="false" ht="15" hidden="false" customHeight="false" outlineLevel="0" collapsed="false">
      <c r="A487" s="9" t="s">
        <v>2409</v>
      </c>
      <c r="B487" s="9" t="s">
        <v>1877</v>
      </c>
      <c r="C487" s="9" t="s">
        <v>208</v>
      </c>
      <c r="D487" s="9" t="s">
        <v>2410</v>
      </c>
      <c r="E487" s="9" t="s">
        <v>171</v>
      </c>
      <c r="F487" s="9" t="s">
        <v>130</v>
      </c>
      <c r="G487" s="9" t="s">
        <v>95</v>
      </c>
      <c r="H487" s="9" t="s">
        <v>274</v>
      </c>
      <c r="I487" s="9" t="s">
        <v>275</v>
      </c>
      <c r="J487" s="9" t="s">
        <v>67</v>
      </c>
      <c r="K487" s="9" t="s">
        <v>228</v>
      </c>
      <c r="L487" s="9" t="s">
        <v>2411</v>
      </c>
      <c r="M487" s="9" t="s">
        <v>89</v>
      </c>
      <c r="N487" s="9" t="n">
        <v>4</v>
      </c>
      <c r="O487" s="9" t="n">
        <v>2555.19</v>
      </c>
      <c r="P487" s="9" t="n">
        <v>0.25</v>
      </c>
      <c r="Q487" s="9" t="n">
        <v>7665.57</v>
      </c>
      <c r="R487" s="9" t="n">
        <v>5595.6</v>
      </c>
      <c r="S487" s="9" t="n">
        <v>2069.97</v>
      </c>
      <c r="T487" s="9" t="s">
        <v>56</v>
      </c>
      <c r="U487" s="9" t="s">
        <v>57</v>
      </c>
    </row>
    <row r="488" customFormat="false" ht="15" hidden="false" customHeight="false" outlineLevel="0" collapsed="false">
      <c r="A488" s="9" t="s">
        <v>2412</v>
      </c>
      <c r="B488" s="9" t="s">
        <v>2413</v>
      </c>
      <c r="C488" s="9" t="s">
        <v>2414</v>
      </c>
      <c r="D488" s="9" t="s">
        <v>2415</v>
      </c>
      <c r="E488" s="9" t="s">
        <v>171</v>
      </c>
      <c r="F488" s="9" t="s">
        <v>130</v>
      </c>
      <c r="G488" s="9" t="s">
        <v>95</v>
      </c>
      <c r="H488" s="9" t="s">
        <v>274</v>
      </c>
      <c r="I488" s="9" t="s">
        <v>275</v>
      </c>
      <c r="J488" s="9" t="s">
        <v>67</v>
      </c>
      <c r="K488" s="9" t="s">
        <v>68</v>
      </c>
      <c r="L488" s="9" t="s">
        <v>2416</v>
      </c>
      <c r="M488" s="9" t="s">
        <v>89</v>
      </c>
      <c r="N488" s="9" t="n">
        <v>3</v>
      </c>
      <c r="O488" s="9" t="n">
        <v>1946.18</v>
      </c>
      <c r="P488" s="9" t="n">
        <v>0.2</v>
      </c>
      <c r="Q488" s="9" t="n">
        <v>4670.83</v>
      </c>
      <c r="R488" s="9" t="n">
        <v>3166.49</v>
      </c>
      <c r="S488" s="9" t="n">
        <v>1504.34</v>
      </c>
      <c r="T488" s="9" t="s">
        <v>56</v>
      </c>
      <c r="U488" s="9" t="s">
        <v>57</v>
      </c>
    </row>
    <row r="489" customFormat="false" ht="15" hidden="false" customHeight="false" outlineLevel="0" collapsed="false">
      <c r="A489" s="9" t="s">
        <v>2417</v>
      </c>
      <c r="B489" s="9" t="s">
        <v>2008</v>
      </c>
      <c r="C489" s="9" t="s">
        <v>2418</v>
      </c>
      <c r="D489" s="9" t="s">
        <v>2419</v>
      </c>
      <c r="E489" s="9" t="s">
        <v>171</v>
      </c>
      <c r="F489" s="9" t="s">
        <v>130</v>
      </c>
      <c r="G489" s="9" t="s">
        <v>84</v>
      </c>
      <c r="H489" s="9" t="s">
        <v>85</v>
      </c>
      <c r="I489" s="9" t="s">
        <v>86</v>
      </c>
      <c r="J489" s="9" t="s">
        <v>67</v>
      </c>
      <c r="K489" s="9" t="s">
        <v>87</v>
      </c>
      <c r="L489" s="9" t="s">
        <v>2420</v>
      </c>
      <c r="M489" s="9" t="s">
        <v>89</v>
      </c>
      <c r="N489" s="9" t="n">
        <v>5</v>
      </c>
      <c r="O489" s="9" t="n">
        <v>1231.1</v>
      </c>
      <c r="P489" s="9" t="n">
        <v>0</v>
      </c>
      <c r="Q489" s="9" t="n">
        <v>6155.5</v>
      </c>
      <c r="R489" s="9" t="n">
        <v>4282.09</v>
      </c>
      <c r="S489" s="9" t="n">
        <v>1873.41</v>
      </c>
      <c r="T489" s="9" t="s">
        <v>146</v>
      </c>
      <c r="U489" s="9" t="s">
        <v>147</v>
      </c>
    </row>
    <row r="490" customFormat="false" ht="15" hidden="false" customHeight="false" outlineLevel="0" collapsed="false">
      <c r="A490" s="9" t="s">
        <v>2421</v>
      </c>
      <c r="B490" s="9" t="s">
        <v>2422</v>
      </c>
      <c r="C490" s="9" t="s">
        <v>2423</v>
      </c>
      <c r="D490" s="9" t="s">
        <v>2424</v>
      </c>
      <c r="E490" s="9" t="s">
        <v>129</v>
      </c>
      <c r="F490" s="9" t="s">
        <v>63</v>
      </c>
      <c r="G490" s="9" t="s">
        <v>2425</v>
      </c>
      <c r="H490" s="9" t="s">
        <v>50</v>
      </c>
      <c r="I490" s="9" t="s">
        <v>51</v>
      </c>
      <c r="J490" s="9" t="s">
        <v>67</v>
      </c>
      <c r="K490" s="9" t="s">
        <v>68</v>
      </c>
      <c r="L490" s="9" t="s">
        <v>2426</v>
      </c>
      <c r="M490" s="9" t="s">
        <v>70</v>
      </c>
      <c r="N490" s="9" t="n">
        <v>7</v>
      </c>
      <c r="O490" s="9" t="n">
        <v>1547.6</v>
      </c>
      <c r="P490" s="9" t="n">
        <v>0.2</v>
      </c>
      <c r="Q490" s="9" t="n">
        <v>8666.56</v>
      </c>
      <c r="R490" s="9" t="n">
        <v>5967.44</v>
      </c>
      <c r="S490" s="9" t="n">
        <v>2699.12</v>
      </c>
      <c r="T490" s="9" t="s">
        <v>56</v>
      </c>
      <c r="U490" s="9" t="s">
        <v>57</v>
      </c>
    </row>
    <row r="491" customFormat="false" ht="15" hidden="false" customHeight="false" outlineLevel="0" collapsed="false">
      <c r="A491" s="9" t="s">
        <v>2427</v>
      </c>
      <c r="B491" s="9" t="s">
        <v>417</v>
      </c>
      <c r="C491" s="9" t="s">
        <v>2428</v>
      </c>
      <c r="D491" s="9" t="s">
        <v>2429</v>
      </c>
      <c r="E491" s="9" t="s">
        <v>83</v>
      </c>
      <c r="F491" s="9" t="s">
        <v>137</v>
      </c>
      <c r="G491" s="9" t="s">
        <v>64</v>
      </c>
      <c r="H491" s="9" t="s">
        <v>143</v>
      </c>
      <c r="I491" s="9" t="s">
        <v>144</v>
      </c>
      <c r="J491" s="9" t="s">
        <v>108</v>
      </c>
      <c r="K491" s="9" t="s">
        <v>109</v>
      </c>
      <c r="L491" s="9" t="s">
        <v>2430</v>
      </c>
      <c r="M491" s="9" t="s">
        <v>55</v>
      </c>
      <c r="N491" s="9" t="n">
        <v>1</v>
      </c>
      <c r="O491" s="9" t="n">
        <v>452.19</v>
      </c>
      <c r="P491" s="9" t="n">
        <v>0.2</v>
      </c>
      <c r="Q491" s="9" t="n">
        <v>361.75</v>
      </c>
      <c r="R491" s="9" t="n">
        <v>262.53</v>
      </c>
      <c r="S491" s="9" t="n">
        <v>99.22</v>
      </c>
      <c r="T491" s="9" t="s">
        <v>56</v>
      </c>
      <c r="U491" s="9" t="s">
        <v>57</v>
      </c>
    </row>
    <row r="492" customFormat="false" ht="15" hidden="false" customHeight="false" outlineLevel="0" collapsed="false">
      <c r="A492" s="9" t="s">
        <v>2431</v>
      </c>
      <c r="B492" s="9" t="s">
        <v>2432</v>
      </c>
      <c r="C492" s="9" t="s">
        <v>1929</v>
      </c>
      <c r="D492" s="9" t="s">
        <v>2433</v>
      </c>
      <c r="E492" s="9" t="s">
        <v>129</v>
      </c>
      <c r="F492" s="9" t="s">
        <v>48</v>
      </c>
      <c r="G492" s="9" t="s">
        <v>95</v>
      </c>
      <c r="H492" s="9" t="s">
        <v>50</v>
      </c>
      <c r="I492" s="9" t="s">
        <v>158</v>
      </c>
      <c r="J492" s="9" t="s">
        <v>52</v>
      </c>
      <c r="K492" s="9" t="s">
        <v>222</v>
      </c>
      <c r="L492" s="9" t="s">
        <v>2434</v>
      </c>
      <c r="M492" s="9" t="s">
        <v>78</v>
      </c>
      <c r="N492" s="9" t="n">
        <v>7</v>
      </c>
      <c r="O492" s="9" t="n">
        <v>406.42</v>
      </c>
      <c r="P492" s="9" t="n">
        <v>0.15</v>
      </c>
      <c r="Q492" s="9" t="n">
        <v>2418.2</v>
      </c>
      <c r="R492" s="9" t="n">
        <v>1613.82</v>
      </c>
      <c r="S492" s="9" t="n">
        <v>804.38</v>
      </c>
      <c r="T492" s="9" t="s">
        <v>56</v>
      </c>
      <c r="U492" s="9" t="s">
        <v>57</v>
      </c>
    </row>
    <row r="493" customFormat="false" ht="15" hidden="false" customHeight="false" outlineLevel="0" collapsed="false">
      <c r="A493" s="9" t="s">
        <v>2435</v>
      </c>
      <c r="B493" s="9" t="s">
        <v>2019</v>
      </c>
      <c r="C493" s="9" t="s">
        <v>2436</v>
      </c>
      <c r="D493" s="9" t="s">
        <v>2437</v>
      </c>
      <c r="E493" s="9" t="s">
        <v>62</v>
      </c>
      <c r="F493" s="9" t="s">
        <v>130</v>
      </c>
      <c r="G493" s="9" t="s">
        <v>84</v>
      </c>
      <c r="H493" s="9" t="s">
        <v>267</v>
      </c>
      <c r="I493" s="9" t="s">
        <v>268</v>
      </c>
      <c r="J493" s="9" t="s">
        <v>108</v>
      </c>
      <c r="K493" s="9" t="s">
        <v>109</v>
      </c>
      <c r="L493" s="9" t="s">
        <v>2438</v>
      </c>
      <c r="M493" s="9" t="s">
        <v>89</v>
      </c>
      <c r="N493" s="9" t="n">
        <v>4</v>
      </c>
      <c r="O493" s="9" t="n">
        <v>606.58</v>
      </c>
      <c r="P493" s="9" t="n">
        <v>0.2</v>
      </c>
      <c r="Q493" s="9" t="n">
        <v>1941.06</v>
      </c>
      <c r="R493" s="9" t="n">
        <v>1207.42</v>
      </c>
      <c r="S493" s="9" t="n">
        <v>733.64</v>
      </c>
      <c r="T493" s="9" t="s">
        <v>56</v>
      </c>
      <c r="U493" s="9" t="s">
        <v>57</v>
      </c>
    </row>
    <row r="494" customFormat="false" ht="15" hidden="false" customHeight="false" outlineLevel="0" collapsed="false">
      <c r="A494" s="9" t="s">
        <v>2439</v>
      </c>
      <c r="B494" s="9" t="s">
        <v>2440</v>
      </c>
      <c r="C494" s="9" t="s">
        <v>2441</v>
      </c>
      <c r="D494" s="9" t="s">
        <v>2442</v>
      </c>
      <c r="E494" s="9" t="s">
        <v>94</v>
      </c>
      <c r="F494" s="9" t="s">
        <v>130</v>
      </c>
      <c r="G494" s="9" t="s">
        <v>84</v>
      </c>
      <c r="H494" s="9" t="s">
        <v>122</v>
      </c>
      <c r="I494" s="9" t="s">
        <v>123</v>
      </c>
      <c r="J494" s="9" t="s">
        <v>52</v>
      </c>
      <c r="K494" s="9" t="s">
        <v>180</v>
      </c>
      <c r="L494" s="9" t="s">
        <v>2443</v>
      </c>
      <c r="M494" s="9" t="s">
        <v>55</v>
      </c>
      <c r="N494" s="9" t="n">
        <v>2</v>
      </c>
      <c r="O494" s="9" t="n">
        <v>2725.44</v>
      </c>
      <c r="P494" s="9" t="n">
        <v>0.25</v>
      </c>
      <c r="Q494" s="9" t="n">
        <v>4088.16</v>
      </c>
      <c r="R494" s="9" t="n">
        <v>3205.68</v>
      </c>
      <c r="S494" s="9" t="n">
        <v>882.48</v>
      </c>
      <c r="T494" s="9" t="s">
        <v>56</v>
      </c>
      <c r="U494" s="9" t="s">
        <v>57</v>
      </c>
    </row>
    <row r="495" customFormat="false" ht="15" hidden="false" customHeight="false" outlineLevel="0" collapsed="false">
      <c r="A495" s="9" t="s">
        <v>2444</v>
      </c>
      <c r="B495" s="9" t="s">
        <v>1454</v>
      </c>
      <c r="C495" s="9" t="s">
        <v>2445</v>
      </c>
      <c r="D495" s="9" t="s">
        <v>2446</v>
      </c>
      <c r="E495" s="9" t="s">
        <v>393</v>
      </c>
      <c r="F495" s="9" t="s">
        <v>130</v>
      </c>
      <c r="G495" s="9" t="s">
        <v>64</v>
      </c>
      <c r="H495" s="9" t="s">
        <v>65</v>
      </c>
      <c r="I495" s="9" t="s">
        <v>66</v>
      </c>
      <c r="J495" s="9" t="s">
        <v>52</v>
      </c>
      <c r="K495" s="9" t="s">
        <v>53</v>
      </c>
      <c r="L495" s="9" t="s">
        <v>2447</v>
      </c>
      <c r="M495" s="9" t="s">
        <v>55</v>
      </c>
      <c r="N495" s="9" t="n">
        <v>7</v>
      </c>
      <c r="O495" s="9" t="n">
        <v>2296.7</v>
      </c>
      <c r="P495" s="9" t="n">
        <v>0.05</v>
      </c>
      <c r="Q495" s="9" t="n">
        <v>15273.05</v>
      </c>
      <c r="R495" s="9" t="n">
        <v>11088.76</v>
      </c>
      <c r="S495" s="9" t="n">
        <v>4184.29</v>
      </c>
      <c r="T495" s="9" t="s">
        <v>56</v>
      </c>
      <c r="U495" s="9" t="s">
        <v>2448</v>
      </c>
    </row>
    <row r="496" customFormat="false" ht="15" hidden="false" customHeight="false" outlineLevel="0" collapsed="false">
      <c r="A496" s="9" t="s">
        <v>2449</v>
      </c>
      <c r="B496" s="9" t="s">
        <v>2450</v>
      </c>
      <c r="C496" s="9" t="s">
        <v>2451</v>
      </c>
      <c r="D496" s="9" t="s">
        <v>2452</v>
      </c>
      <c r="E496" s="9" t="s">
        <v>75</v>
      </c>
      <c r="F496" s="9" t="s">
        <v>48</v>
      </c>
      <c r="G496" s="9" t="s">
        <v>95</v>
      </c>
      <c r="H496" s="9" t="s">
        <v>106</v>
      </c>
      <c r="I496" s="9" t="s">
        <v>107</v>
      </c>
      <c r="J496" s="9" t="s">
        <v>108</v>
      </c>
      <c r="K496" s="9" t="s">
        <v>247</v>
      </c>
      <c r="L496" s="9" t="s">
        <v>2453</v>
      </c>
      <c r="M496" s="9" t="s">
        <v>89</v>
      </c>
      <c r="N496" s="9" t="n">
        <v>3</v>
      </c>
      <c r="O496" s="9" t="n">
        <v>671.68</v>
      </c>
      <c r="P496" s="9" t="n">
        <v>-0.13</v>
      </c>
      <c r="Q496" s="9" t="n">
        <v>1712.78</v>
      </c>
      <c r="R496" s="9" t="n">
        <v>1569.38</v>
      </c>
      <c r="S496" s="9" t="n">
        <v>360.66</v>
      </c>
      <c r="T496" s="9" t="s">
        <v>224</v>
      </c>
      <c r="U496" s="9" t="s">
        <v>100</v>
      </c>
    </row>
    <row r="497" customFormat="false" ht="15" hidden="false" customHeight="false" outlineLevel="0" collapsed="false">
      <c r="A497" s="9" t="s">
        <v>2454</v>
      </c>
      <c r="B497" s="9" t="s">
        <v>2234</v>
      </c>
      <c r="C497" s="9" t="s">
        <v>2455</v>
      </c>
      <c r="D497" s="9" t="s">
        <v>2456</v>
      </c>
      <c r="E497" s="9" t="s">
        <v>62</v>
      </c>
      <c r="F497" s="9" t="s">
        <v>63</v>
      </c>
      <c r="G497" s="9" t="s">
        <v>64</v>
      </c>
      <c r="H497" s="9" t="s">
        <v>240</v>
      </c>
      <c r="I497" s="9" t="s">
        <v>241</v>
      </c>
      <c r="J497" s="9" t="s">
        <v>108</v>
      </c>
      <c r="K497" s="9" t="s">
        <v>247</v>
      </c>
      <c r="L497" s="9" t="s">
        <v>2457</v>
      </c>
      <c r="M497" s="9" t="s">
        <v>55</v>
      </c>
      <c r="N497" s="9" t="n">
        <v>4</v>
      </c>
      <c r="O497" s="9" t="n">
        <v>995.98</v>
      </c>
      <c r="P497" s="9" t="n">
        <v>0.05</v>
      </c>
      <c r="Q497" s="9" t="n">
        <v>3784.72</v>
      </c>
      <c r="R497" s="9" t="n">
        <v>2419.24</v>
      </c>
      <c r="S497" s="9" t="n">
        <v>1365.48</v>
      </c>
      <c r="T497" s="9" t="s">
        <v>146</v>
      </c>
      <c r="U497" s="9" t="s">
        <v>147</v>
      </c>
    </row>
    <row r="498" customFormat="false" ht="15" hidden="false" customHeight="false" outlineLevel="0" collapsed="false">
      <c r="A498" s="9" t="s">
        <v>2458</v>
      </c>
      <c r="B498" s="9" t="s">
        <v>2459</v>
      </c>
      <c r="C498" s="9" t="s">
        <v>2460</v>
      </c>
      <c r="D498" s="9" t="s">
        <v>2461</v>
      </c>
      <c r="E498" s="9" t="s">
        <v>393</v>
      </c>
      <c r="F498" s="9" t="s">
        <v>63</v>
      </c>
      <c r="G498" s="9" t="s">
        <v>64</v>
      </c>
      <c r="H498" s="9" t="s">
        <v>336</v>
      </c>
      <c r="I498" s="9" t="s">
        <v>337</v>
      </c>
      <c r="J498" s="9" t="s">
        <v>67</v>
      </c>
      <c r="K498" s="9" t="s">
        <v>98</v>
      </c>
      <c r="L498" s="9" t="s">
        <v>2462</v>
      </c>
      <c r="M498" s="9" t="s">
        <v>55</v>
      </c>
      <c r="N498" s="9" t="n">
        <v>2</v>
      </c>
      <c r="O498" s="9" t="n">
        <v>3686.42</v>
      </c>
      <c r="P498" s="9" t="n">
        <v>0.1</v>
      </c>
      <c r="Q498" s="9" t="n">
        <v>6635.56</v>
      </c>
      <c r="R498" s="9" t="n">
        <v>3652.91</v>
      </c>
      <c r="S498" s="9" t="n">
        <v>2982.65</v>
      </c>
      <c r="T498" s="9" t="s">
        <v>56</v>
      </c>
      <c r="U498" s="9" t="s">
        <v>57</v>
      </c>
    </row>
    <row r="499" customFormat="false" ht="15" hidden="false" customHeight="false" outlineLevel="0" collapsed="false">
      <c r="A499" s="9" t="s">
        <v>2463</v>
      </c>
      <c r="B499" s="9" t="s">
        <v>2464</v>
      </c>
      <c r="C499" s="9" t="s">
        <v>2464</v>
      </c>
      <c r="D499" s="9" t="s">
        <v>2465</v>
      </c>
      <c r="E499" s="9" t="s">
        <v>192</v>
      </c>
      <c r="F499" s="9" t="s">
        <v>63</v>
      </c>
      <c r="G499" s="9" t="s">
        <v>745</v>
      </c>
      <c r="H499" s="9" t="s">
        <v>198</v>
      </c>
      <c r="I499" s="9" t="s">
        <v>199</v>
      </c>
      <c r="J499" s="9" t="s">
        <v>108</v>
      </c>
      <c r="K499" s="9" t="s">
        <v>109</v>
      </c>
      <c r="L499" s="9" t="s">
        <v>2466</v>
      </c>
      <c r="M499" s="9" t="s">
        <v>55</v>
      </c>
      <c r="N499" s="9" t="n">
        <v>1</v>
      </c>
      <c r="O499" s="9" t="n">
        <v>3106.88</v>
      </c>
      <c r="P499" s="9" t="n">
        <v>0.2</v>
      </c>
      <c r="Q499" s="9" t="n">
        <v>2485.5</v>
      </c>
      <c r="R499" s="9" t="n">
        <v>2028.43</v>
      </c>
      <c r="S499" s="9" t="n">
        <v>457.07</v>
      </c>
      <c r="T499" s="9" t="s">
        <v>56</v>
      </c>
      <c r="U499" s="9" t="s">
        <v>100</v>
      </c>
    </row>
    <row r="500" customFormat="false" ht="15" hidden="false" customHeight="false" outlineLevel="0" collapsed="false">
      <c r="A500" s="9" t="s">
        <v>2467</v>
      </c>
      <c r="B500" s="9" t="s">
        <v>2468</v>
      </c>
      <c r="C500" s="9" t="s">
        <v>2469</v>
      </c>
      <c r="D500" s="9" t="s">
        <v>2470</v>
      </c>
      <c r="E500" s="9" t="s">
        <v>47</v>
      </c>
      <c r="F500" s="9" t="s">
        <v>48</v>
      </c>
      <c r="G500" s="9" t="s">
        <v>177</v>
      </c>
      <c r="H500" s="9" t="s">
        <v>178</v>
      </c>
      <c r="I500" s="9" t="s">
        <v>179</v>
      </c>
      <c r="J500" s="9" t="s">
        <v>67</v>
      </c>
      <c r="K500" s="9" t="s">
        <v>98</v>
      </c>
      <c r="L500" s="9" t="s">
        <v>2471</v>
      </c>
      <c r="M500" s="9" t="s">
        <v>70</v>
      </c>
      <c r="N500" s="9" t="n">
        <v>2</v>
      </c>
      <c r="O500" s="9" t="n">
        <v>447.55</v>
      </c>
      <c r="P500" s="9" t="n">
        <v>0.05</v>
      </c>
      <c r="Q500" s="9" t="n">
        <v>850.35</v>
      </c>
      <c r="R500" s="9" t="n">
        <v>600.98</v>
      </c>
      <c r="S500" s="9" t="n">
        <v>249.37</v>
      </c>
      <c r="T500" s="9" t="s">
        <v>146</v>
      </c>
      <c r="U500" s="9" t="s">
        <v>2472</v>
      </c>
    </row>
    <row r="501" customFormat="false" ht="15" hidden="false" customHeight="false" outlineLevel="0" collapsed="false">
      <c r="A501" s="9" t="s">
        <v>2473</v>
      </c>
      <c r="B501" s="9" t="s">
        <v>2474</v>
      </c>
      <c r="C501" s="9" t="s">
        <v>1485</v>
      </c>
      <c r="D501" s="9" t="s">
        <v>2475</v>
      </c>
      <c r="E501" s="9" t="s">
        <v>171</v>
      </c>
      <c r="F501" s="9" t="s">
        <v>137</v>
      </c>
      <c r="G501" s="9" t="s">
        <v>177</v>
      </c>
      <c r="H501" s="9" t="s">
        <v>198</v>
      </c>
      <c r="I501" s="9" t="s">
        <v>199</v>
      </c>
      <c r="J501" s="9" t="s">
        <v>67</v>
      </c>
      <c r="K501" s="9" t="s">
        <v>98</v>
      </c>
      <c r="L501" s="9" t="s">
        <v>2476</v>
      </c>
      <c r="M501" s="9" t="s">
        <v>89</v>
      </c>
      <c r="N501" s="9" t="n">
        <v>9</v>
      </c>
      <c r="O501" s="9" t="n">
        <v>1110.87</v>
      </c>
      <c r="P501" s="9"/>
      <c r="Q501" s="9" t="n">
        <v>7498.37</v>
      </c>
      <c r="R501" s="9" t="n">
        <v>6059.07</v>
      </c>
      <c r="S501" s="9" t="n">
        <v>1439.3</v>
      </c>
      <c r="T501" s="9" t="s">
        <v>56</v>
      </c>
      <c r="U501" s="9" t="s">
        <v>100</v>
      </c>
    </row>
    <row r="502" customFormat="false" ht="15" hidden="false" customHeight="false" outlineLevel="0" collapsed="false">
      <c r="A502" s="9" t="s">
        <v>2477</v>
      </c>
      <c r="B502" s="9" t="s">
        <v>1165</v>
      </c>
      <c r="C502" s="9" t="s">
        <v>2478</v>
      </c>
      <c r="D502" s="9" t="s">
        <v>2479</v>
      </c>
      <c r="E502" s="9" t="s">
        <v>192</v>
      </c>
      <c r="F502" s="9" t="s">
        <v>48</v>
      </c>
      <c r="G502" s="9" t="s">
        <v>84</v>
      </c>
      <c r="H502" s="9" t="s">
        <v>267</v>
      </c>
      <c r="I502" s="9" t="s">
        <v>268</v>
      </c>
      <c r="J502" s="9" t="s">
        <v>108</v>
      </c>
      <c r="K502" s="9" t="s">
        <v>247</v>
      </c>
      <c r="L502" s="9" t="s">
        <v>2480</v>
      </c>
      <c r="M502" s="9" t="s">
        <v>70</v>
      </c>
      <c r="N502" s="9" t="n">
        <v>9</v>
      </c>
      <c r="O502" s="9" t="n">
        <v>3795.99</v>
      </c>
      <c r="P502" s="9" t="s">
        <v>1208</v>
      </c>
      <c r="Q502" s="9" t="n">
        <v>34163.91</v>
      </c>
      <c r="R502" s="9" t="n">
        <v>28577.15</v>
      </c>
      <c r="S502" s="9" t="n">
        <v>5586.76</v>
      </c>
      <c r="T502" s="9" t="s">
        <v>56</v>
      </c>
      <c r="U502" s="9" t="s">
        <v>57</v>
      </c>
    </row>
    <row r="503" customFormat="false" ht="15" hidden="false" customHeight="false" outlineLevel="0" collapsed="false">
      <c r="A503" s="9" t="s">
        <v>2481</v>
      </c>
      <c r="B503" s="9" t="s">
        <v>2482</v>
      </c>
      <c r="C503" s="9" t="s">
        <v>2483</v>
      </c>
      <c r="D503" s="9" t="s">
        <v>1275</v>
      </c>
      <c r="E503" s="9" t="s">
        <v>115</v>
      </c>
      <c r="F503" s="9" t="s">
        <v>48</v>
      </c>
      <c r="G503" s="9" t="s">
        <v>64</v>
      </c>
      <c r="H503" s="9" t="s">
        <v>336</v>
      </c>
      <c r="I503" s="9" t="s">
        <v>337</v>
      </c>
      <c r="J503" s="9" t="s">
        <v>52</v>
      </c>
      <c r="K503" s="9" t="s">
        <v>76</v>
      </c>
      <c r="L503" s="9" t="s">
        <v>2484</v>
      </c>
      <c r="M503" s="9" t="s">
        <v>55</v>
      </c>
      <c r="N503" s="9" t="n">
        <v>6</v>
      </c>
      <c r="O503" s="9" t="n">
        <v>3497.54</v>
      </c>
      <c r="P503" s="9" t="n">
        <v>0.15</v>
      </c>
      <c r="Q503" s="9" t="n">
        <v>17837.45</v>
      </c>
      <c r="R503" s="9" t="n">
        <v>13627.02</v>
      </c>
      <c r="S503" s="9" t="n">
        <v>4210.43</v>
      </c>
      <c r="T503" s="9" t="s">
        <v>56</v>
      </c>
      <c r="U503" s="9" t="s">
        <v>57</v>
      </c>
    </row>
    <row r="504" customFormat="false" ht="15" hidden="false" customHeight="false" outlineLevel="0" collapsed="false">
      <c r="A504" s="9" t="s">
        <v>2485</v>
      </c>
      <c r="B504" s="9" t="s">
        <v>2486</v>
      </c>
      <c r="C504" s="9" t="s">
        <v>2487</v>
      </c>
      <c r="D504" s="9" t="s">
        <v>2488</v>
      </c>
      <c r="E504" s="9" t="s">
        <v>165</v>
      </c>
      <c r="F504" s="9" t="s">
        <v>63</v>
      </c>
      <c r="G504" s="9" t="s">
        <v>2489</v>
      </c>
      <c r="H504" s="9" t="s">
        <v>65</v>
      </c>
      <c r="I504" s="9" t="s">
        <v>66</v>
      </c>
      <c r="J504" s="9" t="s">
        <v>108</v>
      </c>
      <c r="K504" s="9" t="s">
        <v>116</v>
      </c>
      <c r="L504" s="9" t="s">
        <v>2490</v>
      </c>
      <c r="M504" s="9" t="s">
        <v>55</v>
      </c>
      <c r="N504" s="9" t="n">
        <v>6</v>
      </c>
      <c r="O504" s="9" t="n">
        <v>826.93</v>
      </c>
      <c r="P504" s="9" t="n">
        <v>0.1</v>
      </c>
      <c r="Q504" s="9" t="n">
        <v>4465.42</v>
      </c>
      <c r="R504" s="9" t="n">
        <v>3377.1</v>
      </c>
      <c r="S504" s="9" t="n">
        <v>1088.32</v>
      </c>
      <c r="T504" s="9" t="s">
        <v>56</v>
      </c>
      <c r="U504" s="9" t="s">
        <v>57</v>
      </c>
    </row>
    <row r="505" customFormat="false" ht="15" hidden="false" customHeight="false" outlineLevel="0" collapsed="false">
      <c r="A505" s="9" t="s">
        <v>2491</v>
      </c>
      <c r="B505" s="9" t="s">
        <v>2492</v>
      </c>
      <c r="C505" s="9" t="s">
        <v>2493</v>
      </c>
      <c r="D505" s="9" t="s">
        <v>2494</v>
      </c>
      <c r="E505" s="9" t="s">
        <v>186</v>
      </c>
      <c r="F505" s="9" t="s">
        <v>48</v>
      </c>
      <c r="G505" s="9" t="s">
        <v>84</v>
      </c>
      <c r="H505" s="9" t="s">
        <v>364</v>
      </c>
      <c r="I505" s="9" t="s">
        <v>365</v>
      </c>
      <c r="J505" s="9" t="s">
        <v>108</v>
      </c>
      <c r="K505" s="9" t="s">
        <v>247</v>
      </c>
      <c r="L505" s="9" t="s">
        <v>2495</v>
      </c>
      <c r="M505" s="9" t="s">
        <v>89</v>
      </c>
      <c r="N505" s="9" t="n">
        <v>7</v>
      </c>
      <c r="O505" s="9" t="n">
        <v>1681.6</v>
      </c>
      <c r="P505" s="9" t="n">
        <v>0.1</v>
      </c>
      <c r="Q505" s="9" t="n">
        <v>10594.08</v>
      </c>
      <c r="R505" s="9" t="n">
        <v>7160.31</v>
      </c>
      <c r="S505" s="9" t="n">
        <v>3433.77</v>
      </c>
      <c r="T505" s="9" t="s">
        <v>56</v>
      </c>
      <c r="U505" s="9" t="s">
        <v>57</v>
      </c>
    </row>
    <row r="506" customFormat="false" ht="15" hidden="false" customHeight="false" outlineLevel="0" collapsed="false">
      <c r="A506" s="9" t="s">
        <v>2496</v>
      </c>
      <c r="B506" s="9" t="s">
        <v>2497</v>
      </c>
      <c r="C506" s="9" t="s">
        <v>2498</v>
      </c>
      <c r="D506" s="9" t="s">
        <v>2499</v>
      </c>
      <c r="E506" s="9" t="s">
        <v>83</v>
      </c>
      <c r="F506" s="9" t="s">
        <v>130</v>
      </c>
      <c r="G506" s="9" t="s">
        <v>95</v>
      </c>
      <c r="H506" s="9" t="s">
        <v>260</v>
      </c>
      <c r="I506" s="9" t="s">
        <v>261</v>
      </c>
      <c r="J506" s="9" t="s">
        <v>52</v>
      </c>
      <c r="K506" s="9" t="s">
        <v>76</v>
      </c>
      <c r="L506" s="9" t="s">
        <v>2500</v>
      </c>
      <c r="M506" s="9" t="s">
        <v>89</v>
      </c>
      <c r="N506" s="9" t="n">
        <v>4</v>
      </c>
      <c r="O506" s="9" t="n">
        <v>4328.12</v>
      </c>
      <c r="P506" s="9" t="n">
        <v>0</v>
      </c>
      <c r="Q506" s="9" t="n">
        <v>17312.48</v>
      </c>
      <c r="R506" s="9" t="n">
        <v>14424.22</v>
      </c>
      <c r="S506" s="9" t="n">
        <v>2888.26</v>
      </c>
      <c r="T506" s="9" t="s">
        <v>56</v>
      </c>
      <c r="U506" s="9" t="s">
        <v>57</v>
      </c>
    </row>
    <row r="507" customFormat="false" ht="15" hidden="false" customHeight="false" outlineLevel="0" collapsed="false">
      <c r="A507" s="9" t="s">
        <v>2501</v>
      </c>
      <c r="B507" s="9" t="s">
        <v>2502</v>
      </c>
      <c r="C507" s="9" t="s">
        <v>1418</v>
      </c>
      <c r="D507" s="9" t="s">
        <v>2503</v>
      </c>
      <c r="E507" s="9" t="s">
        <v>115</v>
      </c>
      <c r="F507" s="9" t="s">
        <v>130</v>
      </c>
      <c r="G507" s="9" t="s">
        <v>95</v>
      </c>
      <c r="H507" s="9" t="s">
        <v>106</v>
      </c>
      <c r="I507" s="9" t="s">
        <v>107</v>
      </c>
      <c r="J507" s="9" t="s">
        <v>52</v>
      </c>
      <c r="K507" s="9" t="s">
        <v>76</v>
      </c>
      <c r="L507" s="9" t="s">
        <v>2504</v>
      </c>
      <c r="M507" s="9" t="s">
        <v>78</v>
      </c>
      <c r="N507" s="9" t="n">
        <v>9</v>
      </c>
      <c r="O507" s="9" t="n">
        <v>2438.29</v>
      </c>
      <c r="P507" s="9" t="n">
        <v>0.2</v>
      </c>
      <c r="Q507" s="9" t="n">
        <v>17555.69</v>
      </c>
      <c r="R507" s="9" t="n">
        <v>13293.2</v>
      </c>
      <c r="S507" s="9" t="n">
        <v>4262.49</v>
      </c>
      <c r="T507" s="9" t="s">
        <v>56</v>
      </c>
      <c r="U507" s="9" t="s">
        <v>100</v>
      </c>
    </row>
    <row r="508" customFormat="false" ht="15" hidden="false" customHeight="false" outlineLevel="0" collapsed="false">
      <c r="A508" s="9" t="s">
        <v>2505</v>
      </c>
      <c r="B508" s="9" t="s">
        <v>2506</v>
      </c>
      <c r="C508" s="9" t="s">
        <v>2507</v>
      </c>
      <c r="D508" s="9" t="s">
        <v>2508</v>
      </c>
      <c r="E508" s="9" t="s">
        <v>186</v>
      </c>
      <c r="F508" s="9" t="s">
        <v>63</v>
      </c>
      <c r="G508" s="9" t="s">
        <v>177</v>
      </c>
      <c r="H508" s="9" t="s">
        <v>178</v>
      </c>
      <c r="I508" s="9" t="s">
        <v>179</v>
      </c>
      <c r="J508" s="9" t="s">
        <v>67</v>
      </c>
      <c r="K508" s="9" t="s">
        <v>87</v>
      </c>
      <c r="L508" s="9" t="s">
        <v>2509</v>
      </c>
      <c r="M508" s="9" t="s">
        <v>78</v>
      </c>
      <c r="N508" s="9" t="n">
        <v>2</v>
      </c>
      <c r="O508" s="9" t="n">
        <v>669.8</v>
      </c>
      <c r="P508" s="9" t="n">
        <v>0.1</v>
      </c>
      <c r="Q508" s="9" t="n">
        <v>1205.64</v>
      </c>
      <c r="R508" s="9" t="n">
        <v>842.07</v>
      </c>
      <c r="S508" s="9" t="n">
        <v>363.57</v>
      </c>
      <c r="T508" s="9" t="s">
        <v>146</v>
      </c>
      <c r="U508" s="9" t="s">
        <v>147</v>
      </c>
    </row>
    <row r="509" customFormat="false" ht="15" hidden="false" customHeight="false" outlineLevel="0" collapsed="false">
      <c r="A509" s="9" t="s">
        <v>2510</v>
      </c>
      <c r="B509" s="9" t="s">
        <v>2185</v>
      </c>
      <c r="C509" s="9" t="s">
        <v>2150</v>
      </c>
      <c r="D509" s="9" t="s">
        <v>2511</v>
      </c>
      <c r="E509" s="9" t="s">
        <v>75</v>
      </c>
      <c r="F509" s="9" t="s">
        <v>63</v>
      </c>
      <c r="G509" s="9" t="s">
        <v>177</v>
      </c>
      <c r="H509" s="9" t="s">
        <v>348</v>
      </c>
      <c r="I509" s="9" t="s">
        <v>349</v>
      </c>
      <c r="J509" s="9" t="s">
        <v>52</v>
      </c>
      <c r="K509" s="9" t="s">
        <v>222</v>
      </c>
      <c r="L509" s="9" t="s">
        <v>2512</v>
      </c>
      <c r="M509" s="9" t="s">
        <v>70</v>
      </c>
      <c r="N509" s="9" t="n">
        <v>4</v>
      </c>
      <c r="O509" s="9" t="n">
        <v>2990.42</v>
      </c>
      <c r="P509" s="9" t="n">
        <v>0.25</v>
      </c>
      <c r="Q509" s="9" t="n">
        <v>8971.26</v>
      </c>
      <c r="R509" s="9" t="n">
        <v>6814.35</v>
      </c>
      <c r="S509" s="9" t="n">
        <v>2156.91</v>
      </c>
      <c r="T509" s="9" t="s">
        <v>56</v>
      </c>
      <c r="U509" s="9" t="s">
        <v>57</v>
      </c>
    </row>
    <row r="510" customFormat="false" ht="15" hidden="false" customHeight="false" outlineLevel="0" collapsed="false">
      <c r="A510" s="9" t="s">
        <v>2513</v>
      </c>
      <c r="B510" s="9" t="s">
        <v>2514</v>
      </c>
      <c r="C510" s="9" t="s">
        <v>1458</v>
      </c>
      <c r="D510" s="9" t="s">
        <v>2515</v>
      </c>
      <c r="E510" s="9" t="s">
        <v>75</v>
      </c>
      <c r="F510" s="9" t="s">
        <v>63</v>
      </c>
      <c r="G510" s="9" t="s">
        <v>177</v>
      </c>
      <c r="H510" s="9" t="s">
        <v>348</v>
      </c>
      <c r="I510" s="9" t="s">
        <v>349</v>
      </c>
      <c r="J510" s="9" t="s">
        <v>108</v>
      </c>
      <c r="K510" s="9" t="s">
        <v>409</v>
      </c>
      <c r="L510" s="9" t="s">
        <v>2516</v>
      </c>
      <c r="M510" s="9" t="s">
        <v>55</v>
      </c>
      <c r="N510" s="9" t="n">
        <v>4</v>
      </c>
      <c r="O510" s="9" t="n">
        <v>1831</v>
      </c>
      <c r="P510" s="9" t="n">
        <v>0</v>
      </c>
      <c r="Q510" s="9" t="n">
        <v>7324</v>
      </c>
      <c r="R510" s="9" t="n">
        <v>4179.63</v>
      </c>
      <c r="S510" s="9" t="n">
        <v>3144.37</v>
      </c>
      <c r="T510" s="9" t="s">
        <v>56</v>
      </c>
      <c r="U510" s="9" t="s">
        <v>57</v>
      </c>
    </row>
    <row r="511" customFormat="false" ht="15" hidden="false" customHeight="false" outlineLevel="0" collapsed="false">
      <c r="A511" s="9" t="s">
        <v>2517</v>
      </c>
      <c r="B511" s="9" t="s">
        <v>2518</v>
      </c>
      <c r="C511" s="9" t="s">
        <v>2519</v>
      </c>
      <c r="D511" s="9" t="s">
        <v>2520</v>
      </c>
      <c r="E511" s="9" t="s">
        <v>115</v>
      </c>
      <c r="F511" s="9" t="s">
        <v>48</v>
      </c>
      <c r="G511" s="9" t="s">
        <v>95</v>
      </c>
      <c r="H511" s="9" t="s">
        <v>260</v>
      </c>
      <c r="I511" s="9" t="s">
        <v>261</v>
      </c>
      <c r="J511" s="9" t="s">
        <v>108</v>
      </c>
      <c r="K511" s="9" t="s">
        <v>409</v>
      </c>
      <c r="L511" s="9" t="s">
        <v>2521</v>
      </c>
      <c r="M511" s="9" t="s">
        <v>70</v>
      </c>
      <c r="N511" s="9" t="n">
        <v>8</v>
      </c>
      <c r="O511" s="9" t="n">
        <v>3631.44</v>
      </c>
      <c r="P511" s="9" t="n">
        <v>0.2</v>
      </c>
      <c r="Q511" s="9" t="n">
        <v>23241.22</v>
      </c>
      <c r="R511" s="9" t="n">
        <v>17220.9</v>
      </c>
      <c r="S511" s="9" t="n">
        <v>6020.32</v>
      </c>
      <c r="T511" s="9" t="s">
        <v>56</v>
      </c>
      <c r="U511" s="9" t="s">
        <v>57</v>
      </c>
    </row>
    <row r="512" customFormat="false" ht="15" hidden="false" customHeight="false" outlineLevel="0" collapsed="false">
      <c r="A512" s="9" t="s">
        <v>2522</v>
      </c>
      <c r="B512" s="9" t="s">
        <v>675</v>
      </c>
      <c r="C512" s="9" t="s">
        <v>2523</v>
      </c>
      <c r="D512" s="9" t="s">
        <v>2524</v>
      </c>
      <c r="E512" s="9" t="s">
        <v>2525</v>
      </c>
      <c r="F512" s="9" t="s">
        <v>48</v>
      </c>
      <c r="G512" s="9" t="s">
        <v>84</v>
      </c>
      <c r="H512" s="9" t="s">
        <v>254</v>
      </c>
      <c r="I512" s="9" t="s">
        <v>255</v>
      </c>
      <c r="J512" s="9" t="s">
        <v>52</v>
      </c>
      <c r="K512" s="9" t="s">
        <v>180</v>
      </c>
      <c r="L512" s="9" t="s">
        <v>2526</v>
      </c>
      <c r="M512" s="9" t="s">
        <v>55</v>
      </c>
      <c r="N512" s="9" t="n">
        <v>2</v>
      </c>
      <c r="O512" s="9" t="n">
        <v>4238.51</v>
      </c>
      <c r="P512" s="9" t="n">
        <v>0</v>
      </c>
      <c r="Q512" s="9" t="n">
        <v>8477.02</v>
      </c>
      <c r="R512" s="9" t="n">
        <v>6884.96</v>
      </c>
      <c r="S512" s="9" t="n">
        <v>1592.06</v>
      </c>
      <c r="T512" s="9" t="s">
        <v>56</v>
      </c>
      <c r="U512" s="9" t="s">
        <v>57</v>
      </c>
    </row>
    <row r="513" customFormat="false" ht="15" hidden="false" customHeight="false" outlineLevel="0" collapsed="false">
      <c r="A513" s="9" t="s">
        <v>2527</v>
      </c>
      <c r="B513" s="9" t="s">
        <v>2528</v>
      </c>
      <c r="C513" s="9" t="s">
        <v>2529</v>
      </c>
      <c r="D513" s="9" t="s">
        <v>2530</v>
      </c>
      <c r="E513" s="9" t="s">
        <v>192</v>
      </c>
      <c r="F513" s="9" t="s">
        <v>48</v>
      </c>
      <c r="G513" s="9" t="s">
        <v>95</v>
      </c>
      <c r="H513" s="9" t="s">
        <v>106</v>
      </c>
      <c r="I513" s="9" t="s">
        <v>107</v>
      </c>
      <c r="J513" s="9" t="s">
        <v>67</v>
      </c>
      <c r="K513" s="9" t="s">
        <v>228</v>
      </c>
      <c r="L513" s="9" t="s">
        <v>2531</v>
      </c>
      <c r="M513" s="9" t="s">
        <v>89</v>
      </c>
      <c r="N513" s="9" t="n">
        <v>9</v>
      </c>
      <c r="O513" s="9" t="n">
        <v>544.27</v>
      </c>
      <c r="P513" s="9" t="n">
        <v>0.25</v>
      </c>
      <c r="Q513" s="9" t="n">
        <v>3673.82</v>
      </c>
      <c r="R513" s="9" t="n">
        <v>2088.15</v>
      </c>
      <c r="S513" s="9" t="n">
        <v>1585.67</v>
      </c>
      <c r="T513" s="9" t="s">
        <v>56</v>
      </c>
      <c r="U513" s="9" t="s">
        <v>57</v>
      </c>
    </row>
    <row r="514" customFormat="false" ht="15" hidden="false" customHeight="false" outlineLevel="0" collapsed="false">
      <c r="A514" s="9" t="s">
        <v>2532</v>
      </c>
      <c r="B514" s="9" t="s">
        <v>821</v>
      </c>
      <c r="C514" s="9" t="s">
        <v>2533</v>
      </c>
      <c r="D514" s="9" t="s">
        <v>1940</v>
      </c>
      <c r="E514" s="9" t="s">
        <v>75</v>
      </c>
      <c r="F514" s="9" t="s">
        <v>130</v>
      </c>
      <c r="G514" s="9" t="s">
        <v>84</v>
      </c>
      <c r="H514" s="9" t="s">
        <v>267</v>
      </c>
      <c r="I514" s="9" t="s">
        <v>268</v>
      </c>
      <c r="J514" s="9" t="s">
        <v>52</v>
      </c>
      <c r="K514" s="9" t="s">
        <v>131</v>
      </c>
      <c r="L514" s="9" t="s">
        <v>2534</v>
      </c>
      <c r="M514" s="9" t="s">
        <v>55</v>
      </c>
      <c r="N514" s="9" t="n">
        <v>2</v>
      </c>
      <c r="O514" s="9" t="n">
        <v>4031.45</v>
      </c>
      <c r="P514" s="9" t="n">
        <v>0.25</v>
      </c>
      <c r="Q514" s="9" t="n">
        <v>6047.17</v>
      </c>
      <c r="R514" s="9" t="n">
        <v>3368.79</v>
      </c>
      <c r="S514" s="9" t="n">
        <v>2678.38</v>
      </c>
      <c r="T514" s="9" t="s">
        <v>56</v>
      </c>
      <c r="U514" s="9" t="s">
        <v>57</v>
      </c>
    </row>
    <row r="515" customFormat="false" ht="15" hidden="false" customHeight="false" outlineLevel="0" collapsed="false">
      <c r="A515" s="9" t="s">
        <v>2535</v>
      </c>
      <c r="B515" s="9" t="s">
        <v>1032</v>
      </c>
      <c r="C515" s="9" t="s">
        <v>2441</v>
      </c>
      <c r="D515" s="9" t="s">
        <v>2536</v>
      </c>
      <c r="E515" s="9" t="s">
        <v>186</v>
      </c>
      <c r="F515" s="9" t="s">
        <v>130</v>
      </c>
      <c r="G515" s="9" t="s">
        <v>84</v>
      </c>
      <c r="H515" s="9" t="s">
        <v>267</v>
      </c>
      <c r="I515" s="9" t="s">
        <v>268</v>
      </c>
      <c r="J515" s="9" t="s">
        <v>108</v>
      </c>
      <c r="K515" s="9" t="s">
        <v>2537</v>
      </c>
      <c r="L515" s="9" t="s">
        <v>2538</v>
      </c>
      <c r="M515" s="9" t="s">
        <v>78</v>
      </c>
      <c r="N515" s="9" t="n">
        <v>6</v>
      </c>
      <c r="O515" s="9" t="n">
        <v>1099.49</v>
      </c>
      <c r="P515" s="9" t="n">
        <v>0.1</v>
      </c>
      <c r="Q515" s="9" t="n">
        <v>6212.38</v>
      </c>
      <c r="R515" s="9" t="n">
        <v>4088.46</v>
      </c>
      <c r="S515" s="9" t="n">
        <v>1848.79</v>
      </c>
      <c r="T515" s="9" t="s">
        <v>56</v>
      </c>
      <c r="U515" s="9" t="s">
        <v>57</v>
      </c>
    </row>
    <row r="516" customFormat="false" ht="15" hidden="false" customHeight="false" outlineLevel="0" collapsed="false">
      <c r="A516" s="9" t="s">
        <v>2539</v>
      </c>
      <c r="B516" s="9" t="s">
        <v>2540</v>
      </c>
      <c r="C516" s="9" t="s">
        <v>2451</v>
      </c>
      <c r="D516" s="9" t="s">
        <v>2541</v>
      </c>
      <c r="E516" s="9" t="s">
        <v>47</v>
      </c>
      <c r="F516" s="9" t="s">
        <v>137</v>
      </c>
      <c r="G516" s="9" t="s">
        <v>84</v>
      </c>
      <c r="H516" s="9" t="s">
        <v>267</v>
      </c>
      <c r="I516" s="9" t="s">
        <v>268</v>
      </c>
      <c r="J516" s="9" t="s">
        <v>108</v>
      </c>
      <c r="K516" s="9" t="s">
        <v>109</v>
      </c>
      <c r="L516" s="9" t="s">
        <v>2542</v>
      </c>
      <c r="M516" s="9" t="s">
        <v>89</v>
      </c>
      <c r="N516" s="9" t="n">
        <v>6</v>
      </c>
      <c r="O516" s="9" t="n">
        <v>3872.94</v>
      </c>
      <c r="P516" s="9" t="n">
        <v>0.1</v>
      </c>
      <c r="Q516" s="9" t="n">
        <v>20913.88</v>
      </c>
      <c r="R516" s="9" t="n">
        <v>11684.68</v>
      </c>
      <c r="S516" s="9" t="n">
        <v>9229.2</v>
      </c>
      <c r="T516" s="9" t="s">
        <v>56</v>
      </c>
      <c r="U516" s="9" t="s">
        <v>57</v>
      </c>
    </row>
    <row r="517" customFormat="false" ht="15" hidden="false" customHeight="false" outlineLevel="0" collapsed="false">
      <c r="A517" s="9" t="s">
        <v>2543</v>
      </c>
      <c r="B517" s="9" t="s">
        <v>2184</v>
      </c>
      <c r="C517" s="9" t="s">
        <v>2544</v>
      </c>
      <c r="D517" s="9" t="s">
        <v>2545</v>
      </c>
      <c r="E517" s="9" t="s">
        <v>171</v>
      </c>
      <c r="F517" s="9" t="s">
        <v>130</v>
      </c>
      <c r="G517" s="9" t="s">
        <v>177</v>
      </c>
      <c r="H517" s="9" t="s">
        <v>535</v>
      </c>
      <c r="I517" s="9" t="s">
        <v>536</v>
      </c>
      <c r="J517" s="9" t="s">
        <v>52</v>
      </c>
      <c r="K517" s="9" t="s">
        <v>53</v>
      </c>
      <c r="L517" s="9" t="s">
        <v>2546</v>
      </c>
      <c r="M517" s="9" t="s">
        <v>89</v>
      </c>
      <c r="N517" s="9" t="n">
        <v>1</v>
      </c>
      <c r="O517" s="9" t="n">
        <v>4458.49</v>
      </c>
      <c r="P517" s="9" t="n">
        <v>-0.07</v>
      </c>
      <c r="Q517" s="9" t="n">
        <v>3566.79</v>
      </c>
      <c r="R517" s="9" t="n">
        <v>2083.41</v>
      </c>
      <c r="S517" s="9" t="n">
        <v>1483.38</v>
      </c>
      <c r="T517" s="9" t="s">
        <v>56</v>
      </c>
      <c r="U517" s="9" t="s">
        <v>57</v>
      </c>
    </row>
    <row r="518" customFormat="false" ht="15" hidden="false" customHeight="false" outlineLevel="0" collapsed="false">
      <c r="A518" s="9" t="s">
        <v>2547</v>
      </c>
      <c r="B518" s="9" t="s">
        <v>2548</v>
      </c>
      <c r="C518" s="9" t="s">
        <v>2549</v>
      </c>
      <c r="D518" s="9" t="s">
        <v>2550</v>
      </c>
      <c r="E518" s="9" t="s">
        <v>393</v>
      </c>
      <c r="F518" s="9" t="s">
        <v>137</v>
      </c>
      <c r="G518" s="9" t="s">
        <v>177</v>
      </c>
      <c r="H518" s="9" t="s">
        <v>535</v>
      </c>
      <c r="I518" s="9" t="s">
        <v>536</v>
      </c>
      <c r="J518" s="9" t="s">
        <v>108</v>
      </c>
      <c r="K518" s="9" t="s">
        <v>116</v>
      </c>
      <c r="L518" s="9" t="s">
        <v>2551</v>
      </c>
      <c r="M518" s="9" t="s">
        <v>89</v>
      </c>
      <c r="N518" s="9" t="n">
        <v>1</v>
      </c>
      <c r="O518" s="9" t="n">
        <v>2233.18</v>
      </c>
      <c r="P518" s="9" t="n">
        <v>0</v>
      </c>
      <c r="Q518" s="9" t="n">
        <v>2233.18</v>
      </c>
      <c r="R518" s="9" t="n">
        <v>1585.82</v>
      </c>
      <c r="S518" s="9" t="n">
        <v>647.36</v>
      </c>
      <c r="T518" s="9" t="s">
        <v>224</v>
      </c>
      <c r="U518" s="9" t="s">
        <v>147</v>
      </c>
    </row>
    <row r="519" customFormat="false" ht="15" hidden="false" customHeight="false" outlineLevel="0" collapsed="false">
      <c r="A519" s="9" t="s">
        <v>2552</v>
      </c>
      <c r="B519" s="9" t="s">
        <v>2553</v>
      </c>
      <c r="C519" s="9" t="s">
        <v>1722</v>
      </c>
      <c r="D519" s="9" t="s">
        <v>2554</v>
      </c>
      <c r="E519" s="9" t="s">
        <v>171</v>
      </c>
      <c r="F519" s="9" t="s">
        <v>48</v>
      </c>
      <c r="G519" s="9" t="s">
        <v>64</v>
      </c>
      <c r="H519" s="9" t="s">
        <v>65</v>
      </c>
      <c r="I519" s="9" t="s">
        <v>66</v>
      </c>
      <c r="J519" s="9" t="s">
        <v>67</v>
      </c>
      <c r="K519" s="9" t="s">
        <v>87</v>
      </c>
      <c r="L519" s="9" t="s">
        <v>2555</v>
      </c>
      <c r="M519" s="9" t="s">
        <v>55</v>
      </c>
      <c r="N519" s="9" t="n">
        <v>7</v>
      </c>
      <c r="O519" s="9" t="n">
        <v>2123.28</v>
      </c>
      <c r="P519" s="9" t="n">
        <v>0.2</v>
      </c>
      <c r="Q519" s="9" t="n">
        <v>11890.37</v>
      </c>
      <c r="R519" s="9" t="n">
        <v>9234.53</v>
      </c>
      <c r="S519" s="9" t="n">
        <v>2655.84</v>
      </c>
      <c r="T519" s="9" t="s">
        <v>146</v>
      </c>
      <c r="U519" s="9" t="s">
        <v>147</v>
      </c>
    </row>
    <row r="520" customFormat="false" ht="15" hidden="false" customHeight="false" outlineLevel="0" collapsed="false">
      <c r="A520" s="9" t="s">
        <v>2556</v>
      </c>
      <c r="B520" s="9" t="s">
        <v>2436</v>
      </c>
      <c r="C520" s="9" t="s">
        <v>2557</v>
      </c>
      <c r="D520" s="9" t="s">
        <v>2558</v>
      </c>
      <c r="E520" s="9" t="s">
        <v>234</v>
      </c>
      <c r="F520" s="9" t="s">
        <v>130</v>
      </c>
      <c r="G520" s="9" t="s">
        <v>64</v>
      </c>
      <c r="H520" s="9" t="s">
        <v>65</v>
      </c>
      <c r="I520" s="9" t="s">
        <v>66</v>
      </c>
      <c r="J520" s="9" t="s">
        <v>67</v>
      </c>
      <c r="K520" s="9" t="s">
        <v>68</v>
      </c>
      <c r="L520" s="9" t="s">
        <v>2559</v>
      </c>
      <c r="M520" s="9" t="s">
        <v>78</v>
      </c>
      <c r="N520" s="9" t="n">
        <v>7</v>
      </c>
      <c r="O520" s="9" t="n">
        <v>1604.13</v>
      </c>
      <c r="P520" s="9" t="n">
        <v>0.25</v>
      </c>
      <c r="Q520" s="9" t="n">
        <v>8421.68</v>
      </c>
      <c r="R520" s="9" t="n">
        <v>6534.47</v>
      </c>
      <c r="S520" s="9" t="n">
        <v>1887.21</v>
      </c>
      <c r="T520" s="9" t="s">
        <v>56</v>
      </c>
      <c r="U520" s="9" t="s">
        <v>100</v>
      </c>
    </row>
    <row r="521" customFormat="false" ht="15" hidden="false" customHeight="false" outlineLevel="0" collapsed="false">
      <c r="A521" s="9" t="s">
        <v>2560</v>
      </c>
      <c r="B521" s="9" t="s">
        <v>407</v>
      </c>
      <c r="C521" s="9" t="s">
        <v>2561</v>
      </c>
      <c r="D521" s="9" t="s">
        <v>2562</v>
      </c>
      <c r="E521" s="9" t="s">
        <v>165</v>
      </c>
      <c r="F521" s="9" t="s">
        <v>48</v>
      </c>
      <c r="G521" s="9" t="s">
        <v>177</v>
      </c>
      <c r="H521" s="9" t="s">
        <v>198</v>
      </c>
      <c r="I521" s="9" t="s">
        <v>199</v>
      </c>
      <c r="J521" s="9" t="s">
        <v>67</v>
      </c>
      <c r="K521" s="9" t="s">
        <v>68</v>
      </c>
      <c r="L521" s="9" t="s">
        <v>2563</v>
      </c>
      <c r="M521" s="9" t="s">
        <v>89</v>
      </c>
      <c r="N521" s="9" t="n">
        <v>4</v>
      </c>
      <c r="O521" s="9" t="n">
        <v>4365.21</v>
      </c>
      <c r="P521" s="9" t="n">
        <v>0.2</v>
      </c>
      <c r="Q521" s="9" t="n">
        <v>13968.67</v>
      </c>
      <c r="R521" s="9" t="n">
        <v>8857.58</v>
      </c>
      <c r="S521" s="9" t="n">
        <v>5111.09</v>
      </c>
      <c r="T521" s="9" t="s">
        <v>160</v>
      </c>
      <c r="U521" s="9" t="s">
        <v>100</v>
      </c>
    </row>
    <row r="522" customFormat="false" ht="15" hidden="false" customHeight="false" outlineLevel="0" collapsed="false">
      <c r="A522" s="9" t="s">
        <v>2564</v>
      </c>
      <c r="B522" s="9" t="s">
        <v>1145</v>
      </c>
      <c r="C522" s="9" t="s">
        <v>2565</v>
      </c>
      <c r="D522" s="9" t="s">
        <v>2566</v>
      </c>
      <c r="E522" s="9" t="s">
        <v>186</v>
      </c>
      <c r="F522" s="9" t="s">
        <v>137</v>
      </c>
      <c r="G522" s="9" t="s">
        <v>84</v>
      </c>
      <c r="H522" s="9" t="s">
        <v>254</v>
      </c>
      <c r="I522" s="9" t="s">
        <v>255</v>
      </c>
      <c r="J522" s="9" t="s">
        <v>108</v>
      </c>
      <c r="K522" s="9" t="s">
        <v>409</v>
      </c>
      <c r="L522" s="9" t="s">
        <v>2567</v>
      </c>
      <c r="M522" s="9" t="s">
        <v>70</v>
      </c>
      <c r="N522" s="9" t="n">
        <v>1</v>
      </c>
      <c r="O522" s="9" t="n">
        <v>1695.91</v>
      </c>
      <c r="P522" s="9" t="n">
        <v>0.05</v>
      </c>
      <c r="Q522" s="9" t="n">
        <v>1611.11</v>
      </c>
      <c r="R522" s="9" t="n">
        <v>895.15</v>
      </c>
      <c r="S522" s="9" t="n">
        <v>715.96</v>
      </c>
      <c r="T522" s="9" t="s">
        <v>56</v>
      </c>
      <c r="U522" s="9" t="s">
        <v>57</v>
      </c>
    </row>
    <row r="523" customFormat="false" ht="15" hidden="false" customHeight="false" outlineLevel="0" collapsed="false">
      <c r="A523" s="9" t="s">
        <v>2568</v>
      </c>
      <c r="B523" s="9" t="s">
        <v>2569</v>
      </c>
      <c r="C523" s="9" t="s">
        <v>2570</v>
      </c>
      <c r="D523" s="9" t="s">
        <v>2571</v>
      </c>
      <c r="E523" s="9" t="s">
        <v>234</v>
      </c>
      <c r="F523" s="9" t="s">
        <v>48</v>
      </c>
      <c r="G523" s="9" t="s">
        <v>177</v>
      </c>
      <c r="H523" s="9" t="s">
        <v>178</v>
      </c>
      <c r="I523" s="9" t="s">
        <v>179</v>
      </c>
      <c r="J523" s="9" t="s">
        <v>52</v>
      </c>
      <c r="K523" s="9" t="s">
        <v>131</v>
      </c>
      <c r="L523" s="9" t="s">
        <v>2572</v>
      </c>
      <c r="M523" s="9" t="s">
        <v>55</v>
      </c>
      <c r="N523" s="9" t="n">
        <v>6</v>
      </c>
      <c r="O523" s="9" t="n">
        <v>2192.11</v>
      </c>
      <c r="P523" s="9" t="n">
        <v>0.05</v>
      </c>
      <c r="Q523" s="9" t="n">
        <v>12495.03</v>
      </c>
      <c r="R523" s="9" t="n">
        <v>9184.52</v>
      </c>
      <c r="S523" s="9" t="n">
        <v>3310.51</v>
      </c>
      <c r="T523" s="9" t="s">
        <v>56</v>
      </c>
      <c r="U523" s="9" t="s">
        <v>57</v>
      </c>
    </row>
    <row r="524" customFormat="false" ht="15" hidden="false" customHeight="false" outlineLevel="0" collapsed="false">
      <c r="A524" s="9" t="s">
        <v>2573</v>
      </c>
      <c r="B524" s="9" t="s">
        <v>2574</v>
      </c>
      <c r="C524" s="9" t="s">
        <v>2367</v>
      </c>
      <c r="D524" s="9" t="s">
        <v>2575</v>
      </c>
      <c r="E524" s="9" t="s">
        <v>115</v>
      </c>
      <c r="F524" s="9" t="s">
        <v>63</v>
      </c>
      <c r="G524" s="9" t="s">
        <v>64</v>
      </c>
      <c r="H524" s="9" t="s">
        <v>336</v>
      </c>
      <c r="I524" s="9" t="s">
        <v>337</v>
      </c>
      <c r="J524" s="9" t="s">
        <v>108</v>
      </c>
      <c r="K524" s="9" t="s">
        <v>247</v>
      </c>
      <c r="L524" s="9" t="s">
        <v>2576</v>
      </c>
      <c r="M524" s="9" t="s">
        <v>78</v>
      </c>
      <c r="N524" s="9" t="n">
        <v>9</v>
      </c>
      <c r="O524" s="9" t="n">
        <v>3670.54</v>
      </c>
      <c r="P524" s="9" t="n">
        <v>0</v>
      </c>
      <c r="Q524" s="9" t="n">
        <v>33034.86</v>
      </c>
      <c r="R524" s="9" t="n">
        <v>24539.83</v>
      </c>
      <c r="S524" s="9" t="n">
        <v>8495.03</v>
      </c>
      <c r="T524" s="9" t="s">
        <v>56</v>
      </c>
      <c r="U524" s="9" t="s">
        <v>57</v>
      </c>
    </row>
    <row r="525" customFormat="false" ht="15" hidden="false" customHeight="false" outlineLevel="0" collapsed="false">
      <c r="A525" s="9" t="s">
        <v>2577</v>
      </c>
      <c r="B525" s="9" t="s">
        <v>2578</v>
      </c>
      <c r="C525" s="9" t="s">
        <v>2579</v>
      </c>
      <c r="D525" s="9" t="s">
        <v>2580</v>
      </c>
      <c r="E525" s="9" t="s">
        <v>393</v>
      </c>
      <c r="F525" s="9" t="s">
        <v>137</v>
      </c>
      <c r="G525" s="9" t="s">
        <v>95</v>
      </c>
      <c r="H525" s="9" t="s">
        <v>274</v>
      </c>
      <c r="I525" s="9" t="s">
        <v>275</v>
      </c>
      <c r="J525" s="9" t="s">
        <v>52</v>
      </c>
      <c r="K525" s="9" t="s">
        <v>53</v>
      </c>
      <c r="L525" s="9" t="s">
        <v>2581</v>
      </c>
      <c r="M525" s="9" t="s">
        <v>55</v>
      </c>
      <c r="N525" s="9" t="n">
        <v>2</v>
      </c>
      <c r="O525" s="9" t="n">
        <v>2902.63</v>
      </c>
      <c r="P525" s="9" t="n">
        <v>0</v>
      </c>
      <c r="Q525" s="9" t="n">
        <v>5805.26</v>
      </c>
      <c r="R525" s="9" t="n">
        <v>4654.36</v>
      </c>
      <c r="S525" s="9" t="n">
        <v>1150.9</v>
      </c>
      <c r="T525" s="9" t="s">
        <v>56</v>
      </c>
      <c r="U525" s="9" t="s">
        <v>147</v>
      </c>
    </row>
    <row r="526" customFormat="false" ht="15" hidden="false" customHeight="false" outlineLevel="0" collapsed="false">
      <c r="A526" s="9" t="s">
        <v>2582</v>
      </c>
      <c r="B526" s="9" t="s">
        <v>2583</v>
      </c>
      <c r="C526" s="9" t="s">
        <v>2584</v>
      </c>
      <c r="D526" s="9" t="s">
        <v>2585</v>
      </c>
      <c r="E526" s="9" t="s">
        <v>94</v>
      </c>
      <c r="F526" s="9" t="s">
        <v>130</v>
      </c>
      <c r="G526" s="9" t="s">
        <v>95</v>
      </c>
      <c r="H526" s="9" t="s">
        <v>260</v>
      </c>
      <c r="I526" s="9" t="s">
        <v>261</v>
      </c>
      <c r="J526" s="9" t="s">
        <v>67</v>
      </c>
      <c r="K526" s="9" t="s">
        <v>98</v>
      </c>
      <c r="L526" s="9" t="s">
        <v>2586</v>
      </c>
      <c r="M526" s="9" t="s">
        <v>78</v>
      </c>
      <c r="N526" s="9" t="n">
        <v>9</v>
      </c>
      <c r="O526" s="9" t="n">
        <v>4207.36</v>
      </c>
      <c r="P526" s="9" t="n">
        <v>0.1</v>
      </c>
      <c r="Q526" s="9" t="n">
        <v>34079.62</v>
      </c>
      <c r="R526" s="9" t="n">
        <v>21871.39</v>
      </c>
      <c r="S526" s="9" t="n">
        <v>12208.23</v>
      </c>
      <c r="T526" s="9" t="s">
        <v>56</v>
      </c>
      <c r="U526" s="9" t="s">
        <v>57</v>
      </c>
    </row>
    <row r="527" customFormat="false" ht="15" hidden="false" customHeight="false" outlineLevel="0" collapsed="false">
      <c r="A527" s="9" t="s">
        <v>2587</v>
      </c>
      <c r="B527" s="9" t="s">
        <v>2588</v>
      </c>
      <c r="C527" s="9" t="s">
        <v>2589</v>
      </c>
      <c r="D527" s="9" t="s">
        <v>2590</v>
      </c>
      <c r="E527" s="9" t="s">
        <v>165</v>
      </c>
      <c r="F527" s="9" t="s">
        <v>137</v>
      </c>
      <c r="G527" s="9" t="s">
        <v>64</v>
      </c>
      <c r="H527" s="9" t="s">
        <v>143</v>
      </c>
      <c r="I527" s="9" t="s">
        <v>144</v>
      </c>
      <c r="J527" s="9" t="s">
        <v>67</v>
      </c>
      <c r="K527" s="9" t="s">
        <v>98</v>
      </c>
      <c r="L527" s="9" t="s">
        <v>2591</v>
      </c>
      <c r="M527" s="9" t="s">
        <v>89</v>
      </c>
      <c r="N527" s="9" t="n">
        <v>5</v>
      </c>
      <c r="O527" s="9" t="n">
        <v>2524.4</v>
      </c>
      <c r="P527" s="9" t="n">
        <v>0.1</v>
      </c>
      <c r="Q527" s="9" t="n">
        <v>11359.8</v>
      </c>
      <c r="R527" s="9" t="n">
        <v>7062.44</v>
      </c>
      <c r="S527" s="9" t="n">
        <v>4297.36</v>
      </c>
      <c r="T527" s="9" t="s">
        <v>56</v>
      </c>
      <c r="U527" s="9" t="s">
        <v>57</v>
      </c>
    </row>
    <row r="528" customFormat="false" ht="15" hidden="false" customHeight="false" outlineLevel="0" collapsed="false">
      <c r="A528" s="9" t="s">
        <v>2592</v>
      </c>
      <c r="B528" s="9" t="s">
        <v>2593</v>
      </c>
      <c r="C528" s="9" t="s">
        <v>2594</v>
      </c>
      <c r="D528" s="9" t="s">
        <v>2595</v>
      </c>
      <c r="E528" s="9" t="s">
        <v>165</v>
      </c>
      <c r="F528" s="9" t="s">
        <v>48</v>
      </c>
      <c r="G528" s="9" t="s">
        <v>64</v>
      </c>
      <c r="H528" s="9" t="s">
        <v>65</v>
      </c>
      <c r="I528" s="9" t="s">
        <v>66</v>
      </c>
      <c r="J528" s="9" t="s">
        <v>67</v>
      </c>
      <c r="K528" s="9" t="s">
        <v>68</v>
      </c>
      <c r="L528" s="9" t="s">
        <v>2596</v>
      </c>
      <c r="M528" s="9" t="s">
        <v>55</v>
      </c>
      <c r="N528" s="9" t="n">
        <v>4</v>
      </c>
      <c r="O528" s="9" t="n">
        <v>284.04</v>
      </c>
      <c r="P528" s="9"/>
      <c r="Q528" s="9" t="n">
        <v>908.93</v>
      </c>
      <c r="R528" s="9" t="n">
        <v>572.08</v>
      </c>
      <c r="S528" s="9" t="n">
        <v>336.85</v>
      </c>
      <c r="T528" s="9" t="s">
        <v>56</v>
      </c>
      <c r="U528" s="9" t="s">
        <v>57</v>
      </c>
    </row>
    <row r="529" customFormat="false" ht="15" hidden="false" customHeight="false" outlineLevel="0" collapsed="false">
      <c r="A529" s="9" t="s">
        <v>2597</v>
      </c>
      <c r="B529" s="9" t="s">
        <v>2598</v>
      </c>
      <c r="C529" s="9" t="s">
        <v>2599</v>
      </c>
      <c r="D529" s="9" t="s">
        <v>2600</v>
      </c>
      <c r="E529" s="9" t="s">
        <v>129</v>
      </c>
      <c r="F529" s="9" t="s">
        <v>137</v>
      </c>
      <c r="G529" s="9" t="s">
        <v>177</v>
      </c>
      <c r="H529" s="9" t="s">
        <v>348</v>
      </c>
      <c r="I529" s="9" t="s">
        <v>349</v>
      </c>
      <c r="J529" s="9" t="s">
        <v>52</v>
      </c>
      <c r="K529" s="9" t="s">
        <v>53</v>
      </c>
      <c r="L529" s="9" t="s">
        <v>2601</v>
      </c>
      <c r="M529" s="9" t="s">
        <v>78</v>
      </c>
      <c r="N529" s="9" t="n">
        <v>5</v>
      </c>
      <c r="O529" s="9" t="n">
        <v>3247.56</v>
      </c>
      <c r="P529" s="9" t="n">
        <v>0.15</v>
      </c>
      <c r="Q529" s="9" t="n">
        <v>13802.13</v>
      </c>
      <c r="R529" s="9" t="n">
        <v>10075.93</v>
      </c>
      <c r="S529" s="9" t="n">
        <v>3726.2</v>
      </c>
      <c r="T529" s="9" t="s">
        <v>56</v>
      </c>
      <c r="U529" s="9" t="s">
        <v>57</v>
      </c>
    </row>
    <row r="530" customFormat="false" ht="15" hidden="false" customHeight="false" outlineLevel="0" collapsed="false">
      <c r="A530" s="9" t="s">
        <v>2602</v>
      </c>
      <c r="B530" s="9" t="s">
        <v>2603</v>
      </c>
      <c r="C530" s="9" t="s">
        <v>2604</v>
      </c>
      <c r="D530" s="9" t="s">
        <v>2605</v>
      </c>
      <c r="E530" s="9" t="s">
        <v>234</v>
      </c>
      <c r="F530" s="9" t="s">
        <v>48</v>
      </c>
      <c r="G530" s="9" t="s">
        <v>84</v>
      </c>
      <c r="H530" s="9" t="s">
        <v>364</v>
      </c>
      <c r="I530" s="9" t="s">
        <v>365</v>
      </c>
      <c r="J530" s="9" t="s">
        <v>52</v>
      </c>
      <c r="K530" s="9" t="s">
        <v>222</v>
      </c>
      <c r="L530" s="9" t="s">
        <v>2606</v>
      </c>
      <c r="M530" s="9" t="s">
        <v>89</v>
      </c>
      <c r="N530" s="9" t="n">
        <v>9</v>
      </c>
      <c r="O530" s="9" t="n">
        <v>3457.09</v>
      </c>
      <c r="P530" s="9" t="n">
        <v>0.05</v>
      </c>
      <c r="Q530" s="9" t="n">
        <v>29558.12</v>
      </c>
      <c r="R530" s="9" t="n">
        <v>21302.13</v>
      </c>
      <c r="S530" s="9" t="n">
        <v>8255.99</v>
      </c>
      <c r="T530" s="9" t="s">
        <v>160</v>
      </c>
      <c r="U530" s="9" t="s">
        <v>147</v>
      </c>
    </row>
    <row r="531" customFormat="false" ht="15" hidden="false" customHeight="false" outlineLevel="0" collapsed="false">
      <c r="A531" s="9" t="s">
        <v>2607</v>
      </c>
      <c r="B531" s="9" t="s">
        <v>2323</v>
      </c>
      <c r="C531" s="9" t="s">
        <v>2608</v>
      </c>
      <c r="D531" s="9" t="s">
        <v>1146</v>
      </c>
      <c r="E531" s="9" t="s">
        <v>47</v>
      </c>
      <c r="F531" s="9" t="s">
        <v>48</v>
      </c>
      <c r="G531" s="9" t="s">
        <v>64</v>
      </c>
      <c r="H531" s="9" t="s">
        <v>336</v>
      </c>
      <c r="I531" s="9" t="s">
        <v>337</v>
      </c>
      <c r="J531" s="9" t="s">
        <v>67</v>
      </c>
      <c r="K531" s="9" t="s">
        <v>228</v>
      </c>
      <c r="L531" s="9" t="s">
        <v>2609</v>
      </c>
      <c r="M531" s="9" t="s">
        <v>55</v>
      </c>
      <c r="N531" s="9" t="n">
        <v>9</v>
      </c>
      <c r="O531" s="9" t="n">
        <v>1822.25</v>
      </c>
      <c r="P531" s="9" t="n">
        <v>0</v>
      </c>
      <c r="Q531" s="9" t="n">
        <v>16400.25</v>
      </c>
      <c r="R531" s="9" t="n">
        <v>12146.96</v>
      </c>
      <c r="S531" s="9" t="n">
        <v>4253.29</v>
      </c>
      <c r="T531" s="9" t="s">
        <v>56</v>
      </c>
      <c r="U531" s="9" t="s">
        <v>57</v>
      </c>
    </row>
    <row r="532" customFormat="false" ht="15" hidden="false" customHeight="false" outlineLevel="0" collapsed="false">
      <c r="A532" s="9" t="s">
        <v>2610</v>
      </c>
      <c r="B532" s="9" t="s">
        <v>2611</v>
      </c>
      <c r="C532" s="9" t="s">
        <v>2612</v>
      </c>
      <c r="D532" s="9" t="s">
        <v>2613</v>
      </c>
      <c r="E532" s="9" t="s">
        <v>171</v>
      </c>
      <c r="F532" s="9" t="s">
        <v>137</v>
      </c>
      <c r="G532" s="9" t="s">
        <v>84</v>
      </c>
      <c r="H532" s="9" t="s">
        <v>364</v>
      </c>
      <c r="I532" s="9" t="s">
        <v>365</v>
      </c>
      <c r="J532" s="9" t="s">
        <v>52</v>
      </c>
      <c r="K532" s="9" t="s">
        <v>222</v>
      </c>
      <c r="L532" s="9" t="s">
        <v>2614</v>
      </c>
      <c r="M532" s="9" t="s">
        <v>89</v>
      </c>
      <c r="N532" s="9" t="n">
        <v>9</v>
      </c>
      <c r="O532" s="9" t="n">
        <v>1994.51</v>
      </c>
      <c r="P532" s="9" t="n">
        <v>0.05</v>
      </c>
      <c r="Q532" s="9" t="n">
        <v>17053.06</v>
      </c>
      <c r="R532" s="9" t="n">
        <v>10742.38</v>
      </c>
      <c r="S532" s="9" t="n">
        <v>6310.68</v>
      </c>
      <c r="T532" s="9" t="s">
        <v>56</v>
      </c>
      <c r="U532" s="9" t="s">
        <v>57</v>
      </c>
    </row>
    <row r="533" customFormat="false" ht="15" hidden="false" customHeight="false" outlineLevel="0" collapsed="false">
      <c r="A533" s="9" t="s">
        <v>2615</v>
      </c>
      <c r="B533" s="9" t="s">
        <v>1337</v>
      </c>
      <c r="C533" s="9" t="s">
        <v>2616</v>
      </c>
      <c r="D533" s="9" t="s">
        <v>2617</v>
      </c>
      <c r="E533" s="9" t="s">
        <v>234</v>
      </c>
      <c r="F533" s="9" t="s">
        <v>63</v>
      </c>
      <c r="G533" s="9" t="s">
        <v>95</v>
      </c>
      <c r="H533" s="9" t="s">
        <v>96</v>
      </c>
      <c r="I533" s="9" t="s">
        <v>97</v>
      </c>
      <c r="J533" s="9" t="s">
        <v>52</v>
      </c>
      <c r="K533" s="9" t="s">
        <v>180</v>
      </c>
      <c r="L533" s="9" t="s">
        <v>2618</v>
      </c>
      <c r="M533" s="9"/>
      <c r="N533" s="9" t="n">
        <v>1</v>
      </c>
      <c r="O533" s="9" t="n">
        <v>442.97</v>
      </c>
      <c r="P533" s="9" t="n">
        <v>0.1</v>
      </c>
      <c r="Q533" s="9" t="n">
        <v>398.67</v>
      </c>
      <c r="R533" s="9" t="n">
        <v>311.66</v>
      </c>
      <c r="S533" s="9" t="n">
        <v>87.01</v>
      </c>
      <c r="T533" s="9" t="s">
        <v>56</v>
      </c>
      <c r="U533" s="9" t="s">
        <v>57</v>
      </c>
    </row>
    <row r="534" customFormat="false" ht="15" hidden="false" customHeight="false" outlineLevel="0" collapsed="false">
      <c r="A534" s="9" t="s">
        <v>2619</v>
      </c>
      <c r="B534" s="9" t="s">
        <v>2599</v>
      </c>
      <c r="C534" s="9" t="s">
        <v>333</v>
      </c>
      <c r="D534" s="9" t="s">
        <v>2620</v>
      </c>
      <c r="E534" s="9" t="s">
        <v>165</v>
      </c>
      <c r="F534" s="9" t="s">
        <v>130</v>
      </c>
      <c r="G534" s="9" t="s">
        <v>64</v>
      </c>
      <c r="H534" s="9" t="s">
        <v>240</v>
      </c>
      <c r="I534" s="9" t="s">
        <v>241</v>
      </c>
      <c r="J534" s="9" t="s">
        <v>67</v>
      </c>
      <c r="K534" s="9" t="s">
        <v>68</v>
      </c>
      <c r="L534" s="9" t="s">
        <v>2621</v>
      </c>
      <c r="M534" s="9" t="s">
        <v>55</v>
      </c>
      <c r="N534" s="9" t="n">
        <v>9</v>
      </c>
      <c r="O534" s="9" t="n">
        <v>2089.14</v>
      </c>
      <c r="P534" s="9" t="n">
        <v>0.05</v>
      </c>
      <c r="Q534" s="9" t="n">
        <v>17862.15</v>
      </c>
      <c r="R534" s="9" t="n">
        <v>9892.21</v>
      </c>
      <c r="S534" s="9" t="n">
        <v>7969.94</v>
      </c>
      <c r="T534" s="9" t="s">
        <v>224</v>
      </c>
      <c r="U534" s="9" t="s">
        <v>100</v>
      </c>
    </row>
    <row r="535" customFormat="false" ht="15" hidden="false" customHeight="false" outlineLevel="0" collapsed="false">
      <c r="A535" s="9" t="s">
        <v>2622</v>
      </c>
      <c r="B535" s="9" t="s">
        <v>2623</v>
      </c>
      <c r="C535" s="9" t="s">
        <v>422</v>
      </c>
      <c r="D535" s="9" t="s">
        <v>2624</v>
      </c>
      <c r="E535" s="9" t="s">
        <v>75</v>
      </c>
      <c r="F535" s="9" t="s">
        <v>137</v>
      </c>
      <c r="G535" s="9" t="s">
        <v>177</v>
      </c>
      <c r="H535" s="9" t="s">
        <v>50</v>
      </c>
      <c r="I535" s="9" t="s">
        <v>51</v>
      </c>
      <c r="J535" s="9" t="s">
        <v>67</v>
      </c>
      <c r="K535" s="9" t="s">
        <v>68</v>
      </c>
      <c r="L535" s="9" t="s">
        <v>2625</v>
      </c>
      <c r="M535" s="9" t="s">
        <v>70</v>
      </c>
      <c r="N535" s="9" t="n">
        <v>6</v>
      </c>
      <c r="O535" s="9" t="n">
        <v>481.3</v>
      </c>
      <c r="P535" s="9" t="n">
        <v>0.25</v>
      </c>
      <c r="Q535" s="9" t="n">
        <v>2165.85</v>
      </c>
      <c r="R535" s="9" t="n">
        <v>2124.48</v>
      </c>
      <c r="S535" s="9" t="n">
        <v>430.45</v>
      </c>
      <c r="T535" s="9" t="s">
        <v>56</v>
      </c>
      <c r="U535" s="9" t="s">
        <v>57</v>
      </c>
    </row>
    <row r="536" customFormat="false" ht="15" hidden="false" customHeight="false" outlineLevel="0" collapsed="false">
      <c r="A536" s="9" t="s">
        <v>2626</v>
      </c>
      <c r="B536" s="9" t="s">
        <v>2627</v>
      </c>
      <c r="C536" s="9" t="s">
        <v>2628</v>
      </c>
      <c r="D536" s="9" t="s">
        <v>2629</v>
      </c>
      <c r="E536" s="9" t="s">
        <v>204</v>
      </c>
      <c r="F536" s="9" t="s">
        <v>137</v>
      </c>
      <c r="G536" s="9" t="s">
        <v>64</v>
      </c>
      <c r="H536" s="9" t="s">
        <v>210</v>
      </c>
      <c r="I536" s="9" t="s">
        <v>211</v>
      </c>
      <c r="J536" s="9" t="s">
        <v>108</v>
      </c>
      <c r="K536" s="9" t="s">
        <v>109</v>
      </c>
      <c r="L536" s="9" t="s">
        <v>2630</v>
      </c>
      <c r="M536" s="9" t="s">
        <v>55</v>
      </c>
      <c r="N536" s="9" t="n">
        <v>4</v>
      </c>
      <c r="O536" s="9" t="n">
        <v>3963.39</v>
      </c>
      <c r="P536" s="9" t="n">
        <v>0.1</v>
      </c>
      <c r="Q536" s="9" t="n">
        <v>14268.2</v>
      </c>
      <c r="R536" s="9" t="n">
        <v>11705.3</v>
      </c>
      <c r="S536" s="9" t="n">
        <v>2562.9</v>
      </c>
      <c r="T536" s="9" t="s">
        <v>160</v>
      </c>
      <c r="U536" s="9" t="s">
        <v>147</v>
      </c>
    </row>
    <row r="537" customFormat="false" ht="15" hidden="false" customHeight="false" outlineLevel="0" collapsed="false">
      <c r="A537" s="9" t="s">
        <v>2631</v>
      </c>
      <c r="B537" s="9" t="s">
        <v>2632</v>
      </c>
      <c r="C537" s="9" t="s">
        <v>2633</v>
      </c>
      <c r="D537" s="9" t="s">
        <v>2634</v>
      </c>
      <c r="E537" s="9" t="s">
        <v>234</v>
      </c>
      <c r="F537" s="9" t="s">
        <v>63</v>
      </c>
      <c r="G537" s="9" t="s">
        <v>95</v>
      </c>
      <c r="H537" s="9" t="s">
        <v>96</v>
      </c>
      <c r="I537" s="9" t="s">
        <v>97</v>
      </c>
      <c r="J537" s="9" t="s">
        <v>108</v>
      </c>
      <c r="K537" s="9" t="s">
        <v>116</v>
      </c>
      <c r="L537" s="9" t="s">
        <v>2635</v>
      </c>
      <c r="M537" s="9" t="s">
        <v>78</v>
      </c>
      <c r="N537" s="9" t="n">
        <v>3</v>
      </c>
      <c r="O537" s="9" t="n">
        <v>4000.98</v>
      </c>
      <c r="P537" s="9" t="n">
        <v>0.2</v>
      </c>
      <c r="Q537" s="9" t="n">
        <v>9602.35</v>
      </c>
      <c r="R537" s="9" t="n">
        <v>7387.57</v>
      </c>
      <c r="S537" s="9" t="n">
        <v>2214.78</v>
      </c>
      <c r="T537" s="9" t="s">
        <v>56</v>
      </c>
      <c r="U537" s="9" t="s">
        <v>57</v>
      </c>
    </row>
    <row r="538" customFormat="false" ht="15" hidden="false" customHeight="false" outlineLevel="0" collapsed="false">
      <c r="A538" s="9" t="s">
        <v>2636</v>
      </c>
      <c r="B538" s="9" t="s">
        <v>2637</v>
      </c>
      <c r="C538" s="9" t="s">
        <v>2638</v>
      </c>
      <c r="D538" s="9" t="s">
        <v>2639</v>
      </c>
      <c r="E538" s="9" t="s">
        <v>94</v>
      </c>
      <c r="F538" s="9" t="s">
        <v>63</v>
      </c>
      <c r="G538" s="9" t="s">
        <v>95</v>
      </c>
      <c r="H538" s="9" t="s">
        <v>50</v>
      </c>
      <c r="I538" s="9" t="s">
        <v>158</v>
      </c>
      <c r="J538" s="9" t="s">
        <v>67</v>
      </c>
      <c r="K538" s="9" t="s">
        <v>98</v>
      </c>
      <c r="L538" s="9" t="s">
        <v>2640</v>
      </c>
      <c r="M538" s="9" t="s">
        <v>78</v>
      </c>
      <c r="N538" s="9" t="n">
        <v>7</v>
      </c>
      <c r="O538" s="9" t="n">
        <v>3788.9</v>
      </c>
      <c r="P538" s="9" t="n">
        <v>0.25</v>
      </c>
      <c r="Q538" s="9" t="n">
        <v>19891.72</v>
      </c>
      <c r="R538" s="9" t="n">
        <v>12295.76</v>
      </c>
      <c r="S538" s="9" t="n">
        <v>7595.96</v>
      </c>
      <c r="T538" s="9" t="s">
        <v>224</v>
      </c>
      <c r="U538" s="9" t="s">
        <v>100</v>
      </c>
    </row>
    <row r="539" customFormat="false" ht="15" hidden="false" customHeight="false" outlineLevel="0" collapsed="false">
      <c r="A539" s="9" t="s">
        <v>2641</v>
      </c>
      <c r="B539" s="9" t="s">
        <v>2079</v>
      </c>
      <c r="C539" s="9" t="s">
        <v>2642</v>
      </c>
      <c r="D539" s="9" t="s">
        <v>2643</v>
      </c>
      <c r="E539" s="9" t="s">
        <v>94</v>
      </c>
      <c r="F539" s="9" t="s">
        <v>63</v>
      </c>
      <c r="G539" s="9" t="s">
        <v>177</v>
      </c>
      <c r="H539" s="9" t="s">
        <v>348</v>
      </c>
      <c r="I539" s="9" t="s">
        <v>349</v>
      </c>
      <c r="J539" s="9" t="s">
        <v>52</v>
      </c>
      <c r="K539" s="9" t="s">
        <v>76</v>
      </c>
      <c r="L539" s="9" t="s">
        <v>2644</v>
      </c>
      <c r="M539" s="9" t="s">
        <v>70</v>
      </c>
      <c r="N539" s="9" t="n">
        <v>3</v>
      </c>
      <c r="O539" s="9" t="n">
        <v>676.37</v>
      </c>
      <c r="P539" s="9" t="n">
        <v>0.05</v>
      </c>
      <c r="Q539" s="9" t="n">
        <v>1927.65</v>
      </c>
      <c r="R539" s="9" t="n">
        <v>1460.6</v>
      </c>
      <c r="S539" s="9" t="n">
        <v>467.05</v>
      </c>
      <c r="T539" s="9" t="s">
        <v>224</v>
      </c>
      <c r="U539" s="9" t="s">
        <v>100</v>
      </c>
    </row>
    <row r="540" customFormat="false" ht="15" hidden="false" customHeight="false" outlineLevel="0" collapsed="false">
      <c r="A540" s="9" t="s">
        <v>2645</v>
      </c>
      <c r="B540" s="9" t="s">
        <v>2309</v>
      </c>
      <c r="C540" s="9" t="s">
        <v>2646</v>
      </c>
      <c r="D540" s="9" t="s">
        <v>2647</v>
      </c>
      <c r="E540" s="9" t="s">
        <v>234</v>
      </c>
      <c r="F540" s="9" t="s">
        <v>63</v>
      </c>
      <c r="G540" s="9" t="s">
        <v>64</v>
      </c>
      <c r="H540" s="9" t="s">
        <v>336</v>
      </c>
      <c r="I540" s="9" t="s">
        <v>337</v>
      </c>
      <c r="J540" s="9" t="s">
        <v>67</v>
      </c>
      <c r="K540" s="9" t="s">
        <v>68</v>
      </c>
      <c r="L540" s="9" t="s">
        <v>2648</v>
      </c>
      <c r="M540" s="9" t="s">
        <v>55</v>
      </c>
      <c r="N540" s="9" t="n">
        <v>9</v>
      </c>
      <c r="O540" s="9" t="n">
        <v>3908.6</v>
      </c>
      <c r="P540" s="9" t="n">
        <v>0.15</v>
      </c>
      <c r="Q540" s="9" t="n">
        <v>29900.79</v>
      </c>
      <c r="R540" s="9" t="n">
        <v>24650.67</v>
      </c>
      <c r="S540" s="9" t="n">
        <v>5250.12</v>
      </c>
      <c r="T540" s="9" t="s">
        <v>56</v>
      </c>
      <c r="U540" s="9" t="s">
        <v>57</v>
      </c>
    </row>
    <row r="541" customFormat="false" ht="15" hidden="false" customHeight="false" outlineLevel="0" collapsed="false">
      <c r="A541" s="9" t="s">
        <v>2649</v>
      </c>
      <c r="B541" s="9" t="s">
        <v>1254</v>
      </c>
      <c r="C541" s="9" t="s">
        <v>2459</v>
      </c>
      <c r="D541" s="9" t="s">
        <v>2650</v>
      </c>
      <c r="E541" s="9" t="s">
        <v>2651</v>
      </c>
      <c r="F541" s="9" t="s">
        <v>63</v>
      </c>
      <c r="G541" s="9" t="s">
        <v>84</v>
      </c>
      <c r="H541" s="9" t="s">
        <v>364</v>
      </c>
      <c r="I541" s="9" t="s">
        <v>365</v>
      </c>
      <c r="J541" s="9" t="s">
        <v>67</v>
      </c>
      <c r="K541" s="9" t="s">
        <v>98</v>
      </c>
      <c r="L541" s="9" t="s">
        <v>2652</v>
      </c>
      <c r="M541" s="9" t="s">
        <v>89</v>
      </c>
      <c r="N541" s="9" t="n">
        <v>3</v>
      </c>
      <c r="O541" s="9" t="n">
        <v>705.35</v>
      </c>
      <c r="P541" s="9" t="n">
        <v>0.1</v>
      </c>
      <c r="Q541" s="9" t="n">
        <v>1904.45</v>
      </c>
      <c r="R541" s="9" t="n">
        <v>1316.54</v>
      </c>
      <c r="S541" s="9" t="n">
        <v>587.91</v>
      </c>
      <c r="T541" s="9" t="s">
        <v>56</v>
      </c>
      <c r="U541" s="9" t="s">
        <v>100</v>
      </c>
    </row>
    <row r="542" customFormat="false" ht="15" hidden="false" customHeight="false" outlineLevel="0" collapsed="false">
      <c r="A542" s="9" t="s">
        <v>2653</v>
      </c>
      <c r="B542" s="9" t="s">
        <v>2654</v>
      </c>
      <c r="C542" s="9" t="s">
        <v>2386</v>
      </c>
      <c r="D542" s="9" t="s">
        <v>2655</v>
      </c>
      <c r="E542" s="9" t="s">
        <v>393</v>
      </c>
      <c r="F542" s="9" t="s">
        <v>48</v>
      </c>
      <c r="G542" s="9" t="s">
        <v>95</v>
      </c>
      <c r="H542" s="9" t="s">
        <v>260</v>
      </c>
      <c r="I542" s="9" t="s">
        <v>261</v>
      </c>
      <c r="J542" s="9" t="s">
        <v>67</v>
      </c>
      <c r="K542" s="9" t="s">
        <v>87</v>
      </c>
      <c r="L542" s="9" t="s">
        <v>2656</v>
      </c>
      <c r="M542" s="9" t="s">
        <v>89</v>
      </c>
      <c r="N542" s="9" t="n">
        <v>7</v>
      </c>
      <c r="O542" s="9" t="n">
        <v>3852.07</v>
      </c>
      <c r="P542" s="9" t="n">
        <v>0.2</v>
      </c>
      <c r="Q542" s="9" t="n">
        <v>21571.59</v>
      </c>
      <c r="R542" s="9" t="n">
        <v>17118.07</v>
      </c>
      <c r="S542" s="9" t="n">
        <v>4453.52</v>
      </c>
      <c r="T542" s="9" t="s">
        <v>56</v>
      </c>
      <c r="U542" s="9" t="s">
        <v>57</v>
      </c>
    </row>
    <row r="543" customFormat="false" ht="15" hidden="false" customHeight="false" outlineLevel="0" collapsed="false">
      <c r="A543" s="9" t="s">
        <v>2657</v>
      </c>
      <c r="B543" s="9" t="s">
        <v>2658</v>
      </c>
      <c r="C543" s="9" t="s">
        <v>2659</v>
      </c>
      <c r="D543" s="9" t="s">
        <v>2660</v>
      </c>
      <c r="E543" s="9" t="s">
        <v>192</v>
      </c>
      <c r="F543" s="9" t="s">
        <v>48</v>
      </c>
      <c r="G543" s="9" t="s">
        <v>95</v>
      </c>
      <c r="H543" s="9" t="s">
        <v>96</v>
      </c>
      <c r="I543" s="9" t="s">
        <v>97</v>
      </c>
      <c r="J543" s="9" t="s">
        <v>108</v>
      </c>
      <c r="K543" s="9" t="s">
        <v>116</v>
      </c>
      <c r="L543" s="9" t="s">
        <v>2661</v>
      </c>
      <c r="M543" s="9" t="s">
        <v>70</v>
      </c>
      <c r="N543" s="9" t="n">
        <v>3</v>
      </c>
      <c r="O543" s="9" t="n">
        <v>2880.56</v>
      </c>
      <c r="P543" s="9" t="n">
        <v>0</v>
      </c>
      <c r="Q543" s="9" t="n">
        <v>8641.68</v>
      </c>
      <c r="R543" s="9" t="n">
        <v>5747.09</v>
      </c>
      <c r="S543" s="9" t="n">
        <v>2894.59</v>
      </c>
      <c r="T543" s="9" t="s">
        <v>56</v>
      </c>
      <c r="U543" s="9" t="s">
        <v>147</v>
      </c>
    </row>
    <row r="544" customFormat="false" ht="15" hidden="false" customHeight="false" outlineLevel="0" collapsed="false">
      <c r="A544" s="9" t="s">
        <v>2662</v>
      </c>
      <c r="B544" s="9" t="s">
        <v>2663</v>
      </c>
      <c r="C544" s="9" t="s">
        <v>2664</v>
      </c>
      <c r="D544" s="9" t="s">
        <v>2665</v>
      </c>
      <c r="E544" s="9" t="s">
        <v>171</v>
      </c>
      <c r="F544" s="9" t="s">
        <v>137</v>
      </c>
      <c r="G544" s="9" t="s">
        <v>84</v>
      </c>
      <c r="H544" s="9" t="s">
        <v>267</v>
      </c>
      <c r="I544" s="9" t="s">
        <v>268</v>
      </c>
      <c r="J544" s="9" t="s">
        <v>67</v>
      </c>
      <c r="K544" s="9" t="s">
        <v>228</v>
      </c>
      <c r="L544" s="9" t="s">
        <v>2666</v>
      </c>
      <c r="M544" s="9" t="s">
        <v>55</v>
      </c>
      <c r="N544" s="9" t="n">
        <v>3</v>
      </c>
      <c r="O544" s="9" t="n">
        <v>4067.62</v>
      </c>
      <c r="P544" s="9" t="n">
        <v>0.2</v>
      </c>
      <c r="Q544" s="9" t="n">
        <v>9988.53</v>
      </c>
      <c r="R544" s="9" t="n">
        <v>8368.24</v>
      </c>
      <c r="S544" s="9" t="n">
        <v>1394.05</v>
      </c>
      <c r="T544" s="9" t="s">
        <v>56</v>
      </c>
      <c r="U544" s="9" t="s">
        <v>2667</v>
      </c>
    </row>
    <row r="545" customFormat="false" ht="15" hidden="false" customHeight="false" outlineLevel="0" collapsed="false">
      <c r="A545" s="9" t="s">
        <v>2668</v>
      </c>
      <c r="B545" s="9" t="s">
        <v>2669</v>
      </c>
      <c r="C545" s="9" t="s">
        <v>427</v>
      </c>
      <c r="D545" s="9" t="s">
        <v>2670</v>
      </c>
      <c r="E545" s="9" t="s">
        <v>62</v>
      </c>
      <c r="F545" s="9" t="s">
        <v>48</v>
      </c>
      <c r="G545" s="9" t="s">
        <v>64</v>
      </c>
      <c r="H545" s="9" t="s">
        <v>210</v>
      </c>
      <c r="I545" s="9" t="s">
        <v>211</v>
      </c>
      <c r="J545" s="9" t="s">
        <v>108</v>
      </c>
      <c r="K545" s="9" t="s">
        <v>116</v>
      </c>
      <c r="L545" s="9" t="s">
        <v>2671</v>
      </c>
      <c r="M545" s="9" t="s">
        <v>70</v>
      </c>
      <c r="N545" s="9" t="n">
        <v>1</v>
      </c>
      <c r="O545" s="9" t="n">
        <v>492.67</v>
      </c>
      <c r="P545" s="9" t="n">
        <v>0.15</v>
      </c>
      <c r="Q545" s="9" t="n">
        <v>418.77</v>
      </c>
      <c r="R545" s="9" t="n">
        <v>313.72</v>
      </c>
      <c r="S545" s="9" t="n">
        <v>105.05</v>
      </c>
      <c r="T545" s="9" t="s">
        <v>56</v>
      </c>
      <c r="U545" s="9" t="s">
        <v>57</v>
      </c>
    </row>
    <row r="546" customFormat="false" ht="15" hidden="false" customHeight="false" outlineLevel="0" collapsed="false">
      <c r="A546" s="9" t="s">
        <v>2672</v>
      </c>
      <c r="B546" s="9" t="s">
        <v>2673</v>
      </c>
      <c r="C546" s="9" t="s">
        <v>2101</v>
      </c>
      <c r="D546" s="9" t="s">
        <v>2674</v>
      </c>
      <c r="E546" s="9" t="s">
        <v>94</v>
      </c>
      <c r="F546" s="9" t="s">
        <v>48</v>
      </c>
      <c r="G546" s="9" t="s">
        <v>84</v>
      </c>
      <c r="H546" s="9" t="s">
        <v>267</v>
      </c>
      <c r="I546" s="9" t="s">
        <v>268</v>
      </c>
      <c r="J546" s="9" t="s">
        <v>52</v>
      </c>
      <c r="K546" s="9" t="s">
        <v>76</v>
      </c>
      <c r="L546" s="9" t="s">
        <v>2675</v>
      </c>
      <c r="M546" s="9" t="s">
        <v>70</v>
      </c>
      <c r="N546" s="9" t="n">
        <v>8</v>
      </c>
      <c r="O546" s="9" t="n">
        <v>3643.62</v>
      </c>
      <c r="P546" s="9" t="n">
        <v>0.25</v>
      </c>
      <c r="Q546" s="9" t="n">
        <v>21861.72</v>
      </c>
      <c r="R546" s="9" t="n">
        <v>18464.34</v>
      </c>
      <c r="S546" s="9" t="n">
        <v>3397.38</v>
      </c>
      <c r="T546" s="9" t="s">
        <v>56</v>
      </c>
      <c r="U546" s="9" t="s">
        <v>100</v>
      </c>
    </row>
    <row r="547" customFormat="false" ht="15" hidden="false" customHeight="false" outlineLevel="0" collapsed="false">
      <c r="A547" s="9" t="s">
        <v>2676</v>
      </c>
      <c r="B547" s="9" t="s">
        <v>2677</v>
      </c>
      <c r="C547" s="9" t="s">
        <v>2678</v>
      </c>
      <c r="D547" s="9" t="s">
        <v>2679</v>
      </c>
      <c r="E547" s="9" t="s">
        <v>393</v>
      </c>
      <c r="F547" s="9" t="s">
        <v>63</v>
      </c>
      <c r="G547" s="9" t="s">
        <v>64</v>
      </c>
      <c r="H547" s="9" t="s">
        <v>336</v>
      </c>
      <c r="I547" s="9" t="s">
        <v>337</v>
      </c>
      <c r="J547" s="9" t="s">
        <v>52</v>
      </c>
      <c r="K547" s="9" t="s">
        <v>180</v>
      </c>
      <c r="L547" s="9" t="s">
        <v>2680</v>
      </c>
      <c r="M547" s="9" t="s">
        <v>70</v>
      </c>
      <c r="N547" s="9" t="n">
        <v>7</v>
      </c>
      <c r="O547" s="9" t="n">
        <v>2900.86</v>
      </c>
      <c r="P547" s="9" t="n">
        <v>0.15</v>
      </c>
      <c r="Q547" s="9" t="n">
        <v>17260.12</v>
      </c>
      <c r="R547" s="9" t="n">
        <v>13513.51</v>
      </c>
      <c r="S547" s="9" t="n">
        <v>3746.61</v>
      </c>
      <c r="T547" s="9" t="s">
        <v>56</v>
      </c>
      <c r="U547" s="9" t="s">
        <v>57</v>
      </c>
    </row>
    <row r="548" customFormat="false" ht="15" hidden="false" customHeight="false" outlineLevel="0" collapsed="false">
      <c r="A548" s="9" t="s">
        <v>2681</v>
      </c>
      <c r="B548" s="9" t="s">
        <v>2682</v>
      </c>
      <c r="C548" s="9" t="s">
        <v>1531</v>
      </c>
      <c r="D548" s="9" t="s">
        <v>2683</v>
      </c>
      <c r="E548" s="9" t="s">
        <v>83</v>
      </c>
      <c r="F548" s="9" t="s">
        <v>130</v>
      </c>
      <c r="G548" s="9" t="s">
        <v>95</v>
      </c>
      <c r="H548" s="9" t="s">
        <v>260</v>
      </c>
      <c r="I548" s="9" t="s">
        <v>261</v>
      </c>
      <c r="J548" s="9" t="s">
        <v>2684</v>
      </c>
      <c r="K548" s="9" t="s">
        <v>53</v>
      </c>
      <c r="L548" s="9" t="s">
        <v>2685</v>
      </c>
      <c r="M548" s="9" t="s">
        <v>78</v>
      </c>
      <c r="N548" s="9" t="n">
        <v>5</v>
      </c>
      <c r="O548" s="9" t="n">
        <v>2567.37</v>
      </c>
      <c r="P548" s="9" t="n">
        <v>0.15</v>
      </c>
      <c r="Q548" s="9" t="n">
        <v>10911.32</v>
      </c>
      <c r="R548" s="9" t="n">
        <v>6966.44</v>
      </c>
      <c r="S548" s="9" t="n">
        <v>4395.17</v>
      </c>
      <c r="T548" s="9" t="s">
        <v>56</v>
      </c>
      <c r="U548" s="9" t="s">
        <v>57</v>
      </c>
    </row>
    <row r="549" customFormat="false" ht="15" hidden="false" customHeight="false" outlineLevel="0" collapsed="false">
      <c r="A549" s="9" t="s">
        <v>2686</v>
      </c>
      <c r="B549" s="9" t="s">
        <v>2687</v>
      </c>
      <c r="C549" s="9" t="s">
        <v>2688</v>
      </c>
      <c r="D549" s="9" t="s">
        <v>2689</v>
      </c>
      <c r="E549" s="9" t="s">
        <v>115</v>
      </c>
      <c r="F549" s="9" t="s">
        <v>63</v>
      </c>
      <c r="G549" s="9" t="s">
        <v>177</v>
      </c>
      <c r="H549" s="9" t="s">
        <v>198</v>
      </c>
      <c r="I549" s="9" t="s">
        <v>199</v>
      </c>
      <c r="J549" s="9" t="s">
        <v>108</v>
      </c>
      <c r="K549" s="9" t="s">
        <v>116</v>
      </c>
      <c r="L549" s="9" t="s">
        <v>2690</v>
      </c>
      <c r="M549" s="9" t="s">
        <v>89</v>
      </c>
      <c r="N549" s="9" t="n">
        <v>9</v>
      </c>
      <c r="O549" s="9" t="n">
        <v>3722.09</v>
      </c>
      <c r="P549" s="9" t="n">
        <v>0.1</v>
      </c>
      <c r="Q549" s="9" t="n">
        <v>30148.93</v>
      </c>
      <c r="R549" s="9" t="n">
        <v>25155.07</v>
      </c>
      <c r="S549" s="9" t="n">
        <v>4993.86</v>
      </c>
      <c r="T549" s="9" t="s">
        <v>56</v>
      </c>
      <c r="U549" s="9" t="s">
        <v>57</v>
      </c>
    </row>
    <row r="550" customFormat="false" ht="15" hidden="false" customHeight="false" outlineLevel="0" collapsed="false">
      <c r="A550" s="9" t="s">
        <v>2691</v>
      </c>
      <c r="B550" s="9" t="s">
        <v>299</v>
      </c>
      <c r="C550" s="9" t="s">
        <v>298</v>
      </c>
      <c r="D550" s="9" t="s">
        <v>2692</v>
      </c>
      <c r="E550" s="9" t="s">
        <v>204</v>
      </c>
      <c r="F550" s="9" t="s">
        <v>130</v>
      </c>
      <c r="G550" s="9" t="s">
        <v>64</v>
      </c>
      <c r="H550" s="9" t="s">
        <v>210</v>
      </c>
      <c r="I550" s="9" t="s">
        <v>211</v>
      </c>
      <c r="J550" s="9" t="s">
        <v>67</v>
      </c>
      <c r="K550" s="9" t="s">
        <v>228</v>
      </c>
      <c r="L550" s="9" t="s">
        <v>2693</v>
      </c>
      <c r="M550" s="9" t="s">
        <v>70</v>
      </c>
      <c r="N550" s="9" t="n">
        <v>1</v>
      </c>
      <c r="O550" s="9" t="n">
        <v>1072.01</v>
      </c>
      <c r="P550" s="9" t="n">
        <v>0</v>
      </c>
      <c r="Q550" s="9" t="n">
        <v>1072.01</v>
      </c>
      <c r="R550" s="9" t="n">
        <v>852.62</v>
      </c>
      <c r="S550" s="9" t="n">
        <v>219.39</v>
      </c>
      <c r="T550" s="9" t="s">
        <v>160</v>
      </c>
      <c r="U550" s="9" t="s">
        <v>100</v>
      </c>
    </row>
    <row r="551" customFormat="false" ht="15" hidden="false" customHeight="false" outlineLevel="0" collapsed="false">
      <c r="A551" s="9" t="s">
        <v>2694</v>
      </c>
      <c r="B551" s="9" t="s">
        <v>2695</v>
      </c>
      <c r="C551" s="9" t="s">
        <v>2696</v>
      </c>
      <c r="D551" s="9" t="s">
        <v>2697</v>
      </c>
      <c r="E551" s="9" t="s">
        <v>62</v>
      </c>
      <c r="F551" s="9" t="s">
        <v>130</v>
      </c>
      <c r="G551" s="9" t="s">
        <v>84</v>
      </c>
      <c r="H551" s="9" t="s">
        <v>85</v>
      </c>
      <c r="I551" s="9" t="s">
        <v>86</v>
      </c>
      <c r="J551" s="9" t="s">
        <v>52</v>
      </c>
      <c r="K551" s="9" t="s">
        <v>76</v>
      </c>
      <c r="L551" s="9" t="s">
        <v>2698</v>
      </c>
      <c r="M551" s="9" t="s">
        <v>55</v>
      </c>
      <c r="N551" s="9" t="n">
        <v>3</v>
      </c>
      <c r="O551" s="9" t="n">
        <v>3804.27</v>
      </c>
      <c r="P551" s="9" t="n">
        <v>0.1</v>
      </c>
      <c r="Q551" s="9" t="n">
        <v>10271.53</v>
      </c>
      <c r="R551" s="9" t="n">
        <v>8272.24</v>
      </c>
      <c r="S551" s="9" t="n">
        <v>1999.29</v>
      </c>
      <c r="T551" s="9" t="s">
        <v>56</v>
      </c>
      <c r="U551" s="9" t="s">
        <v>57</v>
      </c>
    </row>
    <row r="552" customFormat="false" ht="15" hidden="false" customHeight="false" outlineLevel="0" collapsed="false">
      <c r="A552" s="9" t="s">
        <v>2699</v>
      </c>
      <c r="B552" s="9" t="s">
        <v>568</v>
      </c>
      <c r="C552" s="9" t="s">
        <v>2700</v>
      </c>
      <c r="D552" s="9" t="s">
        <v>2701</v>
      </c>
      <c r="E552" s="9" t="s">
        <v>62</v>
      </c>
      <c r="F552" s="9" t="s">
        <v>137</v>
      </c>
      <c r="G552" s="9" t="s">
        <v>64</v>
      </c>
      <c r="H552" s="9" t="s">
        <v>65</v>
      </c>
      <c r="I552" s="9" t="s">
        <v>66</v>
      </c>
      <c r="J552" s="9" t="s">
        <v>108</v>
      </c>
      <c r="K552" s="9" t="s">
        <v>109</v>
      </c>
      <c r="L552" s="9" t="s">
        <v>2702</v>
      </c>
      <c r="M552" s="9" t="s">
        <v>89</v>
      </c>
      <c r="N552" s="9" t="n">
        <v>6</v>
      </c>
      <c r="O552" s="9" t="n">
        <v>2126.44</v>
      </c>
      <c r="P552" s="9" t="n">
        <v>0.2</v>
      </c>
      <c r="Q552" s="9" t="n">
        <v>10206.91</v>
      </c>
      <c r="R552" s="9" t="n">
        <v>6764.53</v>
      </c>
      <c r="S552" s="9" t="n">
        <v>3442.38</v>
      </c>
      <c r="T552" s="9" t="s">
        <v>56</v>
      </c>
      <c r="U552" s="9" t="s">
        <v>57</v>
      </c>
    </row>
    <row r="553" customFormat="false" ht="15" hidden="false" customHeight="false" outlineLevel="0" collapsed="false">
      <c r="A553" s="9" t="s">
        <v>2703</v>
      </c>
      <c r="B553" s="9" t="s">
        <v>2130</v>
      </c>
      <c r="C553" s="9" t="s">
        <v>2704</v>
      </c>
      <c r="D553" s="9" t="s">
        <v>2705</v>
      </c>
      <c r="E553" s="9" t="s">
        <v>192</v>
      </c>
      <c r="F553" s="9" t="s">
        <v>48</v>
      </c>
      <c r="G553" s="9" t="s">
        <v>64</v>
      </c>
      <c r="H553" s="9" t="s">
        <v>336</v>
      </c>
      <c r="I553" s="9" t="s">
        <v>337</v>
      </c>
      <c r="J553" s="9" t="s">
        <v>67</v>
      </c>
      <c r="K553" s="9" t="s">
        <v>98</v>
      </c>
      <c r="L553" s="9" t="s">
        <v>2706</v>
      </c>
      <c r="M553" s="9" t="s">
        <v>55</v>
      </c>
      <c r="N553" s="9" t="n">
        <v>3</v>
      </c>
      <c r="O553" s="9" t="n">
        <v>3148.09</v>
      </c>
      <c r="P553" s="9" t="n">
        <v>0.15</v>
      </c>
      <c r="Q553" s="9" t="n">
        <v>8027.63</v>
      </c>
      <c r="R553" s="9" t="n">
        <v>5496.09</v>
      </c>
      <c r="S553" s="9" t="n">
        <v>2531.54</v>
      </c>
      <c r="T553" s="9" t="s">
        <v>56</v>
      </c>
      <c r="U553" s="9" t="s">
        <v>57</v>
      </c>
    </row>
    <row r="554" customFormat="false" ht="15" hidden="false" customHeight="false" outlineLevel="0" collapsed="false">
      <c r="A554" s="9" t="s">
        <v>2707</v>
      </c>
      <c r="B554" s="9" t="s">
        <v>214</v>
      </c>
      <c r="C554" s="9" t="s">
        <v>368</v>
      </c>
      <c r="D554" s="9" t="s">
        <v>2708</v>
      </c>
      <c r="E554" s="9" t="s">
        <v>94</v>
      </c>
      <c r="F554" s="9" t="s">
        <v>130</v>
      </c>
      <c r="G554" s="9" t="s">
        <v>64</v>
      </c>
      <c r="H554" s="9" t="s">
        <v>143</v>
      </c>
      <c r="I554" s="9" t="s">
        <v>144</v>
      </c>
      <c r="J554" s="9" t="s">
        <v>108</v>
      </c>
      <c r="K554" s="9" t="s">
        <v>116</v>
      </c>
      <c r="L554" s="9" t="s">
        <v>2709</v>
      </c>
      <c r="M554" s="9" t="s">
        <v>89</v>
      </c>
      <c r="N554" s="9" t="n">
        <v>8</v>
      </c>
      <c r="O554" s="9" t="n">
        <v>312.53</v>
      </c>
      <c r="P554" s="9" t="s">
        <v>713</v>
      </c>
      <c r="Q554" s="9" t="n">
        <v>1875.18</v>
      </c>
      <c r="R554" s="9" t="n">
        <v>1579.17</v>
      </c>
      <c r="S554" s="9" t="n">
        <v>296.01</v>
      </c>
      <c r="T554" s="9" t="s">
        <v>56</v>
      </c>
      <c r="U554" s="9" t="s">
        <v>57</v>
      </c>
    </row>
    <row r="555" customFormat="false" ht="15" hidden="false" customHeight="false" outlineLevel="0" collapsed="false">
      <c r="A555" s="9" t="s">
        <v>2710</v>
      </c>
      <c r="B555" s="9" t="s">
        <v>2711</v>
      </c>
      <c r="C555" s="9" t="s">
        <v>2712</v>
      </c>
      <c r="D555" s="9" t="s">
        <v>2713</v>
      </c>
      <c r="E555" s="9" t="s">
        <v>186</v>
      </c>
      <c r="F555" s="9" t="s">
        <v>63</v>
      </c>
      <c r="G555" s="9" t="s">
        <v>95</v>
      </c>
      <c r="H555" s="9" t="s">
        <v>260</v>
      </c>
      <c r="I555" s="9" t="s">
        <v>261</v>
      </c>
      <c r="J555" s="9" t="s">
        <v>52</v>
      </c>
      <c r="K555" s="9" t="s">
        <v>180</v>
      </c>
      <c r="L555" s="9" t="s">
        <v>2714</v>
      </c>
      <c r="M555" s="9" t="s">
        <v>78</v>
      </c>
      <c r="N555" s="9" t="n">
        <v>9</v>
      </c>
      <c r="O555" s="9" t="n">
        <v>1294.11</v>
      </c>
      <c r="P555" s="9" t="n">
        <v>0.25</v>
      </c>
      <c r="Q555" s="9" t="n">
        <v>8735.24</v>
      </c>
      <c r="R555" s="9" t="n">
        <v>6620.07</v>
      </c>
      <c r="S555" s="9" t="n">
        <v>2115.17</v>
      </c>
      <c r="T555" s="9" t="s">
        <v>56</v>
      </c>
      <c r="U555" s="9" t="s">
        <v>57</v>
      </c>
    </row>
    <row r="556" customFormat="false" ht="15" hidden="false" customHeight="false" outlineLevel="0" collapsed="false">
      <c r="A556" s="9" t="s">
        <v>2715</v>
      </c>
      <c r="B556" s="9" t="s">
        <v>2716</v>
      </c>
      <c r="C556" s="9" t="s">
        <v>2717</v>
      </c>
      <c r="D556" s="9" t="s">
        <v>2718</v>
      </c>
      <c r="E556" s="9" t="s">
        <v>83</v>
      </c>
      <c r="F556" s="9" t="s">
        <v>48</v>
      </c>
      <c r="G556" s="9"/>
      <c r="H556" s="9" t="s">
        <v>336</v>
      </c>
      <c r="I556" s="9" t="s">
        <v>337</v>
      </c>
      <c r="J556" s="9" t="s">
        <v>67</v>
      </c>
      <c r="K556" s="9" t="s">
        <v>87</v>
      </c>
      <c r="L556" s="9" t="s">
        <v>2719</v>
      </c>
      <c r="M556" s="9" t="s">
        <v>89</v>
      </c>
      <c r="N556" s="9" t="n">
        <v>4</v>
      </c>
      <c r="O556" s="9" t="n">
        <v>1071.22</v>
      </c>
      <c r="P556" s="9" t="n">
        <v>0.05</v>
      </c>
      <c r="Q556" s="9" t="n">
        <v>4070.64</v>
      </c>
      <c r="R556" s="9" t="n">
        <v>2831.62</v>
      </c>
      <c r="S556" s="9" t="n">
        <v>1239.02</v>
      </c>
      <c r="T556" s="9" t="s">
        <v>56</v>
      </c>
      <c r="U556" s="9" t="s">
        <v>57</v>
      </c>
    </row>
    <row r="557" customFormat="false" ht="15" hidden="false" customHeight="false" outlineLevel="0" collapsed="false">
      <c r="A557" s="9" t="s">
        <v>2720</v>
      </c>
      <c r="B557" s="9" t="s">
        <v>917</v>
      </c>
      <c r="C557" s="9" t="s">
        <v>2721</v>
      </c>
      <c r="D557" s="9" t="s">
        <v>2722</v>
      </c>
      <c r="E557" s="9" t="s">
        <v>94</v>
      </c>
      <c r="F557" s="9" t="s">
        <v>63</v>
      </c>
      <c r="G557" s="9" t="s">
        <v>84</v>
      </c>
      <c r="H557" s="9" t="s">
        <v>85</v>
      </c>
      <c r="I557" s="9" t="s">
        <v>86</v>
      </c>
      <c r="J557" s="9" t="s">
        <v>52</v>
      </c>
      <c r="K557" s="9" t="s">
        <v>180</v>
      </c>
      <c r="L557" s="9" t="s">
        <v>2723</v>
      </c>
      <c r="M557" s="9" t="s">
        <v>89</v>
      </c>
      <c r="N557" s="9" t="n">
        <v>6</v>
      </c>
      <c r="O557" s="9" t="n">
        <v>1042.8</v>
      </c>
      <c r="P557" s="9" t="n">
        <v>0.05</v>
      </c>
      <c r="Q557" s="9" t="n">
        <v>5943.96</v>
      </c>
      <c r="R557" s="9" t="n">
        <v>3604.14</v>
      </c>
      <c r="S557" s="9" t="n">
        <v>2339.82</v>
      </c>
      <c r="T557" s="9" t="s">
        <v>56</v>
      </c>
      <c r="U557" s="9" t="s">
        <v>57</v>
      </c>
    </row>
    <row r="558" customFormat="false" ht="15" hidden="false" customHeight="false" outlineLevel="0" collapsed="false">
      <c r="A558" s="9" t="s">
        <v>2724</v>
      </c>
      <c r="B558" s="9" t="s">
        <v>1593</v>
      </c>
      <c r="C558" s="9" t="s">
        <v>2136</v>
      </c>
      <c r="D558" s="9" t="s">
        <v>2725</v>
      </c>
      <c r="E558" s="9" t="s">
        <v>115</v>
      </c>
      <c r="F558" s="9" t="s">
        <v>48</v>
      </c>
      <c r="G558" s="9" t="s">
        <v>177</v>
      </c>
      <c r="H558" s="9" t="s">
        <v>348</v>
      </c>
      <c r="I558" s="9" t="s">
        <v>349</v>
      </c>
      <c r="J558" s="9" t="s">
        <v>67</v>
      </c>
      <c r="K558" s="9" t="s">
        <v>68</v>
      </c>
      <c r="L558" s="9" t="s">
        <v>2726</v>
      </c>
      <c r="M558" s="9" t="s">
        <v>78</v>
      </c>
      <c r="N558" s="9" t="n">
        <v>1</v>
      </c>
      <c r="O558" s="9" t="n">
        <v>4426.66</v>
      </c>
      <c r="P558" s="9" t="n">
        <v>0</v>
      </c>
      <c r="Q558" s="9" t="n">
        <v>4426.66</v>
      </c>
      <c r="R558" s="9" t="n">
        <v>3035.2</v>
      </c>
      <c r="S558" s="9" t="n">
        <v>1816.23</v>
      </c>
      <c r="T558" s="9" t="s">
        <v>56</v>
      </c>
      <c r="U558" s="9" t="s">
        <v>147</v>
      </c>
    </row>
    <row r="559" customFormat="false" ht="15" hidden="false" customHeight="false" outlineLevel="0" collapsed="false">
      <c r="A559" s="9" t="s">
        <v>2727</v>
      </c>
      <c r="B559" s="9" t="s">
        <v>2728</v>
      </c>
      <c r="C559" s="9" t="s">
        <v>2729</v>
      </c>
      <c r="D559" s="9" t="s">
        <v>2730</v>
      </c>
      <c r="E559" s="9" t="s">
        <v>105</v>
      </c>
      <c r="F559" s="9" t="s">
        <v>137</v>
      </c>
      <c r="G559" s="9" t="s">
        <v>177</v>
      </c>
      <c r="H559" s="9" t="s">
        <v>348</v>
      </c>
      <c r="I559" s="9" t="s">
        <v>349</v>
      </c>
      <c r="J559" s="9" t="s">
        <v>108</v>
      </c>
      <c r="K559" s="9" t="s">
        <v>247</v>
      </c>
      <c r="L559" s="9" t="s">
        <v>2731</v>
      </c>
      <c r="M559" s="9" t="s">
        <v>78</v>
      </c>
      <c r="N559" s="9" t="n">
        <v>9</v>
      </c>
      <c r="O559" s="9" t="n">
        <v>3769.46</v>
      </c>
      <c r="P559" s="9" t="n">
        <v>0.05</v>
      </c>
      <c r="Q559" s="9" t="n">
        <v>32228.88</v>
      </c>
      <c r="R559" s="9" t="n">
        <v>24971.36</v>
      </c>
      <c r="S559" s="9" t="n">
        <v>7257.52</v>
      </c>
      <c r="T559" s="9" t="s">
        <v>56</v>
      </c>
      <c r="U559" s="9" t="s">
        <v>100</v>
      </c>
    </row>
    <row r="560" customFormat="false" ht="15" hidden="false" customHeight="false" outlineLevel="0" collapsed="false">
      <c r="A560" s="9" t="s">
        <v>2732</v>
      </c>
      <c r="B560" s="9" t="s">
        <v>2733</v>
      </c>
      <c r="C560" s="9" t="s">
        <v>2734</v>
      </c>
      <c r="D560" s="9" t="s">
        <v>2735</v>
      </c>
      <c r="E560" s="9" t="s">
        <v>129</v>
      </c>
      <c r="F560" s="9" t="s">
        <v>130</v>
      </c>
      <c r="G560" s="9" t="s">
        <v>177</v>
      </c>
      <c r="H560" s="9" t="s">
        <v>178</v>
      </c>
      <c r="I560" s="9" t="s">
        <v>179</v>
      </c>
      <c r="J560" s="9" t="s">
        <v>108</v>
      </c>
      <c r="K560" s="9" t="s">
        <v>409</v>
      </c>
      <c r="L560" s="9" t="s">
        <v>2736</v>
      </c>
      <c r="M560" s="9" t="s">
        <v>78</v>
      </c>
      <c r="N560" s="9" t="n">
        <v>8</v>
      </c>
      <c r="O560" s="9" t="n">
        <v>3079.95</v>
      </c>
      <c r="P560" s="9" t="n">
        <v>0.2</v>
      </c>
      <c r="Q560" s="9" t="n">
        <v>19711.68</v>
      </c>
      <c r="R560" s="9" t="n">
        <v>14461.8</v>
      </c>
      <c r="S560" s="9" t="n">
        <v>5249.88</v>
      </c>
      <c r="T560" s="9" t="s">
        <v>56</v>
      </c>
      <c r="U560" s="9" t="s">
        <v>57</v>
      </c>
    </row>
    <row r="561" customFormat="false" ht="15" hidden="false" customHeight="false" outlineLevel="0" collapsed="false">
      <c r="A561" s="9" t="s">
        <v>2737</v>
      </c>
      <c r="B561" s="9" t="s">
        <v>2300</v>
      </c>
      <c r="C561" s="9" t="s">
        <v>2738</v>
      </c>
      <c r="D561" s="9" t="s">
        <v>2739</v>
      </c>
      <c r="E561" s="9" t="s">
        <v>234</v>
      </c>
      <c r="F561" s="9" t="s">
        <v>130</v>
      </c>
      <c r="G561" s="9" t="s">
        <v>64</v>
      </c>
      <c r="H561" s="9" t="s">
        <v>210</v>
      </c>
      <c r="I561" s="9" t="s">
        <v>211</v>
      </c>
      <c r="J561" s="9" t="s">
        <v>108</v>
      </c>
      <c r="K561" s="9" t="s">
        <v>116</v>
      </c>
      <c r="L561" s="9" t="s">
        <v>2740</v>
      </c>
      <c r="M561" s="9" t="s">
        <v>55</v>
      </c>
      <c r="N561" s="9" t="n">
        <v>5</v>
      </c>
      <c r="O561" s="9" t="n">
        <v>3277.82</v>
      </c>
      <c r="P561" s="9" t="n">
        <v>0.1</v>
      </c>
      <c r="Q561" s="9" t="n">
        <v>14750.19</v>
      </c>
      <c r="R561" s="9" t="n">
        <v>9482.58</v>
      </c>
      <c r="S561" s="9" t="n">
        <v>5267.61</v>
      </c>
      <c r="T561" s="9" t="s">
        <v>56</v>
      </c>
      <c r="U561" s="9" t="s">
        <v>147</v>
      </c>
    </row>
    <row r="562" customFormat="false" ht="15" hidden="false" customHeight="false" outlineLevel="0" collapsed="false">
      <c r="A562" s="9" t="s">
        <v>2741</v>
      </c>
      <c r="B562" s="9" t="s">
        <v>2742</v>
      </c>
      <c r="C562" s="9" t="s">
        <v>1094</v>
      </c>
      <c r="D562" s="9" t="s">
        <v>2743</v>
      </c>
      <c r="E562" s="9" t="s">
        <v>83</v>
      </c>
      <c r="F562" s="9" t="s">
        <v>48</v>
      </c>
      <c r="G562" s="9" t="s">
        <v>95</v>
      </c>
      <c r="H562" s="9" t="s">
        <v>274</v>
      </c>
      <c r="I562" s="9" t="s">
        <v>275</v>
      </c>
      <c r="J562" s="9" t="s">
        <v>52</v>
      </c>
      <c r="K562" s="9" t="s">
        <v>180</v>
      </c>
      <c r="L562" s="9" t="s">
        <v>2744</v>
      </c>
      <c r="M562" s="9" t="s">
        <v>89</v>
      </c>
      <c r="N562" s="9" t="n">
        <v>4</v>
      </c>
      <c r="O562" s="9" t="n">
        <v>282.53</v>
      </c>
      <c r="P562" s="9" t="n">
        <v>0</v>
      </c>
      <c r="Q562" s="9" t="n">
        <v>1130.12</v>
      </c>
      <c r="R562" s="9" t="n">
        <v>848.62</v>
      </c>
      <c r="S562" s="9" t="n">
        <v>281.5</v>
      </c>
      <c r="T562" s="9" t="s">
        <v>56</v>
      </c>
      <c r="U562" s="9" t="s">
        <v>100</v>
      </c>
    </row>
    <row r="563" customFormat="false" ht="15" hidden="false" customHeight="false" outlineLevel="0" collapsed="false">
      <c r="A563" s="9" t="s">
        <v>2745</v>
      </c>
      <c r="B563" s="9" t="s">
        <v>796</v>
      </c>
      <c r="C563" s="9" t="s">
        <v>2746</v>
      </c>
      <c r="D563" s="9" t="s">
        <v>2747</v>
      </c>
      <c r="E563" s="9" t="s">
        <v>129</v>
      </c>
      <c r="F563" s="9" t="s">
        <v>48</v>
      </c>
      <c r="G563" s="9" t="s">
        <v>177</v>
      </c>
      <c r="H563" s="9" t="s">
        <v>178</v>
      </c>
      <c r="I563" s="9" t="s">
        <v>179</v>
      </c>
      <c r="J563" s="9" t="s">
        <v>108</v>
      </c>
      <c r="K563" s="9" t="s">
        <v>116</v>
      </c>
      <c r="L563" s="9" t="s">
        <v>2748</v>
      </c>
      <c r="M563" s="9" t="s">
        <v>78</v>
      </c>
      <c r="N563" s="9" t="n">
        <v>4</v>
      </c>
      <c r="O563" s="9" t="n">
        <v>725.22</v>
      </c>
      <c r="P563" s="9" t="n">
        <v>0</v>
      </c>
      <c r="Q563" s="9" t="n">
        <v>2900.88</v>
      </c>
      <c r="R563" s="9" t="n">
        <v>2391.85</v>
      </c>
      <c r="S563" s="9" t="n">
        <v>509.03</v>
      </c>
      <c r="T563" s="9" t="s">
        <v>160</v>
      </c>
      <c r="U563" s="9" t="s">
        <v>147</v>
      </c>
    </row>
    <row r="564" customFormat="false" ht="15" hidden="false" customHeight="false" outlineLevel="0" collapsed="false">
      <c r="A564" s="9" t="s">
        <v>2749</v>
      </c>
      <c r="B564" s="9" t="s">
        <v>2750</v>
      </c>
      <c r="C564" s="9" t="s">
        <v>2687</v>
      </c>
      <c r="D564" s="9" t="s">
        <v>2751</v>
      </c>
      <c r="E564" s="9" t="s">
        <v>47</v>
      </c>
      <c r="F564" s="9" t="s">
        <v>48</v>
      </c>
      <c r="G564" s="9" t="s">
        <v>177</v>
      </c>
      <c r="H564" s="9" t="s">
        <v>178</v>
      </c>
      <c r="I564" s="9" t="s">
        <v>179</v>
      </c>
      <c r="J564" s="9" t="s">
        <v>52</v>
      </c>
      <c r="K564" s="9" t="s">
        <v>222</v>
      </c>
      <c r="L564" s="9" t="s">
        <v>2752</v>
      </c>
      <c r="M564" s="9" t="s">
        <v>70</v>
      </c>
      <c r="N564" s="9" t="n">
        <v>7</v>
      </c>
      <c r="O564" s="9" t="n">
        <v>121.54</v>
      </c>
      <c r="P564" s="9" t="n">
        <v>0.2</v>
      </c>
      <c r="Q564" s="9" t="n">
        <v>680.62</v>
      </c>
      <c r="R564" s="9" t="n">
        <v>463.49</v>
      </c>
      <c r="S564" s="9" t="n">
        <v>217.13</v>
      </c>
      <c r="T564" s="9" t="s">
        <v>224</v>
      </c>
      <c r="U564" s="9" t="s">
        <v>147</v>
      </c>
    </row>
    <row r="565" customFormat="false" ht="15" hidden="false" customHeight="false" outlineLevel="0" collapsed="false">
      <c r="A565" s="9" t="s">
        <v>2753</v>
      </c>
      <c r="B565" s="9" t="s">
        <v>2754</v>
      </c>
      <c r="C565" s="9" t="s">
        <v>1824</v>
      </c>
      <c r="D565" s="9" t="s">
        <v>2755</v>
      </c>
      <c r="E565" s="9" t="s">
        <v>83</v>
      </c>
      <c r="F565" s="9" t="s">
        <v>130</v>
      </c>
      <c r="G565" s="9" t="s">
        <v>95</v>
      </c>
      <c r="H565" s="9" t="s">
        <v>274</v>
      </c>
      <c r="I565" s="9" t="s">
        <v>275</v>
      </c>
      <c r="J565" s="9" t="s">
        <v>67</v>
      </c>
      <c r="K565" s="9" t="s">
        <v>68</v>
      </c>
      <c r="L565" s="9" t="s">
        <v>2756</v>
      </c>
      <c r="M565" s="9" t="s">
        <v>89</v>
      </c>
      <c r="N565" s="9" t="n">
        <v>9</v>
      </c>
      <c r="O565" s="9" t="n">
        <v>790.97</v>
      </c>
      <c r="P565" s="9" t="n">
        <v>0.2</v>
      </c>
      <c r="Q565" s="9" t="n">
        <v>5694.98</v>
      </c>
      <c r="R565" s="9" t="n">
        <v>4618.33</v>
      </c>
      <c r="S565" s="9" t="n">
        <v>1076.65</v>
      </c>
      <c r="T565" s="9" t="s">
        <v>160</v>
      </c>
      <c r="U565" s="9" t="s">
        <v>100</v>
      </c>
    </row>
    <row r="566" customFormat="false" ht="15" hidden="false" customHeight="false" outlineLevel="0" collapsed="false">
      <c r="A566" s="9" t="s">
        <v>2757</v>
      </c>
      <c r="B566" s="9" t="s">
        <v>127</v>
      </c>
      <c r="C566" s="9" t="s">
        <v>2758</v>
      </c>
      <c r="D566" s="9" t="s">
        <v>2759</v>
      </c>
      <c r="E566" s="9" t="s">
        <v>192</v>
      </c>
      <c r="F566" s="9" t="s">
        <v>130</v>
      </c>
      <c r="G566" s="9" t="s">
        <v>84</v>
      </c>
      <c r="H566" s="9" t="s">
        <v>122</v>
      </c>
      <c r="I566" s="9" t="s">
        <v>123</v>
      </c>
      <c r="J566" s="9" t="s">
        <v>67</v>
      </c>
      <c r="K566" s="9" t="s">
        <v>68</v>
      </c>
      <c r="L566" s="9" t="s">
        <v>2760</v>
      </c>
      <c r="M566" s="9" t="s">
        <v>78</v>
      </c>
      <c r="N566" s="9" t="n">
        <v>2</v>
      </c>
      <c r="O566" s="9" t="n">
        <v>921.34</v>
      </c>
      <c r="P566" s="9" t="n">
        <v>0.2</v>
      </c>
      <c r="Q566" s="9" t="n">
        <v>1474.14</v>
      </c>
      <c r="R566" s="9" t="n">
        <v>968.46</v>
      </c>
      <c r="S566" s="9" t="n">
        <v>505.68</v>
      </c>
      <c r="T566" s="9" t="s">
        <v>56</v>
      </c>
      <c r="U566" s="9" t="s">
        <v>57</v>
      </c>
    </row>
    <row r="567" customFormat="false" ht="15" hidden="false" customHeight="false" outlineLevel="0" collapsed="false">
      <c r="A567" s="9" t="s">
        <v>2761</v>
      </c>
      <c r="B567" s="9" t="s">
        <v>2762</v>
      </c>
      <c r="C567" s="9" t="s">
        <v>265</v>
      </c>
      <c r="D567" s="9" t="s">
        <v>2763</v>
      </c>
      <c r="E567" s="9" t="s">
        <v>62</v>
      </c>
      <c r="F567" s="9" t="s">
        <v>130</v>
      </c>
      <c r="G567" s="9" t="s">
        <v>177</v>
      </c>
      <c r="H567" s="9" t="s">
        <v>535</v>
      </c>
      <c r="I567" s="9" t="s">
        <v>536</v>
      </c>
      <c r="J567" s="9" t="s">
        <v>108</v>
      </c>
      <c r="K567" s="9" t="s">
        <v>247</v>
      </c>
      <c r="L567" s="9" t="s">
        <v>2764</v>
      </c>
      <c r="M567" s="9" t="s">
        <v>89</v>
      </c>
      <c r="N567" s="9" t="n">
        <v>6</v>
      </c>
      <c r="O567" s="9" t="n">
        <v>1921.86</v>
      </c>
      <c r="P567" s="9" t="n">
        <v>0.2</v>
      </c>
      <c r="Q567" s="9" t="n">
        <v>9224.93</v>
      </c>
      <c r="R567" s="9" t="n">
        <v>7005.2</v>
      </c>
      <c r="S567" s="9" t="n">
        <v>2219.73</v>
      </c>
      <c r="T567" s="9" t="s">
        <v>146</v>
      </c>
      <c r="U567" s="9" t="s">
        <v>100</v>
      </c>
    </row>
    <row r="568" customFormat="false" ht="15" hidden="false" customHeight="false" outlineLevel="0" collapsed="false">
      <c r="A568" s="9" t="s">
        <v>2765</v>
      </c>
      <c r="B568" s="9" t="s">
        <v>2482</v>
      </c>
      <c r="C568" s="9" t="s">
        <v>2766</v>
      </c>
      <c r="D568" s="9" t="s">
        <v>2767</v>
      </c>
      <c r="E568" s="9" t="s">
        <v>192</v>
      </c>
      <c r="F568" s="9" t="s">
        <v>63</v>
      </c>
      <c r="G568" s="9" t="s">
        <v>95</v>
      </c>
      <c r="H568" s="9" t="s">
        <v>96</v>
      </c>
      <c r="I568" s="9" t="s">
        <v>97</v>
      </c>
      <c r="J568" s="9" t="s">
        <v>52</v>
      </c>
      <c r="K568" s="9" t="s">
        <v>53</v>
      </c>
      <c r="L568" s="9" t="s">
        <v>2768</v>
      </c>
      <c r="M568" s="9" t="s">
        <v>70</v>
      </c>
      <c r="N568" s="9" t="n">
        <v>2</v>
      </c>
      <c r="O568" s="9" t="n">
        <v>2617.89</v>
      </c>
      <c r="P568" s="9" t="n">
        <v>0.1</v>
      </c>
      <c r="Q568" s="9" t="n">
        <v>4712.2</v>
      </c>
      <c r="R568" s="9" t="n">
        <v>3851.91</v>
      </c>
      <c r="S568" s="9" t="n">
        <v>860.29</v>
      </c>
      <c r="T568" s="9" t="s">
        <v>224</v>
      </c>
      <c r="U568" s="9" t="s">
        <v>147</v>
      </c>
    </row>
    <row r="569" customFormat="false" ht="15" hidden="false" customHeight="false" outlineLevel="0" collapsed="false">
      <c r="A569" s="9" t="s">
        <v>2769</v>
      </c>
      <c r="B569" s="9" t="s">
        <v>2770</v>
      </c>
      <c r="C569" s="9" t="s">
        <v>2771</v>
      </c>
      <c r="D569" s="9" t="s">
        <v>2772</v>
      </c>
      <c r="E569" s="9" t="s">
        <v>83</v>
      </c>
      <c r="F569" s="9" t="s">
        <v>137</v>
      </c>
      <c r="G569" s="9" t="s">
        <v>177</v>
      </c>
      <c r="H569" s="9" t="s">
        <v>198</v>
      </c>
      <c r="I569" s="9" t="s">
        <v>199</v>
      </c>
      <c r="J569" s="9" t="s">
        <v>67</v>
      </c>
      <c r="K569" s="9" t="s">
        <v>87</v>
      </c>
      <c r="L569" s="9" t="s">
        <v>935</v>
      </c>
      <c r="M569" s="9" t="s">
        <v>70</v>
      </c>
      <c r="N569" s="9" t="n">
        <v>1</v>
      </c>
      <c r="O569" s="9" t="n">
        <v>1374.06</v>
      </c>
      <c r="P569" s="9" t="n">
        <v>0.05</v>
      </c>
      <c r="Q569" s="9" t="n">
        <v>1305.36</v>
      </c>
      <c r="R569" s="9" t="n">
        <v>731.89</v>
      </c>
      <c r="S569" s="9" t="n">
        <v>573.47</v>
      </c>
      <c r="T569" s="9" t="s">
        <v>56</v>
      </c>
      <c r="U569" s="9" t="s">
        <v>57</v>
      </c>
    </row>
    <row r="570" customFormat="false" ht="15" hidden="false" customHeight="false" outlineLevel="0" collapsed="false">
      <c r="A570" s="9" t="s">
        <v>2773</v>
      </c>
      <c r="B570" s="9" t="s">
        <v>1759</v>
      </c>
      <c r="C570" s="9" t="s">
        <v>2774</v>
      </c>
      <c r="D570" s="9" t="s">
        <v>2775</v>
      </c>
      <c r="E570" s="9" t="s">
        <v>393</v>
      </c>
      <c r="F570" s="9" t="s">
        <v>130</v>
      </c>
      <c r="G570" s="9" t="s">
        <v>177</v>
      </c>
      <c r="H570" s="9" t="s">
        <v>178</v>
      </c>
      <c r="I570" s="9" t="s">
        <v>179</v>
      </c>
      <c r="J570" s="9" t="s">
        <v>108</v>
      </c>
      <c r="K570" s="9" t="s">
        <v>409</v>
      </c>
      <c r="L570" s="9" t="s">
        <v>2776</v>
      </c>
      <c r="M570" s="9" t="s">
        <v>70</v>
      </c>
      <c r="N570" s="9" t="n">
        <v>1</v>
      </c>
      <c r="O570" s="9" t="n">
        <v>3806.3</v>
      </c>
      <c r="P570" s="9" t="n">
        <v>0.25</v>
      </c>
      <c r="Q570" s="9" t="n">
        <v>2854.73</v>
      </c>
      <c r="R570" s="9" t="n">
        <v>1968.12</v>
      </c>
      <c r="S570" s="9" t="n">
        <v>886.61</v>
      </c>
      <c r="T570" s="9" t="s">
        <v>56</v>
      </c>
      <c r="U570" s="9" t="s">
        <v>57</v>
      </c>
    </row>
    <row r="571" customFormat="false" ht="15" hidden="false" customHeight="false" outlineLevel="0" collapsed="false">
      <c r="A571" s="9" t="s">
        <v>2777</v>
      </c>
      <c r="B571" s="9" t="s">
        <v>2778</v>
      </c>
      <c r="C571" s="9" t="s">
        <v>2779</v>
      </c>
      <c r="D571" s="9" t="s">
        <v>2780</v>
      </c>
      <c r="E571" s="9" t="s">
        <v>171</v>
      </c>
      <c r="F571" s="9" t="s">
        <v>137</v>
      </c>
      <c r="G571" s="9" t="s">
        <v>95</v>
      </c>
      <c r="H571" s="9" t="s">
        <v>96</v>
      </c>
      <c r="I571" s="9" t="s">
        <v>97</v>
      </c>
      <c r="J571" s="9" t="s">
        <v>67</v>
      </c>
      <c r="K571" s="9" t="s">
        <v>87</v>
      </c>
      <c r="L571" s="9" t="s">
        <v>2781</v>
      </c>
      <c r="M571" s="9" t="s">
        <v>89</v>
      </c>
      <c r="N571" s="9" t="n">
        <v>6</v>
      </c>
      <c r="O571" s="9" t="n">
        <v>3251.17</v>
      </c>
      <c r="P571" s="9" t="n">
        <v>0.25</v>
      </c>
      <c r="Q571" s="9" t="n">
        <v>14630.26</v>
      </c>
      <c r="R571" s="9" t="n">
        <v>11906.36</v>
      </c>
      <c r="S571" s="9" t="n">
        <v>2723.9</v>
      </c>
      <c r="T571" s="9" t="s">
        <v>146</v>
      </c>
      <c r="U571" s="9" t="s">
        <v>147</v>
      </c>
    </row>
    <row r="572" customFormat="false" ht="15" hidden="false" customHeight="false" outlineLevel="0" collapsed="false">
      <c r="A572" s="9" t="s">
        <v>2782</v>
      </c>
      <c r="B572" s="9" t="s">
        <v>956</v>
      </c>
      <c r="C572" s="9" t="s">
        <v>731</v>
      </c>
      <c r="D572" s="9" t="s">
        <v>2783</v>
      </c>
      <c r="E572" s="9" t="s">
        <v>83</v>
      </c>
      <c r="F572" s="9" t="s">
        <v>48</v>
      </c>
      <c r="G572" s="9" t="s">
        <v>64</v>
      </c>
      <c r="H572" s="9" t="s">
        <v>336</v>
      </c>
      <c r="I572" s="9" t="s">
        <v>337</v>
      </c>
      <c r="J572" s="9" t="s">
        <v>67</v>
      </c>
      <c r="K572" s="9" t="s">
        <v>87</v>
      </c>
      <c r="L572" s="9" t="s">
        <v>2784</v>
      </c>
      <c r="M572" s="9" t="s">
        <v>55</v>
      </c>
      <c r="N572" s="9" t="n">
        <v>3</v>
      </c>
      <c r="O572" s="9" t="n">
        <v>3946.44</v>
      </c>
      <c r="P572" s="9" t="n">
        <v>0.25</v>
      </c>
      <c r="Q572" s="9" t="n">
        <v>8879.49</v>
      </c>
      <c r="R572" s="9" t="n">
        <v>6344.57</v>
      </c>
      <c r="S572" s="9" t="n">
        <v>2534.92</v>
      </c>
      <c r="T572" s="9" t="s">
        <v>224</v>
      </c>
      <c r="U572" s="9" t="s">
        <v>147</v>
      </c>
    </row>
    <row r="573" customFormat="false" ht="15" hidden="false" customHeight="false" outlineLevel="0" collapsed="false">
      <c r="A573" s="9" t="s">
        <v>2785</v>
      </c>
      <c r="B573" s="9" t="s">
        <v>2721</v>
      </c>
      <c r="C573" s="9" t="s">
        <v>2786</v>
      </c>
      <c r="D573" s="9" t="s">
        <v>2787</v>
      </c>
      <c r="E573" s="9" t="s">
        <v>165</v>
      </c>
      <c r="F573" s="9" t="s">
        <v>63</v>
      </c>
      <c r="G573" s="9" t="s">
        <v>177</v>
      </c>
      <c r="H573" s="9" t="s">
        <v>198</v>
      </c>
      <c r="I573" s="9" t="s">
        <v>199</v>
      </c>
      <c r="J573" s="9" t="s">
        <v>108</v>
      </c>
      <c r="K573" s="9" t="s">
        <v>247</v>
      </c>
      <c r="L573" s="9" t="s">
        <v>2788</v>
      </c>
      <c r="M573" s="9"/>
      <c r="N573" s="9" t="n">
        <v>5</v>
      </c>
      <c r="O573" s="9" t="n">
        <v>4276.29</v>
      </c>
      <c r="P573" s="9" t="n">
        <v>0</v>
      </c>
      <c r="Q573" s="9" t="n">
        <v>21381.45</v>
      </c>
      <c r="R573" s="9" t="n">
        <v>13240.21</v>
      </c>
      <c r="S573" s="9" t="n">
        <v>8141.24</v>
      </c>
      <c r="T573" s="9" t="s">
        <v>224</v>
      </c>
      <c r="U573" s="9" t="s">
        <v>147</v>
      </c>
    </row>
    <row r="574" customFormat="false" ht="15" hidden="false" customHeight="false" outlineLevel="0" collapsed="false">
      <c r="A574" s="9" t="s">
        <v>2789</v>
      </c>
      <c r="B574" s="9" t="s">
        <v>2790</v>
      </c>
      <c r="C574" s="9" t="s">
        <v>2791</v>
      </c>
      <c r="D574" s="9" t="s">
        <v>2792</v>
      </c>
      <c r="E574" s="9" t="s">
        <v>2793</v>
      </c>
      <c r="F574" s="9" t="s">
        <v>130</v>
      </c>
      <c r="G574" s="9" t="s">
        <v>177</v>
      </c>
      <c r="H574" s="9" t="s">
        <v>535</v>
      </c>
      <c r="I574" s="9" t="s">
        <v>536</v>
      </c>
      <c r="J574" s="9" t="s">
        <v>108</v>
      </c>
      <c r="K574" s="9" t="s">
        <v>247</v>
      </c>
      <c r="L574" s="9" t="s">
        <v>2794</v>
      </c>
      <c r="M574" s="9" t="s">
        <v>89</v>
      </c>
      <c r="N574" s="9" t="n">
        <v>3</v>
      </c>
      <c r="O574" s="9" t="n">
        <v>739.56</v>
      </c>
      <c r="P574" s="9" t="n">
        <v>0.2</v>
      </c>
      <c r="Q574" s="9" t="n">
        <v>1774.94</v>
      </c>
      <c r="R574" s="9" t="n">
        <v>1007.4</v>
      </c>
      <c r="S574" s="9" t="n">
        <v>767.54</v>
      </c>
      <c r="T574" s="9" t="s">
        <v>56</v>
      </c>
      <c r="U574" s="9" t="s">
        <v>57</v>
      </c>
    </row>
    <row r="575" customFormat="false" ht="15" hidden="false" customHeight="false" outlineLevel="0" collapsed="false">
      <c r="A575" s="9" t="s">
        <v>2795</v>
      </c>
      <c r="B575" s="9" t="s">
        <v>2796</v>
      </c>
      <c r="C575" s="9" t="s">
        <v>2797</v>
      </c>
      <c r="D575" s="9" t="s">
        <v>2798</v>
      </c>
      <c r="E575" s="9" t="s">
        <v>75</v>
      </c>
      <c r="F575" s="9" t="s">
        <v>48</v>
      </c>
      <c r="G575" s="9" t="s">
        <v>84</v>
      </c>
      <c r="H575" s="9" t="s">
        <v>122</v>
      </c>
      <c r="I575" s="9" t="s">
        <v>123</v>
      </c>
      <c r="J575" s="9" t="s">
        <v>108</v>
      </c>
      <c r="K575" s="9" t="s">
        <v>247</v>
      </c>
      <c r="L575" s="9" t="s">
        <v>2799</v>
      </c>
      <c r="M575" s="9" t="s">
        <v>89</v>
      </c>
      <c r="N575" s="9" t="n">
        <v>1</v>
      </c>
      <c r="O575" s="9" t="n">
        <v>573.65</v>
      </c>
      <c r="P575" s="9" t="n">
        <v>0</v>
      </c>
      <c r="Q575" s="9" t="n">
        <v>573.65</v>
      </c>
      <c r="R575" s="9" t="n">
        <v>322.67</v>
      </c>
      <c r="S575" s="9" t="n">
        <v>250.98</v>
      </c>
      <c r="T575" s="9" t="s">
        <v>56</v>
      </c>
      <c r="U575" s="9" t="s">
        <v>57</v>
      </c>
    </row>
    <row r="576" customFormat="false" ht="15" hidden="false" customHeight="false" outlineLevel="0" collapsed="false">
      <c r="A576" s="9" t="s">
        <v>2800</v>
      </c>
      <c r="B576" s="9" t="s">
        <v>2801</v>
      </c>
      <c r="C576" s="9" t="s">
        <v>1685</v>
      </c>
      <c r="D576" s="9" t="s">
        <v>1264</v>
      </c>
      <c r="E576" s="9" t="s">
        <v>234</v>
      </c>
      <c r="F576" s="9" t="s">
        <v>137</v>
      </c>
      <c r="G576" s="9" t="s">
        <v>177</v>
      </c>
      <c r="H576" s="9" t="s">
        <v>178</v>
      </c>
      <c r="I576" s="9" t="s">
        <v>179</v>
      </c>
      <c r="J576" s="9" t="s">
        <v>108</v>
      </c>
      <c r="K576" s="9" t="s">
        <v>409</v>
      </c>
      <c r="L576" s="9" t="s">
        <v>2802</v>
      </c>
      <c r="M576" s="9" t="s">
        <v>89</v>
      </c>
      <c r="N576" s="9" t="n">
        <v>4</v>
      </c>
      <c r="O576" s="9" t="n">
        <v>1355.8</v>
      </c>
      <c r="P576" s="9" t="n">
        <v>0</v>
      </c>
      <c r="Q576" s="9" t="n">
        <v>5423.2</v>
      </c>
      <c r="R576" s="9" t="n">
        <v>4072.44</v>
      </c>
      <c r="S576" s="9" t="n">
        <v>1350.76</v>
      </c>
      <c r="T576" s="9" t="s">
        <v>56</v>
      </c>
      <c r="U576" s="9" t="s">
        <v>57</v>
      </c>
    </row>
    <row r="577" customFormat="false" ht="15" hidden="false" customHeight="false" outlineLevel="0" collapsed="false">
      <c r="A577" s="9" t="s">
        <v>2803</v>
      </c>
      <c r="B577" s="9" t="s">
        <v>2804</v>
      </c>
      <c r="C577" s="9" t="s">
        <v>2805</v>
      </c>
      <c r="D577" s="9" t="s">
        <v>2806</v>
      </c>
      <c r="E577" s="9" t="s">
        <v>192</v>
      </c>
      <c r="F577" s="9" t="s">
        <v>137</v>
      </c>
      <c r="G577" s="9" t="s">
        <v>84</v>
      </c>
      <c r="H577" s="9" t="s">
        <v>267</v>
      </c>
      <c r="I577" s="9" t="s">
        <v>268</v>
      </c>
      <c r="J577" s="9" t="s">
        <v>67</v>
      </c>
      <c r="K577" s="9" t="s">
        <v>87</v>
      </c>
      <c r="L577" s="9" t="s">
        <v>2807</v>
      </c>
      <c r="M577" s="9" t="s">
        <v>70</v>
      </c>
      <c r="N577" s="9" t="n">
        <v>4</v>
      </c>
      <c r="O577" s="9" t="n">
        <v>1244.82</v>
      </c>
      <c r="P577" s="9" t="n">
        <v>0.2</v>
      </c>
      <c r="Q577" s="9" t="n">
        <v>3983.42</v>
      </c>
      <c r="R577" s="9" t="n">
        <v>3174.91</v>
      </c>
      <c r="S577" s="9" t="n">
        <v>808.51</v>
      </c>
      <c r="T577" s="9" t="s">
        <v>224</v>
      </c>
      <c r="U577" s="9" t="s">
        <v>147</v>
      </c>
    </row>
    <row r="578" customFormat="false" ht="15" hidden="false" customHeight="false" outlineLevel="0" collapsed="false">
      <c r="A578" s="9" t="s">
        <v>2808</v>
      </c>
      <c r="B578" s="9" t="s">
        <v>2809</v>
      </c>
      <c r="C578" s="9" t="s">
        <v>2810</v>
      </c>
      <c r="D578" s="9" t="s">
        <v>2811</v>
      </c>
      <c r="E578" s="9" t="s">
        <v>204</v>
      </c>
      <c r="F578" s="9" t="s">
        <v>137</v>
      </c>
      <c r="G578" s="9"/>
      <c r="H578" s="9" t="s">
        <v>210</v>
      </c>
      <c r="I578" s="9" t="s">
        <v>211</v>
      </c>
      <c r="J578" s="9" t="s">
        <v>52</v>
      </c>
      <c r="K578" s="9" t="s">
        <v>222</v>
      </c>
      <c r="L578" s="9" t="s">
        <v>2812</v>
      </c>
      <c r="M578" s="9" t="s">
        <v>89</v>
      </c>
      <c r="N578" s="9" t="n">
        <v>9</v>
      </c>
      <c r="O578" s="9" t="n">
        <v>2614.46</v>
      </c>
      <c r="P578" s="9" t="n">
        <v>0</v>
      </c>
      <c r="Q578" s="9" t="n">
        <v>23530.14</v>
      </c>
      <c r="R578" s="9" t="n">
        <v>19537.79</v>
      </c>
      <c r="S578" s="9" t="n">
        <v>3992.35</v>
      </c>
      <c r="T578" s="9" t="s">
        <v>146</v>
      </c>
      <c r="U578" s="9" t="s">
        <v>147</v>
      </c>
    </row>
    <row r="579" customFormat="false" ht="15" hidden="false" customHeight="false" outlineLevel="0" collapsed="false">
      <c r="A579" s="9" t="s">
        <v>2813</v>
      </c>
      <c r="B579" s="9" t="s">
        <v>462</v>
      </c>
      <c r="C579" s="9" t="s">
        <v>2814</v>
      </c>
      <c r="D579" s="9" t="s">
        <v>2815</v>
      </c>
      <c r="E579" s="9" t="s">
        <v>165</v>
      </c>
      <c r="F579" s="9" t="s">
        <v>130</v>
      </c>
      <c r="G579" s="9" t="s">
        <v>95</v>
      </c>
      <c r="H579" s="9" t="s">
        <v>106</v>
      </c>
      <c r="I579" s="9" t="s">
        <v>107</v>
      </c>
      <c r="J579" s="9" t="s">
        <v>67</v>
      </c>
      <c r="K579" s="9" t="s">
        <v>87</v>
      </c>
      <c r="L579" s="9" t="s">
        <v>2816</v>
      </c>
      <c r="M579" s="9" t="s">
        <v>89</v>
      </c>
      <c r="N579" s="9" t="n">
        <v>7</v>
      </c>
      <c r="O579" s="9" t="n">
        <v>268.45</v>
      </c>
      <c r="P579" s="9" t="n">
        <v>0</v>
      </c>
      <c r="Q579" s="9" t="n">
        <v>1879.15</v>
      </c>
      <c r="R579" s="9" t="n">
        <v>1134.9</v>
      </c>
      <c r="S579" s="9" t="n">
        <v>744.25</v>
      </c>
      <c r="T579" s="9" t="s">
        <v>56</v>
      </c>
      <c r="U579" s="9" t="s">
        <v>57</v>
      </c>
    </row>
    <row r="580" customFormat="false" ht="15" hidden="false" customHeight="false" outlineLevel="0" collapsed="false">
      <c r="A580" s="9" t="s">
        <v>2817</v>
      </c>
      <c r="B580" s="9" t="s">
        <v>2818</v>
      </c>
      <c r="C580" s="9" t="s">
        <v>2819</v>
      </c>
      <c r="D580" s="9" t="s">
        <v>444</v>
      </c>
      <c r="E580" s="9" t="s">
        <v>115</v>
      </c>
      <c r="F580" s="9" t="s">
        <v>63</v>
      </c>
      <c r="G580" s="9" t="s">
        <v>95</v>
      </c>
      <c r="H580" s="9" t="s">
        <v>260</v>
      </c>
      <c r="I580" s="9" t="s">
        <v>261</v>
      </c>
      <c r="J580" s="9" t="s">
        <v>108</v>
      </c>
      <c r="K580" s="9" t="s">
        <v>116</v>
      </c>
      <c r="L580" s="9" t="s">
        <v>2820</v>
      </c>
      <c r="M580" s="9" t="s">
        <v>78</v>
      </c>
      <c r="N580" s="9" t="n">
        <v>6</v>
      </c>
      <c r="O580" s="9" t="n">
        <v>2633.65</v>
      </c>
      <c r="P580" s="9" t="n">
        <v>0.05</v>
      </c>
      <c r="Q580" s="9" t="n">
        <v>15011.81</v>
      </c>
      <c r="R580" s="9" t="n">
        <v>9660.36</v>
      </c>
      <c r="S580" s="9" t="n">
        <v>5351.45</v>
      </c>
      <c r="T580" s="9" t="s">
        <v>56</v>
      </c>
      <c r="U580" s="9" t="s">
        <v>57</v>
      </c>
    </row>
    <row r="581" customFormat="false" ht="15" hidden="false" customHeight="false" outlineLevel="0" collapsed="false">
      <c r="A581" s="9" t="s">
        <v>2821</v>
      </c>
      <c r="B581" s="9" t="s">
        <v>2822</v>
      </c>
      <c r="C581" s="9" t="s">
        <v>2823</v>
      </c>
      <c r="D581" s="9" t="s">
        <v>2824</v>
      </c>
      <c r="E581" s="9" t="s">
        <v>186</v>
      </c>
      <c r="F581" s="9" t="s">
        <v>63</v>
      </c>
      <c r="G581" s="9" t="s">
        <v>84</v>
      </c>
      <c r="H581" s="9" t="s">
        <v>364</v>
      </c>
      <c r="I581" s="9" t="s">
        <v>365</v>
      </c>
      <c r="J581" s="9" t="s">
        <v>52</v>
      </c>
      <c r="K581" s="9" t="s">
        <v>180</v>
      </c>
      <c r="L581" s="9" t="s">
        <v>2825</v>
      </c>
      <c r="M581" s="9" t="s">
        <v>70</v>
      </c>
      <c r="N581" s="9" t="n">
        <v>1</v>
      </c>
      <c r="O581" s="9" t="n">
        <v>3202.41</v>
      </c>
      <c r="P581" s="9" t="n">
        <v>0</v>
      </c>
      <c r="Q581" s="9" t="n">
        <v>3202.41</v>
      </c>
      <c r="R581" s="9" t="n">
        <v>2608.44</v>
      </c>
      <c r="S581" s="9" t="n">
        <v>593.97</v>
      </c>
      <c r="T581" s="9" t="s">
        <v>56</v>
      </c>
      <c r="U581" s="9" t="s">
        <v>57</v>
      </c>
    </row>
    <row r="582" customFormat="false" ht="15" hidden="false" customHeight="false" outlineLevel="0" collapsed="false">
      <c r="A582" s="9" t="s">
        <v>2826</v>
      </c>
      <c r="B582" s="9" t="s">
        <v>2827</v>
      </c>
      <c r="C582" s="9" t="s">
        <v>1499</v>
      </c>
      <c r="D582" s="9" t="s">
        <v>2828</v>
      </c>
      <c r="E582" s="9" t="s">
        <v>393</v>
      </c>
      <c r="F582" s="9" t="s">
        <v>48</v>
      </c>
      <c r="G582" s="9" t="s">
        <v>84</v>
      </c>
      <c r="H582" s="9" t="s">
        <v>267</v>
      </c>
      <c r="I582" s="9" t="s">
        <v>268</v>
      </c>
      <c r="J582" s="9" t="s">
        <v>67</v>
      </c>
      <c r="K582" s="9" t="s">
        <v>98</v>
      </c>
      <c r="L582" s="9" t="s">
        <v>2829</v>
      </c>
      <c r="M582" s="9" t="s">
        <v>89</v>
      </c>
      <c r="N582" s="9" t="n">
        <v>3</v>
      </c>
      <c r="O582" s="9" t="n">
        <v>163.72</v>
      </c>
      <c r="P582" s="9" t="n">
        <v>0.15</v>
      </c>
      <c r="Q582" s="9" t="n">
        <v>417.49</v>
      </c>
      <c r="R582" s="9" t="n">
        <v>261.67</v>
      </c>
      <c r="S582" s="9" t="n">
        <v>155.82</v>
      </c>
      <c r="T582" s="9" t="s">
        <v>224</v>
      </c>
      <c r="U582" s="9" t="s">
        <v>147</v>
      </c>
    </row>
    <row r="583" customFormat="false" ht="15" hidden="false" customHeight="false" outlineLevel="0" collapsed="false">
      <c r="A583" s="9" t="s">
        <v>2830</v>
      </c>
      <c r="B583" s="9" t="s">
        <v>1381</v>
      </c>
      <c r="C583" s="9" t="s">
        <v>2831</v>
      </c>
      <c r="D583" s="9" t="s">
        <v>2832</v>
      </c>
      <c r="E583" s="9" t="s">
        <v>115</v>
      </c>
      <c r="F583" s="9" t="s">
        <v>48</v>
      </c>
      <c r="G583" s="9" t="s">
        <v>177</v>
      </c>
      <c r="H583" s="9" t="s">
        <v>535</v>
      </c>
      <c r="I583" s="9" t="s">
        <v>536</v>
      </c>
      <c r="J583" s="9" t="s">
        <v>52</v>
      </c>
      <c r="K583" s="9" t="s">
        <v>76</v>
      </c>
      <c r="L583" s="9" t="s">
        <v>2833</v>
      </c>
      <c r="M583" s="9" t="s">
        <v>55</v>
      </c>
      <c r="N583" s="9" t="n">
        <v>4</v>
      </c>
      <c r="O583" s="9" t="n">
        <v>4080.95</v>
      </c>
      <c r="P583" s="9" t="n">
        <v>0</v>
      </c>
      <c r="Q583" s="9" t="n">
        <v>16323.8</v>
      </c>
      <c r="R583" s="9" t="n">
        <v>9965.79</v>
      </c>
      <c r="S583" s="9" t="n">
        <v>6358.01</v>
      </c>
      <c r="T583" s="9" t="s">
        <v>146</v>
      </c>
      <c r="U583" s="9" t="s">
        <v>147</v>
      </c>
    </row>
    <row r="584" customFormat="false" ht="15" hidden="false" customHeight="false" outlineLevel="0" collapsed="false">
      <c r="A584" s="9" t="s">
        <v>2834</v>
      </c>
      <c r="B584" s="9" t="s">
        <v>2835</v>
      </c>
      <c r="C584" s="9" t="s">
        <v>2836</v>
      </c>
      <c r="D584" s="9" t="s">
        <v>2837</v>
      </c>
      <c r="E584" s="9" t="s">
        <v>94</v>
      </c>
      <c r="F584" s="9" t="s">
        <v>48</v>
      </c>
      <c r="G584" s="9" t="s">
        <v>64</v>
      </c>
      <c r="H584" s="9" t="s">
        <v>65</v>
      </c>
      <c r="I584" s="9" t="s">
        <v>66</v>
      </c>
      <c r="J584" s="9" t="s">
        <v>52</v>
      </c>
      <c r="K584" s="9" t="s">
        <v>76</v>
      </c>
      <c r="L584" s="9" t="s">
        <v>2838</v>
      </c>
      <c r="M584" s="9" t="s">
        <v>78</v>
      </c>
      <c r="N584" s="9" t="n">
        <v>5</v>
      </c>
      <c r="O584" s="9" t="n">
        <v>671.24</v>
      </c>
      <c r="P584" s="9" t="n">
        <v>0</v>
      </c>
      <c r="Q584" s="9" t="n">
        <v>3356.2</v>
      </c>
      <c r="R584" s="9" t="n">
        <v>2205.72</v>
      </c>
      <c r="S584" s="9" t="n">
        <v>1150.48</v>
      </c>
      <c r="T584" s="9" t="s">
        <v>160</v>
      </c>
      <c r="U584" s="9" t="s">
        <v>147</v>
      </c>
    </row>
    <row r="585" customFormat="false" ht="15" hidden="false" customHeight="false" outlineLevel="0" collapsed="false">
      <c r="A585" s="9" t="s">
        <v>2839</v>
      </c>
      <c r="B585" s="9" t="s">
        <v>657</v>
      </c>
      <c r="C585" s="9" t="s">
        <v>2840</v>
      </c>
      <c r="D585" s="9" t="s">
        <v>2841</v>
      </c>
      <c r="E585" s="9" t="s">
        <v>204</v>
      </c>
      <c r="F585" s="9" t="s">
        <v>63</v>
      </c>
      <c r="G585" s="9" t="s">
        <v>64</v>
      </c>
      <c r="H585" s="9" t="s">
        <v>143</v>
      </c>
      <c r="I585" s="9" t="s">
        <v>144</v>
      </c>
      <c r="J585" s="9" t="s">
        <v>52</v>
      </c>
      <c r="K585" s="9" t="s">
        <v>180</v>
      </c>
      <c r="L585" s="9" t="s">
        <v>2842</v>
      </c>
      <c r="M585" s="9" t="s">
        <v>78</v>
      </c>
      <c r="N585" s="9" t="n">
        <v>1</v>
      </c>
      <c r="O585" s="9" t="n">
        <v>2626.84</v>
      </c>
      <c r="P585" s="9" t="n">
        <v>0.2</v>
      </c>
      <c r="Q585" s="9" t="n">
        <v>2101.47</v>
      </c>
      <c r="R585" s="9" t="n">
        <v>1217.83</v>
      </c>
      <c r="S585" s="9" t="n">
        <v>883.64</v>
      </c>
      <c r="T585" s="9" t="s">
        <v>224</v>
      </c>
      <c r="U585" s="9" t="s">
        <v>147</v>
      </c>
    </row>
    <row r="586" customFormat="false" ht="15" hidden="false" customHeight="false" outlineLevel="0" collapsed="false">
      <c r="A586" s="9" t="s">
        <v>2843</v>
      </c>
      <c r="B586" s="9" t="s">
        <v>2844</v>
      </c>
      <c r="C586" s="9" t="s">
        <v>2845</v>
      </c>
      <c r="D586" s="9" t="s">
        <v>2846</v>
      </c>
      <c r="E586" s="9" t="s">
        <v>105</v>
      </c>
      <c r="F586" s="9" t="s">
        <v>48</v>
      </c>
      <c r="G586" s="9" t="s">
        <v>64</v>
      </c>
      <c r="H586" s="9" t="s">
        <v>210</v>
      </c>
      <c r="I586" s="9" t="s">
        <v>211</v>
      </c>
      <c r="J586" s="9" t="s">
        <v>52</v>
      </c>
      <c r="K586" s="9" t="s">
        <v>76</v>
      </c>
      <c r="L586" s="9" t="s">
        <v>2847</v>
      </c>
      <c r="M586" s="9" t="s">
        <v>70</v>
      </c>
      <c r="N586" s="9" t="n">
        <v>1</v>
      </c>
      <c r="O586" s="9" t="n">
        <v>984.93</v>
      </c>
      <c r="P586" s="9" t="n">
        <v>0.15</v>
      </c>
      <c r="Q586" s="9" t="n">
        <v>837.19</v>
      </c>
      <c r="R586" s="9" t="n">
        <v>583.79</v>
      </c>
      <c r="S586" s="9" t="n">
        <v>253.4</v>
      </c>
      <c r="T586" s="9" t="s">
        <v>160</v>
      </c>
      <c r="U586" s="9" t="s">
        <v>147</v>
      </c>
    </row>
    <row r="587" customFormat="false" ht="15" hidden="false" customHeight="false" outlineLevel="0" collapsed="false">
      <c r="A587" s="9" t="s">
        <v>2848</v>
      </c>
      <c r="B587" s="9" t="s">
        <v>1728</v>
      </c>
      <c r="C587" s="9" t="s">
        <v>2849</v>
      </c>
      <c r="D587" s="9" t="s">
        <v>2850</v>
      </c>
      <c r="E587" s="9" t="s">
        <v>234</v>
      </c>
      <c r="F587" s="9" t="s">
        <v>63</v>
      </c>
      <c r="G587" s="9" t="s">
        <v>1086</v>
      </c>
      <c r="H587" s="9" t="s">
        <v>96</v>
      </c>
      <c r="I587" s="9" t="s">
        <v>97</v>
      </c>
      <c r="J587" s="9" t="s">
        <v>108</v>
      </c>
      <c r="K587" s="9" t="s">
        <v>247</v>
      </c>
      <c r="L587" s="9" t="s">
        <v>2851</v>
      </c>
      <c r="M587" s="9" t="s">
        <v>78</v>
      </c>
      <c r="N587" s="9" t="n">
        <v>8</v>
      </c>
      <c r="O587" s="9" t="n">
        <v>3453.66</v>
      </c>
      <c r="P587" s="9" t="n">
        <v>0</v>
      </c>
      <c r="Q587" s="9" t="n">
        <v>27629.28</v>
      </c>
      <c r="R587" s="9" t="n">
        <v>22026.48</v>
      </c>
      <c r="S587" s="9" t="n">
        <v>5602.8</v>
      </c>
      <c r="T587" s="9" t="s">
        <v>56</v>
      </c>
      <c r="U587" s="9" t="s">
        <v>57</v>
      </c>
    </row>
    <row r="588" customFormat="false" ht="15" hidden="false" customHeight="false" outlineLevel="0" collapsed="false">
      <c r="A588" s="9" t="s">
        <v>2852</v>
      </c>
      <c r="B588" s="9" t="s">
        <v>2853</v>
      </c>
      <c r="C588" s="9" t="s">
        <v>2854</v>
      </c>
      <c r="D588" s="9" t="s">
        <v>2855</v>
      </c>
      <c r="E588" s="9" t="s">
        <v>62</v>
      </c>
      <c r="F588" s="9" t="s">
        <v>137</v>
      </c>
      <c r="G588" s="9" t="s">
        <v>177</v>
      </c>
      <c r="H588" s="9" t="s">
        <v>178</v>
      </c>
      <c r="I588" s="9" t="s">
        <v>179</v>
      </c>
      <c r="J588" s="9" t="s">
        <v>52</v>
      </c>
      <c r="K588" s="9" t="s">
        <v>222</v>
      </c>
      <c r="L588" s="9" t="s">
        <v>2856</v>
      </c>
      <c r="M588" s="9" t="s">
        <v>55</v>
      </c>
      <c r="N588" s="9" t="n">
        <v>7</v>
      </c>
      <c r="O588" s="9" t="n">
        <v>1334.2</v>
      </c>
      <c r="P588" s="9" t="n">
        <v>0.2</v>
      </c>
      <c r="Q588" s="9" t="n">
        <v>7471.52</v>
      </c>
      <c r="R588" s="9" t="n">
        <v>6184.32</v>
      </c>
      <c r="S588" s="9" t="n">
        <v>1287.2</v>
      </c>
      <c r="T588" s="9" t="s">
        <v>56</v>
      </c>
      <c r="U588" s="9" t="s">
        <v>57</v>
      </c>
    </row>
    <row r="589" customFormat="false" ht="15" hidden="false" customHeight="false" outlineLevel="0" collapsed="false">
      <c r="A589" s="9" t="s">
        <v>2857</v>
      </c>
      <c r="B589" s="9" t="s">
        <v>2858</v>
      </c>
      <c r="C589" s="9" t="s">
        <v>2859</v>
      </c>
      <c r="D589" s="9" t="s">
        <v>2860</v>
      </c>
      <c r="E589" s="9" t="s">
        <v>393</v>
      </c>
      <c r="F589" s="9" t="s">
        <v>137</v>
      </c>
      <c r="G589" s="9" t="s">
        <v>95</v>
      </c>
      <c r="H589" s="9" t="s">
        <v>106</v>
      </c>
      <c r="I589" s="9" t="s">
        <v>107</v>
      </c>
      <c r="J589" s="9" t="s">
        <v>108</v>
      </c>
      <c r="K589" s="9" t="s">
        <v>109</v>
      </c>
      <c r="L589" s="9" t="s">
        <v>2861</v>
      </c>
      <c r="M589" s="9" t="s">
        <v>78</v>
      </c>
      <c r="N589" s="9" t="n">
        <v>1</v>
      </c>
      <c r="O589" s="9" t="n">
        <v>4253.84</v>
      </c>
      <c r="P589" s="9" t="n">
        <v>0.15</v>
      </c>
      <c r="Q589" s="9" t="n">
        <v>3615.76</v>
      </c>
      <c r="R589" s="9" t="n">
        <v>2951.52</v>
      </c>
      <c r="S589" s="9" t="n">
        <v>664.24</v>
      </c>
      <c r="T589" s="9" t="s">
        <v>146</v>
      </c>
      <c r="U589" s="9" t="s">
        <v>100</v>
      </c>
    </row>
    <row r="590" customFormat="false" ht="15" hidden="false" customHeight="false" outlineLevel="0" collapsed="false">
      <c r="A590" s="9" t="s">
        <v>2862</v>
      </c>
      <c r="B590" s="9" t="s">
        <v>2863</v>
      </c>
      <c r="C590" s="9" t="s">
        <v>2864</v>
      </c>
      <c r="D590" s="9" t="s">
        <v>2865</v>
      </c>
      <c r="E590" s="9" t="s">
        <v>186</v>
      </c>
      <c r="F590" s="9" t="s">
        <v>137</v>
      </c>
      <c r="G590" s="9" t="s">
        <v>84</v>
      </c>
      <c r="H590" s="9" t="s">
        <v>254</v>
      </c>
      <c r="I590" s="9" t="s">
        <v>255</v>
      </c>
      <c r="J590" s="9" t="s">
        <v>108</v>
      </c>
      <c r="K590" s="9" t="s">
        <v>109</v>
      </c>
      <c r="L590" s="9" t="s">
        <v>2866</v>
      </c>
      <c r="M590" s="9" t="s">
        <v>55</v>
      </c>
      <c r="N590" s="9" t="n">
        <v>8</v>
      </c>
      <c r="O590" s="9" t="n">
        <v>4446.36</v>
      </c>
      <c r="P590" s="9" t="n">
        <v>0.1</v>
      </c>
      <c r="Q590" s="9" t="n">
        <v>32013.79</v>
      </c>
      <c r="R590" s="9" t="n">
        <v>20896.88</v>
      </c>
      <c r="S590" s="9" t="n">
        <v>11116.91</v>
      </c>
      <c r="T590" s="9" t="s">
        <v>146</v>
      </c>
      <c r="U590" s="9" t="s">
        <v>100</v>
      </c>
    </row>
    <row r="591" customFormat="false" ht="15" hidden="false" customHeight="false" outlineLevel="0" collapsed="false">
      <c r="A591" s="9" t="s">
        <v>2867</v>
      </c>
      <c r="B591" s="9" t="s">
        <v>2868</v>
      </c>
      <c r="C591" s="9" t="s">
        <v>2869</v>
      </c>
      <c r="D591" s="9" t="s">
        <v>2870</v>
      </c>
      <c r="E591" s="9" t="s">
        <v>204</v>
      </c>
      <c r="F591" s="9" t="s">
        <v>130</v>
      </c>
      <c r="G591" s="9" t="s">
        <v>177</v>
      </c>
      <c r="H591" s="9" t="s">
        <v>198</v>
      </c>
      <c r="I591" s="9" t="s">
        <v>199</v>
      </c>
      <c r="J591" s="9" t="s">
        <v>108</v>
      </c>
      <c r="K591" s="9" t="s">
        <v>247</v>
      </c>
      <c r="L591" s="9" t="s">
        <v>2871</v>
      </c>
      <c r="M591" s="9" t="s">
        <v>78</v>
      </c>
      <c r="N591" s="9" t="n">
        <v>3</v>
      </c>
      <c r="O591" s="9" t="n">
        <v>524.75</v>
      </c>
      <c r="P591" s="9" t="n">
        <v>0</v>
      </c>
      <c r="Q591" s="9" t="n">
        <v>1574.25</v>
      </c>
      <c r="R591" s="9" t="n">
        <v>1326.12</v>
      </c>
      <c r="S591" s="9" t="n">
        <v>248.13</v>
      </c>
      <c r="T591" s="9" t="s">
        <v>56</v>
      </c>
      <c r="U591" s="9" t="s">
        <v>57</v>
      </c>
    </row>
    <row r="592" customFormat="false" ht="15" hidden="false" customHeight="false" outlineLevel="0" collapsed="false">
      <c r="A592" s="9" t="s">
        <v>2872</v>
      </c>
      <c r="B592" s="9" t="s">
        <v>298</v>
      </c>
      <c r="C592" s="9" t="s">
        <v>2873</v>
      </c>
      <c r="D592" s="9" t="s">
        <v>2874</v>
      </c>
      <c r="E592" s="9" t="s">
        <v>186</v>
      </c>
      <c r="F592" s="9" t="s">
        <v>137</v>
      </c>
      <c r="G592" s="9" t="s">
        <v>177</v>
      </c>
      <c r="H592" s="9" t="s">
        <v>535</v>
      </c>
      <c r="I592" s="9" t="s">
        <v>536</v>
      </c>
      <c r="J592" s="9" t="s">
        <v>67</v>
      </c>
      <c r="K592" s="9" t="s">
        <v>98</v>
      </c>
      <c r="L592" s="9" t="s">
        <v>2875</v>
      </c>
      <c r="M592" s="9" t="s">
        <v>70</v>
      </c>
      <c r="N592" s="9" t="n">
        <v>6</v>
      </c>
      <c r="O592" s="9" t="n">
        <v>3430.35</v>
      </c>
      <c r="P592" s="9" t="n">
        <v>0</v>
      </c>
      <c r="Q592" s="9" t="n">
        <v>20582.1</v>
      </c>
      <c r="R592" s="9" t="n">
        <v>15897.65</v>
      </c>
      <c r="S592" s="9" t="n">
        <v>4684.45</v>
      </c>
      <c r="T592" s="9" t="s">
        <v>2876</v>
      </c>
      <c r="U592" s="9" t="s">
        <v>100</v>
      </c>
    </row>
    <row r="593" customFormat="false" ht="15" hidden="false" customHeight="false" outlineLevel="0" collapsed="false">
      <c r="A593" s="9" t="s">
        <v>2877</v>
      </c>
      <c r="B593" s="9" t="s">
        <v>2878</v>
      </c>
      <c r="C593" s="9" t="s">
        <v>2879</v>
      </c>
      <c r="D593" s="9" t="s">
        <v>2880</v>
      </c>
      <c r="E593" s="9" t="s">
        <v>192</v>
      </c>
      <c r="F593" s="9" t="s">
        <v>48</v>
      </c>
      <c r="G593" s="9" t="s">
        <v>84</v>
      </c>
      <c r="H593" s="9" t="s">
        <v>254</v>
      </c>
      <c r="I593" s="9" t="s">
        <v>255</v>
      </c>
      <c r="J593" s="9" t="s">
        <v>108</v>
      </c>
      <c r="K593" s="9" t="s">
        <v>116</v>
      </c>
      <c r="L593" s="9" t="s">
        <v>2881</v>
      </c>
      <c r="M593" s="9" t="s">
        <v>78</v>
      </c>
      <c r="N593" s="9" t="n">
        <v>3</v>
      </c>
      <c r="O593" s="9" t="n">
        <v>3545.08</v>
      </c>
      <c r="P593" s="9" t="n">
        <v>0</v>
      </c>
      <c r="Q593" s="9" t="n">
        <v>10635.24</v>
      </c>
      <c r="R593" s="9" t="n">
        <v>6031.88</v>
      </c>
      <c r="S593" s="9" t="n">
        <v>4603.36</v>
      </c>
      <c r="T593" s="9" t="s">
        <v>224</v>
      </c>
      <c r="U593" s="9" t="s">
        <v>147</v>
      </c>
    </row>
    <row r="594" customFormat="false" ht="15" hidden="false" customHeight="false" outlineLevel="0" collapsed="false">
      <c r="A594" s="9" t="s">
        <v>2882</v>
      </c>
      <c r="B594" s="9" t="s">
        <v>874</v>
      </c>
      <c r="C594" s="9" t="s">
        <v>932</v>
      </c>
      <c r="D594" s="9" t="s">
        <v>2883</v>
      </c>
      <c r="E594" s="9" t="s">
        <v>62</v>
      </c>
      <c r="F594" s="9" t="s">
        <v>48</v>
      </c>
      <c r="G594" s="9" t="s">
        <v>64</v>
      </c>
      <c r="H594" s="9" t="s">
        <v>143</v>
      </c>
      <c r="I594" s="9" t="s">
        <v>144</v>
      </c>
      <c r="J594" s="9" t="s">
        <v>108</v>
      </c>
      <c r="K594" s="9" t="s">
        <v>109</v>
      </c>
      <c r="L594" s="9" t="s">
        <v>2884</v>
      </c>
      <c r="M594" s="9" t="s">
        <v>70</v>
      </c>
      <c r="N594" s="9" t="n">
        <v>8</v>
      </c>
      <c r="O594" s="9" t="n">
        <v>4401.41</v>
      </c>
      <c r="P594" s="9" t="n">
        <v>0.15</v>
      </c>
      <c r="Q594" s="9" t="n">
        <v>29929.59</v>
      </c>
      <c r="R594" s="9" t="n">
        <v>22436.03</v>
      </c>
      <c r="S594" s="9" t="n">
        <v>7493.56</v>
      </c>
      <c r="T594" s="9" t="s">
        <v>56</v>
      </c>
      <c r="U594" s="9" t="s">
        <v>57</v>
      </c>
    </row>
    <row r="595" customFormat="false" ht="15" hidden="false" customHeight="false" outlineLevel="0" collapsed="false">
      <c r="A595" s="9" t="s">
        <v>2885</v>
      </c>
      <c r="B595" s="9" t="s">
        <v>1396</v>
      </c>
      <c r="C595" s="9" t="s">
        <v>2886</v>
      </c>
      <c r="D595" s="9" t="s">
        <v>2575</v>
      </c>
      <c r="E595" s="9" t="s">
        <v>83</v>
      </c>
      <c r="F595" s="9" t="s">
        <v>137</v>
      </c>
      <c r="G595" s="9" t="s">
        <v>177</v>
      </c>
      <c r="H595" s="9" t="s">
        <v>198</v>
      </c>
      <c r="I595" s="9" t="s">
        <v>199</v>
      </c>
      <c r="J595" s="9" t="s">
        <v>67</v>
      </c>
      <c r="K595" s="9" t="s">
        <v>68</v>
      </c>
      <c r="L595" s="9" t="s">
        <v>2887</v>
      </c>
      <c r="M595" s="9" t="s">
        <v>55</v>
      </c>
      <c r="N595" s="9" t="n">
        <v>9</v>
      </c>
      <c r="O595" s="9" t="n">
        <v>4100.11</v>
      </c>
      <c r="P595" s="9" t="n">
        <v>0.25</v>
      </c>
      <c r="Q595" s="9" t="n">
        <v>27675.74</v>
      </c>
      <c r="R595" s="9" t="n">
        <v>15571.08</v>
      </c>
      <c r="S595" s="9" t="n">
        <v>12104.66</v>
      </c>
      <c r="T595" s="9" t="s">
        <v>56</v>
      </c>
      <c r="U595" s="9" t="s">
        <v>57</v>
      </c>
    </row>
    <row r="596" customFormat="false" ht="15" hidden="false" customHeight="false" outlineLevel="0" collapsed="false">
      <c r="A596" s="9" t="s">
        <v>2888</v>
      </c>
      <c r="B596" s="9" t="s">
        <v>2889</v>
      </c>
      <c r="C596" s="9" t="s">
        <v>1171</v>
      </c>
      <c r="D596" s="9" t="s">
        <v>2890</v>
      </c>
      <c r="E596" s="9" t="s">
        <v>47</v>
      </c>
      <c r="F596" s="9" t="s">
        <v>63</v>
      </c>
      <c r="G596" s="9" t="s">
        <v>64</v>
      </c>
      <c r="H596" s="9" t="s">
        <v>143</v>
      </c>
      <c r="I596" s="9" t="s">
        <v>144</v>
      </c>
      <c r="J596" s="9" t="s">
        <v>67</v>
      </c>
      <c r="K596" s="9" t="s">
        <v>98</v>
      </c>
      <c r="L596" s="9" t="s">
        <v>2891</v>
      </c>
      <c r="M596" s="9" t="s">
        <v>78</v>
      </c>
      <c r="N596" s="9" t="n">
        <v>3</v>
      </c>
      <c r="O596" s="9" t="n">
        <v>3981.76</v>
      </c>
      <c r="P596" s="9" t="n">
        <v>0</v>
      </c>
      <c r="Q596" s="9" t="n">
        <v>11945.28</v>
      </c>
      <c r="R596" s="9" t="n">
        <v>9700.31</v>
      </c>
      <c r="S596" s="9" t="n">
        <v>2244.97</v>
      </c>
      <c r="T596" s="9" t="s">
        <v>56</v>
      </c>
      <c r="U596" s="9" t="s">
        <v>57</v>
      </c>
    </row>
    <row r="597" customFormat="false" ht="15" hidden="false" customHeight="false" outlineLevel="0" collapsed="false">
      <c r="A597" s="9" t="s">
        <v>2892</v>
      </c>
      <c r="B597" s="9" t="s">
        <v>2893</v>
      </c>
      <c r="C597" s="9" t="s">
        <v>2894</v>
      </c>
      <c r="D597" s="9" t="s">
        <v>2895</v>
      </c>
      <c r="E597" s="9" t="s">
        <v>62</v>
      </c>
      <c r="F597" s="9" t="s">
        <v>130</v>
      </c>
      <c r="G597" s="9" t="s">
        <v>177</v>
      </c>
      <c r="H597" s="9" t="s">
        <v>198</v>
      </c>
      <c r="I597" s="9" t="s">
        <v>199</v>
      </c>
      <c r="J597" s="9" t="s">
        <v>108</v>
      </c>
      <c r="K597" s="9" t="s">
        <v>247</v>
      </c>
      <c r="L597" s="9" t="s">
        <v>2896</v>
      </c>
      <c r="M597" s="9" t="s">
        <v>78</v>
      </c>
      <c r="N597" s="9" t="n">
        <v>8</v>
      </c>
      <c r="O597" s="9" t="n">
        <v>1825.56</v>
      </c>
      <c r="P597" s="9" t="n">
        <v>0.1</v>
      </c>
      <c r="Q597" s="9" t="n">
        <v>13144.03</v>
      </c>
      <c r="R597" s="9" t="n">
        <v>9764</v>
      </c>
      <c r="S597" s="9" t="n">
        <v>3380.03</v>
      </c>
      <c r="T597" s="9" t="s">
        <v>56</v>
      </c>
      <c r="U597" s="9" t="s">
        <v>57</v>
      </c>
    </row>
    <row r="598" customFormat="false" ht="15" hidden="false" customHeight="false" outlineLevel="0" collapsed="false">
      <c r="A598" s="9" t="s">
        <v>2897</v>
      </c>
      <c r="B598" s="9" t="s">
        <v>1480</v>
      </c>
      <c r="C598" s="9" t="s">
        <v>438</v>
      </c>
      <c r="D598" s="9" t="s">
        <v>2898</v>
      </c>
      <c r="E598" s="9" t="s">
        <v>129</v>
      </c>
      <c r="F598" s="9" t="s">
        <v>48</v>
      </c>
      <c r="G598" s="9" t="s">
        <v>84</v>
      </c>
      <c r="H598" s="9" t="s">
        <v>267</v>
      </c>
      <c r="I598" s="9" t="s">
        <v>268</v>
      </c>
      <c r="J598" s="9" t="s">
        <v>67</v>
      </c>
      <c r="K598" s="9" t="s">
        <v>98</v>
      </c>
      <c r="L598" s="9" t="s">
        <v>2899</v>
      </c>
      <c r="M598" s="9" t="s">
        <v>55</v>
      </c>
      <c r="N598" s="9" t="n">
        <v>9</v>
      </c>
      <c r="O598" s="9" t="n">
        <v>2723.26</v>
      </c>
      <c r="P598" s="9" t="n">
        <v>0.25</v>
      </c>
      <c r="Q598" s="9" t="n">
        <v>18382.01</v>
      </c>
      <c r="R598" s="9" t="n">
        <v>13108.2</v>
      </c>
      <c r="S598" s="9" t="n">
        <v>5273.81</v>
      </c>
      <c r="T598" s="9" t="s">
        <v>56</v>
      </c>
      <c r="U598" s="9" t="s">
        <v>57</v>
      </c>
    </row>
    <row r="599" customFormat="false" ht="15" hidden="false" customHeight="false" outlineLevel="0" collapsed="false">
      <c r="A599" s="9" t="s">
        <v>2900</v>
      </c>
      <c r="B599" s="9" t="s">
        <v>2901</v>
      </c>
      <c r="C599" s="9" t="s">
        <v>516</v>
      </c>
      <c r="D599" s="9" t="s">
        <v>2902</v>
      </c>
      <c r="E599" s="9" t="s">
        <v>129</v>
      </c>
      <c r="F599" s="9" t="s">
        <v>48</v>
      </c>
      <c r="G599" s="9" t="s">
        <v>84</v>
      </c>
      <c r="H599" s="9" t="s">
        <v>85</v>
      </c>
      <c r="I599" s="9" t="s">
        <v>86</v>
      </c>
      <c r="J599" s="9" t="s">
        <v>108</v>
      </c>
      <c r="K599" s="9" t="s">
        <v>116</v>
      </c>
      <c r="L599" s="9" t="s">
        <v>2903</v>
      </c>
      <c r="M599" s="9" t="s">
        <v>70</v>
      </c>
      <c r="N599" s="9" t="n">
        <v>9</v>
      </c>
      <c r="O599" s="9" t="n">
        <v>274.88</v>
      </c>
      <c r="P599" s="9" t="n">
        <v>0.25</v>
      </c>
      <c r="Q599" s="9" t="n">
        <v>1855.44</v>
      </c>
      <c r="R599" s="9" t="n">
        <v>1262.74</v>
      </c>
      <c r="S599" s="9" t="n">
        <v>592.7</v>
      </c>
      <c r="T599" s="9" t="s">
        <v>56</v>
      </c>
      <c r="U599" s="9" t="s">
        <v>57</v>
      </c>
    </row>
    <row r="600" customFormat="false" ht="15" hidden="false" customHeight="false" outlineLevel="0" collapsed="false">
      <c r="A600" s="9" t="s">
        <v>2904</v>
      </c>
      <c r="B600" s="9" t="s">
        <v>2483</v>
      </c>
      <c r="C600" s="9" t="s">
        <v>2905</v>
      </c>
      <c r="D600" s="9" t="s">
        <v>2906</v>
      </c>
      <c r="E600" s="9" t="s">
        <v>94</v>
      </c>
      <c r="F600" s="9" t="s">
        <v>130</v>
      </c>
      <c r="G600" s="9" t="s">
        <v>64</v>
      </c>
      <c r="H600" s="9" t="s">
        <v>143</v>
      </c>
      <c r="I600" s="9" t="s">
        <v>144</v>
      </c>
      <c r="J600" s="9" t="s">
        <v>108</v>
      </c>
      <c r="K600" s="9" t="s">
        <v>116</v>
      </c>
      <c r="L600" s="9" t="s">
        <v>2907</v>
      </c>
      <c r="M600" s="9" t="s">
        <v>70</v>
      </c>
      <c r="N600" s="9" t="n">
        <v>3</v>
      </c>
      <c r="O600" s="9" t="n">
        <v>1490.69</v>
      </c>
      <c r="P600" s="9" t="n">
        <v>0.25</v>
      </c>
      <c r="Q600" s="9" t="n">
        <v>3354.05</v>
      </c>
      <c r="R600" s="9" t="n">
        <v>2672.67</v>
      </c>
      <c r="S600" s="9" t="n">
        <v>681.38</v>
      </c>
      <c r="T600" s="9" t="s">
        <v>56</v>
      </c>
      <c r="U600" s="9" t="s">
        <v>57</v>
      </c>
    </row>
    <row r="601" customFormat="false" ht="15" hidden="false" customHeight="false" outlineLevel="0" collapsed="false">
      <c r="A601" s="9" t="s">
        <v>2908</v>
      </c>
      <c r="B601" s="9" t="s">
        <v>2909</v>
      </c>
      <c r="C601" s="9" t="s">
        <v>1666</v>
      </c>
      <c r="D601" s="9" t="s">
        <v>2910</v>
      </c>
      <c r="E601" s="9" t="s">
        <v>83</v>
      </c>
      <c r="F601" s="9" t="s">
        <v>48</v>
      </c>
      <c r="G601" s="9" t="s">
        <v>177</v>
      </c>
      <c r="H601" s="9" t="s">
        <v>178</v>
      </c>
      <c r="I601" s="9" t="s">
        <v>179</v>
      </c>
      <c r="J601" s="9" t="s">
        <v>108</v>
      </c>
      <c r="K601" s="9" t="s">
        <v>247</v>
      </c>
      <c r="L601" s="9" t="s">
        <v>2911</v>
      </c>
      <c r="M601" s="9" t="s">
        <v>78</v>
      </c>
      <c r="N601" s="9" t="n">
        <v>3</v>
      </c>
      <c r="O601" s="9" t="n">
        <v>1103.54</v>
      </c>
      <c r="P601" s="9" t="n">
        <v>0.25</v>
      </c>
      <c r="Q601" s="9" t="n">
        <v>2482.97</v>
      </c>
      <c r="R601" s="9" t="n">
        <v>1621.72</v>
      </c>
      <c r="S601" s="9" t="n">
        <v>861.25</v>
      </c>
      <c r="T601" s="9" t="s">
        <v>56</v>
      </c>
      <c r="U601" s="9" t="s">
        <v>57</v>
      </c>
    </row>
    <row r="602" customFormat="false" ht="15" hidden="false" customHeight="false" outlineLevel="0" collapsed="false">
      <c r="A602" s="9" t="s">
        <v>2912</v>
      </c>
      <c r="B602" s="9" t="s">
        <v>2913</v>
      </c>
      <c r="C602" s="9" t="s">
        <v>2914</v>
      </c>
      <c r="D602" s="9" t="s">
        <v>2915</v>
      </c>
      <c r="E602" s="9" t="s">
        <v>94</v>
      </c>
      <c r="F602" s="9" t="s">
        <v>130</v>
      </c>
      <c r="G602" s="9" t="s">
        <v>95</v>
      </c>
      <c r="H602" s="9" t="s">
        <v>106</v>
      </c>
      <c r="I602" s="9" t="s">
        <v>107</v>
      </c>
      <c r="J602" s="9" t="s">
        <v>52</v>
      </c>
      <c r="K602" s="9" t="s">
        <v>180</v>
      </c>
      <c r="L602" s="9" t="s">
        <v>2916</v>
      </c>
      <c r="M602" s="9" t="s">
        <v>70</v>
      </c>
      <c r="N602" s="9" t="n">
        <v>3</v>
      </c>
      <c r="O602" s="9" t="n">
        <v>3682.75</v>
      </c>
      <c r="P602" s="9"/>
      <c r="Q602" s="9" t="n">
        <v>11048.25</v>
      </c>
      <c r="R602" s="9" t="n">
        <v>9062.72</v>
      </c>
      <c r="S602" s="9" t="n">
        <v>1985.53</v>
      </c>
      <c r="T602" s="9" t="s">
        <v>56</v>
      </c>
      <c r="U602" s="9" t="s">
        <v>57</v>
      </c>
    </row>
    <row r="603" customFormat="false" ht="15" hidden="false" customHeight="false" outlineLevel="0" collapsed="false">
      <c r="A603" s="9" t="s">
        <v>2917</v>
      </c>
      <c r="B603" s="9" t="s">
        <v>2918</v>
      </c>
      <c r="C603" s="9" t="s">
        <v>2919</v>
      </c>
      <c r="D603" s="9" t="s">
        <v>2920</v>
      </c>
      <c r="E603" s="9" t="s">
        <v>94</v>
      </c>
      <c r="F603" s="9" t="s">
        <v>137</v>
      </c>
      <c r="G603" s="9" t="s">
        <v>64</v>
      </c>
      <c r="H603" s="9" t="s">
        <v>143</v>
      </c>
      <c r="I603" s="9" t="s">
        <v>144</v>
      </c>
      <c r="J603" s="9" t="s">
        <v>52</v>
      </c>
      <c r="K603" s="9" t="s">
        <v>53</v>
      </c>
      <c r="L603" s="9" t="s">
        <v>2921</v>
      </c>
      <c r="M603" s="9" t="s">
        <v>55</v>
      </c>
      <c r="N603" s="9" t="n">
        <v>5</v>
      </c>
      <c r="O603" s="9" t="n">
        <v>1615.03</v>
      </c>
      <c r="P603" s="9" t="n">
        <v>0.2</v>
      </c>
      <c r="Q603" s="9" t="n">
        <v>6460.12</v>
      </c>
      <c r="R603" s="9" t="n">
        <v>3604.03</v>
      </c>
      <c r="S603" s="9" t="n">
        <v>2856.09</v>
      </c>
      <c r="T603" s="9" t="s">
        <v>56</v>
      </c>
      <c r="U603" s="9" t="s">
        <v>57</v>
      </c>
    </row>
    <row r="604" customFormat="false" ht="15" hidden="false" customHeight="false" outlineLevel="0" collapsed="false">
      <c r="A604" s="9" t="s">
        <v>2922</v>
      </c>
      <c r="B604" s="9" t="s">
        <v>2923</v>
      </c>
      <c r="C604" s="9" t="s">
        <v>2924</v>
      </c>
      <c r="D604" s="9" t="s">
        <v>2925</v>
      </c>
      <c r="E604" s="9" t="s">
        <v>186</v>
      </c>
      <c r="F604" s="9" t="s">
        <v>48</v>
      </c>
      <c r="G604" s="9" t="s">
        <v>64</v>
      </c>
      <c r="H604" s="9" t="s">
        <v>336</v>
      </c>
      <c r="I604" s="9" t="s">
        <v>337</v>
      </c>
      <c r="J604" s="9" t="s">
        <v>108</v>
      </c>
      <c r="K604" s="9" t="s">
        <v>116</v>
      </c>
      <c r="L604" s="9" t="s">
        <v>2926</v>
      </c>
      <c r="M604" s="9" t="s">
        <v>55</v>
      </c>
      <c r="N604" s="9" t="n">
        <v>9</v>
      </c>
      <c r="O604" s="9" t="n">
        <v>3423.82</v>
      </c>
      <c r="P604" s="9" t="n">
        <v>0.15</v>
      </c>
      <c r="Q604" s="9" t="n">
        <v>26192.22</v>
      </c>
      <c r="R604" s="9" t="n">
        <v>20795.55</v>
      </c>
      <c r="S604" s="9" t="n">
        <v>5396.67</v>
      </c>
      <c r="T604" s="9" t="s">
        <v>56</v>
      </c>
      <c r="U604" s="9" t="s">
        <v>57</v>
      </c>
    </row>
    <row r="605" customFormat="false" ht="15" hidden="false" customHeight="false" outlineLevel="0" collapsed="false">
      <c r="A605" s="9" t="s">
        <v>2927</v>
      </c>
      <c r="B605" s="9" t="s">
        <v>2928</v>
      </c>
      <c r="C605" s="9" t="s">
        <v>622</v>
      </c>
      <c r="D605" s="9" t="s">
        <v>508</v>
      </c>
      <c r="E605" s="9" t="s">
        <v>105</v>
      </c>
      <c r="F605" s="9" t="s">
        <v>130</v>
      </c>
      <c r="G605" s="9" t="s">
        <v>64</v>
      </c>
      <c r="H605" s="9" t="s">
        <v>210</v>
      </c>
      <c r="I605" s="9" t="s">
        <v>211</v>
      </c>
      <c r="J605" s="9" t="s">
        <v>556</v>
      </c>
      <c r="K605" s="9" t="s">
        <v>109</v>
      </c>
      <c r="L605" s="9" t="s">
        <v>2929</v>
      </c>
      <c r="M605" s="9" t="s">
        <v>78</v>
      </c>
      <c r="N605" s="9" t="n">
        <v>8</v>
      </c>
      <c r="O605" s="9" t="n">
        <v>2574.29</v>
      </c>
      <c r="P605" s="9" t="n">
        <v>0.05</v>
      </c>
      <c r="Q605" s="9" t="n">
        <v>19564.6</v>
      </c>
      <c r="R605" s="9" t="n">
        <v>11154.59</v>
      </c>
      <c r="S605" s="9" t="n">
        <v>8410.01</v>
      </c>
      <c r="T605" s="9" t="s">
        <v>160</v>
      </c>
      <c r="U605" s="9" t="s">
        <v>100</v>
      </c>
    </row>
    <row r="606" customFormat="false" ht="15" hidden="false" customHeight="false" outlineLevel="0" collapsed="false">
      <c r="A606" s="9" t="s">
        <v>2930</v>
      </c>
      <c r="B606" s="9" t="s">
        <v>2931</v>
      </c>
      <c r="C606" s="9" t="s">
        <v>2932</v>
      </c>
      <c r="D606" s="9" t="s">
        <v>2933</v>
      </c>
      <c r="E606" s="9" t="s">
        <v>94</v>
      </c>
      <c r="F606" s="9" t="s">
        <v>48</v>
      </c>
      <c r="G606" s="9" t="s">
        <v>95</v>
      </c>
      <c r="H606" s="9" t="s">
        <v>106</v>
      </c>
      <c r="I606" s="9" t="s">
        <v>107</v>
      </c>
      <c r="J606" s="9" t="s">
        <v>52</v>
      </c>
      <c r="K606" s="9" t="s">
        <v>222</v>
      </c>
      <c r="L606" s="9" t="s">
        <v>2934</v>
      </c>
      <c r="M606" s="9" t="s">
        <v>70</v>
      </c>
      <c r="N606" s="9" t="n">
        <v>3</v>
      </c>
      <c r="O606" s="9" t="n">
        <v>1076.3</v>
      </c>
      <c r="P606" s="9" t="n">
        <v>0</v>
      </c>
      <c r="Q606" s="9" t="n">
        <v>3228.9</v>
      </c>
      <c r="R606" s="9" t="n">
        <v>1853.23</v>
      </c>
      <c r="S606" s="9" t="n">
        <v>1375.67</v>
      </c>
      <c r="T606" s="9" t="s">
        <v>56</v>
      </c>
      <c r="U606" s="9" t="s">
        <v>57</v>
      </c>
    </row>
    <row r="607" customFormat="false" ht="15" hidden="false" customHeight="false" outlineLevel="0" collapsed="false">
      <c r="A607" s="9" t="s">
        <v>2935</v>
      </c>
      <c r="B607" s="9" t="s">
        <v>2659</v>
      </c>
      <c r="C607" s="9" t="s">
        <v>2936</v>
      </c>
      <c r="D607" s="9" t="s">
        <v>2937</v>
      </c>
      <c r="E607" s="9" t="s">
        <v>393</v>
      </c>
      <c r="F607" s="9" t="s">
        <v>130</v>
      </c>
      <c r="G607" s="9" t="s">
        <v>95</v>
      </c>
      <c r="H607" s="9" t="s">
        <v>274</v>
      </c>
      <c r="I607" s="9" t="s">
        <v>275</v>
      </c>
      <c r="J607" s="9" t="s">
        <v>67</v>
      </c>
      <c r="K607" s="9" t="s">
        <v>87</v>
      </c>
      <c r="L607" s="9" t="s">
        <v>2938</v>
      </c>
      <c r="M607" s="9" t="s">
        <v>55</v>
      </c>
      <c r="N607" s="9" t="n">
        <v>5</v>
      </c>
      <c r="O607" s="9" t="n">
        <v>1680.01</v>
      </c>
      <c r="P607" s="9" t="s">
        <v>1208</v>
      </c>
      <c r="Q607" s="9" t="n">
        <v>7560.04</v>
      </c>
      <c r="R607" s="9" t="n">
        <v>6448.05</v>
      </c>
      <c r="S607" s="9" t="n">
        <v>1111.99</v>
      </c>
      <c r="T607" s="9" t="s">
        <v>56</v>
      </c>
      <c r="U607" s="9" t="s">
        <v>100</v>
      </c>
    </row>
    <row r="608" customFormat="false" ht="15" hidden="false" customHeight="false" outlineLevel="0" collapsed="false">
      <c r="A608" s="9" t="s">
        <v>2939</v>
      </c>
      <c r="B608" s="9" t="s">
        <v>2940</v>
      </c>
      <c r="C608" s="9" t="s">
        <v>2574</v>
      </c>
      <c r="D608" s="9" t="s">
        <v>2941</v>
      </c>
      <c r="E608" s="9" t="s">
        <v>171</v>
      </c>
      <c r="F608" s="9" t="s">
        <v>137</v>
      </c>
      <c r="G608" s="9" t="s">
        <v>95</v>
      </c>
      <c r="H608" s="9" t="s">
        <v>106</v>
      </c>
      <c r="I608" s="9" t="s">
        <v>107</v>
      </c>
      <c r="J608" s="9" t="s">
        <v>108</v>
      </c>
      <c r="K608" s="9" t="s">
        <v>116</v>
      </c>
      <c r="L608" s="9" t="s">
        <v>2942</v>
      </c>
      <c r="M608" s="9" t="s">
        <v>70</v>
      </c>
      <c r="N608" s="9" t="n">
        <v>3</v>
      </c>
      <c r="O608" s="9" t="n">
        <v>3890.81</v>
      </c>
      <c r="P608" s="9" t="n">
        <v>0.25</v>
      </c>
      <c r="Q608" s="9" t="n">
        <v>8754.32</v>
      </c>
      <c r="R608" s="9" t="n">
        <v>6238.9</v>
      </c>
      <c r="S608" s="9" t="n">
        <v>2515.42</v>
      </c>
      <c r="T608" s="9" t="s">
        <v>56</v>
      </c>
      <c r="U608" s="9" t="s">
        <v>57</v>
      </c>
    </row>
    <row r="609" customFormat="false" ht="15" hidden="false" customHeight="false" outlineLevel="0" collapsed="false">
      <c r="A609" s="9" t="s">
        <v>2943</v>
      </c>
      <c r="B609" s="9" t="s">
        <v>2894</v>
      </c>
      <c r="C609" s="9" t="s">
        <v>2940</v>
      </c>
      <c r="D609" s="9" t="s">
        <v>2944</v>
      </c>
      <c r="E609" s="9" t="s">
        <v>192</v>
      </c>
      <c r="F609" s="9" t="s">
        <v>137</v>
      </c>
      <c r="G609" s="9" t="s">
        <v>64</v>
      </c>
      <c r="H609" s="9" t="s">
        <v>210</v>
      </c>
      <c r="I609" s="9" t="s">
        <v>211</v>
      </c>
      <c r="J609" s="9" t="s">
        <v>52</v>
      </c>
      <c r="K609" s="9" t="s">
        <v>180</v>
      </c>
      <c r="L609" s="9" t="s">
        <v>2945</v>
      </c>
      <c r="M609" s="9" t="s">
        <v>70</v>
      </c>
      <c r="N609" s="9" t="n">
        <v>5</v>
      </c>
      <c r="O609" s="9" t="n">
        <v>954.67</v>
      </c>
      <c r="P609" s="9" t="n">
        <v>0.15</v>
      </c>
      <c r="Q609" s="9" t="n">
        <v>4057.35</v>
      </c>
      <c r="R609" s="9" t="n">
        <v>2862.03</v>
      </c>
      <c r="S609" s="9" t="n">
        <v>1195.32</v>
      </c>
      <c r="T609" s="9" t="s">
        <v>56</v>
      </c>
      <c r="U609" s="9" t="s">
        <v>57</v>
      </c>
    </row>
    <row r="610" customFormat="false" ht="15" hidden="false" customHeight="false" outlineLevel="0" collapsed="false">
      <c r="A610" s="9" t="s">
        <v>2946</v>
      </c>
      <c r="B610" s="9" t="s">
        <v>2194</v>
      </c>
      <c r="C610" s="9" t="s">
        <v>1593</v>
      </c>
      <c r="D610" s="9" t="s">
        <v>2620</v>
      </c>
      <c r="E610" s="9" t="s">
        <v>47</v>
      </c>
      <c r="F610" s="9" t="s">
        <v>137</v>
      </c>
      <c r="G610" s="9" t="s">
        <v>95</v>
      </c>
      <c r="H610" s="9" t="s">
        <v>274</v>
      </c>
      <c r="I610" s="9" t="s">
        <v>275</v>
      </c>
      <c r="J610" s="9" t="s">
        <v>67</v>
      </c>
      <c r="K610" s="9" t="s">
        <v>87</v>
      </c>
      <c r="L610" s="9" t="s">
        <v>2947</v>
      </c>
      <c r="M610" s="9" t="s">
        <v>55</v>
      </c>
      <c r="N610" s="9" t="n">
        <v>9</v>
      </c>
      <c r="O610" s="9" t="n">
        <v>2153.75</v>
      </c>
      <c r="P610" s="9" t="n">
        <v>0</v>
      </c>
      <c r="Q610" s="9" t="n">
        <v>19383.75</v>
      </c>
      <c r="R610" s="9" t="n">
        <v>11667.43</v>
      </c>
      <c r="S610" s="9" t="n">
        <v>7716.32</v>
      </c>
      <c r="T610" s="9" t="s">
        <v>56</v>
      </c>
      <c r="U610" s="9" t="s">
        <v>57</v>
      </c>
    </row>
    <row r="611" customFormat="false" ht="15" hidden="false" customHeight="false" outlineLevel="0" collapsed="false">
      <c r="A611" s="9" t="s">
        <v>2948</v>
      </c>
      <c r="B611" s="9" t="s">
        <v>2096</v>
      </c>
      <c r="C611" s="9" t="s">
        <v>1214</v>
      </c>
      <c r="D611" s="9" t="s">
        <v>2949</v>
      </c>
      <c r="E611" s="9" t="s">
        <v>192</v>
      </c>
      <c r="F611" s="9" t="s">
        <v>137</v>
      </c>
      <c r="G611" s="9" t="s">
        <v>84</v>
      </c>
      <c r="H611" s="9" t="s">
        <v>254</v>
      </c>
      <c r="I611" s="9" t="s">
        <v>255</v>
      </c>
      <c r="J611" s="9" t="s">
        <v>67</v>
      </c>
      <c r="K611" s="9" t="s">
        <v>98</v>
      </c>
      <c r="L611" s="9" t="s">
        <v>2950</v>
      </c>
      <c r="M611" s="9" t="s">
        <v>89</v>
      </c>
      <c r="N611" s="9" t="n">
        <v>7</v>
      </c>
      <c r="O611" s="9" t="n">
        <v>4337.48</v>
      </c>
      <c r="P611" s="9" t="n">
        <v>0</v>
      </c>
      <c r="Q611" s="9" t="n">
        <v>30362.36</v>
      </c>
      <c r="R611" s="9" t="n">
        <v>25065.4</v>
      </c>
      <c r="S611" s="9" t="n">
        <v>5296.96</v>
      </c>
      <c r="T611" s="9" t="s">
        <v>56</v>
      </c>
      <c r="U611" s="9" t="s">
        <v>57</v>
      </c>
    </row>
    <row r="612" customFormat="false" ht="15" hidden="false" customHeight="false" outlineLevel="0" collapsed="false">
      <c r="A612" s="9" t="s">
        <v>2951</v>
      </c>
      <c r="B612" s="9" t="s">
        <v>2952</v>
      </c>
      <c r="C612" s="9" t="s">
        <v>2953</v>
      </c>
      <c r="D612" s="9" t="s">
        <v>2121</v>
      </c>
      <c r="E612" s="9" t="s">
        <v>47</v>
      </c>
      <c r="F612" s="9" t="s">
        <v>137</v>
      </c>
      <c r="G612" s="9" t="s">
        <v>95</v>
      </c>
      <c r="H612" s="9" t="s">
        <v>106</v>
      </c>
      <c r="I612" s="9" t="s">
        <v>107</v>
      </c>
      <c r="J612" s="9" t="s">
        <v>67</v>
      </c>
      <c r="K612" s="9" t="s">
        <v>98</v>
      </c>
      <c r="L612" s="9" t="s">
        <v>2954</v>
      </c>
      <c r="M612" s="9" t="s">
        <v>89</v>
      </c>
      <c r="N612" s="9" t="n">
        <v>1</v>
      </c>
      <c r="O612" s="9" t="n">
        <v>3032.95</v>
      </c>
      <c r="P612" s="9" t="n">
        <v>0.1</v>
      </c>
      <c r="Q612" s="9" t="n">
        <v>2729.65</v>
      </c>
      <c r="R612" s="9" t="n">
        <v>1715.36</v>
      </c>
      <c r="S612" s="9" t="n">
        <v>1014.29</v>
      </c>
      <c r="T612" s="9" t="s">
        <v>56</v>
      </c>
      <c r="U612" s="9" t="s">
        <v>57</v>
      </c>
    </row>
    <row r="613" customFormat="false" ht="15" hidden="false" customHeight="false" outlineLevel="0" collapsed="false">
      <c r="A613" s="9" t="s">
        <v>2955</v>
      </c>
      <c r="B613" s="9" t="s">
        <v>2658</v>
      </c>
      <c r="C613" s="9" t="s">
        <v>2956</v>
      </c>
      <c r="D613" s="9" t="s">
        <v>2957</v>
      </c>
      <c r="E613" s="9" t="s">
        <v>94</v>
      </c>
      <c r="F613" s="9" t="s">
        <v>724</v>
      </c>
      <c r="G613" s="9" t="s">
        <v>177</v>
      </c>
      <c r="H613" s="9" t="s">
        <v>50</v>
      </c>
      <c r="I613" s="9" t="s">
        <v>51</v>
      </c>
      <c r="J613" s="9" t="s">
        <v>52</v>
      </c>
      <c r="K613" s="9" t="s">
        <v>222</v>
      </c>
      <c r="L613" s="9" t="s">
        <v>2958</v>
      </c>
      <c r="M613" s="9" t="s">
        <v>70</v>
      </c>
      <c r="N613" s="9" t="n">
        <v>8</v>
      </c>
      <c r="O613" s="9" t="n">
        <v>655.28</v>
      </c>
      <c r="P613" s="9" t="n">
        <v>0.1</v>
      </c>
      <c r="Q613" s="9" t="n">
        <v>4718.02</v>
      </c>
      <c r="R613" s="9" t="n">
        <v>3908.23</v>
      </c>
      <c r="S613" s="9" t="n">
        <v>809.79</v>
      </c>
      <c r="T613" s="9" t="s">
        <v>56</v>
      </c>
      <c r="U613" s="9" t="s">
        <v>57</v>
      </c>
    </row>
    <row r="614" customFormat="false" ht="15" hidden="false" customHeight="false" outlineLevel="0" collapsed="false">
      <c r="A614" s="9" t="s">
        <v>2959</v>
      </c>
      <c r="B614" s="9" t="s">
        <v>2960</v>
      </c>
      <c r="C614" s="9" t="s">
        <v>2961</v>
      </c>
      <c r="D614" s="9" t="s">
        <v>2962</v>
      </c>
      <c r="E614" s="9" t="s">
        <v>129</v>
      </c>
      <c r="F614" s="9" t="s">
        <v>48</v>
      </c>
      <c r="G614" s="9"/>
      <c r="H614" s="9" t="s">
        <v>65</v>
      </c>
      <c r="I614" s="9" t="s">
        <v>66</v>
      </c>
      <c r="J614" s="9" t="s">
        <v>108</v>
      </c>
      <c r="K614" s="9" t="s">
        <v>247</v>
      </c>
      <c r="L614" s="9" t="s">
        <v>2963</v>
      </c>
      <c r="M614" s="9" t="s">
        <v>89</v>
      </c>
      <c r="N614" s="9" t="n">
        <v>1</v>
      </c>
      <c r="O614" s="9" t="n">
        <v>3844.01</v>
      </c>
      <c r="P614" s="9" t="n">
        <v>0</v>
      </c>
      <c r="Q614" s="9" t="n">
        <v>3844.01</v>
      </c>
      <c r="R614" s="9" t="n">
        <v>2195.79</v>
      </c>
      <c r="S614" s="9" t="n">
        <v>1648.22</v>
      </c>
      <c r="T614" s="9" t="s">
        <v>56</v>
      </c>
      <c r="U614" s="9" t="s">
        <v>57</v>
      </c>
    </row>
    <row r="615" customFormat="false" ht="15" hidden="false" customHeight="false" outlineLevel="0" collapsed="false">
      <c r="A615" s="9" t="s">
        <v>2964</v>
      </c>
      <c r="B615" s="9" t="s">
        <v>2493</v>
      </c>
      <c r="C615" s="9" t="s">
        <v>2965</v>
      </c>
      <c r="D615" s="9" t="s">
        <v>2966</v>
      </c>
      <c r="E615" s="9" t="s">
        <v>234</v>
      </c>
      <c r="F615" s="9" t="s">
        <v>137</v>
      </c>
      <c r="G615" s="9" t="s">
        <v>95</v>
      </c>
      <c r="H615" s="9" t="s">
        <v>260</v>
      </c>
      <c r="I615" s="9" t="s">
        <v>261</v>
      </c>
      <c r="J615" s="9" t="s">
        <v>108</v>
      </c>
      <c r="K615" s="9" t="s">
        <v>409</v>
      </c>
      <c r="L615" s="9" t="s">
        <v>2967</v>
      </c>
      <c r="M615" s="9" t="s">
        <v>70</v>
      </c>
      <c r="N615" s="9" t="n">
        <v>9</v>
      </c>
      <c r="O615" s="9" t="n">
        <v>3361.3</v>
      </c>
      <c r="P615" s="9" t="n">
        <v>0.25</v>
      </c>
      <c r="Q615" s="9" t="n">
        <v>22688.78</v>
      </c>
      <c r="R615" s="9" t="n">
        <v>14672.41</v>
      </c>
      <c r="S615" s="9" t="n">
        <v>8016.37</v>
      </c>
      <c r="T615" s="9" t="s">
        <v>56</v>
      </c>
      <c r="U615" s="9" t="s">
        <v>57</v>
      </c>
    </row>
    <row r="616" customFormat="false" ht="15" hidden="false" customHeight="false" outlineLevel="0" collapsed="false">
      <c r="A616" s="9" t="s">
        <v>2968</v>
      </c>
      <c r="B616" s="9" t="s">
        <v>2349</v>
      </c>
      <c r="C616" s="9" t="s">
        <v>2969</v>
      </c>
      <c r="D616" s="9" t="s">
        <v>2970</v>
      </c>
      <c r="E616" s="9" t="s">
        <v>94</v>
      </c>
      <c r="F616" s="9" t="s">
        <v>137</v>
      </c>
      <c r="G616" s="9" t="s">
        <v>84</v>
      </c>
      <c r="H616" s="9" t="s">
        <v>85</v>
      </c>
      <c r="I616" s="9" t="s">
        <v>86</v>
      </c>
      <c r="J616" s="9" t="s">
        <v>67</v>
      </c>
      <c r="K616" s="9" t="s">
        <v>98</v>
      </c>
      <c r="L616" s="9" t="s">
        <v>2971</v>
      </c>
      <c r="M616" s="9" t="s">
        <v>89</v>
      </c>
      <c r="N616" s="9" t="n">
        <v>8</v>
      </c>
      <c r="O616" s="9" t="n">
        <v>3398.32</v>
      </c>
      <c r="P616" s="9" t="n">
        <v>0.25</v>
      </c>
      <c r="Q616" s="9" t="n">
        <v>20389.92</v>
      </c>
      <c r="R616" s="9" t="n">
        <v>16661.08</v>
      </c>
      <c r="S616" s="9" t="n">
        <v>3728.84</v>
      </c>
      <c r="T616" s="9" t="s">
        <v>146</v>
      </c>
      <c r="U616" s="9" t="s">
        <v>100</v>
      </c>
    </row>
    <row r="617" customFormat="false" ht="15" hidden="false" customHeight="false" outlineLevel="0" collapsed="false">
      <c r="A617" s="9" t="s">
        <v>2972</v>
      </c>
      <c r="B617" s="9" t="s">
        <v>2973</v>
      </c>
      <c r="C617" s="9" t="s">
        <v>2974</v>
      </c>
      <c r="D617" s="9" t="s">
        <v>2975</v>
      </c>
      <c r="E617" s="9" t="s">
        <v>171</v>
      </c>
      <c r="F617" s="9" t="s">
        <v>130</v>
      </c>
      <c r="G617" s="9" t="s">
        <v>84</v>
      </c>
      <c r="H617" s="9" t="s">
        <v>267</v>
      </c>
      <c r="I617" s="9" t="s">
        <v>268</v>
      </c>
      <c r="J617" s="9" t="s">
        <v>52</v>
      </c>
      <c r="K617" s="9" t="s">
        <v>76</v>
      </c>
      <c r="L617" s="9" t="s">
        <v>2976</v>
      </c>
      <c r="M617" s="9" t="s">
        <v>55</v>
      </c>
      <c r="N617" s="9" t="n">
        <v>2</v>
      </c>
      <c r="O617" s="9" t="n">
        <v>3144.38</v>
      </c>
      <c r="P617" s="9" t="n">
        <v>0.1</v>
      </c>
      <c r="Q617" s="9" t="n">
        <v>5904.57</v>
      </c>
      <c r="R617" s="9" t="n">
        <v>4337.79</v>
      </c>
      <c r="S617" s="9" t="n">
        <v>1322.09</v>
      </c>
      <c r="T617" s="9" t="s">
        <v>56</v>
      </c>
      <c r="U617" s="9" t="s">
        <v>1067</v>
      </c>
    </row>
    <row r="618" customFormat="false" ht="15" hidden="false" customHeight="false" outlineLevel="0" collapsed="false">
      <c r="A618" s="9" t="s">
        <v>2977</v>
      </c>
      <c r="B618" s="9" t="s">
        <v>2978</v>
      </c>
      <c r="C618" s="9" t="s">
        <v>2909</v>
      </c>
      <c r="D618" s="9" t="s">
        <v>2979</v>
      </c>
      <c r="E618" s="9" t="s">
        <v>393</v>
      </c>
      <c r="F618" s="9" t="s">
        <v>48</v>
      </c>
      <c r="G618" s="9" t="s">
        <v>84</v>
      </c>
      <c r="H618" s="9" t="s">
        <v>85</v>
      </c>
      <c r="I618" s="9" t="s">
        <v>86</v>
      </c>
      <c r="J618" s="9" t="s">
        <v>52</v>
      </c>
      <c r="K618" s="9" t="s">
        <v>53</v>
      </c>
      <c r="L618" s="9" t="s">
        <v>2980</v>
      </c>
      <c r="M618" s="9" t="s">
        <v>89</v>
      </c>
      <c r="N618" s="9" t="n">
        <v>6</v>
      </c>
      <c r="O618" s="9" t="n">
        <v>3925.55</v>
      </c>
      <c r="P618" s="9" t="n">
        <v>0.2</v>
      </c>
      <c r="Q618" s="9" t="n">
        <v>18842.64</v>
      </c>
      <c r="R618" s="9" t="n">
        <v>11840.58</v>
      </c>
      <c r="S618" s="9" t="n">
        <v>7002.06</v>
      </c>
      <c r="T618" s="9" t="s">
        <v>56</v>
      </c>
      <c r="U618" s="9" t="s">
        <v>57</v>
      </c>
    </row>
    <row r="619" customFormat="false" ht="15" hidden="false" customHeight="false" outlineLevel="0" collapsed="false">
      <c r="A619" s="9" t="s">
        <v>2981</v>
      </c>
      <c r="B619" s="9" t="s">
        <v>2982</v>
      </c>
      <c r="C619" s="9" t="s">
        <v>1009</v>
      </c>
      <c r="D619" s="9" t="s">
        <v>2983</v>
      </c>
      <c r="E619" s="9" t="s">
        <v>62</v>
      </c>
      <c r="F619" s="9" t="s">
        <v>137</v>
      </c>
      <c r="G619" s="9" t="s">
        <v>84</v>
      </c>
      <c r="H619" s="9" t="s">
        <v>85</v>
      </c>
      <c r="I619" s="9" t="s">
        <v>86</v>
      </c>
      <c r="J619" s="9" t="s">
        <v>108</v>
      </c>
      <c r="K619" s="9" t="s">
        <v>247</v>
      </c>
      <c r="L619" s="9" t="s">
        <v>2984</v>
      </c>
      <c r="M619" s="9" t="s">
        <v>89</v>
      </c>
      <c r="N619" s="9" t="n">
        <v>9</v>
      </c>
      <c r="O619" s="9" t="n">
        <v>2741.91</v>
      </c>
      <c r="P619" s="9" t="n">
        <v>0</v>
      </c>
      <c r="Q619" s="9" t="n">
        <v>24677.19</v>
      </c>
      <c r="R619" s="9" t="n">
        <v>20350.85</v>
      </c>
      <c r="S619" s="9" t="n">
        <v>4326.34</v>
      </c>
      <c r="T619" s="9" t="s">
        <v>56</v>
      </c>
      <c r="U619" s="9" t="s">
        <v>57</v>
      </c>
    </row>
    <row r="620" customFormat="false" ht="15" hidden="false" customHeight="false" outlineLevel="0" collapsed="false">
      <c r="A620" s="9" t="s">
        <v>2985</v>
      </c>
      <c r="B620" s="9" t="s">
        <v>2986</v>
      </c>
      <c r="C620" s="9" t="s">
        <v>559</v>
      </c>
      <c r="D620" s="9" t="s">
        <v>2987</v>
      </c>
      <c r="E620" s="9" t="s">
        <v>393</v>
      </c>
      <c r="F620" s="9" t="s">
        <v>130</v>
      </c>
      <c r="G620" s="9" t="s">
        <v>177</v>
      </c>
      <c r="H620" s="9" t="s">
        <v>50</v>
      </c>
      <c r="I620" s="9" t="s">
        <v>51</v>
      </c>
      <c r="J620" s="9" t="s">
        <v>67</v>
      </c>
      <c r="K620" s="9" t="s">
        <v>68</v>
      </c>
      <c r="L620" s="9" t="s">
        <v>2988</v>
      </c>
      <c r="M620" s="9" t="s">
        <v>70</v>
      </c>
      <c r="N620" s="9" t="n">
        <v>9</v>
      </c>
      <c r="O620" s="9" t="n">
        <v>1870.11</v>
      </c>
      <c r="P620" s="9" t="n">
        <v>0.25</v>
      </c>
      <c r="Q620" s="9" t="n">
        <v>12623.24</v>
      </c>
      <c r="R620" s="9" t="n">
        <v>10540.8</v>
      </c>
      <c r="S620" s="9" t="n">
        <v>2082.44</v>
      </c>
      <c r="T620" s="9" t="s">
        <v>224</v>
      </c>
      <c r="U620" s="9" t="s">
        <v>100</v>
      </c>
    </row>
    <row r="621" customFormat="false" ht="15" hidden="false" customHeight="false" outlineLevel="0" collapsed="false">
      <c r="A621" s="9" t="s">
        <v>2989</v>
      </c>
      <c r="B621" s="9" t="s">
        <v>946</v>
      </c>
      <c r="C621" s="9" t="s">
        <v>2990</v>
      </c>
      <c r="D621" s="9" t="s">
        <v>2991</v>
      </c>
      <c r="E621" s="9" t="s">
        <v>165</v>
      </c>
      <c r="F621" s="9" t="s">
        <v>130</v>
      </c>
      <c r="G621" s="9" t="s">
        <v>84</v>
      </c>
      <c r="H621" s="9" t="s">
        <v>364</v>
      </c>
      <c r="I621" s="9" t="s">
        <v>365</v>
      </c>
      <c r="J621" s="9" t="s">
        <v>52</v>
      </c>
      <c r="K621" s="9" t="s">
        <v>222</v>
      </c>
      <c r="L621" s="9" t="s">
        <v>2992</v>
      </c>
      <c r="M621" s="9" t="s">
        <v>78</v>
      </c>
      <c r="N621" s="9" t="n">
        <v>1</v>
      </c>
      <c r="O621" s="9" t="n">
        <v>4251.26</v>
      </c>
      <c r="P621" s="9" t="n">
        <v>0.2</v>
      </c>
      <c r="Q621" s="9" t="n">
        <v>3401.01</v>
      </c>
      <c r="R621" s="9" t="n">
        <v>2917.54</v>
      </c>
      <c r="S621" s="9" t="n">
        <v>483.47</v>
      </c>
      <c r="T621" s="9" t="s">
        <v>146</v>
      </c>
      <c r="U621" s="9" t="s">
        <v>147</v>
      </c>
    </row>
    <row r="622" customFormat="false" ht="15" hidden="false" customHeight="false" outlineLevel="0" collapsed="false">
      <c r="A622" s="9" t="s">
        <v>2993</v>
      </c>
      <c r="B622" s="9" t="s">
        <v>2994</v>
      </c>
      <c r="C622" s="9" t="s">
        <v>2995</v>
      </c>
      <c r="D622" s="9" t="s">
        <v>2996</v>
      </c>
      <c r="E622" s="9" t="s">
        <v>105</v>
      </c>
      <c r="F622" s="9" t="s">
        <v>48</v>
      </c>
      <c r="G622" s="9" t="s">
        <v>177</v>
      </c>
      <c r="H622" s="9" t="s">
        <v>198</v>
      </c>
      <c r="I622" s="9" t="s">
        <v>199</v>
      </c>
      <c r="J622" s="9" t="s">
        <v>108</v>
      </c>
      <c r="K622" s="9" t="s">
        <v>409</v>
      </c>
      <c r="L622" s="9" t="s">
        <v>2997</v>
      </c>
      <c r="M622" s="9" t="s">
        <v>89</v>
      </c>
      <c r="N622" s="9" t="n">
        <v>9</v>
      </c>
      <c r="O622" s="9" t="n">
        <v>734.34</v>
      </c>
      <c r="P622" s="9" t="n">
        <v>0</v>
      </c>
      <c r="Q622" s="9" t="n">
        <v>6609.06</v>
      </c>
      <c r="R622" s="9" t="n">
        <v>4946.78</v>
      </c>
      <c r="S622" s="9" t="n">
        <v>1662.28</v>
      </c>
      <c r="T622" s="9" t="s">
        <v>56</v>
      </c>
      <c r="U622" s="9" t="s">
        <v>57</v>
      </c>
    </row>
    <row r="623" customFormat="false" ht="15" hidden="false" customHeight="false" outlineLevel="0" collapsed="false">
      <c r="A623" s="9" t="s">
        <v>2998</v>
      </c>
      <c r="B623" s="9" t="s">
        <v>80</v>
      </c>
      <c r="C623" s="9" t="s">
        <v>2999</v>
      </c>
      <c r="D623" s="9" t="s">
        <v>3000</v>
      </c>
      <c r="E623" s="9" t="s">
        <v>129</v>
      </c>
      <c r="F623" s="9" t="s">
        <v>48</v>
      </c>
      <c r="G623" s="9" t="s">
        <v>95</v>
      </c>
      <c r="H623" s="9" t="s">
        <v>96</v>
      </c>
      <c r="I623" s="9" t="s">
        <v>97</v>
      </c>
      <c r="J623" s="9" t="s">
        <v>67</v>
      </c>
      <c r="K623" s="9" t="s">
        <v>98</v>
      </c>
      <c r="L623" s="9" t="s">
        <v>3001</v>
      </c>
      <c r="M623" s="9" t="s">
        <v>70</v>
      </c>
      <c r="N623" s="9" t="n">
        <v>5</v>
      </c>
      <c r="O623" s="9" t="n">
        <v>1092.84</v>
      </c>
      <c r="P623" s="9"/>
      <c r="Q623" s="9" t="n">
        <v>5464.2</v>
      </c>
      <c r="R623" s="9" t="n">
        <v>3318.09</v>
      </c>
      <c r="S623" s="9" t="n">
        <v>2146.11</v>
      </c>
      <c r="T623" s="9" t="s">
        <v>56</v>
      </c>
      <c r="U623" s="9" t="s">
        <v>57</v>
      </c>
    </row>
    <row r="624" customFormat="false" ht="15" hidden="false" customHeight="false" outlineLevel="0" collapsed="false">
      <c r="A624" s="9" t="s">
        <v>3002</v>
      </c>
      <c r="B624" s="9" t="s">
        <v>3003</v>
      </c>
      <c r="C624" s="9" t="s">
        <v>3004</v>
      </c>
      <c r="D624" s="9" t="s">
        <v>3005</v>
      </c>
      <c r="E624" s="9" t="s">
        <v>105</v>
      </c>
      <c r="F624" s="9" t="s">
        <v>48</v>
      </c>
      <c r="G624" s="9" t="s">
        <v>64</v>
      </c>
      <c r="H624" s="9" t="s">
        <v>210</v>
      </c>
      <c r="I624" s="9" t="s">
        <v>211</v>
      </c>
      <c r="J624" s="9" t="s">
        <v>52</v>
      </c>
      <c r="K624" s="9" t="s">
        <v>180</v>
      </c>
      <c r="L624" s="9" t="s">
        <v>3006</v>
      </c>
      <c r="M624" s="9" t="s">
        <v>89</v>
      </c>
      <c r="N624" s="9" t="n">
        <v>4</v>
      </c>
      <c r="O624" s="9" t="n">
        <v>2759.01</v>
      </c>
      <c r="P624" s="9" t="n">
        <v>0.05</v>
      </c>
      <c r="Q624" s="9" t="n">
        <v>10484.24</v>
      </c>
      <c r="R624" s="9" t="n">
        <v>6680.15</v>
      </c>
      <c r="S624" s="9" t="n">
        <v>3804.09</v>
      </c>
      <c r="T624" s="9" t="s">
        <v>56</v>
      </c>
      <c r="U624" s="9" t="s">
        <v>57</v>
      </c>
    </row>
    <row r="625" customFormat="false" ht="15" hidden="false" customHeight="false" outlineLevel="0" collapsed="false">
      <c r="A625" s="9" t="s">
        <v>3007</v>
      </c>
      <c r="B625" s="9" t="s">
        <v>3008</v>
      </c>
      <c r="C625" s="9" t="s">
        <v>3009</v>
      </c>
      <c r="D625" s="9" t="s">
        <v>3010</v>
      </c>
      <c r="E625" s="9" t="s">
        <v>105</v>
      </c>
      <c r="F625" s="9" t="s">
        <v>137</v>
      </c>
      <c r="G625" s="9" t="s">
        <v>177</v>
      </c>
      <c r="H625" s="9" t="s">
        <v>178</v>
      </c>
      <c r="I625" s="9" t="s">
        <v>179</v>
      </c>
      <c r="J625" s="9" t="s">
        <v>52</v>
      </c>
      <c r="K625" s="9" t="s">
        <v>180</v>
      </c>
      <c r="L625" s="9" t="s">
        <v>3011</v>
      </c>
      <c r="M625" s="9" t="s">
        <v>55</v>
      </c>
      <c r="N625" s="9" t="n">
        <v>8</v>
      </c>
      <c r="O625" s="9" t="n">
        <v>1359.19</v>
      </c>
      <c r="P625" s="9" t="n">
        <v>0.05</v>
      </c>
      <c r="Q625" s="9" t="n">
        <v>10329.84</v>
      </c>
      <c r="R625" s="9" t="n">
        <v>7512.22</v>
      </c>
      <c r="S625" s="9" t="n">
        <v>2817.62</v>
      </c>
      <c r="T625" s="9" t="s">
        <v>56</v>
      </c>
      <c r="U625" s="9" t="s">
        <v>57</v>
      </c>
    </row>
    <row r="626" customFormat="false" ht="15" hidden="false" customHeight="false" outlineLevel="0" collapsed="false">
      <c r="A626" s="9" t="s">
        <v>3012</v>
      </c>
      <c r="B626" s="9" t="s">
        <v>3013</v>
      </c>
      <c r="C626" s="9" t="s">
        <v>3014</v>
      </c>
      <c r="D626" s="9" t="s">
        <v>3015</v>
      </c>
      <c r="E626" s="9" t="s">
        <v>115</v>
      </c>
      <c r="F626" s="9" t="s">
        <v>137</v>
      </c>
      <c r="G626" s="9" t="s">
        <v>64</v>
      </c>
      <c r="H626" s="9" t="s">
        <v>240</v>
      </c>
      <c r="I626" s="9" t="s">
        <v>241</v>
      </c>
      <c r="J626" s="9" t="s">
        <v>67</v>
      </c>
      <c r="K626" s="9" t="s">
        <v>98</v>
      </c>
      <c r="L626" s="9" t="s">
        <v>3016</v>
      </c>
      <c r="M626" s="9" t="s">
        <v>78</v>
      </c>
      <c r="N626" s="9" t="n">
        <v>2</v>
      </c>
      <c r="O626" s="9" t="n">
        <v>4451.03</v>
      </c>
      <c r="P626" s="9" t="n">
        <v>0.05</v>
      </c>
      <c r="Q626" s="9" t="n">
        <v>8456.96</v>
      </c>
      <c r="R626" s="9" t="n">
        <v>5462.85</v>
      </c>
      <c r="S626" s="9" t="n">
        <v>2994.11</v>
      </c>
      <c r="T626" s="9" t="s">
        <v>56</v>
      </c>
      <c r="U626" s="9" t="s">
        <v>57</v>
      </c>
    </row>
    <row r="627" customFormat="false" ht="15" hidden="false" customHeight="false" outlineLevel="0" collapsed="false">
      <c r="A627" s="9" t="s">
        <v>3017</v>
      </c>
      <c r="B627" s="9" t="s">
        <v>3018</v>
      </c>
      <c r="C627" s="9" t="s">
        <v>1443</v>
      </c>
      <c r="D627" s="9" t="s">
        <v>3019</v>
      </c>
      <c r="E627" s="9" t="s">
        <v>234</v>
      </c>
      <c r="F627" s="9" t="s">
        <v>130</v>
      </c>
      <c r="G627" s="9" t="s">
        <v>95</v>
      </c>
      <c r="H627" s="9" t="s">
        <v>50</v>
      </c>
      <c r="I627" s="9" t="s">
        <v>158</v>
      </c>
      <c r="J627" s="9" t="s">
        <v>67</v>
      </c>
      <c r="K627" s="9" t="s">
        <v>98</v>
      </c>
      <c r="L627" s="9" t="s">
        <v>3020</v>
      </c>
      <c r="M627" s="9" t="s">
        <v>70</v>
      </c>
      <c r="N627" s="9" t="n">
        <v>3</v>
      </c>
      <c r="O627" s="9" t="n">
        <v>527.67</v>
      </c>
      <c r="P627" s="9" t="n">
        <v>0.2</v>
      </c>
      <c r="Q627" s="9" t="n">
        <v>1266.41</v>
      </c>
      <c r="R627" s="9" t="n">
        <v>983.92</v>
      </c>
      <c r="S627" s="9" t="n">
        <v>282.49</v>
      </c>
      <c r="T627" s="9" t="s">
        <v>56</v>
      </c>
      <c r="U627" s="9" t="s">
        <v>57</v>
      </c>
    </row>
    <row r="628" customFormat="false" ht="15" hidden="false" customHeight="false" outlineLevel="0" collapsed="false">
      <c r="A628" s="9" t="s">
        <v>3021</v>
      </c>
      <c r="B628" s="9" t="s">
        <v>1428</v>
      </c>
      <c r="C628" s="9" t="s">
        <v>3022</v>
      </c>
      <c r="D628" s="9" t="s">
        <v>3023</v>
      </c>
      <c r="E628" s="9" t="s">
        <v>192</v>
      </c>
      <c r="F628" s="9" t="s">
        <v>137</v>
      </c>
      <c r="G628" s="9" t="s">
        <v>64</v>
      </c>
      <c r="H628" s="9" t="s">
        <v>240</v>
      </c>
      <c r="I628" s="9" t="s">
        <v>241</v>
      </c>
      <c r="J628" s="9" t="s">
        <v>3024</v>
      </c>
      <c r="K628" s="9" t="s">
        <v>409</v>
      </c>
      <c r="L628" s="9" t="s">
        <v>3025</v>
      </c>
      <c r="M628" s="9" t="s">
        <v>89</v>
      </c>
      <c r="N628" s="9" t="n">
        <v>8</v>
      </c>
      <c r="O628" s="9" t="n">
        <v>1434.13</v>
      </c>
      <c r="P628" s="9" t="n">
        <v>0</v>
      </c>
      <c r="Q628" s="9" t="n">
        <v>11473.04</v>
      </c>
      <c r="R628" s="9" t="n">
        <v>8931.33</v>
      </c>
      <c r="S628" s="9" t="n">
        <v>2541.71</v>
      </c>
      <c r="T628" s="9" t="s">
        <v>160</v>
      </c>
      <c r="U628" s="9" t="s">
        <v>147</v>
      </c>
    </row>
    <row r="629" customFormat="false" ht="15" hidden="false" customHeight="false" outlineLevel="0" collapsed="false">
      <c r="A629" s="9" t="s">
        <v>3026</v>
      </c>
      <c r="B629" s="9" t="s">
        <v>1453</v>
      </c>
      <c r="C629" s="9" t="s">
        <v>1815</v>
      </c>
      <c r="D629" s="9" t="s">
        <v>3027</v>
      </c>
      <c r="E629" s="9" t="s">
        <v>47</v>
      </c>
      <c r="F629" s="9" t="s">
        <v>63</v>
      </c>
      <c r="G629" s="9" t="s">
        <v>84</v>
      </c>
      <c r="H629" s="9" t="s">
        <v>267</v>
      </c>
      <c r="I629" s="9" t="s">
        <v>268</v>
      </c>
      <c r="J629" s="9" t="s">
        <v>108</v>
      </c>
      <c r="K629" s="9" t="s">
        <v>247</v>
      </c>
      <c r="L629" s="9" t="s">
        <v>3028</v>
      </c>
      <c r="M629" s="9" t="s">
        <v>55</v>
      </c>
      <c r="N629" s="9" t="n">
        <v>2</v>
      </c>
      <c r="O629" s="9" t="n">
        <v>2360.02</v>
      </c>
      <c r="P629" s="9" t="n">
        <v>0.15</v>
      </c>
      <c r="Q629" s="9" t="n">
        <v>4012.03</v>
      </c>
      <c r="R629" s="9" t="n">
        <v>3142.92</v>
      </c>
      <c r="S629" s="9" t="n">
        <v>869.11</v>
      </c>
      <c r="T629" s="9" t="s">
        <v>160</v>
      </c>
      <c r="U629" s="9" t="s">
        <v>100</v>
      </c>
    </row>
    <row r="630" customFormat="false" ht="15" hidden="false" customHeight="false" outlineLevel="0" collapsed="false">
      <c r="A630" s="9" t="s">
        <v>3029</v>
      </c>
      <c r="B630" s="9" t="s">
        <v>2599</v>
      </c>
      <c r="C630" s="9" t="s">
        <v>3030</v>
      </c>
      <c r="D630" s="9" t="s">
        <v>3031</v>
      </c>
      <c r="E630" s="9" t="s">
        <v>94</v>
      </c>
      <c r="F630" s="9" t="s">
        <v>137</v>
      </c>
      <c r="G630" s="9" t="s">
        <v>64</v>
      </c>
      <c r="H630" s="9" t="s">
        <v>336</v>
      </c>
      <c r="I630" s="9" t="s">
        <v>337</v>
      </c>
      <c r="J630" s="9" t="s">
        <v>108</v>
      </c>
      <c r="K630" s="9" t="s">
        <v>109</v>
      </c>
      <c r="L630" s="9" t="s">
        <v>3032</v>
      </c>
      <c r="M630" s="9" t="s">
        <v>70</v>
      </c>
      <c r="N630" s="9" t="n">
        <v>7</v>
      </c>
      <c r="O630" s="9" t="n">
        <v>806.67</v>
      </c>
      <c r="P630" s="9" t="n">
        <v>0.05</v>
      </c>
      <c r="Q630" s="9" t="n">
        <v>5364.36</v>
      </c>
      <c r="R630" s="9" t="n">
        <v>4391.29</v>
      </c>
      <c r="S630" s="9" t="n">
        <v>973.07</v>
      </c>
      <c r="T630" s="9" t="s">
        <v>56</v>
      </c>
      <c r="U630" s="9" t="s">
        <v>57</v>
      </c>
    </row>
    <row r="631" customFormat="false" ht="15" hidden="false" customHeight="false" outlineLevel="0" collapsed="false">
      <c r="A631" s="9" t="s">
        <v>3033</v>
      </c>
      <c r="B631" s="9" t="s">
        <v>603</v>
      </c>
      <c r="C631" s="9" t="s">
        <v>3034</v>
      </c>
      <c r="D631" s="9" t="s">
        <v>3035</v>
      </c>
      <c r="E631" s="9" t="s">
        <v>83</v>
      </c>
      <c r="F631" s="9" t="s">
        <v>137</v>
      </c>
      <c r="G631" s="9" t="s">
        <v>95</v>
      </c>
      <c r="H631" s="9" t="s">
        <v>260</v>
      </c>
      <c r="I631" s="9" t="s">
        <v>261</v>
      </c>
      <c r="J631" s="9" t="s">
        <v>67</v>
      </c>
      <c r="K631" s="9" t="s">
        <v>68</v>
      </c>
      <c r="L631" s="9" t="s">
        <v>3036</v>
      </c>
      <c r="M631" s="9" t="s">
        <v>70</v>
      </c>
      <c r="N631" s="9" t="n">
        <v>3</v>
      </c>
      <c r="O631" s="9" t="n">
        <v>4198.46</v>
      </c>
      <c r="P631" s="9" t="n">
        <v>0.15</v>
      </c>
      <c r="Q631" s="9" t="n">
        <v>10706.07</v>
      </c>
      <c r="R631" s="9" t="n">
        <v>5927.1</v>
      </c>
      <c r="S631" s="9" t="n">
        <v>4778.97</v>
      </c>
      <c r="T631" s="9" t="s">
        <v>56</v>
      </c>
      <c r="U631" s="9" t="s">
        <v>57</v>
      </c>
    </row>
    <row r="632" customFormat="false" ht="15" hidden="false" customHeight="false" outlineLevel="0" collapsed="false">
      <c r="A632" s="9" t="s">
        <v>3037</v>
      </c>
      <c r="B632" s="9" t="s">
        <v>2487</v>
      </c>
      <c r="C632" s="9" t="s">
        <v>1537</v>
      </c>
      <c r="D632" s="9" t="s">
        <v>3038</v>
      </c>
      <c r="E632" s="9" t="s">
        <v>165</v>
      </c>
      <c r="F632" s="9" t="s">
        <v>130</v>
      </c>
      <c r="G632" s="9" t="s">
        <v>64</v>
      </c>
      <c r="H632" s="9" t="s">
        <v>240</v>
      </c>
      <c r="I632" s="9" t="s">
        <v>241</v>
      </c>
      <c r="J632" s="9" t="s">
        <v>52</v>
      </c>
      <c r="K632" s="9" t="s">
        <v>53</v>
      </c>
      <c r="L632" s="9" t="s">
        <v>3039</v>
      </c>
      <c r="M632" s="9" t="s">
        <v>89</v>
      </c>
      <c r="N632" s="9" t="n">
        <v>4</v>
      </c>
      <c r="O632" s="9" t="n">
        <v>3047.05</v>
      </c>
      <c r="P632" s="9" t="n">
        <v>0.1</v>
      </c>
      <c r="Q632" s="9" t="n">
        <v>10969.38</v>
      </c>
      <c r="R632" s="9" t="n">
        <v>9254.46</v>
      </c>
      <c r="S632" s="9" t="n">
        <v>1714.92</v>
      </c>
      <c r="T632" s="9" t="s">
        <v>56</v>
      </c>
      <c r="U632" s="9" t="s">
        <v>57</v>
      </c>
    </row>
    <row r="633" customFormat="false" ht="15" hidden="false" customHeight="false" outlineLevel="0" collapsed="false">
      <c r="A633" s="9" t="s">
        <v>3040</v>
      </c>
      <c r="B633" s="9" t="s">
        <v>1480</v>
      </c>
      <c r="C633" s="9" t="s">
        <v>1580</v>
      </c>
      <c r="D633" s="9" t="s">
        <v>3041</v>
      </c>
      <c r="E633" s="9" t="s">
        <v>186</v>
      </c>
      <c r="F633" s="9" t="s">
        <v>137</v>
      </c>
      <c r="G633" s="9" t="s">
        <v>95</v>
      </c>
      <c r="H633" s="9" t="s">
        <v>50</v>
      </c>
      <c r="I633" s="9" t="s">
        <v>158</v>
      </c>
      <c r="J633" s="9" t="s">
        <v>67</v>
      </c>
      <c r="K633" s="9" t="s">
        <v>98</v>
      </c>
      <c r="L633" s="9" t="s">
        <v>3042</v>
      </c>
      <c r="M633" s="9" t="s">
        <v>89</v>
      </c>
      <c r="N633" s="9" t="n">
        <v>8</v>
      </c>
      <c r="O633" s="9" t="n">
        <v>4362.48</v>
      </c>
      <c r="P633" s="9" t="n">
        <v>0.1</v>
      </c>
      <c r="Q633" s="9" t="n">
        <v>31409.86</v>
      </c>
      <c r="R633" s="9" t="n">
        <v>22523.54</v>
      </c>
      <c r="S633" s="9" t="n">
        <v>8886.32</v>
      </c>
      <c r="T633" s="9" t="s">
        <v>56</v>
      </c>
      <c r="U633" s="9" t="s">
        <v>57</v>
      </c>
    </row>
    <row r="634" customFormat="false" ht="15" hidden="false" customHeight="false" outlineLevel="0" collapsed="false">
      <c r="A634" s="9" t="s">
        <v>3043</v>
      </c>
      <c r="B634" s="9" t="s">
        <v>3044</v>
      </c>
      <c r="C634" s="9" t="s">
        <v>3045</v>
      </c>
      <c r="D634" s="9" t="s">
        <v>3046</v>
      </c>
      <c r="E634" s="9" t="s">
        <v>192</v>
      </c>
      <c r="F634" s="9" t="s">
        <v>63</v>
      </c>
      <c r="G634" s="9" t="s">
        <v>84</v>
      </c>
      <c r="H634" s="9" t="s">
        <v>254</v>
      </c>
      <c r="I634" s="9" t="s">
        <v>255</v>
      </c>
      <c r="J634" s="9" t="s">
        <v>67</v>
      </c>
      <c r="K634" s="9" t="s">
        <v>87</v>
      </c>
      <c r="L634" s="9" t="s">
        <v>3047</v>
      </c>
      <c r="M634" s="9" t="s">
        <v>78</v>
      </c>
      <c r="N634" s="9" t="n">
        <v>5</v>
      </c>
      <c r="O634" s="9" t="n">
        <v>2850.53</v>
      </c>
      <c r="P634" s="9" t="n">
        <v>0</v>
      </c>
      <c r="Q634" s="9" t="n">
        <v>14252.65</v>
      </c>
      <c r="R634" s="9" t="n">
        <v>11558.31</v>
      </c>
      <c r="S634" s="9" t="n">
        <v>2694.34</v>
      </c>
      <c r="T634" s="9" t="s">
        <v>56</v>
      </c>
      <c r="U634" s="9" t="s">
        <v>57</v>
      </c>
    </row>
    <row r="635" customFormat="false" ht="15" hidden="false" customHeight="false" outlineLevel="0" collapsed="false">
      <c r="A635" s="9" t="s">
        <v>3048</v>
      </c>
      <c r="B635" s="9" t="s">
        <v>3049</v>
      </c>
      <c r="C635" s="9" t="s">
        <v>3050</v>
      </c>
      <c r="D635" s="9" t="s">
        <v>3051</v>
      </c>
      <c r="E635" s="9" t="s">
        <v>186</v>
      </c>
      <c r="F635" s="9" t="s">
        <v>63</v>
      </c>
      <c r="G635" s="9" t="s">
        <v>84</v>
      </c>
      <c r="H635" s="9" t="s">
        <v>364</v>
      </c>
      <c r="I635" s="9" t="s">
        <v>365</v>
      </c>
      <c r="J635" s="9" t="s">
        <v>108</v>
      </c>
      <c r="K635" s="9" t="s">
        <v>109</v>
      </c>
      <c r="L635" s="9" t="s">
        <v>3052</v>
      </c>
      <c r="M635" s="9" t="s">
        <v>55</v>
      </c>
      <c r="N635" s="9" t="n">
        <v>1</v>
      </c>
      <c r="O635" s="9" t="n">
        <v>1626.08</v>
      </c>
      <c r="P635" s="9" t="n">
        <v>0.15</v>
      </c>
      <c r="Q635" s="9" t="n">
        <v>1382.17</v>
      </c>
      <c r="R635" s="9" t="n">
        <v>810.03</v>
      </c>
      <c r="S635" s="9" t="n">
        <v>572.14</v>
      </c>
      <c r="T635" s="9" t="s">
        <v>56</v>
      </c>
      <c r="U635" s="9" t="s">
        <v>57</v>
      </c>
    </row>
    <row r="636" customFormat="false" ht="15" hidden="false" customHeight="false" outlineLevel="0" collapsed="false">
      <c r="A636" s="9" t="s">
        <v>3053</v>
      </c>
      <c r="B636" s="9" t="s">
        <v>3054</v>
      </c>
      <c r="C636" s="9" t="s">
        <v>2221</v>
      </c>
      <c r="D636" s="9" t="s">
        <v>3055</v>
      </c>
      <c r="E636" s="9" t="s">
        <v>129</v>
      </c>
      <c r="F636" s="9" t="s">
        <v>48</v>
      </c>
      <c r="G636" s="9" t="s">
        <v>84</v>
      </c>
      <c r="H636" s="9" t="s">
        <v>85</v>
      </c>
      <c r="I636" s="9" t="s">
        <v>86</v>
      </c>
      <c r="J636" s="9" t="s">
        <v>67</v>
      </c>
      <c r="K636" s="9" t="s">
        <v>98</v>
      </c>
      <c r="L636" s="9" t="s">
        <v>3056</v>
      </c>
      <c r="M636" s="9" t="s">
        <v>55</v>
      </c>
      <c r="N636" s="9" t="n">
        <v>4</v>
      </c>
      <c r="O636" s="9" t="n">
        <v>2427.15</v>
      </c>
      <c r="P636" s="9" t="n">
        <v>0.05</v>
      </c>
      <c r="Q636" s="9" t="n">
        <v>9223.17</v>
      </c>
      <c r="R636" s="9" t="n">
        <v>5103.7</v>
      </c>
      <c r="S636" s="9" t="n">
        <v>4119.47</v>
      </c>
      <c r="T636" s="9" t="s">
        <v>56</v>
      </c>
      <c r="U636" s="9" t="s">
        <v>57</v>
      </c>
    </row>
    <row r="637" customFormat="false" ht="15" hidden="false" customHeight="false" outlineLevel="0" collapsed="false">
      <c r="A637" s="9" t="s">
        <v>3057</v>
      </c>
      <c r="B637" s="9" t="s">
        <v>2952</v>
      </c>
      <c r="C637" s="9" t="s">
        <v>3058</v>
      </c>
      <c r="D637" s="9" t="s">
        <v>3059</v>
      </c>
      <c r="E637" s="9" t="s">
        <v>62</v>
      </c>
      <c r="F637" s="9" t="s">
        <v>130</v>
      </c>
      <c r="G637" s="9" t="s">
        <v>84</v>
      </c>
      <c r="H637" s="9" t="s">
        <v>122</v>
      </c>
      <c r="I637" s="9" t="s">
        <v>123</v>
      </c>
      <c r="J637" s="9" t="s">
        <v>67</v>
      </c>
      <c r="K637" s="9" t="s">
        <v>98</v>
      </c>
      <c r="L637" s="9" t="s">
        <v>3060</v>
      </c>
      <c r="M637" s="9" t="s">
        <v>70</v>
      </c>
      <c r="N637" s="9" t="n">
        <v>7</v>
      </c>
      <c r="O637" s="9" t="n">
        <v>3122.85</v>
      </c>
      <c r="P637" s="9" t="n">
        <v>0.25</v>
      </c>
      <c r="Q637" s="9" t="n">
        <v>16394.96</v>
      </c>
      <c r="R637" s="9" t="n">
        <v>10404.17</v>
      </c>
      <c r="S637" s="9" t="n">
        <v>5990.79</v>
      </c>
      <c r="T637" s="9" t="s">
        <v>56</v>
      </c>
      <c r="U637" s="9" t="s">
        <v>57</v>
      </c>
    </row>
    <row r="638" customFormat="false" ht="15" hidden="false" customHeight="false" outlineLevel="0" collapsed="false">
      <c r="A638" s="9" t="s">
        <v>3061</v>
      </c>
      <c r="B638" s="9" t="s">
        <v>3062</v>
      </c>
      <c r="C638" s="9" t="s">
        <v>3063</v>
      </c>
      <c r="D638" s="9" t="s">
        <v>3064</v>
      </c>
      <c r="E638" s="9" t="s">
        <v>94</v>
      </c>
      <c r="F638" s="9" t="s">
        <v>48</v>
      </c>
      <c r="G638" s="9" t="s">
        <v>84</v>
      </c>
      <c r="H638" s="9" t="s">
        <v>364</v>
      </c>
      <c r="I638" s="9" t="s">
        <v>365</v>
      </c>
      <c r="J638" s="9" t="s">
        <v>52</v>
      </c>
      <c r="K638" s="9" t="s">
        <v>53</v>
      </c>
      <c r="L638" s="9" t="s">
        <v>3065</v>
      </c>
      <c r="M638" s="9" t="s">
        <v>89</v>
      </c>
      <c r="N638" s="9" t="n">
        <v>8</v>
      </c>
      <c r="O638" s="9" t="n">
        <v>1910.31</v>
      </c>
      <c r="P638" s="9" t="n">
        <v>0.15</v>
      </c>
      <c r="Q638" s="9" t="n">
        <v>12990.11</v>
      </c>
      <c r="R638" s="9" t="n">
        <v>10200.8</v>
      </c>
      <c r="S638" s="9" t="n">
        <v>2789.31</v>
      </c>
      <c r="T638" s="9" t="s">
        <v>56</v>
      </c>
      <c r="U638" s="9" t="s">
        <v>57</v>
      </c>
    </row>
    <row r="639" customFormat="false" ht="15" hidden="false" customHeight="false" outlineLevel="0" collapsed="false">
      <c r="A639" s="9" t="s">
        <v>3066</v>
      </c>
      <c r="B639" s="9" t="s">
        <v>3067</v>
      </c>
      <c r="C639" s="9" t="s">
        <v>3068</v>
      </c>
      <c r="D639" s="9" t="s">
        <v>3069</v>
      </c>
      <c r="E639" s="9" t="s">
        <v>171</v>
      </c>
      <c r="F639" s="9" t="s">
        <v>63</v>
      </c>
      <c r="G639" s="9" t="s">
        <v>95</v>
      </c>
      <c r="H639" s="9" t="s">
        <v>274</v>
      </c>
      <c r="I639" s="9" t="s">
        <v>275</v>
      </c>
      <c r="J639" s="9" t="s">
        <v>108</v>
      </c>
      <c r="K639" s="9" t="s">
        <v>116</v>
      </c>
      <c r="L639" s="9" t="s">
        <v>3070</v>
      </c>
      <c r="M639" s="9" t="s">
        <v>78</v>
      </c>
      <c r="N639" s="9" t="n">
        <v>2</v>
      </c>
      <c r="O639" s="9" t="n">
        <v>3192.47</v>
      </c>
      <c r="P639" s="9" t="n">
        <v>0.2</v>
      </c>
      <c r="Q639" s="9" t="n">
        <v>5107.95</v>
      </c>
      <c r="R639" s="9" t="n">
        <v>3133.08</v>
      </c>
      <c r="S639" s="9" t="n">
        <v>1974.87</v>
      </c>
      <c r="T639" s="9" t="s">
        <v>56</v>
      </c>
      <c r="U639" s="9" t="s">
        <v>57</v>
      </c>
    </row>
    <row r="640" customFormat="false" ht="15" hidden="false" customHeight="false" outlineLevel="0" collapsed="false">
      <c r="A640" s="9" t="s">
        <v>3071</v>
      </c>
      <c r="B640" s="9" t="s">
        <v>2918</v>
      </c>
      <c r="C640" s="9" t="s">
        <v>3072</v>
      </c>
      <c r="D640" s="9" t="s">
        <v>3073</v>
      </c>
      <c r="E640" s="9" t="s">
        <v>47</v>
      </c>
      <c r="F640" s="9" t="s">
        <v>130</v>
      </c>
      <c r="G640" s="9" t="s">
        <v>84</v>
      </c>
      <c r="H640" s="9" t="s">
        <v>267</v>
      </c>
      <c r="I640" s="9" t="s">
        <v>268</v>
      </c>
      <c r="J640" s="9" t="s">
        <v>52</v>
      </c>
      <c r="K640" s="9" t="s">
        <v>180</v>
      </c>
      <c r="L640" s="9" t="s">
        <v>3074</v>
      </c>
      <c r="M640" s="9" t="s">
        <v>55</v>
      </c>
      <c r="N640" s="9" t="n">
        <v>3</v>
      </c>
      <c r="O640" s="9" t="n">
        <v>3224.32</v>
      </c>
      <c r="P640" s="9" t="n">
        <v>0.2</v>
      </c>
      <c r="Q640" s="9" t="n">
        <v>7738.37</v>
      </c>
      <c r="R640" s="9" t="n">
        <v>4626.85</v>
      </c>
      <c r="S640" s="9" t="n">
        <v>3111.52</v>
      </c>
      <c r="T640" s="9" t="s">
        <v>224</v>
      </c>
      <c r="U640" s="9" t="s">
        <v>147</v>
      </c>
    </row>
    <row r="641" customFormat="false" ht="15" hidden="false" customHeight="false" outlineLevel="0" collapsed="false">
      <c r="A641" s="9" t="s">
        <v>3075</v>
      </c>
      <c r="B641" s="9" t="s">
        <v>3076</v>
      </c>
      <c r="C641" s="9" t="s">
        <v>1911</v>
      </c>
      <c r="D641" s="9" t="s">
        <v>3077</v>
      </c>
      <c r="E641" s="9" t="s">
        <v>75</v>
      </c>
      <c r="F641" s="9" t="s">
        <v>63</v>
      </c>
      <c r="G641" s="9" t="s">
        <v>64</v>
      </c>
      <c r="H641" s="9" t="s">
        <v>65</v>
      </c>
      <c r="I641" s="9" t="s">
        <v>66</v>
      </c>
      <c r="J641" s="9" t="s">
        <v>67</v>
      </c>
      <c r="K641" s="9" t="s">
        <v>98</v>
      </c>
      <c r="L641" s="9" t="s">
        <v>3078</v>
      </c>
      <c r="M641" s="9" t="s">
        <v>55</v>
      </c>
      <c r="N641" s="9" t="n">
        <v>1</v>
      </c>
      <c r="O641" s="9" t="n">
        <v>1594.7</v>
      </c>
      <c r="P641" s="9" t="n">
        <v>0.05</v>
      </c>
      <c r="Q641" s="9" t="n">
        <v>1514.96</v>
      </c>
      <c r="R641" s="9" t="n">
        <v>1046.17</v>
      </c>
      <c r="S641" s="9" t="n">
        <v>468.79</v>
      </c>
      <c r="T641" s="9" t="s">
        <v>56</v>
      </c>
      <c r="U641" s="9" t="s">
        <v>57</v>
      </c>
    </row>
    <row r="642" customFormat="false" ht="15" hidden="false" customHeight="false" outlineLevel="0" collapsed="false">
      <c r="A642" s="9" t="s">
        <v>3079</v>
      </c>
      <c r="B642" s="9" t="s">
        <v>3080</v>
      </c>
      <c r="C642" s="9" t="s">
        <v>3081</v>
      </c>
      <c r="D642" s="9" t="s">
        <v>3082</v>
      </c>
      <c r="E642" s="9" t="s">
        <v>105</v>
      </c>
      <c r="F642" s="9" t="s">
        <v>48</v>
      </c>
      <c r="G642" s="9" t="s">
        <v>95</v>
      </c>
      <c r="H642" s="9" t="s">
        <v>274</v>
      </c>
      <c r="I642" s="9" t="s">
        <v>275</v>
      </c>
      <c r="J642" s="9" t="s">
        <v>52</v>
      </c>
      <c r="K642" s="9" t="s">
        <v>180</v>
      </c>
      <c r="L642" s="9" t="s">
        <v>3083</v>
      </c>
      <c r="M642" s="9" t="s">
        <v>78</v>
      </c>
      <c r="N642" s="9" t="n">
        <v>1</v>
      </c>
      <c r="O642" s="9" t="n">
        <v>1584.12</v>
      </c>
      <c r="P642" s="9" t="n">
        <v>0.2</v>
      </c>
      <c r="Q642" s="9" t="n">
        <v>1267.3</v>
      </c>
      <c r="R642" s="9" t="n">
        <v>923.53</v>
      </c>
      <c r="S642" s="9" t="n">
        <v>343.77</v>
      </c>
      <c r="T642" s="9" t="s">
        <v>56</v>
      </c>
      <c r="U642" s="9" t="s">
        <v>57</v>
      </c>
    </row>
    <row r="643" customFormat="false" ht="15" hidden="false" customHeight="false" outlineLevel="0" collapsed="false">
      <c r="A643" s="9" t="s">
        <v>3084</v>
      </c>
      <c r="B643" s="9" t="s">
        <v>3085</v>
      </c>
      <c r="C643" s="9" t="s">
        <v>2002</v>
      </c>
      <c r="D643" s="9" t="s">
        <v>3086</v>
      </c>
      <c r="E643" s="9" t="s">
        <v>47</v>
      </c>
      <c r="F643" s="9" t="s">
        <v>48</v>
      </c>
      <c r="G643" s="9" t="s">
        <v>177</v>
      </c>
      <c r="H643" s="9" t="s">
        <v>535</v>
      </c>
      <c r="I643" s="9" t="s">
        <v>536</v>
      </c>
      <c r="J643" s="9" t="s">
        <v>67</v>
      </c>
      <c r="K643" s="9" t="s">
        <v>87</v>
      </c>
      <c r="L643" s="9" t="s">
        <v>3087</v>
      </c>
      <c r="M643" s="9" t="s">
        <v>70</v>
      </c>
      <c r="N643" s="9" t="n">
        <v>2</v>
      </c>
      <c r="O643" s="9" t="n">
        <v>3202.87</v>
      </c>
      <c r="P643" s="9" t="n">
        <v>0</v>
      </c>
      <c r="Q643" s="9" t="n">
        <v>6405.74</v>
      </c>
      <c r="R643" s="9" t="n">
        <v>3561.87</v>
      </c>
      <c r="S643" s="9" t="n">
        <v>2843.87</v>
      </c>
      <c r="T643" s="9" t="s">
        <v>56</v>
      </c>
      <c r="U643" s="9" t="s">
        <v>57</v>
      </c>
    </row>
    <row r="644" customFormat="false" ht="15" hidden="false" customHeight="false" outlineLevel="0" collapsed="false">
      <c r="A644" s="9" t="s">
        <v>3088</v>
      </c>
      <c r="B644" s="9" t="s">
        <v>1990</v>
      </c>
      <c r="C644" s="9" t="s">
        <v>59</v>
      </c>
      <c r="D644" s="9" t="s">
        <v>3089</v>
      </c>
      <c r="E644" s="9" t="s">
        <v>75</v>
      </c>
      <c r="F644" s="9" t="s">
        <v>137</v>
      </c>
      <c r="G644" s="9" t="s">
        <v>64</v>
      </c>
      <c r="H644" s="9" t="s">
        <v>240</v>
      </c>
      <c r="I644" s="9" t="s">
        <v>241</v>
      </c>
      <c r="J644" s="9" t="s">
        <v>52</v>
      </c>
      <c r="K644" s="9" t="s">
        <v>3090</v>
      </c>
      <c r="L644" s="9" t="s">
        <v>3091</v>
      </c>
      <c r="M644" s="9" t="s">
        <v>55</v>
      </c>
      <c r="N644" s="9" t="n">
        <v>9</v>
      </c>
      <c r="O644" s="9" t="n">
        <v>1275.21</v>
      </c>
      <c r="P644" s="9" t="n">
        <v>0.25</v>
      </c>
      <c r="Q644" s="9" t="n">
        <v>8607.67</v>
      </c>
      <c r="R644" s="9" t="n">
        <v>5337.64</v>
      </c>
      <c r="S644" s="9" t="n">
        <v>3270.03</v>
      </c>
      <c r="T644" s="9" t="s">
        <v>224</v>
      </c>
      <c r="U644" s="9" t="s">
        <v>147</v>
      </c>
    </row>
    <row r="645" customFormat="false" ht="15" hidden="false" customHeight="false" outlineLevel="0" collapsed="false">
      <c r="A645" s="9" t="s">
        <v>3092</v>
      </c>
      <c r="B645" s="9" t="s">
        <v>3093</v>
      </c>
      <c r="C645" s="9" t="s">
        <v>3094</v>
      </c>
      <c r="D645" s="9" t="s">
        <v>1132</v>
      </c>
      <c r="E645" s="9" t="s">
        <v>186</v>
      </c>
      <c r="F645" s="9" t="s">
        <v>137</v>
      </c>
      <c r="G645" s="9" t="s">
        <v>177</v>
      </c>
      <c r="H645" s="9" t="s">
        <v>198</v>
      </c>
      <c r="I645" s="9" t="s">
        <v>199</v>
      </c>
      <c r="J645" s="9" t="s">
        <v>52</v>
      </c>
      <c r="K645" s="9" t="s">
        <v>131</v>
      </c>
      <c r="L645" s="9" t="s">
        <v>3095</v>
      </c>
      <c r="M645" s="9" t="s">
        <v>89</v>
      </c>
      <c r="N645" s="9" t="n">
        <v>8</v>
      </c>
      <c r="O645" s="9" t="n">
        <v>3871.18</v>
      </c>
      <c r="P645" s="9" t="n">
        <v>0.15</v>
      </c>
      <c r="Q645" s="9" t="n">
        <v>26324.02</v>
      </c>
      <c r="R645" s="9" t="n">
        <v>16277.96</v>
      </c>
      <c r="S645" s="9" t="n">
        <v>10046.06</v>
      </c>
      <c r="T645" s="9" t="s">
        <v>224</v>
      </c>
      <c r="U645" s="9" t="s">
        <v>147</v>
      </c>
    </row>
    <row r="646" customFormat="false" ht="15" hidden="false" customHeight="false" outlineLevel="0" collapsed="false">
      <c r="A646" s="9" t="s">
        <v>3096</v>
      </c>
      <c r="B646" s="9" t="s">
        <v>2637</v>
      </c>
      <c r="C646" s="9" t="s">
        <v>3097</v>
      </c>
      <c r="D646" s="9" t="s">
        <v>3098</v>
      </c>
      <c r="E646" s="9" t="s">
        <v>105</v>
      </c>
      <c r="F646" s="9" t="s">
        <v>48</v>
      </c>
      <c r="G646" s="9" t="s">
        <v>64</v>
      </c>
      <c r="H646" s="9" t="s">
        <v>143</v>
      </c>
      <c r="I646" s="9" t="s">
        <v>144</v>
      </c>
      <c r="J646" s="9" t="s">
        <v>67</v>
      </c>
      <c r="K646" s="9" t="s">
        <v>98</v>
      </c>
      <c r="L646" s="9" t="s">
        <v>3099</v>
      </c>
      <c r="M646" s="9" t="s">
        <v>89</v>
      </c>
      <c r="N646" s="9" t="n">
        <v>4</v>
      </c>
      <c r="O646" s="9" t="n">
        <v>3750.02</v>
      </c>
      <c r="P646" s="9" t="n">
        <v>0.05</v>
      </c>
      <c r="Q646" s="9" t="n">
        <v>14250.08</v>
      </c>
      <c r="R646" s="9" t="n">
        <v>10914.92</v>
      </c>
      <c r="S646" s="9" t="n">
        <v>3335.16</v>
      </c>
      <c r="T646" s="9" t="s">
        <v>56</v>
      </c>
      <c r="U646" s="9" t="s">
        <v>57</v>
      </c>
    </row>
    <row r="647" customFormat="false" ht="15" hidden="false" customHeight="false" outlineLevel="0" collapsed="false">
      <c r="A647" s="9" t="s">
        <v>3100</v>
      </c>
      <c r="B647" s="9" t="s">
        <v>3101</v>
      </c>
      <c r="C647" s="9" t="s">
        <v>2791</v>
      </c>
      <c r="D647" s="9" t="s">
        <v>3102</v>
      </c>
      <c r="E647" s="9" t="s">
        <v>393</v>
      </c>
      <c r="F647" s="9" t="s">
        <v>48</v>
      </c>
      <c r="G647" s="9" t="s">
        <v>64</v>
      </c>
      <c r="H647" s="9" t="s">
        <v>210</v>
      </c>
      <c r="I647" s="9" t="s">
        <v>211</v>
      </c>
      <c r="J647" s="9" t="s">
        <v>67</v>
      </c>
      <c r="K647" s="9" t="s">
        <v>98</v>
      </c>
      <c r="L647" s="9" t="s">
        <v>3103</v>
      </c>
      <c r="M647" s="9" t="s">
        <v>55</v>
      </c>
      <c r="N647" s="9" t="n">
        <v>6</v>
      </c>
      <c r="O647" s="9" t="n">
        <v>2423.61</v>
      </c>
      <c r="P647" s="9" t="n">
        <v>0.1</v>
      </c>
      <c r="Q647" s="9" t="n">
        <v>13087.49</v>
      </c>
      <c r="R647" s="9" t="n">
        <v>7608.89</v>
      </c>
      <c r="S647" s="9" t="n">
        <v>5133.22</v>
      </c>
      <c r="T647" s="9" t="s">
        <v>56</v>
      </c>
      <c r="U647" s="9" t="s">
        <v>57</v>
      </c>
    </row>
    <row r="648" customFormat="false" ht="15" hidden="false" customHeight="false" outlineLevel="0" collapsed="false">
      <c r="A648" s="9" t="s">
        <v>3104</v>
      </c>
      <c r="B648" s="9" t="s">
        <v>3105</v>
      </c>
      <c r="C648" s="9" t="s">
        <v>3106</v>
      </c>
      <c r="D648" s="9" t="s">
        <v>3107</v>
      </c>
      <c r="E648" s="9" t="s">
        <v>105</v>
      </c>
      <c r="F648" s="9" t="s">
        <v>63</v>
      </c>
      <c r="G648" s="9" t="s">
        <v>64</v>
      </c>
      <c r="H648" s="9" t="s">
        <v>336</v>
      </c>
      <c r="I648" s="9" t="s">
        <v>337</v>
      </c>
      <c r="J648" s="9" t="s">
        <v>108</v>
      </c>
      <c r="K648" s="9" t="s">
        <v>409</v>
      </c>
      <c r="L648" s="9" t="s">
        <v>3108</v>
      </c>
      <c r="M648" s="9" t="s">
        <v>78</v>
      </c>
      <c r="N648" s="9" t="n">
        <v>3</v>
      </c>
      <c r="O648" s="9" t="n">
        <v>729.14</v>
      </c>
      <c r="P648" s="9" t="n">
        <v>0.25</v>
      </c>
      <c r="Q648" s="9" t="n">
        <v>1640.57</v>
      </c>
      <c r="R648" s="9" t="n">
        <v>1136.98</v>
      </c>
      <c r="S648" s="9" t="n">
        <v>503.59</v>
      </c>
      <c r="T648" s="9" t="s">
        <v>56</v>
      </c>
      <c r="U648" s="9" t="s">
        <v>57</v>
      </c>
    </row>
    <row r="649" customFormat="false" ht="15" hidden="false" customHeight="false" outlineLevel="0" collapsed="false">
      <c r="A649" s="9" t="s">
        <v>3109</v>
      </c>
      <c r="B649" s="9" t="s">
        <v>1367</v>
      </c>
      <c r="C649" s="9" t="s">
        <v>3110</v>
      </c>
      <c r="D649" s="9" t="s">
        <v>3111</v>
      </c>
      <c r="E649" s="9" t="s">
        <v>3112</v>
      </c>
      <c r="F649" s="9" t="s">
        <v>63</v>
      </c>
      <c r="G649" s="9" t="s">
        <v>177</v>
      </c>
      <c r="H649" s="9" t="s">
        <v>178</v>
      </c>
      <c r="I649" s="9" t="s">
        <v>179</v>
      </c>
      <c r="J649" s="9" t="s">
        <v>52</v>
      </c>
      <c r="K649" s="9" t="s">
        <v>76</v>
      </c>
      <c r="L649" s="9" t="s">
        <v>3113</v>
      </c>
      <c r="M649" s="9" t="s">
        <v>78</v>
      </c>
      <c r="N649" s="9" t="n">
        <v>8</v>
      </c>
      <c r="O649" s="9" t="n">
        <v>2123.81</v>
      </c>
      <c r="P649" s="9" t="n">
        <v>0.15</v>
      </c>
      <c r="Q649" s="9" t="n">
        <v>14441.91</v>
      </c>
      <c r="R649" s="9" t="n">
        <v>10872.89</v>
      </c>
      <c r="S649" s="9" t="n">
        <v>3569.02</v>
      </c>
      <c r="T649" s="9" t="s">
        <v>56</v>
      </c>
      <c r="U649" s="9" t="s">
        <v>57</v>
      </c>
    </row>
    <row r="650" customFormat="false" ht="15" hidden="false" customHeight="false" outlineLevel="0" collapsed="false">
      <c r="A650" s="9" t="s">
        <v>3114</v>
      </c>
      <c r="B650" s="9" t="s">
        <v>3115</v>
      </c>
      <c r="C650" s="9" t="s">
        <v>384</v>
      </c>
      <c r="D650" s="9" t="s">
        <v>3116</v>
      </c>
      <c r="E650" s="9" t="s">
        <v>115</v>
      </c>
      <c r="F650" s="9" t="s">
        <v>63</v>
      </c>
      <c r="G650" s="9" t="s">
        <v>84</v>
      </c>
      <c r="H650" s="9" t="s">
        <v>122</v>
      </c>
      <c r="I650" s="9" t="s">
        <v>123</v>
      </c>
      <c r="J650" s="9" t="s">
        <v>52</v>
      </c>
      <c r="K650" s="9" t="s">
        <v>76</v>
      </c>
      <c r="L650" s="9" t="s">
        <v>3117</v>
      </c>
      <c r="M650" s="9" t="s">
        <v>70</v>
      </c>
      <c r="N650" s="9" t="n">
        <v>9</v>
      </c>
      <c r="O650" s="9" t="n">
        <v>703.59</v>
      </c>
      <c r="P650" s="9" t="n">
        <v>0.2</v>
      </c>
      <c r="Q650" s="9" t="n">
        <v>5065.85</v>
      </c>
      <c r="R650" s="9" t="n">
        <v>3517.23</v>
      </c>
      <c r="S650" s="9" t="n">
        <v>1548.62</v>
      </c>
      <c r="T650" s="9" t="s">
        <v>224</v>
      </c>
      <c r="U650" s="9" t="s">
        <v>147</v>
      </c>
    </row>
    <row r="651" customFormat="false" ht="15" hidden="false" customHeight="false" outlineLevel="0" collapsed="false">
      <c r="A651" s="9" t="s">
        <v>3118</v>
      </c>
      <c r="B651" s="9" t="s">
        <v>3119</v>
      </c>
      <c r="C651" s="9" t="s">
        <v>3120</v>
      </c>
      <c r="D651" s="9" t="s">
        <v>3121</v>
      </c>
      <c r="E651" s="9" t="s">
        <v>393</v>
      </c>
      <c r="F651" s="9" t="s">
        <v>63</v>
      </c>
      <c r="G651" s="9" t="s">
        <v>84</v>
      </c>
      <c r="H651" s="9" t="s">
        <v>267</v>
      </c>
      <c r="I651" s="9" t="s">
        <v>268</v>
      </c>
      <c r="J651" s="9" t="s">
        <v>108</v>
      </c>
      <c r="K651" s="9" t="s">
        <v>109</v>
      </c>
      <c r="L651" s="9" t="s">
        <v>3122</v>
      </c>
      <c r="M651" s="9" t="s">
        <v>89</v>
      </c>
      <c r="N651" s="9" t="n">
        <v>4</v>
      </c>
      <c r="O651" s="9" t="n">
        <v>2258.96</v>
      </c>
      <c r="P651" s="9" t="n">
        <v>0.25</v>
      </c>
      <c r="Q651" s="9" t="n">
        <v>6776.88</v>
      </c>
      <c r="R651" s="9" t="n">
        <v>3836.24</v>
      </c>
      <c r="S651" s="9" t="n">
        <v>2940.64</v>
      </c>
      <c r="T651" s="9" t="s">
        <v>56</v>
      </c>
      <c r="U651" s="9" t="s">
        <v>57</v>
      </c>
    </row>
    <row r="652" customFormat="false" ht="15" hidden="false" customHeight="false" outlineLevel="0" collapsed="false">
      <c r="A652" s="9" t="s">
        <v>3123</v>
      </c>
      <c r="B652" s="9" t="s">
        <v>3124</v>
      </c>
      <c r="C652" s="9" t="s">
        <v>3125</v>
      </c>
      <c r="D652" s="9" t="s">
        <v>577</v>
      </c>
      <c r="E652" s="9" t="s">
        <v>186</v>
      </c>
      <c r="F652" s="9" t="s">
        <v>137</v>
      </c>
      <c r="G652" s="9" t="s">
        <v>64</v>
      </c>
      <c r="H652" s="9" t="s">
        <v>210</v>
      </c>
      <c r="I652" s="9" t="s">
        <v>211</v>
      </c>
      <c r="J652" s="9" t="s">
        <v>108</v>
      </c>
      <c r="K652" s="9" t="s">
        <v>109</v>
      </c>
      <c r="L652" s="9" t="s">
        <v>3126</v>
      </c>
      <c r="M652" s="9" t="s">
        <v>70</v>
      </c>
      <c r="N652" s="9" t="n">
        <v>7</v>
      </c>
      <c r="O652" s="9" t="n">
        <v>2648.76</v>
      </c>
      <c r="P652" s="9" t="n">
        <v>0.15</v>
      </c>
      <c r="Q652" s="9" t="n">
        <v>15760.12</v>
      </c>
      <c r="R652" s="9" t="n">
        <v>9931.53</v>
      </c>
      <c r="S652" s="9" t="n">
        <v>5828.59</v>
      </c>
      <c r="T652" s="9" t="s">
        <v>224</v>
      </c>
      <c r="U652" s="9" t="s">
        <v>147</v>
      </c>
    </row>
    <row r="653" customFormat="false" ht="15" hidden="false" customHeight="false" outlineLevel="0" collapsed="false">
      <c r="A653" s="9" t="s">
        <v>3127</v>
      </c>
      <c r="B653" s="9" t="s">
        <v>1409</v>
      </c>
      <c r="C653" s="9" t="s">
        <v>3128</v>
      </c>
      <c r="D653" s="9" t="s">
        <v>3129</v>
      </c>
      <c r="E653" s="9" t="s">
        <v>62</v>
      </c>
      <c r="F653" s="9" t="s">
        <v>63</v>
      </c>
      <c r="G653" s="9" t="s">
        <v>84</v>
      </c>
      <c r="H653" s="9" t="s">
        <v>122</v>
      </c>
      <c r="I653" s="9" t="s">
        <v>123</v>
      </c>
      <c r="J653" s="9" t="s">
        <v>52</v>
      </c>
      <c r="K653" s="9" t="s">
        <v>53</v>
      </c>
      <c r="L653" s="9" t="s">
        <v>3130</v>
      </c>
      <c r="M653" s="9" t="s">
        <v>55</v>
      </c>
      <c r="N653" s="9" t="n">
        <v>3</v>
      </c>
      <c r="O653" s="9" t="n">
        <v>598.55</v>
      </c>
      <c r="P653" s="9" t="n">
        <v>0</v>
      </c>
      <c r="Q653" s="9" t="n">
        <v>1795.65</v>
      </c>
      <c r="R653" s="9" t="n">
        <v>996.72</v>
      </c>
      <c r="S653" s="9" t="n">
        <v>798.93</v>
      </c>
      <c r="T653" s="9" t="s">
        <v>56</v>
      </c>
      <c r="U653" s="9" t="s">
        <v>57</v>
      </c>
    </row>
    <row r="654" customFormat="false" ht="15" hidden="false" customHeight="false" outlineLevel="0" collapsed="false">
      <c r="A654" s="9" t="s">
        <v>3131</v>
      </c>
      <c r="B654" s="9" t="s">
        <v>3132</v>
      </c>
      <c r="C654" s="9" t="s">
        <v>3133</v>
      </c>
      <c r="D654" s="9" t="s">
        <v>2613</v>
      </c>
      <c r="E654" s="9" t="s">
        <v>192</v>
      </c>
      <c r="F654" s="9" t="s">
        <v>48</v>
      </c>
      <c r="G654" s="9" t="s">
        <v>177</v>
      </c>
      <c r="H654" s="9" t="s">
        <v>198</v>
      </c>
      <c r="I654" s="9" t="s">
        <v>199</v>
      </c>
      <c r="J654" s="9" t="s">
        <v>52</v>
      </c>
      <c r="K654" s="9" t="s">
        <v>222</v>
      </c>
      <c r="L654" s="9" t="s">
        <v>3134</v>
      </c>
      <c r="M654" s="9" t="s">
        <v>89</v>
      </c>
      <c r="N654" s="9" t="n">
        <v>5</v>
      </c>
      <c r="O654" s="9" t="n">
        <v>4320.59</v>
      </c>
      <c r="P654" s="9" t="n">
        <v>0.15</v>
      </c>
      <c r="Q654" s="9" t="n">
        <v>18362.51</v>
      </c>
      <c r="R654" s="9" t="n">
        <v>11133.97</v>
      </c>
      <c r="S654" s="9" t="n">
        <v>7228.54</v>
      </c>
      <c r="T654" s="9" t="s">
        <v>56</v>
      </c>
      <c r="U654" s="9" t="s">
        <v>57</v>
      </c>
    </row>
    <row r="655" customFormat="false" ht="15" hidden="false" customHeight="false" outlineLevel="0" collapsed="false">
      <c r="A655" s="9" t="s">
        <v>3135</v>
      </c>
      <c r="B655" s="9" t="s">
        <v>3136</v>
      </c>
      <c r="C655" s="9" t="s">
        <v>3137</v>
      </c>
      <c r="D655" s="9" t="s">
        <v>3138</v>
      </c>
      <c r="E655" s="9" t="s">
        <v>165</v>
      </c>
      <c r="F655" s="9" t="s">
        <v>63</v>
      </c>
      <c r="G655" s="9" t="s">
        <v>84</v>
      </c>
      <c r="H655" s="9" t="s">
        <v>364</v>
      </c>
      <c r="I655" s="9" t="s">
        <v>365</v>
      </c>
      <c r="J655" s="9" t="s">
        <v>108</v>
      </c>
      <c r="K655" s="9" t="s">
        <v>116</v>
      </c>
      <c r="L655" s="9" t="s">
        <v>3139</v>
      </c>
      <c r="M655" s="9" t="s">
        <v>55</v>
      </c>
      <c r="N655" s="9" t="n">
        <v>7</v>
      </c>
      <c r="O655" s="9" t="n">
        <v>4457.93</v>
      </c>
      <c r="P655" s="9" t="n">
        <v>0.15</v>
      </c>
      <c r="Q655" s="9" t="n">
        <v>26524.68</v>
      </c>
      <c r="R655" s="9" t="n">
        <v>20574.3</v>
      </c>
      <c r="S655" s="9" t="n">
        <v>5950.38</v>
      </c>
      <c r="T655" s="9" t="s">
        <v>56</v>
      </c>
      <c r="U655" s="9" t="s">
        <v>57</v>
      </c>
    </row>
    <row r="656" customFormat="false" ht="15" hidden="false" customHeight="false" outlineLevel="0" collapsed="false">
      <c r="A656" s="9" t="s">
        <v>3140</v>
      </c>
      <c r="B656" s="9" t="s">
        <v>3141</v>
      </c>
      <c r="C656" s="9" t="s">
        <v>163</v>
      </c>
      <c r="D656" s="9" t="s">
        <v>1455</v>
      </c>
      <c r="E656" s="9" t="s">
        <v>234</v>
      </c>
      <c r="F656" s="9" t="s">
        <v>130</v>
      </c>
      <c r="G656" s="9" t="s">
        <v>64</v>
      </c>
      <c r="H656" s="9" t="s">
        <v>210</v>
      </c>
      <c r="I656" s="9" t="s">
        <v>211</v>
      </c>
      <c r="J656" s="9" t="s">
        <v>108</v>
      </c>
      <c r="K656" s="9" t="s">
        <v>409</v>
      </c>
      <c r="L656" s="9" t="s">
        <v>3142</v>
      </c>
      <c r="M656" s="9" t="s">
        <v>70</v>
      </c>
      <c r="N656" s="9" t="n">
        <v>1</v>
      </c>
      <c r="O656" s="9" t="n">
        <v>2570.06</v>
      </c>
      <c r="P656" s="9" t="n">
        <v>0.2</v>
      </c>
      <c r="Q656" s="9" t="n">
        <v>2056.05</v>
      </c>
      <c r="R656" s="9" t="n">
        <v>1662.39</v>
      </c>
      <c r="S656" s="9" t="n">
        <v>393.66</v>
      </c>
      <c r="T656" s="9" t="s">
        <v>56</v>
      </c>
      <c r="U656" s="9" t="s">
        <v>57</v>
      </c>
    </row>
    <row r="657" customFormat="false" ht="15" hidden="false" customHeight="false" outlineLevel="0" collapsed="false">
      <c r="A657" s="9" t="s">
        <v>3143</v>
      </c>
      <c r="B657" s="9" t="s">
        <v>732</v>
      </c>
      <c r="C657" s="9" t="s">
        <v>732</v>
      </c>
      <c r="D657" s="9" t="s">
        <v>3144</v>
      </c>
      <c r="E657" s="9" t="s">
        <v>115</v>
      </c>
      <c r="F657" s="9" t="s">
        <v>137</v>
      </c>
      <c r="G657" s="9" t="s">
        <v>64</v>
      </c>
      <c r="H657" s="9" t="s">
        <v>143</v>
      </c>
      <c r="I657" s="9" t="s">
        <v>144</v>
      </c>
      <c r="J657" s="9" t="s">
        <v>67</v>
      </c>
      <c r="K657" s="9" t="s">
        <v>87</v>
      </c>
      <c r="L657" s="9" t="s">
        <v>3145</v>
      </c>
      <c r="M657" s="9" t="s">
        <v>89</v>
      </c>
      <c r="N657" s="9" t="n">
        <v>4</v>
      </c>
      <c r="O657" s="9" t="n">
        <v>2151.82</v>
      </c>
      <c r="P657" s="9" t="n">
        <v>0</v>
      </c>
      <c r="Q657" s="9" t="n">
        <v>8607.28</v>
      </c>
      <c r="R657" s="9" t="n">
        <v>5124.01</v>
      </c>
      <c r="S657" s="9" t="n">
        <v>3483.27</v>
      </c>
      <c r="T657" s="9" t="s">
        <v>56</v>
      </c>
      <c r="U657" s="9" t="s">
        <v>57</v>
      </c>
    </row>
    <row r="658" customFormat="false" ht="15" hidden="false" customHeight="false" outlineLevel="0" collapsed="false">
      <c r="A658" s="9" t="s">
        <v>3146</v>
      </c>
      <c r="B658" s="9" t="s">
        <v>3147</v>
      </c>
      <c r="C658" s="9" t="s">
        <v>2372</v>
      </c>
      <c r="D658" s="9" t="s">
        <v>3148</v>
      </c>
      <c r="E658" s="9" t="s">
        <v>115</v>
      </c>
      <c r="F658" s="9" t="s">
        <v>63</v>
      </c>
      <c r="G658" s="9" t="s">
        <v>177</v>
      </c>
      <c r="H658" s="9" t="s">
        <v>348</v>
      </c>
      <c r="I658" s="9" t="s">
        <v>349</v>
      </c>
      <c r="J658" s="9" t="s">
        <v>108</v>
      </c>
      <c r="K658" s="9" t="s">
        <v>409</v>
      </c>
      <c r="L658" s="9" t="s">
        <v>3149</v>
      </c>
      <c r="M658" s="9" t="s">
        <v>70</v>
      </c>
      <c r="N658" s="9" t="n">
        <v>4</v>
      </c>
      <c r="O658" s="9" t="n">
        <v>2751.1</v>
      </c>
      <c r="P658" s="9" t="n">
        <v>-0.05</v>
      </c>
      <c r="Q658" s="9" t="n">
        <v>9903.96</v>
      </c>
      <c r="R658" s="9" t="n">
        <v>7696.28</v>
      </c>
      <c r="S658" s="9" t="n">
        <v>2207.68</v>
      </c>
      <c r="T658" s="9" t="s">
        <v>56</v>
      </c>
      <c r="U658" s="9" t="s">
        <v>57</v>
      </c>
    </row>
    <row r="659" customFormat="false" ht="15" hidden="false" customHeight="false" outlineLevel="0" collapsed="false">
      <c r="A659" s="9" t="s">
        <v>3150</v>
      </c>
      <c r="B659" s="9" t="s">
        <v>3151</v>
      </c>
      <c r="C659" s="9" t="s">
        <v>3152</v>
      </c>
      <c r="D659" s="9" t="s">
        <v>3153</v>
      </c>
      <c r="E659" s="9" t="s">
        <v>129</v>
      </c>
      <c r="F659" s="9" t="s">
        <v>137</v>
      </c>
      <c r="G659" s="9" t="s">
        <v>64</v>
      </c>
      <c r="H659" s="9" t="s">
        <v>210</v>
      </c>
      <c r="I659" s="9" t="s">
        <v>211</v>
      </c>
      <c r="J659" s="9" t="s">
        <v>52</v>
      </c>
      <c r="K659" s="9" t="s">
        <v>180</v>
      </c>
      <c r="L659" s="9" t="s">
        <v>3154</v>
      </c>
      <c r="M659" s="9" t="s">
        <v>55</v>
      </c>
      <c r="N659" s="9" t="n">
        <v>1</v>
      </c>
      <c r="O659" s="9" t="n">
        <v>2541.25</v>
      </c>
      <c r="P659" s="9" t="n">
        <v>0.2</v>
      </c>
      <c r="Q659" s="9" t="n">
        <v>2033</v>
      </c>
      <c r="R659" s="9" t="n">
        <v>1291.41</v>
      </c>
      <c r="S659" s="9" t="n">
        <v>741.59</v>
      </c>
      <c r="T659" s="9" t="s">
        <v>56</v>
      </c>
      <c r="U659" s="9" t="s">
        <v>57</v>
      </c>
    </row>
    <row r="660" customFormat="false" ht="15" hidden="false" customHeight="false" outlineLevel="0" collapsed="false">
      <c r="A660" s="9" t="s">
        <v>3155</v>
      </c>
      <c r="B660" s="9" t="s">
        <v>3156</v>
      </c>
      <c r="C660" s="9" t="s">
        <v>2256</v>
      </c>
      <c r="D660" s="9" t="s">
        <v>3157</v>
      </c>
      <c r="E660" s="9" t="s">
        <v>192</v>
      </c>
      <c r="F660" s="9" t="s">
        <v>48</v>
      </c>
      <c r="G660" s="9"/>
      <c r="H660" s="9" t="s">
        <v>210</v>
      </c>
      <c r="I660" s="9" t="s">
        <v>211</v>
      </c>
      <c r="J660" s="9" t="s">
        <v>52</v>
      </c>
      <c r="K660" s="9" t="s">
        <v>76</v>
      </c>
      <c r="L660" s="9" t="s">
        <v>3158</v>
      </c>
      <c r="M660" s="9" t="s">
        <v>78</v>
      </c>
      <c r="N660" s="9" t="n">
        <v>7</v>
      </c>
      <c r="O660" s="9" t="n">
        <v>2852.42</v>
      </c>
      <c r="P660" s="9" t="n">
        <v>0</v>
      </c>
      <c r="Q660" s="9" t="n">
        <v>19966.94</v>
      </c>
      <c r="R660" s="9" t="n">
        <v>12690.83</v>
      </c>
      <c r="S660" s="9" t="n">
        <v>7276.11</v>
      </c>
      <c r="T660" s="9" t="s">
        <v>146</v>
      </c>
      <c r="U660" s="9" t="s">
        <v>100</v>
      </c>
    </row>
    <row r="661" customFormat="false" ht="15" hidden="false" customHeight="false" outlineLevel="0" collapsed="false">
      <c r="A661" s="9" t="s">
        <v>3159</v>
      </c>
      <c r="B661" s="9" t="s">
        <v>207</v>
      </c>
      <c r="C661" s="9" t="s">
        <v>1877</v>
      </c>
      <c r="D661" s="9" t="s">
        <v>3160</v>
      </c>
      <c r="E661" s="9" t="s">
        <v>234</v>
      </c>
      <c r="F661" s="9" t="s">
        <v>130</v>
      </c>
      <c r="G661" s="9" t="s">
        <v>84</v>
      </c>
      <c r="H661" s="9" t="s">
        <v>254</v>
      </c>
      <c r="I661" s="9" t="s">
        <v>255</v>
      </c>
      <c r="J661" s="9" t="s">
        <v>108</v>
      </c>
      <c r="K661" s="9" t="s">
        <v>247</v>
      </c>
      <c r="L661" s="9" t="s">
        <v>3161</v>
      </c>
      <c r="M661" s="9" t="s">
        <v>55</v>
      </c>
      <c r="N661" s="9" t="n">
        <v>2</v>
      </c>
      <c r="O661" s="9" t="n">
        <v>444.31</v>
      </c>
      <c r="P661" s="9" t="n">
        <v>0.2</v>
      </c>
      <c r="Q661" s="9" t="n">
        <v>710.9</v>
      </c>
      <c r="R661" s="9" t="n">
        <v>513.88</v>
      </c>
      <c r="S661" s="9" t="n">
        <v>197.02</v>
      </c>
      <c r="T661" s="9" t="s">
        <v>146</v>
      </c>
      <c r="U661" s="9" t="s">
        <v>100</v>
      </c>
    </row>
    <row r="662" customFormat="false" ht="15" hidden="false" customHeight="false" outlineLevel="0" collapsed="false">
      <c r="A662" s="9" t="s">
        <v>3162</v>
      </c>
      <c r="B662" s="9" t="s">
        <v>195</v>
      </c>
      <c r="C662" s="9" t="s">
        <v>3163</v>
      </c>
      <c r="D662" s="9" t="s">
        <v>3164</v>
      </c>
      <c r="E662" s="9" t="s">
        <v>83</v>
      </c>
      <c r="F662" s="9" t="s">
        <v>63</v>
      </c>
      <c r="G662" s="9" t="s">
        <v>64</v>
      </c>
      <c r="H662" s="9" t="s">
        <v>336</v>
      </c>
      <c r="I662" s="9" t="s">
        <v>337</v>
      </c>
      <c r="J662" s="9" t="s">
        <v>108</v>
      </c>
      <c r="K662" s="9" t="s">
        <v>247</v>
      </c>
      <c r="L662" s="9" t="s">
        <v>3165</v>
      </c>
      <c r="M662" s="9" t="s">
        <v>70</v>
      </c>
      <c r="N662" s="9" t="n">
        <v>4</v>
      </c>
      <c r="O662" s="9" t="n">
        <v>4442.91</v>
      </c>
      <c r="P662" s="9" t="n">
        <v>0.1</v>
      </c>
      <c r="Q662" s="9" t="n">
        <v>15994.48</v>
      </c>
      <c r="R662" s="9" t="n">
        <v>9224.28</v>
      </c>
      <c r="S662" s="9" t="n">
        <v>6770.2</v>
      </c>
      <c r="T662" s="9" t="s">
        <v>56</v>
      </c>
      <c r="U662" s="9" t="s">
        <v>57</v>
      </c>
    </row>
    <row r="663" customFormat="false" ht="15" hidden="false" customHeight="false" outlineLevel="0" collapsed="false">
      <c r="A663" s="9" t="s">
        <v>3166</v>
      </c>
      <c r="B663" s="9" t="s">
        <v>3167</v>
      </c>
      <c r="C663" s="9" t="s">
        <v>3168</v>
      </c>
      <c r="D663" s="9" t="s">
        <v>3169</v>
      </c>
      <c r="E663" s="9" t="s">
        <v>192</v>
      </c>
      <c r="F663" s="9" t="s">
        <v>48</v>
      </c>
      <c r="G663" s="9" t="s">
        <v>84</v>
      </c>
      <c r="H663" s="9" t="s">
        <v>122</v>
      </c>
      <c r="I663" s="9" t="s">
        <v>123</v>
      </c>
      <c r="J663" s="9" t="s">
        <v>108</v>
      </c>
      <c r="K663" s="9" t="s">
        <v>409</v>
      </c>
      <c r="L663" s="9" t="s">
        <v>3170</v>
      </c>
      <c r="M663" s="9" t="s">
        <v>55</v>
      </c>
      <c r="N663" s="9" t="n">
        <v>7</v>
      </c>
      <c r="O663" s="9" t="n">
        <v>232.5</v>
      </c>
      <c r="P663" s="9" t="n">
        <v>0</v>
      </c>
      <c r="Q663" s="9" t="n">
        <v>1627.5</v>
      </c>
      <c r="R663" s="9" t="n">
        <v>939.9</v>
      </c>
      <c r="S663" s="9" t="n">
        <v>687.6</v>
      </c>
      <c r="T663" s="9" t="s">
        <v>56</v>
      </c>
      <c r="U663" s="9" t="s">
        <v>57</v>
      </c>
    </row>
    <row r="664" customFormat="false" ht="15" hidden="false" customHeight="false" outlineLevel="0" collapsed="false">
      <c r="A664" s="9" t="s">
        <v>3171</v>
      </c>
      <c r="B664" s="9" t="s">
        <v>3172</v>
      </c>
      <c r="C664" s="9" t="s">
        <v>3173</v>
      </c>
      <c r="D664" s="9" t="s">
        <v>3174</v>
      </c>
      <c r="E664" s="9" t="s">
        <v>62</v>
      </c>
      <c r="F664" s="9" t="s">
        <v>137</v>
      </c>
      <c r="G664" s="9" t="s">
        <v>95</v>
      </c>
      <c r="H664" s="9" t="s">
        <v>50</v>
      </c>
      <c r="I664" s="9" t="s">
        <v>158</v>
      </c>
      <c r="J664" s="9" t="s">
        <v>108</v>
      </c>
      <c r="K664" s="9" t="s">
        <v>409</v>
      </c>
      <c r="L664" s="9" t="s">
        <v>3175</v>
      </c>
      <c r="M664" s="9" t="s">
        <v>70</v>
      </c>
      <c r="N664" s="9" t="n">
        <v>6</v>
      </c>
      <c r="O664" s="9" t="n">
        <v>1784.8</v>
      </c>
      <c r="P664" s="9" t="n">
        <v>0.1</v>
      </c>
      <c r="Q664" s="9" t="n">
        <v>9637.92</v>
      </c>
      <c r="R664" s="9" t="n">
        <v>7329.29</v>
      </c>
      <c r="S664" s="9" t="n">
        <v>2308.63</v>
      </c>
      <c r="T664" s="9" t="s">
        <v>56</v>
      </c>
      <c r="U664" s="9" t="s">
        <v>57</v>
      </c>
    </row>
    <row r="665" customFormat="false" ht="15" hidden="false" customHeight="false" outlineLevel="0" collapsed="false">
      <c r="A665" s="9" t="s">
        <v>3176</v>
      </c>
      <c r="B665" s="9" t="s">
        <v>1263</v>
      </c>
      <c r="C665" s="9" t="s">
        <v>2728</v>
      </c>
      <c r="D665" s="9" t="s">
        <v>3177</v>
      </c>
      <c r="E665" s="9" t="s">
        <v>171</v>
      </c>
      <c r="F665" s="9" t="s">
        <v>137</v>
      </c>
      <c r="G665" s="9" t="s">
        <v>64</v>
      </c>
      <c r="H665" s="9" t="s">
        <v>336</v>
      </c>
      <c r="I665" s="9" t="s">
        <v>337</v>
      </c>
      <c r="J665" s="9" t="s">
        <v>108</v>
      </c>
      <c r="K665" s="9" t="s">
        <v>116</v>
      </c>
      <c r="L665" s="9" t="s">
        <v>3178</v>
      </c>
      <c r="M665" s="9" t="s">
        <v>55</v>
      </c>
      <c r="N665" s="9" t="n">
        <v>2</v>
      </c>
      <c r="O665" s="9" t="n">
        <v>3185.01</v>
      </c>
      <c r="P665" s="9" t="n">
        <v>-0.24</v>
      </c>
      <c r="Q665" s="9" t="n">
        <v>4777.52</v>
      </c>
      <c r="R665" s="9" t="n">
        <v>3152.98</v>
      </c>
      <c r="S665" s="9" t="n">
        <v>1624.54</v>
      </c>
      <c r="T665" s="9" t="s">
        <v>56</v>
      </c>
      <c r="U665" s="9" t="s">
        <v>57</v>
      </c>
    </row>
    <row r="666" customFormat="false" ht="15" hidden="false" customHeight="false" outlineLevel="0" collapsed="false">
      <c r="A666" s="9" t="s">
        <v>3179</v>
      </c>
      <c r="B666" s="9" t="s">
        <v>3180</v>
      </c>
      <c r="C666" s="9" t="s">
        <v>3181</v>
      </c>
      <c r="D666" s="9" t="s">
        <v>3182</v>
      </c>
      <c r="E666" s="9" t="s">
        <v>62</v>
      </c>
      <c r="F666" s="9" t="s">
        <v>137</v>
      </c>
      <c r="G666" s="9" t="s">
        <v>84</v>
      </c>
      <c r="H666" s="9" t="s">
        <v>85</v>
      </c>
      <c r="I666" s="9" t="s">
        <v>86</v>
      </c>
      <c r="J666" s="9" t="s">
        <v>108</v>
      </c>
      <c r="K666" s="9" t="s">
        <v>109</v>
      </c>
      <c r="L666" s="9" t="s">
        <v>3183</v>
      </c>
      <c r="M666" s="9" t="s">
        <v>89</v>
      </c>
      <c r="N666" s="9" t="n">
        <v>1</v>
      </c>
      <c r="O666" s="9" t="n">
        <v>1908.83</v>
      </c>
      <c r="P666" s="9" t="n">
        <v>0.2</v>
      </c>
      <c r="Q666" s="9" t="n">
        <v>1527.06</v>
      </c>
      <c r="R666" s="9" t="n">
        <v>1055.89</v>
      </c>
      <c r="S666" s="9" t="n">
        <v>471.17</v>
      </c>
      <c r="T666" s="9" t="s">
        <v>56</v>
      </c>
      <c r="U666" s="9" t="s">
        <v>57</v>
      </c>
    </row>
    <row r="667" customFormat="false" ht="15" hidden="false" customHeight="false" outlineLevel="0" collapsed="false">
      <c r="A667" s="9" t="s">
        <v>3184</v>
      </c>
      <c r="B667" s="9" t="s">
        <v>3185</v>
      </c>
      <c r="C667" s="9" t="s">
        <v>3186</v>
      </c>
      <c r="D667" s="9" t="s">
        <v>3187</v>
      </c>
      <c r="E667" s="9" t="s">
        <v>3188</v>
      </c>
      <c r="F667" s="9" t="s">
        <v>137</v>
      </c>
      <c r="G667" s="9" t="s">
        <v>95</v>
      </c>
      <c r="H667" s="9" t="s">
        <v>260</v>
      </c>
      <c r="I667" s="9" t="s">
        <v>261</v>
      </c>
      <c r="J667" s="9" t="s">
        <v>52</v>
      </c>
      <c r="K667" s="9" t="s">
        <v>76</v>
      </c>
      <c r="L667" s="9" t="s">
        <v>3189</v>
      </c>
      <c r="M667" s="9" t="s">
        <v>89</v>
      </c>
      <c r="N667" s="9" t="n">
        <v>3</v>
      </c>
      <c r="O667" s="9" t="n">
        <v>2110.52</v>
      </c>
      <c r="P667" s="9" t="n">
        <v>0.1</v>
      </c>
      <c r="Q667" s="9" t="n">
        <v>5698.4</v>
      </c>
      <c r="R667" s="9" t="n">
        <v>3640.89</v>
      </c>
      <c r="S667" s="9" t="n">
        <v>2057.51</v>
      </c>
      <c r="T667" s="9" t="s">
        <v>224</v>
      </c>
      <c r="U667" s="9" t="s">
        <v>100</v>
      </c>
    </row>
    <row r="668" customFormat="false" ht="15" hidden="false" customHeight="false" outlineLevel="0" collapsed="false">
      <c r="A668" s="9" t="s">
        <v>3190</v>
      </c>
      <c r="B668" s="9" t="s">
        <v>2194</v>
      </c>
      <c r="C668" s="9" t="s">
        <v>2135</v>
      </c>
      <c r="D668" s="9" t="s">
        <v>3191</v>
      </c>
      <c r="E668" s="9" t="s">
        <v>204</v>
      </c>
      <c r="F668" s="9" t="s">
        <v>63</v>
      </c>
      <c r="G668" s="9" t="s">
        <v>177</v>
      </c>
      <c r="H668" s="9" t="s">
        <v>178</v>
      </c>
      <c r="I668" s="9" t="s">
        <v>179</v>
      </c>
      <c r="J668" s="9" t="s">
        <v>108</v>
      </c>
      <c r="K668" s="9" t="s">
        <v>116</v>
      </c>
      <c r="L668" s="9" t="s">
        <v>3192</v>
      </c>
      <c r="M668" s="9" t="s">
        <v>70</v>
      </c>
      <c r="N668" s="9" t="n">
        <v>1</v>
      </c>
      <c r="O668" s="9" t="n">
        <v>279.83</v>
      </c>
      <c r="P668" s="9" t="n">
        <v>0.05</v>
      </c>
      <c r="Q668" s="9" t="n">
        <v>265.84</v>
      </c>
      <c r="R668" s="9" t="n">
        <v>223.49</v>
      </c>
      <c r="S668" s="9" t="n">
        <v>42.35</v>
      </c>
      <c r="T668" s="9" t="s">
        <v>56</v>
      </c>
      <c r="U668" s="9" t="s">
        <v>57</v>
      </c>
    </row>
    <row r="669" customFormat="false" ht="15" hidden="false" customHeight="false" outlineLevel="0" collapsed="false">
      <c r="A669" s="9" t="s">
        <v>3193</v>
      </c>
      <c r="B669" s="9" t="s">
        <v>3194</v>
      </c>
      <c r="C669" s="9" t="s">
        <v>3195</v>
      </c>
      <c r="D669" s="9" t="s">
        <v>3196</v>
      </c>
      <c r="E669" s="9" t="s">
        <v>234</v>
      </c>
      <c r="F669" s="9" t="s">
        <v>63</v>
      </c>
      <c r="G669" s="9" t="s">
        <v>64</v>
      </c>
      <c r="H669" s="9" t="s">
        <v>210</v>
      </c>
      <c r="I669" s="9" t="s">
        <v>211</v>
      </c>
      <c r="J669" s="9" t="s">
        <v>108</v>
      </c>
      <c r="K669" s="9" t="s">
        <v>409</v>
      </c>
      <c r="L669" s="9" t="s">
        <v>3197</v>
      </c>
      <c r="M669" s="9" t="s">
        <v>89</v>
      </c>
      <c r="N669" s="9" t="n">
        <v>1</v>
      </c>
      <c r="O669" s="9" t="n">
        <v>3959.14</v>
      </c>
      <c r="P669" s="9" t="n">
        <v>0</v>
      </c>
      <c r="Q669" s="9" t="n">
        <v>3959.14</v>
      </c>
      <c r="R669" s="9" t="n">
        <v>3239.53</v>
      </c>
      <c r="S669" s="9" t="n">
        <v>719.61</v>
      </c>
      <c r="T669" s="9" t="s">
        <v>160</v>
      </c>
      <c r="U669" s="9" t="s">
        <v>147</v>
      </c>
    </row>
    <row r="670" customFormat="false" ht="15" hidden="false" customHeight="false" outlineLevel="0" collapsed="false">
      <c r="A670" s="9" t="s">
        <v>3198</v>
      </c>
      <c r="B670" s="9" t="s">
        <v>3199</v>
      </c>
      <c r="C670" s="9" t="s">
        <v>245</v>
      </c>
      <c r="D670" s="9" t="s">
        <v>3200</v>
      </c>
      <c r="E670" s="9" t="s">
        <v>62</v>
      </c>
      <c r="F670" s="9" t="s">
        <v>130</v>
      </c>
      <c r="G670" s="9" t="s">
        <v>95</v>
      </c>
      <c r="H670" s="9" t="s">
        <v>260</v>
      </c>
      <c r="I670" s="9" t="s">
        <v>261</v>
      </c>
      <c r="J670" s="9" t="s">
        <v>52</v>
      </c>
      <c r="K670" s="9" t="s">
        <v>53</v>
      </c>
      <c r="L670" s="9" t="s">
        <v>3201</v>
      </c>
      <c r="M670" s="9" t="s">
        <v>55</v>
      </c>
      <c r="N670" s="9" t="n">
        <v>5</v>
      </c>
      <c r="O670" s="9" t="n">
        <v>600.46</v>
      </c>
      <c r="P670" s="9" t="n">
        <v>0.2</v>
      </c>
      <c r="Q670" s="9" t="n">
        <v>2401.84</v>
      </c>
      <c r="R670" s="9" t="n">
        <v>1873.11</v>
      </c>
      <c r="S670" s="9" t="n">
        <v>528.73</v>
      </c>
      <c r="T670" s="9" t="s">
        <v>56</v>
      </c>
      <c r="U670" s="9" t="s">
        <v>57</v>
      </c>
    </row>
    <row r="671" customFormat="false" ht="15" hidden="false" customHeight="false" outlineLevel="0" collapsed="false">
      <c r="A671" s="9" t="s">
        <v>3202</v>
      </c>
      <c r="B671" s="9" t="s">
        <v>3203</v>
      </c>
      <c r="C671" s="9" t="s">
        <v>3204</v>
      </c>
      <c r="D671" s="9" t="s">
        <v>3205</v>
      </c>
      <c r="E671" s="9" t="s">
        <v>94</v>
      </c>
      <c r="F671" s="9" t="s">
        <v>137</v>
      </c>
      <c r="G671" s="9" t="s">
        <v>95</v>
      </c>
      <c r="H671" s="9" t="s">
        <v>96</v>
      </c>
      <c r="I671" s="9" t="s">
        <v>97</v>
      </c>
      <c r="J671" s="9" t="s">
        <v>67</v>
      </c>
      <c r="K671" s="9" t="s">
        <v>68</v>
      </c>
      <c r="L671" s="9" t="s">
        <v>3206</v>
      </c>
      <c r="M671" s="9" t="s">
        <v>55</v>
      </c>
      <c r="N671" s="9" t="n">
        <v>4</v>
      </c>
      <c r="O671" s="9" t="n">
        <v>1700.72</v>
      </c>
      <c r="P671" s="9" t="n">
        <v>0.25</v>
      </c>
      <c r="Q671" s="9" t="n">
        <v>5102.16</v>
      </c>
      <c r="R671" s="9" t="n">
        <v>3226.45</v>
      </c>
      <c r="S671" s="9" t="n">
        <v>1875.71</v>
      </c>
      <c r="T671" s="9" t="s">
        <v>56</v>
      </c>
      <c r="U671" s="9" t="s">
        <v>57</v>
      </c>
    </row>
    <row r="672" customFormat="false" ht="15" hidden="false" customHeight="false" outlineLevel="0" collapsed="false">
      <c r="A672" s="9" t="s">
        <v>3207</v>
      </c>
      <c r="B672" s="9" t="s">
        <v>3208</v>
      </c>
      <c r="C672" s="9" t="s">
        <v>3004</v>
      </c>
      <c r="D672" s="9" t="s">
        <v>2475</v>
      </c>
      <c r="E672" s="9" t="s">
        <v>192</v>
      </c>
      <c r="F672" s="9" t="s">
        <v>157</v>
      </c>
      <c r="G672" s="9" t="s">
        <v>177</v>
      </c>
      <c r="H672" s="9" t="s">
        <v>198</v>
      </c>
      <c r="I672" s="9" t="s">
        <v>199</v>
      </c>
      <c r="J672" s="9" t="s">
        <v>67</v>
      </c>
      <c r="K672" s="9" t="s">
        <v>68</v>
      </c>
      <c r="L672" s="9" t="s">
        <v>3209</v>
      </c>
      <c r="M672" s="9" t="s">
        <v>89</v>
      </c>
      <c r="N672" s="9" t="n">
        <v>8</v>
      </c>
      <c r="O672" s="9" t="n">
        <v>857.86</v>
      </c>
      <c r="P672" s="9" t="n">
        <v>0.1</v>
      </c>
      <c r="Q672" s="9" t="n">
        <v>6176.59</v>
      </c>
      <c r="R672" s="9" t="n">
        <v>3560.96</v>
      </c>
      <c r="S672" s="9" t="n">
        <v>2615.63</v>
      </c>
      <c r="T672" s="9" t="s">
        <v>56</v>
      </c>
      <c r="U672" s="9" t="s">
        <v>57</v>
      </c>
    </row>
    <row r="673" customFormat="false" ht="15" hidden="false" customHeight="false" outlineLevel="0" collapsed="false">
      <c r="A673" s="9" t="s">
        <v>3210</v>
      </c>
      <c r="B673" s="9" t="s">
        <v>3211</v>
      </c>
      <c r="C673" s="9" t="s">
        <v>3212</v>
      </c>
      <c r="D673" s="9" t="s">
        <v>3213</v>
      </c>
      <c r="E673" s="9" t="s">
        <v>129</v>
      </c>
      <c r="F673" s="9" t="s">
        <v>137</v>
      </c>
      <c r="G673" s="9" t="s">
        <v>95</v>
      </c>
      <c r="H673" s="9" t="s">
        <v>274</v>
      </c>
      <c r="I673" s="9" t="s">
        <v>275</v>
      </c>
      <c r="J673" s="9" t="s">
        <v>108</v>
      </c>
      <c r="K673" s="9" t="s">
        <v>3214</v>
      </c>
      <c r="L673" s="9" t="s">
        <v>3215</v>
      </c>
      <c r="M673" s="9" t="s">
        <v>55</v>
      </c>
      <c r="N673" s="9" t="n">
        <v>9</v>
      </c>
      <c r="O673" s="9" t="n">
        <v>3649.51</v>
      </c>
      <c r="P673" s="9" t="n">
        <v>0.05</v>
      </c>
      <c r="Q673" s="9" t="n">
        <v>31203.31</v>
      </c>
      <c r="R673" s="9" t="n">
        <v>17738.13</v>
      </c>
      <c r="S673" s="9" t="n">
        <v>13465.18</v>
      </c>
      <c r="T673" s="9" t="s">
        <v>56</v>
      </c>
      <c r="U673" s="9" t="s">
        <v>57</v>
      </c>
    </row>
    <row r="674" customFormat="false" ht="15" hidden="false" customHeight="false" outlineLevel="0" collapsed="false">
      <c r="A674" s="9" t="s">
        <v>3216</v>
      </c>
      <c r="B674" s="9" t="s">
        <v>3217</v>
      </c>
      <c r="C674" s="9" t="s">
        <v>3218</v>
      </c>
      <c r="D674" s="9" t="s">
        <v>3219</v>
      </c>
      <c r="E674" s="9" t="s">
        <v>129</v>
      </c>
      <c r="F674" s="9" t="s">
        <v>130</v>
      </c>
      <c r="G674" s="9" t="s">
        <v>95</v>
      </c>
      <c r="H674" s="9" t="s">
        <v>106</v>
      </c>
      <c r="I674" s="9" t="s">
        <v>107</v>
      </c>
      <c r="J674" s="9" t="s">
        <v>67</v>
      </c>
      <c r="K674" s="9" t="s">
        <v>98</v>
      </c>
      <c r="L674" s="9" t="s">
        <v>3220</v>
      </c>
      <c r="M674" s="9" t="s">
        <v>89</v>
      </c>
      <c r="N674" s="9" t="n">
        <v>5</v>
      </c>
      <c r="O674" s="9" t="n">
        <v>2528.53</v>
      </c>
      <c r="P674" s="9" t="n">
        <v>0.05</v>
      </c>
      <c r="Q674" s="9" t="n">
        <v>12010.52</v>
      </c>
      <c r="R674" s="9" t="n">
        <v>7864.61</v>
      </c>
      <c r="S674" s="9" t="n">
        <v>4145.91</v>
      </c>
      <c r="T674" s="9" t="s">
        <v>56</v>
      </c>
      <c r="U674" s="9" t="s">
        <v>147</v>
      </c>
    </row>
    <row r="675" customFormat="false" ht="15" hidden="false" customHeight="false" outlineLevel="0" collapsed="false">
      <c r="A675" s="9" t="s">
        <v>3221</v>
      </c>
      <c r="B675" s="9" t="s">
        <v>2445</v>
      </c>
      <c r="C675" s="9" t="s">
        <v>3222</v>
      </c>
      <c r="D675" s="9" t="s">
        <v>3223</v>
      </c>
      <c r="E675" s="9" t="s">
        <v>83</v>
      </c>
      <c r="F675" s="9" t="s">
        <v>63</v>
      </c>
      <c r="G675" s="9" t="s">
        <v>95</v>
      </c>
      <c r="H675" s="9" t="s">
        <v>50</v>
      </c>
      <c r="I675" s="9" t="s">
        <v>158</v>
      </c>
      <c r="J675" s="9" t="s">
        <v>67</v>
      </c>
      <c r="K675" s="9" t="s">
        <v>228</v>
      </c>
      <c r="L675" s="9" t="s">
        <v>3224</v>
      </c>
      <c r="M675" s="9" t="s">
        <v>55</v>
      </c>
      <c r="N675" s="9" t="n">
        <v>4</v>
      </c>
      <c r="O675" s="9" t="n">
        <v>4072.9</v>
      </c>
      <c r="P675" s="9" t="n">
        <v>0.15</v>
      </c>
      <c r="Q675" s="9" t="n">
        <v>13847.86</v>
      </c>
      <c r="R675" s="9" t="n">
        <v>8471.78</v>
      </c>
      <c r="S675" s="9" t="n">
        <v>5376.08</v>
      </c>
      <c r="T675" s="9" t="s">
        <v>56</v>
      </c>
      <c r="U675" s="9" t="s">
        <v>57</v>
      </c>
    </row>
    <row r="676" customFormat="false" ht="15" hidden="false" customHeight="false" outlineLevel="0" collapsed="false">
      <c r="A676" s="9" t="s">
        <v>3225</v>
      </c>
      <c r="B676" s="9" t="s">
        <v>3226</v>
      </c>
      <c r="C676" s="9" t="s">
        <v>3227</v>
      </c>
      <c r="D676" s="9" t="s">
        <v>3228</v>
      </c>
      <c r="E676" s="9" t="s">
        <v>105</v>
      </c>
      <c r="F676" s="9" t="s">
        <v>130</v>
      </c>
      <c r="G676" s="9" t="s">
        <v>64</v>
      </c>
      <c r="H676" s="9" t="s">
        <v>336</v>
      </c>
      <c r="I676" s="9" t="s">
        <v>337</v>
      </c>
      <c r="J676" s="9" t="s">
        <v>108</v>
      </c>
      <c r="K676" s="9" t="s">
        <v>109</v>
      </c>
      <c r="L676" s="9" t="s">
        <v>3229</v>
      </c>
      <c r="M676" s="9" t="s">
        <v>55</v>
      </c>
      <c r="N676" s="9" t="n">
        <v>1</v>
      </c>
      <c r="O676" s="9" t="n">
        <v>1033.71</v>
      </c>
      <c r="P676" s="9" t="n">
        <v>0</v>
      </c>
      <c r="Q676" s="9" t="n">
        <v>1033.71</v>
      </c>
      <c r="R676" s="9" t="n">
        <v>630.82</v>
      </c>
      <c r="S676" s="9" t="n">
        <v>402.89</v>
      </c>
      <c r="T676" s="9" t="s">
        <v>160</v>
      </c>
      <c r="U676" s="9" t="s">
        <v>147</v>
      </c>
    </row>
    <row r="677" customFormat="false" ht="15" hidden="false" customHeight="false" outlineLevel="0" collapsed="false">
      <c r="A677" s="9" t="s">
        <v>3230</v>
      </c>
      <c r="B677" s="9" t="s">
        <v>3231</v>
      </c>
      <c r="C677" s="9" t="s">
        <v>3232</v>
      </c>
      <c r="D677" s="9" t="s">
        <v>3082</v>
      </c>
      <c r="E677" s="9" t="s">
        <v>186</v>
      </c>
      <c r="F677" s="9" t="s">
        <v>48</v>
      </c>
      <c r="G677" s="9" t="s">
        <v>177</v>
      </c>
      <c r="H677" s="9" t="s">
        <v>50</v>
      </c>
      <c r="I677" s="9" t="s">
        <v>51</v>
      </c>
      <c r="J677" s="9" t="s">
        <v>67</v>
      </c>
      <c r="K677" s="9" t="s">
        <v>87</v>
      </c>
      <c r="L677" s="9" t="s">
        <v>3233</v>
      </c>
      <c r="M677" s="9" t="s">
        <v>70</v>
      </c>
      <c r="N677" s="9" t="n">
        <v>3</v>
      </c>
      <c r="O677" s="9" t="n">
        <v>963.26</v>
      </c>
      <c r="P677" s="9" t="n">
        <v>0</v>
      </c>
      <c r="Q677" s="9" t="n">
        <v>2889.78</v>
      </c>
      <c r="R677" s="9" t="n">
        <v>1811.23</v>
      </c>
      <c r="S677" s="9" t="n">
        <v>1078.55</v>
      </c>
      <c r="T677" s="9" t="s">
        <v>56</v>
      </c>
      <c r="U677" s="9" t="s">
        <v>57</v>
      </c>
    </row>
    <row r="678" customFormat="false" ht="15" hidden="false" customHeight="false" outlineLevel="0" collapsed="false">
      <c r="A678" s="9" t="s">
        <v>3234</v>
      </c>
      <c r="B678" s="9" t="s">
        <v>3235</v>
      </c>
      <c r="C678" s="9" t="s">
        <v>3236</v>
      </c>
      <c r="D678" s="9" t="s">
        <v>3237</v>
      </c>
      <c r="E678" s="9" t="s">
        <v>171</v>
      </c>
      <c r="F678" s="9" t="s">
        <v>63</v>
      </c>
      <c r="G678" s="9" t="s">
        <v>177</v>
      </c>
      <c r="H678" s="9" t="s">
        <v>535</v>
      </c>
      <c r="I678" s="9" t="s">
        <v>536</v>
      </c>
      <c r="J678" s="9" t="s">
        <v>108</v>
      </c>
      <c r="K678" s="9" t="s">
        <v>247</v>
      </c>
      <c r="L678" s="9" t="s">
        <v>3238</v>
      </c>
      <c r="M678" s="9" t="s">
        <v>70</v>
      </c>
      <c r="N678" s="9" t="n">
        <v>7</v>
      </c>
      <c r="O678" s="9" t="n">
        <v>3411.21</v>
      </c>
      <c r="P678" s="9" t="n">
        <v>0.15</v>
      </c>
      <c r="Q678" s="9" t="n">
        <v>20296.7</v>
      </c>
      <c r="R678" s="9" t="n">
        <v>14920.87</v>
      </c>
      <c r="S678" s="9" t="n">
        <v>5375.83</v>
      </c>
      <c r="T678" s="9" t="s">
        <v>56</v>
      </c>
      <c r="U678" s="9" t="s">
        <v>57</v>
      </c>
    </row>
    <row r="679" customFormat="false" ht="15" hidden="false" customHeight="false" outlineLevel="0" collapsed="false">
      <c r="A679" s="9" t="s">
        <v>3239</v>
      </c>
      <c r="B679" s="9" t="s">
        <v>3240</v>
      </c>
      <c r="C679" s="9" t="s">
        <v>3241</v>
      </c>
      <c r="D679" s="9" t="s">
        <v>46</v>
      </c>
      <c r="E679" s="9" t="s">
        <v>75</v>
      </c>
      <c r="F679" s="9" t="s">
        <v>137</v>
      </c>
      <c r="G679" s="9" t="s">
        <v>84</v>
      </c>
      <c r="H679" s="9" t="s">
        <v>254</v>
      </c>
      <c r="I679" s="9" t="s">
        <v>255</v>
      </c>
      <c r="J679" s="9" t="s">
        <v>67</v>
      </c>
      <c r="K679" s="9" t="s">
        <v>98</v>
      </c>
      <c r="L679" s="9" t="s">
        <v>3242</v>
      </c>
      <c r="M679" s="9" t="s">
        <v>70</v>
      </c>
      <c r="N679" s="9" t="n">
        <v>7</v>
      </c>
      <c r="O679" s="9" t="n">
        <v>2623.48</v>
      </c>
      <c r="P679" s="9" t="n">
        <v>0</v>
      </c>
      <c r="Q679" s="9" t="n">
        <v>18364.36</v>
      </c>
      <c r="R679" s="9" t="n">
        <v>15445.81</v>
      </c>
      <c r="S679" s="9" t="n">
        <v>2918.55</v>
      </c>
      <c r="T679" s="9" t="s">
        <v>56</v>
      </c>
      <c r="U679" s="9" t="s">
        <v>57</v>
      </c>
    </row>
    <row r="680" customFormat="false" ht="15" hidden="false" customHeight="false" outlineLevel="0" collapsed="false">
      <c r="A680" s="9" t="s">
        <v>3243</v>
      </c>
      <c r="B680" s="9" t="s">
        <v>3244</v>
      </c>
      <c r="C680" s="9" t="s">
        <v>3245</v>
      </c>
      <c r="D680" s="9" t="s">
        <v>3246</v>
      </c>
      <c r="E680" s="9" t="s">
        <v>393</v>
      </c>
      <c r="F680" s="9" t="s">
        <v>130</v>
      </c>
      <c r="G680" s="9" t="s">
        <v>84</v>
      </c>
      <c r="H680" s="9" t="s">
        <v>254</v>
      </c>
      <c r="I680" s="9" t="s">
        <v>255</v>
      </c>
      <c r="J680" s="9" t="s">
        <v>67</v>
      </c>
      <c r="K680" s="9" t="s">
        <v>68</v>
      </c>
      <c r="L680" s="9" t="s">
        <v>3247</v>
      </c>
      <c r="M680" s="9" t="s">
        <v>55</v>
      </c>
      <c r="N680" s="9" t="n">
        <v>9</v>
      </c>
      <c r="O680" s="9" t="n">
        <v>2763.61</v>
      </c>
      <c r="P680" s="9" t="n">
        <v>0.15</v>
      </c>
      <c r="Q680" s="9" t="n">
        <v>21141.62</v>
      </c>
      <c r="R680" s="9" t="n">
        <v>11676.33</v>
      </c>
      <c r="S680" s="9" t="n">
        <v>9465.29</v>
      </c>
      <c r="T680" s="9" t="s">
        <v>56</v>
      </c>
      <c r="U680" s="9" t="s">
        <v>57</v>
      </c>
    </row>
    <row r="681" customFormat="false" ht="15" hidden="false" customHeight="false" outlineLevel="0" collapsed="false">
      <c r="A681" s="9" t="s">
        <v>3248</v>
      </c>
      <c r="B681" s="9" t="s">
        <v>3249</v>
      </c>
      <c r="C681" s="9" t="s">
        <v>671</v>
      </c>
      <c r="D681" s="9" t="s">
        <v>3250</v>
      </c>
      <c r="E681" s="9" t="s">
        <v>204</v>
      </c>
      <c r="F681" s="9" t="s">
        <v>130</v>
      </c>
      <c r="G681" s="9" t="s">
        <v>177</v>
      </c>
      <c r="H681" s="9" t="s">
        <v>178</v>
      </c>
      <c r="I681" s="9" t="s">
        <v>179</v>
      </c>
      <c r="J681" s="9" t="s">
        <v>108</v>
      </c>
      <c r="K681" s="9" t="s">
        <v>116</v>
      </c>
      <c r="L681" s="9" t="s">
        <v>3251</v>
      </c>
      <c r="M681" s="9" t="s">
        <v>70</v>
      </c>
      <c r="N681" s="9" t="n">
        <v>4</v>
      </c>
      <c r="O681" s="9" t="n">
        <v>1410.57</v>
      </c>
      <c r="P681" s="9" t="s">
        <v>713</v>
      </c>
      <c r="Q681" s="9" t="n">
        <v>5360.17</v>
      </c>
      <c r="R681" s="9" t="n">
        <v>3881.51</v>
      </c>
      <c r="S681" s="9" t="n">
        <v>1478.66</v>
      </c>
      <c r="T681" s="9" t="s">
        <v>146</v>
      </c>
      <c r="U681" s="9" t="s">
        <v>100</v>
      </c>
    </row>
    <row r="682" customFormat="false" ht="15" hidden="false" customHeight="false" outlineLevel="0" collapsed="false">
      <c r="A682" s="9" t="s">
        <v>3252</v>
      </c>
      <c r="B682" s="9" t="s">
        <v>299</v>
      </c>
      <c r="C682" s="9" t="s">
        <v>607</v>
      </c>
      <c r="D682" s="9" t="s">
        <v>3253</v>
      </c>
      <c r="E682" s="9" t="s">
        <v>393</v>
      </c>
      <c r="F682" s="9" t="s">
        <v>130</v>
      </c>
      <c r="G682" s="9" t="s">
        <v>84</v>
      </c>
      <c r="H682" s="9" t="s">
        <v>364</v>
      </c>
      <c r="I682" s="9" t="s">
        <v>365</v>
      </c>
      <c r="J682" s="9" t="s">
        <v>108</v>
      </c>
      <c r="K682" s="9" t="s">
        <v>109</v>
      </c>
      <c r="L682" s="9" t="s">
        <v>3254</v>
      </c>
      <c r="M682" s="9" t="s">
        <v>78</v>
      </c>
      <c r="N682" s="9" t="n">
        <v>4</v>
      </c>
      <c r="O682" s="9" t="n">
        <v>3700.24</v>
      </c>
      <c r="P682" s="9" t="n">
        <v>0</v>
      </c>
      <c r="Q682" s="9" t="n">
        <v>14800.96</v>
      </c>
      <c r="R682" s="9" t="n">
        <v>12048.39</v>
      </c>
      <c r="S682" s="9" t="n">
        <v>2752.57</v>
      </c>
      <c r="T682" s="9" t="s">
        <v>56</v>
      </c>
      <c r="U682" s="9" t="s">
        <v>57</v>
      </c>
    </row>
    <row r="683" customFormat="false" ht="15" hidden="false" customHeight="false" outlineLevel="0" collapsed="false">
      <c r="A683" s="9" t="s">
        <v>3255</v>
      </c>
      <c r="B683" s="9" t="s">
        <v>3256</v>
      </c>
      <c r="C683" s="9" t="s">
        <v>3257</v>
      </c>
      <c r="D683" s="9" t="s">
        <v>3258</v>
      </c>
      <c r="E683" s="9" t="s">
        <v>105</v>
      </c>
      <c r="F683" s="9" t="s">
        <v>130</v>
      </c>
      <c r="G683" s="9" t="s">
        <v>177</v>
      </c>
      <c r="H683" s="9" t="s">
        <v>535</v>
      </c>
      <c r="I683" s="9" t="s">
        <v>536</v>
      </c>
      <c r="J683" s="9" t="s">
        <v>67</v>
      </c>
      <c r="K683" s="9" t="s">
        <v>68</v>
      </c>
      <c r="L683" s="9" t="s">
        <v>3259</v>
      </c>
      <c r="M683" s="9" t="s">
        <v>55</v>
      </c>
      <c r="N683" s="9" t="n">
        <v>5</v>
      </c>
      <c r="O683" s="9" t="n">
        <v>1200.27</v>
      </c>
      <c r="P683" s="9" t="n">
        <v>0</v>
      </c>
      <c r="Q683" s="9" t="n">
        <v>6001.35</v>
      </c>
      <c r="R683" s="9" t="n">
        <v>4182.99</v>
      </c>
      <c r="S683" s="9" t="n">
        <v>1818.36</v>
      </c>
      <c r="T683" s="9" t="s">
        <v>56</v>
      </c>
      <c r="U683" s="9" t="s">
        <v>100</v>
      </c>
    </row>
    <row r="684" customFormat="false" ht="15" hidden="false" customHeight="false" outlineLevel="0" collapsed="false">
      <c r="A684" s="9" t="s">
        <v>3260</v>
      </c>
      <c r="B684" s="9" t="s">
        <v>369</v>
      </c>
      <c r="C684" s="9" t="s">
        <v>2931</v>
      </c>
      <c r="D684" s="9" t="s">
        <v>3261</v>
      </c>
      <c r="E684" s="9" t="s">
        <v>3262</v>
      </c>
      <c r="F684" s="9" t="s">
        <v>130</v>
      </c>
      <c r="G684" s="9" t="s">
        <v>177</v>
      </c>
      <c r="H684" s="9" t="s">
        <v>348</v>
      </c>
      <c r="I684" s="9" t="s">
        <v>349</v>
      </c>
      <c r="J684" s="9" t="s">
        <v>52</v>
      </c>
      <c r="K684" s="9" t="s">
        <v>180</v>
      </c>
      <c r="L684" s="9" t="s">
        <v>3263</v>
      </c>
      <c r="M684" s="9" t="s">
        <v>70</v>
      </c>
      <c r="N684" s="9" t="n">
        <v>3</v>
      </c>
      <c r="O684" s="9" t="n">
        <v>2590.78</v>
      </c>
      <c r="P684" s="9"/>
      <c r="Q684" s="9" t="n">
        <v>7383.72</v>
      </c>
      <c r="R684" s="9" t="n">
        <v>4113.66</v>
      </c>
      <c r="S684" s="9" t="n">
        <v>3270.06</v>
      </c>
      <c r="T684" s="9" t="s">
        <v>56</v>
      </c>
      <c r="U684" s="9" t="s">
        <v>57</v>
      </c>
    </row>
    <row r="685" customFormat="false" ht="15" hidden="false" customHeight="false" outlineLevel="0" collapsed="false">
      <c r="A685" s="9" t="s">
        <v>3264</v>
      </c>
      <c r="B685" s="9" t="s">
        <v>3265</v>
      </c>
      <c r="C685" s="9" t="s">
        <v>1769</v>
      </c>
      <c r="D685" s="9" t="s">
        <v>3266</v>
      </c>
      <c r="E685" s="9" t="s">
        <v>83</v>
      </c>
      <c r="F685" s="9" t="s">
        <v>63</v>
      </c>
      <c r="G685" s="9" t="s">
        <v>84</v>
      </c>
      <c r="H685" s="9" t="s">
        <v>85</v>
      </c>
      <c r="I685" s="9" t="s">
        <v>86</v>
      </c>
      <c r="J685" s="9" t="s">
        <v>67</v>
      </c>
      <c r="K685" s="9" t="s">
        <v>87</v>
      </c>
      <c r="L685" s="9" t="s">
        <v>3267</v>
      </c>
      <c r="M685" s="9" t="s">
        <v>55</v>
      </c>
      <c r="N685" s="9" t="n">
        <v>6</v>
      </c>
      <c r="O685" s="9" t="n">
        <v>1646.45</v>
      </c>
      <c r="P685" s="9" t="n">
        <v>0.2</v>
      </c>
      <c r="Q685" s="9" t="n">
        <v>7902.96</v>
      </c>
      <c r="R685" s="9" t="n">
        <v>5512.03</v>
      </c>
      <c r="S685" s="9" t="n">
        <v>2390.93</v>
      </c>
      <c r="T685" s="9" t="s">
        <v>146</v>
      </c>
      <c r="U685" s="9" t="s">
        <v>100</v>
      </c>
    </row>
    <row r="686" customFormat="false" ht="15" hidden="false" customHeight="false" outlineLevel="0" collapsed="false">
      <c r="A686" s="9" t="s">
        <v>3268</v>
      </c>
      <c r="B686" s="9" t="s">
        <v>3269</v>
      </c>
      <c r="C686" s="9" t="s">
        <v>522</v>
      </c>
      <c r="D686" s="9" t="s">
        <v>3270</v>
      </c>
      <c r="E686" s="9" t="s">
        <v>75</v>
      </c>
      <c r="F686" s="9" t="s">
        <v>137</v>
      </c>
      <c r="G686" s="9" t="s">
        <v>84</v>
      </c>
      <c r="H686" s="9" t="s">
        <v>364</v>
      </c>
      <c r="I686" s="9" t="s">
        <v>365</v>
      </c>
      <c r="J686" s="9" t="s">
        <v>67</v>
      </c>
      <c r="K686" s="9" t="s">
        <v>228</v>
      </c>
      <c r="L686" s="9" t="s">
        <v>3271</v>
      </c>
      <c r="M686" s="9" t="s">
        <v>78</v>
      </c>
      <c r="N686" s="9" t="n">
        <v>7</v>
      </c>
      <c r="O686" s="9" t="n">
        <v>4396.65</v>
      </c>
      <c r="P686" s="9" t="n">
        <v>0.2</v>
      </c>
      <c r="Q686" s="9" t="n">
        <v>24621.24</v>
      </c>
      <c r="R686" s="9" t="n">
        <v>17155.48</v>
      </c>
      <c r="S686" s="9" t="n">
        <v>7465.76</v>
      </c>
      <c r="T686" s="9" t="s">
        <v>146</v>
      </c>
      <c r="U686" s="9" t="s">
        <v>100</v>
      </c>
    </row>
    <row r="687" customFormat="false" ht="15" hidden="false" customHeight="false" outlineLevel="0" collapsed="false">
      <c r="A687" s="9" t="s">
        <v>3272</v>
      </c>
      <c r="B687" s="9" t="s">
        <v>3273</v>
      </c>
      <c r="C687" s="9" t="s">
        <v>527</v>
      </c>
      <c r="D687" s="9" t="s">
        <v>2780</v>
      </c>
      <c r="E687" s="9" t="s">
        <v>115</v>
      </c>
      <c r="F687" s="9" t="s">
        <v>130</v>
      </c>
      <c r="G687" s="9" t="s">
        <v>95</v>
      </c>
      <c r="H687" s="9" t="s">
        <v>274</v>
      </c>
      <c r="I687" s="9" t="s">
        <v>275</v>
      </c>
      <c r="J687" s="9" t="s">
        <v>52</v>
      </c>
      <c r="K687" s="9" t="s">
        <v>76</v>
      </c>
      <c r="L687" s="9" t="s">
        <v>3274</v>
      </c>
      <c r="M687" s="9" t="s">
        <v>89</v>
      </c>
      <c r="N687" s="9" t="n">
        <v>9</v>
      </c>
      <c r="O687" s="9" t="n">
        <v>818.15</v>
      </c>
      <c r="P687" s="9" t="n">
        <v>0.55</v>
      </c>
      <c r="Q687" s="9" t="n">
        <v>6627.01</v>
      </c>
      <c r="R687" s="9" t="n">
        <v>5606.79</v>
      </c>
      <c r="S687" s="9" t="n">
        <v>1020.22</v>
      </c>
      <c r="T687" s="9" t="s">
        <v>224</v>
      </c>
      <c r="U687" s="9" t="s">
        <v>100</v>
      </c>
    </row>
    <row r="688" customFormat="false" ht="15" hidden="false" customHeight="false" outlineLevel="0" collapsed="false">
      <c r="A688" s="9" t="s">
        <v>3275</v>
      </c>
      <c r="B688" s="9" t="s">
        <v>3276</v>
      </c>
      <c r="C688" s="9" t="s">
        <v>2213</v>
      </c>
      <c r="D688" s="9" t="s">
        <v>3277</v>
      </c>
      <c r="E688" s="9" t="s">
        <v>192</v>
      </c>
      <c r="F688" s="9" t="s">
        <v>137</v>
      </c>
      <c r="G688" s="9" t="s">
        <v>84</v>
      </c>
      <c r="H688" s="9" t="s">
        <v>364</v>
      </c>
      <c r="I688" s="9" t="s">
        <v>365</v>
      </c>
      <c r="J688" s="9" t="s">
        <v>108</v>
      </c>
      <c r="K688" s="9" t="s">
        <v>116</v>
      </c>
      <c r="L688" s="9" t="s">
        <v>3278</v>
      </c>
      <c r="M688" s="9" t="s">
        <v>89</v>
      </c>
      <c r="N688" s="9" t="n">
        <v>2</v>
      </c>
      <c r="O688" s="9" t="n">
        <v>2349.13</v>
      </c>
      <c r="P688" s="9" t="n">
        <v>0</v>
      </c>
      <c r="Q688" s="9" t="n">
        <v>4698.26</v>
      </c>
      <c r="R688" s="9" t="n">
        <v>2654.92</v>
      </c>
      <c r="S688" s="9" t="n">
        <v>2043.34</v>
      </c>
      <c r="T688" s="9" t="s">
        <v>56</v>
      </c>
      <c r="U688" s="9" t="s">
        <v>57</v>
      </c>
    </row>
    <row r="689" customFormat="false" ht="15" hidden="false" customHeight="false" outlineLevel="0" collapsed="false">
      <c r="A689" s="9" t="s">
        <v>3279</v>
      </c>
      <c r="B689" s="9" t="s">
        <v>1229</v>
      </c>
      <c r="C689" s="9" t="s">
        <v>3280</v>
      </c>
      <c r="D689" s="9" t="s">
        <v>3281</v>
      </c>
      <c r="E689" s="9" t="s">
        <v>62</v>
      </c>
      <c r="F689" s="9" t="s">
        <v>137</v>
      </c>
      <c r="G689" s="9" t="s">
        <v>177</v>
      </c>
      <c r="H689" s="9" t="s">
        <v>178</v>
      </c>
      <c r="I689" s="9" t="s">
        <v>179</v>
      </c>
      <c r="J689" s="9" t="s">
        <v>67</v>
      </c>
      <c r="K689" s="9" t="s">
        <v>68</v>
      </c>
      <c r="L689" s="9" t="s">
        <v>3282</v>
      </c>
      <c r="M689" s="9" t="s">
        <v>78</v>
      </c>
      <c r="N689" s="9" t="n">
        <v>4</v>
      </c>
      <c r="O689" s="9" t="n">
        <v>172.05</v>
      </c>
      <c r="P689" s="9" t="n">
        <v>0</v>
      </c>
      <c r="Q689" s="9" t="n">
        <v>688.2</v>
      </c>
      <c r="R689" s="9" t="n">
        <v>497.68</v>
      </c>
      <c r="S689" s="9" t="n">
        <v>190.52</v>
      </c>
      <c r="T689" s="9" t="s">
        <v>224</v>
      </c>
      <c r="U689" s="9" t="s">
        <v>100</v>
      </c>
    </row>
    <row r="690" customFormat="false" ht="15" hidden="false" customHeight="false" outlineLevel="0" collapsed="false">
      <c r="A690" s="9" t="s">
        <v>3283</v>
      </c>
      <c r="B690" s="9" t="s">
        <v>1200</v>
      </c>
      <c r="C690" s="9" t="s">
        <v>3284</v>
      </c>
      <c r="D690" s="9" t="s">
        <v>3285</v>
      </c>
      <c r="E690" s="9" t="s">
        <v>115</v>
      </c>
      <c r="F690" s="9" t="s">
        <v>137</v>
      </c>
      <c r="G690" s="9" t="s">
        <v>177</v>
      </c>
      <c r="H690" s="9" t="s">
        <v>348</v>
      </c>
      <c r="I690" s="9" t="s">
        <v>349</v>
      </c>
      <c r="J690" s="9" t="s">
        <v>52</v>
      </c>
      <c r="K690" s="9" t="s">
        <v>76</v>
      </c>
      <c r="L690" s="9" t="s">
        <v>3286</v>
      </c>
      <c r="M690" s="9" t="s">
        <v>55</v>
      </c>
      <c r="N690" s="9" t="n">
        <v>6</v>
      </c>
      <c r="O690" s="9" t="n">
        <v>3037.66</v>
      </c>
      <c r="P690" s="9" t="n">
        <v>0.15</v>
      </c>
      <c r="Q690" s="9" t="n">
        <v>15492.07</v>
      </c>
      <c r="R690" s="9" t="n">
        <v>12581.23</v>
      </c>
      <c r="S690" s="9" t="n">
        <v>2910.84</v>
      </c>
      <c r="T690" s="9" t="s">
        <v>56</v>
      </c>
      <c r="U690" s="9" t="s">
        <v>57</v>
      </c>
    </row>
    <row r="691" customFormat="false" ht="15" hidden="false" customHeight="false" outlineLevel="0" collapsed="false">
      <c r="A691" s="9" t="s">
        <v>3287</v>
      </c>
      <c r="B691" s="9" t="s">
        <v>3288</v>
      </c>
      <c r="C691" s="9" t="s">
        <v>3289</v>
      </c>
      <c r="D691" s="9" t="s">
        <v>3290</v>
      </c>
      <c r="E691" s="9" t="s">
        <v>204</v>
      </c>
      <c r="F691" s="9" t="s">
        <v>63</v>
      </c>
      <c r="G691" s="9" t="s">
        <v>177</v>
      </c>
      <c r="H691" s="9" t="s">
        <v>178</v>
      </c>
      <c r="I691" s="9" t="s">
        <v>179</v>
      </c>
      <c r="J691" s="9" t="s">
        <v>67</v>
      </c>
      <c r="K691" s="9" t="s">
        <v>68</v>
      </c>
      <c r="L691" s="9" t="s">
        <v>3291</v>
      </c>
      <c r="M691" s="9" t="s">
        <v>89</v>
      </c>
      <c r="N691" s="9" t="n">
        <v>9</v>
      </c>
      <c r="O691" s="9" t="n">
        <v>489.58</v>
      </c>
      <c r="P691" s="9" t="n">
        <v>0.15</v>
      </c>
      <c r="Q691" s="9" t="n">
        <v>3745.29</v>
      </c>
      <c r="R691" s="9" t="n">
        <v>2302.65</v>
      </c>
      <c r="S691" s="9" t="n">
        <v>1442.64</v>
      </c>
      <c r="T691" s="9" t="s">
        <v>224</v>
      </c>
      <c r="U691" s="9" t="s">
        <v>100</v>
      </c>
    </row>
    <row r="692" customFormat="false" ht="15" hidden="false" customHeight="false" outlineLevel="0" collapsed="false">
      <c r="A692" s="9" t="s">
        <v>3292</v>
      </c>
      <c r="B692" s="9" t="s">
        <v>912</v>
      </c>
      <c r="C692" s="9" t="s">
        <v>3293</v>
      </c>
      <c r="D692" s="9" t="s">
        <v>3294</v>
      </c>
      <c r="E692" s="9" t="s">
        <v>192</v>
      </c>
      <c r="F692" s="9" t="s">
        <v>130</v>
      </c>
      <c r="G692" s="9" t="s">
        <v>84</v>
      </c>
      <c r="H692" s="9" t="s">
        <v>364</v>
      </c>
      <c r="I692" s="9" t="s">
        <v>365</v>
      </c>
      <c r="J692" s="9" t="s">
        <v>52</v>
      </c>
      <c r="K692" s="9" t="s">
        <v>76</v>
      </c>
      <c r="L692" s="9" t="s">
        <v>3295</v>
      </c>
      <c r="M692" s="9" t="s">
        <v>89</v>
      </c>
      <c r="N692" s="9" t="n">
        <v>4</v>
      </c>
      <c r="O692" s="9" t="n">
        <v>865.63</v>
      </c>
      <c r="P692" s="9" t="n">
        <v>0</v>
      </c>
      <c r="Q692" s="9" t="n">
        <v>3462.52</v>
      </c>
      <c r="R692" s="9" t="n">
        <v>2797.29</v>
      </c>
      <c r="S692" s="9" t="n">
        <v>665.23</v>
      </c>
      <c r="T692" s="9" t="s">
        <v>224</v>
      </c>
      <c r="U692" s="9" t="s">
        <v>147</v>
      </c>
    </row>
    <row r="693" customFormat="false" ht="15" hidden="false" customHeight="false" outlineLevel="0" collapsed="false">
      <c r="A693" s="9" t="s">
        <v>3296</v>
      </c>
      <c r="B693" s="9" t="s">
        <v>2506</v>
      </c>
      <c r="C693" s="9" t="s">
        <v>3297</v>
      </c>
      <c r="D693" s="9" t="s">
        <v>3298</v>
      </c>
      <c r="E693" s="9" t="s">
        <v>204</v>
      </c>
      <c r="F693" s="9" t="s">
        <v>48</v>
      </c>
      <c r="G693" s="9" t="s">
        <v>64</v>
      </c>
      <c r="H693" s="9" t="s">
        <v>65</v>
      </c>
      <c r="I693" s="9" t="s">
        <v>66</v>
      </c>
      <c r="J693" s="9" t="s">
        <v>108</v>
      </c>
      <c r="K693" s="9" t="s">
        <v>116</v>
      </c>
      <c r="L693" s="9" t="s">
        <v>3299</v>
      </c>
      <c r="M693" s="9" t="s">
        <v>55</v>
      </c>
      <c r="N693" s="9" t="n">
        <v>6</v>
      </c>
      <c r="O693" s="9" t="n">
        <v>1538.1</v>
      </c>
      <c r="P693" s="9" t="n">
        <v>0.05</v>
      </c>
      <c r="Q693" s="9" t="n">
        <v>8767.17</v>
      </c>
      <c r="R693" s="9" t="n">
        <v>5098.2</v>
      </c>
      <c r="S693" s="9" t="n">
        <v>3668.97</v>
      </c>
      <c r="T693" s="9" t="s">
        <v>56</v>
      </c>
      <c r="U693" s="9" t="s">
        <v>57</v>
      </c>
    </row>
    <row r="694" customFormat="false" ht="15" hidden="false" customHeight="false" outlineLevel="0" collapsed="false">
      <c r="A694" s="9" t="s">
        <v>3300</v>
      </c>
      <c r="B694" s="9" t="s">
        <v>252</v>
      </c>
      <c r="C694" s="9" t="s">
        <v>3301</v>
      </c>
      <c r="D694" s="9" t="s">
        <v>3302</v>
      </c>
      <c r="E694" s="9" t="s">
        <v>75</v>
      </c>
      <c r="F694" s="9" t="s">
        <v>1821</v>
      </c>
      <c r="G694" s="9" t="s">
        <v>84</v>
      </c>
      <c r="H694" s="9" t="s">
        <v>254</v>
      </c>
      <c r="I694" s="9" t="s">
        <v>255</v>
      </c>
      <c r="J694" s="9" t="s">
        <v>67</v>
      </c>
      <c r="K694" s="9" t="s">
        <v>87</v>
      </c>
      <c r="L694" s="9" t="s">
        <v>3303</v>
      </c>
      <c r="M694" s="9" t="s">
        <v>55</v>
      </c>
      <c r="N694" s="9" t="n">
        <v>4</v>
      </c>
      <c r="O694" s="9" t="n">
        <v>2365.68</v>
      </c>
      <c r="P694" s="9" t="n">
        <v>0.1</v>
      </c>
      <c r="Q694" s="9" t="n">
        <v>8516.45</v>
      </c>
      <c r="R694" s="9" t="n">
        <v>5903.81</v>
      </c>
      <c r="S694" s="9" t="n">
        <v>2612.64</v>
      </c>
      <c r="T694" s="9" t="s">
        <v>56</v>
      </c>
      <c r="U694" s="9" t="s">
        <v>57</v>
      </c>
    </row>
    <row r="695" customFormat="false" ht="15" hidden="false" customHeight="false" outlineLevel="0" collapsed="false">
      <c r="A695" s="9" t="s">
        <v>3304</v>
      </c>
      <c r="B695" s="9" t="s">
        <v>3305</v>
      </c>
      <c r="C695" s="9" t="s">
        <v>2544</v>
      </c>
      <c r="D695" s="9" t="s">
        <v>3306</v>
      </c>
      <c r="E695" s="9" t="s">
        <v>83</v>
      </c>
      <c r="F695" s="9" t="s">
        <v>48</v>
      </c>
      <c r="G695" s="9" t="s">
        <v>84</v>
      </c>
      <c r="H695" s="9" t="s">
        <v>364</v>
      </c>
      <c r="I695" s="9" t="s">
        <v>365</v>
      </c>
      <c r="J695" s="9" t="s">
        <v>67</v>
      </c>
      <c r="K695" s="9" t="s">
        <v>228</v>
      </c>
      <c r="L695" s="9" t="s">
        <v>3307</v>
      </c>
      <c r="M695" s="9" t="s">
        <v>55</v>
      </c>
      <c r="N695" s="9" t="n">
        <v>3</v>
      </c>
      <c r="O695" s="9" t="n">
        <v>4149.77</v>
      </c>
      <c r="P695" s="9" t="n">
        <v>0.05</v>
      </c>
      <c r="Q695" s="9" t="n">
        <v>11826.84</v>
      </c>
      <c r="R695" s="9" t="n">
        <v>8035.96</v>
      </c>
      <c r="S695" s="9" t="n">
        <v>3790.88</v>
      </c>
      <c r="T695" s="9" t="s">
        <v>56</v>
      </c>
      <c r="U695" s="9" t="s">
        <v>57</v>
      </c>
    </row>
    <row r="696" customFormat="false" ht="15" hidden="false" customHeight="false" outlineLevel="0" collapsed="false">
      <c r="A696" s="9" t="s">
        <v>3308</v>
      </c>
      <c r="B696" s="9" t="s">
        <v>1770</v>
      </c>
      <c r="C696" s="9" t="s">
        <v>3128</v>
      </c>
      <c r="D696" s="9" t="s">
        <v>1778</v>
      </c>
      <c r="E696" s="9" t="s">
        <v>75</v>
      </c>
      <c r="F696" s="9" t="s">
        <v>48</v>
      </c>
      <c r="G696" s="9" t="s">
        <v>84</v>
      </c>
      <c r="H696" s="9" t="s">
        <v>122</v>
      </c>
      <c r="I696" s="9" t="s">
        <v>123</v>
      </c>
      <c r="J696" s="9" t="s">
        <v>52</v>
      </c>
      <c r="K696" s="9" t="s">
        <v>180</v>
      </c>
      <c r="L696" s="9" t="s">
        <v>3309</v>
      </c>
      <c r="M696" s="9" t="s">
        <v>78</v>
      </c>
      <c r="N696" s="9" t="n">
        <v>5</v>
      </c>
      <c r="O696" s="9" t="n">
        <v>2736.24</v>
      </c>
      <c r="P696" s="9" t="n">
        <v>0.15</v>
      </c>
      <c r="Q696" s="9" t="n">
        <v>11629.02</v>
      </c>
      <c r="R696" s="9" t="n">
        <v>9627.21</v>
      </c>
      <c r="S696" s="9" t="n">
        <v>2001.81</v>
      </c>
      <c r="T696" s="9" t="s">
        <v>56</v>
      </c>
      <c r="U696" s="9" t="s">
        <v>57</v>
      </c>
    </row>
    <row r="697" customFormat="false" ht="15" hidden="false" customHeight="false" outlineLevel="0" collapsed="false">
      <c r="A697" s="9" t="s">
        <v>3310</v>
      </c>
      <c r="B697" s="9" t="s">
        <v>3311</v>
      </c>
      <c r="C697" s="9" t="s">
        <v>2146</v>
      </c>
      <c r="D697" s="9" t="s">
        <v>3312</v>
      </c>
      <c r="E697" s="9" t="s">
        <v>186</v>
      </c>
      <c r="F697" s="9" t="s">
        <v>48</v>
      </c>
      <c r="G697" s="9" t="s">
        <v>95</v>
      </c>
      <c r="H697" s="9" t="s">
        <v>106</v>
      </c>
      <c r="I697" s="9" t="s">
        <v>107</v>
      </c>
      <c r="J697" s="9" t="s">
        <v>108</v>
      </c>
      <c r="K697" s="9" t="s">
        <v>3313</v>
      </c>
      <c r="L697" s="9" t="s">
        <v>3314</v>
      </c>
      <c r="M697" s="9" t="s">
        <v>89</v>
      </c>
      <c r="N697" s="9" t="n">
        <v>4</v>
      </c>
      <c r="O697" s="9" t="n">
        <v>257.39</v>
      </c>
      <c r="P697" s="9" t="n">
        <v>0</v>
      </c>
      <c r="Q697" s="9" t="n">
        <v>1029.56</v>
      </c>
      <c r="R697" s="9" t="n">
        <v>626.33</v>
      </c>
      <c r="S697" s="9" t="n">
        <v>403.23</v>
      </c>
      <c r="T697" s="9" t="s">
        <v>56</v>
      </c>
      <c r="U697" s="9" t="s">
        <v>57</v>
      </c>
    </row>
    <row r="698" customFormat="false" ht="15" hidden="false" customHeight="false" outlineLevel="0" collapsed="false">
      <c r="A698" s="9" t="s">
        <v>3315</v>
      </c>
      <c r="B698" s="9" t="s">
        <v>3316</v>
      </c>
      <c r="C698" s="9" t="s">
        <v>3317</v>
      </c>
      <c r="D698" s="9" t="s">
        <v>3318</v>
      </c>
      <c r="E698" s="9" t="s">
        <v>75</v>
      </c>
      <c r="F698" s="9" t="s">
        <v>63</v>
      </c>
      <c r="G698" s="9" t="s">
        <v>84</v>
      </c>
      <c r="H698" s="9" t="s">
        <v>267</v>
      </c>
      <c r="I698" s="9" t="s">
        <v>268</v>
      </c>
      <c r="J698" s="9" t="s">
        <v>108</v>
      </c>
      <c r="K698" s="9" t="s">
        <v>247</v>
      </c>
      <c r="L698" s="9" t="s">
        <v>3319</v>
      </c>
      <c r="M698" s="9"/>
      <c r="N698" s="9" t="n">
        <v>4</v>
      </c>
      <c r="O698" s="9" t="n">
        <v>1178.84</v>
      </c>
      <c r="P698" s="9" t="n">
        <v>0.25</v>
      </c>
      <c r="Q698" s="9" t="n">
        <v>3536.52</v>
      </c>
      <c r="R698" s="9" t="n">
        <v>2102.41</v>
      </c>
      <c r="S698" s="9" t="n">
        <v>1363.28</v>
      </c>
      <c r="T698" s="9" t="s">
        <v>56</v>
      </c>
      <c r="U698" s="9" t="s">
        <v>57</v>
      </c>
    </row>
    <row r="699" customFormat="false" ht="15" hidden="false" customHeight="false" outlineLevel="0" collapsed="false">
      <c r="A699" s="9" t="s">
        <v>3320</v>
      </c>
      <c r="B699" s="9" t="s">
        <v>2366</v>
      </c>
      <c r="C699" s="9" t="s">
        <v>822</v>
      </c>
      <c r="D699" s="9" t="s">
        <v>3321</v>
      </c>
      <c r="E699" s="9" t="s">
        <v>83</v>
      </c>
      <c r="F699" s="9" t="s">
        <v>130</v>
      </c>
      <c r="G699" s="9" t="s">
        <v>84</v>
      </c>
      <c r="H699" s="9" t="s">
        <v>122</v>
      </c>
      <c r="I699" s="9" t="s">
        <v>123</v>
      </c>
      <c r="J699" s="9" t="s">
        <v>52</v>
      </c>
      <c r="K699" s="9" t="s">
        <v>131</v>
      </c>
      <c r="L699" s="9" t="s">
        <v>3322</v>
      </c>
      <c r="M699" s="9" t="s">
        <v>78</v>
      </c>
      <c r="N699" s="9" t="n">
        <v>7</v>
      </c>
      <c r="O699" s="9" t="n">
        <v>567.15</v>
      </c>
      <c r="P699" s="9"/>
      <c r="Q699" s="9" t="n">
        <v>2977.54</v>
      </c>
      <c r="R699" s="9" t="n">
        <v>1849.3</v>
      </c>
      <c r="S699" s="9" t="n">
        <v>1128.24</v>
      </c>
      <c r="T699" s="9" t="s">
        <v>146</v>
      </c>
      <c r="U699" s="9" t="s">
        <v>147</v>
      </c>
    </row>
    <row r="700" customFormat="false" ht="15" hidden="false" customHeight="false" outlineLevel="0" collapsed="false">
      <c r="A700" s="9" t="s">
        <v>3323</v>
      </c>
      <c r="B700" s="9" t="s">
        <v>3324</v>
      </c>
      <c r="C700" s="9" t="s">
        <v>1781</v>
      </c>
      <c r="D700" s="9" t="s">
        <v>3325</v>
      </c>
      <c r="E700" s="9" t="s">
        <v>62</v>
      </c>
      <c r="F700" s="9" t="s">
        <v>130</v>
      </c>
      <c r="G700" s="9" t="s">
        <v>177</v>
      </c>
      <c r="H700" s="9" t="s">
        <v>50</v>
      </c>
      <c r="I700" s="9" t="s">
        <v>51</v>
      </c>
      <c r="J700" s="9" t="s">
        <v>108</v>
      </c>
      <c r="K700" s="9" t="s">
        <v>409</v>
      </c>
      <c r="L700" s="9" t="s">
        <v>3326</v>
      </c>
      <c r="M700" s="9" t="s">
        <v>89</v>
      </c>
      <c r="N700" s="9" t="n">
        <v>8</v>
      </c>
      <c r="O700" s="9" t="n">
        <v>4081.66</v>
      </c>
      <c r="P700" s="9" t="n">
        <v>0.15</v>
      </c>
      <c r="Q700" s="9" t="n">
        <v>28208.1</v>
      </c>
      <c r="R700" s="9" t="n">
        <v>23751.91</v>
      </c>
      <c r="S700" s="9" t="n">
        <v>4003.38</v>
      </c>
      <c r="T700" s="9" t="s">
        <v>56</v>
      </c>
      <c r="U700" s="9" t="s">
        <v>147</v>
      </c>
    </row>
    <row r="701" customFormat="false" ht="15" hidden="false" customHeight="false" outlineLevel="0" collapsed="false">
      <c r="A701" s="9" t="s">
        <v>3327</v>
      </c>
      <c r="B701" s="9" t="s">
        <v>3328</v>
      </c>
      <c r="C701" s="9" t="s">
        <v>3329</v>
      </c>
      <c r="D701" s="9" t="s">
        <v>3330</v>
      </c>
      <c r="E701" s="9" t="s">
        <v>83</v>
      </c>
      <c r="F701" s="9" t="s">
        <v>63</v>
      </c>
      <c r="G701" s="9" t="s">
        <v>84</v>
      </c>
      <c r="H701" s="9" t="s">
        <v>254</v>
      </c>
      <c r="I701" s="9" t="s">
        <v>255</v>
      </c>
      <c r="J701" s="9" t="s">
        <v>67</v>
      </c>
      <c r="K701" s="9" t="s">
        <v>228</v>
      </c>
      <c r="L701" s="9" t="s">
        <v>3331</v>
      </c>
      <c r="M701" s="9" t="s">
        <v>89</v>
      </c>
      <c r="N701" s="9" t="n">
        <v>9</v>
      </c>
      <c r="O701" s="9" t="n">
        <v>1400.11</v>
      </c>
      <c r="P701" s="9" t="n">
        <v>0.25</v>
      </c>
      <c r="Q701" s="9" t="n">
        <v>9450.74</v>
      </c>
      <c r="R701" s="9" t="n">
        <v>7798.56</v>
      </c>
      <c r="S701" s="9" t="n">
        <v>1652.18</v>
      </c>
      <c r="T701" s="9" t="s">
        <v>56</v>
      </c>
      <c r="U701" s="9" t="s">
        <v>57</v>
      </c>
    </row>
    <row r="702" customFormat="false" ht="15" hidden="false" customHeight="false" outlineLevel="0" collapsed="false">
      <c r="A702" s="9" t="s">
        <v>3332</v>
      </c>
      <c r="B702" s="9" t="s">
        <v>3333</v>
      </c>
      <c r="C702" s="9" t="s">
        <v>1170</v>
      </c>
      <c r="D702" s="9" t="s">
        <v>3334</v>
      </c>
      <c r="E702" s="9" t="s">
        <v>115</v>
      </c>
      <c r="F702" s="9" t="s">
        <v>130</v>
      </c>
      <c r="G702" s="9" t="s">
        <v>64</v>
      </c>
      <c r="H702" s="9" t="s">
        <v>143</v>
      </c>
      <c r="I702" s="9" t="s">
        <v>144</v>
      </c>
      <c r="J702" s="9" t="s">
        <v>108</v>
      </c>
      <c r="K702" s="9" t="s">
        <v>409</v>
      </c>
      <c r="L702" s="9" t="s">
        <v>3335</v>
      </c>
      <c r="M702" s="9" t="s">
        <v>89</v>
      </c>
      <c r="N702" s="9" t="n">
        <v>3</v>
      </c>
      <c r="O702" s="9" t="n">
        <v>3055.9</v>
      </c>
      <c r="P702" s="9" t="n">
        <v>0.15</v>
      </c>
      <c r="Q702" s="9" t="n">
        <v>7792.55</v>
      </c>
      <c r="R702" s="9" t="n">
        <v>4691.73</v>
      </c>
      <c r="S702" s="9" t="n">
        <v>3100.82</v>
      </c>
      <c r="T702" s="9" t="s">
        <v>56</v>
      </c>
      <c r="U702" s="9" t="s">
        <v>57</v>
      </c>
    </row>
    <row r="703" customFormat="false" ht="15" hidden="false" customHeight="false" outlineLevel="0" collapsed="false">
      <c r="A703" s="9" t="s">
        <v>3336</v>
      </c>
      <c r="B703" s="9" t="s">
        <v>1662</v>
      </c>
      <c r="C703" s="9" t="s">
        <v>1331</v>
      </c>
      <c r="D703" s="9" t="s">
        <v>3337</v>
      </c>
      <c r="E703" s="9" t="s">
        <v>204</v>
      </c>
      <c r="F703" s="9" t="s">
        <v>63</v>
      </c>
      <c r="G703" s="9" t="s">
        <v>95</v>
      </c>
      <c r="H703" s="9" t="s">
        <v>260</v>
      </c>
      <c r="I703" s="9" t="s">
        <v>261</v>
      </c>
      <c r="J703" s="9" t="s">
        <v>52</v>
      </c>
      <c r="K703" s="9" t="s">
        <v>76</v>
      </c>
      <c r="L703" s="9" t="s">
        <v>3338</v>
      </c>
      <c r="M703" s="9" t="s">
        <v>70</v>
      </c>
      <c r="N703" s="9" t="n">
        <v>7</v>
      </c>
      <c r="O703" s="9" t="n">
        <v>1224.94</v>
      </c>
      <c r="P703" s="9" t="n">
        <v>0</v>
      </c>
      <c r="Q703" s="9" t="n">
        <v>8574.58</v>
      </c>
      <c r="R703" s="9" t="n">
        <v>6685.81</v>
      </c>
      <c r="S703" s="9" t="n">
        <v>1888.77</v>
      </c>
      <c r="T703" s="9" t="s">
        <v>56</v>
      </c>
      <c r="U703" s="9" t="s">
        <v>147</v>
      </c>
    </row>
    <row r="704" customFormat="false" ht="15" hidden="false" customHeight="false" outlineLevel="0" collapsed="false">
      <c r="A704" s="9" t="s">
        <v>3339</v>
      </c>
      <c r="B704" s="9" t="s">
        <v>3340</v>
      </c>
      <c r="C704" s="9" t="s">
        <v>2932</v>
      </c>
      <c r="D704" s="9" t="s">
        <v>3341</v>
      </c>
      <c r="E704" s="9" t="s">
        <v>47</v>
      </c>
      <c r="F704" s="9" t="s">
        <v>63</v>
      </c>
      <c r="G704" s="9" t="s">
        <v>95</v>
      </c>
      <c r="H704" s="9" t="s">
        <v>50</v>
      </c>
      <c r="I704" s="9" t="s">
        <v>158</v>
      </c>
      <c r="J704" s="9" t="s">
        <v>67</v>
      </c>
      <c r="K704" s="9" t="s">
        <v>68</v>
      </c>
      <c r="L704" s="9" t="s">
        <v>3342</v>
      </c>
      <c r="M704" s="9" t="s">
        <v>55</v>
      </c>
      <c r="N704" s="9" t="n">
        <v>3</v>
      </c>
      <c r="O704" s="9" t="n">
        <v>997.34</v>
      </c>
      <c r="P704" s="9" t="n">
        <v>0.1</v>
      </c>
      <c r="Q704" s="9" t="n">
        <v>2692.82</v>
      </c>
      <c r="R704" s="9" t="n">
        <v>1820.08</v>
      </c>
      <c r="S704" s="9" t="n">
        <v>872.74</v>
      </c>
      <c r="T704" s="9" t="s">
        <v>56</v>
      </c>
      <c r="U704" s="9" t="s">
        <v>57</v>
      </c>
    </row>
    <row r="705" customFormat="false" ht="15" hidden="false" customHeight="false" outlineLevel="0" collapsed="false">
      <c r="A705" s="9" t="s">
        <v>3343</v>
      </c>
      <c r="B705" s="9" t="s">
        <v>3344</v>
      </c>
      <c r="C705" s="9" t="s">
        <v>2423</v>
      </c>
      <c r="D705" s="9" t="s">
        <v>3345</v>
      </c>
      <c r="E705" s="9" t="s">
        <v>129</v>
      </c>
      <c r="F705" s="9" t="s">
        <v>130</v>
      </c>
      <c r="G705" s="9" t="s">
        <v>177</v>
      </c>
      <c r="H705" s="9" t="s">
        <v>50</v>
      </c>
      <c r="I705" s="9" t="s">
        <v>51</v>
      </c>
      <c r="J705" s="9" t="s">
        <v>67</v>
      </c>
      <c r="K705" s="9" t="s">
        <v>68</v>
      </c>
      <c r="L705" s="9" t="s">
        <v>3346</v>
      </c>
      <c r="M705" s="9" t="s">
        <v>78</v>
      </c>
      <c r="N705" s="9" t="n">
        <v>1</v>
      </c>
      <c r="O705" s="9" t="n">
        <v>1150.03</v>
      </c>
      <c r="P705" s="9" t="n">
        <v>0.1</v>
      </c>
      <c r="Q705" s="9" t="n">
        <v>1035.03</v>
      </c>
      <c r="R705" s="9" t="n">
        <v>854.35</v>
      </c>
      <c r="S705" s="9" t="n">
        <v>180.68</v>
      </c>
      <c r="T705" s="9" t="s">
        <v>56</v>
      </c>
      <c r="U705" s="9" t="s">
        <v>57</v>
      </c>
    </row>
    <row r="706" customFormat="false" ht="15" hidden="false" customHeight="false" outlineLevel="0" collapsed="false">
      <c r="A706" s="9" t="s">
        <v>3347</v>
      </c>
      <c r="B706" s="9" t="s">
        <v>1598</v>
      </c>
      <c r="C706" s="9" t="s">
        <v>3348</v>
      </c>
      <c r="D706" s="9" t="s">
        <v>3349</v>
      </c>
      <c r="E706" s="9" t="s">
        <v>165</v>
      </c>
      <c r="F706" s="9" t="s">
        <v>137</v>
      </c>
      <c r="G706" s="9" t="s">
        <v>84</v>
      </c>
      <c r="H706" s="9" t="s">
        <v>364</v>
      </c>
      <c r="I706" s="9" t="s">
        <v>365</v>
      </c>
      <c r="J706" s="9" t="s">
        <v>67</v>
      </c>
      <c r="K706" s="9" t="s">
        <v>228</v>
      </c>
      <c r="L706" s="9" t="s">
        <v>3350</v>
      </c>
      <c r="M706" s="9"/>
      <c r="N706" s="9" t="n">
        <v>1</v>
      </c>
      <c r="O706" s="9" t="n">
        <v>2825.63</v>
      </c>
      <c r="P706" s="9" t="n">
        <v>0.15</v>
      </c>
      <c r="Q706" s="9" t="n">
        <v>2401.79</v>
      </c>
      <c r="R706" s="9" t="n">
        <v>1820.34</v>
      </c>
      <c r="S706" s="9" t="n">
        <v>581.45</v>
      </c>
      <c r="T706" s="9" t="s">
        <v>56</v>
      </c>
      <c r="U706" s="9" t="s">
        <v>57</v>
      </c>
    </row>
    <row r="707" customFormat="false" ht="15" hidden="false" customHeight="false" outlineLevel="0" collapsed="false">
      <c r="A707" s="9" t="s">
        <v>3351</v>
      </c>
      <c r="B707" s="9" t="s">
        <v>3352</v>
      </c>
      <c r="C707" s="9" t="s">
        <v>3353</v>
      </c>
      <c r="D707" s="9" t="s">
        <v>3354</v>
      </c>
      <c r="E707" s="9" t="s">
        <v>204</v>
      </c>
      <c r="F707" s="9" t="s">
        <v>48</v>
      </c>
      <c r="G707" s="9" t="s">
        <v>177</v>
      </c>
      <c r="H707" s="9" t="s">
        <v>50</v>
      </c>
      <c r="I707" s="9" t="s">
        <v>51</v>
      </c>
      <c r="J707" s="9" t="s">
        <v>52</v>
      </c>
      <c r="K707" s="9" t="s">
        <v>222</v>
      </c>
      <c r="L707" s="9" t="s">
        <v>3355</v>
      </c>
      <c r="M707" s="9" t="s">
        <v>89</v>
      </c>
      <c r="N707" s="9" t="n">
        <v>5</v>
      </c>
      <c r="O707" s="9" t="n">
        <v>3371.75</v>
      </c>
      <c r="P707" s="9" t="n">
        <v>0.05</v>
      </c>
      <c r="Q707" s="9" t="n">
        <v>16015.81</v>
      </c>
      <c r="R707" s="9" t="n">
        <v>11352.38</v>
      </c>
      <c r="S707" s="9" t="n">
        <v>4663.43</v>
      </c>
      <c r="T707" s="9" t="s">
        <v>56</v>
      </c>
      <c r="U707" s="9" t="s">
        <v>57</v>
      </c>
    </row>
    <row r="708" customFormat="false" ht="15" hidden="false" customHeight="false" outlineLevel="0" collapsed="false">
      <c r="A708" s="9" t="s">
        <v>3356</v>
      </c>
      <c r="B708" s="9" t="s">
        <v>3357</v>
      </c>
      <c r="C708" s="9" t="s">
        <v>1079</v>
      </c>
      <c r="D708" s="9" t="s">
        <v>3358</v>
      </c>
      <c r="E708" s="9" t="s">
        <v>75</v>
      </c>
      <c r="F708" s="9" t="s">
        <v>63</v>
      </c>
      <c r="G708" s="9" t="s">
        <v>64</v>
      </c>
      <c r="H708" s="9" t="s">
        <v>65</v>
      </c>
      <c r="I708" s="9" t="s">
        <v>66</v>
      </c>
      <c r="J708" s="9" t="s">
        <v>52</v>
      </c>
      <c r="K708" s="9" t="s">
        <v>53</v>
      </c>
      <c r="L708" s="9" t="s">
        <v>3359</v>
      </c>
      <c r="M708" s="9" t="s">
        <v>70</v>
      </c>
      <c r="N708" s="9" t="n">
        <v>1</v>
      </c>
      <c r="O708" s="9" t="n">
        <v>2112.75</v>
      </c>
      <c r="P708" s="9" t="n">
        <v>0.1</v>
      </c>
      <c r="Q708" s="9" t="n">
        <v>1901.48</v>
      </c>
      <c r="R708" s="9" t="n">
        <v>1354.28</v>
      </c>
      <c r="S708" s="9" t="n">
        <v>547.2</v>
      </c>
      <c r="T708" s="9" t="s">
        <v>56</v>
      </c>
      <c r="U708" s="9" t="s">
        <v>57</v>
      </c>
    </row>
    <row r="709" customFormat="false" ht="15" hidden="false" customHeight="false" outlineLevel="0" collapsed="false">
      <c r="A709" s="9" t="s">
        <v>3360</v>
      </c>
      <c r="B709" s="9" t="s">
        <v>3361</v>
      </c>
      <c r="C709" s="9" t="s">
        <v>2414</v>
      </c>
      <c r="D709" s="9" t="s">
        <v>3362</v>
      </c>
      <c r="E709" s="9" t="s">
        <v>105</v>
      </c>
      <c r="F709" s="9" t="s">
        <v>48</v>
      </c>
      <c r="G709" s="9" t="s">
        <v>177</v>
      </c>
      <c r="H709" s="9" t="s">
        <v>50</v>
      </c>
      <c r="I709" s="9" t="s">
        <v>51</v>
      </c>
      <c r="J709" s="9" t="s">
        <v>108</v>
      </c>
      <c r="K709" s="9" t="s">
        <v>2201</v>
      </c>
      <c r="L709" s="9" t="s">
        <v>3363</v>
      </c>
      <c r="M709" s="9" t="s">
        <v>70</v>
      </c>
      <c r="N709" s="9" t="n">
        <v>5</v>
      </c>
      <c r="O709" s="9" t="n">
        <v>3722.66</v>
      </c>
      <c r="P709" s="9" t="n">
        <v>0.55</v>
      </c>
      <c r="Q709" s="9" t="n">
        <v>16751.97</v>
      </c>
      <c r="R709" s="9" t="n">
        <v>11678.32</v>
      </c>
      <c r="S709" s="9" t="n">
        <v>5073.65</v>
      </c>
      <c r="T709" s="9" t="s">
        <v>56</v>
      </c>
      <c r="U709" s="9" t="s">
        <v>57</v>
      </c>
    </row>
    <row r="710" customFormat="false" ht="15" hidden="false" customHeight="false" outlineLevel="0" collapsed="false">
      <c r="A710" s="9" t="s">
        <v>3364</v>
      </c>
      <c r="B710" s="9" t="s">
        <v>3365</v>
      </c>
      <c r="C710" s="9" t="s">
        <v>3366</v>
      </c>
      <c r="D710" s="9" t="s">
        <v>3367</v>
      </c>
      <c r="E710" s="9" t="s">
        <v>192</v>
      </c>
      <c r="F710" s="9" t="s">
        <v>48</v>
      </c>
      <c r="G710" s="9" t="s">
        <v>64</v>
      </c>
      <c r="H710" s="9" t="s">
        <v>240</v>
      </c>
      <c r="I710" s="9" t="s">
        <v>241</v>
      </c>
      <c r="J710" s="9" t="s">
        <v>67</v>
      </c>
      <c r="K710" s="9" t="s">
        <v>228</v>
      </c>
      <c r="L710" s="9" t="s">
        <v>3368</v>
      </c>
      <c r="M710" s="9" t="s">
        <v>78</v>
      </c>
      <c r="N710" s="9" t="n">
        <v>4</v>
      </c>
      <c r="O710" s="9" t="n">
        <v>4357.66</v>
      </c>
      <c r="P710" s="9" t="n">
        <v>0.05</v>
      </c>
      <c r="Q710" s="9" t="n">
        <v>16559.11</v>
      </c>
      <c r="R710" s="9" t="n">
        <v>13233.79</v>
      </c>
      <c r="S710" s="9" t="n">
        <v>3325.32</v>
      </c>
      <c r="T710" s="9" t="s">
        <v>56</v>
      </c>
      <c r="U710" s="9" t="s">
        <v>57</v>
      </c>
    </row>
    <row r="711" customFormat="false" ht="15" hidden="false" customHeight="false" outlineLevel="0" collapsed="false">
      <c r="A711" s="9" t="s">
        <v>3369</v>
      </c>
      <c r="B711" s="9" t="s">
        <v>219</v>
      </c>
      <c r="C711" s="9" t="s">
        <v>208</v>
      </c>
      <c r="D711" s="9" t="s">
        <v>3370</v>
      </c>
      <c r="E711" s="9" t="s">
        <v>393</v>
      </c>
      <c r="F711" s="9" t="s">
        <v>137</v>
      </c>
      <c r="G711" s="9" t="s">
        <v>177</v>
      </c>
      <c r="H711" s="9" t="s">
        <v>178</v>
      </c>
      <c r="I711" s="9" t="s">
        <v>179</v>
      </c>
      <c r="J711" s="9" t="s">
        <v>108</v>
      </c>
      <c r="K711" s="9" t="s">
        <v>247</v>
      </c>
      <c r="L711" s="9" t="s">
        <v>3371</v>
      </c>
      <c r="M711" s="9" t="s">
        <v>70</v>
      </c>
      <c r="N711" s="9" t="n">
        <v>7</v>
      </c>
      <c r="O711" s="9" t="n">
        <v>1363.04</v>
      </c>
      <c r="P711" s="9" t="n">
        <v>0.15</v>
      </c>
      <c r="Q711" s="9" t="n">
        <v>8110.09</v>
      </c>
      <c r="R711" s="9" t="n">
        <v>6417.32</v>
      </c>
      <c r="S711" s="9" t="n">
        <v>1692.77</v>
      </c>
      <c r="T711" s="9" t="s">
        <v>56</v>
      </c>
      <c r="U711" s="9" t="s">
        <v>100</v>
      </c>
    </row>
    <row r="712" customFormat="false" ht="15" hidden="false" customHeight="false" outlineLevel="0" collapsed="false">
      <c r="A712" s="9" t="s">
        <v>3372</v>
      </c>
      <c r="B712" s="9" t="s">
        <v>3373</v>
      </c>
      <c r="C712" s="9" t="s">
        <v>3374</v>
      </c>
      <c r="D712" s="9" t="s">
        <v>3375</v>
      </c>
      <c r="E712" s="9" t="s">
        <v>105</v>
      </c>
      <c r="F712" s="9" t="s">
        <v>130</v>
      </c>
      <c r="G712" s="9" t="s">
        <v>177</v>
      </c>
      <c r="H712" s="9" t="s">
        <v>178</v>
      </c>
      <c r="I712" s="9" t="s">
        <v>179</v>
      </c>
      <c r="J712" s="9" t="s">
        <v>52</v>
      </c>
      <c r="K712" s="9" t="s">
        <v>76</v>
      </c>
      <c r="L712" s="9" t="s">
        <v>3376</v>
      </c>
      <c r="M712" s="9" t="s">
        <v>55</v>
      </c>
      <c r="N712" s="9" t="n">
        <v>5</v>
      </c>
      <c r="O712" s="9" t="n">
        <v>1559.16</v>
      </c>
      <c r="P712" s="9" t="n">
        <v>0.05</v>
      </c>
      <c r="Q712" s="9" t="n">
        <v>7406.01</v>
      </c>
      <c r="R712" s="9" t="n">
        <v>5941.74</v>
      </c>
      <c r="S712" s="9" t="n">
        <v>1464.27</v>
      </c>
      <c r="T712" s="9" t="s">
        <v>56</v>
      </c>
      <c r="U712" s="9" t="s">
        <v>57</v>
      </c>
    </row>
    <row r="713" customFormat="false" ht="15" hidden="false" customHeight="false" outlineLevel="0" collapsed="false">
      <c r="A713" s="9" t="s">
        <v>3377</v>
      </c>
      <c r="B713" s="9" t="s">
        <v>3378</v>
      </c>
      <c r="C713" s="9" t="s">
        <v>3340</v>
      </c>
      <c r="D713" s="9" t="s">
        <v>3379</v>
      </c>
      <c r="E713" s="9" t="s">
        <v>393</v>
      </c>
      <c r="F713" s="9" t="s">
        <v>130</v>
      </c>
      <c r="G713" s="9" t="s">
        <v>64</v>
      </c>
      <c r="H713" s="9" t="s">
        <v>143</v>
      </c>
      <c r="I713" s="9" t="s">
        <v>144</v>
      </c>
      <c r="J713" s="9" t="s">
        <v>108</v>
      </c>
      <c r="K713" s="9" t="s">
        <v>409</v>
      </c>
      <c r="L713" s="9" t="s">
        <v>3380</v>
      </c>
      <c r="M713" s="9" t="s">
        <v>78</v>
      </c>
      <c r="N713" s="9" t="n">
        <v>1</v>
      </c>
      <c r="O713" s="9" t="n">
        <v>4326.75</v>
      </c>
      <c r="P713" s="9" t="n">
        <v>0.05</v>
      </c>
      <c r="Q713" s="9" t="n">
        <v>4110.41</v>
      </c>
      <c r="R713" s="9" t="n">
        <v>2394.14</v>
      </c>
      <c r="S713" s="9" t="n">
        <v>1716.27</v>
      </c>
      <c r="T713" s="9" t="s">
        <v>160</v>
      </c>
      <c r="U713" s="9" t="s">
        <v>147</v>
      </c>
    </row>
    <row r="714" customFormat="false" ht="15" hidden="false" customHeight="false" outlineLevel="0" collapsed="false">
      <c r="A714" s="9" t="s">
        <v>3381</v>
      </c>
      <c r="B714" s="9" t="s">
        <v>2171</v>
      </c>
      <c r="C714" s="9" t="s">
        <v>3382</v>
      </c>
      <c r="D714" s="9" t="s">
        <v>3383</v>
      </c>
      <c r="E714" s="9" t="s">
        <v>75</v>
      </c>
      <c r="F714" s="9" t="s">
        <v>137</v>
      </c>
      <c r="G714" s="9" t="s">
        <v>95</v>
      </c>
      <c r="H714" s="9" t="s">
        <v>106</v>
      </c>
      <c r="I714" s="9" t="s">
        <v>107</v>
      </c>
      <c r="J714" s="9" t="s">
        <v>67</v>
      </c>
      <c r="K714" s="9" t="s">
        <v>98</v>
      </c>
      <c r="L714" s="9" t="s">
        <v>3384</v>
      </c>
      <c r="M714" s="9" t="s">
        <v>78</v>
      </c>
      <c r="N714" s="9" t="n">
        <v>7</v>
      </c>
      <c r="O714" s="9" t="n">
        <v>1382.86</v>
      </c>
      <c r="P714" s="9" t="n">
        <v>0</v>
      </c>
      <c r="Q714" s="9" t="n">
        <v>9680.02</v>
      </c>
      <c r="R714" s="9" t="n">
        <v>6876.66</v>
      </c>
      <c r="S714" s="9" t="n">
        <v>2803.36</v>
      </c>
      <c r="T714" s="9" t="s">
        <v>56</v>
      </c>
      <c r="U714" s="9" t="s">
        <v>57</v>
      </c>
    </row>
    <row r="715" customFormat="false" ht="15" hidden="false" customHeight="false" outlineLevel="0" collapsed="false">
      <c r="A715" s="9" t="s">
        <v>3385</v>
      </c>
      <c r="B715" s="9" t="s">
        <v>3386</v>
      </c>
      <c r="C715" s="9" t="s">
        <v>3232</v>
      </c>
      <c r="D715" s="9" t="s">
        <v>938</v>
      </c>
      <c r="E715" s="9" t="s">
        <v>62</v>
      </c>
      <c r="F715" s="9" t="s">
        <v>48</v>
      </c>
      <c r="G715" s="9" t="s">
        <v>95</v>
      </c>
      <c r="H715" s="9" t="s">
        <v>50</v>
      </c>
      <c r="I715" s="9" t="s">
        <v>158</v>
      </c>
      <c r="J715" s="9" t="s">
        <v>108</v>
      </c>
      <c r="K715" s="9" t="s">
        <v>409</v>
      </c>
      <c r="L715" s="9" t="s">
        <v>3387</v>
      </c>
      <c r="M715" s="9" t="s">
        <v>55</v>
      </c>
      <c r="N715" s="9" t="n">
        <v>1</v>
      </c>
      <c r="O715" s="9" t="n">
        <v>289.97</v>
      </c>
      <c r="P715" s="9" t="n">
        <v>0.25</v>
      </c>
      <c r="Q715" s="9" t="n">
        <v>217.48</v>
      </c>
      <c r="R715" s="9" t="n">
        <v>132.13</v>
      </c>
      <c r="S715" s="9" t="n">
        <v>85.35</v>
      </c>
      <c r="T715" s="9" t="s">
        <v>56</v>
      </c>
      <c r="U715" s="9" t="s">
        <v>57</v>
      </c>
    </row>
    <row r="716" customFormat="false" ht="15" hidden="false" customHeight="false" outlineLevel="0" collapsed="false">
      <c r="A716" s="9" t="s">
        <v>3388</v>
      </c>
      <c r="B716" s="9" t="s">
        <v>2156</v>
      </c>
      <c r="C716" s="9" t="s">
        <v>2274</v>
      </c>
      <c r="D716" s="9" t="s">
        <v>3389</v>
      </c>
      <c r="E716" s="9" t="s">
        <v>47</v>
      </c>
      <c r="F716" s="9" t="s">
        <v>137</v>
      </c>
      <c r="G716" s="9" t="s">
        <v>177</v>
      </c>
      <c r="H716" s="9" t="s">
        <v>535</v>
      </c>
      <c r="I716" s="9" t="s">
        <v>536</v>
      </c>
      <c r="J716" s="9" t="s">
        <v>108</v>
      </c>
      <c r="K716" s="9" t="s">
        <v>116</v>
      </c>
      <c r="L716" s="9" t="s">
        <v>3390</v>
      </c>
      <c r="M716" s="9" t="s">
        <v>89</v>
      </c>
      <c r="N716" s="9" t="n">
        <v>9</v>
      </c>
      <c r="O716" s="9" t="n">
        <v>2075.02</v>
      </c>
      <c r="P716" s="9" t="n">
        <v>0</v>
      </c>
      <c r="Q716" s="9" t="n">
        <v>18675.18</v>
      </c>
      <c r="R716" s="9" t="n">
        <v>13974.7</v>
      </c>
      <c r="S716" s="9" t="n">
        <v>4700.48</v>
      </c>
      <c r="T716" s="9" t="s">
        <v>56</v>
      </c>
      <c r="U716" s="9" t="s">
        <v>57</v>
      </c>
    </row>
    <row r="717" customFormat="false" ht="15" hidden="false" customHeight="false" outlineLevel="0" collapsed="false">
      <c r="A717" s="9" t="s">
        <v>3391</v>
      </c>
      <c r="B717" s="9" t="s">
        <v>481</v>
      </c>
      <c r="C717" s="9" t="s">
        <v>482</v>
      </c>
      <c r="D717" s="9" t="s">
        <v>3392</v>
      </c>
      <c r="E717" s="9" t="s">
        <v>165</v>
      </c>
      <c r="F717" s="9" t="s">
        <v>48</v>
      </c>
      <c r="G717" s="9" t="s">
        <v>177</v>
      </c>
      <c r="H717" s="9" t="s">
        <v>348</v>
      </c>
      <c r="I717" s="9" t="s">
        <v>349</v>
      </c>
      <c r="J717" s="9" t="s">
        <v>67</v>
      </c>
      <c r="K717" s="9" t="s">
        <v>98</v>
      </c>
      <c r="L717" s="9" t="s">
        <v>3393</v>
      </c>
      <c r="M717" s="9" t="s">
        <v>55</v>
      </c>
      <c r="N717" s="9" t="n">
        <v>7</v>
      </c>
      <c r="O717" s="9" t="n">
        <v>2843.09</v>
      </c>
      <c r="P717" s="9" t="n">
        <v>0</v>
      </c>
      <c r="Q717" s="9" t="n">
        <v>19901.63</v>
      </c>
      <c r="R717" s="9" t="n">
        <v>15492.03</v>
      </c>
      <c r="S717" s="9" t="n">
        <v>4409.6</v>
      </c>
      <c r="T717" s="9" t="s">
        <v>146</v>
      </c>
      <c r="U717" s="9" t="s">
        <v>100</v>
      </c>
    </row>
    <row r="718" customFormat="false" ht="15" hidden="false" customHeight="false" outlineLevel="0" collapsed="false">
      <c r="A718" s="9" t="s">
        <v>3394</v>
      </c>
      <c r="B718" s="9" t="s">
        <v>3395</v>
      </c>
      <c r="C718" s="9" t="s">
        <v>226</v>
      </c>
      <c r="D718" s="9" t="s">
        <v>3396</v>
      </c>
      <c r="E718" s="9" t="s">
        <v>234</v>
      </c>
      <c r="F718" s="9" t="s">
        <v>63</v>
      </c>
      <c r="G718" s="9" t="s">
        <v>177</v>
      </c>
      <c r="H718" s="9" t="s">
        <v>348</v>
      </c>
      <c r="I718" s="9" t="s">
        <v>349</v>
      </c>
      <c r="J718" s="9" t="s">
        <v>108</v>
      </c>
      <c r="K718" s="9" t="s">
        <v>247</v>
      </c>
      <c r="L718" s="9" t="s">
        <v>3397</v>
      </c>
      <c r="M718" s="9" t="s">
        <v>78</v>
      </c>
      <c r="N718" s="9" t="n">
        <v>1</v>
      </c>
      <c r="O718" s="9" t="n">
        <v>3388.02</v>
      </c>
      <c r="P718" s="9" t="n">
        <v>0.15</v>
      </c>
      <c r="Q718" s="9" t="n">
        <v>2879.82</v>
      </c>
      <c r="R718" s="9" t="n">
        <v>1824.88</v>
      </c>
      <c r="S718" s="9" t="n">
        <v>1054.94</v>
      </c>
      <c r="T718" s="9" t="s">
        <v>56</v>
      </c>
      <c r="U718" s="9" t="s">
        <v>57</v>
      </c>
    </row>
    <row r="719" customFormat="false" ht="15" hidden="false" customHeight="false" outlineLevel="0" collapsed="false">
      <c r="A719" s="9" t="s">
        <v>3398</v>
      </c>
      <c r="B719" s="9" t="s">
        <v>3399</v>
      </c>
      <c r="C719" s="9" t="s">
        <v>334</v>
      </c>
      <c r="D719" s="9" t="s">
        <v>3400</v>
      </c>
      <c r="E719" s="9" t="s">
        <v>393</v>
      </c>
      <c r="F719" s="9" t="s">
        <v>63</v>
      </c>
      <c r="G719" s="9" t="s">
        <v>177</v>
      </c>
      <c r="H719" s="9" t="s">
        <v>348</v>
      </c>
      <c r="I719" s="9" t="s">
        <v>349</v>
      </c>
      <c r="J719" s="9" t="s">
        <v>108</v>
      </c>
      <c r="K719" s="9" t="s">
        <v>409</v>
      </c>
      <c r="L719" s="9" t="s">
        <v>3401</v>
      </c>
      <c r="M719" s="9" t="s">
        <v>89</v>
      </c>
      <c r="N719" s="9" t="n">
        <v>9</v>
      </c>
      <c r="O719" s="9" t="n">
        <v>2598.92</v>
      </c>
      <c r="P719" s="9" t="n">
        <v>0.2</v>
      </c>
      <c r="Q719" s="9" t="n">
        <v>18712.22</v>
      </c>
      <c r="R719" s="9" t="n">
        <v>11852.22</v>
      </c>
      <c r="S719" s="9" t="n">
        <v>6860</v>
      </c>
      <c r="T719" s="9" t="s">
        <v>160</v>
      </c>
      <c r="U719" s="9" t="s">
        <v>100</v>
      </c>
    </row>
    <row r="720" customFormat="false" ht="15" hidden="false" customHeight="false" outlineLevel="0" collapsed="false">
      <c r="A720" s="9" t="s">
        <v>3402</v>
      </c>
      <c r="B720" s="9" t="s">
        <v>3403</v>
      </c>
      <c r="C720" s="9" t="s">
        <v>911</v>
      </c>
      <c r="D720" s="9" t="s">
        <v>3404</v>
      </c>
      <c r="E720" s="9" t="s">
        <v>62</v>
      </c>
      <c r="F720" s="9" t="s">
        <v>48</v>
      </c>
      <c r="G720" s="9" t="s">
        <v>95</v>
      </c>
      <c r="H720" s="9" t="s">
        <v>96</v>
      </c>
      <c r="I720" s="9" t="s">
        <v>97</v>
      </c>
      <c r="J720" s="9" t="s">
        <v>52</v>
      </c>
      <c r="K720" s="9" t="s">
        <v>76</v>
      </c>
      <c r="L720" s="9" t="s">
        <v>3405</v>
      </c>
      <c r="M720" s="9" t="s">
        <v>70</v>
      </c>
      <c r="N720" s="9" t="n">
        <v>3</v>
      </c>
      <c r="O720" s="9" t="n">
        <v>1972.27</v>
      </c>
      <c r="P720" s="9" t="n">
        <v>0.2</v>
      </c>
      <c r="Q720" s="9" t="n">
        <v>4733.45</v>
      </c>
      <c r="R720" s="9" t="n">
        <v>3672.32</v>
      </c>
      <c r="S720" s="9" t="n">
        <v>1061.13</v>
      </c>
      <c r="T720" s="9" t="s">
        <v>56</v>
      </c>
      <c r="U720" s="9" t="s">
        <v>57</v>
      </c>
    </row>
    <row r="721" customFormat="false" ht="15" hidden="false" customHeight="false" outlineLevel="0" collapsed="false">
      <c r="A721" s="9" t="s">
        <v>3406</v>
      </c>
      <c r="B721" s="9" t="s">
        <v>1764</v>
      </c>
      <c r="C721" s="9" t="s">
        <v>1765</v>
      </c>
      <c r="D721" s="9" t="s">
        <v>209</v>
      </c>
      <c r="E721" s="9" t="s">
        <v>393</v>
      </c>
      <c r="F721" s="9" t="s">
        <v>130</v>
      </c>
      <c r="G721" s="9" t="s">
        <v>95</v>
      </c>
      <c r="H721" s="9" t="s">
        <v>260</v>
      </c>
      <c r="I721" s="9" t="s">
        <v>261</v>
      </c>
      <c r="J721" s="9" t="s">
        <v>52</v>
      </c>
      <c r="K721" s="9" t="s">
        <v>76</v>
      </c>
      <c r="L721" s="9" t="s">
        <v>3407</v>
      </c>
      <c r="M721" s="9" t="s">
        <v>70</v>
      </c>
      <c r="N721" s="9" t="n">
        <v>2</v>
      </c>
      <c r="O721" s="9" t="n">
        <v>2372.41</v>
      </c>
      <c r="P721" s="9" t="n">
        <v>0.2</v>
      </c>
      <c r="Q721" s="9" t="n">
        <v>3795.86</v>
      </c>
      <c r="R721" s="9" t="n">
        <v>2264.92</v>
      </c>
      <c r="S721" s="9" t="n">
        <v>1530.94</v>
      </c>
      <c r="T721" s="9" t="s">
        <v>56</v>
      </c>
      <c r="U721" s="9" t="s">
        <v>57</v>
      </c>
    </row>
    <row r="722" customFormat="false" ht="15" hidden="false" customHeight="false" outlineLevel="0" collapsed="false">
      <c r="A722" s="9" t="s">
        <v>3408</v>
      </c>
      <c r="B722" s="9" t="s">
        <v>1145</v>
      </c>
      <c r="C722" s="9" t="s">
        <v>3409</v>
      </c>
      <c r="D722" s="9" t="s">
        <v>3410</v>
      </c>
      <c r="E722" s="9" t="s">
        <v>129</v>
      </c>
      <c r="F722" s="9" t="s">
        <v>137</v>
      </c>
      <c r="G722" s="9" t="s">
        <v>95</v>
      </c>
      <c r="H722" s="9" t="s">
        <v>106</v>
      </c>
      <c r="I722" s="9" t="s">
        <v>107</v>
      </c>
      <c r="J722" s="9" t="s">
        <v>108</v>
      </c>
      <c r="K722" s="9" t="s">
        <v>116</v>
      </c>
      <c r="L722" s="9" t="s">
        <v>3411</v>
      </c>
      <c r="M722" s="9" t="s">
        <v>70</v>
      </c>
      <c r="N722" s="9" t="n">
        <v>4</v>
      </c>
      <c r="O722" s="9" t="n">
        <v>4479.92</v>
      </c>
      <c r="P722" s="9" t="n">
        <v>0.15</v>
      </c>
      <c r="Q722" s="9" t="n">
        <v>15231.73</v>
      </c>
      <c r="R722" s="9" t="n">
        <v>12451.46</v>
      </c>
      <c r="S722" s="9" t="n">
        <v>2780.27</v>
      </c>
      <c r="T722" s="9" t="s">
        <v>56</v>
      </c>
      <c r="U722" s="9" t="s">
        <v>57</v>
      </c>
    </row>
    <row r="723" customFormat="false" ht="15" hidden="false" customHeight="false" outlineLevel="0" collapsed="false">
      <c r="A723" s="9" t="s">
        <v>3412</v>
      </c>
      <c r="B723" s="9" t="s">
        <v>279</v>
      </c>
      <c r="C723" s="9" t="s">
        <v>3413</v>
      </c>
      <c r="D723" s="9" t="s">
        <v>3414</v>
      </c>
      <c r="E723" s="9" t="s">
        <v>192</v>
      </c>
      <c r="F723" s="9" t="s">
        <v>48</v>
      </c>
      <c r="G723" s="9" t="s">
        <v>84</v>
      </c>
      <c r="H723" s="9" t="s">
        <v>254</v>
      </c>
      <c r="I723" s="9" t="s">
        <v>255</v>
      </c>
      <c r="J723" s="9" t="s">
        <v>108</v>
      </c>
      <c r="K723" s="9" t="s">
        <v>116</v>
      </c>
      <c r="L723" s="9" t="s">
        <v>3415</v>
      </c>
      <c r="M723" s="9" t="s">
        <v>78</v>
      </c>
      <c r="N723" s="9" t="n">
        <v>5</v>
      </c>
      <c r="O723" s="9" t="n">
        <v>2729.95</v>
      </c>
      <c r="P723" s="9" t="n">
        <v>0</v>
      </c>
      <c r="Q723" s="9" t="n">
        <v>13649.75</v>
      </c>
      <c r="R723" s="9" t="n">
        <v>10288.03</v>
      </c>
      <c r="S723" s="9" t="n">
        <v>3361.72</v>
      </c>
      <c r="T723" s="9" t="s">
        <v>56</v>
      </c>
      <c r="U723" s="9" t="s">
        <v>57</v>
      </c>
    </row>
    <row r="724" customFormat="false" ht="15" hidden="false" customHeight="false" outlineLevel="0" collapsed="false">
      <c r="A724" s="9" t="s">
        <v>3416</v>
      </c>
      <c r="B724" s="9" t="s">
        <v>2603</v>
      </c>
      <c r="C724" s="9" t="s">
        <v>3417</v>
      </c>
      <c r="D724" s="9" t="s">
        <v>3418</v>
      </c>
      <c r="E724" s="9" t="s">
        <v>105</v>
      </c>
      <c r="F724" s="9" t="s">
        <v>48</v>
      </c>
      <c r="G724" s="9" t="s">
        <v>64</v>
      </c>
      <c r="H724" s="9" t="s">
        <v>143</v>
      </c>
      <c r="I724" s="9" t="s">
        <v>144</v>
      </c>
      <c r="J724" s="9" t="s">
        <v>67</v>
      </c>
      <c r="K724" s="9" t="s">
        <v>98</v>
      </c>
      <c r="L724" s="9" t="s">
        <v>3419</v>
      </c>
      <c r="M724" s="9" t="s">
        <v>55</v>
      </c>
      <c r="N724" s="9" t="n">
        <v>9</v>
      </c>
      <c r="O724" s="9" t="n">
        <v>481.51</v>
      </c>
      <c r="P724" s="9"/>
      <c r="Q724" s="9" t="n">
        <v>4333.59</v>
      </c>
      <c r="R724" s="9" t="n">
        <v>2533.59</v>
      </c>
      <c r="S724" s="9" t="n">
        <v>1800</v>
      </c>
      <c r="T724" s="9" t="s">
        <v>146</v>
      </c>
      <c r="U724" s="9" t="s">
        <v>100</v>
      </c>
    </row>
    <row r="725" customFormat="false" ht="15" hidden="false" customHeight="false" outlineLevel="0" collapsed="false">
      <c r="A725" s="9" t="s">
        <v>3420</v>
      </c>
      <c r="B725" s="9" t="s">
        <v>922</v>
      </c>
      <c r="C725" s="9" t="s">
        <v>3421</v>
      </c>
      <c r="D725" s="9" t="s">
        <v>3422</v>
      </c>
      <c r="E725" s="9" t="s">
        <v>393</v>
      </c>
      <c r="F725" s="9" t="s">
        <v>137</v>
      </c>
      <c r="G725" s="9" t="s">
        <v>64</v>
      </c>
      <c r="H725" s="9" t="s">
        <v>336</v>
      </c>
      <c r="I725" s="9" t="s">
        <v>337</v>
      </c>
      <c r="J725" s="9" t="s">
        <v>108</v>
      </c>
      <c r="K725" s="9" t="s">
        <v>109</v>
      </c>
      <c r="L725" s="9" t="s">
        <v>3423</v>
      </c>
      <c r="M725" s="9" t="s">
        <v>89</v>
      </c>
      <c r="N725" s="9" t="n">
        <v>6</v>
      </c>
      <c r="O725" s="9" t="n">
        <v>2391.93</v>
      </c>
      <c r="P725" s="9" t="n">
        <v>0.05</v>
      </c>
      <c r="Q725" s="9" t="n">
        <v>13634</v>
      </c>
      <c r="R725" s="9" t="n">
        <v>9589.81</v>
      </c>
      <c r="S725" s="9" t="n">
        <v>4044.19</v>
      </c>
      <c r="T725" s="9" t="s">
        <v>224</v>
      </c>
      <c r="U725" s="9" t="s">
        <v>147</v>
      </c>
    </row>
    <row r="726" customFormat="false" ht="15" hidden="false" customHeight="false" outlineLevel="0" collapsed="false">
      <c r="A726" s="9" t="s">
        <v>3424</v>
      </c>
      <c r="B726" s="9" t="s">
        <v>3425</v>
      </c>
      <c r="C726" s="9" t="s">
        <v>1651</v>
      </c>
      <c r="D726" s="9" t="s">
        <v>3426</v>
      </c>
      <c r="E726" s="9" t="s">
        <v>47</v>
      </c>
      <c r="F726" s="9" t="s">
        <v>48</v>
      </c>
      <c r="G726" s="9" t="s">
        <v>95</v>
      </c>
      <c r="H726" s="9" t="s">
        <v>274</v>
      </c>
      <c r="I726" s="9" t="s">
        <v>275</v>
      </c>
      <c r="J726" s="9" t="s">
        <v>67</v>
      </c>
      <c r="K726" s="9" t="s">
        <v>87</v>
      </c>
      <c r="L726" s="9" t="s">
        <v>3427</v>
      </c>
      <c r="M726" s="9" t="s">
        <v>55</v>
      </c>
      <c r="N726" s="9" t="n">
        <v>3</v>
      </c>
      <c r="O726" s="9" t="n">
        <v>253.43</v>
      </c>
      <c r="P726" s="9" t="n">
        <v>0</v>
      </c>
      <c r="Q726" s="9" t="n">
        <v>760.29</v>
      </c>
      <c r="R726" s="9" t="n">
        <v>497.77</v>
      </c>
      <c r="S726" s="9" t="n">
        <v>262.52</v>
      </c>
      <c r="T726" s="9" t="s">
        <v>56</v>
      </c>
      <c r="U726" s="9" t="s">
        <v>57</v>
      </c>
    </row>
    <row r="727" customFormat="false" ht="15" hidden="false" customHeight="false" outlineLevel="0" collapsed="false">
      <c r="A727" s="9" t="s">
        <v>3428</v>
      </c>
      <c r="B727" s="9" t="s">
        <v>3429</v>
      </c>
      <c r="C727" s="9" t="s">
        <v>162</v>
      </c>
      <c r="D727" s="9" t="s">
        <v>3430</v>
      </c>
      <c r="E727" s="9" t="s">
        <v>165</v>
      </c>
      <c r="F727" s="9" t="s">
        <v>130</v>
      </c>
      <c r="G727" s="9" t="s">
        <v>84</v>
      </c>
      <c r="H727" s="9" t="s">
        <v>254</v>
      </c>
      <c r="I727" s="9" t="s">
        <v>255</v>
      </c>
      <c r="J727" s="9" t="s">
        <v>67</v>
      </c>
      <c r="K727" s="9" t="s">
        <v>68</v>
      </c>
      <c r="L727" s="9" t="s">
        <v>3431</v>
      </c>
      <c r="M727" s="9" t="s">
        <v>55</v>
      </c>
      <c r="N727" s="9" t="n">
        <v>7</v>
      </c>
      <c r="O727" s="9" t="n">
        <v>2134.73</v>
      </c>
      <c r="P727" s="9" t="n">
        <v>0</v>
      </c>
      <c r="Q727" s="9" t="n">
        <v>14943.11</v>
      </c>
      <c r="R727" s="9" t="n">
        <v>8521.5</v>
      </c>
      <c r="S727" s="9" t="n">
        <v>6421.61</v>
      </c>
      <c r="T727" s="9" t="s">
        <v>56</v>
      </c>
      <c r="U727" s="9" t="s">
        <v>57</v>
      </c>
    </row>
    <row r="728" customFormat="false" ht="15" hidden="false" customHeight="false" outlineLevel="0" collapsed="false">
      <c r="A728" s="9" t="s">
        <v>3432</v>
      </c>
      <c r="B728" s="9" t="s">
        <v>3433</v>
      </c>
      <c r="C728" s="9" t="s">
        <v>3434</v>
      </c>
      <c r="D728" s="9" t="s">
        <v>3435</v>
      </c>
      <c r="E728" s="9" t="s">
        <v>393</v>
      </c>
      <c r="F728" s="9" t="s">
        <v>137</v>
      </c>
      <c r="G728" s="9" t="s">
        <v>95</v>
      </c>
      <c r="H728" s="9" t="s">
        <v>260</v>
      </c>
      <c r="I728" s="9" t="s">
        <v>261</v>
      </c>
      <c r="J728" s="9" t="s">
        <v>108</v>
      </c>
      <c r="K728" s="9" t="s">
        <v>247</v>
      </c>
      <c r="L728" s="9" t="s">
        <v>3436</v>
      </c>
      <c r="M728" s="9" t="s">
        <v>89</v>
      </c>
      <c r="N728" s="9" t="n">
        <v>5</v>
      </c>
      <c r="O728" s="9" t="n">
        <v>2018</v>
      </c>
      <c r="P728" s="9" t="n">
        <v>0.2</v>
      </c>
      <c r="Q728" s="9" t="n">
        <v>8072</v>
      </c>
      <c r="R728" s="9" t="n">
        <v>5379.22</v>
      </c>
      <c r="S728" s="9" t="n">
        <v>2692.78</v>
      </c>
      <c r="T728" s="9" t="s">
        <v>160</v>
      </c>
      <c r="U728" s="9" t="s">
        <v>147</v>
      </c>
    </row>
    <row r="729" customFormat="false" ht="15" hidden="false" customHeight="false" outlineLevel="0" collapsed="false">
      <c r="A729" s="9" t="s">
        <v>3437</v>
      </c>
      <c r="B729" s="9" t="s">
        <v>3438</v>
      </c>
      <c r="C729" s="9" t="s">
        <v>3438</v>
      </c>
      <c r="D729" s="9" t="s">
        <v>3439</v>
      </c>
      <c r="E729" s="9" t="s">
        <v>186</v>
      </c>
      <c r="F729" s="9" t="s">
        <v>63</v>
      </c>
      <c r="G729" s="9" t="s">
        <v>64</v>
      </c>
      <c r="H729" s="9" t="s">
        <v>240</v>
      </c>
      <c r="I729" s="9" t="s">
        <v>241</v>
      </c>
      <c r="J729" s="9" t="s">
        <v>108</v>
      </c>
      <c r="K729" s="9" t="s">
        <v>109</v>
      </c>
      <c r="L729" s="9" t="s">
        <v>3440</v>
      </c>
      <c r="M729" s="9" t="s">
        <v>55</v>
      </c>
      <c r="N729" s="9" t="n">
        <v>8</v>
      </c>
      <c r="O729" s="9" t="n">
        <v>3730.66</v>
      </c>
      <c r="P729" s="9" t="n">
        <v>0.05</v>
      </c>
      <c r="Q729" s="9" t="n">
        <v>28353.02</v>
      </c>
      <c r="R729" s="9" t="n">
        <v>19257.85</v>
      </c>
      <c r="S729" s="9" t="n">
        <v>9095.17</v>
      </c>
      <c r="T729" s="9" t="s">
        <v>56</v>
      </c>
      <c r="U729" s="9" t="s">
        <v>57</v>
      </c>
    </row>
    <row r="730" customFormat="false" ht="15" hidden="false" customHeight="false" outlineLevel="0" collapsed="false">
      <c r="A730" s="9" t="s">
        <v>3441</v>
      </c>
      <c r="B730" s="9" t="s">
        <v>3101</v>
      </c>
      <c r="C730" s="9" t="s">
        <v>1802</v>
      </c>
      <c r="D730" s="9" t="s">
        <v>3442</v>
      </c>
      <c r="E730" s="9" t="s">
        <v>192</v>
      </c>
      <c r="F730" s="9" t="s">
        <v>63</v>
      </c>
      <c r="G730" s="9" t="s">
        <v>84</v>
      </c>
      <c r="H730" s="9" t="s">
        <v>254</v>
      </c>
      <c r="I730" s="9" t="s">
        <v>255</v>
      </c>
      <c r="J730" s="9" t="s">
        <v>108</v>
      </c>
      <c r="K730" s="9" t="s">
        <v>409</v>
      </c>
      <c r="L730" s="9" t="s">
        <v>3443</v>
      </c>
      <c r="M730" s="9" t="s">
        <v>78</v>
      </c>
      <c r="N730" s="9" t="n">
        <v>1</v>
      </c>
      <c r="O730" s="9" t="n">
        <v>2363.02</v>
      </c>
      <c r="P730" s="9" t="n">
        <v>0.15</v>
      </c>
      <c r="Q730" s="9" t="n">
        <v>2008.57</v>
      </c>
      <c r="R730" s="9" t="n">
        <v>1194.83</v>
      </c>
      <c r="S730" s="9" t="n">
        <v>813.74</v>
      </c>
      <c r="T730" s="9" t="s">
        <v>56</v>
      </c>
      <c r="U730" s="9" t="s">
        <v>57</v>
      </c>
    </row>
    <row r="731" customFormat="false" ht="15" hidden="false" customHeight="false" outlineLevel="0" collapsed="false">
      <c r="A731" s="9" t="s">
        <v>3444</v>
      </c>
      <c r="B731" s="9" t="s">
        <v>3445</v>
      </c>
      <c r="C731" s="9" t="s">
        <v>3446</v>
      </c>
      <c r="D731" s="9" t="s">
        <v>3447</v>
      </c>
      <c r="E731" s="9" t="s">
        <v>94</v>
      </c>
      <c r="F731" s="9" t="s">
        <v>130</v>
      </c>
      <c r="G731" s="9" t="s">
        <v>84</v>
      </c>
      <c r="H731" s="9" t="s">
        <v>364</v>
      </c>
      <c r="I731" s="9" t="s">
        <v>365</v>
      </c>
      <c r="J731" s="9" t="s">
        <v>108</v>
      </c>
      <c r="K731" s="9" t="s">
        <v>409</v>
      </c>
      <c r="L731" s="9" t="s">
        <v>3448</v>
      </c>
      <c r="M731" s="9" t="s">
        <v>70</v>
      </c>
      <c r="N731" s="9" t="n">
        <v>6</v>
      </c>
      <c r="O731" s="9" t="n">
        <v>1810.63</v>
      </c>
      <c r="P731" s="9" t="n">
        <v>0.15</v>
      </c>
      <c r="Q731" s="9" t="n">
        <v>9234.21</v>
      </c>
      <c r="R731" s="9" t="n">
        <v>5516.52</v>
      </c>
      <c r="S731" s="9" t="n">
        <v>3717.69</v>
      </c>
      <c r="T731" s="9" t="s">
        <v>56</v>
      </c>
      <c r="U731" s="9" t="s">
        <v>57</v>
      </c>
    </row>
    <row r="732" customFormat="false" ht="15" hidden="false" customHeight="false" outlineLevel="0" collapsed="false">
      <c r="A732" s="9" t="s">
        <v>3449</v>
      </c>
      <c r="B732" s="9" t="s">
        <v>3450</v>
      </c>
      <c r="C732" s="9" t="s">
        <v>3361</v>
      </c>
      <c r="D732" s="9" t="s">
        <v>3451</v>
      </c>
      <c r="E732" s="9" t="s">
        <v>83</v>
      </c>
      <c r="F732" s="9" t="s">
        <v>48</v>
      </c>
      <c r="G732" s="9" t="s">
        <v>64</v>
      </c>
      <c r="H732" s="9" t="s">
        <v>143</v>
      </c>
      <c r="I732" s="9" t="s">
        <v>144</v>
      </c>
      <c r="J732" s="9" t="s">
        <v>52</v>
      </c>
      <c r="K732" s="9" t="s">
        <v>76</v>
      </c>
      <c r="L732" s="9" t="s">
        <v>3452</v>
      </c>
      <c r="M732" s="9" t="s">
        <v>55</v>
      </c>
      <c r="N732" s="9" t="n">
        <v>4</v>
      </c>
      <c r="O732" s="9" t="n">
        <v>782.01</v>
      </c>
      <c r="P732" s="9" t="n">
        <v>0.15</v>
      </c>
      <c r="Q732" s="9" t="n">
        <v>2658.83</v>
      </c>
      <c r="R732" s="9" t="n">
        <v>2226.97</v>
      </c>
      <c r="S732" s="9" t="n">
        <v>431.86</v>
      </c>
      <c r="T732" s="9" t="s">
        <v>146</v>
      </c>
      <c r="U732" s="9" t="s">
        <v>147</v>
      </c>
    </row>
    <row r="733" customFormat="false" ht="15" hidden="false" customHeight="false" outlineLevel="0" collapsed="false">
      <c r="A733" s="9" t="s">
        <v>3453</v>
      </c>
      <c r="B733" s="9" t="s">
        <v>3454</v>
      </c>
      <c r="C733" s="9" t="s">
        <v>3455</v>
      </c>
      <c r="D733" s="9" t="s">
        <v>3456</v>
      </c>
      <c r="E733" s="9" t="s">
        <v>94</v>
      </c>
      <c r="F733" s="9" t="s">
        <v>130</v>
      </c>
      <c r="G733" s="9" t="s">
        <v>64</v>
      </c>
      <c r="H733" s="9" t="s">
        <v>65</v>
      </c>
      <c r="I733" s="9" t="s">
        <v>66</v>
      </c>
      <c r="J733" s="9" t="s">
        <v>52</v>
      </c>
      <c r="K733" s="9" t="s">
        <v>222</v>
      </c>
      <c r="L733" s="9" t="s">
        <v>3457</v>
      </c>
      <c r="M733" s="9" t="s">
        <v>78</v>
      </c>
      <c r="N733" s="9" t="n">
        <v>4</v>
      </c>
      <c r="O733" s="9" t="n">
        <v>4376.68</v>
      </c>
      <c r="P733" s="9" t="n">
        <v>0.1</v>
      </c>
      <c r="Q733" s="9" t="n">
        <v>15756.05</v>
      </c>
      <c r="R733" s="9" t="n">
        <v>10245.44</v>
      </c>
      <c r="S733" s="9" t="n">
        <v>5510.61</v>
      </c>
      <c r="T733" s="9" t="s">
        <v>56</v>
      </c>
      <c r="U733" s="9" t="s">
        <v>57</v>
      </c>
    </row>
    <row r="734" customFormat="false" ht="15" hidden="false" customHeight="false" outlineLevel="0" collapsed="false">
      <c r="A734" s="9" t="s">
        <v>3458</v>
      </c>
      <c r="B734" s="9" t="s">
        <v>3459</v>
      </c>
      <c r="C734" s="9" t="s">
        <v>2868</v>
      </c>
      <c r="D734" s="9" t="s">
        <v>3460</v>
      </c>
      <c r="E734" s="9" t="s">
        <v>83</v>
      </c>
      <c r="F734" s="9" t="s">
        <v>63</v>
      </c>
      <c r="G734" s="9" t="s">
        <v>177</v>
      </c>
      <c r="H734" s="9" t="s">
        <v>178</v>
      </c>
      <c r="I734" s="9" t="s">
        <v>179</v>
      </c>
      <c r="J734" s="9" t="s">
        <v>108</v>
      </c>
      <c r="K734" s="9" t="s">
        <v>247</v>
      </c>
      <c r="L734" s="9" t="s">
        <v>3461</v>
      </c>
      <c r="M734" s="9" t="s">
        <v>89</v>
      </c>
      <c r="N734" s="9" t="n">
        <v>6</v>
      </c>
      <c r="O734" s="9" t="n">
        <v>2464.63</v>
      </c>
      <c r="P734" s="9" t="n">
        <v>0</v>
      </c>
      <c r="Q734" s="9" t="n">
        <v>14787.78</v>
      </c>
      <c r="R734" s="9" t="n">
        <v>8596.65</v>
      </c>
      <c r="S734" s="9" t="n">
        <v>6191.13</v>
      </c>
      <c r="T734" s="9" t="s">
        <v>56</v>
      </c>
      <c r="U734" s="9" t="s">
        <v>57</v>
      </c>
    </row>
    <row r="735" customFormat="false" ht="15" hidden="false" customHeight="false" outlineLevel="0" collapsed="false">
      <c r="A735" s="9" t="s">
        <v>3462</v>
      </c>
      <c r="B735" s="9" t="s">
        <v>1872</v>
      </c>
      <c r="C735" s="9" t="s">
        <v>3463</v>
      </c>
      <c r="D735" s="9" t="s">
        <v>3464</v>
      </c>
      <c r="E735" s="9" t="s">
        <v>186</v>
      </c>
      <c r="F735" s="9" t="s">
        <v>137</v>
      </c>
      <c r="G735" s="9" t="s">
        <v>177</v>
      </c>
      <c r="H735" s="9" t="s">
        <v>50</v>
      </c>
      <c r="I735" s="9" t="s">
        <v>51</v>
      </c>
      <c r="J735" s="9" t="s">
        <v>67</v>
      </c>
      <c r="K735" s="9" t="s">
        <v>87</v>
      </c>
      <c r="L735" s="9" t="s">
        <v>3465</v>
      </c>
      <c r="M735" s="9" t="s">
        <v>78</v>
      </c>
      <c r="N735" s="9" t="n">
        <v>9</v>
      </c>
      <c r="O735" s="9" t="n">
        <v>2797.96</v>
      </c>
      <c r="P735" s="9" t="n">
        <v>0</v>
      </c>
      <c r="Q735" s="9" t="n">
        <v>25181.64</v>
      </c>
      <c r="R735" s="9" t="n">
        <v>15337.9</v>
      </c>
      <c r="S735" s="9" t="n">
        <v>9843.74</v>
      </c>
      <c r="T735" s="9" t="s">
        <v>56</v>
      </c>
      <c r="U735" s="9" t="s">
        <v>57</v>
      </c>
    </row>
    <row r="736" customFormat="false" ht="15" hidden="false" customHeight="false" outlineLevel="0" collapsed="false">
      <c r="A736" s="9" t="s">
        <v>3466</v>
      </c>
      <c r="B736" s="9" t="s">
        <v>3467</v>
      </c>
      <c r="C736" s="9" t="s">
        <v>3467</v>
      </c>
      <c r="D736" s="9" t="s">
        <v>3468</v>
      </c>
      <c r="E736" s="9" t="s">
        <v>94</v>
      </c>
      <c r="F736" s="9" t="s">
        <v>63</v>
      </c>
      <c r="G736" s="9" t="s">
        <v>177</v>
      </c>
      <c r="H736" s="9" t="s">
        <v>50</v>
      </c>
      <c r="I736" s="9" t="s">
        <v>51</v>
      </c>
      <c r="J736" s="9" t="s">
        <v>108</v>
      </c>
      <c r="K736" s="9" t="s">
        <v>109</v>
      </c>
      <c r="L736" s="9" t="s">
        <v>3469</v>
      </c>
      <c r="M736" s="9" t="s">
        <v>78</v>
      </c>
      <c r="N736" s="9" t="n">
        <v>4</v>
      </c>
      <c r="O736" s="9" t="n">
        <v>2761.86</v>
      </c>
      <c r="P736" s="9" t="n">
        <v>0.2</v>
      </c>
      <c r="Q736" s="9" t="n">
        <v>8837.95</v>
      </c>
      <c r="R736" s="9" t="n">
        <v>6157.27</v>
      </c>
      <c r="S736" s="9" t="n">
        <v>2680.68</v>
      </c>
      <c r="T736" s="9" t="s">
        <v>56</v>
      </c>
      <c r="U736" s="9" t="s">
        <v>57</v>
      </c>
    </row>
    <row r="737" customFormat="false" ht="15" hidden="false" customHeight="false" outlineLevel="0" collapsed="false">
      <c r="A737" s="9" t="s">
        <v>3470</v>
      </c>
      <c r="B737" s="9" t="s">
        <v>3471</v>
      </c>
      <c r="C737" s="9" t="s">
        <v>2909</v>
      </c>
      <c r="D737" s="9" t="s">
        <v>3472</v>
      </c>
      <c r="E737" s="9" t="s">
        <v>62</v>
      </c>
      <c r="F737" s="9" t="s">
        <v>48</v>
      </c>
      <c r="G737" s="9" t="s">
        <v>95</v>
      </c>
      <c r="H737" s="9" t="s">
        <v>96</v>
      </c>
      <c r="I737" s="9" t="s">
        <v>97</v>
      </c>
      <c r="J737" s="9" t="s">
        <v>67</v>
      </c>
      <c r="K737" s="9" t="s">
        <v>68</v>
      </c>
      <c r="L737" s="9" t="s">
        <v>3473</v>
      </c>
      <c r="M737" s="9" t="s">
        <v>89</v>
      </c>
      <c r="N737" s="9" t="n">
        <v>6</v>
      </c>
      <c r="O737" s="9" t="n">
        <v>1515.79</v>
      </c>
      <c r="P737" s="9" t="n">
        <v>0.2</v>
      </c>
      <c r="Q737" s="9" t="n">
        <v>7275.79</v>
      </c>
      <c r="R737" s="9" t="n">
        <v>6152.87</v>
      </c>
      <c r="S737" s="9" t="n">
        <v>1122.92</v>
      </c>
      <c r="T737" s="9" t="s">
        <v>56</v>
      </c>
      <c r="U737" s="9" t="s">
        <v>57</v>
      </c>
    </row>
    <row r="738" customFormat="false" ht="15" hidden="false" customHeight="false" outlineLevel="0" collapsed="false">
      <c r="A738" s="9" t="s">
        <v>3474</v>
      </c>
      <c r="B738" s="9" t="s">
        <v>2868</v>
      </c>
      <c r="C738" s="9" t="s">
        <v>3475</v>
      </c>
      <c r="D738" s="9" t="s">
        <v>3476</v>
      </c>
      <c r="E738" s="9" t="s">
        <v>129</v>
      </c>
      <c r="F738" s="9" t="s">
        <v>48</v>
      </c>
      <c r="G738" s="9" t="s">
        <v>95</v>
      </c>
      <c r="H738" s="9" t="s">
        <v>96</v>
      </c>
      <c r="I738" s="9" t="s">
        <v>97</v>
      </c>
      <c r="J738" s="9" t="s">
        <v>67</v>
      </c>
      <c r="K738" s="9" t="s">
        <v>98</v>
      </c>
      <c r="L738" s="9" t="s">
        <v>3477</v>
      </c>
      <c r="M738" s="9" t="s">
        <v>55</v>
      </c>
      <c r="N738" s="9" t="n">
        <v>9</v>
      </c>
      <c r="O738" s="9" t="n">
        <v>290.75</v>
      </c>
      <c r="P738" s="9" t="n">
        <v>0.1</v>
      </c>
      <c r="Q738" s="9" t="n">
        <v>2355.08</v>
      </c>
      <c r="R738" s="9" t="n">
        <v>1350.03</v>
      </c>
      <c r="S738" s="9" t="n">
        <v>1005.05</v>
      </c>
      <c r="T738" s="9" t="s">
        <v>56</v>
      </c>
      <c r="U738" s="9" t="s">
        <v>57</v>
      </c>
    </row>
    <row r="739" customFormat="false" ht="15" hidden="false" customHeight="false" outlineLevel="0" collapsed="false">
      <c r="A739" s="9" t="s">
        <v>3478</v>
      </c>
      <c r="B739" s="9" t="s">
        <v>2292</v>
      </c>
      <c r="C739" s="9" t="s">
        <v>2171</v>
      </c>
      <c r="D739" s="9" t="s">
        <v>3479</v>
      </c>
      <c r="E739" s="9" t="s">
        <v>75</v>
      </c>
      <c r="F739" s="9" t="s">
        <v>3480</v>
      </c>
      <c r="G739" s="9" t="s">
        <v>95</v>
      </c>
      <c r="H739" s="9" t="s">
        <v>96</v>
      </c>
      <c r="I739" s="9" t="s">
        <v>97</v>
      </c>
      <c r="J739" s="9" t="s">
        <v>67</v>
      </c>
      <c r="K739" s="9" t="s">
        <v>98</v>
      </c>
      <c r="L739" s="9" t="s">
        <v>3481</v>
      </c>
      <c r="M739" s="9" t="s">
        <v>70</v>
      </c>
      <c r="N739" s="9" t="n">
        <v>6</v>
      </c>
      <c r="O739" s="9" t="n">
        <v>601.52</v>
      </c>
      <c r="P739" s="9" t="n">
        <v>0</v>
      </c>
      <c r="Q739" s="9" t="n">
        <v>3609.12</v>
      </c>
      <c r="R739" s="9" t="n">
        <v>2645.5</v>
      </c>
      <c r="S739" s="9" t="n">
        <v>963.62</v>
      </c>
      <c r="T739" s="9" t="s">
        <v>56</v>
      </c>
      <c r="U739" s="9" t="s">
        <v>57</v>
      </c>
    </row>
    <row r="740" customFormat="false" ht="15" hidden="false" customHeight="false" outlineLevel="0" collapsed="false">
      <c r="A740" s="9" t="s">
        <v>3482</v>
      </c>
      <c r="B740" s="9" t="s">
        <v>1606</v>
      </c>
      <c r="C740" s="9" t="s">
        <v>3483</v>
      </c>
      <c r="D740" s="9" t="s">
        <v>3484</v>
      </c>
      <c r="E740" s="9" t="s">
        <v>165</v>
      </c>
      <c r="F740" s="9" t="s">
        <v>130</v>
      </c>
      <c r="G740" s="9" t="s">
        <v>84</v>
      </c>
      <c r="H740" s="9" t="s">
        <v>267</v>
      </c>
      <c r="I740" s="9" t="s">
        <v>268</v>
      </c>
      <c r="J740" s="9" t="s">
        <v>52</v>
      </c>
      <c r="K740" s="9" t="s">
        <v>53</v>
      </c>
      <c r="L740" s="9" t="s">
        <v>3485</v>
      </c>
      <c r="M740" s="9" t="s">
        <v>78</v>
      </c>
      <c r="N740" s="9" t="n">
        <v>1</v>
      </c>
      <c r="O740" s="9" t="n">
        <v>2188.19</v>
      </c>
      <c r="P740" s="9" t="n">
        <v>0</v>
      </c>
      <c r="Q740" s="9" t="n">
        <v>2188.19</v>
      </c>
      <c r="R740" s="9" t="n">
        <v>1298.84</v>
      </c>
      <c r="S740" s="9" t="n">
        <v>889.35</v>
      </c>
      <c r="T740" s="9" t="s">
        <v>56</v>
      </c>
      <c r="U740" s="9" t="s">
        <v>57</v>
      </c>
    </row>
    <row r="741" customFormat="false" ht="15" hidden="false" customHeight="false" outlineLevel="0" collapsed="false">
      <c r="A741" s="9" t="s">
        <v>3486</v>
      </c>
      <c r="B741" s="9" t="s">
        <v>3487</v>
      </c>
      <c r="C741" s="9" t="s">
        <v>3488</v>
      </c>
      <c r="D741" s="9" t="s">
        <v>3489</v>
      </c>
      <c r="E741" s="9" t="s">
        <v>115</v>
      </c>
      <c r="F741" s="9" t="s">
        <v>130</v>
      </c>
      <c r="G741" s="9" t="s">
        <v>177</v>
      </c>
      <c r="H741" s="9" t="s">
        <v>50</v>
      </c>
      <c r="I741" s="9" t="s">
        <v>51</v>
      </c>
      <c r="J741" s="9" t="s">
        <v>108</v>
      </c>
      <c r="K741" s="9" t="s">
        <v>247</v>
      </c>
      <c r="L741" s="9" t="s">
        <v>3490</v>
      </c>
      <c r="M741" s="9" t="s">
        <v>89</v>
      </c>
      <c r="N741" s="9" t="n">
        <v>5</v>
      </c>
      <c r="O741" s="9" t="n">
        <v>2393.86</v>
      </c>
      <c r="P741" s="9" t="n">
        <v>0.05</v>
      </c>
      <c r="Q741" s="9" t="n">
        <v>11370.84</v>
      </c>
      <c r="R741" s="9" t="n">
        <v>7469.58</v>
      </c>
      <c r="S741" s="9" t="n">
        <v>3901.26</v>
      </c>
      <c r="T741" s="9" t="s">
        <v>56</v>
      </c>
      <c r="U741" s="9" t="s">
        <v>57</v>
      </c>
    </row>
    <row r="742" customFormat="false" ht="15" hidden="false" customHeight="false" outlineLevel="0" collapsed="false">
      <c r="A742" s="9" t="s">
        <v>3491</v>
      </c>
      <c r="B742" s="9" t="s">
        <v>3492</v>
      </c>
      <c r="C742" s="9" t="s">
        <v>2213</v>
      </c>
      <c r="D742" s="9" t="s">
        <v>813</v>
      </c>
      <c r="E742" s="9" t="s">
        <v>192</v>
      </c>
      <c r="F742" s="9" t="s">
        <v>63</v>
      </c>
      <c r="G742" s="9" t="s">
        <v>95</v>
      </c>
      <c r="H742" s="9" t="s">
        <v>96</v>
      </c>
      <c r="I742" s="9" t="s">
        <v>97</v>
      </c>
      <c r="J742" s="9" t="s">
        <v>67</v>
      </c>
      <c r="K742" s="9" t="s">
        <v>98</v>
      </c>
      <c r="L742" s="9" t="s">
        <v>3493</v>
      </c>
      <c r="M742" s="9" t="s">
        <v>78</v>
      </c>
      <c r="N742" s="9" t="n">
        <v>4</v>
      </c>
      <c r="O742" s="9" t="n">
        <v>2583</v>
      </c>
      <c r="P742" s="9" t="n">
        <v>0.1</v>
      </c>
      <c r="Q742" s="9" t="n">
        <v>9298.8</v>
      </c>
      <c r="R742" s="9" t="n">
        <v>6548.5</v>
      </c>
      <c r="S742" s="9" t="n">
        <v>2750.3</v>
      </c>
      <c r="T742" s="9" t="s">
        <v>56</v>
      </c>
      <c r="U742" s="9" t="s">
        <v>57</v>
      </c>
    </row>
    <row r="743" customFormat="false" ht="15" hidden="false" customHeight="false" outlineLevel="0" collapsed="false">
      <c r="A743" s="9" t="s">
        <v>3494</v>
      </c>
      <c r="B743" s="9" t="s">
        <v>3495</v>
      </c>
      <c r="C743" s="9" t="s">
        <v>3496</v>
      </c>
      <c r="D743" s="9" t="s">
        <v>3497</v>
      </c>
      <c r="E743" s="9" t="s">
        <v>75</v>
      </c>
      <c r="F743" s="9" t="s">
        <v>137</v>
      </c>
      <c r="G743" s="9" t="s">
        <v>84</v>
      </c>
      <c r="H743" s="9" t="s">
        <v>364</v>
      </c>
      <c r="I743" s="9" t="s">
        <v>365</v>
      </c>
      <c r="J743" s="9" t="s">
        <v>67</v>
      </c>
      <c r="K743" s="9" t="s">
        <v>98</v>
      </c>
      <c r="L743" s="9" t="s">
        <v>3498</v>
      </c>
      <c r="M743" s="9" t="s">
        <v>55</v>
      </c>
      <c r="N743" s="9" t="n">
        <v>3</v>
      </c>
      <c r="O743" s="9" t="n">
        <v>2951.12</v>
      </c>
      <c r="P743" s="9"/>
      <c r="Q743" s="9" t="n">
        <v>7082.69</v>
      </c>
      <c r="R743" s="9" t="n">
        <v>5596.34</v>
      </c>
      <c r="S743" s="9" t="n">
        <v>1486.35</v>
      </c>
      <c r="T743" s="9" t="s">
        <v>56</v>
      </c>
      <c r="U743" s="9" t="s">
        <v>100</v>
      </c>
    </row>
    <row r="744" customFormat="false" ht="15" hidden="false" customHeight="false" outlineLevel="0" collapsed="false">
      <c r="A744" s="9" t="s">
        <v>3499</v>
      </c>
      <c r="B744" s="9" t="s">
        <v>3500</v>
      </c>
      <c r="C744" s="9" t="s">
        <v>3501</v>
      </c>
      <c r="D744" s="9" t="s">
        <v>3502</v>
      </c>
      <c r="E744" s="9" t="s">
        <v>47</v>
      </c>
      <c r="F744" s="9" t="s">
        <v>130</v>
      </c>
      <c r="G744" s="9" t="s">
        <v>3503</v>
      </c>
      <c r="H744" s="9" t="s">
        <v>65</v>
      </c>
      <c r="I744" s="9" t="s">
        <v>66</v>
      </c>
      <c r="J744" s="9" t="s">
        <v>52</v>
      </c>
      <c r="K744" s="9" t="s">
        <v>53</v>
      </c>
      <c r="L744" s="9" t="s">
        <v>3504</v>
      </c>
      <c r="M744" s="9" t="s">
        <v>89</v>
      </c>
      <c r="N744" s="9" t="n">
        <v>4</v>
      </c>
      <c r="O744" s="9" t="n">
        <v>2260.95</v>
      </c>
      <c r="P744" s="9" t="n">
        <v>0</v>
      </c>
      <c r="Q744" s="9" t="n">
        <v>9043.8</v>
      </c>
      <c r="R744" s="9" t="n">
        <v>5913.38</v>
      </c>
      <c r="S744" s="9" t="n">
        <v>3130.42</v>
      </c>
      <c r="T744" s="9" t="s">
        <v>56</v>
      </c>
      <c r="U744" s="9" t="s">
        <v>57</v>
      </c>
    </row>
    <row r="745" customFormat="false" ht="15" hidden="false" customHeight="false" outlineLevel="0" collapsed="false">
      <c r="A745" s="9" t="s">
        <v>3505</v>
      </c>
      <c r="B745" s="9" t="s">
        <v>1436</v>
      </c>
      <c r="C745" s="9" t="s">
        <v>1980</v>
      </c>
      <c r="D745" s="9" t="s">
        <v>3506</v>
      </c>
      <c r="E745" s="9" t="s">
        <v>192</v>
      </c>
      <c r="F745" s="9" t="s">
        <v>48</v>
      </c>
      <c r="G745" s="9" t="s">
        <v>177</v>
      </c>
      <c r="H745" s="9" t="s">
        <v>198</v>
      </c>
      <c r="I745" s="9" t="s">
        <v>199</v>
      </c>
      <c r="J745" s="9" t="s">
        <v>52</v>
      </c>
      <c r="K745" s="9" t="s">
        <v>76</v>
      </c>
      <c r="L745" s="9" t="s">
        <v>3507</v>
      </c>
      <c r="M745" s="9" t="s">
        <v>89</v>
      </c>
      <c r="N745" s="9" t="n">
        <v>6</v>
      </c>
      <c r="O745" s="9" t="n">
        <v>491.4</v>
      </c>
      <c r="P745" s="9" t="n">
        <v>0.25</v>
      </c>
      <c r="Q745" s="9" t="n">
        <v>2211.3</v>
      </c>
      <c r="R745" s="9" t="n">
        <v>1735.64</v>
      </c>
      <c r="S745" s="9" t="n">
        <v>475.66</v>
      </c>
      <c r="T745" s="9" t="s">
        <v>56</v>
      </c>
      <c r="U745" s="9" t="s">
        <v>57</v>
      </c>
    </row>
    <row r="746" customFormat="false" ht="15" hidden="false" customHeight="false" outlineLevel="0" collapsed="false">
      <c r="A746" s="9" t="s">
        <v>3508</v>
      </c>
      <c r="B746" s="9" t="s">
        <v>3509</v>
      </c>
      <c r="C746" s="9" t="s">
        <v>1510</v>
      </c>
      <c r="D746" s="9" t="s">
        <v>3510</v>
      </c>
      <c r="E746" s="9" t="s">
        <v>62</v>
      </c>
      <c r="F746" s="9" t="s">
        <v>137</v>
      </c>
      <c r="G746" s="9" t="s">
        <v>177</v>
      </c>
      <c r="H746" s="9" t="s">
        <v>178</v>
      </c>
      <c r="I746" s="9" t="s">
        <v>179</v>
      </c>
      <c r="J746" s="9" t="s">
        <v>52</v>
      </c>
      <c r="K746" s="9" t="s">
        <v>222</v>
      </c>
      <c r="L746" s="9" t="s">
        <v>3511</v>
      </c>
      <c r="M746" s="9" t="s">
        <v>78</v>
      </c>
      <c r="N746" s="9" t="n">
        <v>5</v>
      </c>
      <c r="O746" s="9" t="n">
        <v>2701.89</v>
      </c>
      <c r="P746" s="9" t="n">
        <v>0.1</v>
      </c>
      <c r="Q746" s="9" t="n">
        <v>12158.5</v>
      </c>
      <c r="R746" s="9" t="n">
        <v>10260.07</v>
      </c>
      <c r="S746" s="9" t="n">
        <v>1898.43</v>
      </c>
      <c r="T746" s="9" t="s">
        <v>56</v>
      </c>
      <c r="U746" s="9" t="s">
        <v>100</v>
      </c>
    </row>
    <row r="747" customFormat="false" ht="15" hidden="false" customHeight="false" outlineLevel="0" collapsed="false">
      <c r="A747" s="9" t="s">
        <v>3512</v>
      </c>
      <c r="B747" s="9" t="s">
        <v>3513</v>
      </c>
      <c r="C747" s="9" t="s">
        <v>3514</v>
      </c>
      <c r="D747" s="9" t="s">
        <v>3515</v>
      </c>
      <c r="E747" s="9" t="s">
        <v>62</v>
      </c>
      <c r="F747" s="9" t="s">
        <v>63</v>
      </c>
      <c r="G747" s="9" t="s">
        <v>64</v>
      </c>
      <c r="H747" s="9" t="s">
        <v>240</v>
      </c>
      <c r="I747" s="9" t="s">
        <v>241</v>
      </c>
      <c r="J747" s="9" t="s">
        <v>108</v>
      </c>
      <c r="K747" s="9" t="s">
        <v>116</v>
      </c>
      <c r="L747" s="9" t="s">
        <v>3516</v>
      </c>
      <c r="M747" s="9" t="s">
        <v>89</v>
      </c>
      <c r="N747" s="9" t="n">
        <v>3</v>
      </c>
      <c r="O747" s="9" t="n">
        <v>723.59</v>
      </c>
      <c r="P747" s="9" t="n">
        <v>0.2</v>
      </c>
      <c r="Q747" s="9" t="n">
        <v>1736.62</v>
      </c>
      <c r="R747" s="9" t="n">
        <v>1059.52</v>
      </c>
      <c r="S747" s="9" t="n">
        <v>677.1</v>
      </c>
      <c r="T747" s="9" t="s">
        <v>56</v>
      </c>
      <c r="U747" s="9" t="s">
        <v>57</v>
      </c>
    </row>
    <row r="748" customFormat="false" ht="15" hidden="false" customHeight="false" outlineLevel="0" collapsed="false">
      <c r="A748" s="9" t="s">
        <v>3517</v>
      </c>
      <c r="B748" s="9" t="s">
        <v>1386</v>
      </c>
      <c r="C748" s="9" t="s">
        <v>3518</v>
      </c>
      <c r="D748" s="9" t="s">
        <v>3102</v>
      </c>
      <c r="E748" s="9" t="s">
        <v>186</v>
      </c>
      <c r="F748" s="9" t="s">
        <v>137</v>
      </c>
      <c r="G748" s="9" t="s">
        <v>64</v>
      </c>
      <c r="H748" s="9" t="s">
        <v>143</v>
      </c>
      <c r="I748" s="9" t="s">
        <v>144</v>
      </c>
      <c r="J748" s="9" t="s">
        <v>52</v>
      </c>
      <c r="K748" s="9" t="s">
        <v>53</v>
      </c>
      <c r="L748" s="9" t="s">
        <v>3519</v>
      </c>
      <c r="M748" s="9" t="s">
        <v>89</v>
      </c>
      <c r="N748" s="9" t="n">
        <v>4</v>
      </c>
      <c r="O748" s="9" t="n">
        <v>2583.19</v>
      </c>
      <c r="P748" s="9" t="n">
        <v>0.2</v>
      </c>
      <c r="Q748" s="9" t="n">
        <v>8266.21</v>
      </c>
      <c r="R748" s="9" t="n">
        <v>6236.32</v>
      </c>
      <c r="S748" s="9" t="n">
        <v>2029.89</v>
      </c>
      <c r="T748" s="9" t="s">
        <v>56</v>
      </c>
      <c r="U748" s="9" t="s">
        <v>57</v>
      </c>
    </row>
    <row r="749" customFormat="false" ht="15" hidden="false" customHeight="false" outlineLevel="0" collapsed="false">
      <c r="A749" s="9" t="s">
        <v>3520</v>
      </c>
      <c r="B749" s="9" t="s">
        <v>3521</v>
      </c>
      <c r="C749" s="9" t="s">
        <v>3522</v>
      </c>
      <c r="D749" s="9" t="s">
        <v>3523</v>
      </c>
      <c r="E749" s="9" t="s">
        <v>75</v>
      </c>
      <c r="F749" s="9" t="s">
        <v>137</v>
      </c>
      <c r="G749" s="9" t="s">
        <v>64</v>
      </c>
      <c r="H749" s="9" t="s">
        <v>65</v>
      </c>
      <c r="I749" s="9" t="s">
        <v>66</v>
      </c>
      <c r="J749" s="9" t="s">
        <v>52</v>
      </c>
      <c r="K749" s="9" t="s">
        <v>53</v>
      </c>
      <c r="L749" s="9" t="s">
        <v>3524</v>
      </c>
      <c r="M749" s="9" t="s">
        <v>70</v>
      </c>
      <c r="N749" s="9" t="n">
        <v>8</v>
      </c>
      <c r="O749" s="9" t="n">
        <v>1473.83</v>
      </c>
      <c r="P749" s="9" t="n">
        <v>0.15</v>
      </c>
      <c r="Q749" s="9" t="n">
        <v>10022.04</v>
      </c>
      <c r="R749" s="9" t="n">
        <v>5576.98</v>
      </c>
      <c r="S749" s="9" t="n">
        <v>4445.06</v>
      </c>
      <c r="T749" s="9" t="s">
        <v>56</v>
      </c>
      <c r="U749" s="9" t="s">
        <v>57</v>
      </c>
    </row>
    <row r="750" customFormat="false" ht="15" hidden="false" customHeight="false" outlineLevel="0" collapsed="false">
      <c r="A750" s="9" t="s">
        <v>3525</v>
      </c>
      <c r="B750" s="9" t="s">
        <v>3526</v>
      </c>
      <c r="C750" s="9" t="s">
        <v>3527</v>
      </c>
      <c r="D750" s="9" t="s">
        <v>3528</v>
      </c>
      <c r="E750" s="9" t="s">
        <v>234</v>
      </c>
      <c r="F750" s="9" t="s">
        <v>137</v>
      </c>
      <c r="G750" s="9" t="s">
        <v>177</v>
      </c>
      <c r="H750" s="9" t="s">
        <v>348</v>
      </c>
      <c r="I750" s="9" t="s">
        <v>349</v>
      </c>
      <c r="J750" s="9" t="s">
        <v>108</v>
      </c>
      <c r="K750" s="9" t="s">
        <v>247</v>
      </c>
      <c r="L750" s="9" t="s">
        <v>3529</v>
      </c>
      <c r="M750" s="9" t="s">
        <v>55</v>
      </c>
      <c r="N750" s="9" t="n">
        <v>1</v>
      </c>
      <c r="O750" s="9" t="n">
        <v>3848.04</v>
      </c>
      <c r="P750" s="9" t="n">
        <v>0.25</v>
      </c>
      <c r="Q750" s="9" t="n">
        <v>2886.03</v>
      </c>
      <c r="R750" s="9" t="n">
        <v>2064.83</v>
      </c>
      <c r="S750" s="9" t="n">
        <v>821.2</v>
      </c>
      <c r="T750" s="9" t="s">
        <v>56</v>
      </c>
      <c r="U750" s="9" t="s">
        <v>57</v>
      </c>
    </row>
    <row r="751" customFormat="false" ht="15" hidden="false" customHeight="false" outlineLevel="0" collapsed="false">
      <c r="A751" s="9" t="s">
        <v>3530</v>
      </c>
      <c r="B751" s="9" t="s">
        <v>3531</v>
      </c>
      <c r="C751" s="9" t="s">
        <v>3532</v>
      </c>
      <c r="D751" s="9" t="s">
        <v>3533</v>
      </c>
      <c r="E751" s="9" t="s">
        <v>129</v>
      </c>
      <c r="F751" s="9" t="s">
        <v>137</v>
      </c>
      <c r="G751" s="9" t="s">
        <v>64</v>
      </c>
      <c r="H751" s="9" t="s">
        <v>240</v>
      </c>
      <c r="I751" s="9" t="s">
        <v>241</v>
      </c>
      <c r="J751" s="9" t="s">
        <v>108</v>
      </c>
      <c r="K751" s="9" t="s">
        <v>409</v>
      </c>
      <c r="L751" s="9" t="s">
        <v>3534</v>
      </c>
      <c r="M751" s="9" t="s">
        <v>89</v>
      </c>
      <c r="N751" s="9" t="n">
        <v>1</v>
      </c>
      <c r="O751" s="9" t="n">
        <v>1716.7</v>
      </c>
      <c r="P751" s="9" t="n">
        <v>0.15</v>
      </c>
      <c r="Q751" s="9" t="n">
        <v>1459.19</v>
      </c>
      <c r="R751" s="9" t="n">
        <v>1055.79</v>
      </c>
      <c r="S751" s="9" t="n">
        <v>403.4</v>
      </c>
      <c r="T751" s="9" t="s">
        <v>56</v>
      </c>
      <c r="U751" s="9" t="s">
        <v>57</v>
      </c>
    </row>
    <row r="752" customFormat="false" ht="15" hidden="false" customHeight="false" outlineLevel="0" collapsed="false">
      <c r="A752" s="9" t="s">
        <v>3535</v>
      </c>
      <c r="B752" s="9" t="s">
        <v>3536</v>
      </c>
      <c r="C752" s="9" t="s">
        <v>402</v>
      </c>
      <c r="D752" s="9" t="s">
        <v>3537</v>
      </c>
      <c r="E752" s="9" t="s">
        <v>186</v>
      </c>
      <c r="F752" s="9" t="s">
        <v>137</v>
      </c>
      <c r="G752" s="9" t="s">
        <v>84</v>
      </c>
      <c r="H752" s="9" t="s">
        <v>85</v>
      </c>
      <c r="I752" s="9" t="s">
        <v>86</v>
      </c>
      <c r="J752" s="9" t="s">
        <v>108</v>
      </c>
      <c r="K752" s="9" t="s">
        <v>109</v>
      </c>
      <c r="L752" s="9" t="s">
        <v>3538</v>
      </c>
      <c r="M752" s="9" t="s">
        <v>78</v>
      </c>
      <c r="N752" s="9" t="n">
        <v>8</v>
      </c>
      <c r="O752" s="9" t="n">
        <v>3925.93</v>
      </c>
      <c r="P752" s="9" t="n">
        <v>0.15</v>
      </c>
      <c r="Q752" s="9" t="n">
        <v>26696.32</v>
      </c>
      <c r="R752" s="9" t="n">
        <v>22724.52</v>
      </c>
      <c r="S752" s="9" t="n">
        <v>3971.8</v>
      </c>
      <c r="T752" s="9" t="s">
        <v>56</v>
      </c>
      <c r="U752" s="9" t="s">
        <v>57</v>
      </c>
    </row>
    <row r="753" customFormat="false" ht="15" hidden="false" customHeight="false" outlineLevel="0" collapsed="false">
      <c r="A753" s="9" t="s">
        <v>3539</v>
      </c>
      <c r="B753" s="9" t="s">
        <v>754</v>
      </c>
      <c r="C753" s="9" t="s">
        <v>3540</v>
      </c>
      <c r="D753" s="9" t="s">
        <v>3541</v>
      </c>
      <c r="E753" s="9" t="s">
        <v>165</v>
      </c>
      <c r="F753" s="9" t="s">
        <v>137</v>
      </c>
      <c r="G753" s="9"/>
      <c r="H753" s="9" t="s">
        <v>198</v>
      </c>
      <c r="I753" s="9" t="s">
        <v>199</v>
      </c>
      <c r="J753" s="9" t="s">
        <v>108</v>
      </c>
      <c r="K753" s="9" t="s">
        <v>409</v>
      </c>
      <c r="L753" s="9" t="s">
        <v>3542</v>
      </c>
      <c r="M753" s="9"/>
      <c r="N753" s="9" t="n">
        <v>3</v>
      </c>
      <c r="O753" s="9" t="n">
        <v>2963.25</v>
      </c>
      <c r="P753" s="9" t="n">
        <v>0.05</v>
      </c>
      <c r="Q753" s="9" t="n">
        <v>8445.26</v>
      </c>
      <c r="R753" s="9" t="n">
        <v>6937.6</v>
      </c>
      <c r="S753" s="9" t="n">
        <v>1507.66</v>
      </c>
      <c r="T753" s="9" t="s">
        <v>56</v>
      </c>
      <c r="U753" s="9" t="s">
        <v>57</v>
      </c>
    </row>
    <row r="754" customFormat="false" ht="15" hidden="false" customHeight="false" outlineLevel="0" collapsed="false">
      <c r="A754" s="9" t="s">
        <v>3543</v>
      </c>
      <c r="B754" s="9" t="s">
        <v>2260</v>
      </c>
      <c r="C754" s="9" t="s">
        <v>3212</v>
      </c>
      <c r="D754" s="9" t="s">
        <v>3544</v>
      </c>
      <c r="E754" s="9" t="s">
        <v>129</v>
      </c>
      <c r="F754" s="9" t="s">
        <v>130</v>
      </c>
      <c r="G754" s="9" t="s">
        <v>3545</v>
      </c>
      <c r="H754" s="9" t="s">
        <v>260</v>
      </c>
      <c r="I754" s="9" t="s">
        <v>261</v>
      </c>
      <c r="J754" s="9" t="s">
        <v>52</v>
      </c>
      <c r="K754" s="9" t="s">
        <v>180</v>
      </c>
      <c r="L754" s="9" t="s">
        <v>3546</v>
      </c>
      <c r="M754" s="9" t="s">
        <v>78</v>
      </c>
      <c r="N754" s="9" t="n">
        <v>5</v>
      </c>
      <c r="O754" s="9" t="n">
        <v>2465.22</v>
      </c>
      <c r="P754" s="9" t="n">
        <v>0.05</v>
      </c>
      <c r="Q754" s="9" t="n">
        <v>11709.79</v>
      </c>
      <c r="R754" s="9" t="n">
        <v>8372.29</v>
      </c>
      <c r="S754" s="9" t="n">
        <v>3337.5</v>
      </c>
      <c r="T754" s="9" t="s">
        <v>56</v>
      </c>
      <c r="U754" s="9" t="s">
        <v>57</v>
      </c>
    </row>
    <row r="755" customFormat="false" ht="15" hidden="false" customHeight="false" outlineLevel="0" collapsed="false">
      <c r="A755" s="9" t="s">
        <v>3547</v>
      </c>
      <c r="B755" s="9" t="s">
        <v>2482</v>
      </c>
      <c r="C755" s="9" t="s">
        <v>2845</v>
      </c>
      <c r="D755" s="9" t="s">
        <v>3548</v>
      </c>
      <c r="E755" s="9" t="s">
        <v>129</v>
      </c>
      <c r="F755" s="9" t="s">
        <v>130</v>
      </c>
      <c r="G755" s="9" t="s">
        <v>177</v>
      </c>
      <c r="H755" s="9" t="s">
        <v>535</v>
      </c>
      <c r="I755" s="9" t="s">
        <v>536</v>
      </c>
      <c r="J755" s="9" t="s">
        <v>529</v>
      </c>
      <c r="K755" s="9" t="s">
        <v>87</v>
      </c>
      <c r="L755" s="9" t="s">
        <v>3549</v>
      </c>
      <c r="M755" s="9" t="s">
        <v>55</v>
      </c>
      <c r="N755" s="9" t="n">
        <v>3</v>
      </c>
      <c r="O755" s="9" t="n">
        <v>1017.22</v>
      </c>
      <c r="P755" s="9" t="n">
        <v>0.15</v>
      </c>
      <c r="Q755" s="9" t="n">
        <v>2593.91</v>
      </c>
      <c r="R755" s="9" t="n">
        <v>1848.48</v>
      </c>
      <c r="S755" s="9" t="n">
        <v>745.43</v>
      </c>
      <c r="T755" s="9" t="s">
        <v>224</v>
      </c>
      <c r="U755" s="9" t="s">
        <v>147</v>
      </c>
    </row>
    <row r="756" customFormat="false" ht="15" hidden="false" customHeight="false" outlineLevel="0" collapsed="false">
      <c r="A756" s="9" t="s">
        <v>3550</v>
      </c>
      <c r="B756" s="9" t="s">
        <v>3551</v>
      </c>
      <c r="C756" s="9" t="s">
        <v>3551</v>
      </c>
      <c r="D756" s="9" t="s">
        <v>3552</v>
      </c>
      <c r="E756" s="9" t="s">
        <v>115</v>
      </c>
      <c r="F756" s="9" t="s">
        <v>130</v>
      </c>
      <c r="G756" s="9" t="s">
        <v>84</v>
      </c>
      <c r="H756" s="9" t="s">
        <v>267</v>
      </c>
      <c r="I756" s="9" t="s">
        <v>268</v>
      </c>
      <c r="J756" s="9" t="s">
        <v>52</v>
      </c>
      <c r="K756" s="9" t="s">
        <v>180</v>
      </c>
      <c r="L756" s="9" t="s">
        <v>3553</v>
      </c>
      <c r="M756" s="9" t="s">
        <v>89</v>
      </c>
      <c r="N756" s="9" t="n">
        <v>4</v>
      </c>
      <c r="O756" s="9" t="n">
        <v>891.34</v>
      </c>
      <c r="P756" s="9" t="n">
        <v>0.25</v>
      </c>
      <c r="Q756" s="9" t="n">
        <v>2674.02</v>
      </c>
      <c r="R756" s="9" t="n">
        <v>2207.57</v>
      </c>
      <c r="S756" s="9" t="n">
        <v>466.45</v>
      </c>
      <c r="T756" s="9" t="s">
        <v>56</v>
      </c>
      <c r="U756" s="9" t="s">
        <v>57</v>
      </c>
    </row>
    <row r="757" customFormat="false" ht="15" hidden="false" customHeight="false" outlineLevel="0" collapsed="false">
      <c r="A757" s="9" t="s">
        <v>3554</v>
      </c>
      <c r="B757" s="9" t="s">
        <v>1130</v>
      </c>
      <c r="C757" s="9" t="s">
        <v>1769</v>
      </c>
      <c r="D757" s="9" t="s">
        <v>3555</v>
      </c>
      <c r="E757" s="9" t="s">
        <v>165</v>
      </c>
      <c r="F757" s="9" t="s">
        <v>137</v>
      </c>
      <c r="G757" s="9" t="s">
        <v>95</v>
      </c>
      <c r="H757" s="9" t="s">
        <v>106</v>
      </c>
      <c r="I757" s="9" t="s">
        <v>107</v>
      </c>
      <c r="J757" s="9" t="s">
        <v>52</v>
      </c>
      <c r="K757" s="9" t="s">
        <v>180</v>
      </c>
      <c r="L757" s="9" t="s">
        <v>3556</v>
      </c>
      <c r="M757" s="9" t="s">
        <v>55</v>
      </c>
      <c r="N757" s="9" t="n">
        <v>5</v>
      </c>
      <c r="O757" s="9" t="n">
        <v>2481.74</v>
      </c>
      <c r="P757" s="9" t="n">
        <v>0.2</v>
      </c>
      <c r="Q757" s="9" t="n">
        <v>9926.96</v>
      </c>
      <c r="R757" s="9" t="n">
        <v>7994.98</v>
      </c>
      <c r="S757" s="9" t="n">
        <v>1931.98</v>
      </c>
      <c r="T757" s="9" t="s">
        <v>56</v>
      </c>
      <c r="U757" s="9" t="s">
        <v>57</v>
      </c>
    </row>
    <row r="758" customFormat="false" ht="15" hidden="false" customHeight="false" outlineLevel="0" collapsed="false">
      <c r="A758" s="9" t="s">
        <v>3557</v>
      </c>
      <c r="B758" s="9" t="s">
        <v>3558</v>
      </c>
      <c r="C758" s="9" t="s">
        <v>3559</v>
      </c>
      <c r="D758" s="9" t="s">
        <v>3560</v>
      </c>
      <c r="E758" s="9" t="s">
        <v>204</v>
      </c>
      <c r="F758" s="9" t="s">
        <v>48</v>
      </c>
      <c r="G758" s="9" t="s">
        <v>177</v>
      </c>
      <c r="H758" s="9" t="s">
        <v>50</v>
      </c>
      <c r="I758" s="9" t="s">
        <v>51</v>
      </c>
      <c r="J758" s="9" t="s">
        <v>108</v>
      </c>
      <c r="K758" s="9" t="s">
        <v>109</v>
      </c>
      <c r="L758" s="9" t="s">
        <v>3561</v>
      </c>
      <c r="M758" s="9" t="s">
        <v>70</v>
      </c>
      <c r="N758" s="9" t="n">
        <v>7</v>
      </c>
      <c r="O758" s="9" t="n">
        <v>2177.1</v>
      </c>
      <c r="P758" s="9" t="n">
        <v>0.2</v>
      </c>
      <c r="Q758" s="9" t="n">
        <v>12191.76</v>
      </c>
      <c r="R758" s="9" t="n">
        <v>10457.49</v>
      </c>
      <c r="S758" s="9" t="n">
        <v>1734.27</v>
      </c>
      <c r="T758" s="9" t="s">
        <v>56</v>
      </c>
      <c r="U758" s="9" t="s">
        <v>147</v>
      </c>
    </row>
    <row r="759" customFormat="false" ht="15" hidden="false" customHeight="false" outlineLevel="0" collapsed="false">
      <c r="A759" s="9" t="s">
        <v>3562</v>
      </c>
      <c r="B759" s="9" t="s">
        <v>3563</v>
      </c>
      <c r="C759" s="9" t="s">
        <v>3564</v>
      </c>
      <c r="D759" s="9" t="s">
        <v>3565</v>
      </c>
      <c r="E759" s="9" t="s">
        <v>129</v>
      </c>
      <c r="F759" s="9" t="s">
        <v>63</v>
      </c>
      <c r="G759" s="9" t="s">
        <v>84</v>
      </c>
      <c r="H759" s="9" t="s">
        <v>267</v>
      </c>
      <c r="I759" s="9" t="s">
        <v>268</v>
      </c>
      <c r="J759" s="9" t="s">
        <v>67</v>
      </c>
      <c r="K759" s="9" t="s">
        <v>228</v>
      </c>
      <c r="L759" s="9" t="s">
        <v>3566</v>
      </c>
      <c r="M759" s="9" t="s">
        <v>89</v>
      </c>
      <c r="N759" s="9" t="n">
        <v>3</v>
      </c>
      <c r="O759" s="9" t="n">
        <v>1904.78</v>
      </c>
      <c r="P759" s="9" t="n">
        <v>0.25</v>
      </c>
      <c r="Q759" s="9" t="n">
        <v>4285.76</v>
      </c>
      <c r="R759" s="9" t="n">
        <v>2386.33</v>
      </c>
      <c r="S759" s="9" t="n">
        <v>1899.43</v>
      </c>
      <c r="T759" s="9" t="s">
        <v>224</v>
      </c>
      <c r="U759" s="9" t="s">
        <v>100</v>
      </c>
    </row>
    <row r="760" customFormat="false" ht="15" hidden="false" customHeight="false" outlineLevel="0" collapsed="false">
      <c r="A760" s="9" t="s">
        <v>3567</v>
      </c>
      <c r="B760" s="9" t="s">
        <v>3568</v>
      </c>
      <c r="C760" s="9" t="s">
        <v>2750</v>
      </c>
      <c r="D760" s="9" t="s">
        <v>3569</v>
      </c>
      <c r="E760" s="9" t="s">
        <v>186</v>
      </c>
      <c r="F760" s="9" t="s">
        <v>63</v>
      </c>
      <c r="G760" s="9" t="s">
        <v>84</v>
      </c>
      <c r="H760" s="9" t="s">
        <v>254</v>
      </c>
      <c r="I760" s="9" t="s">
        <v>255</v>
      </c>
      <c r="J760" s="9" t="s">
        <v>67</v>
      </c>
      <c r="K760" s="9" t="s">
        <v>98</v>
      </c>
      <c r="L760" s="9" t="s">
        <v>3570</v>
      </c>
      <c r="M760" s="9" t="s">
        <v>89</v>
      </c>
      <c r="N760" s="9" t="n">
        <v>1</v>
      </c>
      <c r="O760" s="9" t="n">
        <v>4166.91</v>
      </c>
      <c r="P760" s="9" t="n">
        <v>0</v>
      </c>
      <c r="Q760" s="9" t="n">
        <v>4166.91</v>
      </c>
      <c r="R760" s="9" t="n">
        <v>3412.63</v>
      </c>
      <c r="S760" s="9" t="n">
        <v>754.28</v>
      </c>
      <c r="T760" s="9" t="s">
        <v>56</v>
      </c>
      <c r="U760" s="9" t="s">
        <v>57</v>
      </c>
    </row>
    <row r="761" customFormat="false" ht="15" hidden="false" customHeight="false" outlineLevel="0" collapsed="false">
      <c r="A761" s="9" t="s">
        <v>3571</v>
      </c>
      <c r="B761" s="9" t="s">
        <v>433</v>
      </c>
      <c r="C761" s="9" t="s">
        <v>3572</v>
      </c>
      <c r="D761" s="9" t="s">
        <v>3573</v>
      </c>
      <c r="E761" s="9" t="s">
        <v>83</v>
      </c>
      <c r="F761" s="9" t="s">
        <v>137</v>
      </c>
      <c r="G761" s="9" t="s">
        <v>3574</v>
      </c>
      <c r="H761" s="9" t="s">
        <v>254</v>
      </c>
      <c r="I761" s="9" t="s">
        <v>255</v>
      </c>
      <c r="J761" s="9" t="s">
        <v>67</v>
      </c>
      <c r="K761" s="9" t="s">
        <v>68</v>
      </c>
      <c r="L761" s="9" t="s">
        <v>3575</v>
      </c>
      <c r="M761" s="9" t="s">
        <v>55</v>
      </c>
      <c r="N761" s="9" t="n">
        <v>5</v>
      </c>
      <c r="O761" s="9" t="n">
        <v>3986.01</v>
      </c>
      <c r="P761" s="9" t="n">
        <v>0.25</v>
      </c>
      <c r="Q761" s="9" t="n">
        <v>14947.54</v>
      </c>
      <c r="R761" s="9" t="n">
        <v>9438.46</v>
      </c>
      <c r="S761" s="9" t="n">
        <v>5509.08</v>
      </c>
      <c r="T761" s="9" t="s">
        <v>56</v>
      </c>
      <c r="U761" s="9" t="s">
        <v>57</v>
      </c>
    </row>
    <row r="762" customFormat="false" ht="15" hidden="false" customHeight="false" outlineLevel="0" collapsed="false">
      <c r="A762" s="9" t="s">
        <v>3576</v>
      </c>
      <c r="B762" s="9" t="s">
        <v>3577</v>
      </c>
      <c r="C762" s="9" t="s">
        <v>1233</v>
      </c>
      <c r="D762" s="9" t="s">
        <v>3578</v>
      </c>
      <c r="E762" s="9" t="s">
        <v>129</v>
      </c>
      <c r="F762" s="9" t="s">
        <v>137</v>
      </c>
      <c r="G762" s="9" t="s">
        <v>64</v>
      </c>
      <c r="H762" s="9" t="s">
        <v>240</v>
      </c>
      <c r="I762" s="9" t="s">
        <v>241</v>
      </c>
      <c r="J762" s="9" t="s">
        <v>52</v>
      </c>
      <c r="K762" s="9" t="s">
        <v>76</v>
      </c>
      <c r="L762" s="9" t="s">
        <v>3579</v>
      </c>
      <c r="M762" s="9" t="s">
        <v>55</v>
      </c>
      <c r="N762" s="9" t="n">
        <v>4</v>
      </c>
      <c r="O762" s="9" t="n">
        <v>3365.53</v>
      </c>
      <c r="P762" s="9" t="n">
        <v>0</v>
      </c>
      <c r="Q762" s="9" t="n">
        <v>13462.12</v>
      </c>
      <c r="R762" s="9" t="n">
        <v>7600.63</v>
      </c>
      <c r="S762" s="9" t="n">
        <v>5861.49</v>
      </c>
      <c r="T762" s="9" t="s">
        <v>160</v>
      </c>
      <c r="U762" s="9" t="s">
        <v>147</v>
      </c>
    </row>
    <row r="763" customFormat="false" ht="15" hidden="false" customHeight="false" outlineLevel="0" collapsed="false">
      <c r="A763" s="9" t="s">
        <v>3580</v>
      </c>
      <c r="B763" s="9" t="s">
        <v>482</v>
      </c>
      <c r="C763" s="9" t="s">
        <v>3581</v>
      </c>
      <c r="D763" s="9" t="s">
        <v>3582</v>
      </c>
      <c r="E763" s="9" t="s">
        <v>75</v>
      </c>
      <c r="F763" s="9" t="s">
        <v>48</v>
      </c>
      <c r="G763" s="9" t="s">
        <v>84</v>
      </c>
      <c r="H763" s="9" t="s">
        <v>254</v>
      </c>
      <c r="I763" s="9" t="s">
        <v>255</v>
      </c>
      <c r="J763" s="9" t="s">
        <v>108</v>
      </c>
      <c r="K763" s="9" t="s">
        <v>409</v>
      </c>
      <c r="L763" s="9" t="s">
        <v>3583</v>
      </c>
      <c r="M763" s="9" t="s">
        <v>78</v>
      </c>
      <c r="N763" s="9" t="n">
        <v>3</v>
      </c>
      <c r="O763" s="9" t="n">
        <v>2489.12</v>
      </c>
      <c r="P763" s="9" t="n">
        <v>0</v>
      </c>
      <c r="Q763" s="9" t="n">
        <v>7467.36</v>
      </c>
      <c r="R763" s="9" t="n">
        <v>5010.61</v>
      </c>
      <c r="S763" s="9" t="n">
        <v>2456.75</v>
      </c>
      <c r="T763" s="9" t="s">
        <v>56</v>
      </c>
      <c r="U763" s="9" t="s">
        <v>57</v>
      </c>
    </row>
    <row r="764" customFormat="false" ht="15" hidden="false" customHeight="false" outlineLevel="0" collapsed="false">
      <c r="A764" s="9" t="s">
        <v>3584</v>
      </c>
      <c r="B764" s="9" t="s">
        <v>3585</v>
      </c>
      <c r="C764" s="9" t="s">
        <v>3586</v>
      </c>
      <c r="D764" s="9" t="s">
        <v>3587</v>
      </c>
      <c r="E764" s="9" t="s">
        <v>234</v>
      </c>
      <c r="F764" s="9" t="s">
        <v>130</v>
      </c>
      <c r="G764" s="9" t="s">
        <v>95</v>
      </c>
      <c r="H764" s="9" t="s">
        <v>106</v>
      </c>
      <c r="I764" s="9" t="s">
        <v>107</v>
      </c>
      <c r="J764" s="9" t="s">
        <v>108</v>
      </c>
      <c r="K764" s="9" t="s">
        <v>409</v>
      </c>
      <c r="L764" s="9" t="s">
        <v>3588</v>
      </c>
      <c r="M764" s="9" t="s">
        <v>55</v>
      </c>
      <c r="N764" s="9" t="n">
        <v>2</v>
      </c>
      <c r="O764" s="9" t="n">
        <v>3694.12</v>
      </c>
      <c r="P764" s="9" t="n">
        <v>0.2</v>
      </c>
      <c r="Q764" s="9" t="n">
        <v>5910.59</v>
      </c>
      <c r="R764" s="9" t="n">
        <v>4775.44</v>
      </c>
      <c r="S764" s="9" t="n">
        <v>1135.15</v>
      </c>
      <c r="T764" s="9" t="s">
        <v>146</v>
      </c>
      <c r="U764" s="9" t="s">
        <v>147</v>
      </c>
    </row>
    <row r="765" customFormat="false" ht="15" hidden="false" customHeight="false" outlineLevel="0" collapsed="false">
      <c r="A765" s="9" t="s">
        <v>3589</v>
      </c>
      <c r="B765" s="9" t="s">
        <v>3590</v>
      </c>
      <c r="C765" s="9" t="s">
        <v>3591</v>
      </c>
      <c r="D765" s="9" t="s">
        <v>3592</v>
      </c>
      <c r="E765" s="9" t="s">
        <v>234</v>
      </c>
      <c r="F765" s="9" t="s">
        <v>48</v>
      </c>
      <c r="G765" s="9" t="s">
        <v>177</v>
      </c>
      <c r="H765" s="9" t="s">
        <v>50</v>
      </c>
      <c r="I765" s="9" t="s">
        <v>51</v>
      </c>
      <c r="J765" s="9" t="s">
        <v>67</v>
      </c>
      <c r="K765" s="9" t="s">
        <v>87</v>
      </c>
      <c r="L765" s="9" t="s">
        <v>3593</v>
      </c>
      <c r="M765" s="9" t="s">
        <v>70</v>
      </c>
      <c r="N765" s="9" t="n">
        <v>6</v>
      </c>
      <c r="O765" s="9" t="n">
        <v>2742.48</v>
      </c>
      <c r="P765" s="9" t="n">
        <v>0</v>
      </c>
      <c r="Q765" s="9" t="n">
        <v>16454.88</v>
      </c>
      <c r="R765" s="9" t="n">
        <v>12081.54</v>
      </c>
      <c r="S765" s="9" t="n">
        <v>4373.34</v>
      </c>
      <c r="T765" s="9" t="s">
        <v>56</v>
      </c>
      <c r="U765" s="9" t="s">
        <v>57</v>
      </c>
    </row>
    <row r="766" customFormat="false" ht="15" hidden="false" customHeight="false" outlineLevel="0" collapsed="false">
      <c r="A766" s="9" t="s">
        <v>3594</v>
      </c>
      <c r="B766" s="9" t="s">
        <v>1902</v>
      </c>
      <c r="C766" s="9" t="s">
        <v>2961</v>
      </c>
      <c r="D766" s="9" t="s">
        <v>1392</v>
      </c>
      <c r="E766" s="9" t="s">
        <v>165</v>
      </c>
      <c r="F766" s="9" t="s">
        <v>130</v>
      </c>
      <c r="G766" s="9" t="s">
        <v>84</v>
      </c>
      <c r="H766" s="9" t="s">
        <v>267</v>
      </c>
      <c r="I766" s="9" t="s">
        <v>268</v>
      </c>
      <c r="J766" s="9" t="s">
        <v>67</v>
      </c>
      <c r="K766" s="9" t="s">
        <v>228</v>
      </c>
      <c r="L766" s="9" t="s">
        <v>3595</v>
      </c>
      <c r="M766" s="9" t="s">
        <v>78</v>
      </c>
      <c r="N766" s="9" t="n">
        <v>6</v>
      </c>
      <c r="O766" s="9" t="n">
        <v>4414</v>
      </c>
      <c r="P766" s="9" t="n">
        <v>0.05</v>
      </c>
      <c r="Q766" s="9" t="n">
        <v>25159.8</v>
      </c>
      <c r="R766" s="9" t="n">
        <v>21606.83</v>
      </c>
      <c r="S766" s="9" t="n">
        <v>3552.97</v>
      </c>
      <c r="T766" s="9" t="s">
        <v>56</v>
      </c>
      <c r="U766" s="9" t="s">
        <v>57</v>
      </c>
    </row>
    <row r="767" customFormat="false" ht="15" hidden="false" customHeight="false" outlineLevel="0" collapsed="false">
      <c r="A767" s="9" t="s">
        <v>3596</v>
      </c>
      <c r="B767" s="9" t="s">
        <v>3597</v>
      </c>
      <c r="C767" s="9" t="s">
        <v>3598</v>
      </c>
      <c r="D767" s="9" t="s">
        <v>3599</v>
      </c>
      <c r="E767" s="9" t="s">
        <v>105</v>
      </c>
      <c r="F767" s="9" t="s">
        <v>130</v>
      </c>
      <c r="G767" s="9" t="s">
        <v>64</v>
      </c>
      <c r="H767" s="9" t="s">
        <v>336</v>
      </c>
      <c r="I767" s="9" t="s">
        <v>337</v>
      </c>
      <c r="J767" s="9" t="s">
        <v>52</v>
      </c>
      <c r="K767" s="9" t="s">
        <v>131</v>
      </c>
      <c r="L767" s="9" t="s">
        <v>3600</v>
      </c>
      <c r="M767" s="9" t="s">
        <v>78</v>
      </c>
      <c r="N767" s="9" t="n">
        <v>3</v>
      </c>
      <c r="O767" s="9" t="n">
        <v>608.14</v>
      </c>
      <c r="P767" s="9" t="n">
        <v>0</v>
      </c>
      <c r="Q767" s="9" t="n">
        <v>1824.42</v>
      </c>
      <c r="R767" s="9" t="n">
        <v>1214.87</v>
      </c>
      <c r="S767" s="9" t="n">
        <v>609.55</v>
      </c>
      <c r="T767" s="9" t="s">
        <v>56</v>
      </c>
      <c r="U767" s="9" t="s">
        <v>57</v>
      </c>
    </row>
    <row r="768" customFormat="false" ht="15" hidden="false" customHeight="false" outlineLevel="0" collapsed="false">
      <c r="A768" s="9" t="s">
        <v>3601</v>
      </c>
      <c r="B768" s="9" t="s">
        <v>3602</v>
      </c>
      <c r="C768" s="9" t="s">
        <v>2050</v>
      </c>
      <c r="D768" s="9" t="s">
        <v>3603</v>
      </c>
      <c r="E768" s="9" t="s">
        <v>62</v>
      </c>
      <c r="F768" s="9" t="s">
        <v>130</v>
      </c>
      <c r="G768" s="9" t="s">
        <v>95</v>
      </c>
      <c r="H768" s="9" t="s">
        <v>260</v>
      </c>
      <c r="I768" s="9" t="s">
        <v>261</v>
      </c>
      <c r="J768" s="9" t="s">
        <v>52</v>
      </c>
      <c r="K768" s="9" t="s">
        <v>76</v>
      </c>
      <c r="L768" s="9" t="s">
        <v>3604</v>
      </c>
      <c r="M768" s="9" t="s">
        <v>55</v>
      </c>
      <c r="N768" s="9" t="n">
        <v>9</v>
      </c>
      <c r="O768" s="9" t="n">
        <v>2307.96</v>
      </c>
      <c r="P768" s="9" t="n">
        <v>0.2</v>
      </c>
      <c r="Q768" s="9" t="n">
        <v>16617.31</v>
      </c>
      <c r="R768" s="9" t="n">
        <v>9195.73</v>
      </c>
      <c r="S768" s="9" t="n">
        <v>7421.58</v>
      </c>
      <c r="T768" s="9" t="s">
        <v>56</v>
      </c>
      <c r="U768" s="9" t="s">
        <v>100</v>
      </c>
    </row>
    <row r="769" customFormat="false" ht="15" hidden="false" customHeight="false" outlineLevel="0" collapsed="false">
      <c r="A769" s="9" t="s">
        <v>3605</v>
      </c>
      <c r="B769" s="9" t="s">
        <v>3606</v>
      </c>
      <c r="C769" s="9" t="s">
        <v>2754</v>
      </c>
      <c r="D769" s="9" t="s">
        <v>3607</v>
      </c>
      <c r="E769" s="9" t="s">
        <v>94</v>
      </c>
      <c r="F769" s="9" t="s">
        <v>137</v>
      </c>
      <c r="G769" s="9" t="s">
        <v>177</v>
      </c>
      <c r="H769" s="9" t="s">
        <v>198</v>
      </c>
      <c r="I769" s="9" t="s">
        <v>199</v>
      </c>
      <c r="J769" s="9" t="s">
        <v>953</v>
      </c>
      <c r="K769" s="9" t="s">
        <v>222</v>
      </c>
      <c r="L769" s="9" t="s">
        <v>3608</v>
      </c>
      <c r="M769" s="9" t="s">
        <v>89</v>
      </c>
      <c r="N769" s="9" t="n">
        <v>1</v>
      </c>
      <c r="O769" s="9" t="n">
        <v>1244.58</v>
      </c>
      <c r="P769" s="9" t="n">
        <v>0.25</v>
      </c>
      <c r="Q769" s="9" t="n">
        <v>933.43</v>
      </c>
      <c r="R769" s="9" t="n">
        <v>583.09</v>
      </c>
      <c r="S769" s="9" t="n">
        <v>350.34</v>
      </c>
      <c r="T769" s="9" t="s">
        <v>56</v>
      </c>
      <c r="U769" s="9" t="s">
        <v>57</v>
      </c>
    </row>
    <row r="770" customFormat="false" ht="15" hidden="false" customHeight="false" outlineLevel="0" collapsed="false">
      <c r="A770" s="9" t="s">
        <v>3609</v>
      </c>
      <c r="B770" s="9" t="s">
        <v>1852</v>
      </c>
      <c r="C770" s="9" t="s">
        <v>3610</v>
      </c>
      <c r="D770" s="9" t="s">
        <v>3611</v>
      </c>
      <c r="E770" s="9" t="s">
        <v>192</v>
      </c>
      <c r="F770" s="9" t="s">
        <v>137</v>
      </c>
      <c r="G770" s="9" t="s">
        <v>64</v>
      </c>
      <c r="H770" s="9" t="s">
        <v>336</v>
      </c>
      <c r="I770" s="9" t="s">
        <v>337</v>
      </c>
      <c r="J770" s="9" t="s">
        <v>52</v>
      </c>
      <c r="K770" s="9" t="s">
        <v>53</v>
      </c>
      <c r="L770" s="9" t="s">
        <v>3612</v>
      </c>
      <c r="M770" s="9" t="s">
        <v>70</v>
      </c>
      <c r="N770" s="9" t="n">
        <v>5</v>
      </c>
      <c r="O770" s="9" t="n">
        <v>3234.24</v>
      </c>
      <c r="P770" s="9" t="n">
        <v>0.1</v>
      </c>
      <c r="Q770" s="9" t="n">
        <v>14554.08</v>
      </c>
      <c r="R770" s="9" t="n">
        <v>11166.84</v>
      </c>
      <c r="S770" s="9" t="n">
        <v>3387.24</v>
      </c>
      <c r="T770" s="9" t="s">
        <v>56</v>
      </c>
      <c r="U770" s="9" t="s">
        <v>57</v>
      </c>
    </row>
    <row r="771" customFormat="false" ht="15" hidden="false" customHeight="false" outlineLevel="0" collapsed="false">
      <c r="A771" s="9" t="s">
        <v>3613</v>
      </c>
      <c r="B771" s="9" t="s">
        <v>3614</v>
      </c>
      <c r="C771" s="9" t="s">
        <v>2059</v>
      </c>
      <c r="D771" s="9" t="s">
        <v>3615</v>
      </c>
      <c r="E771" s="9" t="s">
        <v>165</v>
      </c>
      <c r="F771" s="9" t="s">
        <v>137</v>
      </c>
      <c r="G771" s="9" t="s">
        <v>95</v>
      </c>
      <c r="H771" s="9" t="s">
        <v>274</v>
      </c>
      <c r="I771" s="9" t="s">
        <v>275</v>
      </c>
      <c r="J771" s="9" t="s">
        <v>67</v>
      </c>
      <c r="K771" s="9" t="s">
        <v>228</v>
      </c>
      <c r="L771" s="9" t="s">
        <v>3616</v>
      </c>
      <c r="M771" s="9" t="s">
        <v>70</v>
      </c>
      <c r="N771" s="9" t="n">
        <v>3</v>
      </c>
      <c r="O771" s="9" t="n">
        <v>3612.75</v>
      </c>
      <c r="P771" s="9" t="n">
        <v>0.25</v>
      </c>
      <c r="Q771" s="9" t="n">
        <v>8128.69</v>
      </c>
      <c r="R771" s="9" t="n">
        <v>5071.66</v>
      </c>
      <c r="S771" s="9" t="n">
        <v>3057.03</v>
      </c>
      <c r="T771" s="9" t="s">
        <v>56</v>
      </c>
      <c r="U771" s="9" t="s">
        <v>57</v>
      </c>
    </row>
    <row r="772" customFormat="false" ht="15" hidden="false" customHeight="false" outlineLevel="0" collapsed="false">
      <c r="A772" s="9" t="s">
        <v>3617</v>
      </c>
      <c r="B772" s="9" t="s">
        <v>2350</v>
      </c>
      <c r="C772" s="9" t="s">
        <v>2809</v>
      </c>
      <c r="D772" s="9" t="s">
        <v>3618</v>
      </c>
      <c r="E772" s="9" t="s">
        <v>115</v>
      </c>
      <c r="F772" s="9" t="s">
        <v>48</v>
      </c>
      <c r="G772" s="9" t="s">
        <v>177</v>
      </c>
      <c r="H772" s="9" t="s">
        <v>198</v>
      </c>
      <c r="I772" s="9" t="s">
        <v>199</v>
      </c>
      <c r="J772" s="9" t="s">
        <v>108</v>
      </c>
      <c r="K772" s="9" t="s">
        <v>116</v>
      </c>
      <c r="L772" s="9" t="s">
        <v>3619</v>
      </c>
      <c r="M772" s="9" t="s">
        <v>78</v>
      </c>
      <c r="N772" s="9" t="n">
        <v>4</v>
      </c>
      <c r="O772" s="9" t="n">
        <v>863</v>
      </c>
      <c r="P772" s="9"/>
      <c r="Q772" s="9" t="n">
        <v>3106.8</v>
      </c>
      <c r="R772" s="9" t="n">
        <v>2376.62</v>
      </c>
      <c r="S772" s="9" t="n">
        <v>730.18</v>
      </c>
      <c r="T772" s="9" t="s">
        <v>56</v>
      </c>
      <c r="U772" s="9" t="s">
        <v>57</v>
      </c>
    </row>
    <row r="773" customFormat="false" ht="15" hidden="false" customHeight="false" outlineLevel="0" collapsed="false">
      <c r="A773" s="9" t="s">
        <v>3620</v>
      </c>
      <c r="B773" s="9" t="s">
        <v>3621</v>
      </c>
      <c r="C773" s="9" t="s">
        <v>2669</v>
      </c>
      <c r="D773" s="9" t="s">
        <v>723</v>
      </c>
      <c r="E773" s="9" t="s">
        <v>94</v>
      </c>
      <c r="F773" s="9" t="s">
        <v>48</v>
      </c>
      <c r="G773" s="9" t="s">
        <v>177</v>
      </c>
      <c r="H773" s="9" t="s">
        <v>348</v>
      </c>
      <c r="I773" s="9" t="s">
        <v>349</v>
      </c>
      <c r="J773" s="9" t="s">
        <v>108</v>
      </c>
      <c r="K773" s="9" t="s">
        <v>409</v>
      </c>
      <c r="L773" s="9" t="s">
        <v>3622</v>
      </c>
      <c r="M773" s="9" t="s">
        <v>55</v>
      </c>
      <c r="N773" s="9" t="n">
        <v>4</v>
      </c>
      <c r="O773" s="9" t="n">
        <v>2131.41</v>
      </c>
      <c r="P773" s="9"/>
      <c r="Q773" s="9" t="n">
        <v>6394.23</v>
      </c>
      <c r="R773" s="9" t="n">
        <v>3520.69</v>
      </c>
      <c r="S773" s="9" t="n">
        <v>2873.54</v>
      </c>
      <c r="T773" s="9" t="s">
        <v>56</v>
      </c>
      <c r="U773" s="9" t="s">
        <v>57</v>
      </c>
    </row>
    <row r="774" customFormat="false" ht="15" hidden="false" customHeight="false" outlineLevel="0" collapsed="false">
      <c r="A774" s="9" t="s">
        <v>3623</v>
      </c>
      <c r="B774" s="9" t="s">
        <v>195</v>
      </c>
      <c r="C774" s="9" t="s">
        <v>1611</v>
      </c>
      <c r="D774" s="9" t="s">
        <v>3624</v>
      </c>
      <c r="E774" s="9" t="s">
        <v>234</v>
      </c>
      <c r="F774" s="9" t="s">
        <v>48</v>
      </c>
      <c r="G774" s="9" t="s">
        <v>84</v>
      </c>
      <c r="H774" s="9" t="s">
        <v>364</v>
      </c>
      <c r="I774" s="9" t="s">
        <v>365</v>
      </c>
      <c r="J774" s="9" t="s">
        <v>67</v>
      </c>
      <c r="K774" s="9" t="s">
        <v>98</v>
      </c>
      <c r="L774" s="9" t="s">
        <v>3625</v>
      </c>
      <c r="M774" s="9" t="s">
        <v>70</v>
      </c>
      <c r="N774" s="9" t="n">
        <v>1</v>
      </c>
      <c r="O774" s="9" t="n">
        <v>3903.22</v>
      </c>
      <c r="P774" s="9" t="n">
        <v>0.05</v>
      </c>
      <c r="Q774" s="9" t="n">
        <v>3708.06</v>
      </c>
      <c r="R774" s="9" t="n">
        <v>2760.29</v>
      </c>
      <c r="S774" s="9" t="n">
        <v>947.77</v>
      </c>
      <c r="T774" s="9" t="s">
        <v>160</v>
      </c>
      <c r="U774" s="9" t="s">
        <v>100</v>
      </c>
    </row>
    <row r="775" customFormat="false" ht="15" hidden="false" customHeight="false" outlineLevel="0" collapsed="false">
      <c r="A775" s="9" t="s">
        <v>3626</v>
      </c>
      <c r="B775" s="9" t="s">
        <v>3627</v>
      </c>
      <c r="C775" s="9" t="s">
        <v>3628</v>
      </c>
      <c r="D775" s="9" t="s">
        <v>3629</v>
      </c>
      <c r="E775" s="9" t="s">
        <v>47</v>
      </c>
      <c r="F775" s="9" t="s">
        <v>137</v>
      </c>
      <c r="G775" s="9" t="s">
        <v>95</v>
      </c>
      <c r="H775" s="9" t="s">
        <v>260</v>
      </c>
      <c r="I775" s="9" t="s">
        <v>261</v>
      </c>
      <c r="J775" s="9" t="s">
        <v>108</v>
      </c>
      <c r="K775" s="9" t="s">
        <v>247</v>
      </c>
      <c r="L775" s="9" t="s">
        <v>3630</v>
      </c>
      <c r="M775" s="9"/>
      <c r="N775" s="9" t="n">
        <v>4</v>
      </c>
      <c r="O775" s="9" t="n">
        <v>2945.07</v>
      </c>
      <c r="P775" s="9" t="n">
        <v>0.2</v>
      </c>
      <c r="Q775" s="9" t="n">
        <v>9424.22</v>
      </c>
      <c r="R775" s="9" t="n">
        <v>6178.92</v>
      </c>
      <c r="S775" s="9" t="n">
        <v>3245.3</v>
      </c>
      <c r="T775" s="9" t="s">
        <v>56</v>
      </c>
      <c r="U775" s="9" t="s">
        <v>57</v>
      </c>
    </row>
    <row r="776" customFormat="false" ht="15" hidden="false" customHeight="false" outlineLevel="0" collapsed="false">
      <c r="A776" s="9" t="s">
        <v>3631</v>
      </c>
      <c r="B776" s="9" t="s">
        <v>3632</v>
      </c>
      <c r="C776" s="9" t="s">
        <v>1839</v>
      </c>
      <c r="D776" s="9" t="s">
        <v>3633</v>
      </c>
      <c r="E776" s="9" t="s">
        <v>393</v>
      </c>
      <c r="F776" s="9" t="s">
        <v>48</v>
      </c>
      <c r="G776" s="9" t="s">
        <v>95</v>
      </c>
      <c r="H776" s="9" t="s">
        <v>50</v>
      </c>
      <c r="I776" s="9" t="s">
        <v>158</v>
      </c>
      <c r="J776" s="9" t="s">
        <v>108</v>
      </c>
      <c r="K776" s="9" t="s">
        <v>409</v>
      </c>
      <c r="L776" s="9" t="s">
        <v>3634</v>
      </c>
      <c r="M776" s="9"/>
      <c r="N776" s="9" t="n">
        <v>9</v>
      </c>
      <c r="O776" s="9" t="n">
        <v>1076.75</v>
      </c>
      <c r="P776" s="9" t="n">
        <v>0.2</v>
      </c>
      <c r="Q776" s="9" t="n">
        <v>7752.6</v>
      </c>
      <c r="R776" s="9" t="n">
        <v>4689.3</v>
      </c>
      <c r="S776" s="9" t="n">
        <v>3063.3</v>
      </c>
      <c r="T776" s="9" t="s">
        <v>56</v>
      </c>
      <c r="U776" s="9" t="s">
        <v>57</v>
      </c>
    </row>
    <row r="777" customFormat="false" ht="15" hidden="false" customHeight="false" outlineLevel="0" collapsed="false">
      <c r="A777" s="9" t="s">
        <v>3635</v>
      </c>
      <c r="B777" s="9" t="s">
        <v>3636</v>
      </c>
      <c r="C777" s="9" t="s">
        <v>3637</v>
      </c>
      <c r="D777" s="9" t="s">
        <v>3638</v>
      </c>
      <c r="E777" s="9" t="s">
        <v>83</v>
      </c>
      <c r="F777" s="9" t="s">
        <v>48</v>
      </c>
      <c r="G777" s="9" t="s">
        <v>177</v>
      </c>
      <c r="H777" s="9" t="s">
        <v>348</v>
      </c>
      <c r="I777" s="9" t="s">
        <v>349</v>
      </c>
      <c r="J777" s="9" t="s">
        <v>108</v>
      </c>
      <c r="K777" s="9" t="s">
        <v>109</v>
      </c>
      <c r="L777" s="9" t="s">
        <v>3639</v>
      </c>
      <c r="M777" s="9" t="s">
        <v>89</v>
      </c>
      <c r="N777" s="9" t="n">
        <v>8</v>
      </c>
      <c r="O777" s="9" t="n">
        <v>3956.12</v>
      </c>
      <c r="P777" s="9" t="n">
        <v>0.25</v>
      </c>
      <c r="Q777" s="9" t="n">
        <v>23736.72</v>
      </c>
      <c r="R777" s="9" t="n">
        <v>13890.9</v>
      </c>
      <c r="S777" s="9" t="n">
        <v>9845.82</v>
      </c>
      <c r="T777" s="9" t="s">
        <v>56</v>
      </c>
      <c r="U777" s="9" t="s">
        <v>57</v>
      </c>
    </row>
    <row r="778" customFormat="false" ht="15" hidden="false" customHeight="false" outlineLevel="0" collapsed="false">
      <c r="A778" s="9" t="s">
        <v>3640</v>
      </c>
      <c r="B778" s="9" t="s">
        <v>3641</v>
      </c>
      <c r="C778" s="9" t="s">
        <v>2394</v>
      </c>
      <c r="D778" s="9" t="s">
        <v>3642</v>
      </c>
      <c r="E778" s="9" t="s">
        <v>129</v>
      </c>
      <c r="F778" s="9" t="s">
        <v>63</v>
      </c>
      <c r="G778" s="9" t="s">
        <v>177</v>
      </c>
      <c r="H778" s="9" t="s">
        <v>50</v>
      </c>
      <c r="I778" s="9" t="s">
        <v>51</v>
      </c>
      <c r="J778" s="9" t="s">
        <v>108</v>
      </c>
      <c r="K778" s="9" t="s">
        <v>116</v>
      </c>
      <c r="L778" s="9" t="s">
        <v>3643</v>
      </c>
      <c r="M778" s="9" t="s">
        <v>55</v>
      </c>
      <c r="N778" s="9" t="n">
        <v>7</v>
      </c>
      <c r="O778" s="9" t="n">
        <v>3857.13</v>
      </c>
      <c r="P778" s="9" t="n">
        <v>0</v>
      </c>
      <c r="Q778" s="9" t="n">
        <v>26999.91</v>
      </c>
      <c r="R778" s="9" t="n">
        <v>17815.98</v>
      </c>
      <c r="S778" s="9" t="n">
        <v>9183.93</v>
      </c>
      <c r="T778" s="9" t="s">
        <v>56</v>
      </c>
      <c r="U778" s="9" t="s">
        <v>57</v>
      </c>
    </row>
    <row r="779" customFormat="false" ht="15" hidden="false" customHeight="false" outlineLevel="0" collapsed="false">
      <c r="A779" s="9" t="s">
        <v>3644</v>
      </c>
      <c r="B779" s="9" t="s">
        <v>3645</v>
      </c>
      <c r="C779" s="9" t="s">
        <v>2323</v>
      </c>
      <c r="D779" s="9" t="s">
        <v>3646</v>
      </c>
      <c r="E779" s="9" t="s">
        <v>393</v>
      </c>
      <c r="F779" s="9" t="s">
        <v>63</v>
      </c>
      <c r="G779" s="9" t="s">
        <v>95</v>
      </c>
      <c r="H779" s="9" t="s">
        <v>106</v>
      </c>
      <c r="I779" s="9" t="s">
        <v>107</v>
      </c>
      <c r="J779" s="9" t="s">
        <v>108</v>
      </c>
      <c r="K779" s="9" t="s">
        <v>109</v>
      </c>
      <c r="L779" s="9" t="s">
        <v>3647</v>
      </c>
      <c r="M779" s="9" t="s">
        <v>55</v>
      </c>
      <c r="N779" s="9" t="n">
        <v>4</v>
      </c>
      <c r="O779" s="9" t="n">
        <v>1489.74</v>
      </c>
      <c r="P779" s="9" t="n">
        <v>0.15</v>
      </c>
      <c r="Q779" s="9" t="n">
        <v>5065.12</v>
      </c>
      <c r="R779" s="9" t="n">
        <v>3530.12</v>
      </c>
      <c r="S779" s="9" t="n">
        <v>1535</v>
      </c>
      <c r="T779" s="9" t="s">
        <v>224</v>
      </c>
      <c r="U779" s="9" t="s">
        <v>100</v>
      </c>
    </row>
    <row r="780" customFormat="false" ht="15" hidden="false" customHeight="false" outlineLevel="0" collapsed="false">
      <c r="A780" s="9" t="s">
        <v>3648</v>
      </c>
      <c r="B780" s="9" t="s">
        <v>748</v>
      </c>
      <c r="C780" s="9" t="s">
        <v>3649</v>
      </c>
      <c r="D780" s="9" t="s">
        <v>3650</v>
      </c>
      <c r="E780" s="9" t="s">
        <v>47</v>
      </c>
      <c r="F780" s="9" t="s">
        <v>63</v>
      </c>
      <c r="G780" s="9" t="s">
        <v>177</v>
      </c>
      <c r="H780" s="9" t="s">
        <v>348</v>
      </c>
      <c r="I780" s="9" t="s">
        <v>349</v>
      </c>
      <c r="J780" s="9" t="s">
        <v>108</v>
      </c>
      <c r="K780" s="9" t="s">
        <v>116</v>
      </c>
      <c r="L780" s="9" t="s">
        <v>3651</v>
      </c>
      <c r="M780" s="9" t="s">
        <v>55</v>
      </c>
      <c r="N780" s="9" t="n">
        <v>4</v>
      </c>
      <c r="O780" s="9" t="n">
        <v>1676.88</v>
      </c>
      <c r="P780" s="9" t="n">
        <v>0</v>
      </c>
      <c r="Q780" s="9" t="n">
        <v>6707.52</v>
      </c>
      <c r="R780" s="9" t="n">
        <v>5672.57</v>
      </c>
      <c r="S780" s="9" t="n">
        <v>1034.95</v>
      </c>
      <c r="T780" s="9" t="s">
        <v>56</v>
      </c>
      <c r="U780" s="9" t="s">
        <v>57</v>
      </c>
    </row>
    <row r="781" customFormat="false" ht="15" hidden="false" customHeight="false" outlineLevel="0" collapsed="false">
      <c r="A781" s="9" t="s">
        <v>3652</v>
      </c>
      <c r="B781" s="9" t="s">
        <v>2248</v>
      </c>
      <c r="C781" s="9" t="s">
        <v>3653</v>
      </c>
      <c r="D781" s="9" t="s">
        <v>3654</v>
      </c>
      <c r="E781" s="9" t="s">
        <v>165</v>
      </c>
      <c r="F781" s="9" t="s">
        <v>63</v>
      </c>
      <c r="G781" s="9" t="s">
        <v>84</v>
      </c>
      <c r="H781" s="9" t="s">
        <v>122</v>
      </c>
      <c r="I781" s="9" t="s">
        <v>123</v>
      </c>
      <c r="J781" s="9" t="s">
        <v>67</v>
      </c>
      <c r="K781" s="9" t="s">
        <v>98</v>
      </c>
      <c r="L781" s="9" t="s">
        <v>3655</v>
      </c>
      <c r="M781" s="9" t="s">
        <v>89</v>
      </c>
      <c r="N781" s="9" t="n">
        <v>4</v>
      </c>
      <c r="O781" s="9" t="n">
        <v>3153.54</v>
      </c>
      <c r="P781" s="9" t="n">
        <v>0.05</v>
      </c>
      <c r="Q781" s="9" t="n">
        <v>11983.45</v>
      </c>
      <c r="R781" s="9" t="n">
        <v>8572.9</v>
      </c>
      <c r="S781" s="9" t="n">
        <v>3410.55</v>
      </c>
      <c r="T781" s="9" t="s">
        <v>56</v>
      </c>
      <c r="U781" s="9" t="s">
        <v>57</v>
      </c>
    </row>
    <row r="782" customFormat="false" ht="15" hidden="false" customHeight="false" outlineLevel="0" collapsed="false">
      <c r="A782" s="9" t="s">
        <v>3656</v>
      </c>
      <c r="B782" s="9" t="s">
        <v>3657</v>
      </c>
      <c r="C782" s="9" t="s">
        <v>2700</v>
      </c>
      <c r="D782" s="9" t="s">
        <v>3658</v>
      </c>
      <c r="E782" s="9" t="s">
        <v>234</v>
      </c>
      <c r="F782" s="9" t="s">
        <v>63</v>
      </c>
      <c r="G782" s="9" t="s">
        <v>95</v>
      </c>
      <c r="H782" s="9" t="s">
        <v>50</v>
      </c>
      <c r="I782" s="9" t="s">
        <v>158</v>
      </c>
      <c r="J782" s="9" t="s">
        <v>67</v>
      </c>
      <c r="K782" s="9" t="s">
        <v>98</v>
      </c>
      <c r="L782" s="9" t="s">
        <v>3659</v>
      </c>
      <c r="M782" s="9" t="s">
        <v>70</v>
      </c>
      <c r="N782" s="9" t="n">
        <v>4</v>
      </c>
      <c r="O782" s="9" t="n">
        <v>426.43</v>
      </c>
      <c r="P782" s="9" t="n">
        <v>0.2</v>
      </c>
      <c r="Q782" s="9" t="n">
        <v>1364.58</v>
      </c>
      <c r="R782" s="9" t="n">
        <v>978.16</v>
      </c>
      <c r="S782" s="9" t="n">
        <v>386.42</v>
      </c>
      <c r="T782" s="9" t="s">
        <v>56</v>
      </c>
      <c r="U782" s="9" t="s">
        <v>57</v>
      </c>
    </row>
    <row r="783" customFormat="false" ht="15" hidden="false" customHeight="false" outlineLevel="0" collapsed="false">
      <c r="A783" s="9" t="s">
        <v>3660</v>
      </c>
      <c r="B783" s="9" t="s">
        <v>3661</v>
      </c>
      <c r="C783" s="9" t="s">
        <v>2171</v>
      </c>
      <c r="D783" s="9" t="s">
        <v>3662</v>
      </c>
      <c r="E783" s="9" t="s">
        <v>47</v>
      </c>
      <c r="F783" s="9" t="s">
        <v>137</v>
      </c>
      <c r="G783" s="9" t="s">
        <v>95</v>
      </c>
      <c r="H783" s="9" t="s">
        <v>50</v>
      </c>
      <c r="I783" s="9" t="s">
        <v>158</v>
      </c>
      <c r="J783" s="9" t="s">
        <v>52</v>
      </c>
      <c r="K783" s="9" t="s">
        <v>131</v>
      </c>
      <c r="L783" s="9" t="s">
        <v>3663</v>
      </c>
      <c r="M783" s="9" t="s">
        <v>78</v>
      </c>
      <c r="N783" s="9" t="n">
        <v>3</v>
      </c>
      <c r="O783" s="9" t="n">
        <v>383.4</v>
      </c>
      <c r="P783" s="9" t="n">
        <v>0.25</v>
      </c>
      <c r="Q783" s="9" t="n">
        <v>862.65</v>
      </c>
      <c r="R783" s="9" t="n">
        <v>603.73</v>
      </c>
      <c r="S783" s="9" t="n">
        <v>258.92</v>
      </c>
      <c r="T783" s="9" t="s">
        <v>160</v>
      </c>
      <c r="U783" s="9" t="s">
        <v>147</v>
      </c>
    </row>
    <row r="784" customFormat="false" ht="15" hidden="false" customHeight="false" outlineLevel="0" collapsed="false">
      <c r="A784" s="9" t="s">
        <v>3664</v>
      </c>
      <c r="B784" s="9" t="s">
        <v>1474</v>
      </c>
      <c r="C784" s="9" t="s">
        <v>3665</v>
      </c>
      <c r="D784" s="9" t="s">
        <v>3666</v>
      </c>
      <c r="E784" s="9" t="s">
        <v>62</v>
      </c>
      <c r="F784" s="9" t="s">
        <v>130</v>
      </c>
      <c r="G784" s="9" t="s">
        <v>64</v>
      </c>
      <c r="H784" s="9" t="s">
        <v>143</v>
      </c>
      <c r="I784" s="9" t="s">
        <v>144</v>
      </c>
      <c r="J784" s="9" t="s">
        <v>108</v>
      </c>
      <c r="K784" s="9" t="s">
        <v>116</v>
      </c>
      <c r="L784" s="9" t="s">
        <v>3667</v>
      </c>
      <c r="M784" s="9" t="s">
        <v>89</v>
      </c>
      <c r="N784" s="9" t="n">
        <v>2</v>
      </c>
      <c r="O784" s="9" t="n">
        <v>669.63</v>
      </c>
      <c r="P784" s="9" t="n">
        <v>0.15</v>
      </c>
      <c r="Q784" s="9" t="n">
        <v>1138.37</v>
      </c>
      <c r="R784" s="9" t="n">
        <v>797.34</v>
      </c>
      <c r="S784" s="9" t="n">
        <v>341.03</v>
      </c>
      <c r="T784" s="9" t="s">
        <v>56</v>
      </c>
      <c r="U784" s="9" t="s">
        <v>57</v>
      </c>
    </row>
    <row r="785" customFormat="false" ht="15" hidden="false" customHeight="false" outlineLevel="0" collapsed="false">
      <c r="A785" s="9" t="s">
        <v>3668</v>
      </c>
      <c r="B785" s="9" t="s">
        <v>3669</v>
      </c>
      <c r="C785" s="9" t="s">
        <v>3670</v>
      </c>
      <c r="D785" s="9" t="s">
        <v>3671</v>
      </c>
      <c r="E785" s="9" t="s">
        <v>186</v>
      </c>
      <c r="F785" s="9" t="s">
        <v>63</v>
      </c>
      <c r="G785" s="9" t="s">
        <v>64</v>
      </c>
      <c r="H785" s="9" t="s">
        <v>210</v>
      </c>
      <c r="I785" s="9" t="s">
        <v>211</v>
      </c>
      <c r="J785" s="9" t="s">
        <v>52</v>
      </c>
      <c r="K785" s="9" t="s">
        <v>76</v>
      </c>
      <c r="L785" s="9" t="s">
        <v>3672</v>
      </c>
      <c r="M785" s="9" t="s">
        <v>55</v>
      </c>
      <c r="N785" s="9" t="n">
        <v>1</v>
      </c>
      <c r="O785" s="9" t="n">
        <v>2581.93</v>
      </c>
      <c r="P785" s="9" t="n">
        <v>0.05</v>
      </c>
      <c r="Q785" s="9" t="n">
        <v>2452.83</v>
      </c>
      <c r="R785" s="9" t="n">
        <v>1906.7</v>
      </c>
      <c r="S785" s="9" t="n">
        <v>546.13</v>
      </c>
      <c r="T785" s="9" t="s">
        <v>56</v>
      </c>
      <c r="U785" s="9" t="s">
        <v>57</v>
      </c>
    </row>
    <row r="786" customFormat="false" ht="15" hidden="false" customHeight="false" outlineLevel="0" collapsed="false">
      <c r="A786" s="9" t="s">
        <v>3673</v>
      </c>
      <c r="B786" s="9" t="s">
        <v>3674</v>
      </c>
      <c r="C786" s="9" t="s">
        <v>2599</v>
      </c>
      <c r="D786" s="9" t="s">
        <v>3675</v>
      </c>
      <c r="E786" s="9" t="s">
        <v>165</v>
      </c>
      <c r="F786" s="9" t="s">
        <v>130</v>
      </c>
      <c r="G786" s="9" t="s">
        <v>3676</v>
      </c>
      <c r="H786" s="9" t="s">
        <v>178</v>
      </c>
      <c r="I786" s="9" t="s">
        <v>179</v>
      </c>
      <c r="J786" s="9" t="s">
        <v>108</v>
      </c>
      <c r="K786" s="9" t="s">
        <v>116</v>
      </c>
      <c r="L786" s="9" t="s">
        <v>3677</v>
      </c>
      <c r="M786" s="9" t="s">
        <v>78</v>
      </c>
      <c r="N786" s="9" t="n">
        <v>4</v>
      </c>
      <c r="O786" s="9" t="n">
        <v>418.18</v>
      </c>
      <c r="P786" s="9" t="n">
        <v>0.05</v>
      </c>
      <c r="Q786" s="9" t="n">
        <v>1589.08</v>
      </c>
      <c r="R786" s="9" t="n">
        <v>1084.66</v>
      </c>
      <c r="S786" s="9" t="n">
        <v>504.42</v>
      </c>
      <c r="T786" s="9" t="s">
        <v>56</v>
      </c>
      <c r="U786" s="9" t="s">
        <v>57</v>
      </c>
    </row>
    <row r="787" customFormat="false" ht="15" hidden="false" customHeight="false" outlineLevel="0" collapsed="false">
      <c r="A787" s="9" t="s">
        <v>3678</v>
      </c>
      <c r="B787" s="9" t="s">
        <v>3679</v>
      </c>
      <c r="C787" s="9" t="s">
        <v>298</v>
      </c>
      <c r="D787" s="9" t="s">
        <v>3680</v>
      </c>
      <c r="E787" s="9" t="s">
        <v>234</v>
      </c>
      <c r="F787" s="9" t="s">
        <v>63</v>
      </c>
      <c r="G787" s="9" t="s">
        <v>177</v>
      </c>
      <c r="H787" s="9" t="s">
        <v>348</v>
      </c>
      <c r="I787" s="9" t="s">
        <v>349</v>
      </c>
      <c r="J787" s="9" t="s">
        <v>52</v>
      </c>
      <c r="K787" s="9" t="s">
        <v>180</v>
      </c>
      <c r="L787" s="9" t="s">
        <v>3681</v>
      </c>
      <c r="M787" s="9" t="s">
        <v>70</v>
      </c>
      <c r="N787" s="9" t="n">
        <v>2</v>
      </c>
      <c r="O787" s="9" t="n">
        <v>3012.94</v>
      </c>
      <c r="P787" s="9" t="n">
        <v>0.25</v>
      </c>
      <c r="Q787" s="9" t="n">
        <v>4519.41</v>
      </c>
      <c r="R787" s="9" t="n">
        <v>3504.16</v>
      </c>
      <c r="S787" s="9" t="n">
        <v>1275.55</v>
      </c>
      <c r="T787" s="9" t="s">
        <v>224</v>
      </c>
      <c r="U787" s="9" t="s">
        <v>100</v>
      </c>
    </row>
    <row r="788" customFormat="false" ht="15" hidden="false" customHeight="false" outlineLevel="0" collapsed="false">
      <c r="A788" s="9" t="s">
        <v>3682</v>
      </c>
      <c r="B788" s="9" t="s">
        <v>1309</v>
      </c>
      <c r="C788" s="9" t="s">
        <v>2901</v>
      </c>
      <c r="D788" s="9" t="s">
        <v>3683</v>
      </c>
      <c r="E788" s="9" t="s">
        <v>94</v>
      </c>
      <c r="F788" s="9" t="s">
        <v>130</v>
      </c>
      <c r="G788" s="9" t="s">
        <v>177</v>
      </c>
      <c r="H788" s="9" t="s">
        <v>50</v>
      </c>
      <c r="I788" s="9" t="s">
        <v>51</v>
      </c>
      <c r="J788" s="9" t="s">
        <v>67</v>
      </c>
      <c r="K788" s="9" t="s">
        <v>87</v>
      </c>
      <c r="L788" s="9" t="s">
        <v>3684</v>
      </c>
      <c r="M788" s="9"/>
      <c r="N788" s="9" t="n">
        <v>4</v>
      </c>
      <c r="O788" s="9" t="n">
        <v>715.45</v>
      </c>
      <c r="P788" s="9" t="n">
        <v>0.05</v>
      </c>
      <c r="Q788" s="9" t="n">
        <v>2718.71</v>
      </c>
      <c r="R788" s="9" t="n">
        <v>2065.05</v>
      </c>
      <c r="S788" s="9" t="n">
        <v>653.66</v>
      </c>
      <c r="T788" s="9" t="s">
        <v>146</v>
      </c>
      <c r="U788" s="9" t="s">
        <v>147</v>
      </c>
    </row>
    <row r="789" customFormat="false" ht="15" hidden="false" customHeight="false" outlineLevel="0" collapsed="false">
      <c r="A789" s="9" t="s">
        <v>3685</v>
      </c>
      <c r="B789" s="9" t="s">
        <v>1362</v>
      </c>
      <c r="C789" s="9" t="s">
        <v>3686</v>
      </c>
      <c r="D789" s="9" t="s">
        <v>3687</v>
      </c>
      <c r="E789" s="9" t="s">
        <v>94</v>
      </c>
      <c r="F789" s="9" t="s">
        <v>137</v>
      </c>
      <c r="G789" s="9" t="s">
        <v>64</v>
      </c>
      <c r="H789" s="9" t="s">
        <v>210</v>
      </c>
      <c r="I789" s="9" t="s">
        <v>211</v>
      </c>
      <c r="J789" s="9" t="s">
        <v>52</v>
      </c>
      <c r="K789" s="9" t="s">
        <v>53</v>
      </c>
      <c r="L789" s="9" t="s">
        <v>3688</v>
      </c>
      <c r="M789" s="9" t="s">
        <v>55</v>
      </c>
      <c r="N789" s="9" t="n">
        <v>2</v>
      </c>
      <c r="O789" s="9" t="n">
        <v>3718.77</v>
      </c>
      <c r="P789" s="9" t="n">
        <v>0.05</v>
      </c>
      <c r="Q789" s="9" t="n">
        <v>7065.66</v>
      </c>
      <c r="R789" s="9" t="n">
        <v>4915.27</v>
      </c>
      <c r="S789" s="9" t="n">
        <v>2150.39</v>
      </c>
      <c r="T789" s="9" t="s">
        <v>249</v>
      </c>
      <c r="U789" s="9" t="s">
        <v>57</v>
      </c>
    </row>
    <row r="790" customFormat="false" ht="15" hidden="false" customHeight="false" outlineLevel="0" collapsed="false">
      <c r="A790" s="9" t="s">
        <v>3689</v>
      </c>
      <c r="B790" s="9" t="s">
        <v>1337</v>
      </c>
      <c r="C790" s="9" t="s">
        <v>568</v>
      </c>
      <c r="D790" s="9" t="s">
        <v>3690</v>
      </c>
      <c r="E790" s="9" t="s">
        <v>75</v>
      </c>
      <c r="F790" s="9" t="s">
        <v>130</v>
      </c>
      <c r="G790" s="9" t="s">
        <v>177</v>
      </c>
      <c r="H790" s="9" t="s">
        <v>198</v>
      </c>
      <c r="I790" s="9" t="s">
        <v>199</v>
      </c>
      <c r="J790" s="9" t="s">
        <v>67</v>
      </c>
      <c r="K790" s="9" t="s">
        <v>98</v>
      </c>
      <c r="L790" s="9" t="s">
        <v>3691</v>
      </c>
      <c r="M790" s="9" t="s">
        <v>89</v>
      </c>
      <c r="N790" s="9" t="n">
        <v>8</v>
      </c>
      <c r="O790" s="9" t="n">
        <v>2487.64</v>
      </c>
      <c r="P790" s="9" t="n">
        <v>0.1</v>
      </c>
      <c r="Q790" s="9" t="n">
        <v>17911.01</v>
      </c>
      <c r="R790" s="9" t="n">
        <v>11546.05</v>
      </c>
      <c r="S790" s="9" t="n">
        <v>6364.96</v>
      </c>
      <c r="T790" s="9" t="s">
        <v>224</v>
      </c>
      <c r="U790" s="9" t="s">
        <v>147</v>
      </c>
    </row>
    <row r="791" customFormat="false" ht="15" hidden="false" customHeight="false" outlineLevel="0" collapsed="false">
      <c r="A791" s="9" t="s">
        <v>3692</v>
      </c>
      <c r="B791" s="9" t="s">
        <v>3693</v>
      </c>
      <c r="C791" s="9" t="s">
        <v>2367</v>
      </c>
      <c r="D791" s="9" t="s">
        <v>3694</v>
      </c>
      <c r="E791" s="9" t="s">
        <v>165</v>
      </c>
      <c r="F791" s="9" t="s">
        <v>137</v>
      </c>
      <c r="G791" s="9"/>
      <c r="H791" s="9" t="s">
        <v>50</v>
      </c>
      <c r="I791" s="9" t="s">
        <v>158</v>
      </c>
      <c r="J791" s="9" t="s">
        <v>108</v>
      </c>
      <c r="K791" s="9" t="s">
        <v>116</v>
      </c>
      <c r="L791" s="9" t="s">
        <v>3695</v>
      </c>
      <c r="M791" s="9" t="s">
        <v>70</v>
      </c>
      <c r="N791" s="9" t="n">
        <v>4</v>
      </c>
      <c r="O791" s="9" t="n">
        <v>3537.48</v>
      </c>
      <c r="P791" s="9" t="n">
        <v>0</v>
      </c>
      <c r="Q791" s="9" t="n">
        <v>14149.92</v>
      </c>
      <c r="R791" s="9" t="n">
        <v>9466.51</v>
      </c>
      <c r="S791" s="9" t="n">
        <v>4683.41</v>
      </c>
      <c r="T791" s="9" t="s">
        <v>56</v>
      </c>
      <c r="U791" s="9" t="s">
        <v>57</v>
      </c>
    </row>
    <row r="792" customFormat="false" ht="15" hidden="false" customHeight="false" outlineLevel="0" collapsed="false">
      <c r="A792" s="9" t="s">
        <v>3696</v>
      </c>
      <c r="B792" s="9" t="s">
        <v>3697</v>
      </c>
      <c r="C792" s="9" t="s">
        <v>3698</v>
      </c>
      <c r="D792" s="9" t="s">
        <v>3699</v>
      </c>
      <c r="E792" s="9" t="s">
        <v>171</v>
      </c>
      <c r="F792" s="9" t="s">
        <v>130</v>
      </c>
      <c r="G792" s="9" t="s">
        <v>84</v>
      </c>
      <c r="H792" s="9" t="s">
        <v>122</v>
      </c>
      <c r="I792" s="9" t="s">
        <v>123</v>
      </c>
      <c r="J792" s="9" t="s">
        <v>52</v>
      </c>
      <c r="K792" s="9" t="s">
        <v>76</v>
      </c>
      <c r="L792" s="9" t="s">
        <v>3700</v>
      </c>
      <c r="M792" s="9" t="s">
        <v>89</v>
      </c>
      <c r="N792" s="9" t="n">
        <v>8</v>
      </c>
      <c r="O792" s="9" t="n">
        <v>667.59</v>
      </c>
      <c r="P792" s="9" t="n">
        <v>0.2</v>
      </c>
      <c r="Q792" s="9" t="n">
        <v>4272.58</v>
      </c>
      <c r="R792" s="9" t="n">
        <v>3328.92</v>
      </c>
      <c r="S792" s="9" t="n">
        <v>943.66</v>
      </c>
      <c r="T792" s="9" t="s">
        <v>56</v>
      </c>
      <c r="U792" s="9" t="s">
        <v>57</v>
      </c>
    </row>
    <row r="793" customFormat="false" ht="15" hidden="false" customHeight="false" outlineLevel="0" collapsed="false">
      <c r="A793" s="9" t="s">
        <v>3701</v>
      </c>
      <c r="B793" s="9" t="s">
        <v>3062</v>
      </c>
      <c r="C793" s="9" t="s">
        <v>3702</v>
      </c>
      <c r="D793" s="9" t="s">
        <v>3703</v>
      </c>
      <c r="E793" s="9" t="s">
        <v>171</v>
      </c>
      <c r="F793" s="9" t="s">
        <v>137</v>
      </c>
      <c r="G793" s="9" t="s">
        <v>84</v>
      </c>
      <c r="H793" s="9" t="s">
        <v>254</v>
      </c>
      <c r="I793" s="9" t="s">
        <v>255</v>
      </c>
      <c r="J793" s="9" t="s">
        <v>67</v>
      </c>
      <c r="K793" s="9" t="s">
        <v>228</v>
      </c>
      <c r="L793" s="9" t="s">
        <v>3704</v>
      </c>
      <c r="M793" s="9" t="s">
        <v>70</v>
      </c>
      <c r="N793" s="9" t="n">
        <v>8</v>
      </c>
      <c r="O793" s="9" t="n">
        <v>1558.77</v>
      </c>
      <c r="P793" s="9" t="n">
        <v>0.25</v>
      </c>
      <c r="Q793" s="9" t="n">
        <v>9352.62</v>
      </c>
      <c r="R793" s="9" t="n">
        <v>5269.41</v>
      </c>
      <c r="S793" s="9" t="n">
        <v>4083.21</v>
      </c>
      <c r="T793" s="9" t="s">
        <v>56</v>
      </c>
      <c r="U793" s="9" t="s">
        <v>57</v>
      </c>
    </row>
    <row r="794" customFormat="false" ht="15" hidden="false" customHeight="false" outlineLevel="0" collapsed="false">
      <c r="A794" s="9" t="s">
        <v>3705</v>
      </c>
      <c r="B794" s="9" t="s">
        <v>1268</v>
      </c>
      <c r="C794" s="9" t="s">
        <v>3706</v>
      </c>
      <c r="D794" s="9" t="s">
        <v>3707</v>
      </c>
      <c r="E794" s="9" t="s">
        <v>83</v>
      </c>
      <c r="F794" s="9" t="s">
        <v>63</v>
      </c>
      <c r="G794" s="9" t="s">
        <v>64</v>
      </c>
      <c r="H794" s="9" t="s">
        <v>240</v>
      </c>
      <c r="I794" s="9" t="s">
        <v>241</v>
      </c>
      <c r="J794" s="9" t="s">
        <v>67</v>
      </c>
      <c r="K794" s="9" t="s">
        <v>87</v>
      </c>
      <c r="L794" s="9" t="s">
        <v>3708</v>
      </c>
      <c r="M794" s="9" t="s">
        <v>55</v>
      </c>
      <c r="N794" s="9" t="n">
        <v>1</v>
      </c>
      <c r="O794" s="9" t="n">
        <v>3501.12</v>
      </c>
      <c r="P794" s="9" t="n">
        <v>0.2</v>
      </c>
      <c r="Q794" s="9" t="n">
        <v>2800.9</v>
      </c>
      <c r="R794" s="9" t="n">
        <v>1735.98</v>
      </c>
      <c r="S794" s="9" t="n">
        <v>1064.92</v>
      </c>
      <c r="T794" s="9" t="s">
        <v>56</v>
      </c>
      <c r="U794" s="9" t="s">
        <v>147</v>
      </c>
    </row>
    <row r="795" customFormat="false" ht="15" hidden="false" customHeight="false" outlineLevel="0" collapsed="false">
      <c r="A795" s="9" t="s">
        <v>3709</v>
      </c>
      <c r="B795" s="9" t="s">
        <v>103</v>
      </c>
      <c r="C795" s="9" t="s">
        <v>3710</v>
      </c>
      <c r="D795" s="9" t="s">
        <v>3711</v>
      </c>
      <c r="E795" s="9" t="s">
        <v>105</v>
      </c>
      <c r="F795" s="9" t="s">
        <v>130</v>
      </c>
      <c r="G795" s="9" t="s">
        <v>177</v>
      </c>
      <c r="H795" s="9" t="s">
        <v>50</v>
      </c>
      <c r="I795" s="9" t="s">
        <v>51</v>
      </c>
      <c r="J795" s="9" t="s">
        <v>108</v>
      </c>
      <c r="K795" s="9" t="s">
        <v>116</v>
      </c>
      <c r="L795" s="9" t="s">
        <v>3712</v>
      </c>
      <c r="M795" s="9" t="s">
        <v>55</v>
      </c>
      <c r="N795" s="9" t="n">
        <v>5</v>
      </c>
      <c r="O795" s="9" t="n">
        <v>4302.32</v>
      </c>
      <c r="P795" s="9" t="n">
        <v>0</v>
      </c>
      <c r="Q795" s="9" t="n">
        <v>21511.6</v>
      </c>
      <c r="R795" s="9" t="n">
        <v>15408.47</v>
      </c>
      <c r="S795" s="9" t="n">
        <v>6103.13</v>
      </c>
      <c r="T795" s="9" t="s">
        <v>56</v>
      </c>
      <c r="U795" s="9" t="s">
        <v>57</v>
      </c>
    </row>
    <row r="796" customFormat="false" ht="15" hidden="false" customHeight="false" outlineLevel="0" collapsed="false">
      <c r="A796" s="9" t="s">
        <v>3713</v>
      </c>
      <c r="B796" s="9" t="s">
        <v>3714</v>
      </c>
      <c r="C796" s="9" t="s">
        <v>1031</v>
      </c>
      <c r="D796" s="9" t="s">
        <v>3715</v>
      </c>
      <c r="E796" s="9" t="s">
        <v>192</v>
      </c>
      <c r="F796" s="9" t="s">
        <v>130</v>
      </c>
      <c r="G796" s="9" t="s">
        <v>64</v>
      </c>
      <c r="H796" s="9" t="s">
        <v>240</v>
      </c>
      <c r="I796" s="9" t="s">
        <v>241</v>
      </c>
      <c r="J796" s="9" t="s">
        <v>52</v>
      </c>
      <c r="K796" s="9" t="s">
        <v>53</v>
      </c>
      <c r="L796" s="9" t="s">
        <v>3716</v>
      </c>
      <c r="M796" s="9" t="s">
        <v>89</v>
      </c>
      <c r="N796" s="9" t="n">
        <v>9</v>
      </c>
      <c r="O796" s="9" t="n">
        <v>951.55</v>
      </c>
      <c r="P796" s="9" t="n">
        <v>0.15</v>
      </c>
      <c r="Q796" s="9" t="n">
        <v>7279.36</v>
      </c>
      <c r="R796" s="9" t="n">
        <v>4870.39</v>
      </c>
      <c r="S796" s="9" t="n">
        <v>2408.97</v>
      </c>
      <c r="T796" s="9" t="s">
        <v>56</v>
      </c>
      <c r="U796" s="9" t="s">
        <v>57</v>
      </c>
    </row>
    <row r="797" customFormat="false" ht="15" hidden="false" customHeight="false" outlineLevel="0" collapsed="false">
      <c r="A797" s="9" t="s">
        <v>3717</v>
      </c>
      <c r="B797" s="9" t="s">
        <v>3718</v>
      </c>
      <c r="C797" s="9" t="s">
        <v>559</v>
      </c>
      <c r="D797" s="9" t="s">
        <v>3719</v>
      </c>
      <c r="E797" s="9" t="s">
        <v>234</v>
      </c>
      <c r="F797" s="9" t="s">
        <v>137</v>
      </c>
      <c r="G797" s="9" t="s">
        <v>64</v>
      </c>
      <c r="H797" s="9" t="s">
        <v>65</v>
      </c>
      <c r="I797" s="9" t="s">
        <v>66</v>
      </c>
      <c r="J797" s="9" t="s">
        <v>108</v>
      </c>
      <c r="K797" s="9" t="s">
        <v>116</v>
      </c>
      <c r="L797" s="9" t="s">
        <v>3720</v>
      </c>
      <c r="M797" s="9" t="s">
        <v>70</v>
      </c>
      <c r="N797" s="9" t="n">
        <v>9</v>
      </c>
      <c r="O797" s="9" t="n">
        <v>2894.66</v>
      </c>
      <c r="P797" s="9" t="n">
        <v>0</v>
      </c>
      <c r="Q797" s="9" t="n">
        <v>26051.94</v>
      </c>
      <c r="R797" s="9" t="n">
        <v>16883.59</v>
      </c>
      <c r="S797" s="9" t="n">
        <v>9168.35</v>
      </c>
      <c r="T797" s="9" t="s">
        <v>146</v>
      </c>
      <c r="U797" s="9" t="s">
        <v>100</v>
      </c>
    </row>
    <row r="798" customFormat="false" ht="15" hidden="false" customHeight="false" outlineLevel="0" collapsed="false">
      <c r="A798" s="9" t="s">
        <v>3721</v>
      </c>
      <c r="B798" s="9" t="s">
        <v>831</v>
      </c>
      <c r="C798" s="9" t="s">
        <v>3722</v>
      </c>
      <c r="D798" s="9" t="s">
        <v>3723</v>
      </c>
      <c r="E798" s="9" t="s">
        <v>204</v>
      </c>
      <c r="F798" s="9" t="s">
        <v>63</v>
      </c>
      <c r="G798" s="9" t="s">
        <v>84</v>
      </c>
      <c r="H798" s="9" t="s">
        <v>122</v>
      </c>
      <c r="I798" s="9" t="s">
        <v>123</v>
      </c>
      <c r="J798" s="9" t="s">
        <v>108</v>
      </c>
      <c r="K798" s="9" t="s">
        <v>409</v>
      </c>
      <c r="L798" s="9" t="s">
        <v>3724</v>
      </c>
      <c r="M798" s="9" t="s">
        <v>78</v>
      </c>
      <c r="N798" s="9" t="n">
        <v>6</v>
      </c>
      <c r="O798" s="9" t="n">
        <v>1894.44</v>
      </c>
      <c r="P798" s="9" t="n">
        <v>0.15</v>
      </c>
      <c r="Q798" s="9" t="n">
        <v>9661.64</v>
      </c>
      <c r="R798" s="9" t="n">
        <v>6303.77</v>
      </c>
      <c r="S798" s="9" t="n">
        <v>3357.87</v>
      </c>
      <c r="T798" s="9" t="s">
        <v>56</v>
      </c>
      <c r="U798" s="9" t="s">
        <v>57</v>
      </c>
    </row>
    <row r="799" customFormat="false" ht="15" hidden="false" customHeight="false" outlineLevel="0" collapsed="false">
      <c r="A799" s="9" t="s">
        <v>3725</v>
      </c>
      <c r="B799" s="9" t="s">
        <v>3726</v>
      </c>
      <c r="C799" s="9" t="s">
        <v>3637</v>
      </c>
      <c r="D799" s="9" t="s">
        <v>3727</v>
      </c>
      <c r="E799" s="9" t="s">
        <v>186</v>
      </c>
      <c r="F799" s="9" t="s">
        <v>48</v>
      </c>
      <c r="G799" s="9" t="s">
        <v>64</v>
      </c>
      <c r="H799" s="9" t="s">
        <v>65</v>
      </c>
      <c r="I799" s="9" t="s">
        <v>66</v>
      </c>
      <c r="J799" s="9" t="s">
        <v>52</v>
      </c>
      <c r="K799" s="9" t="s">
        <v>222</v>
      </c>
      <c r="L799" s="9" t="s">
        <v>3728</v>
      </c>
      <c r="M799" s="9" t="s">
        <v>78</v>
      </c>
      <c r="N799" s="9" t="n">
        <v>8</v>
      </c>
      <c r="O799" s="9" t="n">
        <v>1714.37</v>
      </c>
      <c r="P799" s="9" t="n">
        <v>0</v>
      </c>
      <c r="Q799" s="9" t="n">
        <v>13714.96</v>
      </c>
      <c r="R799" s="9" t="n">
        <v>10550.47</v>
      </c>
      <c r="S799" s="9" t="n">
        <v>3164.49</v>
      </c>
      <c r="T799" s="9" t="s">
        <v>224</v>
      </c>
      <c r="U799" s="9" t="s">
        <v>100</v>
      </c>
    </row>
    <row r="800" customFormat="false" ht="15" hidden="false" customHeight="false" outlineLevel="0" collapsed="false">
      <c r="A800" s="9" t="s">
        <v>3729</v>
      </c>
      <c r="B800" s="9" t="s">
        <v>3730</v>
      </c>
      <c r="C800" s="9" t="s">
        <v>3731</v>
      </c>
      <c r="D800" s="9" t="s">
        <v>3732</v>
      </c>
      <c r="E800" s="9" t="s">
        <v>129</v>
      </c>
      <c r="F800" s="9" t="s">
        <v>130</v>
      </c>
      <c r="G800" s="9" t="s">
        <v>177</v>
      </c>
      <c r="H800" s="9" t="s">
        <v>535</v>
      </c>
      <c r="I800" s="9" t="s">
        <v>536</v>
      </c>
      <c r="J800" s="9" t="s">
        <v>67</v>
      </c>
      <c r="K800" s="9" t="s">
        <v>87</v>
      </c>
      <c r="L800" s="9" t="s">
        <v>3733</v>
      </c>
      <c r="M800" s="9" t="s">
        <v>89</v>
      </c>
      <c r="N800" s="9" t="n">
        <v>9</v>
      </c>
      <c r="O800" s="9" t="n">
        <v>1706.05</v>
      </c>
      <c r="P800" s="9" t="n">
        <v>0</v>
      </c>
      <c r="Q800" s="9" t="n">
        <v>15354.45</v>
      </c>
      <c r="R800" s="9" t="n">
        <v>9656.5</v>
      </c>
      <c r="S800" s="9" t="n">
        <v>5697.95</v>
      </c>
      <c r="T800" s="9" t="s">
        <v>56</v>
      </c>
      <c r="U800" s="9" t="s">
        <v>57</v>
      </c>
    </row>
    <row r="801" customFormat="false" ht="15" hidden="false" customHeight="false" outlineLevel="0" collapsed="false">
      <c r="A801" s="9" t="s">
        <v>3734</v>
      </c>
      <c r="B801" s="9" t="s">
        <v>3417</v>
      </c>
      <c r="C801" s="9" t="s">
        <v>2589</v>
      </c>
      <c r="D801" s="9" t="s">
        <v>3735</v>
      </c>
      <c r="E801" s="9" t="s">
        <v>75</v>
      </c>
      <c r="F801" s="9" t="s">
        <v>137</v>
      </c>
      <c r="G801" s="9" t="s">
        <v>177</v>
      </c>
      <c r="H801" s="9" t="s">
        <v>348</v>
      </c>
      <c r="I801" s="9" t="s">
        <v>349</v>
      </c>
      <c r="J801" s="9" t="s">
        <v>108</v>
      </c>
      <c r="K801" s="9" t="s">
        <v>109</v>
      </c>
      <c r="L801" s="9" t="s">
        <v>3736</v>
      </c>
      <c r="M801" s="9"/>
      <c r="N801" s="9" t="n">
        <v>5</v>
      </c>
      <c r="O801" s="9" t="n">
        <v>967.41</v>
      </c>
      <c r="P801" s="9" t="n">
        <v>0.05</v>
      </c>
      <c r="Q801" s="9" t="n">
        <v>4595.2</v>
      </c>
      <c r="R801" s="9" t="n">
        <v>3887.41</v>
      </c>
      <c r="S801" s="9" t="n">
        <v>707.79</v>
      </c>
      <c r="T801" s="9" t="s">
        <v>56</v>
      </c>
      <c r="U801" s="9" t="s">
        <v>147</v>
      </c>
    </row>
    <row r="802" customFormat="false" ht="15" hidden="false" customHeight="false" outlineLevel="0" collapsed="false">
      <c r="A802" s="9" t="s">
        <v>3737</v>
      </c>
      <c r="B802" s="9" t="s">
        <v>3738</v>
      </c>
      <c r="C802" s="9" t="s">
        <v>3739</v>
      </c>
      <c r="D802" s="9" t="s">
        <v>3740</v>
      </c>
      <c r="E802" s="9" t="s">
        <v>105</v>
      </c>
      <c r="F802" s="9" t="s">
        <v>63</v>
      </c>
      <c r="G802" s="9" t="s">
        <v>95</v>
      </c>
      <c r="H802" s="9" t="s">
        <v>96</v>
      </c>
      <c r="I802" s="9" t="s">
        <v>97</v>
      </c>
      <c r="J802" s="9" t="s">
        <v>52</v>
      </c>
      <c r="K802" s="9" t="s">
        <v>180</v>
      </c>
      <c r="L802" s="9" t="s">
        <v>3741</v>
      </c>
      <c r="M802" s="9" t="s">
        <v>55</v>
      </c>
      <c r="N802" s="9" t="n">
        <v>6</v>
      </c>
      <c r="O802" s="9" t="n">
        <v>4163.72</v>
      </c>
      <c r="P802" s="9" t="n">
        <v>0.15</v>
      </c>
      <c r="Q802" s="9" t="n">
        <v>21234.97</v>
      </c>
      <c r="R802" s="9" t="n">
        <v>16736.09</v>
      </c>
      <c r="S802" s="9" t="n">
        <v>4498.88</v>
      </c>
      <c r="T802" s="9" t="s">
        <v>56</v>
      </c>
      <c r="U802" s="9" t="s">
        <v>57</v>
      </c>
    </row>
    <row r="803" customFormat="false" ht="15" hidden="false" customHeight="false" outlineLevel="0" collapsed="false">
      <c r="A803" s="9" t="s">
        <v>3742</v>
      </c>
      <c r="B803" s="9" t="s">
        <v>3743</v>
      </c>
      <c r="C803" s="9" t="s">
        <v>334</v>
      </c>
      <c r="D803" s="9" t="s">
        <v>3744</v>
      </c>
      <c r="E803" s="9" t="s">
        <v>186</v>
      </c>
      <c r="F803" s="9" t="s">
        <v>137</v>
      </c>
      <c r="G803" s="9" t="s">
        <v>64</v>
      </c>
      <c r="H803" s="9" t="s">
        <v>65</v>
      </c>
      <c r="I803" s="9" t="s">
        <v>66</v>
      </c>
      <c r="J803" s="9" t="s">
        <v>108</v>
      </c>
      <c r="K803" s="9" t="s">
        <v>109</v>
      </c>
      <c r="L803" s="9" t="s">
        <v>3745</v>
      </c>
      <c r="M803" s="9" t="s">
        <v>55</v>
      </c>
      <c r="N803" s="9" t="n">
        <v>3</v>
      </c>
      <c r="O803" s="9" t="n">
        <v>3372.21</v>
      </c>
      <c r="P803" s="9" t="n">
        <v>0.2</v>
      </c>
      <c r="Q803" s="9" t="n">
        <v>8093.3</v>
      </c>
      <c r="R803" s="9" t="n">
        <v>6052.43</v>
      </c>
      <c r="S803" s="9" t="n">
        <v>2040.87</v>
      </c>
      <c r="T803" s="9" t="s">
        <v>160</v>
      </c>
      <c r="U803" s="9" t="s">
        <v>100</v>
      </c>
    </row>
    <row r="804" customFormat="false" ht="15" hidden="false" customHeight="false" outlineLevel="0" collapsed="false">
      <c r="A804" s="9" t="s">
        <v>3746</v>
      </c>
      <c r="B804" s="9" t="s">
        <v>3222</v>
      </c>
      <c r="C804" s="9" t="s">
        <v>3747</v>
      </c>
      <c r="D804" s="9" t="s">
        <v>3748</v>
      </c>
      <c r="E804" s="9" t="s">
        <v>204</v>
      </c>
      <c r="F804" s="9" t="s">
        <v>63</v>
      </c>
      <c r="G804" s="9" t="s">
        <v>64</v>
      </c>
      <c r="H804" s="9" t="s">
        <v>240</v>
      </c>
      <c r="I804" s="9" t="s">
        <v>241</v>
      </c>
      <c r="J804" s="9" t="s">
        <v>67</v>
      </c>
      <c r="K804" s="9" t="s">
        <v>87</v>
      </c>
      <c r="L804" s="9" t="s">
        <v>3749</v>
      </c>
      <c r="M804" s="9" t="s">
        <v>55</v>
      </c>
      <c r="N804" s="9" t="n">
        <v>6</v>
      </c>
      <c r="O804" s="9" t="n">
        <v>1441.91</v>
      </c>
      <c r="P804" s="9" t="n">
        <v>0</v>
      </c>
      <c r="Q804" s="9" t="n">
        <v>8651.46</v>
      </c>
      <c r="R804" s="9" t="n">
        <v>5254.62</v>
      </c>
      <c r="S804" s="9" t="n">
        <v>3396.84</v>
      </c>
      <c r="T804" s="9" t="s">
        <v>3750</v>
      </c>
      <c r="U804" s="9" t="s">
        <v>147</v>
      </c>
    </row>
    <row r="805" customFormat="false" ht="15" hidden="false" customHeight="false" outlineLevel="0" collapsed="false">
      <c r="A805" s="9" t="s">
        <v>3751</v>
      </c>
      <c r="B805" s="9" t="s">
        <v>3752</v>
      </c>
      <c r="C805" s="9" t="s">
        <v>767</v>
      </c>
      <c r="D805" s="9" t="s">
        <v>3753</v>
      </c>
      <c r="E805" s="9" t="s">
        <v>204</v>
      </c>
      <c r="F805" s="9" t="s">
        <v>48</v>
      </c>
      <c r="G805" s="9"/>
      <c r="H805" s="9" t="s">
        <v>336</v>
      </c>
      <c r="I805" s="9" t="s">
        <v>337</v>
      </c>
      <c r="J805" s="9" t="s">
        <v>52</v>
      </c>
      <c r="K805" s="9" t="s">
        <v>131</v>
      </c>
      <c r="L805" s="9" t="s">
        <v>3754</v>
      </c>
      <c r="M805" s="9" t="s">
        <v>78</v>
      </c>
      <c r="N805" s="9" t="n">
        <v>1</v>
      </c>
      <c r="O805" s="9" t="n">
        <v>4306.65</v>
      </c>
      <c r="P805" s="9" t="n">
        <v>0</v>
      </c>
      <c r="Q805" s="9" t="n">
        <v>4306.65</v>
      </c>
      <c r="R805" s="9" t="n">
        <v>2568.82</v>
      </c>
      <c r="S805" s="9" t="n">
        <v>1737.83</v>
      </c>
      <c r="T805" s="9" t="s">
        <v>56</v>
      </c>
      <c r="U805" s="9" t="s">
        <v>57</v>
      </c>
    </row>
    <row r="806" customFormat="false" ht="15" hidden="false" customHeight="false" outlineLevel="0" collapsed="false">
      <c r="A806" s="9" t="s">
        <v>3755</v>
      </c>
      <c r="B806" s="9" t="s">
        <v>1024</v>
      </c>
      <c r="C806" s="9" t="s">
        <v>2239</v>
      </c>
      <c r="D806" s="9" t="s">
        <v>3756</v>
      </c>
      <c r="E806" s="9" t="s">
        <v>171</v>
      </c>
      <c r="F806" s="9" t="s">
        <v>137</v>
      </c>
      <c r="G806" s="9" t="s">
        <v>84</v>
      </c>
      <c r="H806" s="9" t="s">
        <v>85</v>
      </c>
      <c r="I806" s="9" t="s">
        <v>86</v>
      </c>
      <c r="J806" s="9" t="s">
        <v>67</v>
      </c>
      <c r="K806" s="9" t="s">
        <v>87</v>
      </c>
      <c r="L806" s="9" t="s">
        <v>3757</v>
      </c>
      <c r="M806" s="9" t="s">
        <v>89</v>
      </c>
      <c r="N806" s="9" t="n">
        <v>1</v>
      </c>
      <c r="O806" s="9" t="n">
        <v>2050.62</v>
      </c>
      <c r="P806" s="9" t="n">
        <v>0.05</v>
      </c>
      <c r="Q806" s="9" t="n">
        <v>1948.09</v>
      </c>
      <c r="R806" s="9" t="n">
        <v>1507.08</v>
      </c>
      <c r="S806" s="9" t="n">
        <v>441.01</v>
      </c>
      <c r="T806" s="9" t="s">
        <v>56</v>
      </c>
      <c r="U806" s="9" t="s">
        <v>57</v>
      </c>
    </row>
    <row r="807" customFormat="false" ht="15" hidden="false" customHeight="false" outlineLevel="0" collapsed="false">
      <c r="A807" s="9" t="s">
        <v>3758</v>
      </c>
      <c r="B807" s="9" t="s">
        <v>1354</v>
      </c>
      <c r="C807" s="9" t="s">
        <v>1099</v>
      </c>
      <c r="D807" s="9" t="s">
        <v>3573</v>
      </c>
      <c r="E807" s="9" t="s">
        <v>165</v>
      </c>
      <c r="F807" s="9" t="s">
        <v>137</v>
      </c>
      <c r="G807" s="9" t="s">
        <v>64</v>
      </c>
      <c r="H807" s="9" t="s">
        <v>240</v>
      </c>
      <c r="I807" s="9" t="s">
        <v>241</v>
      </c>
      <c r="J807" s="9" t="s">
        <v>52</v>
      </c>
      <c r="K807" s="9" t="s">
        <v>222</v>
      </c>
      <c r="L807" s="9" t="s">
        <v>3759</v>
      </c>
      <c r="M807" s="9" t="s">
        <v>55</v>
      </c>
      <c r="N807" s="9" t="n">
        <v>2</v>
      </c>
      <c r="O807" s="9" t="n">
        <v>2030.06</v>
      </c>
      <c r="P807" s="9" t="n">
        <v>0.25</v>
      </c>
      <c r="Q807" s="9" t="n">
        <v>3045.09</v>
      </c>
      <c r="R807" s="9" t="n">
        <v>2601.09</v>
      </c>
      <c r="S807" s="9" t="n">
        <v>444</v>
      </c>
      <c r="T807" s="9" t="s">
        <v>56</v>
      </c>
      <c r="U807" s="9" t="s">
        <v>57</v>
      </c>
    </row>
    <row r="808" customFormat="false" ht="15" hidden="false" customHeight="false" outlineLevel="0" collapsed="false">
      <c r="A808" s="9" t="s">
        <v>3760</v>
      </c>
      <c r="B808" s="9" t="s">
        <v>3761</v>
      </c>
      <c r="C808" s="9" t="s">
        <v>3762</v>
      </c>
      <c r="D808" s="9" t="s">
        <v>3763</v>
      </c>
      <c r="E808" s="9" t="s">
        <v>75</v>
      </c>
      <c r="F808" s="9" t="s">
        <v>137</v>
      </c>
      <c r="G808" s="9" t="s">
        <v>177</v>
      </c>
      <c r="H808" s="9" t="s">
        <v>50</v>
      </c>
      <c r="I808" s="9" t="s">
        <v>51</v>
      </c>
      <c r="J808" s="9" t="s">
        <v>108</v>
      </c>
      <c r="K808" s="9" t="s">
        <v>116</v>
      </c>
      <c r="L808" s="9" t="s">
        <v>3764</v>
      </c>
      <c r="M808" s="9" t="s">
        <v>89</v>
      </c>
      <c r="N808" s="9" t="n">
        <v>1</v>
      </c>
      <c r="O808" s="9" t="n">
        <v>3665.97</v>
      </c>
      <c r="P808" s="9" t="n">
        <v>0.2</v>
      </c>
      <c r="Q808" s="9" t="n">
        <v>2932.78</v>
      </c>
      <c r="R808" s="9" t="n">
        <v>1900.35</v>
      </c>
      <c r="S808" s="9" t="n">
        <v>1032.43</v>
      </c>
      <c r="T808" s="9" t="s">
        <v>224</v>
      </c>
      <c r="U808" s="9" t="s">
        <v>100</v>
      </c>
    </row>
    <row r="809" customFormat="false" ht="15" hidden="false" customHeight="false" outlineLevel="0" collapsed="false">
      <c r="A809" s="9" t="s">
        <v>3765</v>
      </c>
      <c r="B809" s="9" t="s">
        <v>1314</v>
      </c>
      <c r="C809" s="9" t="s">
        <v>2313</v>
      </c>
      <c r="D809" s="9" t="s">
        <v>3766</v>
      </c>
      <c r="E809" s="9" t="s">
        <v>47</v>
      </c>
      <c r="F809" s="9" t="s">
        <v>63</v>
      </c>
      <c r="G809" s="9" t="s">
        <v>84</v>
      </c>
      <c r="H809" s="9" t="s">
        <v>85</v>
      </c>
      <c r="I809" s="9" t="s">
        <v>86</v>
      </c>
      <c r="J809" s="9" t="s">
        <v>52</v>
      </c>
      <c r="K809" s="9" t="s">
        <v>131</v>
      </c>
      <c r="L809" s="9" t="s">
        <v>3767</v>
      </c>
      <c r="M809" s="9" t="s">
        <v>3768</v>
      </c>
      <c r="N809" s="9" t="n">
        <v>2</v>
      </c>
      <c r="O809" s="9" t="n">
        <v>2432.98</v>
      </c>
      <c r="P809" s="9" t="n">
        <v>0.1</v>
      </c>
      <c r="Q809" s="9" t="n">
        <v>4379.36</v>
      </c>
      <c r="R809" s="9" t="n">
        <v>3723.93</v>
      </c>
      <c r="S809" s="9" t="n">
        <v>655.43</v>
      </c>
      <c r="T809" s="9" t="s">
        <v>56</v>
      </c>
      <c r="U809" s="9" t="s">
        <v>57</v>
      </c>
    </row>
    <row r="810" customFormat="false" ht="15" hidden="false" customHeight="false" outlineLevel="0" collapsed="false">
      <c r="A810" s="9" t="s">
        <v>3769</v>
      </c>
      <c r="B810" s="9" t="s">
        <v>3770</v>
      </c>
      <c r="C810" s="9" t="s">
        <v>2075</v>
      </c>
      <c r="D810" s="9" t="s">
        <v>3771</v>
      </c>
      <c r="E810" s="9" t="s">
        <v>186</v>
      </c>
      <c r="F810" s="9" t="s">
        <v>63</v>
      </c>
      <c r="G810" s="9" t="s">
        <v>84</v>
      </c>
      <c r="H810" s="9" t="s">
        <v>364</v>
      </c>
      <c r="I810" s="9" t="s">
        <v>365</v>
      </c>
      <c r="J810" s="9" t="s">
        <v>67</v>
      </c>
      <c r="K810" s="9" t="s">
        <v>87</v>
      </c>
      <c r="L810" s="9" t="s">
        <v>3772</v>
      </c>
      <c r="M810" s="9" t="s">
        <v>78</v>
      </c>
      <c r="N810" s="9" t="n">
        <v>7</v>
      </c>
      <c r="O810" s="9" t="n">
        <v>977.28</v>
      </c>
      <c r="P810" s="9" t="n">
        <v>0.2</v>
      </c>
      <c r="Q810" s="9" t="n">
        <v>5472.77</v>
      </c>
      <c r="R810" s="9" t="n">
        <v>4477.33</v>
      </c>
      <c r="S810" s="9" t="n">
        <v>995.44</v>
      </c>
      <c r="T810" s="9" t="s">
        <v>56</v>
      </c>
      <c r="U810" s="9" t="s">
        <v>57</v>
      </c>
    </row>
    <row r="811" customFormat="false" ht="15" hidden="false" customHeight="false" outlineLevel="0" collapsed="false">
      <c r="A811" s="9" t="s">
        <v>3773</v>
      </c>
      <c r="B811" s="9" t="s">
        <v>1556</v>
      </c>
      <c r="C811" s="9" t="s">
        <v>1556</v>
      </c>
      <c r="D811" s="9" t="s">
        <v>3774</v>
      </c>
      <c r="E811" s="9" t="s">
        <v>83</v>
      </c>
      <c r="F811" s="9" t="s">
        <v>63</v>
      </c>
      <c r="G811" s="9"/>
      <c r="H811" s="9" t="s">
        <v>178</v>
      </c>
      <c r="I811" s="9" t="s">
        <v>179</v>
      </c>
      <c r="J811" s="9" t="s">
        <v>52</v>
      </c>
      <c r="K811" s="9" t="s">
        <v>222</v>
      </c>
      <c r="L811" s="9" t="s">
        <v>3775</v>
      </c>
      <c r="M811" s="9" t="s">
        <v>55</v>
      </c>
      <c r="N811" s="9" t="n">
        <v>6</v>
      </c>
      <c r="O811" s="9" t="n">
        <v>1366.13</v>
      </c>
      <c r="P811" s="9" t="n">
        <v>0.1</v>
      </c>
      <c r="Q811" s="9" t="n">
        <v>7377.1</v>
      </c>
      <c r="R811" s="9" t="n">
        <v>5085.21</v>
      </c>
      <c r="S811" s="9" t="n">
        <v>2291.89</v>
      </c>
      <c r="T811" s="9" t="s">
        <v>56</v>
      </c>
      <c r="U811" s="9" t="s">
        <v>57</v>
      </c>
    </row>
    <row r="812" customFormat="false" ht="15" hidden="false" customHeight="false" outlineLevel="0" collapsed="false">
      <c r="A812" s="9" t="s">
        <v>3776</v>
      </c>
      <c r="B812" s="9" t="s">
        <v>3777</v>
      </c>
      <c r="C812" s="9" t="s">
        <v>3778</v>
      </c>
      <c r="D812" s="9" t="s">
        <v>2580</v>
      </c>
      <c r="E812" s="9" t="s">
        <v>393</v>
      </c>
      <c r="F812" s="9" t="s">
        <v>3480</v>
      </c>
      <c r="G812" s="9" t="s">
        <v>95</v>
      </c>
      <c r="H812" s="9" t="s">
        <v>260</v>
      </c>
      <c r="I812" s="9" t="s">
        <v>261</v>
      </c>
      <c r="J812" s="9" t="s">
        <v>108</v>
      </c>
      <c r="K812" s="9" t="s">
        <v>116</v>
      </c>
      <c r="L812" s="9" t="s">
        <v>3779</v>
      </c>
      <c r="M812" s="9" t="s">
        <v>78</v>
      </c>
      <c r="N812" s="9" t="n">
        <v>1</v>
      </c>
      <c r="O812" s="9" t="n">
        <v>3151.85</v>
      </c>
      <c r="P812" s="9" t="n">
        <v>0.25</v>
      </c>
      <c r="Q812" s="9" t="n">
        <v>2363.89</v>
      </c>
      <c r="R812" s="9" t="n">
        <v>1471.51</v>
      </c>
      <c r="S812" s="9" t="n">
        <v>892.38</v>
      </c>
      <c r="T812" s="9" t="s">
        <v>56</v>
      </c>
      <c r="U812" s="9" t="s">
        <v>57</v>
      </c>
    </row>
    <row r="813" customFormat="false" ht="15" hidden="false" customHeight="false" outlineLevel="0" collapsed="false">
      <c r="A813" s="9" t="s">
        <v>3780</v>
      </c>
      <c r="B813" s="9" t="s">
        <v>3781</v>
      </c>
      <c r="C813" s="9" t="s">
        <v>3782</v>
      </c>
      <c r="D813" s="9" t="s">
        <v>3783</v>
      </c>
      <c r="E813" s="9" t="s">
        <v>204</v>
      </c>
      <c r="F813" s="9" t="s">
        <v>137</v>
      </c>
      <c r="G813" s="9" t="s">
        <v>177</v>
      </c>
      <c r="H813" s="9" t="s">
        <v>348</v>
      </c>
      <c r="I813" s="9" t="s">
        <v>349</v>
      </c>
      <c r="J813" s="9" t="s">
        <v>108</v>
      </c>
      <c r="K813" s="9" t="s">
        <v>109</v>
      </c>
      <c r="L813" s="9" t="s">
        <v>3784</v>
      </c>
      <c r="M813" s="9" t="s">
        <v>78</v>
      </c>
      <c r="N813" s="9" t="n">
        <v>2</v>
      </c>
      <c r="O813" s="9" t="n">
        <v>1610.75</v>
      </c>
      <c r="P813" s="9" t="n">
        <v>0.2</v>
      </c>
      <c r="Q813" s="9" t="n">
        <v>2577.2</v>
      </c>
      <c r="R813" s="9" t="n">
        <v>1475.87</v>
      </c>
      <c r="S813" s="9" t="n">
        <v>1101.33</v>
      </c>
      <c r="T813" s="9" t="s">
        <v>56</v>
      </c>
      <c r="U813" s="9" t="s">
        <v>57</v>
      </c>
    </row>
    <row r="814" customFormat="false" ht="15" hidden="false" customHeight="false" outlineLevel="0" collapsed="false">
      <c r="A814" s="9" t="s">
        <v>3785</v>
      </c>
      <c r="B814" s="9" t="s">
        <v>845</v>
      </c>
      <c r="C814" s="9" t="s">
        <v>3786</v>
      </c>
      <c r="D814" s="9" t="s">
        <v>3787</v>
      </c>
      <c r="E814" s="9" t="s">
        <v>192</v>
      </c>
      <c r="F814" s="9" t="s">
        <v>63</v>
      </c>
      <c r="G814" s="9" t="s">
        <v>64</v>
      </c>
      <c r="H814" s="9" t="s">
        <v>336</v>
      </c>
      <c r="I814" s="9" t="s">
        <v>337</v>
      </c>
      <c r="J814" s="9" t="s">
        <v>67</v>
      </c>
      <c r="K814" s="9" t="s">
        <v>68</v>
      </c>
      <c r="L814" s="9" t="s">
        <v>3788</v>
      </c>
      <c r="M814" s="9" t="s">
        <v>78</v>
      </c>
      <c r="N814" s="9" t="n">
        <v>8</v>
      </c>
      <c r="O814" s="9" t="n">
        <v>2228.47</v>
      </c>
      <c r="P814" s="9" t="n">
        <v>0</v>
      </c>
      <c r="Q814" s="9" t="n">
        <v>17827.76</v>
      </c>
      <c r="R814" s="9" t="n">
        <v>14122.13</v>
      </c>
      <c r="S814" s="9" t="n">
        <v>3705.63</v>
      </c>
      <c r="T814" s="9" t="s">
        <v>56</v>
      </c>
      <c r="U814" s="9" t="s">
        <v>57</v>
      </c>
    </row>
    <row r="815" customFormat="false" ht="15" hidden="false" customHeight="false" outlineLevel="0" collapsed="false">
      <c r="A815" s="9" t="s">
        <v>3789</v>
      </c>
      <c r="B815" s="9" t="s">
        <v>3790</v>
      </c>
      <c r="C815" s="9" t="s">
        <v>3791</v>
      </c>
      <c r="D815" s="9" t="s">
        <v>3792</v>
      </c>
      <c r="E815" s="9" t="s">
        <v>204</v>
      </c>
      <c r="F815" s="9" t="s">
        <v>48</v>
      </c>
      <c r="G815" s="9" t="s">
        <v>64</v>
      </c>
      <c r="H815" s="9" t="s">
        <v>65</v>
      </c>
      <c r="I815" s="9" t="s">
        <v>66</v>
      </c>
      <c r="J815" s="9" t="s">
        <v>67</v>
      </c>
      <c r="K815" s="9" t="s">
        <v>228</v>
      </c>
      <c r="L815" s="9" t="s">
        <v>1757</v>
      </c>
      <c r="M815" s="9" t="s">
        <v>89</v>
      </c>
      <c r="N815" s="9" t="n">
        <v>2</v>
      </c>
      <c r="O815" s="9" t="n">
        <v>1337.67</v>
      </c>
      <c r="P815" s="9" t="n">
        <v>0</v>
      </c>
      <c r="Q815" s="9" t="n">
        <v>2675.34</v>
      </c>
      <c r="R815" s="9" t="n">
        <v>1595.87</v>
      </c>
      <c r="S815" s="9" t="n">
        <v>1079.47</v>
      </c>
      <c r="T815" s="9" t="s">
        <v>56</v>
      </c>
      <c r="U815" s="9" t="s">
        <v>57</v>
      </c>
    </row>
    <row r="816" customFormat="false" ht="15" hidden="false" customHeight="false" outlineLevel="0" collapsed="false">
      <c r="A816" s="9" t="s">
        <v>3793</v>
      </c>
      <c r="B816" s="9" t="s">
        <v>1409</v>
      </c>
      <c r="C816" s="9" t="s">
        <v>613</v>
      </c>
      <c r="D816" s="9" t="s">
        <v>3794</v>
      </c>
      <c r="E816" s="9" t="s">
        <v>83</v>
      </c>
      <c r="F816" s="9" t="s">
        <v>48</v>
      </c>
      <c r="G816" s="9" t="s">
        <v>95</v>
      </c>
      <c r="H816" s="9" t="s">
        <v>106</v>
      </c>
      <c r="I816" s="9" t="s">
        <v>107</v>
      </c>
      <c r="J816" s="9" t="s">
        <v>52</v>
      </c>
      <c r="K816" s="9" t="s">
        <v>131</v>
      </c>
      <c r="L816" s="9" t="s">
        <v>3795</v>
      </c>
      <c r="M816" s="9" t="s">
        <v>78</v>
      </c>
      <c r="N816" s="9" t="n">
        <v>2</v>
      </c>
      <c r="O816" s="9" t="n">
        <v>2375.94</v>
      </c>
      <c r="P816" s="9" t="n">
        <v>0.25</v>
      </c>
      <c r="Q816" s="9" t="n">
        <v>3563.91</v>
      </c>
      <c r="R816" s="9" t="n">
        <v>2639.7</v>
      </c>
      <c r="S816" s="9" t="n">
        <v>924.21</v>
      </c>
      <c r="T816" s="9" t="s">
        <v>56</v>
      </c>
      <c r="U816" s="9" t="s">
        <v>57</v>
      </c>
    </row>
    <row r="817" customFormat="false" ht="15" hidden="false" customHeight="false" outlineLevel="0" collapsed="false">
      <c r="A817" s="9" t="s">
        <v>3796</v>
      </c>
      <c r="B817" s="9" t="s">
        <v>2486</v>
      </c>
      <c r="C817" s="9" t="s">
        <v>3797</v>
      </c>
      <c r="D817" s="9" t="s">
        <v>3798</v>
      </c>
      <c r="E817" s="9" t="s">
        <v>234</v>
      </c>
      <c r="F817" s="9" t="s">
        <v>48</v>
      </c>
      <c r="G817" s="9" t="s">
        <v>64</v>
      </c>
      <c r="H817" s="9" t="s">
        <v>65</v>
      </c>
      <c r="I817" s="9" t="s">
        <v>66</v>
      </c>
      <c r="J817" s="9" t="s">
        <v>108</v>
      </c>
      <c r="K817" s="9" t="s">
        <v>409</v>
      </c>
      <c r="L817" s="9" t="s">
        <v>3799</v>
      </c>
      <c r="M817" s="9" t="s">
        <v>89</v>
      </c>
      <c r="N817" s="9" t="n">
        <v>7</v>
      </c>
      <c r="O817" s="9" t="n">
        <v>715.81</v>
      </c>
      <c r="P817" s="9" t="n">
        <v>0.15</v>
      </c>
      <c r="Q817" s="9" t="n">
        <v>4259.07</v>
      </c>
      <c r="R817" s="9" t="n">
        <v>3130.32</v>
      </c>
      <c r="S817" s="9" t="n">
        <v>1128.75</v>
      </c>
      <c r="T817" s="9" t="s">
        <v>160</v>
      </c>
      <c r="U817" s="9" t="s">
        <v>100</v>
      </c>
    </row>
    <row r="818" customFormat="false" ht="15" hidden="false" customHeight="false" outlineLevel="0" collapsed="false">
      <c r="A818" s="9" t="s">
        <v>3800</v>
      </c>
      <c r="B818" s="9" t="s">
        <v>3801</v>
      </c>
      <c r="C818" s="9" t="s">
        <v>3802</v>
      </c>
      <c r="D818" s="9" t="s">
        <v>3803</v>
      </c>
      <c r="E818" s="9" t="s">
        <v>171</v>
      </c>
      <c r="F818" s="9" t="s">
        <v>63</v>
      </c>
      <c r="G818" s="9" t="s">
        <v>64</v>
      </c>
      <c r="H818" s="9" t="s">
        <v>336</v>
      </c>
      <c r="I818" s="9" t="s">
        <v>337</v>
      </c>
      <c r="J818" s="9" t="s">
        <v>67</v>
      </c>
      <c r="K818" s="9" t="s">
        <v>87</v>
      </c>
      <c r="L818" s="9" t="s">
        <v>3804</v>
      </c>
      <c r="M818" s="9" t="s">
        <v>78</v>
      </c>
      <c r="N818" s="9" t="n">
        <v>1</v>
      </c>
      <c r="O818" s="9" t="n">
        <v>874.3</v>
      </c>
      <c r="P818" s="9" t="n">
        <v>0.1</v>
      </c>
      <c r="Q818" s="9" t="n">
        <v>786.87</v>
      </c>
      <c r="R818" s="9" t="n">
        <v>498.5</v>
      </c>
      <c r="S818" s="9" t="n">
        <v>288.37</v>
      </c>
      <c r="T818" s="9" t="s">
        <v>56</v>
      </c>
      <c r="U818" s="9" t="s">
        <v>57</v>
      </c>
    </row>
    <row r="819" customFormat="false" ht="15" hidden="false" customHeight="false" outlineLevel="0" collapsed="false">
      <c r="A819" s="9" t="s">
        <v>3805</v>
      </c>
      <c r="B819" s="9" t="s">
        <v>3806</v>
      </c>
      <c r="C819" s="9" t="s">
        <v>3807</v>
      </c>
      <c r="D819" s="9" t="s">
        <v>3808</v>
      </c>
      <c r="E819" s="9" t="s">
        <v>192</v>
      </c>
      <c r="F819" s="9" t="s">
        <v>48</v>
      </c>
      <c r="G819" s="9" t="s">
        <v>64</v>
      </c>
      <c r="H819" s="9" t="s">
        <v>210</v>
      </c>
      <c r="I819" s="9" t="s">
        <v>211</v>
      </c>
      <c r="J819" s="9" t="s">
        <v>52</v>
      </c>
      <c r="K819" s="9" t="s">
        <v>222</v>
      </c>
      <c r="L819" s="9" t="s">
        <v>3809</v>
      </c>
      <c r="M819" s="9" t="s">
        <v>89</v>
      </c>
      <c r="N819" s="9" t="n">
        <v>6</v>
      </c>
      <c r="O819" s="9" t="n">
        <v>1829.69</v>
      </c>
      <c r="P819" s="9" t="n">
        <v>0.25</v>
      </c>
      <c r="Q819" s="9" t="n">
        <v>8233.6</v>
      </c>
      <c r="R819" s="9" t="n">
        <v>4713.79</v>
      </c>
      <c r="S819" s="9" t="n">
        <v>3519.81</v>
      </c>
      <c r="T819" s="9" t="s">
        <v>56</v>
      </c>
      <c r="U819" s="9" t="s">
        <v>57</v>
      </c>
    </row>
    <row r="820" customFormat="false" ht="15" hidden="false" customHeight="false" outlineLevel="0" collapsed="false">
      <c r="A820" s="9" t="s">
        <v>3810</v>
      </c>
      <c r="B820" s="9" t="s">
        <v>3811</v>
      </c>
      <c r="C820" s="9" t="s">
        <v>3288</v>
      </c>
      <c r="D820" s="9" t="s">
        <v>3812</v>
      </c>
      <c r="E820" s="9" t="s">
        <v>165</v>
      </c>
      <c r="F820" s="9" t="s">
        <v>63</v>
      </c>
      <c r="G820" s="9" t="s">
        <v>95</v>
      </c>
      <c r="H820" s="9" t="s">
        <v>96</v>
      </c>
      <c r="I820" s="9" t="s">
        <v>97</v>
      </c>
      <c r="J820" s="9" t="s">
        <v>52</v>
      </c>
      <c r="K820" s="9" t="s">
        <v>131</v>
      </c>
      <c r="L820" s="9" t="s">
        <v>3813</v>
      </c>
      <c r="M820" s="9" t="s">
        <v>78</v>
      </c>
      <c r="N820" s="9" t="n">
        <v>8</v>
      </c>
      <c r="O820" s="9" t="n">
        <v>1981.04</v>
      </c>
      <c r="P820" s="9" t="n">
        <v>-0.14</v>
      </c>
      <c r="Q820" s="9" t="n">
        <v>12678.66</v>
      </c>
      <c r="R820" s="9" t="n">
        <v>10088.65</v>
      </c>
      <c r="S820" s="9" t="n">
        <v>2590.01</v>
      </c>
      <c r="T820" s="9" t="s">
        <v>56</v>
      </c>
      <c r="U820" s="9" t="s">
        <v>57</v>
      </c>
    </row>
    <row r="821" customFormat="false" ht="15" hidden="false" customHeight="false" outlineLevel="0" collapsed="false">
      <c r="A821" s="9" t="s">
        <v>3814</v>
      </c>
      <c r="B821" s="9" t="s">
        <v>1634</v>
      </c>
      <c r="C821" s="9" t="s">
        <v>3815</v>
      </c>
      <c r="D821" s="9" t="s">
        <v>3816</v>
      </c>
      <c r="E821" s="9" t="s">
        <v>47</v>
      </c>
      <c r="F821" s="9" t="s">
        <v>137</v>
      </c>
      <c r="G821" s="9" t="s">
        <v>84</v>
      </c>
      <c r="H821" s="9" t="s">
        <v>267</v>
      </c>
      <c r="I821" s="9" t="s">
        <v>268</v>
      </c>
      <c r="J821" s="9" t="s">
        <v>108</v>
      </c>
      <c r="K821" s="9" t="s">
        <v>3817</v>
      </c>
      <c r="L821" s="9" t="s">
        <v>3818</v>
      </c>
      <c r="M821" s="9" t="s">
        <v>89</v>
      </c>
      <c r="N821" s="9" t="n">
        <v>8</v>
      </c>
      <c r="O821" s="9" t="n">
        <v>4246.01</v>
      </c>
      <c r="P821" s="9" t="n">
        <v>0</v>
      </c>
      <c r="Q821" s="9" t="n">
        <v>33968.08</v>
      </c>
      <c r="R821" s="9" t="n">
        <v>26902.44</v>
      </c>
      <c r="S821" s="9" t="n">
        <v>7065.64</v>
      </c>
      <c r="T821" s="9" t="s">
        <v>224</v>
      </c>
      <c r="U821" s="9" t="s">
        <v>100</v>
      </c>
    </row>
    <row r="822" customFormat="false" ht="15" hidden="false" customHeight="false" outlineLevel="0" collapsed="false">
      <c r="A822" s="9" t="s">
        <v>3819</v>
      </c>
      <c r="B822" s="9" t="s">
        <v>3820</v>
      </c>
      <c r="C822" s="9" t="s">
        <v>3821</v>
      </c>
      <c r="D822" s="9" t="s">
        <v>3822</v>
      </c>
      <c r="E822" s="9" t="s">
        <v>94</v>
      </c>
      <c r="F822" s="9" t="s">
        <v>137</v>
      </c>
      <c r="G822" s="9" t="s">
        <v>177</v>
      </c>
      <c r="H822" s="9" t="s">
        <v>198</v>
      </c>
      <c r="I822" s="9" t="s">
        <v>199</v>
      </c>
      <c r="J822" s="9" t="s">
        <v>67</v>
      </c>
      <c r="K822" s="9" t="s">
        <v>228</v>
      </c>
      <c r="L822" s="9" t="s">
        <v>3823</v>
      </c>
      <c r="M822" s="9" t="s">
        <v>89</v>
      </c>
      <c r="N822" s="9" t="n">
        <v>2</v>
      </c>
      <c r="O822" s="9" t="n">
        <v>319.57</v>
      </c>
      <c r="P822" s="9" t="n">
        <v>0.2</v>
      </c>
      <c r="Q822" s="9" t="n">
        <v>511.31</v>
      </c>
      <c r="R822" s="9" t="n">
        <v>436.43</v>
      </c>
      <c r="S822" s="9" t="n">
        <v>74.88</v>
      </c>
      <c r="T822" s="9" t="s">
        <v>56</v>
      </c>
      <c r="U822" s="9" t="s">
        <v>57</v>
      </c>
    </row>
    <row r="823" customFormat="false" ht="15" hidden="false" customHeight="false" outlineLevel="0" collapsed="false">
      <c r="A823" s="9" t="s">
        <v>3824</v>
      </c>
      <c r="B823" s="9" t="s">
        <v>3825</v>
      </c>
      <c r="C823" s="9" t="s">
        <v>3826</v>
      </c>
      <c r="D823" s="9" t="s">
        <v>3827</v>
      </c>
      <c r="E823" s="9" t="s">
        <v>186</v>
      </c>
      <c r="F823" s="9" t="s">
        <v>130</v>
      </c>
      <c r="G823" s="9" t="s">
        <v>84</v>
      </c>
      <c r="H823" s="9" t="s">
        <v>254</v>
      </c>
      <c r="I823" s="9" t="s">
        <v>255</v>
      </c>
      <c r="J823" s="9" t="s">
        <v>108</v>
      </c>
      <c r="K823" s="9" t="s">
        <v>109</v>
      </c>
      <c r="L823" s="9" t="s">
        <v>3828</v>
      </c>
      <c r="M823" s="9" t="s">
        <v>78</v>
      </c>
      <c r="N823" s="9" t="n">
        <v>7</v>
      </c>
      <c r="O823" s="9" t="n">
        <v>1942.49</v>
      </c>
      <c r="P823" s="9" t="n">
        <v>0.2</v>
      </c>
      <c r="Q823" s="9" t="n">
        <v>10877.94</v>
      </c>
      <c r="R823" s="9" t="n">
        <v>9110.14</v>
      </c>
      <c r="S823" s="9" t="n">
        <v>1767.8</v>
      </c>
      <c r="T823" s="9" t="s">
        <v>56</v>
      </c>
      <c r="U823" s="9" t="s">
        <v>57</v>
      </c>
    </row>
    <row r="824" customFormat="false" ht="15" hidden="false" customHeight="false" outlineLevel="0" collapsed="false">
      <c r="A824" s="9" t="s">
        <v>3829</v>
      </c>
      <c r="B824" s="9" t="s">
        <v>3830</v>
      </c>
      <c r="C824" s="9" t="s">
        <v>3831</v>
      </c>
      <c r="D824" s="9" t="s">
        <v>3832</v>
      </c>
      <c r="E824" s="9" t="s">
        <v>62</v>
      </c>
      <c r="F824" s="9" t="s">
        <v>130</v>
      </c>
      <c r="G824" s="9" t="s">
        <v>64</v>
      </c>
      <c r="H824" s="9" t="s">
        <v>240</v>
      </c>
      <c r="I824" s="9" t="s">
        <v>241</v>
      </c>
      <c r="J824" s="9" t="s">
        <v>67</v>
      </c>
      <c r="K824" s="9" t="s">
        <v>87</v>
      </c>
      <c r="L824" s="9" t="s">
        <v>3833</v>
      </c>
      <c r="M824" s="9" t="s">
        <v>55</v>
      </c>
      <c r="N824" s="9" t="n">
        <v>4</v>
      </c>
      <c r="O824" s="9" t="n">
        <v>3202.04</v>
      </c>
      <c r="P824" s="9" t="n">
        <v>0.2</v>
      </c>
      <c r="Q824" s="9" t="n">
        <v>10246.53</v>
      </c>
      <c r="R824" s="9" t="n">
        <v>8634.42</v>
      </c>
      <c r="S824" s="9" t="n">
        <v>1612.11</v>
      </c>
      <c r="T824" s="9" t="s">
        <v>160</v>
      </c>
      <c r="U824" s="9" t="s">
        <v>147</v>
      </c>
    </row>
    <row r="825" customFormat="false" ht="15" hidden="false" customHeight="false" outlineLevel="0" collapsed="false">
      <c r="A825" s="9" t="s">
        <v>3834</v>
      </c>
      <c r="B825" s="9" t="s">
        <v>3835</v>
      </c>
      <c r="C825" s="9" t="s">
        <v>2221</v>
      </c>
      <c r="D825" s="9" t="s">
        <v>3836</v>
      </c>
      <c r="E825" s="9" t="s">
        <v>62</v>
      </c>
      <c r="F825" s="9" t="s">
        <v>137</v>
      </c>
      <c r="G825" s="9" t="s">
        <v>95</v>
      </c>
      <c r="H825" s="9" t="s">
        <v>274</v>
      </c>
      <c r="I825" s="9" t="s">
        <v>275</v>
      </c>
      <c r="J825" s="9" t="s">
        <v>52</v>
      </c>
      <c r="K825" s="9" t="s">
        <v>53</v>
      </c>
      <c r="L825" s="9" t="s">
        <v>3837</v>
      </c>
      <c r="M825" s="9" t="s">
        <v>70</v>
      </c>
      <c r="N825" s="9" t="n">
        <v>3</v>
      </c>
      <c r="O825" s="9" t="n">
        <v>668.33</v>
      </c>
      <c r="P825" s="9" t="n">
        <v>0.15</v>
      </c>
      <c r="Q825" s="9" t="n">
        <v>1704.24</v>
      </c>
      <c r="R825" s="9" t="n">
        <v>957.55</v>
      </c>
      <c r="S825" s="9" t="n">
        <v>746.69</v>
      </c>
      <c r="T825" s="9" t="s">
        <v>56</v>
      </c>
      <c r="U825" s="9" t="s">
        <v>57</v>
      </c>
    </row>
    <row r="826" customFormat="false" ht="15" hidden="false" customHeight="false" outlineLevel="0" collapsed="false">
      <c r="A826" s="9" t="s">
        <v>3838</v>
      </c>
      <c r="B826" s="9" t="s">
        <v>3839</v>
      </c>
      <c r="C826" s="9" t="s">
        <v>2156</v>
      </c>
      <c r="D826" s="9" t="s">
        <v>3840</v>
      </c>
      <c r="E826" s="9" t="s">
        <v>165</v>
      </c>
      <c r="F826" s="9" t="s">
        <v>48</v>
      </c>
      <c r="G826" s="9" t="s">
        <v>95</v>
      </c>
      <c r="H826" s="9" t="s">
        <v>274</v>
      </c>
      <c r="I826" s="9" t="s">
        <v>275</v>
      </c>
      <c r="J826" s="9" t="s">
        <v>52</v>
      </c>
      <c r="K826" s="9" t="s">
        <v>53</v>
      </c>
      <c r="L826" s="9" t="s">
        <v>3841</v>
      </c>
      <c r="M826" s="9" t="s">
        <v>78</v>
      </c>
      <c r="N826" s="9" t="n">
        <v>8</v>
      </c>
      <c r="O826" s="9" t="n">
        <v>4436.74</v>
      </c>
      <c r="P826" s="9" t="n">
        <v>0.05</v>
      </c>
      <c r="Q826" s="9" t="n">
        <v>33719.22</v>
      </c>
      <c r="R826" s="9" t="n">
        <v>28924.43</v>
      </c>
      <c r="S826" s="9" t="n">
        <v>4794.79</v>
      </c>
      <c r="T826" s="9" t="s">
        <v>56</v>
      </c>
      <c r="U826" s="9" t="s">
        <v>57</v>
      </c>
    </row>
    <row r="827" customFormat="false" ht="15" hidden="false" customHeight="false" outlineLevel="0" collapsed="false">
      <c r="A827" s="9" t="s">
        <v>3842</v>
      </c>
      <c r="B827" s="9" t="s">
        <v>3843</v>
      </c>
      <c r="C827" s="9" t="s">
        <v>3844</v>
      </c>
      <c r="D827" s="9" t="s">
        <v>3845</v>
      </c>
      <c r="E827" s="9" t="s">
        <v>105</v>
      </c>
      <c r="F827" s="9" t="s">
        <v>63</v>
      </c>
      <c r="G827" s="9" t="s">
        <v>177</v>
      </c>
      <c r="H827" s="9" t="s">
        <v>198</v>
      </c>
      <c r="I827" s="9" t="s">
        <v>199</v>
      </c>
      <c r="J827" s="9" t="s">
        <v>108</v>
      </c>
      <c r="K827" s="9" t="s">
        <v>409</v>
      </c>
      <c r="L827" s="9" t="s">
        <v>3846</v>
      </c>
      <c r="M827" s="9" t="s">
        <v>78</v>
      </c>
      <c r="N827" s="9" t="n">
        <v>1</v>
      </c>
      <c r="O827" s="9" t="n">
        <v>2720.17</v>
      </c>
      <c r="P827" s="9" t="n">
        <v>0</v>
      </c>
      <c r="Q827" s="9" t="n">
        <v>2720.17</v>
      </c>
      <c r="R827" s="9" t="n">
        <v>1834.23</v>
      </c>
      <c r="S827" s="9" t="n">
        <v>885.94</v>
      </c>
      <c r="T827" s="9" t="s">
        <v>56</v>
      </c>
      <c r="U827" s="9" t="s">
        <v>57</v>
      </c>
    </row>
    <row r="828" customFormat="false" ht="15" hidden="false" customHeight="false" outlineLevel="0" collapsed="false">
      <c r="A828" s="9" t="s">
        <v>3847</v>
      </c>
      <c r="B828" s="9" t="s">
        <v>3152</v>
      </c>
      <c r="C828" s="9" t="s">
        <v>3848</v>
      </c>
      <c r="D828" s="9" t="s">
        <v>3849</v>
      </c>
      <c r="E828" s="9" t="s">
        <v>129</v>
      </c>
      <c r="F828" s="9" t="s">
        <v>48</v>
      </c>
      <c r="G828" s="9" t="s">
        <v>95</v>
      </c>
      <c r="H828" s="9" t="s">
        <v>50</v>
      </c>
      <c r="I828" s="9" t="s">
        <v>158</v>
      </c>
      <c r="J828" s="9" t="s">
        <v>108</v>
      </c>
      <c r="K828" s="9" t="s">
        <v>109</v>
      </c>
      <c r="L828" s="9" t="s">
        <v>3850</v>
      </c>
      <c r="M828" s="9" t="s">
        <v>89</v>
      </c>
      <c r="N828" s="9" t="n">
        <v>5</v>
      </c>
      <c r="O828" s="9" t="n">
        <v>2190.14</v>
      </c>
      <c r="P828" s="9" t="n">
        <v>0.25</v>
      </c>
      <c r="Q828" s="9" t="n">
        <v>8213.02</v>
      </c>
      <c r="R828" s="9" t="n">
        <v>5569.3</v>
      </c>
      <c r="S828" s="9" t="n">
        <v>2643.72</v>
      </c>
      <c r="T828" s="9" t="s">
        <v>56</v>
      </c>
      <c r="U828" s="9" t="s">
        <v>57</v>
      </c>
    </row>
    <row r="829" customFormat="false" ht="15" hidden="false" customHeight="false" outlineLevel="0" collapsed="false">
      <c r="A829" s="9" t="s">
        <v>3851</v>
      </c>
      <c r="B829" s="9" t="s">
        <v>3852</v>
      </c>
      <c r="C829" s="9" t="s">
        <v>1790</v>
      </c>
      <c r="D829" s="9" t="s">
        <v>3853</v>
      </c>
      <c r="E829" s="9" t="s">
        <v>165</v>
      </c>
      <c r="F829" s="9" t="s">
        <v>137</v>
      </c>
      <c r="G829" s="9" t="s">
        <v>84</v>
      </c>
      <c r="H829" s="9" t="s">
        <v>364</v>
      </c>
      <c r="I829" s="9" t="s">
        <v>365</v>
      </c>
      <c r="J829" s="9" t="s">
        <v>52</v>
      </c>
      <c r="K829" s="9" t="s">
        <v>53</v>
      </c>
      <c r="L829" s="9" t="s">
        <v>3854</v>
      </c>
      <c r="M829" s="9" t="s">
        <v>70</v>
      </c>
      <c r="N829" s="9" t="n">
        <v>1</v>
      </c>
      <c r="O829" s="9" t="n">
        <v>844.89</v>
      </c>
      <c r="P829" s="9" t="n">
        <v>0.25</v>
      </c>
      <c r="Q829" s="9" t="n">
        <v>633.67</v>
      </c>
      <c r="R829" s="9" t="n">
        <v>520.47</v>
      </c>
      <c r="S829" s="9" t="n">
        <v>113.2</v>
      </c>
      <c r="T829" s="9" t="s">
        <v>56</v>
      </c>
      <c r="U829" s="9" t="s">
        <v>100</v>
      </c>
    </row>
    <row r="830" customFormat="false" ht="15" hidden="false" customHeight="false" outlineLevel="0" collapsed="false">
      <c r="A830" s="9" t="s">
        <v>3855</v>
      </c>
      <c r="B830" s="9" t="s">
        <v>3856</v>
      </c>
      <c r="C830" s="9" t="s">
        <v>3857</v>
      </c>
      <c r="D830" s="9" t="s">
        <v>3858</v>
      </c>
      <c r="E830" s="9" t="s">
        <v>3859</v>
      </c>
      <c r="F830" s="9" t="s">
        <v>130</v>
      </c>
      <c r="G830" s="9" t="s">
        <v>64</v>
      </c>
      <c r="H830" s="9" t="s">
        <v>65</v>
      </c>
      <c r="I830" s="9" t="s">
        <v>66</v>
      </c>
      <c r="J830" s="9" t="s">
        <v>67</v>
      </c>
      <c r="K830" s="9" t="s">
        <v>98</v>
      </c>
      <c r="L830" s="9" t="s">
        <v>3860</v>
      </c>
      <c r="M830" s="9" t="s">
        <v>55</v>
      </c>
      <c r="N830" s="9" t="n">
        <v>7</v>
      </c>
      <c r="O830" s="9" t="n">
        <v>3791.96</v>
      </c>
      <c r="P830" s="9" t="n">
        <v>0.05</v>
      </c>
      <c r="Q830" s="9" t="n">
        <v>25216.53</v>
      </c>
      <c r="R830" s="9" t="n">
        <v>14216.94</v>
      </c>
      <c r="S830" s="9" t="n">
        <v>10999.59</v>
      </c>
      <c r="T830" s="9" t="s">
        <v>224</v>
      </c>
      <c r="U830" s="9" t="s">
        <v>100</v>
      </c>
    </row>
    <row r="831" customFormat="false" ht="15" hidden="false" customHeight="false" outlineLevel="0" collapsed="false">
      <c r="A831" s="9" t="s">
        <v>3861</v>
      </c>
      <c r="B831" s="9" t="s">
        <v>3862</v>
      </c>
      <c r="C831" s="9" t="s">
        <v>1514</v>
      </c>
      <c r="D831" s="9" t="s">
        <v>3863</v>
      </c>
      <c r="E831" s="9" t="s">
        <v>129</v>
      </c>
      <c r="F831" s="9" t="s">
        <v>63</v>
      </c>
      <c r="G831" s="9" t="s">
        <v>95</v>
      </c>
      <c r="H831" s="9" t="s">
        <v>274</v>
      </c>
      <c r="I831" s="9" t="s">
        <v>275</v>
      </c>
      <c r="J831" s="9" t="s">
        <v>67</v>
      </c>
      <c r="K831" s="9" t="s">
        <v>87</v>
      </c>
      <c r="L831" s="9" t="s">
        <v>3864</v>
      </c>
      <c r="M831" s="9" t="s">
        <v>55</v>
      </c>
      <c r="N831" s="9" t="n">
        <v>7</v>
      </c>
      <c r="O831" s="9" t="n">
        <v>1035.14</v>
      </c>
      <c r="P831" s="9" t="n">
        <v>0.1</v>
      </c>
      <c r="Q831" s="9" t="n">
        <v>6521.38</v>
      </c>
      <c r="R831" s="9" t="n">
        <v>4511.1</v>
      </c>
      <c r="S831" s="9" t="n">
        <v>2010.28</v>
      </c>
      <c r="T831" s="9" t="s">
        <v>56</v>
      </c>
      <c r="U831" s="9" t="s">
        <v>57</v>
      </c>
    </row>
    <row r="832" customFormat="false" ht="15" hidden="false" customHeight="false" outlineLevel="0" collapsed="false">
      <c r="A832" s="9" t="s">
        <v>3865</v>
      </c>
      <c r="B832" s="9" t="s">
        <v>2956</v>
      </c>
      <c r="C832" s="9" t="s">
        <v>754</v>
      </c>
      <c r="D832" s="9" t="s">
        <v>3866</v>
      </c>
      <c r="E832" s="9" t="s">
        <v>129</v>
      </c>
      <c r="F832" s="9" t="s">
        <v>63</v>
      </c>
      <c r="G832" s="9"/>
      <c r="H832" s="9" t="s">
        <v>364</v>
      </c>
      <c r="I832" s="9" t="s">
        <v>365</v>
      </c>
      <c r="J832" s="9" t="s">
        <v>108</v>
      </c>
      <c r="K832" s="9" t="s">
        <v>409</v>
      </c>
      <c r="L832" s="9" t="s">
        <v>3867</v>
      </c>
      <c r="M832" s="9" t="s">
        <v>78</v>
      </c>
      <c r="N832" s="9" t="n">
        <v>6</v>
      </c>
      <c r="O832" s="9" t="n">
        <v>2382.88</v>
      </c>
      <c r="P832" s="9" t="n">
        <v>0.1</v>
      </c>
      <c r="Q832" s="9" t="n">
        <v>12867.55</v>
      </c>
      <c r="R832" s="9" t="n">
        <v>10068.94</v>
      </c>
      <c r="S832" s="9" t="n">
        <v>2798.61</v>
      </c>
      <c r="T832" s="9" t="s">
        <v>56</v>
      </c>
      <c r="U832" s="9" t="s">
        <v>57</v>
      </c>
    </row>
    <row r="833" customFormat="false" ht="15" hidden="false" customHeight="false" outlineLevel="0" collapsed="false">
      <c r="A833" s="9" t="s">
        <v>3868</v>
      </c>
      <c r="B833" s="9" t="s">
        <v>497</v>
      </c>
      <c r="C833" s="9" t="s">
        <v>3305</v>
      </c>
      <c r="D833" s="9" t="s">
        <v>3869</v>
      </c>
      <c r="E833" s="9" t="s">
        <v>234</v>
      </c>
      <c r="F833" s="9" t="s">
        <v>137</v>
      </c>
      <c r="G833" s="9"/>
      <c r="H833" s="9" t="s">
        <v>348</v>
      </c>
      <c r="I833" s="9" t="s">
        <v>349</v>
      </c>
      <c r="J833" s="9" t="s">
        <v>67</v>
      </c>
      <c r="K833" s="9" t="s">
        <v>98</v>
      </c>
      <c r="L833" s="9" t="s">
        <v>3870</v>
      </c>
      <c r="M833" s="9" t="s">
        <v>78</v>
      </c>
      <c r="N833" s="9" t="n">
        <v>9</v>
      </c>
      <c r="O833" s="9" t="n">
        <v>3462.7</v>
      </c>
      <c r="P833" s="9" t="n">
        <v>0.15</v>
      </c>
      <c r="Q833" s="9" t="n">
        <v>26489.65</v>
      </c>
      <c r="R833" s="9" t="n">
        <v>15818.46</v>
      </c>
      <c r="S833" s="9" t="n">
        <v>10671.19</v>
      </c>
      <c r="T833" s="9" t="s">
        <v>224</v>
      </c>
      <c r="U833" s="9" t="s">
        <v>147</v>
      </c>
    </row>
    <row r="834" customFormat="false" ht="15" hidden="false" customHeight="false" outlineLevel="0" collapsed="false">
      <c r="A834" s="9" t="s">
        <v>3871</v>
      </c>
      <c r="B834" s="9" t="s">
        <v>3872</v>
      </c>
      <c r="C834" s="9" t="s">
        <v>3873</v>
      </c>
      <c r="D834" s="9" t="s">
        <v>3874</v>
      </c>
      <c r="E834" s="9" t="s">
        <v>393</v>
      </c>
      <c r="F834" s="9" t="s">
        <v>63</v>
      </c>
      <c r="G834" s="9" t="s">
        <v>84</v>
      </c>
      <c r="H834" s="9" t="s">
        <v>122</v>
      </c>
      <c r="I834" s="9" t="s">
        <v>123</v>
      </c>
      <c r="J834" s="9" t="s">
        <v>108</v>
      </c>
      <c r="K834" s="9" t="s">
        <v>247</v>
      </c>
      <c r="L834" s="9" t="s">
        <v>3875</v>
      </c>
      <c r="M834" s="9" t="s">
        <v>55</v>
      </c>
      <c r="N834" s="9" t="n">
        <v>9</v>
      </c>
      <c r="O834" s="9" t="n">
        <v>4302.02</v>
      </c>
      <c r="P834" s="9" t="n">
        <v>0.05</v>
      </c>
      <c r="Q834" s="9" t="n">
        <v>36782.27</v>
      </c>
      <c r="R834" s="9" t="n">
        <v>25902.81</v>
      </c>
      <c r="S834" s="9" t="n">
        <v>10879.46</v>
      </c>
      <c r="T834" s="9" t="s">
        <v>56</v>
      </c>
      <c r="U834" s="9" t="s">
        <v>57</v>
      </c>
    </row>
    <row r="835" customFormat="false" ht="15" hidden="false" customHeight="false" outlineLevel="0" collapsed="false">
      <c r="A835" s="9" t="s">
        <v>3876</v>
      </c>
      <c r="B835" s="9" t="s">
        <v>3877</v>
      </c>
      <c r="C835" s="9" t="s">
        <v>3878</v>
      </c>
      <c r="D835" s="9" t="s">
        <v>3879</v>
      </c>
      <c r="E835" s="9" t="s">
        <v>171</v>
      </c>
      <c r="F835" s="9" t="s">
        <v>137</v>
      </c>
      <c r="G835" s="9" t="s">
        <v>64</v>
      </c>
      <c r="H835" s="9" t="s">
        <v>143</v>
      </c>
      <c r="I835" s="9" t="s">
        <v>144</v>
      </c>
      <c r="J835" s="9" t="s">
        <v>67</v>
      </c>
      <c r="K835" s="9" t="s">
        <v>228</v>
      </c>
      <c r="L835" s="9" t="s">
        <v>3880</v>
      </c>
      <c r="M835" s="9" t="s">
        <v>78</v>
      </c>
      <c r="N835" s="9" t="n">
        <v>6</v>
      </c>
      <c r="O835" s="9" t="n">
        <v>3949.4</v>
      </c>
      <c r="P835" s="9" t="n">
        <v>0</v>
      </c>
      <c r="Q835" s="9" t="n">
        <v>23696.4</v>
      </c>
      <c r="R835" s="9" t="n">
        <v>18109.77</v>
      </c>
      <c r="S835" s="9" t="n">
        <v>5586.63</v>
      </c>
      <c r="T835" s="9" t="s">
        <v>56</v>
      </c>
      <c r="U835" s="9" t="s">
        <v>57</v>
      </c>
    </row>
    <row r="836" customFormat="false" ht="15" hidden="false" customHeight="false" outlineLevel="0" collapsed="false">
      <c r="A836" s="9" t="s">
        <v>3881</v>
      </c>
      <c r="B836" s="9" t="s">
        <v>258</v>
      </c>
      <c r="C836" s="9" t="s">
        <v>3882</v>
      </c>
      <c r="D836" s="9" t="s">
        <v>3883</v>
      </c>
      <c r="E836" s="9" t="s">
        <v>186</v>
      </c>
      <c r="F836" s="9" t="s">
        <v>137</v>
      </c>
      <c r="G836" s="9" t="s">
        <v>84</v>
      </c>
      <c r="H836" s="9" t="s">
        <v>85</v>
      </c>
      <c r="I836" s="9" t="s">
        <v>86</v>
      </c>
      <c r="J836" s="9" t="s">
        <v>52</v>
      </c>
      <c r="K836" s="9" t="s">
        <v>76</v>
      </c>
      <c r="L836" s="9" t="s">
        <v>3884</v>
      </c>
      <c r="M836" s="9" t="s">
        <v>78</v>
      </c>
      <c r="N836" s="9" t="n">
        <v>6</v>
      </c>
      <c r="O836" s="9" t="n">
        <v>674.61</v>
      </c>
      <c r="P836" s="9" t="n">
        <v>0</v>
      </c>
      <c r="Q836" s="9" t="n">
        <v>4047.66</v>
      </c>
      <c r="R836" s="9" t="n">
        <v>3078.93</v>
      </c>
      <c r="S836" s="9" t="n">
        <v>1279.79</v>
      </c>
      <c r="T836" s="9" t="s">
        <v>56</v>
      </c>
      <c r="U836" s="9" t="s">
        <v>57</v>
      </c>
    </row>
    <row r="837" customFormat="false" ht="15" hidden="false" customHeight="false" outlineLevel="0" collapsed="false">
      <c r="A837" s="9" t="s">
        <v>3885</v>
      </c>
      <c r="B837" s="9" t="s">
        <v>2797</v>
      </c>
      <c r="C837" s="9" t="s">
        <v>990</v>
      </c>
      <c r="D837" s="9" t="s">
        <v>3886</v>
      </c>
      <c r="E837" s="9" t="s">
        <v>165</v>
      </c>
      <c r="F837" s="9" t="s">
        <v>63</v>
      </c>
      <c r="G837" s="9" t="s">
        <v>64</v>
      </c>
      <c r="H837" s="9" t="s">
        <v>240</v>
      </c>
      <c r="I837" s="9" t="s">
        <v>241</v>
      </c>
      <c r="J837" s="9" t="s">
        <v>108</v>
      </c>
      <c r="K837" s="9" t="s">
        <v>247</v>
      </c>
      <c r="L837" s="9" t="s">
        <v>3887</v>
      </c>
      <c r="M837" s="9" t="s">
        <v>55</v>
      </c>
      <c r="N837" s="9" t="n">
        <v>7</v>
      </c>
      <c r="O837" s="9" t="n">
        <v>1509.59</v>
      </c>
      <c r="P837" s="9" t="n">
        <v>0.05</v>
      </c>
      <c r="Q837" s="9" t="n">
        <v>10038.77</v>
      </c>
      <c r="R837" s="9" t="n">
        <v>5673.1</v>
      </c>
      <c r="S837" s="9" t="n">
        <v>4365.67</v>
      </c>
      <c r="T837" s="9" t="s">
        <v>56</v>
      </c>
      <c r="U837" s="9" t="s">
        <v>57</v>
      </c>
    </row>
    <row r="838" customFormat="false" ht="15" hidden="false" customHeight="false" outlineLevel="0" collapsed="false">
      <c r="A838" s="9" t="s">
        <v>3888</v>
      </c>
      <c r="B838" s="9" t="s">
        <v>2507</v>
      </c>
      <c r="C838" s="9" t="s">
        <v>3889</v>
      </c>
      <c r="D838" s="9" t="s">
        <v>3890</v>
      </c>
      <c r="E838" s="9" t="s">
        <v>75</v>
      </c>
      <c r="F838" s="9" t="s">
        <v>63</v>
      </c>
      <c r="G838" s="9" t="s">
        <v>177</v>
      </c>
      <c r="H838" s="9" t="s">
        <v>50</v>
      </c>
      <c r="I838" s="9" t="s">
        <v>51</v>
      </c>
      <c r="J838" s="9" t="s">
        <v>52</v>
      </c>
      <c r="K838" s="9" t="s">
        <v>131</v>
      </c>
      <c r="L838" s="9" t="s">
        <v>3891</v>
      </c>
      <c r="M838" s="9" t="s">
        <v>55</v>
      </c>
      <c r="N838" s="9" t="n">
        <v>2</v>
      </c>
      <c r="O838" s="9" t="n">
        <v>537.11</v>
      </c>
      <c r="P838" s="9" t="n">
        <v>0</v>
      </c>
      <c r="Q838" s="9" t="n">
        <v>1074.22</v>
      </c>
      <c r="R838" s="9" t="n">
        <v>850.86</v>
      </c>
      <c r="S838" s="9" t="n">
        <v>223.36</v>
      </c>
      <c r="T838" s="9" t="s">
        <v>56</v>
      </c>
      <c r="U838" s="9" t="s">
        <v>57</v>
      </c>
    </row>
    <row r="839" customFormat="false" ht="15" hidden="false" customHeight="false" outlineLevel="0" collapsed="false">
      <c r="A839" s="9" t="s">
        <v>3892</v>
      </c>
      <c r="B839" s="9" t="s">
        <v>526</v>
      </c>
      <c r="C839" s="9" t="s">
        <v>3893</v>
      </c>
      <c r="D839" s="9" t="s">
        <v>3894</v>
      </c>
      <c r="E839" s="9" t="s">
        <v>47</v>
      </c>
      <c r="F839" s="9" t="s">
        <v>137</v>
      </c>
      <c r="G839" s="9" t="s">
        <v>95</v>
      </c>
      <c r="H839" s="9" t="s">
        <v>96</v>
      </c>
      <c r="I839" s="9" t="s">
        <v>97</v>
      </c>
      <c r="J839" s="9" t="s">
        <v>52</v>
      </c>
      <c r="K839" s="9" t="s">
        <v>53</v>
      </c>
      <c r="L839" s="9" t="s">
        <v>3895</v>
      </c>
      <c r="M839" s="9" t="s">
        <v>78</v>
      </c>
      <c r="N839" s="9" t="n">
        <v>3</v>
      </c>
      <c r="O839" s="9" t="n">
        <v>4177.63</v>
      </c>
      <c r="P839" s="9" t="n">
        <v>0.25</v>
      </c>
      <c r="Q839" s="9" t="n">
        <v>9399.67</v>
      </c>
      <c r="R839" s="9" t="n">
        <v>6540.37</v>
      </c>
      <c r="S839" s="9" t="n">
        <v>2859.3</v>
      </c>
      <c r="T839" s="9" t="s">
        <v>56</v>
      </c>
      <c r="U839" s="9" t="s">
        <v>57</v>
      </c>
    </row>
    <row r="840" customFormat="false" ht="15" hidden="false" customHeight="false" outlineLevel="0" collapsed="false">
      <c r="A840" s="9" t="s">
        <v>3896</v>
      </c>
      <c r="B840" s="9" t="s">
        <v>497</v>
      </c>
      <c r="C840" s="9" t="s">
        <v>3897</v>
      </c>
      <c r="D840" s="9" t="s">
        <v>3898</v>
      </c>
      <c r="E840" s="9" t="s">
        <v>94</v>
      </c>
      <c r="F840" s="9" t="s">
        <v>63</v>
      </c>
      <c r="G840" s="9" t="s">
        <v>95</v>
      </c>
      <c r="H840" s="9" t="s">
        <v>274</v>
      </c>
      <c r="I840" s="9" t="s">
        <v>275</v>
      </c>
      <c r="J840" s="9" t="s">
        <v>52</v>
      </c>
      <c r="K840" s="9" t="s">
        <v>53</v>
      </c>
      <c r="L840" s="9" t="s">
        <v>3899</v>
      </c>
      <c r="M840" s="9" t="s">
        <v>70</v>
      </c>
      <c r="N840" s="9" t="n">
        <v>1</v>
      </c>
      <c r="O840" s="9" t="n">
        <v>1470.57</v>
      </c>
      <c r="P840" s="9" t="n">
        <v>0</v>
      </c>
      <c r="Q840" s="9" t="n">
        <v>1470.57</v>
      </c>
      <c r="R840" s="9" t="n">
        <v>834.02</v>
      </c>
      <c r="S840" s="9" t="n">
        <v>636.55</v>
      </c>
      <c r="T840" s="9" t="s">
        <v>56</v>
      </c>
      <c r="U840" s="9" t="s">
        <v>147</v>
      </c>
    </row>
    <row r="841" customFormat="false" ht="15" hidden="false" customHeight="false" outlineLevel="0" collapsed="false">
      <c r="A841" s="9" t="s">
        <v>3900</v>
      </c>
      <c r="B841" s="9" t="s">
        <v>3901</v>
      </c>
      <c r="C841" s="9" t="s">
        <v>3902</v>
      </c>
      <c r="D841" s="9" t="s">
        <v>3903</v>
      </c>
      <c r="E841" s="9" t="s">
        <v>204</v>
      </c>
      <c r="F841" s="9" t="s">
        <v>137</v>
      </c>
      <c r="G841" s="9" t="s">
        <v>64</v>
      </c>
      <c r="H841" s="9" t="s">
        <v>65</v>
      </c>
      <c r="I841" s="9" t="s">
        <v>66</v>
      </c>
      <c r="J841" s="9" t="s">
        <v>108</v>
      </c>
      <c r="K841" s="9" t="s">
        <v>247</v>
      </c>
      <c r="L841" s="9" t="s">
        <v>3904</v>
      </c>
      <c r="M841" s="9" t="s">
        <v>89</v>
      </c>
      <c r="N841" s="9" t="n">
        <v>8</v>
      </c>
      <c r="O841" s="9" t="n">
        <v>531.43</v>
      </c>
      <c r="P841" s="9" t="n">
        <v>0.1</v>
      </c>
      <c r="Q841" s="9" t="n">
        <v>3826.3</v>
      </c>
      <c r="R841" s="9" t="n">
        <v>2194.12</v>
      </c>
      <c r="S841" s="9" t="n">
        <v>1632.18</v>
      </c>
      <c r="T841" s="9" t="s">
        <v>56</v>
      </c>
      <c r="U841" s="9" t="s">
        <v>57</v>
      </c>
    </row>
    <row r="842" customFormat="false" ht="15" hidden="false" customHeight="false" outlineLevel="0" collapsed="false">
      <c r="A842" s="9" t="s">
        <v>3905</v>
      </c>
      <c r="B842" s="9" t="s">
        <v>1938</v>
      </c>
      <c r="C842" s="9" t="s">
        <v>2240</v>
      </c>
      <c r="D842" s="9" t="s">
        <v>3906</v>
      </c>
      <c r="E842" s="9" t="s">
        <v>115</v>
      </c>
      <c r="F842" s="9" t="s">
        <v>137</v>
      </c>
      <c r="G842" s="9" t="s">
        <v>177</v>
      </c>
      <c r="H842" s="9" t="s">
        <v>535</v>
      </c>
      <c r="I842" s="9" t="s">
        <v>536</v>
      </c>
      <c r="J842" s="9" t="s">
        <v>67</v>
      </c>
      <c r="K842" s="9" t="s">
        <v>98</v>
      </c>
      <c r="L842" s="9" t="s">
        <v>3907</v>
      </c>
      <c r="M842" s="9" t="s">
        <v>70</v>
      </c>
      <c r="N842" s="9" t="n">
        <v>4</v>
      </c>
      <c r="O842" s="9" t="n">
        <v>1584.11</v>
      </c>
      <c r="P842" s="9" t="n">
        <v>0</v>
      </c>
      <c r="Q842" s="9" t="n">
        <v>6336.44</v>
      </c>
      <c r="R842" s="9" t="n">
        <v>4680.68</v>
      </c>
      <c r="S842" s="9" t="n">
        <v>1655.76</v>
      </c>
      <c r="T842" s="9" t="s">
        <v>56</v>
      </c>
      <c r="U842" s="9" t="s">
        <v>57</v>
      </c>
    </row>
    <row r="843" customFormat="false" ht="15" hidden="false" customHeight="false" outlineLevel="0" collapsed="false">
      <c r="A843" s="9" t="s">
        <v>3908</v>
      </c>
      <c r="B843" s="9" t="s">
        <v>3909</v>
      </c>
      <c r="C843" s="9" t="s">
        <v>3910</v>
      </c>
      <c r="D843" s="9" t="s">
        <v>3911</v>
      </c>
      <c r="E843" s="9" t="s">
        <v>94</v>
      </c>
      <c r="F843" s="9" t="s">
        <v>63</v>
      </c>
      <c r="G843" s="9" t="s">
        <v>64</v>
      </c>
      <c r="H843" s="9" t="s">
        <v>210</v>
      </c>
      <c r="I843" s="9" t="s">
        <v>211</v>
      </c>
      <c r="J843" s="9" t="s">
        <v>52</v>
      </c>
      <c r="K843" s="9" t="s">
        <v>76</v>
      </c>
      <c r="L843" s="9" t="s">
        <v>3912</v>
      </c>
      <c r="M843" s="9" t="s">
        <v>89</v>
      </c>
      <c r="N843" s="9" t="n">
        <v>9</v>
      </c>
      <c r="O843" s="9" t="n">
        <v>3237.16</v>
      </c>
      <c r="P843" s="9" t="n">
        <v>0.25</v>
      </c>
      <c r="Q843" s="9" t="n">
        <v>21850.83</v>
      </c>
      <c r="R843" s="9" t="n">
        <v>16600.13</v>
      </c>
      <c r="S843" s="9" t="n">
        <v>5250.7</v>
      </c>
      <c r="T843" s="9" t="s">
        <v>56</v>
      </c>
      <c r="U843" s="9" t="s">
        <v>57</v>
      </c>
    </row>
    <row r="844" customFormat="false" ht="15" hidden="false" customHeight="false" outlineLevel="0" collapsed="false">
      <c r="A844" s="9" t="s">
        <v>3913</v>
      </c>
      <c r="B844" s="9" t="s">
        <v>3914</v>
      </c>
      <c r="C844" s="9" t="s">
        <v>3915</v>
      </c>
      <c r="D844" s="9" t="s">
        <v>3916</v>
      </c>
      <c r="E844" s="9" t="s">
        <v>3917</v>
      </c>
      <c r="F844" s="9" t="s">
        <v>48</v>
      </c>
      <c r="G844" s="9" t="s">
        <v>177</v>
      </c>
      <c r="H844" s="9" t="s">
        <v>348</v>
      </c>
      <c r="I844" s="9" t="s">
        <v>349</v>
      </c>
      <c r="J844" s="9" t="s">
        <v>108</v>
      </c>
      <c r="K844" s="9" t="s">
        <v>409</v>
      </c>
      <c r="L844" s="9" t="s">
        <v>3918</v>
      </c>
      <c r="M844" s="9" t="s">
        <v>78</v>
      </c>
      <c r="N844" s="9" t="n">
        <v>4</v>
      </c>
      <c r="O844" s="9" t="n">
        <v>2192.08</v>
      </c>
      <c r="P844" s="9" t="n">
        <v>0.15</v>
      </c>
      <c r="Q844" s="9" t="n">
        <v>7453.07</v>
      </c>
      <c r="R844" s="9" t="n">
        <v>5133.78</v>
      </c>
      <c r="S844" s="9" t="n">
        <v>2319.29</v>
      </c>
      <c r="T844" s="9" t="s">
        <v>56</v>
      </c>
      <c r="U844" s="9" t="s">
        <v>147</v>
      </c>
    </row>
    <row r="845" customFormat="false" ht="15" hidden="false" customHeight="false" outlineLevel="0" collapsed="false">
      <c r="A845" s="9" t="s">
        <v>3919</v>
      </c>
      <c r="B845" s="9" t="s">
        <v>2746</v>
      </c>
      <c r="C845" s="9" t="s">
        <v>3920</v>
      </c>
      <c r="D845" s="9" t="s">
        <v>3921</v>
      </c>
      <c r="E845" s="9" t="s">
        <v>165</v>
      </c>
      <c r="F845" s="9" t="s">
        <v>63</v>
      </c>
      <c r="G845" s="9" t="s">
        <v>177</v>
      </c>
      <c r="H845" s="9" t="s">
        <v>198</v>
      </c>
      <c r="I845" s="9" t="s">
        <v>199</v>
      </c>
      <c r="J845" s="9" t="s">
        <v>108</v>
      </c>
      <c r="K845" s="9" t="s">
        <v>247</v>
      </c>
      <c r="L845" s="9" t="s">
        <v>3922</v>
      </c>
      <c r="M845" s="9" t="s">
        <v>78</v>
      </c>
      <c r="N845" s="9" t="n">
        <v>9</v>
      </c>
      <c r="O845" s="9" t="n">
        <v>3989.52</v>
      </c>
      <c r="P845" s="9" t="n">
        <v>-0.02</v>
      </c>
      <c r="Q845" s="9" t="n">
        <v>35905.68</v>
      </c>
      <c r="R845" s="9" t="n">
        <v>23916.1</v>
      </c>
      <c r="S845" s="9" t="n">
        <v>11989.58</v>
      </c>
      <c r="T845" s="9" t="s">
        <v>56</v>
      </c>
      <c r="U845" s="9" t="s">
        <v>57</v>
      </c>
    </row>
    <row r="846" customFormat="false" ht="15" hidden="false" customHeight="false" outlineLevel="0" collapsed="false">
      <c r="A846" s="9" t="s">
        <v>3923</v>
      </c>
      <c r="B846" s="9" t="s">
        <v>3924</v>
      </c>
      <c r="C846" s="9" t="s">
        <v>3925</v>
      </c>
      <c r="D846" s="9" t="s">
        <v>3926</v>
      </c>
      <c r="E846" s="9" t="s">
        <v>129</v>
      </c>
      <c r="F846" s="9" t="s">
        <v>137</v>
      </c>
      <c r="G846" s="9" t="s">
        <v>95</v>
      </c>
      <c r="H846" s="9" t="s">
        <v>274</v>
      </c>
      <c r="I846" s="9" t="s">
        <v>275</v>
      </c>
      <c r="J846" s="9" t="s">
        <v>52</v>
      </c>
      <c r="K846" s="9" t="s">
        <v>76</v>
      </c>
      <c r="L846" s="9" t="s">
        <v>3927</v>
      </c>
      <c r="M846" s="9" t="s">
        <v>78</v>
      </c>
      <c r="N846" s="9" t="n">
        <v>1</v>
      </c>
      <c r="O846" s="9" t="n">
        <v>3515.15</v>
      </c>
      <c r="P846" s="9" t="n">
        <v>0</v>
      </c>
      <c r="Q846" s="9" t="n">
        <v>3515.15</v>
      </c>
      <c r="R846" s="9" t="n">
        <v>2216.34</v>
      </c>
      <c r="S846" s="9" t="n">
        <v>1298.81</v>
      </c>
      <c r="T846" s="9" t="s">
        <v>56</v>
      </c>
      <c r="U846" s="9" t="s">
        <v>57</v>
      </c>
    </row>
    <row r="847" customFormat="false" ht="15" hidden="false" customHeight="false" outlineLevel="0" collapsed="false">
      <c r="A847" s="9" t="s">
        <v>3928</v>
      </c>
      <c r="B847" s="9" t="s">
        <v>2819</v>
      </c>
      <c r="C847" s="9" t="s">
        <v>3929</v>
      </c>
      <c r="D847" s="9" t="s">
        <v>928</v>
      </c>
      <c r="E847" s="9" t="s">
        <v>47</v>
      </c>
      <c r="F847" s="9" t="s">
        <v>48</v>
      </c>
      <c r="G847" s="9" t="s">
        <v>64</v>
      </c>
      <c r="H847" s="9" t="s">
        <v>65</v>
      </c>
      <c r="I847" s="9" t="s">
        <v>66</v>
      </c>
      <c r="J847" s="9" t="s">
        <v>67</v>
      </c>
      <c r="K847" s="9" t="s">
        <v>68</v>
      </c>
      <c r="L847" s="9" t="s">
        <v>3930</v>
      </c>
      <c r="M847" s="9" t="s">
        <v>78</v>
      </c>
      <c r="N847" s="9" t="n">
        <v>9</v>
      </c>
      <c r="O847" s="9" t="n">
        <v>3616.23</v>
      </c>
      <c r="P847" s="9" t="n">
        <v>0.25</v>
      </c>
      <c r="Q847" s="9" t="n">
        <v>24409.55</v>
      </c>
      <c r="R847" s="9" t="n">
        <v>17157.58</v>
      </c>
      <c r="S847" s="9" t="n">
        <v>7251.97</v>
      </c>
      <c r="T847" s="9" t="s">
        <v>160</v>
      </c>
      <c r="U847" s="9" t="s">
        <v>147</v>
      </c>
    </row>
    <row r="848" customFormat="false" ht="15" hidden="false" customHeight="false" outlineLevel="0" collapsed="false">
      <c r="A848" s="9" t="s">
        <v>3931</v>
      </c>
      <c r="B848" s="9" t="s">
        <v>3932</v>
      </c>
      <c r="C848" s="9" t="s">
        <v>3933</v>
      </c>
      <c r="D848" s="9" t="s">
        <v>3934</v>
      </c>
      <c r="E848" s="9" t="s">
        <v>165</v>
      </c>
      <c r="F848" s="9" t="s">
        <v>63</v>
      </c>
      <c r="G848" s="9" t="s">
        <v>95</v>
      </c>
      <c r="H848" s="9" t="s">
        <v>260</v>
      </c>
      <c r="I848" s="9" t="s">
        <v>261</v>
      </c>
      <c r="J848" s="9" t="s">
        <v>67</v>
      </c>
      <c r="K848" s="9" t="s">
        <v>228</v>
      </c>
      <c r="L848" s="9" t="s">
        <v>3935</v>
      </c>
      <c r="M848" s="9" t="s">
        <v>89</v>
      </c>
      <c r="N848" s="9" t="n">
        <v>2</v>
      </c>
      <c r="O848" s="9" t="n">
        <v>3977.52</v>
      </c>
      <c r="P848" s="9" t="n">
        <v>0</v>
      </c>
      <c r="Q848" s="9" t="n">
        <v>7955.04</v>
      </c>
      <c r="R848" s="9" t="n">
        <v>5580.68</v>
      </c>
      <c r="S848" s="9" t="n">
        <v>2374.36</v>
      </c>
      <c r="T848" s="9" t="s">
        <v>160</v>
      </c>
      <c r="U848" s="9" t="s">
        <v>147</v>
      </c>
    </row>
    <row r="849" customFormat="false" ht="15" hidden="false" customHeight="false" outlineLevel="0" collapsed="false">
      <c r="A849" s="9" t="s">
        <v>3936</v>
      </c>
      <c r="B849" s="9" t="s">
        <v>3937</v>
      </c>
      <c r="C849" s="9" t="s">
        <v>3938</v>
      </c>
      <c r="D849" s="9" t="s">
        <v>3939</v>
      </c>
      <c r="E849" s="9" t="s">
        <v>234</v>
      </c>
      <c r="F849" s="9" t="s">
        <v>137</v>
      </c>
      <c r="G849" s="9" t="s">
        <v>64</v>
      </c>
      <c r="H849" s="9" t="s">
        <v>65</v>
      </c>
      <c r="I849" s="9" t="s">
        <v>66</v>
      </c>
      <c r="J849" s="9" t="s">
        <v>67</v>
      </c>
      <c r="K849" s="9" t="s">
        <v>68</v>
      </c>
      <c r="L849" s="9" t="s">
        <v>3940</v>
      </c>
      <c r="M849" s="9" t="s">
        <v>55</v>
      </c>
      <c r="N849" s="9" t="n">
        <v>2</v>
      </c>
      <c r="O849" s="9" t="n">
        <v>210.08</v>
      </c>
      <c r="P849" s="9" t="n">
        <v>0.2</v>
      </c>
      <c r="Q849" s="9" t="n">
        <v>336.13</v>
      </c>
      <c r="R849" s="9" t="n">
        <v>242.19</v>
      </c>
      <c r="S849" s="9" t="n">
        <v>93.94</v>
      </c>
      <c r="T849" s="9" t="s">
        <v>56</v>
      </c>
      <c r="U849" s="9" t="s">
        <v>57</v>
      </c>
    </row>
    <row r="850" customFormat="false" ht="15" hidden="false" customHeight="false" outlineLevel="0" collapsed="false">
      <c r="A850" s="9" t="s">
        <v>3941</v>
      </c>
      <c r="B850" s="9" t="s">
        <v>3195</v>
      </c>
      <c r="C850" s="9" t="s">
        <v>3942</v>
      </c>
      <c r="D850" s="9" t="s">
        <v>3943</v>
      </c>
      <c r="E850" s="9" t="s">
        <v>171</v>
      </c>
      <c r="F850" s="9" t="s">
        <v>137</v>
      </c>
      <c r="G850" s="9" t="s">
        <v>84</v>
      </c>
      <c r="H850" s="9" t="s">
        <v>364</v>
      </c>
      <c r="I850" s="9" t="s">
        <v>365</v>
      </c>
      <c r="J850" s="9" t="s">
        <v>67</v>
      </c>
      <c r="K850" s="9" t="s">
        <v>87</v>
      </c>
      <c r="L850" s="9" t="s">
        <v>3944</v>
      </c>
      <c r="M850" s="9" t="s">
        <v>55</v>
      </c>
      <c r="N850" s="9" t="n">
        <v>1</v>
      </c>
      <c r="O850" s="9" t="n">
        <v>1744.35</v>
      </c>
      <c r="P850" s="9" t="n">
        <v>0.25</v>
      </c>
      <c r="Q850" s="9" t="n">
        <v>1308.26</v>
      </c>
      <c r="R850" s="9" t="n">
        <v>1083.56</v>
      </c>
      <c r="S850" s="9" t="n">
        <v>224.7</v>
      </c>
      <c r="T850" s="9" t="s">
        <v>56</v>
      </c>
      <c r="U850" s="9" t="s">
        <v>57</v>
      </c>
    </row>
    <row r="851" customFormat="false" ht="15" hidden="false" customHeight="false" outlineLevel="0" collapsed="false">
      <c r="A851" s="9" t="s">
        <v>3945</v>
      </c>
      <c r="B851" s="9" t="s">
        <v>3946</v>
      </c>
      <c r="C851" s="9" t="s">
        <v>1107</v>
      </c>
      <c r="D851" s="9" t="s">
        <v>3947</v>
      </c>
      <c r="E851" s="9" t="s">
        <v>75</v>
      </c>
      <c r="F851" s="9" t="s">
        <v>137</v>
      </c>
      <c r="G851" s="9" t="s">
        <v>95</v>
      </c>
      <c r="H851" s="9" t="s">
        <v>260</v>
      </c>
      <c r="I851" s="9" t="s">
        <v>261</v>
      </c>
      <c r="J851" s="9" t="s">
        <v>67</v>
      </c>
      <c r="K851" s="9" t="s">
        <v>228</v>
      </c>
      <c r="L851" s="9" t="s">
        <v>3948</v>
      </c>
      <c r="M851" s="9" t="s">
        <v>89</v>
      </c>
      <c r="N851" s="9" t="n">
        <v>3</v>
      </c>
      <c r="O851" s="9" t="n">
        <v>679.63</v>
      </c>
      <c r="P851" s="9" t="n">
        <v>0.2</v>
      </c>
      <c r="Q851" s="9" t="n">
        <v>1631.11</v>
      </c>
      <c r="R851" s="9" t="n">
        <v>898.73</v>
      </c>
      <c r="S851" s="9" t="n">
        <v>396.58</v>
      </c>
      <c r="T851" s="9" t="s">
        <v>56</v>
      </c>
      <c r="U851" s="9" t="s">
        <v>751</v>
      </c>
    </row>
    <row r="852" customFormat="false" ht="15" hidden="false" customHeight="false" outlineLevel="0" collapsed="false">
      <c r="A852" s="9" t="s">
        <v>3949</v>
      </c>
      <c r="B852" s="9" t="s">
        <v>2145</v>
      </c>
      <c r="C852" s="9" t="s">
        <v>3825</v>
      </c>
      <c r="D852" s="9" t="s">
        <v>3950</v>
      </c>
      <c r="E852" s="9" t="s">
        <v>165</v>
      </c>
      <c r="F852" s="9" t="s">
        <v>137</v>
      </c>
      <c r="G852" s="9" t="s">
        <v>64</v>
      </c>
      <c r="H852" s="9" t="s">
        <v>143</v>
      </c>
      <c r="I852" s="9" t="s">
        <v>144</v>
      </c>
      <c r="J852" s="9" t="s">
        <v>52</v>
      </c>
      <c r="K852" s="9" t="s">
        <v>53</v>
      </c>
      <c r="L852" s="9" t="s">
        <v>3951</v>
      </c>
      <c r="M852" s="9" t="s">
        <v>78</v>
      </c>
      <c r="N852" s="9" t="n">
        <v>6</v>
      </c>
      <c r="O852" s="9" t="n">
        <v>1211.01</v>
      </c>
      <c r="P852" s="9" t="n">
        <v>0</v>
      </c>
      <c r="Q852" s="9" t="n">
        <v>7266.06</v>
      </c>
      <c r="R852" s="9" t="n">
        <v>6216.89</v>
      </c>
      <c r="S852" s="9" t="n">
        <v>1049.17</v>
      </c>
      <c r="T852" s="9" t="s">
        <v>56</v>
      </c>
      <c r="U852" s="9" t="s">
        <v>57</v>
      </c>
    </row>
    <row r="853" customFormat="false" ht="15" hidden="false" customHeight="false" outlineLevel="0" collapsed="false">
      <c r="A853" s="9" t="s">
        <v>3952</v>
      </c>
      <c r="B853" s="9" t="s">
        <v>841</v>
      </c>
      <c r="C853" s="9" t="s">
        <v>3204</v>
      </c>
      <c r="D853" s="9" t="s">
        <v>3953</v>
      </c>
      <c r="E853" s="9" t="s">
        <v>47</v>
      </c>
      <c r="F853" s="9" t="s">
        <v>63</v>
      </c>
      <c r="G853" s="9" t="s">
        <v>95</v>
      </c>
      <c r="H853" s="9" t="s">
        <v>260</v>
      </c>
      <c r="I853" s="9" t="s">
        <v>261</v>
      </c>
      <c r="J853" s="9" t="s">
        <v>108</v>
      </c>
      <c r="K853" s="9" t="s">
        <v>109</v>
      </c>
      <c r="L853" s="9" t="s">
        <v>3954</v>
      </c>
      <c r="M853" s="9" t="s">
        <v>78</v>
      </c>
      <c r="N853" s="9" t="n">
        <v>2</v>
      </c>
      <c r="O853" s="9" t="n">
        <v>1161.3</v>
      </c>
      <c r="P853" s="9" t="n">
        <v>0.2</v>
      </c>
      <c r="Q853" s="9" t="n">
        <v>1858.08</v>
      </c>
      <c r="R853" s="9" t="n">
        <v>1590.75</v>
      </c>
      <c r="S853" s="9" t="n">
        <v>267.33</v>
      </c>
      <c r="T853" s="9" t="s">
        <v>56</v>
      </c>
      <c r="U853" s="9" t="s">
        <v>57</v>
      </c>
    </row>
    <row r="854" customFormat="false" ht="15" hidden="false" customHeight="false" outlineLevel="0" collapsed="false">
      <c r="A854" s="9" t="s">
        <v>3955</v>
      </c>
      <c r="B854" s="9" t="s">
        <v>3956</v>
      </c>
      <c r="C854" s="9" t="s">
        <v>3778</v>
      </c>
      <c r="D854" s="9" t="s">
        <v>3957</v>
      </c>
      <c r="E854" s="9" t="s">
        <v>94</v>
      </c>
      <c r="F854" s="9" t="s">
        <v>48</v>
      </c>
      <c r="G854" s="9" t="s">
        <v>64</v>
      </c>
      <c r="H854" s="9" t="s">
        <v>240</v>
      </c>
      <c r="I854" s="9" t="s">
        <v>241</v>
      </c>
      <c r="J854" s="9" t="s">
        <v>67</v>
      </c>
      <c r="K854" s="9" t="s">
        <v>68</v>
      </c>
      <c r="L854" s="9" t="s">
        <v>3958</v>
      </c>
      <c r="M854" s="9" t="s">
        <v>55</v>
      </c>
      <c r="N854" s="9" t="n">
        <v>7</v>
      </c>
      <c r="O854" s="9" t="n">
        <v>4205.35</v>
      </c>
      <c r="P854" s="9" t="n">
        <v>0.15</v>
      </c>
      <c r="Q854" s="9" t="n">
        <v>25021.83</v>
      </c>
      <c r="R854" s="9" t="n">
        <v>15544.44</v>
      </c>
      <c r="S854" s="9" t="n">
        <v>9477.39</v>
      </c>
      <c r="T854" s="9" t="s">
        <v>160</v>
      </c>
      <c r="U854" s="9" t="s">
        <v>100</v>
      </c>
    </row>
    <row r="855" customFormat="false" ht="15" hidden="false" customHeight="false" outlineLevel="0" collapsed="false">
      <c r="A855" s="9" t="s">
        <v>3959</v>
      </c>
      <c r="B855" s="9" t="s">
        <v>3960</v>
      </c>
      <c r="C855" s="9" t="s">
        <v>3938</v>
      </c>
      <c r="D855" s="9" t="s">
        <v>3961</v>
      </c>
      <c r="E855" s="9" t="s">
        <v>83</v>
      </c>
      <c r="F855" s="9" t="s">
        <v>130</v>
      </c>
      <c r="G855" s="9" t="s">
        <v>84</v>
      </c>
      <c r="H855" s="9" t="s">
        <v>364</v>
      </c>
      <c r="I855" s="9" t="s">
        <v>365</v>
      </c>
      <c r="J855" s="9" t="s">
        <v>108</v>
      </c>
      <c r="K855" s="9" t="s">
        <v>109</v>
      </c>
      <c r="L855" s="9" t="s">
        <v>3962</v>
      </c>
      <c r="M855" s="9" t="s">
        <v>70</v>
      </c>
      <c r="N855" s="9" t="n">
        <v>8</v>
      </c>
      <c r="O855" s="9" t="n">
        <v>579.8</v>
      </c>
      <c r="P855" s="9" t="n">
        <v>0.2</v>
      </c>
      <c r="Q855" s="9" t="n">
        <v>3710.72</v>
      </c>
      <c r="R855" s="9" t="n">
        <v>3115.29</v>
      </c>
      <c r="S855" s="9" t="n">
        <v>595.43</v>
      </c>
      <c r="T855" s="9" t="s">
        <v>56</v>
      </c>
      <c r="U855" s="9" t="s">
        <v>57</v>
      </c>
    </row>
    <row r="856" customFormat="false" ht="15" hidden="false" customHeight="false" outlineLevel="0" collapsed="false">
      <c r="A856" s="9" t="s">
        <v>3963</v>
      </c>
      <c r="B856" s="9" t="s">
        <v>3964</v>
      </c>
      <c r="C856" s="9" t="s">
        <v>3965</v>
      </c>
      <c r="D856" s="9" t="s">
        <v>3966</v>
      </c>
      <c r="E856" s="9" t="s">
        <v>165</v>
      </c>
      <c r="F856" s="9" t="s">
        <v>48</v>
      </c>
      <c r="G856" s="9" t="s">
        <v>84</v>
      </c>
      <c r="H856" s="9" t="s">
        <v>254</v>
      </c>
      <c r="I856" s="9" t="s">
        <v>255</v>
      </c>
      <c r="J856" s="9" t="s">
        <v>67</v>
      </c>
      <c r="K856" s="9" t="s">
        <v>228</v>
      </c>
      <c r="L856" s="9" t="s">
        <v>3967</v>
      </c>
      <c r="M856" s="9" t="s">
        <v>55</v>
      </c>
      <c r="N856" s="9" t="n">
        <v>4</v>
      </c>
      <c r="O856" s="9" t="n">
        <v>2233.64</v>
      </c>
      <c r="P856" s="9" t="n">
        <v>0.05</v>
      </c>
      <c r="Q856" s="9" t="n">
        <v>8487.83</v>
      </c>
      <c r="R856" s="9" t="n">
        <v>5245.72</v>
      </c>
      <c r="S856" s="9" t="n">
        <v>3242.11</v>
      </c>
      <c r="T856" s="9" t="s">
        <v>56</v>
      </c>
      <c r="U856" s="9" t="s">
        <v>57</v>
      </c>
    </row>
    <row r="857" customFormat="false" ht="15" hidden="false" customHeight="false" outlineLevel="0" collapsed="false">
      <c r="A857" s="9" t="s">
        <v>3968</v>
      </c>
      <c r="B857" s="9" t="s">
        <v>772</v>
      </c>
      <c r="C857" s="9" t="s">
        <v>3969</v>
      </c>
      <c r="D857" s="9" t="s">
        <v>1756</v>
      </c>
      <c r="E857" s="9" t="s">
        <v>171</v>
      </c>
      <c r="F857" s="9" t="s">
        <v>48</v>
      </c>
      <c r="G857" s="9" t="s">
        <v>177</v>
      </c>
      <c r="H857" s="9" t="s">
        <v>50</v>
      </c>
      <c r="I857" s="9" t="s">
        <v>51</v>
      </c>
      <c r="J857" s="9" t="s">
        <v>52</v>
      </c>
      <c r="K857" s="9" t="s">
        <v>3970</v>
      </c>
      <c r="L857" s="9" t="s">
        <v>3971</v>
      </c>
      <c r="M857" s="9" t="s">
        <v>55</v>
      </c>
      <c r="N857" s="9" t="n">
        <v>2</v>
      </c>
      <c r="O857" s="9" t="n">
        <v>2073.53</v>
      </c>
      <c r="P857" s="9" t="n">
        <v>0.25</v>
      </c>
      <c r="Q857" s="9" t="n">
        <v>3110.3</v>
      </c>
      <c r="R857" s="9" t="n">
        <v>2101.03</v>
      </c>
      <c r="S857" s="9" t="n">
        <v>1009.27</v>
      </c>
      <c r="T857" s="9" t="s">
        <v>56</v>
      </c>
      <c r="U857" s="9" t="s">
        <v>57</v>
      </c>
    </row>
    <row r="858" customFormat="false" ht="15" hidden="false" customHeight="false" outlineLevel="0" collapsed="false">
      <c r="A858" s="9" t="s">
        <v>3972</v>
      </c>
      <c r="B858" s="9" t="s">
        <v>3973</v>
      </c>
      <c r="C858" s="9" t="s">
        <v>722</v>
      </c>
      <c r="D858" s="9" t="s">
        <v>2020</v>
      </c>
      <c r="E858" s="9" t="s">
        <v>204</v>
      </c>
      <c r="F858" s="9" t="s">
        <v>137</v>
      </c>
      <c r="G858" s="9" t="s">
        <v>84</v>
      </c>
      <c r="H858" s="9" t="s">
        <v>364</v>
      </c>
      <c r="I858" s="9" t="s">
        <v>365</v>
      </c>
      <c r="J858" s="9" t="s">
        <v>52</v>
      </c>
      <c r="K858" s="9" t="s">
        <v>180</v>
      </c>
      <c r="L858" s="9" t="s">
        <v>3974</v>
      </c>
      <c r="M858" s="9" t="s">
        <v>89</v>
      </c>
      <c r="N858" s="9" t="n">
        <v>4</v>
      </c>
      <c r="O858" s="9" t="n">
        <v>395.1</v>
      </c>
      <c r="P858" s="9" t="n">
        <v>-0.16</v>
      </c>
      <c r="Q858" s="9" t="n">
        <v>1185.3</v>
      </c>
      <c r="R858" s="9" t="n">
        <v>966.55</v>
      </c>
      <c r="S858" s="9" t="n">
        <v>218.75</v>
      </c>
      <c r="T858" s="9" t="s">
        <v>224</v>
      </c>
      <c r="U858" s="9" t="s">
        <v>100</v>
      </c>
    </row>
    <row r="859" customFormat="false" ht="15" hidden="false" customHeight="false" outlineLevel="0" collapsed="false">
      <c r="A859" s="9" t="s">
        <v>3975</v>
      </c>
      <c r="B859" s="9" t="s">
        <v>3976</v>
      </c>
      <c r="C859" s="9" t="s">
        <v>3977</v>
      </c>
      <c r="D859" s="9" t="s">
        <v>3285</v>
      </c>
      <c r="E859" s="9" t="s">
        <v>192</v>
      </c>
      <c r="F859" s="9" t="s">
        <v>137</v>
      </c>
      <c r="G859" s="9" t="s">
        <v>84</v>
      </c>
      <c r="H859" s="9" t="s">
        <v>267</v>
      </c>
      <c r="I859" s="9" t="s">
        <v>268</v>
      </c>
      <c r="J859" s="9" t="s">
        <v>52</v>
      </c>
      <c r="K859" s="9" t="s">
        <v>180</v>
      </c>
      <c r="L859" s="9" t="s">
        <v>3978</v>
      </c>
      <c r="M859" s="9" t="s">
        <v>78</v>
      </c>
      <c r="N859" s="9" t="n">
        <v>6</v>
      </c>
      <c r="O859" s="9" t="n">
        <v>2708.97</v>
      </c>
      <c r="P859" s="9" t="n">
        <v>0.25</v>
      </c>
      <c r="Q859" s="9" t="n">
        <v>12190.36</v>
      </c>
      <c r="R859" s="9" t="n">
        <v>10176.99</v>
      </c>
      <c r="S859" s="9" t="n">
        <v>2013.37</v>
      </c>
      <c r="T859" s="9" t="s">
        <v>56</v>
      </c>
      <c r="U859" s="9" t="s">
        <v>57</v>
      </c>
    </row>
    <row r="860" customFormat="false" ht="15" hidden="false" customHeight="false" outlineLevel="0" collapsed="false">
      <c r="A860" s="9" t="s">
        <v>3979</v>
      </c>
      <c r="B860" s="9" t="s">
        <v>1263</v>
      </c>
      <c r="C860" s="9" t="s">
        <v>1332</v>
      </c>
      <c r="D860" s="9" t="s">
        <v>3980</v>
      </c>
      <c r="E860" s="9" t="s">
        <v>83</v>
      </c>
      <c r="F860" s="9" t="s">
        <v>48</v>
      </c>
      <c r="G860" s="9" t="s">
        <v>64</v>
      </c>
      <c r="H860" s="9" t="s">
        <v>65</v>
      </c>
      <c r="I860" s="9" t="s">
        <v>66</v>
      </c>
      <c r="J860" s="9" t="s">
        <v>108</v>
      </c>
      <c r="K860" s="9" t="s">
        <v>109</v>
      </c>
      <c r="L860" s="9" t="s">
        <v>3981</v>
      </c>
      <c r="M860" s="9" t="s">
        <v>55</v>
      </c>
      <c r="N860" s="9" t="n">
        <v>4</v>
      </c>
      <c r="O860" s="9" t="n">
        <v>2904.86</v>
      </c>
      <c r="P860" s="9" t="n">
        <v>0</v>
      </c>
      <c r="Q860" s="9" t="n">
        <v>11619.44</v>
      </c>
      <c r="R860" s="9" t="n">
        <v>7184.32</v>
      </c>
      <c r="S860" s="9" t="n">
        <v>4494.64</v>
      </c>
      <c r="T860" s="9" t="s">
        <v>56</v>
      </c>
      <c r="U860" s="9" t="s">
        <v>57</v>
      </c>
    </row>
    <row r="861" customFormat="false" ht="15" hidden="false" customHeight="false" outlineLevel="0" collapsed="false">
      <c r="A861" s="9" t="s">
        <v>3982</v>
      </c>
      <c r="B861" s="9" t="s">
        <v>3558</v>
      </c>
      <c r="C861" s="9" t="s">
        <v>3983</v>
      </c>
      <c r="D861" s="9" t="s">
        <v>3984</v>
      </c>
      <c r="E861" s="9" t="s">
        <v>129</v>
      </c>
      <c r="F861" s="9" t="s">
        <v>130</v>
      </c>
      <c r="G861" s="9" t="s">
        <v>84</v>
      </c>
      <c r="H861" s="9" t="s">
        <v>364</v>
      </c>
      <c r="I861" s="9" t="s">
        <v>365</v>
      </c>
      <c r="J861" s="9" t="s">
        <v>108</v>
      </c>
      <c r="K861" s="9" t="s">
        <v>247</v>
      </c>
      <c r="L861" s="9" t="s">
        <v>3985</v>
      </c>
      <c r="M861" s="9" t="s">
        <v>89</v>
      </c>
      <c r="N861" s="9" t="n">
        <v>6</v>
      </c>
      <c r="O861" s="9" t="n">
        <v>4399.2</v>
      </c>
      <c r="P861" s="9" t="n">
        <v>0.05</v>
      </c>
      <c r="Q861" s="9" t="n">
        <v>25075.44</v>
      </c>
      <c r="R861" s="9" t="n">
        <v>16282.74</v>
      </c>
      <c r="S861" s="9" t="n">
        <v>8792.7</v>
      </c>
      <c r="T861" s="9" t="s">
        <v>56</v>
      </c>
      <c r="U861" s="9" t="s">
        <v>57</v>
      </c>
    </row>
    <row r="862" customFormat="false" ht="15" hidden="false" customHeight="false" outlineLevel="0" collapsed="false">
      <c r="A862" s="9" t="s">
        <v>3986</v>
      </c>
      <c r="B862" s="9" t="s">
        <v>777</v>
      </c>
      <c r="C862" s="9" t="s">
        <v>3987</v>
      </c>
      <c r="D862" s="9" t="s">
        <v>3988</v>
      </c>
      <c r="E862" s="9" t="s">
        <v>105</v>
      </c>
      <c r="F862" s="9" t="s">
        <v>137</v>
      </c>
      <c r="G862" s="9" t="s">
        <v>177</v>
      </c>
      <c r="H862" s="9" t="s">
        <v>198</v>
      </c>
      <c r="I862" s="9" t="s">
        <v>199</v>
      </c>
      <c r="J862" s="9" t="s">
        <v>52</v>
      </c>
      <c r="K862" s="9" t="s">
        <v>180</v>
      </c>
      <c r="L862" s="9" t="s">
        <v>3989</v>
      </c>
      <c r="M862" s="9" t="s">
        <v>55</v>
      </c>
      <c r="N862" s="9" t="n">
        <v>1</v>
      </c>
      <c r="O862" s="9" t="n">
        <v>4397.32</v>
      </c>
      <c r="P862" s="9" t="n">
        <v>0.05</v>
      </c>
      <c r="Q862" s="9" t="n">
        <v>4177.45</v>
      </c>
      <c r="R862" s="9" t="n">
        <v>2299.5</v>
      </c>
      <c r="S862" s="9" t="n">
        <v>1877.95</v>
      </c>
      <c r="T862" s="9" t="s">
        <v>56</v>
      </c>
      <c r="U862" s="9" t="s">
        <v>57</v>
      </c>
    </row>
    <row r="863" customFormat="false" ht="15" hidden="false" customHeight="false" outlineLevel="0" collapsed="false">
      <c r="A863" s="9" t="s">
        <v>3990</v>
      </c>
      <c r="B863" s="9" t="s">
        <v>3991</v>
      </c>
      <c r="C863" s="9" t="s">
        <v>3992</v>
      </c>
      <c r="D863" s="9" t="s">
        <v>3993</v>
      </c>
      <c r="E863" s="9" t="s">
        <v>165</v>
      </c>
      <c r="F863" s="9" t="s">
        <v>137</v>
      </c>
      <c r="G863" s="9" t="s">
        <v>177</v>
      </c>
      <c r="H863" s="9" t="s">
        <v>535</v>
      </c>
      <c r="I863" s="9" t="s">
        <v>536</v>
      </c>
      <c r="J863" s="9" t="s">
        <v>67</v>
      </c>
      <c r="K863" s="9" t="s">
        <v>87</v>
      </c>
      <c r="L863" s="9" t="s">
        <v>3994</v>
      </c>
      <c r="M863" s="9" t="s">
        <v>70</v>
      </c>
      <c r="N863" s="9" t="n">
        <v>4</v>
      </c>
      <c r="O863" s="9" t="n">
        <v>3405.68</v>
      </c>
      <c r="P863" s="9" t="n">
        <v>0.2</v>
      </c>
      <c r="Q863" s="9" t="n">
        <v>10898.18</v>
      </c>
      <c r="R863" s="9" t="n">
        <v>6231.41</v>
      </c>
      <c r="S863" s="9" t="n">
        <v>4666.77</v>
      </c>
      <c r="T863" s="9" t="s">
        <v>56</v>
      </c>
      <c r="U863" s="9" t="s">
        <v>57</v>
      </c>
    </row>
    <row r="864" customFormat="false" ht="15" hidden="false" customHeight="false" outlineLevel="0" collapsed="false">
      <c r="A864" s="9" t="s">
        <v>3995</v>
      </c>
      <c r="B864" s="9" t="s">
        <v>3366</v>
      </c>
      <c r="C864" s="9" t="s">
        <v>3996</v>
      </c>
      <c r="D864" s="9" t="s">
        <v>3997</v>
      </c>
      <c r="E864" s="9" t="s">
        <v>165</v>
      </c>
      <c r="F864" s="9" t="s">
        <v>63</v>
      </c>
      <c r="G864" s="9" t="s">
        <v>64</v>
      </c>
      <c r="H864" s="9" t="s">
        <v>336</v>
      </c>
      <c r="I864" s="9" t="s">
        <v>337</v>
      </c>
      <c r="J864" s="9" t="s">
        <v>52</v>
      </c>
      <c r="K864" s="9" t="s">
        <v>222</v>
      </c>
      <c r="L864" s="9" t="s">
        <v>3998</v>
      </c>
      <c r="M864" s="9" t="s">
        <v>78</v>
      </c>
      <c r="N864" s="9" t="n">
        <v>5</v>
      </c>
      <c r="O864" s="9" t="n">
        <v>1395.14</v>
      </c>
      <c r="P864" s="9" t="n">
        <v>0</v>
      </c>
      <c r="Q864" s="9" t="n">
        <v>6975.7</v>
      </c>
      <c r="R864" s="9" t="n">
        <v>4797.88</v>
      </c>
      <c r="S864" s="9" t="n">
        <v>2177.82</v>
      </c>
      <c r="T864" s="9" t="s">
        <v>56</v>
      </c>
      <c r="U864" s="9" t="s">
        <v>100</v>
      </c>
    </row>
    <row r="865" customFormat="false" ht="15" hidden="false" customHeight="false" outlineLevel="0" collapsed="false">
      <c r="A865" s="9" t="s">
        <v>3999</v>
      </c>
      <c r="B865" s="9" t="s">
        <v>4000</v>
      </c>
      <c r="C865" s="9" t="s">
        <v>2778</v>
      </c>
      <c r="D865" s="9" t="s">
        <v>4001</v>
      </c>
      <c r="E865" s="9" t="s">
        <v>186</v>
      </c>
      <c r="F865" s="9" t="s">
        <v>137</v>
      </c>
      <c r="G865" s="9" t="s">
        <v>95</v>
      </c>
      <c r="H865" s="9" t="s">
        <v>106</v>
      </c>
      <c r="I865" s="9" t="s">
        <v>107</v>
      </c>
      <c r="J865" s="9" t="s">
        <v>67</v>
      </c>
      <c r="K865" s="9" t="s">
        <v>87</v>
      </c>
      <c r="L865" s="9" t="s">
        <v>4002</v>
      </c>
      <c r="M865" s="9" t="s">
        <v>70</v>
      </c>
      <c r="N865" s="9" t="n">
        <v>3</v>
      </c>
      <c r="O865" s="9" t="n">
        <v>2937.23</v>
      </c>
      <c r="P865" s="9" t="n">
        <v>0</v>
      </c>
      <c r="Q865" s="9" t="n">
        <v>8811.69</v>
      </c>
      <c r="R865" s="9" t="n">
        <v>6765.91</v>
      </c>
      <c r="S865" s="9" t="n">
        <v>2045.78</v>
      </c>
      <c r="T865" s="9" t="s">
        <v>56</v>
      </c>
      <c r="U865" s="9" t="s">
        <v>57</v>
      </c>
    </row>
    <row r="866" customFormat="false" ht="15" hidden="false" customHeight="false" outlineLevel="0" collapsed="false">
      <c r="A866" s="9" t="s">
        <v>4003</v>
      </c>
      <c r="B866" s="9" t="s">
        <v>4004</v>
      </c>
      <c r="C866" s="9" t="s">
        <v>602</v>
      </c>
      <c r="D866" s="9" t="s">
        <v>4005</v>
      </c>
      <c r="E866" s="9" t="s">
        <v>105</v>
      </c>
      <c r="F866" s="9" t="s">
        <v>48</v>
      </c>
      <c r="G866" s="9" t="s">
        <v>84</v>
      </c>
      <c r="H866" s="9" t="s">
        <v>364</v>
      </c>
      <c r="I866" s="9" t="s">
        <v>365</v>
      </c>
      <c r="J866" s="9" t="s">
        <v>108</v>
      </c>
      <c r="K866" s="9" t="s">
        <v>247</v>
      </c>
      <c r="L866" s="9" t="s">
        <v>4006</v>
      </c>
      <c r="M866" s="9" t="s">
        <v>78</v>
      </c>
      <c r="N866" s="9" t="n">
        <v>5</v>
      </c>
      <c r="O866" s="9" t="n">
        <v>3406.87</v>
      </c>
      <c r="P866" s="9" t="n">
        <v>0</v>
      </c>
      <c r="Q866" s="9" t="n">
        <v>17034.35</v>
      </c>
      <c r="R866" s="9" t="n">
        <v>14631.36</v>
      </c>
      <c r="S866" s="9" t="n">
        <v>2402.99</v>
      </c>
      <c r="T866" s="9" t="s">
        <v>56</v>
      </c>
      <c r="U866" s="9" t="s">
        <v>57</v>
      </c>
    </row>
    <row r="867" customFormat="false" ht="15" hidden="false" customHeight="false" outlineLevel="0" collapsed="false">
      <c r="A867" s="9" t="s">
        <v>4007</v>
      </c>
      <c r="B867" s="9" t="s">
        <v>3820</v>
      </c>
      <c r="C867" s="9" t="s">
        <v>1960</v>
      </c>
      <c r="D867" s="9" t="s">
        <v>4008</v>
      </c>
      <c r="E867" s="9" t="s">
        <v>393</v>
      </c>
      <c r="F867" s="9" t="s">
        <v>48</v>
      </c>
      <c r="G867" s="9" t="s">
        <v>95</v>
      </c>
      <c r="H867" s="9" t="s">
        <v>96</v>
      </c>
      <c r="I867" s="9" t="s">
        <v>97</v>
      </c>
      <c r="J867" s="9" t="s">
        <v>52</v>
      </c>
      <c r="K867" s="9" t="s">
        <v>131</v>
      </c>
      <c r="L867" s="9" t="s">
        <v>4009</v>
      </c>
      <c r="M867" s="9" t="s">
        <v>55</v>
      </c>
      <c r="N867" s="9" t="n">
        <v>2</v>
      </c>
      <c r="O867" s="9" t="n">
        <v>3992.04</v>
      </c>
      <c r="P867" s="9" t="n">
        <v>0</v>
      </c>
      <c r="Q867" s="9" t="n">
        <v>7984.08</v>
      </c>
      <c r="R867" s="9" t="n">
        <v>5658.05</v>
      </c>
      <c r="S867" s="9" t="n">
        <v>2326.03</v>
      </c>
      <c r="T867" s="9" t="s">
        <v>56</v>
      </c>
      <c r="U867" s="9" t="s">
        <v>57</v>
      </c>
    </row>
    <row r="868" customFormat="false" ht="15" hidden="false" customHeight="false" outlineLevel="0" collapsed="false">
      <c r="A868" s="9" t="s">
        <v>4010</v>
      </c>
      <c r="B868" s="9" t="s">
        <v>1224</v>
      </c>
      <c r="C868" s="9" t="s">
        <v>4011</v>
      </c>
      <c r="D868" s="9" t="s">
        <v>4012</v>
      </c>
      <c r="E868" s="9" t="s">
        <v>165</v>
      </c>
      <c r="F868" s="9" t="s">
        <v>48</v>
      </c>
      <c r="G868" s="9" t="s">
        <v>64</v>
      </c>
      <c r="H868" s="9" t="s">
        <v>210</v>
      </c>
      <c r="I868" s="9" t="s">
        <v>211</v>
      </c>
      <c r="J868" s="9" t="s">
        <v>67</v>
      </c>
      <c r="K868" s="9" t="s">
        <v>228</v>
      </c>
      <c r="L868" s="9" t="s">
        <v>4013</v>
      </c>
      <c r="M868" s="9" t="s">
        <v>78</v>
      </c>
      <c r="N868" s="9" t="n">
        <v>9</v>
      </c>
      <c r="O868" s="9" t="n">
        <v>3043.37</v>
      </c>
      <c r="P868" s="9" t="n">
        <v>0.2</v>
      </c>
      <c r="Q868" s="9" t="n">
        <v>21912.26</v>
      </c>
      <c r="R868" s="9" t="n">
        <v>16367.78</v>
      </c>
      <c r="S868" s="9" t="n">
        <v>5544.48</v>
      </c>
      <c r="T868" s="9" t="s">
        <v>160</v>
      </c>
      <c r="U868" s="9" t="s">
        <v>100</v>
      </c>
    </row>
    <row r="869" customFormat="false" ht="15" hidden="false" customHeight="false" outlineLevel="0" collapsed="false">
      <c r="A869" s="9" t="s">
        <v>4014</v>
      </c>
      <c r="B869" s="9" t="s">
        <v>4015</v>
      </c>
      <c r="C869" s="9" t="s">
        <v>4016</v>
      </c>
      <c r="D869" s="9" t="s">
        <v>4017</v>
      </c>
      <c r="E869" s="9" t="s">
        <v>171</v>
      </c>
      <c r="F869" s="9" t="s">
        <v>137</v>
      </c>
      <c r="G869" s="9" t="s">
        <v>84</v>
      </c>
      <c r="H869" s="9" t="s">
        <v>122</v>
      </c>
      <c r="I869" s="9" t="s">
        <v>123</v>
      </c>
      <c r="J869" s="9" t="s">
        <v>108</v>
      </c>
      <c r="K869" s="9" t="s">
        <v>109</v>
      </c>
      <c r="L869" s="9" t="s">
        <v>4018</v>
      </c>
      <c r="M869" s="9" t="s">
        <v>70</v>
      </c>
      <c r="N869" s="9" t="n">
        <v>6</v>
      </c>
      <c r="O869" s="9" t="n">
        <v>1043.49</v>
      </c>
      <c r="P869" s="9" t="n">
        <v>0.25</v>
      </c>
      <c r="Q869" s="9" t="n">
        <v>4695.7</v>
      </c>
      <c r="R869" s="9" t="n">
        <v>3871.69</v>
      </c>
      <c r="S869" s="9" t="n">
        <v>824.01</v>
      </c>
      <c r="T869" s="9" t="s">
        <v>224</v>
      </c>
      <c r="U869" s="9" t="s">
        <v>100</v>
      </c>
    </row>
    <row r="870" customFormat="false" ht="15" hidden="false" customHeight="false" outlineLevel="0" collapsed="false">
      <c r="A870" s="9" t="s">
        <v>4019</v>
      </c>
      <c r="B870" s="9" t="s">
        <v>849</v>
      </c>
      <c r="C870" s="9" t="s">
        <v>2185</v>
      </c>
      <c r="D870" s="9" t="s">
        <v>4020</v>
      </c>
      <c r="E870" s="9" t="s">
        <v>105</v>
      </c>
      <c r="F870" s="9" t="s">
        <v>137</v>
      </c>
      <c r="G870" s="9" t="s">
        <v>84</v>
      </c>
      <c r="H870" s="9" t="s">
        <v>254</v>
      </c>
      <c r="I870" s="9" t="s">
        <v>255</v>
      </c>
      <c r="J870" s="9" t="s">
        <v>52</v>
      </c>
      <c r="K870" s="9" t="s">
        <v>180</v>
      </c>
      <c r="L870" s="9" t="s">
        <v>4021</v>
      </c>
      <c r="M870" s="9" t="s">
        <v>70</v>
      </c>
      <c r="N870" s="9" t="n">
        <v>9</v>
      </c>
      <c r="O870" s="9" t="n">
        <v>224.94</v>
      </c>
      <c r="P870" s="9" t="n">
        <v>0.05</v>
      </c>
      <c r="Q870" s="9" t="n">
        <v>1923.24</v>
      </c>
      <c r="R870" s="9" t="n">
        <v>1093.66</v>
      </c>
      <c r="S870" s="9" t="n">
        <v>829.58</v>
      </c>
      <c r="T870" s="9" t="s">
        <v>56</v>
      </c>
      <c r="U870" s="9" t="s">
        <v>57</v>
      </c>
    </row>
    <row r="871" customFormat="false" ht="15" hidden="false" customHeight="false" outlineLevel="0" collapsed="false">
      <c r="A871" s="9" t="s">
        <v>4022</v>
      </c>
      <c r="B871" s="9" t="s">
        <v>4023</v>
      </c>
      <c r="C871" s="9" t="s">
        <v>822</v>
      </c>
      <c r="D871" s="9" t="s">
        <v>4024</v>
      </c>
      <c r="E871" s="9" t="s">
        <v>204</v>
      </c>
      <c r="F871" s="9" t="s">
        <v>137</v>
      </c>
      <c r="G871" s="9"/>
      <c r="H871" s="9" t="s">
        <v>535</v>
      </c>
      <c r="I871" s="9" t="s">
        <v>536</v>
      </c>
      <c r="J871" s="9" t="s">
        <v>67</v>
      </c>
      <c r="K871" s="9" t="s">
        <v>98</v>
      </c>
      <c r="L871" s="9" t="s">
        <v>1792</v>
      </c>
      <c r="M871" s="9" t="s">
        <v>70</v>
      </c>
      <c r="N871" s="9" t="n">
        <v>6</v>
      </c>
      <c r="O871" s="9" t="n">
        <v>796.65</v>
      </c>
      <c r="P871" s="9" t="n">
        <v>0.1</v>
      </c>
      <c r="Q871" s="9" t="n">
        <v>4301.91</v>
      </c>
      <c r="R871" s="9" t="n">
        <v>2374.4</v>
      </c>
      <c r="S871" s="9" t="n">
        <v>1927.51</v>
      </c>
      <c r="T871" s="9" t="s">
        <v>56</v>
      </c>
      <c r="U871" s="9" t="s">
        <v>57</v>
      </c>
    </row>
    <row r="872" customFormat="false" ht="15" hidden="false" customHeight="false" outlineLevel="0" collapsed="false">
      <c r="A872" s="9" t="s">
        <v>4025</v>
      </c>
      <c r="B872" s="9" t="s">
        <v>4026</v>
      </c>
      <c r="C872" s="9" t="s">
        <v>4027</v>
      </c>
      <c r="D872" s="9" t="s">
        <v>4028</v>
      </c>
      <c r="E872" s="9" t="s">
        <v>105</v>
      </c>
      <c r="F872" s="9" t="s">
        <v>130</v>
      </c>
      <c r="G872" s="9" t="s">
        <v>95</v>
      </c>
      <c r="H872" s="9" t="s">
        <v>274</v>
      </c>
      <c r="I872" s="9" t="s">
        <v>275</v>
      </c>
      <c r="J872" s="9" t="s">
        <v>67</v>
      </c>
      <c r="K872" s="9" t="s">
        <v>68</v>
      </c>
      <c r="L872" s="9" t="s">
        <v>4029</v>
      </c>
      <c r="M872" s="9" t="s">
        <v>89</v>
      </c>
      <c r="N872" s="9" t="n">
        <v>9</v>
      </c>
      <c r="O872" s="9" t="n">
        <v>2932.92</v>
      </c>
      <c r="P872" s="9" t="n">
        <v>0.15</v>
      </c>
      <c r="Q872" s="9" t="n">
        <v>22436.84</v>
      </c>
      <c r="R872" s="9" t="n">
        <v>17454.67</v>
      </c>
      <c r="S872" s="9" t="n">
        <v>4982.17</v>
      </c>
      <c r="T872" s="9" t="s">
        <v>56</v>
      </c>
      <c r="U872" s="9" t="s">
        <v>100</v>
      </c>
    </row>
    <row r="873" customFormat="false" ht="15" hidden="false" customHeight="false" outlineLevel="0" collapsed="false">
      <c r="A873" s="9" t="s">
        <v>4030</v>
      </c>
      <c r="B873" s="9" t="s">
        <v>4031</v>
      </c>
      <c r="C873" s="9" t="s">
        <v>2878</v>
      </c>
      <c r="D873" s="9" t="s">
        <v>3849</v>
      </c>
      <c r="E873" s="9" t="s">
        <v>115</v>
      </c>
      <c r="F873" s="9" t="s">
        <v>63</v>
      </c>
      <c r="G873" s="9" t="s">
        <v>84</v>
      </c>
      <c r="H873" s="9" t="s">
        <v>85</v>
      </c>
      <c r="I873" s="9" t="s">
        <v>86</v>
      </c>
      <c r="J873" s="9" t="s">
        <v>108</v>
      </c>
      <c r="K873" s="9" t="s">
        <v>109</v>
      </c>
      <c r="L873" s="9" t="s">
        <v>4032</v>
      </c>
      <c r="M873" s="9" t="s">
        <v>78</v>
      </c>
      <c r="N873" s="9" t="n">
        <v>9</v>
      </c>
      <c r="O873" s="9" t="n">
        <v>2186.23</v>
      </c>
      <c r="P873" s="9" t="n">
        <v>0</v>
      </c>
      <c r="Q873" s="9" t="n">
        <v>19676.07</v>
      </c>
      <c r="R873" s="9" t="n">
        <v>12458.62</v>
      </c>
      <c r="S873" s="9" t="n">
        <v>7217.45</v>
      </c>
      <c r="T873" s="9" t="s">
        <v>146</v>
      </c>
      <c r="U873" s="9" t="s">
        <v>100</v>
      </c>
    </row>
    <row r="874" customFormat="false" ht="15" hidden="false" customHeight="false" outlineLevel="0" collapsed="false">
      <c r="A874" s="9" t="s">
        <v>4033</v>
      </c>
      <c r="B874" s="9" t="s">
        <v>3559</v>
      </c>
      <c r="C874" s="9" t="s">
        <v>4034</v>
      </c>
      <c r="D874" s="9" t="s">
        <v>3010</v>
      </c>
      <c r="E874" s="9" t="s">
        <v>47</v>
      </c>
      <c r="F874" s="9" t="s">
        <v>130</v>
      </c>
      <c r="G874" s="9" t="s">
        <v>64</v>
      </c>
      <c r="H874" s="9" t="s">
        <v>143</v>
      </c>
      <c r="I874" s="9" t="s">
        <v>144</v>
      </c>
      <c r="J874" s="9" t="s">
        <v>67</v>
      </c>
      <c r="K874" s="9" t="s">
        <v>87</v>
      </c>
      <c r="L874" s="9" t="s">
        <v>4035</v>
      </c>
      <c r="M874" s="9" t="s">
        <v>89</v>
      </c>
      <c r="N874" s="9" t="n">
        <v>5</v>
      </c>
      <c r="O874" s="9" t="n">
        <v>2212.02</v>
      </c>
      <c r="P874" s="9" t="n">
        <v>0.2</v>
      </c>
      <c r="Q874" s="9" t="n">
        <v>8848.08</v>
      </c>
      <c r="R874" s="9" t="n">
        <v>5691.56</v>
      </c>
      <c r="S874" s="9" t="n">
        <v>3156.52</v>
      </c>
      <c r="T874" s="9" t="s">
        <v>56</v>
      </c>
      <c r="U874" s="9" t="s">
        <v>57</v>
      </c>
    </row>
    <row r="875" customFormat="false" ht="15" hidden="false" customHeight="false" outlineLevel="0" collapsed="false">
      <c r="A875" s="9" t="s">
        <v>4036</v>
      </c>
      <c r="B875" s="9" t="s">
        <v>4037</v>
      </c>
      <c r="C875" s="9" t="s">
        <v>4038</v>
      </c>
      <c r="D875" s="9" t="s">
        <v>4039</v>
      </c>
      <c r="E875" s="9" t="s">
        <v>129</v>
      </c>
      <c r="F875" s="9" t="s">
        <v>137</v>
      </c>
      <c r="G875" s="9" t="s">
        <v>95</v>
      </c>
      <c r="H875" s="9" t="s">
        <v>260</v>
      </c>
      <c r="I875" s="9" t="s">
        <v>261</v>
      </c>
      <c r="J875" s="9" t="s">
        <v>52</v>
      </c>
      <c r="K875" s="9" t="s">
        <v>180</v>
      </c>
      <c r="L875" s="9" t="s">
        <v>4040</v>
      </c>
      <c r="M875" s="9" t="s">
        <v>55</v>
      </c>
      <c r="N875" s="9" t="n">
        <v>8</v>
      </c>
      <c r="O875" s="9" t="n">
        <v>623.31</v>
      </c>
      <c r="P875" s="9" t="n">
        <v>0.1</v>
      </c>
      <c r="Q875" s="9" t="n">
        <v>4487.83</v>
      </c>
      <c r="R875" s="9" t="n">
        <v>2633.78</v>
      </c>
      <c r="S875" s="9" t="n">
        <v>1854.05</v>
      </c>
      <c r="T875" s="9" t="s">
        <v>56</v>
      </c>
      <c r="U875" s="9" t="s">
        <v>57</v>
      </c>
    </row>
    <row r="876" customFormat="false" ht="15" hidden="false" customHeight="false" outlineLevel="0" collapsed="false">
      <c r="A876" s="9" t="s">
        <v>4041</v>
      </c>
      <c r="B876" s="9" t="s">
        <v>2956</v>
      </c>
      <c r="C876" s="9" t="s">
        <v>1551</v>
      </c>
      <c r="D876" s="9" t="s">
        <v>4042</v>
      </c>
      <c r="E876" s="9" t="s">
        <v>105</v>
      </c>
      <c r="F876" s="9" t="s">
        <v>63</v>
      </c>
      <c r="G876" s="9" t="s">
        <v>95</v>
      </c>
      <c r="H876" s="9" t="s">
        <v>96</v>
      </c>
      <c r="I876" s="9" t="s">
        <v>97</v>
      </c>
      <c r="J876" s="9" t="s">
        <v>52</v>
      </c>
      <c r="K876" s="9" t="s">
        <v>53</v>
      </c>
      <c r="L876" s="9" t="s">
        <v>4043</v>
      </c>
      <c r="M876" s="9" t="s">
        <v>89</v>
      </c>
      <c r="N876" s="9" t="n">
        <v>8</v>
      </c>
      <c r="O876" s="9" t="n">
        <v>3924.88</v>
      </c>
      <c r="P876" s="9" t="n">
        <v>0.05</v>
      </c>
      <c r="Q876" s="9" t="n">
        <v>29829.09</v>
      </c>
      <c r="R876" s="9" t="n">
        <v>20710.18</v>
      </c>
      <c r="S876" s="9" t="n">
        <v>9118.91</v>
      </c>
      <c r="T876" s="9" t="s">
        <v>56</v>
      </c>
      <c r="U876" s="9" t="s">
        <v>57</v>
      </c>
    </row>
    <row r="877" customFormat="false" ht="15" hidden="false" customHeight="false" outlineLevel="0" collapsed="false">
      <c r="A877" s="9" t="s">
        <v>4044</v>
      </c>
      <c r="B877" s="9" t="s">
        <v>4045</v>
      </c>
      <c r="C877" s="9" t="s">
        <v>4046</v>
      </c>
      <c r="D877" s="9" t="s">
        <v>4047</v>
      </c>
      <c r="E877" s="9" t="s">
        <v>62</v>
      </c>
      <c r="F877" s="9" t="s">
        <v>130</v>
      </c>
      <c r="G877" s="9" t="s">
        <v>95</v>
      </c>
      <c r="H877" s="9" t="s">
        <v>96</v>
      </c>
      <c r="I877" s="9" t="s">
        <v>97</v>
      </c>
      <c r="J877" s="9" t="s">
        <v>108</v>
      </c>
      <c r="K877" s="9" t="s">
        <v>116</v>
      </c>
      <c r="L877" s="9" t="s">
        <v>4048</v>
      </c>
      <c r="M877" s="9" t="s">
        <v>78</v>
      </c>
      <c r="N877" s="9" t="n">
        <v>7</v>
      </c>
      <c r="O877" s="9" t="n">
        <v>3852.62</v>
      </c>
      <c r="P877" s="9" t="n">
        <v>0.2</v>
      </c>
      <c r="Q877" s="9" t="n">
        <v>21574.67</v>
      </c>
      <c r="R877" s="9" t="n">
        <v>14672.83</v>
      </c>
      <c r="S877" s="9" t="n">
        <v>6901.84</v>
      </c>
      <c r="T877" s="9" t="s">
        <v>56</v>
      </c>
      <c r="U877" s="9" t="s">
        <v>57</v>
      </c>
    </row>
    <row r="878" customFormat="false" ht="15" hidden="false" customHeight="false" outlineLevel="0" collapsed="false">
      <c r="A878" s="9" t="s">
        <v>4049</v>
      </c>
      <c r="B878" s="9" t="s">
        <v>4050</v>
      </c>
      <c r="C878" s="9" t="s">
        <v>4051</v>
      </c>
      <c r="D878" s="9" t="s">
        <v>4052</v>
      </c>
      <c r="E878" s="9" t="s">
        <v>165</v>
      </c>
      <c r="F878" s="9" t="s">
        <v>48</v>
      </c>
      <c r="G878" s="9" t="s">
        <v>95</v>
      </c>
      <c r="H878" s="9" t="s">
        <v>50</v>
      </c>
      <c r="I878" s="9" t="s">
        <v>158</v>
      </c>
      <c r="J878" s="9" t="s">
        <v>67</v>
      </c>
      <c r="K878" s="9" t="s">
        <v>98</v>
      </c>
      <c r="L878" s="9" t="s">
        <v>1329</v>
      </c>
      <c r="M878" s="9" t="s">
        <v>78</v>
      </c>
      <c r="N878" s="9" t="n">
        <v>6</v>
      </c>
      <c r="O878" s="9" t="n">
        <v>3790.22</v>
      </c>
      <c r="P878" s="9" t="n">
        <v>0</v>
      </c>
      <c r="Q878" s="9" t="n">
        <v>22741.32</v>
      </c>
      <c r="R878" s="9" t="n">
        <v>16388.57</v>
      </c>
      <c r="S878" s="9" t="n">
        <v>6352.75</v>
      </c>
      <c r="T878" s="9" t="s">
        <v>56</v>
      </c>
      <c r="U878" s="9" t="s">
        <v>57</v>
      </c>
    </row>
    <row r="879" customFormat="false" ht="15" hidden="false" customHeight="false" outlineLevel="0" collapsed="false">
      <c r="A879" s="9" t="s">
        <v>4053</v>
      </c>
      <c r="B879" s="9" t="s">
        <v>4054</v>
      </c>
      <c r="C879" s="9" t="s">
        <v>2814</v>
      </c>
      <c r="D879" s="9" t="s">
        <v>4055</v>
      </c>
      <c r="E879" s="9" t="s">
        <v>186</v>
      </c>
      <c r="F879" s="9" t="s">
        <v>48</v>
      </c>
      <c r="G879" s="9" t="s">
        <v>95</v>
      </c>
      <c r="H879" s="9" t="s">
        <v>50</v>
      </c>
      <c r="I879" s="9" t="s">
        <v>158</v>
      </c>
      <c r="J879" s="9" t="s">
        <v>52</v>
      </c>
      <c r="K879" s="9" t="s">
        <v>180</v>
      </c>
      <c r="L879" s="9" t="s">
        <v>4056</v>
      </c>
      <c r="M879" s="9" t="s">
        <v>55</v>
      </c>
      <c r="N879" s="9" t="n">
        <v>6</v>
      </c>
      <c r="O879" s="9" t="n">
        <v>674.36</v>
      </c>
      <c r="P879" s="9" t="n">
        <v>0.1</v>
      </c>
      <c r="Q879" s="9" t="n">
        <v>3641.54</v>
      </c>
      <c r="R879" s="9" t="n">
        <v>2690.37</v>
      </c>
      <c r="S879" s="9" t="n">
        <v>951.17</v>
      </c>
      <c r="T879" s="9" t="s">
        <v>56</v>
      </c>
      <c r="U879" s="9" t="s">
        <v>57</v>
      </c>
    </row>
    <row r="880" customFormat="false" ht="15" hidden="false" customHeight="false" outlineLevel="0" collapsed="false">
      <c r="A880" s="9" t="s">
        <v>4057</v>
      </c>
      <c r="B880" s="9" t="s">
        <v>2079</v>
      </c>
      <c r="C880" s="9" t="s">
        <v>2079</v>
      </c>
      <c r="D880" s="9" t="s">
        <v>4058</v>
      </c>
      <c r="E880" s="9" t="s">
        <v>47</v>
      </c>
      <c r="F880" s="9" t="s">
        <v>130</v>
      </c>
      <c r="G880" s="9" t="s">
        <v>64</v>
      </c>
      <c r="H880" s="9" t="s">
        <v>143</v>
      </c>
      <c r="I880" s="9" t="s">
        <v>144</v>
      </c>
      <c r="J880" s="9" t="s">
        <v>52</v>
      </c>
      <c r="K880" s="9" t="s">
        <v>53</v>
      </c>
      <c r="L880" s="9" t="s">
        <v>4059</v>
      </c>
      <c r="M880" s="9" t="s">
        <v>78</v>
      </c>
      <c r="N880" s="9" t="n">
        <v>8</v>
      </c>
      <c r="O880" s="9" t="n">
        <v>1557.21</v>
      </c>
      <c r="P880" s="9" t="n">
        <v>0.05</v>
      </c>
      <c r="Q880" s="9" t="n">
        <v>11834.8</v>
      </c>
      <c r="R880" s="9" t="n">
        <v>9322.36</v>
      </c>
      <c r="S880" s="9" t="n">
        <v>2512.44</v>
      </c>
      <c r="T880" s="9" t="s">
        <v>56</v>
      </c>
      <c r="U880" s="9" t="s">
        <v>57</v>
      </c>
    </row>
    <row r="881" customFormat="false" ht="15" hidden="false" customHeight="false" outlineLevel="0" collapsed="false">
      <c r="A881" s="9" t="s">
        <v>4060</v>
      </c>
      <c r="B881" s="9" t="s">
        <v>4061</v>
      </c>
      <c r="C881" s="9" t="s">
        <v>462</v>
      </c>
      <c r="D881" s="9" t="s">
        <v>4062</v>
      </c>
      <c r="E881" s="9" t="s">
        <v>94</v>
      </c>
      <c r="F881" s="9" t="s">
        <v>137</v>
      </c>
      <c r="G881" s="9" t="s">
        <v>177</v>
      </c>
      <c r="H881" s="9" t="s">
        <v>198</v>
      </c>
      <c r="I881" s="9" t="s">
        <v>199</v>
      </c>
      <c r="J881" s="9" t="s">
        <v>52</v>
      </c>
      <c r="K881" s="9" t="s">
        <v>76</v>
      </c>
      <c r="L881" s="9" t="s">
        <v>4063</v>
      </c>
      <c r="M881" s="9" t="s">
        <v>89</v>
      </c>
      <c r="N881" s="9" t="n">
        <v>6</v>
      </c>
      <c r="O881" s="9" t="n">
        <v>1182.03</v>
      </c>
      <c r="P881" s="9" t="n">
        <v>0.15</v>
      </c>
      <c r="Q881" s="9" t="n">
        <v>6028.35</v>
      </c>
      <c r="R881" s="9" t="n">
        <v>4433.63</v>
      </c>
      <c r="S881" s="9" t="n">
        <v>1594.72</v>
      </c>
      <c r="T881" s="9" t="s">
        <v>56</v>
      </c>
      <c r="U881" s="9" t="s">
        <v>57</v>
      </c>
    </row>
    <row r="882" customFormat="false" ht="15" hidden="false" customHeight="false" outlineLevel="0" collapsed="false">
      <c r="A882" s="9" t="s">
        <v>4064</v>
      </c>
      <c r="B882" s="9" t="s">
        <v>4065</v>
      </c>
      <c r="C882" s="9" t="s">
        <v>1159</v>
      </c>
      <c r="D882" s="9" t="s">
        <v>4066</v>
      </c>
      <c r="E882" s="9" t="s">
        <v>186</v>
      </c>
      <c r="F882" s="9" t="s">
        <v>63</v>
      </c>
      <c r="G882" s="9"/>
      <c r="H882" s="9" t="s">
        <v>178</v>
      </c>
      <c r="I882" s="9" t="s">
        <v>179</v>
      </c>
      <c r="J882" s="9" t="s">
        <v>67</v>
      </c>
      <c r="K882" s="9" t="s">
        <v>98</v>
      </c>
      <c r="L882" s="9" t="s">
        <v>4067</v>
      </c>
      <c r="M882" s="9" t="s">
        <v>78</v>
      </c>
      <c r="N882" s="9" t="n">
        <v>5</v>
      </c>
      <c r="O882" s="9" t="n">
        <v>3234.77</v>
      </c>
      <c r="P882" s="9" t="n">
        <v>0</v>
      </c>
      <c r="Q882" s="9" t="n">
        <v>16173.85</v>
      </c>
      <c r="R882" s="9" t="n">
        <v>13636.34</v>
      </c>
      <c r="S882" s="9" t="n">
        <v>2537.51</v>
      </c>
      <c r="T882" s="9" t="s">
        <v>56</v>
      </c>
      <c r="U882" s="9" t="s">
        <v>57</v>
      </c>
    </row>
    <row r="883" customFormat="false" ht="15" hidden="false" customHeight="false" outlineLevel="0" collapsed="false">
      <c r="A883" s="9" t="s">
        <v>4068</v>
      </c>
      <c r="B883" s="9" t="s">
        <v>2584</v>
      </c>
      <c r="C883" s="9" t="s">
        <v>4069</v>
      </c>
      <c r="D883" s="9" t="s">
        <v>4070</v>
      </c>
      <c r="E883" s="9" t="s">
        <v>94</v>
      </c>
      <c r="F883" s="9" t="s">
        <v>63</v>
      </c>
      <c r="G883" s="9" t="s">
        <v>84</v>
      </c>
      <c r="H883" s="9" t="s">
        <v>122</v>
      </c>
      <c r="I883" s="9" t="s">
        <v>123</v>
      </c>
      <c r="J883" s="9" t="s">
        <v>108</v>
      </c>
      <c r="K883" s="9" t="s">
        <v>116</v>
      </c>
      <c r="L883" s="9" t="s">
        <v>4071</v>
      </c>
      <c r="M883" s="9" t="s">
        <v>55</v>
      </c>
      <c r="N883" s="9" t="n">
        <v>9</v>
      </c>
      <c r="O883" s="9" t="n">
        <v>3726.75</v>
      </c>
      <c r="P883" s="9" t="n">
        <v>0.25</v>
      </c>
      <c r="Q883" s="9" t="n">
        <v>25155.56</v>
      </c>
      <c r="R883" s="9" t="n">
        <v>17592.69</v>
      </c>
      <c r="S883" s="9" t="n">
        <v>7562.87</v>
      </c>
      <c r="T883" s="9" t="s">
        <v>56</v>
      </c>
      <c r="U883" s="9" t="s">
        <v>57</v>
      </c>
    </row>
    <row r="884" customFormat="false" ht="15" hidden="false" customHeight="false" outlineLevel="0" collapsed="false">
      <c r="A884" s="9" t="s">
        <v>4072</v>
      </c>
      <c r="B884" s="9" t="s">
        <v>4073</v>
      </c>
      <c r="C884" s="9" t="s">
        <v>1373</v>
      </c>
      <c r="D884" s="9" t="s">
        <v>4074</v>
      </c>
      <c r="E884" s="9" t="s">
        <v>192</v>
      </c>
      <c r="F884" s="9" t="s">
        <v>130</v>
      </c>
      <c r="G884" s="9" t="s">
        <v>64</v>
      </c>
      <c r="H884" s="9" t="s">
        <v>210</v>
      </c>
      <c r="I884" s="9" t="s">
        <v>211</v>
      </c>
      <c r="J884" s="9" t="s">
        <v>108</v>
      </c>
      <c r="K884" s="9" t="s">
        <v>109</v>
      </c>
      <c r="L884" s="9" t="s">
        <v>4075</v>
      </c>
      <c r="M884" s="9" t="s">
        <v>89</v>
      </c>
      <c r="N884" s="9" t="n">
        <v>4</v>
      </c>
      <c r="O884" s="9" t="n">
        <v>1912.45</v>
      </c>
      <c r="P884" s="9" t="n">
        <v>0</v>
      </c>
      <c r="Q884" s="9" t="n">
        <v>7649.8</v>
      </c>
      <c r="R884" s="9" t="n">
        <v>4894.53</v>
      </c>
      <c r="S884" s="9" t="n">
        <v>2755.27</v>
      </c>
      <c r="T884" s="9" t="s">
        <v>160</v>
      </c>
      <c r="U884" s="9" t="s">
        <v>147</v>
      </c>
    </row>
    <row r="885" customFormat="false" ht="15" hidden="false" customHeight="false" outlineLevel="0" collapsed="false">
      <c r="A885" s="9" t="s">
        <v>4076</v>
      </c>
      <c r="B885" s="9" t="s">
        <v>4077</v>
      </c>
      <c r="C885" s="9" t="s">
        <v>4078</v>
      </c>
      <c r="D885" s="9" t="s">
        <v>4079</v>
      </c>
      <c r="E885" s="9" t="s">
        <v>186</v>
      </c>
      <c r="F885" s="9" t="s">
        <v>63</v>
      </c>
      <c r="G885" s="9" t="s">
        <v>95</v>
      </c>
      <c r="H885" s="9" t="s">
        <v>274</v>
      </c>
      <c r="I885" s="9" t="s">
        <v>275</v>
      </c>
      <c r="J885" s="9" t="s">
        <v>52</v>
      </c>
      <c r="K885" s="9" t="s">
        <v>180</v>
      </c>
      <c r="L885" s="9" t="s">
        <v>4080</v>
      </c>
      <c r="M885" s="9" t="s">
        <v>70</v>
      </c>
      <c r="N885" s="9" t="n">
        <v>1</v>
      </c>
      <c r="O885" s="9" t="n">
        <v>1620.87</v>
      </c>
      <c r="P885" s="9" t="n">
        <v>0</v>
      </c>
      <c r="Q885" s="9" t="n">
        <v>1620.87</v>
      </c>
      <c r="R885" s="9" t="n">
        <v>1103.61</v>
      </c>
      <c r="S885" s="9" t="n">
        <v>517.26</v>
      </c>
      <c r="T885" s="9" t="s">
        <v>56</v>
      </c>
      <c r="U885" s="9" t="s">
        <v>57</v>
      </c>
    </row>
    <row r="886" customFormat="false" ht="15" hidden="false" customHeight="false" outlineLevel="0" collapsed="false">
      <c r="A886" s="9" t="s">
        <v>4081</v>
      </c>
      <c r="B886" s="9" t="s">
        <v>4082</v>
      </c>
      <c r="C886" s="9" t="s">
        <v>4083</v>
      </c>
      <c r="D886" s="9" t="s">
        <v>4084</v>
      </c>
      <c r="E886" s="9" t="s">
        <v>115</v>
      </c>
      <c r="F886" s="9" t="s">
        <v>137</v>
      </c>
      <c r="G886" s="9" t="s">
        <v>84</v>
      </c>
      <c r="H886" s="9" t="s">
        <v>254</v>
      </c>
      <c r="I886" s="9" t="s">
        <v>255</v>
      </c>
      <c r="J886" s="9" t="s">
        <v>52</v>
      </c>
      <c r="K886" s="9" t="s">
        <v>180</v>
      </c>
      <c r="L886" s="9" t="s">
        <v>4085</v>
      </c>
      <c r="M886" s="9" t="s">
        <v>70</v>
      </c>
      <c r="N886" s="9" t="n">
        <v>2</v>
      </c>
      <c r="O886" s="9" t="n">
        <v>2098.54</v>
      </c>
      <c r="P886" s="9" t="n">
        <v>0.15</v>
      </c>
      <c r="Q886" s="9" t="n">
        <v>3567.52</v>
      </c>
      <c r="R886" s="9" t="n">
        <v>2411.8</v>
      </c>
      <c r="S886" s="9" t="n">
        <v>1155.72</v>
      </c>
      <c r="T886" s="9" t="s">
        <v>56</v>
      </c>
      <c r="U886" s="9" t="s">
        <v>57</v>
      </c>
    </row>
    <row r="887" customFormat="false" ht="15" hidden="false" customHeight="false" outlineLevel="0" collapsed="false">
      <c r="A887" s="9" t="s">
        <v>4086</v>
      </c>
      <c r="B887" s="9" t="s">
        <v>4087</v>
      </c>
      <c r="C887" s="9" t="s">
        <v>4087</v>
      </c>
      <c r="D887" s="9" t="s">
        <v>4088</v>
      </c>
      <c r="E887" s="9" t="s">
        <v>234</v>
      </c>
      <c r="F887" s="9" t="s">
        <v>48</v>
      </c>
      <c r="G887" s="9" t="s">
        <v>177</v>
      </c>
      <c r="H887" s="9" t="s">
        <v>50</v>
      </c>
      <c r="I887" s="9" t="s">
        <v>51</v>
      </c>
      <c r="J887" s="9" t="s">
        <v>67</v>
      </c>
      <c r="K887" s="9" t="s">
        <v>68</v>
      </c>
      <c r="L887" s="9" t="s">
        <v>4089</v>
      </c>
      <c r="M887" s="9" t="s">
        <v>89</v>
      </c>
      <c r="N887" s="9" t="n">
        <v>1</v>
      </c>
      <c r="O887" s="9" t="n">
        <v>2167.08</v>
      </c>
      <c r="P887" s="9" t="n">
        <v>0.25</v>
      </c>
      <c r="Q887" s="9" t="n">
        <v>1625.31</v>
      </c>
      <c r="R887" s="9" t="n">
        <v>1157.89</v>
      </c>
      <c r="S887" s="9" t="n">
        <v>467.42</v>
      </c>
      <c r="T887" s="9" t="s">
        <v>56</v>
      </c>
      <c r="U887" s="9" t="s">
        <v>57</v>
      </c>
    </row>
    <row r="888" customFormat="false" ht="15" hidden="false" customHeight="false" outlineLevel="0" collapsed="false">
      <c r="A888" s="9" t="s">
        <v>4090</v>
      </c>
      <c r="B888" s="9" t="s">
        <v>4091</v>
      </c>
      <c r="C888" s="9" t="s">
        <v>4092</v>
      </c>
      <c r="D888" s="9" t="s">
        <v>4093</v>
      </c>
      <c r="E888" s="9" t="s">
        <v>83</v>
      </c>
      <c r="F888" s="9" t="s">
        <v>137</v>
      </c>
      <c r="G888" s="9" t="s">
        <v>84</v>
      </c>
      <c r="H888" s="9" t="s">
        <v>364</v>
      </c>
      <c r="I888" s="9" t="s">
        <v>365</v>
      </c>
      <c r="J888" s="9" t="s">
        <v>108</v>
      </c>
      <c r="K888" s="9" t="s">
        <v>109</v>
      </c>
      <c r="L888" s="9" t="s">
        <v>4094</v>
      </c>
      <c r="M888" s="9" t="s">
        <v>78</v>
      </c>
      <c r="N888" s="9" t="n">
        <v>7</v>
      </c>
      <c r="O888" s="9" t="n">
        <v>3989.9</v>
      </c>
      <c r="P888" s="9" t="n">
        <v>0.15</v>
      </c>
      <c r="Q888" s="9" t="n">
        <v>23739.9</v>
      </c>
      <c r="R888" s="9" t="n">
        <v>17716.52</v>
      </c>
      <c r="S888" s="9" t="n">
        <v>6023.38</v>
      </c>
      <c r="T888" s="9" t="s">
        <v>56</v>
      </c>
      <c r="U888" s="9" t="s">
        <v>100</v>
      </c>
    </row>
    <row r="889" customFormat="false" ht="15" hidden="false" customHeight="false" outlineLevel="0" collapsed="false">
      <c r="A889" s="9" t="s">
        <v>4095</v>
      </c>
      <c r="B889" s="9" t="s">
        <v>3973</v>
      </c>
      <c r="C889" s="9" t="s">
        <v>716</v>
      </c>
      <c r="D889" s="9" t="s">
        <v>4096</v>
      </c>
      <c r="E889" s="9" t="s">
        <v>186</v>
      </c>
      <c r="F889" s="9" t="s">
        <v>63</v>
      </c>
      <c r="G889" s="9" t="s">
        <v>84</v>
      </c>
      <c r="H889" s="9" t="s">
        <v>122</v>
      </c>
      <c r="I889" s="9" t="s">
        <v>123</v>
      </c>
      <c r="J889" s="9" t="s">
        <v>52</v>
      </c>
      <c r="K889" s="9" t="s">
        <v>76</v>
      </c>
      <c r="L889" s="9" t="s">
        <v>4097</v>
      </c>
      <c r="M889" s="9" t="s">
        <v>89</v>
      </c>
      <c r="N889" s="9" t="n">
        <v>4</v>
      </c>
      <c r="O889" s="9" t="n">
        <v>4176.13</v>
      </c>
      <c r="P889" s="9" t="n">
        <v>0</v>
      </c>
      <c r="Q889" s="9" t="n">
        <v>16704.52</v>
      </c>
      <c r="R889" s="9" t="n">
        <v>10158.28</v>
      </c>
      <c r="S889" s="9" t="n">
        <v>6546.24</v>
      </c>
      <c r="T889" s="9" t="s">
        <v>56</v>
      </c>
      <c r="U889" s="9" t="s">
        <v>57</v>
      </c>
    </row>
    <row r="890" customFormat="false" ht="15" hidden="false" customHeight="false" outlineLevel="0" collapsed="false">
      <c r="A890" s="9" t="s">
        <v>4098</v>
      </c>
      <c r="B890" s="9" t="s">
        <v>4099</v>
      </c>
      <c r="C890" s="9" t="s">
        <v>3632</v>
      </c>
      <c r="D890" s="9" t="s">
        <v>4100</v>
      </c>
      <c r="E890" s="9" t="s">
        <v>171</v>
      </c>
      <c r="F890" s="9" t="s">
        <v>63</v>
      </c>
      <c r="G890" s="9" t="s">
        <v>95</v>
      </c>
      <c r="H890" s="9" t="s">
        <v>96</v>
      </c>
      <c r="I890" s="9" t="s">
        <v>97</v>
      </c>
      <c r="J890" s="9" t="s">
        <v>52</v>
      </c>
      <c r="K890" s="9" t="s">
        <v>76</v>
      </c>
      <c r="L890" s="9" t="s">
        <v>4101</v>
      </c>
      <c r="M890" s="9" t="s">
        <v>89</v>
      </c>
      <c r="N890" s="9" t="n">
        <v>4</v>
      </c>
      <c r="O890" s="9" t="n">
        <v>3523.64</v>
      </c>
      <c r="P890" s="9" t="n">
        <v>0.1</v>
      </c>
      <c r="Q890" s="9" t="n">
        <v>12685.1</v>
      </c>
      <c r="R890" s="9" t="n">
        <v>10779.56</v>
      </c>
      <c r="S890" s="9" t="n">
        <v>1905.54</v>
      </c>
      <c r="T890" s="9" t="s">
        <v>146</v>
      </c>
      <c r="U890" s="9" t="s">
        <v>100</v>
      </c>
    </row>
    <row r="891" customFormat="false" ht="15" hidden="false" customHeight="false" outlineLevel="0" collapsed="false">
      <c r="A891" s="9" t="s">
        <v>4102</v>
      </c>
      <c r="B891" s="9" t="s">
        <v>4103</v>
      </c>
      <c r="C891" s="9" t="s">
        <v>4104</v>
      </c>
      <c r="D891" s="9" t="s">
        <v>1387</v>
      </c>
      <c r="E891" s="9" t="s">
        <v>129</v>
      </c>
      <c r="F891" s="9" t="s">
        <v>137</v>
      </c>
      <c r="G891" s="9" t="s">
        <v>95</v>
      </c>
      <c r="H891" s="9" t="s">
        <v>106</v>
      </c>
      <c r="I891" s="9" t="s">
        <v>107</v>
      </c>
      <c r="J891" s="9" t="s">
        <v>52</v>
      </c>
      <c r="K891" s="9" t="s">
        <v>180</v>
      </c>
      <c r="L891" s="9" t="s">
        <v>4105</v>
      </c>
      <c r="M891" s="9" t="s">
        <v>78</v>
      </c>
      <c r="N891" s="9" t="n">
        <v>2</v>
      </c>
      <c r="O891" s="9" t="n">
        <v>3922.08</v>
      </c>
      <c r="P891" s="9" t="n">
        <v>0.25</v>
      </c>
      <c r="Q891" s="9" t="n">
        <v>5883.12</v>
      </c>
      <c r="R891" s="9" t="n">
        <v>4647.91</v>
      </c>
      <c r="S891" s="9" t="n">
        <v>1235.21</v>
      </c>
      <c r="T891" s="9" t="s">
        <v>56</v>
      </c>
      <c r="U891" s="9" t="s">
        <v>147</v>
      </c>
    </row>
    <row r="892" customFormat="false" ht="15" hidden="false" customHeight="false" outlineLevel="0" collapsed="false">
      <c r="A892" s="9" t="s">
        <v>4106</v>
      </c>
      <c r="B892" s="9" t="s">
        <v>184</v>
      </c>
      <c r="C892" s="9" t="s">
        <v>1176</v>
      </c>
      <c r="D892" s="9" t="s">
        <v>4107</v>
      </c>
      <c r="E892" s="9" t="s">
        <v>47</v>
      </c>
      <c r="F892" s="9" t="s">
        <v>48</v>
      </c>
      <c r="G892" s="9" t="s">
        <v>95</v>
      </c>
      <c r="H892" s="9" t="s">
        <v>274</v>
      </c>
      <c r="I892" s="9" t="s">
        <v>275</v>
      </c>
      <c r="J892" s="9" t="s">
        <v>52</v>
      </c>
      <c r="K892" s="9" t="s">
        <v>180</v>
      </c>
      <c r="L892" s="9" t="s">
        <v>4108</v>
      </c>
      <c r="M892" s="9" t="s">
        <v>89</v>
      </c>
      <c r="N892" s="9" t="n">
        <v>6</v>
      </c>
      <c r="O892" s="9" t="n">
        <v>2909.56</v>
      </c>
      <c r="P892" s="9" t="n">
        <v>0.2</v>
      </c>
      <c r="Q892" s="9" t="n">
        <v>13965.89</v>
      </c>
      <c r="R892" s="9" t="n">
        <v>11646.12</v>
      </c>
      <c r="S892" s="9" t="n">
        <v>2319.77</v>
      </c>
      <c r="T892" s="9" t="s">
        <v>56</v>
      </c>
      <c r="U892" s="9" t="s">
        <v>57</v>
      </c>
    </row>
    <row r="893" customFormat="false" ht="15" hidden="false" customHeight="false" outlineLevel="0" collapsed="false">
      <c r="A893" s="9" t="s">
        <v>4109</v>
      </c>
      <c r="B893" s="9" t="s">
        <v>3831</v>
      </c>
      <c r="C893" s="9" t="s">
        <v>2604</v>
      </c>
      <c r="D893" s="9" t="s">
        <v>4110</v>
      </c>
      <c r="E893" s="9" t="s">
        <v>393</v>
      </c>
      <c r="F893" s="9" t="s">
        <v>130</v>
      </c>
      <c r="G893" s="9" t="s">
        <v>84</v>
      </c>
      <c r="H893" s="9" t="s">
        <v>364</v>
      </c>
      <c r="I893" s="9" t="s">
        <v>365</v>
      </c>
      <c r="J893" s="9" t="s">
        <v>108</v>
      </c>
      <c r="K893" s="9" t="s">
        <v>409</v>
      </c>
      <c r="L893" s="9" t="s">
        <v>4111</v>
      </c>
      <c r="M893" s="9" t="s">
        <v>70</v>
      </c>
      <c r="N893" s="9" t="n">
        <v>5</v>
      </c>
      <c r="O893" s="9" t="n">
        <v>2407.97</v>
      </c>
      <c r="P893" s="9" t="n">
        <v>0.1</v>
      </c>
      <c r="Q893" s="9" t="n">
        <v>10835.86</v>
      </c>
      <c r="R893" s="9" t="n">
        <v>6419.92</v>
      </c>
      <c r="S893" s="9" t="n">
        <v>4415.94</v>
      </c>
      <c r="T893" s="9" t="s">
        <v>224</v>
      </c>
      <c r="U893" s="9" t="s">
        <v>100</v>
      </c>
    </row>
    <row r="894" customFormat="false" ht="15" hidden="false" customHeight="false" outlineLevel="0" collapsed="false">
      <c r="A894" s="9" t="s">
        <v>4112</v>
      </c>
      <c r="B894" s="9" t="s">
        <v>4113</v>
      </c>
      <c r="C894" s="9" t="s">
        <v>3049</v>
      </c>
      <c r="D894" s="9" t="s">
        <v>4114</v>
      </c>
      <c r="E894" s="9" t="s">
        <v>75</v>
      </c>
      <c r="F894" s="9" t="s">
        <v>63</v>
      </c>
      <c r="G894" s="9" t="s">
        <v>64</v>
      </c>
      <c r="H894" s="9" t="s">
        <v>336</v>
      </c>
      <c r="I894" s="9" t="s">
        <v>337</v>
      </c>
      <c r="J894" s="9" t="s">
        <v>108</v>
      </c>
      <c r="K894" s="9" t="s">
        <v>116</v>
      </c>
      <c r="L894" s="9" t="s">
        <v>4115</v>
      </c>
      <c r="M894" s="9" t="s">
        <v>70</v>
      </c>
      <c r="N894" s="9" t="n">
        <v>1</v>
      </c>
      <c r="O894" s="9" t="n">
        <v>726.89</v>
      </c>
      <c r="P894" s="9" t="n">
        <v>0.2</v>
      </c>
      <c r="Q894" s="9" t="n">
        <v>581.51</v>
      </c>
      <c r="R894" s="9" t="n">
        <v>423.86</v>
      </c>
      <c r="S894" s="9" t="n">
        <v>157.65</v>
      </c>
      <c r="T894" s="9" t="s">
        <v>56</v>
      </c>
      <c r="U894" s="9" t="s">
        <v>57</v>
      </c>
    </row>
    <row r="895" customFormat="false" ht="15" hidden="false" customHeight="false" outlineLevel="0" collapsed="false">
      <c r="A895" s="9" t="s">
        <v>4116</v>
      </c>
      <c r="B895" s="9" t="s">
        <v>4117</v>
      </c>
      <c r="C895" s="9" t="s">
        <v>4118</v>
      </c>
      <c r="D895" s="9" t="s">
        <v>4119</v>
      </c>
      <c r="E895" s="9" t="s">
        <v>186</v>
      </c>
      <c r="F895" s="9" t="s">
        <v>130</v>
      </c>
      <c r="G895" s="9" t="s">
        <v>84</v>
      </c>
      <c r="H895" s="9" t="s">
        <v>254</v>
      </c>
      <c r="I895" s="9" t="s">
        <v>255</v>
      </c>
      <c r="J895" s="9" t="s">
        <v>67</v>
      </c>
      <c r="K895" s="9" t="s">
        <v>68</v>
      </c>
      <c r="L895" s="9" t="s">
        <v>4120</v>
      </c>
      <c r="M895" s="9" t="s">
        <v>55</v>
      </c>
      <c r="N895" s="9" t="n">
        <v>3</v>
      </c>
      <c r="O895" s="9" t="n">
        <v>395.49</v>
      </c>
      <c r="P895" s="9" t="n">
        <v>0.05</v>
      </c>
      <c r="Q895" s="9" t="n">
        <v>1127.15</v>
      </c>
      <c r="R895" s="9" t="n">
        <v>845.62</v>
      </c>
      <c r="S895" s="9" t="n">
        <v>281.53</v>
      </c>
      <c r="T895" s="9" t="s">
        <v>56</v>
      </c>
      <c r="U895" s="9" t="s">
        <v>147</v>
      </c>
    </row>
    <row r="896" customFormat="false" ht="15" hidden="false" customHeight="false" outlineLevel="0" collapsed="false">
      <c r="A896" s="9" t="s">
        <v>4121</v>
      </c>
      <c r="B896" s="9" t="s">
        <v>1985</v>
      </c>
      <c r="C896" s="9" t="s">
        <v>4122</v>
      </c>
      <c r="D896" s="9" t="s">
        <v>4123</v>
      </c>
      <c r="E896" s="9" t="s">
        <v>75</v>
      </c>
      <c r="F896" s="9" t="s">
        <v>137</v>
      </c>
      <c r="G896" s="9" t="s">
        <v>84</v>
      </c>
      <c r="H896" s="9" t="s">
        <v>85</v>
      </c>
      <c r="I896" s="9" t="s">
        <v>86</v>
      </c>
      <c r="J896" s="9" t="s">
        <v>67</v>
      </c>
      <c r="K896" s="9" t="s">
        <v>68</v>
      </c>
      <c r="L896" s="9" t="s">
        <v>4124</v>
      </c>
      <c r="M896" s="9" t="s">
        <v>78</v>
      </c>
      <c r="N896" s="9" t="n">
        <v>6</v>
      </c>
      <c r="O896" s="9" t="n">
        <v>4254.05</v>
      </c>
      <c r="P896" s="9" t="n">
        <v>0</v>
      </c>
      <c r="Q896" s="9" t="n">
        <v>25524.3</v>
      </c>
      <c r="R896" s="9" t="n">
        <v>16711.93</v>
      </c>
      <c r="S896" s="9" t="n">
        <v>8812.37</v>
      </c>
      <c r="T896" s="9" t="s">
        <v>56</v>
      </c>
      <c r="U896" s="9" t="s">
        <v>57</v>
      </c>
    </row>
    <row r="897" customFormat="false" ht="15" hidden="false" customHeight="false" outlineLevel="0" collapsed="false">
      <c r="A897" s="9" t="s">
        <v>4125</v>
      </c>
      <c r="B897" s="9" t="s">
        <v>4126</v>
      </c>
      <c r="C897" s="9" t="s">
        <v>127</v>
      </c>
      <c r="D897" s="9" t="s">
        <v>4127</v>
      </c>
      <c r="E897" s="9" t="s">
        <v>83</v>
      </c>
      <c r="F897" s="9" t="s">
        <v>48</v>
      </c>
      <c r="G897" s="9" t="s">
        <v>84</v>
      </c>
      <c r="H897" s="9" t="s">
        <v>267</v>
      </c>
      <c r="I897" s="9" t="s">
        <v>268</v>
      </c>
      <c r="J897" s="9" t="s">
        <v>67</v>
      </c>
      <c r="K897" s="9" t="s">
        <v>98</v>
      </c>
      <c r="L897" s="9" t="s">
        <v>4128</v>
      </c>
      <c r="M897" s="9" t="s">
        <v>70</v>
      </c>
      <c r="N897" s="9" t="n">
        <v>4</v>
      </c>
      <c r="O897" s="9" t="n">
        <v>711.18</v>
      </c>
      <c r="P897" s="9" t="n">
        <v>0.15</v>
      </c>
      <c r="Q897" s="9" t="n">
        <v>2418.01</v>
      </c>
      <c r="R897" s="9" t="n">
        <v>1441.89</v>
      </c>
      <c r="S897" s="9" t="n">
        <v>976.12</v>
      </c>
      <c r="T897" s="9" t="s">
        <v>160</v>
      </c>
      <c r="U897" s="9" t="s">
        <v>147</v>
      </c>
    </row>
    <row r="898" customFormat="false" ht="15" hidden="false" customHeight="false" outlineLevel="0" collapsed="false">
      <c r="A898" s="9" t="s">
        <v>4129</v>
      </c>
      <c r="B898" s="9" t="s">
        <v>4130</v>
      </c>
      <c r="C898" s="9" t="s">
        <v>2401</v>
      </c>
      <c r="D898" s="9" t="s">
        <v>4131</v>
      </c>
      <c r="E898" s="9" t="s">
        <v>94</v>
      </c>
      <c r="F898" s="9" t="s">
        <v>63</v>
      </c>
      <c r="G898" s="9" t="s">
        <v>84</v>
      </c>
      <c r="H898" s="9" t="s">
        <v>364</v>
      </c>
      <c r="I898" s="9" t="s">
        <v>365</v>
      </c>
      <c r="J898" s="9" t="s">
        <v>108</v>
      </c>
      <c r="K898" s="9" t="s">
        <v>116</v>
      </c>
      <c r="L898" s="9" t="s">
        <v>4132</v>
      </c>
      <c r="M898" s="9" t="s">
        <v>55</v>
      </c>
      <c r="N898" s="9" t="n">
        <v>1</v>
      </c>
      <c r="O898" s="9" t="n">
        <v>3693.03</v>
      </c>
      <c r="P898" s="9" t="n">
        <v>0.05</v>
      </c>
      <c r="Q898" s="9" t="n">
        <v>3508.38</v>
      </c>
      <c r="R898" s="9" t="n">
        <v>2828.06</v>
      </c>
      <c r="S898" s="9" t="n">
        <v>680.32</v>
      </c>
      <c r="T898" s="9" t="s">
        <v>224</v>
      </c>
      <c r="U898" s="9" t="s">
        <v>147</v>
      </c>
    </row>
    <row r="899" customFormat="false" ht="15" hidden="false" customHeight="false" outlineLevel="0" collapsed="false">
      <c r="A899" s="9" t="s">
        <v>4133</v>
      </c>
      <c r="B899" s="9" t="s">
        <v>1219</v>
      </c>
      <c r="C899" s="9" t="s">
        <v>4134</v>
      </c>
      <c r="D899" s="9" t="s">
        <v>3250</v>
      </c>
      <c r="E899" s="9" t="s">
        <v>204</v>
      </c>
      <c r="F899" s="9" t="s">
        <v>130</v>
      </c>
      <c r="G899" s="9" t="s">
        <v>177</v>
      </c>
      <c r="H899" s="9" t="s">
        <v>348</v>
      </c>
      <c r="I899" s="9" t="s">
        <v>349</v>
      </c>
      <c r="J899" s="9" t="s">
        <v>52</v>
      </c>
      <c r="K899" s="9" t="s">
        <v>53</v>
      </c>
      <c r="L899" s="9" t="s">
        <v>4135</v>
      </c>
      <c r="M899" s="9" t="s">
        <v>78</v>
      </c>
      <c r="N899" s="9" t="n">
        <v>4</v>
      </c>
      <c r="O899" s="9" t="n">
        <v>1786.65</v>
      </c>
      <c r="P899" s="9" t="n">
        <v>0.05</v>
      </c>
      <c r="Q899" s="9" t="n">
        <v>6789.27</v>
      </c>
      <c r="R899" s="9" t="n">
        <v>5626.43</v>
      </c>
      <c r="S899" s="9" t="n">
        <v>1162.84</v>
      </c>
      <c r="T899" s="9" t="s">
        <v>56</v>
      </c>
      <c r="U899" s="9" t="s">
        <v>57</v>
      </c>
    </row>
    <row r="900" customFormat="false" ht="15" hidden="false" customHeight="false" outlineLevel="0" collapsed="false">
      <c r="A900" s="9" t="s">
        <v>4136</v>
      </c>
      <c r="B900" s="9" t="s">
        <v>3698</v>
      </c>
      <c r="C900" s="9" t="s">
        <v>72</v>
      </c>
      <c r="D900" s="9" t="s">
        <v>4137</v>
      </c>
      <c r="E900" s="9" t="s">
        <v>105</v>
      </c>
      <c r="F900" s="9" t="s">
        <v>48</v>
      </c>
      <c r="G900" s="9" t="s">
        <v>177</v>
      </c>
      <c r="H900" s="9" t="s">
        <v>535</v>
      </c>
      <c r="I900" s="9" t="s">
        <v>536</v>
      </c>
      <c r="J900" s="9" t="s">
        <v>67</v>
      </c>
      <c r="K900" s="9" t="s">
        <v>68</v>
      </c>
      <c r="L900" s="9" t="s">
        <v>4138</v>
      </c>
      <c r="M900" s="9" t="s">
        <v>78</v>
      </c>
      <c r="N900" s="9" t="n">
        <v>4</v>
      </c>
      <c r="O900" s="9" t="n">
        <v>1536.7</v>
      </c>
      <c r="P900" s="9" t="n">
        <v>0.2</v>
      </c>
      <c r="Q900" s="9" t="n">
        <v>4917.44</v>
      </c>
      <c r="R900" s="9" t="n">
        <v>3846.77</v>
      </c>
      <c r="S900" s="9" t="n">
        <v>1070.67</v>
      </c>
      <c r="T900" s="9" t="s">
        <v>56</v>
      </c>
      <c r="U900" s="9" t="s">
        <v>57</v>
      </c>
    </row>
    <row r="901" customFormat="false" ht="15" hidden="false" customHeight="false" outlineLevel="0" collapsed="false">
      <c r="A901" s="9" t="s">
        <v>4139</v>
      </c>
      <c r="B901" s="9" t="s">
        <v>1722</v>
      </c>
      <c r="C901" s="9" t="s">
        <v>4140</v>
      </c>
      <c r="D901" s="9" t="s">
        <v>4141</v>
      </c>
      <c r="E901" s="9" t="s">
        <v>47</v>
      </c>
      <c r="F901" s="9" t="s">
        <v>48</v>
      </c>
      <c r="G901" s="9" t="s">
        <v>177</v>
      </c>
      <c r="H901" s="9" t="s">
        <v>178</v>
      </c>
      <c r="I901" s="9" t="s">
        <v>179</v>
      </c>
      <c r="J901" s="9" t="s">
        <v>67</v>
      </c>
      <c r="K901" s="9" t="s">
        <v>98</v>
      </c>
      <c r="L901" s="9" t="s">
        <v>4142</v>
      </c>
      <c r="M901" s="9" t="s">
        <v>78</v>
      </c>
      <c r="N901" s="9" t="n">
        <v>5</v>
      </c>
      <c r="O901" s="9" t="n">
        <v>881.08</v>
      </c>
      <c r="P901" s="9" t="n">
        <v>0.25</v>
      </c>
      <c r="Q901" s="9" t="n">
        <v>3304.05</v>
      </c>
      <c r="R901" s="9" t="n">
        <v>2279.41</v>
      </c>
      <c r="S901" s="9" t="n">
        <v>1024.64</v>
      </c>
      <c r="T901" s="9" t="s">
        <v>224</v>
      </c>
      <c r="U901" s="9" t="s">
        <v>100</v>
      </c>
    </row>
    <row r="902" customFormat="false" ht="15" hidden="false" customHeight="false" outlineLevel="0" collapsed="false">
      <c r="A902" s="9" t="s">
        <v>1717</v>
      </c>
      <c r="B902" s="9" t="s">
        <v>738</v>
      </c>
      <c r="C902" s="9" t="s">
        <v>1718</v>
      </c>
      <c r="D902" s="9" t="s">
        <v>1719</v>
      </c>
      <c r="E902" s="9" t="s">
        <v>192</v>
      </c>
      <c r="F902" s="9" t="s">
        <v>137</v>
      </c>
      <c r="G902" s="9" t="s">
        <v>64</v>
      </c>
      <c r="H902" s="9" t="s">
        <v>65</v>
      </c>
      <c r="I902" s="9" t="s">
        <v>66</v>
      </c>
      <c r="J902" s="9" t="s">
        <v>52</v>
      </c>
      <c r="K902" s="9" t="s">
        <v>222</v>
      </c>
      <c r="L902" s="9" t="s">
        <v>1720</v>
      </c>
      <c r="M902" s="9" t="s">
        <v>55</v>
      </c>
      <c r="N902" s="9" t="n">
        <v>4</v>
      </c>
      <c r="O902" s="9" t="n">
        <v>2685.66</v>
      </c>
      <c r="P902" s="9" t="n">
        <v>0</v>
      </c>
      <c r="Q902" s="9" t="n">
        <v>10989.89</v>
      </c>
      <c r="R902" s="9" t="n">
        <v>6477.37</v>
      </c>
      <c r="S902" s="9" t="n">
        <v>4265.27</v>
      </c>
      <c r="T902" s="9" t="s">
        <v>56</v>
      </c>
      <c r="U902" s="9" t="s">
        <v>57</v>
      </c>
    </row>
    <row r="903" customFormat="false" ht="15" hidden="false" customHeight="false" outlineLevel="0" collapsed="false">
      <c r="A903" s="9" t="s">
        <v>579</v>
      </c>
      <c r="B903" s="9" t="s">
        <v>580</v>
      </c>
      <c r="C903" s="9" t="s">
        <v>91</v>
      </c>
      <c r="D903" s="9" t="s">
        <v>581</v>
      </c>
      <c r="E903" s="9" t="s">
        <v>186</v>
      </c>
      <c r="F903" s="9" t="s">
        <v>63</v>
      </c>
      <c r="G903" s="9" t="s">
        <v>64</v>
      </c>
      <c r="H903" s="9" t="s">
        <v>210</v>
      </c>
      <c r="I903" s="9" t="s">
        <v>211</v>
      </c>
      <c r="J903" s="9" t="s">
        <v>108</v>
      </c>
      <c r="K903" s="9" t="s">
        <v>116</v>
      </c>
      <c r="L903" s="9" t="s">
        <v>582</v>
      </c>
      <c r="M903" s="9" t="s">
        <v>78</v>
      </c>
      <c r="N903" s="9" t="n">
        <v>3</v>
      </c>
      <c r="O903" s="9" t="n">
        <v>3703.96</v>
      </c>
      <c r="P903" s="9" t="n">
        <v>0.15</v>
      </c>
      <c r="Q903" s="9" t="n">
        <v>9549.44</v>
      </c>
      <c r="R903" s="9" t="n">
        <v>5586.28</v>
      </c>
      <c r="S903" s="9" t="n">
        <v>3858.82</v>
      </c>
      <c r="T903" s="9" t="s">
        <v>56</v>
      </c>
      <c r="U903" s="9" t="s">
        <v>147</v>
      </c>
    </row>
    <row r="904" customFormat="false" ht="15" hidden="false" customHeight="false" outlineLevel="0" collapsed="false">
      <c r="A904" s="9" t="s">
        <v>1901</v>
      </c>
      <c r="B904" s="9" t="s">
        <v>1902</v>
      </c>
      <c r="C904" s="9" t="s">
        <v>1902</v>
      </c>
      <c r="D904" s="9" t="s">
        <v>1903</v>
      </c>
      <c r="E904" s="9" t="s">
        <v>192</v>
      </c>
      <c r="F904" s="9" t="s">
        <v>63</v>
      </c>
      <c r="G904" s="9" t="s">
        <v>177</v>
      </c>
      <c r="H904" s="9" t="s">
        <v>198</v>
      </c>
      <c r="I904" s="9" t="s">
        <v>199</v>
      </c>
      <c r="J904" s="9" t="s">
        <v>52</v>
      </c>
      <c r="K904" s="9" t="s">
        <v>180</v>
      </c>
      <c r="L904" s="9" t="s">
        <v>1904</v>
      </c>
      <c r="M904" s="9" t="s">
        <v>55</v>
      </c>
      <c r="N904" s="9" t="n">
        <v>9</v>
      </c>
      <c r="O904" s="9" t="n">
        <v>1118.68</v>
      </c>
      <c r="P904" s="9" t="n">
        <v>0</v>
      </c>
      <c r="Q904" s="9" t="n">
        <v>10348.43</v>
      </c>
      <c r="R904" s="9" t="n">
        <v>8595.37</v>
      </c>
      <c r="S904" s="9" t="n">
        <v>1472.75</v>
      </c>
      <c r="T904" s="9" t="s">
        <v>56</v>
      </c>
      <c r="U904" s="9" t="s">
        <v>147</v>
      </c>
    </row>
    <row r="905" customFormat="false" ht="15" hidden="false" customHeight="false" outlineLevel="0" collapsed="false">
      <c r="A905" s="9" t="s">
        <v>1227</v>
      </c>
      <c r="B905" s="9" t="s">
        <v>1228</v>
      </c>
      <c r="C905" s="9" t="s">
        <v>1229</v>
      </c>
      <c r="D905" s="9" t="s">
        <v>1230</v>
      </c>
      <c r="E905" s="9" t="s">
        <v>75</v>
      </c>
      <c r="F905" s="9" t="s">
        <v>63</v>
      </c>
      <c r="G905" s="9" t="s">
        <v>177</v>
      </c>
      <c r="H905" s="9" t="s">
        <v>178</v>
      </c>
      <c r="I905" s="9" t="s">
        <v>179</v>
      </c>
      <c r="J905" s="9" t="s">
        <v>67</v>
      </c>
      <c r="K905" s="9" t="s">
        <v>87</v>
      </c>
      <c r="L905" s="9" t="s">
        <v>1231</v>
      </c>
      <c r="M905" s="9" t="s">
        <v>89</v>
      </c>
      <c r="N905" s="9" t="n">
        <v>4</v>
      </c>
      <c r="O905" s="9" t="n">
        <v>3944.64</v>
      </c>
      <c r="P905" s="9" t="n">
        <v>0.25</v>
      </c>
      <c r="Q905" s="9" t="n">
        <v>12116.89</v>
      </c>
      <c r="R905" s="9" t="n">
        <v>6682.92</v>
      </c>
      <c r="S905" s="9" t="n">
        <v>5151</v>
      </c>
      <c r="T905" s="9" t="s">
        <v>56</v>
      </c>
      <c r="U905" s="9" t="s">
        <v>147</v>
      </c>
    </row>
    <row r="906" customFormat="false" ht="15" hidden="false" customHeight="false" outlineLevel="0" collapsed="false">
      <c r="A906" s="9" t="s">
        <v>1642</v>
      </c>
      <c r="B906" s="9" t="s">
        <v>1140</v>
      </c>
      <c r="C906" s="9" t="s">
        <v>140</v>
      </c>
      <c r="D906" s="9" t="s">
        <v>1643</v>
      </c>
      <c r="E906" s="9" t="s">
        <v>75</v>
      </c>
      <c r="F906" s="9" t="s">
        <v>130</v>
      </c>
      <c r="G906" s="9" t="s">
        <v>95</v>
      </c>
      <c r="H906" s="9" t="s">
        <v>106</v>
      </c>
      <c r="I906" s="9" t="s">
        <v>107</v>
      </c>
      <c r="J906" s="9" t="s">
        <v>52</v>
      </c>
      <c r="K906" s="9" t="s">
        <v>131</v>
      </c>
      <c r="L906" s="9" t="s">
        <v>1644</v>
      </c>
      <c r="M906" s="9" t="s">
        <v>89</v>
      </c>
      <c r="N906" s="9" t="n">
        <v>9</v>
      </c>
      <c r="O906" s="9" t="n">
        <v>847.76</v>
      </c>
      <c r="P906" s="9" t="n">
        <v>0.15</v>
      </c>
      <c r="Q906" s="9" t="n">
        <v>6589.37</v>
      </c>
      <c r="R906" s="9" t="n">
        <v>5376.17</v>
      </c>
      <c r="S906" s="9" t="n">
        <v>1109.19</v>
      </c>
      <c r="T906" s="9" t="s">
        <v>224</v>
      </c>
      <c r="U906" s="9" t="s">
        <v>57</v>
      </c>
    </row>
    <row r="907" customFormat="false" ht="15" hidden="false" customHeight="false" outlineLevel="0" collapsed="false">
      <c r="A907" s="9" t="s">
        <v>969</v>
      </c>
      <c r="B907" s="9" t="s">
        <v>134</v>
      </c>
      <c r="C907" s="9" t="s">
        <v>970</v>
      </c>
      <c r="D907" s="9" t="s">
        <v>971</v>
      </c>
      <c r="E907" s="9" t="s">
        <v>204</v>
      </c>
      <c r="F907" s="9" t="s">
        <v>130</v>
      </c>
      <c r="G907" s="9" t="s">
        <v>64</v>
      </c>
      <c r="H907" s="9" t="s">
        <v>210</v>
      </c>
      <c r="I907" s="9" t="s">
        <v>211</v>
      </c>
      <c r="J907" s="9" t="s">
        <v>108</v>
      </c>
      <c r="K907" s="9" t="s">
        <v>116</v>
      </c>
      <c r="L907" s="9" t="s">
        <v>972</v>
      </c>
      <c r="M907" s="9" t="s">
        <v>89</v>
      </c>
      <c r="N907" s="9" t="n">
        <v>3</v>
      </c>
      <c r="O907" s="9" t="n">
        <v>1711.32</v>
      </c>
      <c r="P907" s="9" t="n">
        <v>0</v>
      </c>
      <c r="Q907" s="9" t="n">
        <v>5206.53</v>
      </c>
      <c r="R907" s="9" t="n">
        <v>3930</v>
      </c>
      <c r="S907" s="9" t="n">
        <v>1203.96</v>
      </c>
      <c r="T907" s="9" t="s">
        <v>56</v>
      </c>
      <c r="U907" s="9" t="s">
        <v>147</v>
      </c>
    </row>
    <row r="908" customFormat="false" ht="15" hidden="false" customHeight="false" outlineLevel="0" collapsed="false">
      <c r="A908" s="9" t="s">
        <v>2128</v>
      </c>
      <c r="B908" s="9" t="s">
        <v>2129</v>
      </c>
      <c r="C908" s="9" t="s">
        <v>2130</v>
      </c>
      <c r="D908" s="9" t="s">
        <v>2131</v>
      </c>
      <c r="E908" s="9" t="s">
        <v>234</v>
      </c>
      <c r="F908" s="9" t="s">
        <v>48</v>
      </c>
      <c r="G908" s="9" t="s">
        <v>84</v>
      </c>
      <c r="H908" s="9" t="s">
        <v>267</v>
      </c>
      <c r="I908" s="9" t="s">
        <v>268</v>
      </c>
      <c r="J908" s="9" t="s">
        <v>108</v>
      </c>
      <c r="K908" s="9" t="s">
        <v>109</v>
      </c>
      <c r="L908" s="9" t="s">
        <v>2132</v>
      </c>
      <c r="M908" s="9" t="s">
        <v>2133</v>
      </c>
      <c r="N908" s="9" t="n">
        <v>9</v>
      </c>
      <c r="O908" s="9" t="n">
        <v>3779.31</v>
      </c>
      <c r="P908" s="9" t="n">
        <v>0.2</v>
      </c>
      <c r="Q908" s="9" t="n">
        <v>27322.9</v>
      </c>
      <c r="R908" s="9" t="n">
        <v>17940.43</v>
      </c>
      <c r="S908" s="9" t="n">
        <v>9270.6</v>
      </c>
      <c r="T908" s="9" t="s">
        <v>56</v>
      </c>
      <c r="U908" s="9" t="s">
        <v>147</v>
      </c>
    </row>
    <row r="909" customFormat="false" ht="15" hidden="false" customHeight="false" outlineLevel="0" collapsed="false">
      <c r="A909" s="9" t="s">
        <v>2785</v>
      </c>
      <c r="B909" s="9" t="s">
        <v>2721</v>
      </c>
      <c r="C909" s="9" t="s">
        <v>2786</v>
      </c>
      <c r="D909" s="9" t="s">
        <v>2787</v>
      </c>
      <c r="E909" s="9" t="s">
        <v>165</v>
      </c>
      <c r="F909" s="9" t="s">
        <v>63</v>
      </c>
      <c r="G909" s="9" t="s">
        <v>177</v>
      </c>
      <c r="H909" s="9" t="s">
        <v>198</v>
      </c>
      <c r="I909" s="9" t="s">
        <v>199</v>
      </c>
      <c r="J909" s="9" t="s">
        <v>108</v>
      </c>
      <c r="K909" s="9" t="s">
        <v>247</v>
      </c>
      <c r="L909" s="9" t="s">
        <v>2788</v>
      </c>
      <c r="M909" s="9"/>
      <c r="N909" s="9" t="n">
        <v>5</v>
      </c>
      <c r="O909" s="9" t="n">
        <v>4276.29</v>
      </c>
      <c r="P909" s="9" t="n">
        <v>0</v>
      </c>
      <c r="Q909" s="9" t="n">
        <v>21443.63</v>
      </c>
      <c r="R909" s="9" t="n">
        <v>13240.21</v>
      </c>
      <c r="S909" s="9" t="n">
        <v>8141.24</v>
      </c>
      <c r="T909" s="9" t="s">
        <v>224</v>
      </c>
      <c r="U909" s="9" t="s">
        <v>57</v>
      </c>
    </row>
    <row r="910" customFormat="false" ht="15" hidden="false" customHeight="false" outlineLevel="0" collapsed="false">
      <c r="A910" s="9" t="s">
        <v>835</v>
      </c>
      <c r="B910" s="9" t="s">
        <v>836</v>
      </c>
      <c r="C910" s="9" t="s">
        <v>837</v>
      </c>
      <c r="D910" s="9" t="s">
        <v>838</v>
      </c>
      <c r="E910" s="9" t="s">
        <v>129</v>
      </c>
      <c r="F910" s="9" t="s">
        <v>137</v>
      </c>
      <c r="G910" s="9" t="s">
        <v>177</v>
      </c>
      <c r="H910" s="9" t="s">
        <v>50</v>
      </c>
      <c r="I910" s="9" t="s">
        <v>51</v>
      </c>
      <c r="J910" s="9" t="s">
        <v>108</v>
      </c>
      <c r="K910" s="9" t="s">
        <v>247</v>
      </c>
      <c r="L910" s="9" t="s">
        <v>839</v>
      </c>
      <c r="M910" s="9" t="s">
        <v>55</v>
      </c>
      <c r="N910" s="9" t="n">
        <v>5</v>
      </c>
      <c r="O910" s="9" t="n">
        <v>907.54</v>
      </c>
      <c r="P910" s="9" t="n">
        <v>0.15</v>
      </c>
      <c r="Q910" s="9" t="n">
        <v>4099.69</v>
      </c>
      <c r="R910" s="9" t="n">
        <v>2769.26</v>
      </c>
      <c r="S910" s="9" t="n">
        <v>1087.78</v>
      </c>
      <c r="T910" s="9" t="s">
        <v>56</v>
      </c>
      <c r="U910" s="9" t="s">
        <v>147</v>
      </c>
    </row>
    <row r="911" customFormat="false" ht="15" hidden="false" customHeight="false" outlineLevel="0" collapsed="false">
      <c r="A911" s="9" t="s">
        <v>1447</v>
      </c>
      <c r="B911" s="9" t="s">
        <v>1448</v>
      </c>
      <c r="C911" s="9" t="s">
        <v>1449</v>
      </c>
      <c r="D911" s="9" t="s">
        <v>1450</v>
      </c>
      <c r="E911" s="9" t="s">
        <v>83</v>
      </c>
      <c r="F911" s="9" t="s">
        <v>48</v>
      </c>
      <c r="G911" s="9" t="s">
        <v>84</v>
      </c>
      <c r="H911" s="9" t="s">
        <v>122</v>
      </c>
      <c r="I911" s="9" t="s">
        <v>123</v>
      </c>
      <c r="J911" s="9" t="s">
        <v>67</v>
      </c>
      <c r="K911" s="9" t="s">
        <v>98</v>
      </c>
      <c r="L911" s="9" t="s">
        <v>1451</v>
      </c>
      <c r="M911" s="9" t="s">
        <v>78</v>
      </c>
      <c r="N911" s="9" t="n">
        <v>7</v>
      </c>
      <c r="O911" s="9" t="n">
        <v>557.21</v>
      </c>
      <c r="P911" s="9" t="n">
        <v>0.1</v>
      </c>
      <c r="Q911" s="9" t="n">
        <v>3797.79</v>
      </c>
      <c r="R911" s="9" t="n">
        <v>2191.5</v>
      </c>
      <c r="S911" s="9" t="n">
        <v>1213.48</v>
      </c>
      <c r="T911" s="9" t="s">
        <v>56</v>
      </c>
      <c r="U911" s="9" t="s">
        <v>147</v>
      </c>
    </row>
    <row r="912" customFormat="false" ht="15" hidden="false" customHeight="false" outlineLevel="0" collapsed="false">
      <c r="A912" s="9" t="s">
        <v>741</v>
      </c>
      <c r="B912" s="9" t="s">
        <v>742</v>
      </c>
      <c r="C912" s="9" t="s">
        <v>743</v>
      </c>
      <c r="D912" s="9" t="s">
        <v>744</v>
      </c>
      <c r="E912" s="9" t="s">
        <v>192</v>
      </c>
      <c r="F912" s="9" t="s">
        <v>63</v>
      </c>
      <c r="G912" s="9" t="s">
        <v>745</v>
      </c>
      <c r="H912" s="9" t="s">
        <v>178</v>
      </c>
      <c r="I912" s="9" t="s">
        <v>179</v>
      </c>
      <c r="J912" s="9" t="s">
        <v>108</v>
      </c>
      <c r="K912" s="9" t="s">
        <v>116</v>
      </c>
      <c r="L912" s="9" t="s">
        <v>746</v>
      </c>
      <c r="M912" s="9" t="s">
        <v>70</v>
      </c>
      <c r="N912" s="9" t="n">
        <v>1</v>
      </c>
      <c r="O912" s="9" t="n">
        <v>634.13</v>
      </c>
      <c r="P912" s="9" t="n">
        <v>0</v>
      </c>
      <c r="Q912" s="9" t="n">
        <v>808.67</v>
      </c>
      <c r="R912" s="9" t="n">
        <v>453.35</v>
      </c>
      <c r="S912" s="9" t="n">
        <v>180.78</v>
      </c>
      <c r="T912" s="9" t="s">
        <v>146</v>
      </c>
      <c r="U912" s="9" t="s">
        <v>147</v>
      </c>
    </row>
    <row r="913" customFormat="false" ht="15" hidden="false" customHeight="false" outlineLevel="0" collapsed="false">
      <c r="A913" s="9" t="s">
        <v>1737</v>
      </c>
      <c r="B913" s="9" t="s">
        <v>1738</v>
      </c>
      <c r="C913" s="9" t="s">
        <v>1739</v>
      </c>
      <c r="D913" s="9" t="s">
        <v>1740</v>
      </c>
      <c r="E913" s="9" t="s">
        <v>171</v>
      </c>
      <c r="F913" s="9" t="s">
        <v>137</v>
      </c>
      <c r="G913" s="9" t="s">
        <v>95</v>
      </c>
      <c r="H913" s="9" t="s">
        <v>106</v>
      </c>
      <c r="I913" s="9" t="s">
        <v>107</v>
      </c>
      <c r="J913" s="9" t="s">
        <v>52</v>
      </c>
      <c r="K913" s="9" t="s">
        <v>53</v>
      </c>
      <c r="L913" s="9" t="s">
        <v>1741</v>
      </c>
      <c r="M913" s="9" t="s">
        <v>78</v>
      </c>
      <c r="N913" s="9" t="n">
        <v>3</v>
      </c>
      <c r="O913" s="9" t="n">
        <v>4289.37</v>
      </c>
      <c r="P913" s="9" t="n">
        <v>0.1</v>
      </c>
      <c r="Q913" s="9" t="n">
        <v>11778.71</v>
      </c>
      <c r="R913" s="9" t="n">
        <v>6829.43</v>
      </c>
      <c r="S913" s="9" t="n">
        <v>4751.87</v>
      </c>
      <c r="T913" s="9" t="s">
        <v>56</v>
      </c>
      <c r="U913" s="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2026-06-27T20:02:46Z</dcterms:created>
  <dc:creator>openpyxl</dc:creator>
  <dc:description/>
  <dc:language>en-US</dc:language>
  <cp:lastModifiedBy/>
  <dcterms:modified xsi:type="dcterms:W3CDTF">2026-06-27T20:02:47Z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